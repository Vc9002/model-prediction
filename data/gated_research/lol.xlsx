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2" headerRowCount="1">
  <autoFilter ref="A1:CO1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COUNTA('Picks'!$A$2:$A$12)</f>
        <v/>
      </c>
      <c r="C4" s="6">
        <f>COUNTIF('Picks'!$U$2:$U$12,"open")</f>
        <v/>
      </c>
      <c r="E4" s="6">
        <f>COUNTIF('Picks'!$U$2:$U$12,"settled")</f>
        <v/>
      </c>
      <c r="G4" s="6">
        <f>IF(COUNTIFS('Picks'!$U$2:$U$12,"settled",'Picks'!$V$2:$V$12,"win")+COUNTIFS('Picks'!$U$2:$U$12,"settled",'Picks'!$V$2:$V$12,"loss")&gt;=$L$2,"Ready","Insufficient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COUNTIF('Picks'!$BX$2:$BX$12,"&gt;0")</f>
        <v/>
      </c>
      <c r="C7" s="6">
        <f>COUNTIFS('Picks'!$BX$2:$BX$12,"&gt;0",'Picks'!$V$2:$V$12,"win")&amp;"-"&amp;COUNTIFS('Picks'!$BX$2:$BX$12,"&gt;0",'Picks'!$V$2:$V$12,"loss")</f>
        <v/>
      </c>
      <c r="E7" s="7">
        <f>IFERROR(COUNTIFS('Picks'!$BX$2:$BX$12,"&gt;0",'Picks'!$V$2:$V$12,"win")/(COUNTIFS('Picks'!$BX$2:$BX$12,"&gt;0",'Picks'!$V$2:$V$12,"win")+COUNTIFS('Picks'!$BX$2:$BX$12,"&gt;0",'Picks'!$V$2:$V$12,"loss")),0)</f>
        <v/>
      </c>
      <c r="G7" s="7">
        <f>IFERROR(SUM('Picks'!$BY$2:$BY$12)/SUM('Picks'!$BX$2:$BX$12),0)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SUM('Picks'!$BY$2:$BY$12)</f>
        <v/>
      </c>
      <c r="C10" s="9">
        <f>IFERROR(AVERAGEIF('Picks'!$AB$2:$AB$12,"&lt;&gt;",'Picks'!$AB$2:$AB$12),0)</f>
        <v/>
      </c>
      <c r="E10" s="6">
        <f>COUNTIFS('Picks'!$AM$2:$AM$12,"QUALIFIED_SHADOW_CALL",'Picks'!$U$2:$U$12,"settled")</f>
        <v/>
      </c>
      <c r="G10" s="8">
        <f>SUMIFS('Picks'!$AC$2:$AC$12,'Picks'!$AM$2:$AM$12,"QUALIFIED_SHADOW_CALL")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COUNTIFS('Picks'!$H$2:$H$12,$A14,'Picks'!$U$2:$U$12,"settled")</f>
        <v/>
      </c>
      <c r="C14" s="13">
        <f>COUNTIFS('Picks'!$H$2:$H$12,$A14,'Picks'!$U$2:$U$12,"settled",'Picks'!$V$2:$V$12,"win")</f>
        <v/>
      </c>
      <c r="D14" s="13">
        <f>COUNTIFS('Picks'!$H$2:$H$12,$A14,'Picks'!$U$2:$U$12,"settled",'Picks'!$V$2:$V$12,"loss")</f>
        <v/>
      </c>
      <c r="E14" s="14">
        <f>IFERROR(C14/(C14+D14),0)</f>
        <v/>
      </c>
      <c r="F14" s="15">
        <f>SUMIFS('Picks'!$BY$2:$BY$12,'Picks'!$H$2:$H$12,$A14)</f>
        <v/>
      </c>
      <c r="G14" s="16">
        <f>IFERROR(AVERAGEIFS('Picks'!$AB$2:$AB$12,'Picks'!$H$2:$H$12,$A14,'Picks'!$U$2:$U$12,"settled"),0)</f>
        <v/>
      </c>
    </row>
    <row r="15">
      <c r="A15" s="17" t="inlineStr">
        <is>
          <t>spread</t>
        </is>
      </c>
      <c r="B15" s="18">
        <f>COUNTIFS('Picks'!$H$2:$H$12,$A15,'Picks'!$U$2:$U$12,"settled")</f>
        <v/>
      </c>
      <c r="C15" s="18">
        <f>COUNTIFS('Picks'!$H$2:$H$12,$A15,'Picks'!$U$2:$U$12,"settled",'Picks'!$V$2:$V$12,"win")</f>
        <v/>
      </c>
      <c r="D15" s="18">
        <f>COUNTIFS('Picks'!$H$2:$H$12,$A15,'Picks'!$U$2:$U$12,"settled",'Picks'!$V$2:$V$12,"loss")</f>
        <v/>
      </c>
      <c r="E15" s="19">
        <f>IFERROR(C15/(C15+D15),0)</f>
        <v/>
      </c>
      <c r="F15" s="20">
        <f>SUMIFS('Picks'!$BY$2:$BY$12,'Picks'!$H$2:$H$12,$A15)</f>
        <v/>
      </c>
      <c r="G15" s="21">
        <f>IFERROR(AVERAGEIFS('Picks'!$AB$2:$AB$12,'Picks'!$H$2:$H$12,$A15,'Picks'!$U$2:$U$12,"settled"),0)</f>
        <v/>
      </c>
    </row>
    <row r="16">
      <c r="A16" s="12" t="inlineStr">
        <is>
          <t>total</t>
        </is>
      </c>
      <c r="B16" s="13">
        <f>COUNTIFS('Picks'!$H$2:$H$12,$A16,'Picks'!$U$2:$U$12,"settled")</f>
        <v/>
      </c>
      <c r="C16" s="13">
        <f>COUNTIFS('Picks'!$H$2:$H$12,$A16,'Picks'!$U$2:$U$12,"settled",'Picks'!$V$2:$V$12,"win")</f>
        <v/>
      </c>
      <c r="D16" s="13">
        <f>COUNTIFS('Picks'!$H$2:$H$12,$A16,'Picks'!$U$2:$U$12,"settled",'Picks'!$V$2:$V$12,"loss")</f>
        <v/>
      </c>
      <c r="E16" s="14">
        <f>IFERROR(C16/(C16+D16),0)</f>
        <v/>
      </c>
      <c r="F16" s="15">
        <f>SUMIFS('Picks'!$BY$2:$BY$12,'Picks'!$H$2:$H$12,$A16)</f>
        <v/>
      </c>
      <c r="G16" s="16">
        <f>IFERROR(AVERAGEIFS('Picks'!$AB$2:$AB$12,'Picks'!$H$2:$H$12,$A16,'Picks'!$U$2:$U$12,"settled"),0)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635c46b99f6e4aee</t>
        </is>
      </c>
      <c r="B2" s="24" t="inlineStr">
        <is>
          <t>2026-07-25T16:16:17.517287Z</t>
        </is>
      </c>
      <c r="C2" s="24" t="inlineStr">
        <is>
          <t>2026-07-25T17:00:00Z</t>
        </is>
      </c>
      <c r="D2" s="24" t="inlineStr">
        <is>
          <t>59392</t>
        </is>
      </c>
      <c r="E2" s="24" t="inlineStr">
        <is>
          <t>LOL</t>
        </is>
      </c>
      <c r="F2" s="24" t="inlineStr">
        <is>
          <t>Movistar KOI</t>
        </is>
      </c>
      <c r="G2" s="24" t="inlineStr">
        <is>
          <t>Karmine Corp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0.761127</v>
      </c>
      <c r="P2" s="28" t="n"/>
      <c r="Q2" s="28" t="n">
        <v>0.09116</v>
      </c>
      <c r="R2" s="26" t="n">
        <v>66</v>
      </c>
      <c r="S2" s="29" t="n">
        <v>2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0.9852</v>
      </c>
      <c r="AD2" s="24" t="inlineStr">
        <is>
          <t>2026-07-25T19:18:15.146692Z</t>
        </is>
      </c>
      <c r="AE2" s="31" t="inlineStr">
        <is>
          <t>Neutral Elo baseline; executable ask 0.6700 (market_slug=aec-lol-kc-mkoi-2026-07-25).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Movistar KOI</t>
        </is>
      </c>
      <c r="AQ2" s="24" t="inlineStr">
        <is>
          <t>Movistar KOI</t>
        </is>
      </c>
      <c r="AR2" s="24" t="inlineStr">
        <is>
          <t>Movistar KOI</t>
        </is>
      </c>
      <c r="AS2" s="24" t="inlineStr">
        <is>
          <t>Karmine Corp</t>
        </is>
      </c>
      <c r="AT2" s="24" t="inlineStr">
        <is>
          <t>Karmine Corp</t>
        </is>
      </c>
      <c r="AU2" s="24" t="inlineStr">
        <is>
          <t>Karmine Corp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lol-tiered-elo-v4</t>
        </is>
      </c>
      <c r="BD2" s="24" t="inlineStr">
        <is>
          <t>35087e828a0053011a97024de693e2ee7eb80eb03024c91d28d254de09d93778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lol-tiered-elo-v4</t>
        </is>
      </c>
      <c r="BH2" s="24" t="inlineStr">
        <is>
          <t>2026-07-25T16:16:06.872882Z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46dc1bd359354ed3</t>
        </is>
      </c>
      <c r="B3" s="24" t="inlineStr">
        <is>
          <t>2026-07-26T12:49:32.359065Z</t>
        </is>
      </c>
      <c r="C3" s="24" t="inlineStr">
        <is>
          <t>2026-07-26T13:00:00Z</t>
        </is>
      </c>
      <c r="D3" s="24" t="inlineStr">
        <is>
          <t>60120</t>
        </is>
      </c>
      <c r="E3" s="24" t="inlineStr">
        <is>
          <t>LOL</t>
        </is>
      </c>
      <c r="F3" s="24" t="inlineStr">
        <is>
          <t>Team High Ground</t>
        </is>
      </c>
      <c r="G3" s="24" t="inlineStr">
        <is>
          <t>Galions Sharks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0.5456</v>
      </c>
      <c r="P3" s="28" t="n"/>
      <c r="Q3" s="28" t="n">
        <v>0.135764</v>
      </c>
      <c r="R3" s="26" t="n">
        <v>88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2026-07-26T17:52:57.201845Z</t>
        </is>
      </c>
      <c r="AE3" s="31" t="inlineStr">
        <is>
          <t>Neutral Elo baseline; executable ask 0.4100 (market_slug=aec-lol-gls-thg-2026-07-26).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High Ground</t>
        </is>
      </c>
      <c r="AQ3" s="24" t="inlineStr">
        <is>
          <t>Team High Ground</t>
        </is>
      </c>
      <c r="AR3" s="24" t="inlineStr">
        <is>
          <t>Team High Ground</t>
        </is>
      </c>
      <c r="AS3" s="24" t="inlineStr">
        <is>
          <t>Galions Sharks</t>
        </is>
      </c>
      <c r="AT3" s="24" t="inlineStr">
        <is>
          <t>Galions Sharks</t>
        </is>
      </c>
      <c r="AU3" s="24" t="inlineStr">
        <is>
          <t>Galions Sharks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lol-tiered-elo-v4</t>
        </is>
      </c>
      <c r="BD3" s="24" t="inlineStr">
        <is>
          <t>35087e828a0053011a97024de693e2ee7eb80eb03024c91d28d254de09d93778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lol-tiered-elo-v4</t>
        </is>
      </c>
      <c r="BH3" s="24" t="inlineStr">
        <is>
          <t>2026-07-26T12:49:10.049609Z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7015fea8b1eb49d6</t>
        </is>
      </c>
      <c r="B4" s="24" t="inlineStr">
        <is>
          <t>2026-07-26T12:49:32.359065Z</t>
        </is>
      </c>
      <c r="C4" s="24" t="inlineStr">
        <is>
          <t>2026-07-26T17:00:00Z</t>
        </is>
      </c>
      <c r="D4" s="24" t="inlineStr">
        <is>
          <t>60180</t>
        </is>
      </c>
      <c r="E4" s="24" t="inlineStr">
        <is>
          <t>LOL</t>
        </is>
      </c>
      <c r="F4" s="24" t="inlineStr">
        <is>
          <t>Karmine Corp</t>
        </is>
      </c>
      <c r="G4" s="24" t="inlineStr">
        <is>
          <t>G2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0.621842</v>
      </c>
      <c r="P4" s="28" t="n"/>
      <c r="Q4" s="28" t="n">
        <v>0.221842</v>
      </c>
      <c r="R4" s="26" t="n">
        <v>100</v>
      </c>
      <c r="S4" s="29" t="n">
        <v>1.75</v>
      </c>
      <c r="T4" s="24" t="inlineStr">
        <is>
          <t>lol-tiered-elo-v4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0.4000 (market_slug=aec-lol-g2-kc-2026-07-26).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Karmine Corp</t>
        </is>
      </c>
      <c r="AQ4" s="24" t="inlineStr">
        <is>
          <t>Karmine Corp</t>
        </is>
      </c>
      <c r="AR4" s="24" t="inlineStr">
        <is>
          <t>Karmine Corp</t>
        </is>
      </c>
      <c r="AS4" s="24" t="inlineStr">
        <is>
          <t>G2 Esports</t>
        </is>
      </c>
      <c r="AT4" s="24" t="inlineStr">
        <is>
          <t>G2 Esports</t>
        </is>
      </c>
      <c r="AU4" s="24" t="inlineStr">
        <is>
          <t>G2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lol-tiered-elo-v4</t>
        </is>
      </c>
      <c r="BD4" s="24" t="inlineStr">
        <is>
          <t>35087e828a0053011a97024de693e2ee7eb80eb03024c91d28d254de09d93778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lol-tiered-elo-v4</t>
        </is>
      </c>
      <c r="BH4" s="24" t="inlineStr">
        <is>
          <t>2026-07-26T12:49:13.248928Z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3def3110a6224ef6</t>
        </is>
      </c>
      <c r="B5" s="24" t="inlineStr">
        <is>
          <t>2026-07-26T19:32:06.087195Z</t>
        </is>
      </c>
      <c r="C5" s="24" t="inlineStr">
        <is>
          <t>2026-07-26T20:00:00Z</t>
        </is>
      </c>
      <c r="D5" s="24" t="inlineStr">
        <is>
          <t>60465</t>
        </is>
      </c>
      <c r="E5" s="24" t="inlineStr">
        <is>
          <t>LOL</t>
        </is>
      </c>
      <c r="F5" s="24" t="inlineStr">
        <is>
          <t>Cloud9</t>
        </is>
      </c>
      <c r="G5" s="24" t="inlineStr">
        <is>
          <t>Team Liquid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-144</v>
      </c>
      <c r="M5" s="27" t="n">
        <v>1.694444</v>
      </c>
      <c r="N5" s="28" t="n">
        <v>0.590164</v>
      </c>
      <c r="O5" s="28" t="n">
        <v>0.723066</v>
      </c>
      <c r="P5" s="28" t="n"/>
      <c r="Q5" s="28" t="n">
        <v>0.132902</v>
      </c>
      <c r="R5" s="26" t="n">
        <v>86</v>
      </c>
      <c r="S5" s="29" t="n">
        <v>2</v>
      </c>
      <c r="T5" s="24" t="inlineStr">
        <is>
          <t>lol-tiered-elo-v4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0.5900 (market_slug=aec-lol-tl-c9-2026-07-26).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Cloud9</t>
        </is>
      </c>
      <c r="AQ5" s="24" t="inlineStr">
        <is>
          <t>Cloud9</t>
        </is>
      </c>
      <c r="AR5" s="24" t="inlineStr">
        <is>
          <t>Cloud9</t>
        </is>
      </c>
      <c r="AS5" s="24" t="inlineStr">
        <is>
          <t>Team Liquid</t>
        </is>
      </c>
      <c r="AT5" s="24" t="inlineStr">
        <is>
          <t>Team Liquid</t>
        </is>
      </c>
      <c r="AU5" s="24" t="inlineStr">
        <is>
          <t>Team Liquid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2026-07-26T19:31:54.450139Z</t>
        </is>
      </c>
      <c r="BI5" s="24" t="inlineStr">
        <is>
          <t>["same_event","same_team_same_day","same_league_same_day"]</t>
        </is>
      </c>
      <c r="BJ5" s="25" t="n"/>
      <c r="BK5" s="26" t="n">
        <v>-144</v>
      </c>
      <c r="BL5" s="27" t="n">
        <v>1.694444</v>
      </c>
      <c r="BM5" s="28" t="n">
        <v>0.590164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8b16335532f542a8</t>
        </is>
      </c>
      <c r="B6" s="24" t="inlineStr">
        <is>
          <t>2026-07-26T19:32:06.087195Z</t>
        </is>
      </c>
      <c r="C6" s="24" t="inlineStr">
        <is>
          <t>2026-07-27T06:00:00Z</t>
        </is>
      </c>
      <c r="D6" s="24" t="inlineStr">
        <is>
          <t>60701</t>
        </is>
      </c>
      <c r="E6" s="24" t="inlineStr">
        <is>
          <t>LOL</t>
        </is>
      </c>
      <c r="F6" s="24" t="inlineStr">
        <is>
          <t>Gen.G</t>
        </is>
      </c>
      <c r="G6" s="24" t="inlineStr">
        <is>
          <t>BNK FEARX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-113</v>
      </c>
      <c r="M6" s="27" t="n">
        <v>1.884956</v>
      </c>
      <c r="N6" s="28" t="n">
        <v>0.530516</v>
      </c>
      <c r="O6" s="28" t="n">
        <v>0.811601</v>
      </c>
      <c r="P6" s="28" t="n"/>
      <c r="Q6" s="28" t="n">
        <v>0.281085</v>
      </c>
      <c r="R6" s="26" t="n">
        <v>100</v>
      </c>
      <c r="S6" s="29" t="n">
        <v>2</v>
      </c>
      <c r="T6" s="24" t="inlineStr">
        <is>
          <t>lol-tiered-elo-v4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0.5300 (market_slug=aec-lol-bfx-gen-2026-07-27).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Gen.G</t>
        </is>
      </c>
      <c r="AQ6" s="24" t="inlineStr">
        <is>
          <t>Gen.G</t>
        </is>
      </c>
      <c r="AR6" s="24" t="inlineStr">
        <is>
          <t>Gen.G</t>
        </is>
      </c>
      <c r="AS6" s="24" t="inlineStr">
        <is>
          <t>BNK FEARX</t>
        </is>
      </c>
      <c r="AT6" s="24" t="inlineStr">
        <is>
          <t>BNK FEARX</t>
        </is>
      </c>
      <c r="AU6" s="24" t="inlineStr">
        <is>
          <t>BNK FEARX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35087e828a0053011a97024de693e2ee7eb80eb03024c91d28d254de09d93778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35087e828a0053011a97024de693e2ee7eb80eb03024c91d28d254de09d93778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2026-07-26T19:31:55.452705Z</t>
        </is>
      </c>
      <c r="BI6" s="24" t="inlineStr">
        <is>
          <t>["same_event","same_team_same_day","same_league_same_day"]</t>
        </is>
      </c>
      <c r="BJ6" s="25" t="n"/>
      <c r="BK6" s="26" t="n">
        <v>-113</v>
      </c>
      <c r="BL6" s="27" t="n">
        <v>1.884956</v>
      </c>
      <c r="BM6" s="28" t="n">
        <v>0.530516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06832d6818e94538</t>
        </is>
      </c>
      <c r="B7" s="24" t="inlineStr">
        <is>
          <t>2026-07-26T19:32:06.087195Z</t>
        </is>
      </c>
      <c r="C7" s="24" t="inlineStr">
        <is>
          <t>2026-07-27T07:30:00Z</t>
        </is>
      </c>
      <c r="D7" s="24" t="inlineStr">
        <is>
          <t>60707</t>
        </is>
      </c>
      <c r="E7" s="24" t="inlineStr">
        <is>
          <t>LOL</t>
        </is>
      </c>
      <c r="F7" s="24" t="inlineStr">
        <is>
          <t>Gen.G</t>
        </is>
      </c>
      <c r="G7" s="24" t="inlineStr">
        <is>
          <t>KT Rolster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122</v>
      </c>
      <c r="M7" s="27" t="n">
        <v>2.22</v>
      </c>
      <c r="N7" s="28" t="n">
        <v>0.45045</v>
      </c>
      <c r="O7" s="28" t="n">
        <v>0.7097250000000001</v>
      </c>
      <c r="P7" s="28" t="n"/>
      <c r="Q7" s="28" t="n">
        <v>0.259275</v>
      </c>
      <c r="R7" s="26" t="n">
        <v>100</v>
      </c>
      <c r="S7" s="29" t="n">
        <v>2</v>
      </c>
      <c r="T7" s="24" t="inlineStr">
        <is>
          <t>lol-tiered-elo-v4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0.4500 (market_slug=aec-lol-kt-gen-2026-07-27).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Gen.G</t>
        </is>
      </c>
      <c r="AQ7" s="24" t="inlineStr">
        <is>
          <t>Gen.G</t>
        </is>
      </c>
      <c r="AR7" s="24" t="inlineStr">
        <is>
          <t>Gen.G</t>
        </is>
      </c>
      <c r="AS7" s="24" t="inlineStr">
        <is>
          <t>KT Rolster</t>
        </is>
      </c>
      <c r="AT7" s="24" t="inlineStr">
        <is>
          <t>KT Rolster</t>
        </is>
      </c>
      <c r="AU7" s="24" t="inlineStr">
        <is>
          <t>KT Rolster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35087e828a0053011a97024de693e2ee7eb80eb03024c91d28d254de09d93778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35087e828a0053011a97024de693e2ee7eb80eb03024c91d28d254de09d93778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2026-07-26T19:31:56.520012Z</t>
        </is>
      </c>
      <c r="BI7" s="24" t="inlineStr">
        <is>
          <t>["same_event","same_team_same_day","same_league_same_day"]</t>
        </is>
      </c>
      <c r="BJ7" s="25" t="n"/>
      <c r="BK7" s="26" t="n">
        <v>122</v>
      </c>
      <c r="BL7" s="27" t="n">
        <v>2.22</v>
      </c>
      <c r="BM7" s="28" t="n">
        <v>0.45045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f49ca7ebd75d4884</t>
        </is>
      </c>
      <c r="B8" s="24" t="inlineStr">
        <is>
          <t>2026-07-26T19:32:06.087195Z</t>
        </is>
      </c>
      <c r="C8" s="24" t="inlineStr">
        <is>
          <t>2026-07-27T08:00:00Z</t>
        </is>
      </c>
      <c r="D8" s="24" t="inlineStr">
        <is>
          <t>60708</t>
        </is>
      </c>
      <c r="E8" s="24" t="inlineStr">
        <is>
          <t>LOL</t>
        </is>
      </c>
      <c r="F8" s="24" t="inlineStr">
        <is>
          <t>Nongshim Esports Academy</t>
        </is>
      </c>
      <c r="G8" s="24" t="inlineStr">
        <is>
          <t>T1 Academy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0.6818</v>
      </c>
      <c r="P8" s="28" t="n"/>
      <c r="Q8" s="28" t="n">
        <v>0.041512</v>
      </c>
      <c r="R8" s="26" t="n">
        <v>41</v>
      </c>
      <c r="S8" s="29" t="n">
        <v>2</v>
      </c>
      <c r="T8" s="24" t="inlineStr">
        <is>
          <t>lol-tiered-elo-v4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0.6400 (market_slug=aec-lol-t1a-nsea-2026-07-27).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Nongshim Esports Academy</t>
        </is>
      </c>
      <c r="AQ8" s="24" t="inlineStr">
        <is>
          <t>Nongshim Esports Academy</t>
        </is>
      </c>
      <c r="AR8" s="24" t="inlineStr">
        <is>
          <t>Nongshim Esports Academy</t>
        </is>
      </c>
      <c r="AS8" s="24" t="inlineStr">
        <is>
          <t>T1 Academy</t>
        </is>
      </c>
      <c r="AT8" s="24" t="inlineStr">
        <is>
          <t>T1 Academy</t>
        </is>
      </c>
      <c r="AU8" s="24" t="inlineStr">
        <is>
          <t>T1 Academy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35087e828a0053011a97024de693e2ee7eb80eb03024c91d28d254de09d93778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35087e828a0053011a97024de693e2ee7eb80eb03024c91d28d254de09d93778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2026-07-26T19:31:57.034856Z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da2d4db8bf6b4600</t>
        </is>
      </c>
      <c r="B9" s="24" t="inlineStr">
        <is>
          <t>2026-07-26T19:32:06.087195Z</t>
        </is>
      </c>
      <c r="C9" s="24" t="inlineStr">
        <is>
          <t>2026-07-27T09:00:00Z</t>
        </is>
      </c>
      <c r="D9" s="24" t="inlineStr">
        <is>
          <t>60716</t>
        </is>
      </c>
      <c r="E9" s="24" t="inlineStr">
        <is>
          <t>LOL</t>
        </is>
      </c>
      <c r="F9" s="24" t="inlineStr">
        <is>
          <t>Kiwoom DRX</t>
        </is>
      </c>
      <c r="G9" s="24" t="inlineStr">
        <is>
          <t>Hanwha Life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0.912307</v>
      </c>
      <c r="P9" s="28" t="n"/>
      <c r="Q9" s="28" t="n">
        <v>0.431538</v>
      </c>
      <c r="R9" s="26" t="n">
        <v>100</v>
      </c>
      <c r="S9" s="29" t="n">
        <v>2</v>
      </c>
      <c r="T9" s="24" t="inlineStr">
        <is>
          <t>lol-tiered-elo-v4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0.4800 (market_slug=aec-lol-hle-krx-2026-07-27).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Hanwha Life Esports</t>
        </is>
      </c>
      <c r="AT9" s="24" t="inlineStr">
        <is>
          <t>Hanwha Life Esports</t>
        </is>
      </c>
      <c r="AU9" s="24" t="inlineStr">
        <is>
          <t>Hanwha Life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35087e828a0053011a97024de693e2ee7eb80eb03024c91d28d254de09d93778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35087e828a0053011a97024de693e2ee7eb80eb03024c91d28d254de09d93778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2026-07-26T19:31:58.156214Z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f63fc550923c4b6c</t>
        </is>
      </c>
      <c r="B10" s="24" t="inlineStr">
        <is>
          <t>2026-07-26T19:32:06.087195Z</t>
        </is>
      </c>
      <c r="C10" s="24" t="inlineStr">
        <is>
          <t>2026-07-27T09:45:00Z</t>
        </is>
      </c>
      <c r="D10" s="24" t="inlineStr">
        <is>
          <t>60723</t>
        </is>
      </c>
      <c r="E10" s="24" t="inlineStr">
        <is>
          <t>LOL</t>
        </is>
      </c>
      <c r="F10" s="24" t="inlineStr">
        <is>
          <t>Nongshim Red Force</t>
        </is>
      </c>
      <c r="G10" s="24" t="inlineStr">
        <is>
          <t>T1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0.865659</v>
      </c>
      <c r="P10" s="28" t="n"/>
      <c r="Q10" s="28" t="n">
        <v>0.195692</v>
      </c>
      <c r="R10" s="26" t="n">
        <v>100</v>
      </c>
      <c r="S10" s="29" t="n">
        <v>2</v>
      </c>
      <c r="T10" s="24" t="inlineStr">
        <is>
          <t>lol-tiered-elo-v4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0.6700 (market_slug=aec-lol-t1-ns-2026-07-27).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Nongshim Red Force</t>
        </is>
      </c>
      <c r="AQ10" s="24" t="inlineStr">
        <is>
          <t>Nongshim Red Force</t>
        </is>
      </c>
      <c r="AR10" s="24" t="inlineStr">
        <is>
          <t>Nongshim Red Force</t>
        </is>
      </c>
      <c r="AS10" s="24" t="inlineStr">
        <is>
          <t>T1</t>
        </is>
      </c>
      <c r="AT10" s="24" t="inlineStr">
        <is>
          <t>T1</t>
        </is>
      </c>
      <c r="AU10" s="24" t="inlineStr">
        <is>
          <t>T1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35087e828a0053011a97024de693e2ee7eb80eb03024c91d28d254de09d93778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2026-07-26T19:31:58.672379Z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0cf0e32cf52c4a46</t>
        </is>
      </c>
      <c r="B11" s="24" t="inlineStr">
        <is>
          <t>2026-07-26T19:32:06.087195Z</t>
        </is>
      </c>
      <c r="C11" s="24" t="inlineStr">
        <is>
          <t>2026-07-27T10:30:00Z</t>
        </is>
      </c>
      <c r="D11" s="24" t="inlineStr">
        <is>
          <t>60725</t>
        </is>
      </c>
      <c r="E11" s="24" t="inlineStr">
        <is>
          <t>LOL</t>
        </is>
      </c>
      <c r="F11" s="24" t="inlineStr">
        <is>
          <t>Dplus KIA</t>
        </is>
      </c>
      <c r="G11" s="24" t="inlineStr">
        <is>
          <t>HANJIN BRION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194</v>
      </c>
      <c r="M11" s="27" t="n">
        <v>2.94</v>
      </c>
      <c r="N11" s="28" t="n">
        <v>0.340136</v>
      </c>
      <c r="O11" s="28" t="n">
        <v>0.803091</v>
      </c>
      <c r="P11" s="28" t="n"/>
      <c r="Q11" s="28" t="n">
        <v>0.462955</v>
      </c>
      <c r="R11" s="26" t="n">
        <v>100</v>
      </c>
      <c r="S11" s="29" t="n">
        <v>2</v>
      </c>
      <c r="T11" s="24" t="inlineStr">
        <is>
          <t>lol-tiered-elo-v4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0.3400 (market_slug=aec-lol-bro-dk-2026-07-27).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Dplus KIA</t>
        </is>
      </c>
      <c r="AQ11" s="24" t="inlineStr">
        <is>
          <t>Dplus KIA</t>
        </is>
      </c>
      <c r="AR11" s="24" t="inlineStr">
        <is>
          <t>Dplus KIA</t>
        </is>
      </c>
      <c r="AS11" s="24" t="inlineStr">
        <is>
          <t>HANJIN BRION</t>
        </is>
      </c>
      <c r="AT11" s="24" t="inlineStr">
        <is>
          <t>HANJIN BRION</t>
        </is>
      </c>
      <c r="AU11" s="24" t="inlineStr">
        <is>
          <t>HANJIN BRION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35087e828a0053011a97024de693e2ee7eb80eb03024c91d28d254de09d93778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35087e828a0053011a97024de693e2ee7eb80eb03024c91d28d254de09d93778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2026-07-26T19:31:59.671342Z</t>
        </is>
      </c>
      <c r="BI11" s="24" t="inlineStr">
        <is>
          <t>["same_event","same_team_same_day","same_league_same_day"]</t>
        </is>
      </c>
      <c r="BJ11" s="25" t="n"/>
      <c r="BK11" s="26" t="n">
        <v>194</v>
      </c>
      <c r="BL11" s="27" t="n">
        <v>2.94</v>
      </c>
      <c r="BM11" s="28" t="n">
        <v>0.340136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6d2e606bbff7465e</t>
        </is>
      </c>
      <c r="B12" s="24" t="inlineStr">
        <is>
          <t>2026-07-26T19:32:06.087195Z</t>
        </is>
      </c>
      <c r="C12" s="24" t="inlineStr">
        <is>
          <t>2026-07-27T21:00:00Z</t>
        </is>
      </c>
      <c r="D12" s="24" t="inlineStr">
        <is>
          <t>61044</t>
        </is>
      </c>
      <c r="E12" s="24" t="inlineStr">
        <is>
          <t>LOL</t>
        </is>
      </c>
      <c r="F12" s="24" t="inlineStr">
        <is>
          <t>Ei Nerd Esports</t>
        </is>
      </c>
      <c r="G12" s="24" t="inlineStr">
        <is>
          <t>paiN Gaming Academy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-233</v>
      </c>
      <c r="M12" s="27" t="n">
        <v>1.429185</v>
      </c>
      <c r="N12" s="28" t="n">
        <v>0.6997</v>
      </c>
      <c r="O12" s="28" t="n">
        <v>0.712884</v>
      </c>
      <c r="P12" s="28" t="n"/>
      <c r="Q12" s="28" t="n">
        <v>0.013184</v>
      </c>
      <c r="R12" s="26" t="n">
        <v>27</v>
      </c>
      <c r="S12" s="29" t="n">
        <v>2</v>
      </c>
      <c r="T12" s="24" t="inlineStr">
        <is>
          <t>lol-tiered-elo-v4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0.7000 (market_slug=aec-lol-pnga-nerd-2026-07-27).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Ei Nerd Esports</t>
        </is>
      </c>
      <c r="AQ12" s="24" t="inlineStr">
        <is>
          <t>Ei Nerd Esports</t>
        </is>
      </c>
      <c r="AR12" s="24" t="inlineStr">
        <is>
          <t>Ei Nerd Esports</t>
        </is>
      </c>
      <c r="AS12" s="24" t="inlineStr">
        <is>
          <t>paiN Gaming Academy</t>
        </is>
      </c>
      <c r="AT12" s="24" t="inlineStr">
        <is>
          <t>paiN Gaming Academy</t>
        </is>
      </c>
      <c r="AU12" s="24" t="inlineStr">
        <is>
          <t>paiN Gaming Academy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35087e828a0053011a97024de693e2ee7eb80eb03024c91d28d254de09d93778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35087e828a0053011a97024de693e2ee7eb80eb03024c91d28d254de09d93778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2026-07-26T19:32:03.641211Z</t>
        </is>
      </c>
      <c r="BI12" s="24" t="inlineStr">
        <is>
          <t>["same_event","same_team_same_day","same_league_same_day"]</t>
        </is>
      </c>
      <c r="BJ12" s="25" t="n"/>
      <c r="BK12" s="26" t="n">
        <v>-233</v>
      </c>
      <c r="BL12" s="27" t="n">
        <v>1.429185</v>
      </c>
      <c r="BM12" s="28" t="n">
        <v>0.6997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2026-07-26T19:32:08Z</dcterms:created>
  <dcterms:modified xsi:type="dcterms:W3CDTF">2026-07-26T19:32:08Z</dcterms:modified>
</cp:coreProperties>
</file>