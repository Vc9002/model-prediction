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0" headerRowCount="1">
  <autoFilter ref="A1:CO1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COUNTA('Picks'!$A$2:$A$10)</f>
        <v/>
      </c>
      <c r="C4" s="6">
        <f>COUNTIF('Picks'!$U$2:$U$10,"open")</f>
        <v/>
      </c>
      <c r="E4" s="6">
        <f>COUNTIF('Picks'!$U$2:$U$10,"settled")</f>
        <v/>
      </c>
      <c r="G4" s="6">
        <f>IF(COUNTIFS('Picks'!$U$2:$U$10,"settled",'Picks'!$V$2:$V$10,"win")+COUNTIFS('Picks'!$U$2:$U$10,"settled",'Picks'!$V$2:$V$10,"loss")&gt;=$L$2,"Ready","Insufficient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COUNTIF('Picks'!$BX$2:$BX$10,"&gt;0")</f>
        <v/>
      </c>
      <c r="C7" s="6">
        <f>COUNTIFS('Picks'!$BX$2:$BX$10,"&gt;0",'Picks'!$V$2:$V$10,"win")&amp;"-"&amp;COUNTIFS('Picks'!$BX$2:$BX$10,"&gt;0",'Picks'!$V$2:$V$10,"loss")</f>
        <v/>
      </c>
      <c r="E7" s="7">
        <f>IFERROR(COUNTIFS('Picks'!$BX$2:$BX$10,"&gt;0",'Picks'!$V$2:$V$10,"win")/(COUNTIFS('Picks'!$BX$2:$BX$10,"&gt;0",'Picks'!$V$2:$V$10,"win")+COUNTIFS('Picks'!$BX$2:$BX$10,"&gt;0",'Picks'!$V$2:$V$10,"loss")),0)</f>
        <v/>
      </c>
      <c r="G7" s="7">
        <f>IFERROR(SUM('Picks'!$BY$2:$BY$10)/SUM('Picks'!$BX$2:$BX$10),0)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SUM('Picks'!$BY$2:$BY$10)</f>
        <v/>
      </c>
      <c r="C10" s="9">
        <f>IFERROR(AVERAGEIF('Picks'!$AB$2:$AB$10,"&lt;&gt;",'Picks'!$AB$2:$AB$10),0)</f>
        <v/>
      </c>
      <c r="E10" s="6">
        <f>COUNTIFS('Picks'!$AM$2:$AM$10,"QUALIFIED_SHADOW_CALL",'Picks'!$U$2:$U$10,"settled")</f>
        <v/>
      </c>
      <c r="G10" s="8">
        <f>SUMIFS('Picks'!$AC$2:$AC$10,'Picks'!$AM$2:$AM$10,"QUALIFIED_SHADOW_CALL")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COUNTIFS('Picks'!$H$2:$H$10,$A14,'Picks'!$U$2:$U$10,"settled")</f>
        <v/>
      </c>
      <c r="C14" s="13">
        <f>COUNTIFS('Picks'!$H$2:$H$10,$A14,'Picks'!$U$2:$U$10,"settled",'Picks'!$V$2:$V$10,"win")</f>
        <v/>
      </c>
      <c r="D14" s="13">
        <f>COUNTIFS('Picks'!$H$2:$H$10,$A14,'Picks'!$U$2:$U$10,"settled",'Picks'!$V$2:$V$10,"loss")</f>
        <v/>
      </c>
      <c r="E14" s="14">
        <f>IFERROR(C14/(C14+D14),0)</f>
        <v/>
      </c>
      <c r="F14" s="15">
        <f>SUMIFS('Picks'!$BY$2:$BY$10,'Picks'!$H$2:$H$10,$A14)</f>
        <v/>
      </c>
      <c r="G14" s="16">
        <f>IFERROR(AVERAGEIFS('Picks'!$AB$2:$AB$10,'Picks'!$H$2:$H$10,$A14,'Picks'!$U$2:$U$10,"settled"),0)</f>
        <v/>
      </c>
    </row>
    <row r="15">
      <c r="A15" s="17" t="inlineStr">
        <is>
          <t>spread</t>
        </is>
      </c>
      <c r="B15" s="18">
        <f>COUNTIFS('Picks'!$H$2:$H$10,$A15,'Picks'!$U$2:$U$10,"settled")</f>
        <v/>
      </c>
      <c r="C15" s="18">
        <f>COUNTIFS('Picks'!$H$2:$H$10,$A15,'Picks'!$U$2:$U$10,"settled",'Picks'!$V$2:$V$10,"win")</f>
        <v/>
      </c>
      <c r="D15" s="18">
        <f>COUNTIFS('Picks'!$H$2:$H$10,$A15,'Picks'!$U$2:$U$10,"settled",'Picks'!$V$2:$V$10,"loss")</f>
        <v/>
      </c>
      <c r="E15" s="19">
        <f>IFERROR(C15/(C15+D15),0)</f>
        <v/>
      </c>
      <c r="F15" s="20">
        <f>SUMIFS('Picks'!$BY$2:$BY$10,'Picks'!$H$2:$H$10,$A15)</f>
        <v/>
      </c>
      <c r="G15" s="21">
        <f>IFERROR(AVERAGEIFS('Picks'!$AB$2:$AB$10,'Picks'!$H$2:$H$10,$A15,'Picks'!$U$2:$U$10,"settled"),0)</f>
        <v/>
      </c>
    </row>
    <row r="16">
      <c r="A16" s="12" t="inlineStr">
        <is>
          <t>total</t>
        </is>
      </c>
      <c r="B16" s="13">
        <f>COUNTIFS('Picks'!$H$2:$H$10,$A16,'Picks'!$U$2:$U$10,"settled")</f>
        <v/>
      </c>
      <c r="C16" s="13">
        <f>COUNTIFS('Picks'!$H$2:$H$10,$A16,'Picks'!$U$2:$U$10,"settled",'Picks'!$V$2:$V$10,"win")</f>
        <v/>
      </c>
      <c r="D16" s="13">
        <f>COUNTIFS('Picks'!$H$2:$H$10,$A16,'Picks'!$U$2:$U$10,"settled",'Picks'!$V$2:$V$10,"loss")</f>
        <v/>
      </c>
      <c r="E16" s="14">
        <f>IFERROR(C16/(C16+D16),0)</f>
        <v/>
      </c>
      <c r="F16" s="15">
        <f>SUMIFS('Picks'!$BY$2:$BY$10,'Picks'!$H$2:$H$10,$A16)</f>
        <v/>
      </c>
      <c r="G16" s="16">
        <f>IFERROR(AVERAGEIFS('Picks'!$AB$2:$AB$10,'Picks'!$H$2:$H$10,$A16,'Picks'!$U$2:$U$10,"settled"),0)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9160b273247447bc</t>
        </is>
      </c>
      <c r="B5" s="24" t="inlineStr">
        <is>
          <t>2026-08-02T07:15:56.246313Z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170</v>
      </c>
      <c r="M5" s="27" t="n">
        <v>2.7</v>
      </c>
      <c r="N5" s="28" t="n">
        <v>0.37037</v>
      </c>
      <c r="O5" s="28" t="n">
        <v>0.615811</v>
      </c>
      <c r="P5" s="28" t="n"/>
      <c r="Q5" s="28" t="n">
        <v>0.245441</v>
      </c>
      <c r="R5" s="26" t="n">
        <v>100</v>
      </c>
      <c r="S5" s="29" t="n">
        <v>1.5</v>
      </c>
      <c r="T5" s="24" t="inlineStr">
        <is>
          <t>lol-tiered-elo-v5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1be0e48907712ac09a6b1f5865795bcbf7b504588c657f88df3298ce2f194843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1be0e48907712ac09a6b1f5865795bcbf7b504588c657f88df3298ce2f194843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2026-08-02T07:15:42.166882Z</t>
        </is>
      </c>
      <c r="BI5" s="24" t="inlineStr">
        <is>
          <t>["same_event","same_team_same_day","same_league_same_day"]</t>
        </is>
      </c>
      <c r="BJ5" s="25" t="n"/>
      <c r="BK5" s="26" t="n">
        <v>170</v>
      </c>
      <c r="BL5" s="27" t="n">
        <v>2.7</v>
      </c>
      <c r="BM5" s="28" t="n">
        <v>0.37037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1b09ca0ab75446ec</t>
        </is>
      </c>
      <c r="B6" s="24" t="inlineStr">
        <is>
          <t>2026-08-02T07:15:56.246313Z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108</v>
      </c>
      <c r="M6" s="27" t="n">
        <v>2.08</v>
      </c>
      <c r="N6" s="28" t="n">
        <v>0.480769</v>
      </c>
      <c r="O6" s="28" t="n">
        <v>0.58589</v>
      </c>
      <c r="P6" s="28" t="n"/>
      <c r="Q6" s="28" t="n">
        <v>0.105121</v>
      </c>
      <c r="R6" s="26" t="n">
        <v>73</v>
      </c>
      <c r="S6" s="29" t="n">
        <v>1.25</v>
      </c>
      <c r="T6" s="24" t="inlineStr">
        <is>
          <t>lol-tiered-elo-v5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0.4800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1be0e48907712ac09a6b1f5865795bcbf7b504588c657f88df3298ce2f194843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1be0e48907712ac09a6b1f5865795bcbf7b504588c657f88df3298ce2f194843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2026-08-02T07:15:42.626245Z</t>
        </is>
      </c>
      <c r="BI6" s="24" t="inlineStr">
        <is>
          <t>["same_event","same_team_same_day","same_league_same_day"]</t>
        </is>
      </c>
      <c r="BJ6" s="25" t="n"/>
      <c r="BK6" s="26" t="n">
        <v>108</v>
      </c>
      <c r="BL6" s="27" t="n">
        <v>2.08</v>
      </c>
      <c r="BM6" s="28" t="n">
        <v>0.480769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eebad10014fd42d2</t>
        </is>
      </c>
      <c r="B7" s="24" t="inlineStr">
        <is>
          <t>2026-08-02T07:15:56.246313Z</t>
        </is>
      </c>
      <c r="C7" s="24" t="inlineStr">
        <is>
          <t>2026-08-03T08:00:00Z</t>
        </is>
      </c>
      <c r="D7" s="24" t="inlineStr">
        <is>
          <t>67491</t>
        </is>
      </c>
      <c r="E7" s="24" t="inlineStr">
        <is>
          <t>LOL</t>
        </is>
      </c>
      <c r="F7" s="24" t="inlineStr">
        <is>
          <t>Hanwha Life Esports</t>
        </is>
      </c>
      <c r="G7" s="24" t="inlineStr">
        <is>
          <t>Gen.G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0.5826210000000001</v>
      </c>
      <c r="P7" s="28" t="n"/>
      <c r="Q7" s="28" t="n">
        <v>0.011806</v>
      </c>
      <c r="R7" s="26" t="n">
        <v>26</v>
      </c>
      <c r="S7" s="29" t="n">
        <v>1.25</v>
      </c>
      <c r="T7" s="24" t="inlineStr">
        <is>
          <t>lol-tiered-elo-v5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0.5700 (market_slug=aec-lol-gen-hle-2026-08-03).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Hanwha Life Esports</t>
        </is>
      </c>
      <c r="AQ7" s="24" t="inlineStr">
        <is>
          <t>Hanwha Life Esports</t>
        </is>
      </c>
      <c r="AR7" s="24" t="inlineStr">
        <is>
          <t>Hanwha Life Esports</t>
        </is>
      </c>
      <c r="AS7" s="24" t="inlineStr">
        <is>
          <t>Gen.G</t>
        </is>
      </c>
      <c r="AT7" s="24" t="inlineStr">
        <is>
          <t>Gen.G</t>
        </is>
      </c>
      <c r="AU7" s="24" t="inlineStr">
        <is>
          <t>Gen.G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1be0e48907712ac09a6b1f5865795bcbf7b504588c657f88df3298ce2f194843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1be0e48907712ac09a6b1f5865795bcbf7b504588c657f88df3298ce2f194843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2026-08-02T07:15:48.091630Z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aebf5804a3614546</t>
        </is>
      </c>
      <c r="B8" s="24" t="inlineStr">
        <is>
          <t>2026-08-02T07:15:56.246313Z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0.70607</v>
      </c>
      <c r="P8" s="28" t="n"/>
      <c r="Q8" s="28" t="n">
        <v>0.015668</v>
      </c>
      <c r="R8" s="26" t="n">
        <v>28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1be0e48907712ac09a6b1f5865795bcbf7b504588c657f88df3298ce2f194843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1be0e48907712ac09a6b1f5865795bcbf7b504588c657f88df3298ce2f194843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2026-08-02T07:15:49.062474Z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6f2e0ec59be84d9c</t>
        </is>
      </c>
      <c r="B9" s="24" t="inlineStr">
        <is>
          <t>2026-08-02T07:15:56.246313Z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0.748974</v>
      </c>
      <c r="P9" s="28" t="n"/>
      <c r="Q9" s="28" t="n">
        <v>0.098624</v>
      </c>
      <c r="R9" s="26" t="n">
        <v>69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0.6500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1be0e48907712ac09a6b1f5865795bcbf7b504588c657f88df3298ce2f194843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1be0e48907712ac09a6b1f5865795bcbf7b504588c657f88df3298ce2f194843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2026-08-02T07:15:49.527302Z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58ae9b7128414e8a</t>
        </is>
      </c>
      <c r="B10" s="24" t="inlineStr">
        <is>
          <t>2026-08-02T07:15:56.246313Z</t>
        </is>
      </c>
      <c r="C10" s="24" t="inlineStr">
        <is>
          <t>2026-08-03T20:00:00Z</t>
        </is>
      </c>
      <c r="D10" s="24" t="inlineStr">
        <is>
          <t>67937</t>
        </is>
      </c>
      <c r="E10" s="24" t="inlineStr">
        <is>
          <t>LOL</t>
        </is>
      </c>
      <c r="F10" s="24" t="inlineStr">
        <is>
          <t>Docta Esports</t>
        </is>
      </c>
      <c r="G10" s="24" t="inlineStr">
        <is>
          <t>Volticons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0.650712</v>
      </c>
      <c r="P10" s="28" t="n"/>
      <c r="Q10" s="28" t="n">
        <v>0.060548</v>
      </c>
      <c r="R10" s="26" t="n">
        <v>50</v>
      </c>
      <c r="S10" s="29" t="n">
        <v>1.75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0.5900 (market_slug=aec-lol-vtc-doh-2026-08-03).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Docta Esports</t>
        </is>
      </c>
      <c r="AQ10" s="24" t="inlineStr">
        <is>
          <t>Docta Esports</t>
        </is>
      </c>
      <c r="AR10" s="24" t="inlineStr">
        <is>
          <t>Docta Esports</t>
        </is>
      </c>
      <c r="AS10" s="24" t="inlineStr">
        <is>
          <t>Volticons</t>
        </is>
      </c>
      <c r="AT10" s="24" t="inlineStr">
        <is>
          <t>Volticons</t>
        </is>
      </c>
      <c r="AU10" s="24" t="inlineStr">
        <is>
          <t>Volticons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1be0e48907712ac09a6b1f5865795bcbf7b504588c657f88df3298ce2f194843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1be0e48907712ac09a6b1f5865795bcbf7b504588c657f88df3298ce2f194843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2026-08-02T07:15:53.573864Z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2026-08-02T07:15:57Z</dcterms:created>
  <dcterms:modified xsi:type="dcterms:W3CDTF">2026-08-02T07:15:57Z</dcterms:modified>
</cp:coreProperties>
</file>