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11" headerRowCount="1">
  <autoFilter ref="A1:CP11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COUNTA('Picks'!$A$2:$A$11)</f>
        <v/>
      </c>
      <c r="C4" s="6">
        <f>COUNTIF('Picks'!$U$2:$U$11,"open")</f>
        <v/>
      </c>
      <c r="E4" s="6">
        <f>COUNTIF('Picks'!$U$2:$U$11,"settled")</f>
        <v/>
      </c>
      <c r="G4" s="6">
        <f>IF(COUNTIFS('Picks'!$U$2:$U$11,"settled",'Picks'!$V$2:$V$11,"win")+COUNTIFS('Picks'!$U$2:$U$11,"settled",'Picks'!$V$2:$V$11,"loss")&gt;=$L$2,"Ready","Insufficient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COUNTIF('Picks'!$BX$2:$BX$11,"&gt;0")</f>
        <v/>
      </c>
      <c r="C7" s="6">
        <f>COUNTIFS('Picks'!$BX$2:$BX$11,"&gt;0",'Picks'!$V$2:$V$11,"win")&amp;"-"&amp;COUNTIFS('Picks'!$BX$2:$BX$11,"&gt;0",'Picks'!$V$2:$V$11,"loss")</f>
        <v/>
      </c>
      <c r="E7" s="7">
        <f>IFERROR(COUNTIFS('Picks'!$BX$2:$BX$11,"&gt;0",'Picks'!$V$2:$V$11,"win")/(COUNTIFS('Picks'!$BX$2:$BX$11,"&gt;0",'Picks'!$V$2:$V$11,"win")+COUNTIFS('Picks'!$BX$2:$BX$11,"&gt;0",'Picks'!$V$2:$V$11,"loss")),0)</f>
        <v/>
      </c>
      <c r="G7" s="7">
        <f>IFERROR(SUM('Picks'!$BY$2:$BY$11)/SUM('Picks'!$BX$2:$BX$11),0)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SUM('Picks'!$BY$2:$BY$11)</f>
        <v/>
      </c>
      <c r="C10" s="9">
        <f>IFERROR(AVERAGEIF('Picks'!$AB$2:$AB$11,"&lt;&gt;",'Picks'!$AB$2:$AB$11),0)</f>
        <v/>
      </c>
      <c r="E10" s="6">
        <f>COUNTIFS('Picks'!$AM$2:$AM$11,"QUALIFIED_SHADOW_CALL",'Picks'!$U$2:$U$11,"settled")</f>
        <v/>
      </c>
      <c r="G10" s="8">
        <f>SUMIFS('Picks'!$AC$2:$AC$11,'Picks'!$AM$2:$AM$11,"QUALIFIED_SHADOW_CALL")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COUNTIFS('Picks'!$H$2:$H$11,$A14,'Picks'!$U$2:$U$11,"settled")</f>
        <v/>
      </c>
      <c r="C14" s="13">
        <f>COUNTIFS('Picks'!$H$2:$H$11,$A14,'Picks'!$U$2:$U$11,"settled",'Picks'!$V$2:$V$11,"win")</f>
        <v/>
      </c>
      <c r="D14" s="13">
        <f>COUNTIFS('Picks'!$H$2:$H$11,$A14,'Picks'!$U$2:$U$11,"settled",'Picks'!$V$2:$V$11,"loss")</f>
        <v/>
      </c>
      <c r="E14" s="14">
        <f>IFERROR(C14/(C14+D14),0)</f>
        <v/>
      </c>
      <c r="F14" s="15">
        <f>SUMIFS('Picks'!$BY$2:$BY$11,'Picks'!$H$2:$H$11,$A14)</f>
        <v/>
      </c>
      <c r="G14" s="16">
        <f>IFERROR(AVERAGEIFS('Picks'!$AB$2:$AB$11,'Picks'!$H$2:$H$11,$A14,'Picks'!$U$2:$U$11,"settled"),0)</f>
        <v/>
      </c>
    </row>
    <row r="15">
      <c r="A15" s="17" t="inlineStr">
        <is>
          <t>spread</t>
        </is>
      </c>
      <c r="B15" s="18">
        <f>COUNTIFS('Picks'!$H$2:$H$11,$A15,'Picks'!$U$2:$U$11,"settled")</f>
        <v/>
      </c>
      <c r="C15" s="18">
        <f>COUNTIFS('Picks'!$H$2:$H$11,$A15,'Picks'!$U$2:$U$11,"settled",'Picks'!$V$2:$V$11,"win")</f>
        <v/>
      </c>
      <c r="D15" s="18">
        <f>COUNTIFS('Picks'!$H$2:$H$11,$A15,'Picks'!$U$2:$U$11,"settled",'Picks'!$V$2:$V$11,"loss")</f>
        <v/>
      </c>
      <c r="E15" s="19">
        <f>IFERROR(C15/(C15+D15),0)</f>
        <v/>
      </c>
      <c r="F15" s="20">
        <f>SUMIFS('Picks'!$BY$2:$BY$11,'Picks'!$H$2:$H$11,$A15)</f>
        <v/>
      </c>
      <c r="G15" s="21">
        <f>IFERROR(AVERAGEIFS('Picks'!$AB$2:$AB$11,'Picks'!$H$2:$H$11,$A15,'Picks'!$U$2:$U$11,"settled"),0)</f>
        <v/>
      </c>
    </row>
    <row r="16">
      <c r="A16" s="12" t="inlineStr">
        <is>
          <t>total</t>
        </is>
      </c>
      <c r="B16" s="13">
        <f>COUNTIFS('Picks'!$H$2:$H$11,$A16,'Picks'!$U$2:$U$11,"settled")</f>
        <v/>
      </c>
      <c r="C16" s="13">
        <f>COUNTIFS('Picks'!$H$2:$H$11,$A16,'Picks'!$U$2:$U$11,"settled",'Picks'!$V$2:$V$11,"win")</f>
        <v/>
      </c>
      <c r="D16" s="13">
        <f>COUNTIFS('Picks'!$H$2:$H$11,$A16,'Picks'!$U$2:$U$11,"settled",'Picks'!$V$2:$V$11,"loss")</f>
        <v/>
      </c>
      <c r="E16" s="14">
        <f>IFERROR(C16/(C16+D16),0)</f>
        <v/>
      </c>
      <c r="F16" s="15">
        <f>SUMIFS('Picks'!$BY$2:$BY$11,'Picks'!$H$2:$H$11,$A16)</f>
        <v/>
      </c>
      <c r="G16" s="16">
        <f>IFERROR(AVERAGEIFS('Picks'!$AB$2:$AB$11,'Picks'!$H$2:$H$11,$A16,'Picks'!$U$2:$U$11,"settled"),0)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5c6e531064f34f1f</t>
        </is>
      </c>
      <c r="B5" s="24" t="inlineStr">
        <is>
          <t>2026-08-02T09:59:37.296167Z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0.614494</v>
      </c>
      <c r="P5" s="28" t="n"/>
      <c r="Q5" s="28" t="n">
        <v>0.14501</v>
      </c>
      <c r="R5" s="26" t="n">
        <v>93</v>
      </c>
      <c r="S5" s="29" t="n">
        <v>1.5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113</v>
      </c>
      <c r="AA5" s="28" t="n">
        <v>0.47</v>
      </c>
      <c r="AB5" s="28" t="n">
        <v>0.000516</v>
      </c>
      <c r="AC5" s="30" t="n">
        <v>1.695</v>
      </c>
      <c r="AD5" s="24" t="inlineStr">
        <is>
          <t>2026-08-02T11:45:33.659531Z</t>
        </is>
      </c>
      <c r="AE5" s="31" t="inlineStr">
        <is>
          <t>Neutral Elo baseline; executable ask 0.4700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872990f5864d469e34c183f4364739fd3897540762b962f4ec2e55405665b2e8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872990f5864d469e34c183f4364739fd3897540762b962f4ec2e55405665b2e8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2026-08-02T09:59:22.583724Z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>
        <v>2.13</v>
      </c>
      <c r="BR5" s="28" t="n">
        <v>0.47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cb4570603d6b43e3</t>
        </is>
      </c>
      <c r="B6" s="24" t="inlineStr">
        <is>
          <t>2026-08-02T09:59:37.296167Z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0.586093</v>
      </c>
      <c r="P6" s="28" t="n"/>
      <c r="Q6" s="28" t="n">
        <v>0.086093</v>
      </c>
      <c r="R6" s="26" t="n">
        <v>63</v>
      </c>
      <c r="S6" s="29" t="n">
        <v>1.25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100</v>
      </c>
      <c r="AA6" s="28" t="n">
        <v>0.5</v>
      </c>
      <c r="AB6" s="28" t="n">
        <v>0</v>
      </c>
      <c r="AC6" s="30" t="n">
        <v>-1.25</v>
      </c>
      <c r="AD6" s="24" t="inlineStr">
        <is>
          <t>2026-08-02T11:45:34.762056Z</t>
        </is>
      </c>
      <c r="AE6" s="31" t="inlineStr">
        <is>
          <t>Neutral Elo baseline; executable ask 0.5000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872990f5864d469e34c183f4364739fd3897540762b962f4ec2e55405665b2e8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872990f5864d469e34c183f4364739fd3897540762b962f4ec2e55405665b2e8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2026-08-02T09:59:23.587864Z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>
        <v>2</v>
      </c>
      <c r="BR6" s="28" t="n">
        <v>0.5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96a22c8745e44e42</t>
        </is>
      </c>
      <c r="B7" s="24" t="inlineStr">
        <is>
          <t>2026-08-02T15:51:19.985321Z</t>
        </is>
      </c>
      <c r="C7" s="24" t="inlineStr">
        <is>
          <t>2026-08-02T16:00:00Z</t>
        </is>
      </c>
      <c r="D7" s="24" t="inlineStr">
        <is>
          <t>66902</t>
        </is>
      </c>
      <c r="E7" s="24" t="inlineStr">
        <is>
          <t>LOL</t>
        </is>
      </c>
      <c r="F7" s="24" t="inlineStr">
        <is>
          <t>LOUD</t>
        </is>
      </c>
      <c r="G7" s="24" t="inlineStr">
        <is>
          <t>Fluxo W7M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0.558818</v>
      </c>
      <c r="P7" s="28" t="n"/>
      <c r="Q7" s="28" t="n">
        <v>0.019647</v>
      </c>
      <c r="R7" s="26" t="n">
        <v>30</v>
      </c>
      <c r="S7" s="29" t="n">
        <v>1</v>
      </c>
      <c r="T7" s="24" t="inlineStr">
        <is>
          <t>lol-tiered-elo-v5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0.5400 (market_slug=aec-lol-fxw7-lll-2026-08-02).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LOUD</t>
        </is>
      </c>
      <c r="AQ7" s="24" t="inlineStr">
        <is>
          <t>LOUD</t>
        </is>
      </c>
      <c r="AR7" s="24" t="inlineStr">
        <is>
          <t>LOUD</t>
        </is>
      </c>
      <c r="AS7" s="24" t="inlineStr">
        <is>
          <t>Fluxo W7M</t>
        </is>
      </c>
      <c r="AT7" s="24" t="inlineStr">
        <is>
          <t>Fluxo W7M</t>
        </is>
      </c>
      <c r="AU7" s="24" t="inlineStr">
        <is>
          <t>Fluxo W7M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4ef0b19fe97fa070abfaae40ffb41addfe8947e35583480b0b6feebe14b9f7ac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4ef0b19fe97fa070abfaae40ffb41addfe8947e35583480b0b6feebe14b9f7ac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2026-08-02T15:51:09.199778Z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inlineStr">
        <is>
          <t>True</t>
        </is>
      </c>
    </row>
    <row r="8" ht="36" customHeight="1">
      <c r="A8" s="24" t="inlineStr">
        <is>
          <t>b2cbb96eafaa44c8</t>
        </is>
      </c>
      <c r="B8" s="24" t="inlineStr">
        <is>
          <t>2026-08-02T15:51:19.985321Z</t>
        </is>
      </c>
      <c r="C8" s="24" t="inlineStr">
        <is>
          <t>2026-08-03T10:00:00Z</t>
        </is>
      </c>
      <c r="D8" s="24" t="inlineStr">
        <is>
          <t>67511</t>
        </is>
      </c>
      <c r="E8" s="24" t="inlineStr">
        <is>
          <t>LOL</t>
        </is>
      </c>
      <c r="F8" s="24" t="inlineStr">
        <is>
          <t>Dplus KIA Challengers</t>
        </is>
      </c>
      <c r="G8" s="24" t="inlineStr">
        <is>
          <t>DN SOOPers Challengers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-223</v>
      </c>
      <c r="M8" s="27" t="n">
        <v>1.44843</v>
      </c>
      <c r="N8" s="28" t="n">
        <v>0.690402</v>
      </c>
      <c r="O8" s="28" t="n">
        <v>0.703159</v>
      </c>
      <c r="P8" s="28" t="n"/>
      <c r="Q8" s="28" t="n">
        <v>0.012757</v>
      </c>
      <c r="R8" s="26" t="n">
        <v>26</v>
      </c>
      <c r="S8" s="29" t="n">
        <v>2</v>
      </c>
      <c r="T8" s="24" t="inlineStr">
        <is>
          <t>lol-tiered-elo-v5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0.6900 (market_slug=aec-lol-dnsc-dkc-2026-08-03).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Dplus KIA Challengers</t>
        </is>
      </c>
      <c r="AQ8" s="24" t="inlineStr">
        <is>
          <t>Dplus KIA Challengers</t>
        </is>
      </c>
      <c r="AR8" s="24" t="inlineStr">
        <is>
          <t>Dplus KIA Challengers</t>
        </is>
      </c>
      <c r="AS8" s="24" t="inlineStr">
        <is>
          <t>DN SOOPers Challengers</t>
        </is>
      </c>
      <c r="AT8" s="24" t="inlineStr">
        <is>
          <t>DN SOOPers Challengers</t>
        </is>
      </c>
      <c r="AU8" s="24" t="inlineStr">
        <is>
          <t>DN SOOPers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4ef0b19fe97fa070abfaae40ffb41addfe8947e35583480b0b6feebe14b9f7ac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4ef0b19fe97fa070abfaae40ffb41addfe8947e35583480b0b6feebe14b9f7ac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2026-08-02T15:51:12.813283Z</t>
        </is>
      </c>
      <c r="BI8" s="24" t="inlineStr">
        <is>
          <t>["same_event","same_team_same_day","same_league_same_day"]</t>
        </is>
      </c>
      <c r="BJ8" s="25" t="n"/>
      <c r="BK8" s="26" t="n">
        <v>-223</v>
      </c>
      <c r="BL8" s="27" t="n">
        <v>1.44843</v>
      </c>
      <c r="BM8" s="28" t="n">
        <v>0.690402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inlineStr">
        <is>
          <t>True</t>
        </is>
      </c>
    </row>
    <row r="9" ht="36" customHeight="1">
      <c r="A9" s="24" t="inlineStr">
        <is>
          <t>151bbe4e59ab473a</t>
        </is>
      </c>
      <c r="B9" s="24" t="inlineStr">
        <is>
          <t>2026-08-02T15:51:19.985321Z</t>
        </is>
      </c>
      <c r="C9" s="24" t="inlineStr">
        <is>
          <t>2026-08-03T10:30:00Z</t>
        </is>
      </c>
      <c r="D9" s="24" t="inlineStr">
        <is>
          <t>67515</t>
        </is>
      </c>
      <c r="E9" s="24" t="inlineStr">
        <is>
          <t>LOL</t>
        </is>
      </c>
      <c r="F9" s="24" t="inlineStr">
        <is>
          <t>T1</t>
        </is>
      </c>
      <c r="G9" s="24" t="inlineStr">
        <is>
          <t>Nongshim Red Force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-163</v>
      </c>
      <c r="M9" s="27" t="n">
        <v>1.613497</v>
      </c>
      <c r="N9" s="28" t="n">
        <v>0.619772</v>
      </c>
      <c r="O9" s="28" t="n">
        <v>0.746312</v>
      </c>
      <c r="P9" s="28" t="n"/>
      <c r="Q9" s="28" t="n">
        <v>0.12654</v>
      </c>
      <c r="R9" s="26" t="n">
        <v>83</v>
      </c>
      <c r="S9" s="29" t="n">
        <v>2</v>
      </c>
      <c r="T9" s="24" t="inlineStr">
        <is>
          <t>lol-tiered-elo-v5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0.6200 (market_slug=aec-lol-ns-t1-2026-08-03).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T1</t>
        </is>
      </c>
      <c r="AQ9" s="24" t="inlineStr">
        <is>
          <t>T1</t>
        </is>
      </c>
      <c r="AR9" s="24" t="inlineStr">
        <is>
          <t>T1</t>
        </is>
      </c>
      <c r="AS9" s="24" t="inlineStr">
        <is>
          <t>Nongshim Red Force</t>
        </is>
      </c>
      <c r="AT9" s="24" t="inlineStr">
        <is>
          <t>Nongshim Red Force</t>
        </is>
      </c>
      <c r="AU9" s="24" t="inlineStr">
        <is>
          <t>Nongshim Red Force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4ef0b19fe97fa070abfaae40ffb41addfe8947e35583480b0b6feebe14b9f7ac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4ef0b19fe97fa070abfaae40ffb41addfe8947e35583480b0b6feebe14b9f7ac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2026-08-02T15:51:13.406755Z</t>
        </is>
      </c>
      <c r="BI9" s="24" t="inlineStr">
        <is>
          <t>["same_event","same_team_same_day","same_league_same_day"]</t>
        </is>
      </c>
      <c r="BJ9" s="25" t="n"/>
      <c r="BK9" s="26" t="n">
        <v>-163</v>
      </c>
      <c r="BL9" s="27" t="n">
        <v>1.613497</v>
      </c>
      <c r="BM9" s="28" t="n">
        <v>0.619772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inlineStr">
        <is>
          <t>True</t>
        </is>
      </c>
    </row>
    <row r="10" ht="36" customHeight="1">
      <c r="A10" s="24" t="inlineStr">
        <is>
          <t>2422ba6f5077473b</t>
        </is>
      </c>
      <c r="B10" s="24" t="inlineStr">
        <is>
          <t>2026-08-02T15:51:19.985321Z</t>
        </is>
      </c>
      <c r="C10" s="24" t="inlineStr">
        <is>
          <t>2026-08-03T15:00:00Z</t>
        </is>
      </c>
      <c r="D10" s="24" t="inlineStr">
        <is>
          <t>67566</t>
        </is>
      </c>
      <c r="E10" s="24" t="inlineStr">
        <is>
          <t>LOL</t>
        </is>
      </c>
      <c r="F10" s="24" t="inlineStr">
        <is>
          <t>Shifters</t>
        </is>
      </c>
      <c r="G10" s="24" t="inlineStr">
        <is>
          <t>Natus Vincere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-233</v>
      </c>
      <c r="M10" s="27" t="n">
        <v>1.429185</v>
      </c>
      <c r="N10" s="28" t="n">
        <v>0.6997</v>
      </c>
      <c r="O10" s="28" t="n">
        <v>0.74664</v>
      </c>
      <c r="P10" s="28" t="n"/>
      <c r="Q10" s="28" t="n">
        <v>0.04694</v>
      </c>
      <c r="R10" s="26" t="n">
        <v>43</v>
      </c>
      <c r="S10" s="29" t="n">
        <v>2</v>
      </c>
      <c r="T10" s="24" t="inlineStr">
        <is>
          <t>lol-tiered-elo-v5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0.7000 (market_slug=aec-lol-navi-shft-2026-08-03).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Shifters</t>
        </is>
      </c>
      <c r="AQ10" s="24" t="inlineStr">
        <is>
          <t>Shifters</t>
        </is>
      </c>
      <c r="AR10" s="24" t="inlineStr">
        <is>
          <t>Shifters</t>
        </is>
      </c>
      <c r="AS10" s="24" t="inlineStr">
        <is>
          <t>Natus Vincere</t>
        </is>
      </c>
      <c r="AT10" s="24" t="inlineStr">
        <is>
          <t>Natus Vincere</t>
        </is>
      </c>
      <c r="AU10" s="24" t="inlineStr">
        <is>
          <t>Natus Vincere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4ef0b19fe97fa070abfaae40ffb41addfe8947e35583480b0b6feebe14b9f7ac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4ef0b19fe97fa070abfaae40ffb41addfe8947e35583480b0b6feebe14b9f7ac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2026-08-02T15:51:13.923521Z</t>
        </is>
      </c>
      <c r="BI10" s="24" t="inlineStr">
        <is>
          <t>["same_event","same_team_same_day","same_league_same_day"]</t>
        </is>
      </c>
      <c r="BJ10" s="25" t="n"/>
      <c r="BK10" s="26" t="n">
        <v>-233</v>
      </c>
      <c r="BL10" s="27" t="n">
        <v>1.429185</v>
      </c>
      <c r="BM10" s="28" t="n">
        <v>0.6997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inlineStr">
        <is>
          <t>True</t>
        </is>
      </c>
    </row>
    <row r="11" ht="36" customHeight="1">
      <c r="A11" s="24" t="inlineStr">
        <is>
          <t>3d38a4f365a94293</t>
        </is>
      </c>
      <c r="B11" s="24" t="inlineStr">
        <is>
          <t>2026-08-02T15:51:19.985321Z</t>
        </is>
      </c>
      <c r="C11" s="24" t="inlineStr">
        <is>
          <t>2026-08-03T20:00:00Z</t>
        </is>
      </c>
      <c r="D11" s="24" t="inlineStr">
        <is>
          <t>67937</t>
        </is>
      </c>
      <c r="E11" s="24" t="inlineStr">
        <is>
          <t>LOL</t>
        </is>
      </c>
      <c r="F11" s="24" t="inlineStr">
        <is>
          <t>Docta Esports</t>
        </is>
      </c>
      <c r="G11" s="24" t="inlineStr">
        <is>
          <t>Volticons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-144</v>
      </c>
      <c r="M11" s="27" t="n">
        <v>1.694444</v>
      </c>
      <c r="N11" s="28" t="n">
        <v>0.590164</v>
      </c>
      <c r="O11" s="28" t="n">
        <v>0.649674</v>
      </c>
      <c r="P11" s="28" t="n"/>
      <c r="Q11" s="28" t="n">
        <v>0.05951</v>
      </c>
      <c r="R11" s="26" t="n">
        <v>50</v>
      </c>
      <c r="S11" s="29" t="n">
        <v>1.75</v>
      </c>
      <c r="T11" s="24" t="inlineStr">
        <is>
          <t>lol-tiered-elo-v5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0.5900 (market_slug=aec-lol-vtc-doh-2026-08-03).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Docta Esports</t>
        </is>
      </c>
      <c r="AQ11" s="24" t="inlineStr">
        <is>
          <t>Docta Esports</t>
        </is>
      </c>
      <c r="AR11" s="24" t="inlineStr">
        <is>
          <t>Docta Esports</t>
        </is>
      </c>
      <c r="AS11" s="24" t="inlineStr">
        <is>
          <t>Volticons</t>
        </is>
      </c>
      <c r="AT11" s="24" t="inlineStr">
        <is>
          <t>Volticons</t>
        </is>
      </c>
      <c r="AU11" s="24" t="inlineStr">
        <is>
          <t>Volticons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4ef0b19fe97fa070abfaae40ffb41addfe8947e35583480b0b6feebe14b9f7ac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4ef0b19fe97fa070abfaae40ffb41addfe8947e35583480b0b6feebe14b9f7ac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2026-08-02T15:51:17.539022Z</t>
        </is>
      </c>
      <c r="BI11" s="24" t="inlineStr">
        <is>
          <t>["same_event","same_team_same_day","same_league_same_day"]</t>
        </is>
      </c>
      <c r="BJ11" s="25" t="n"/>
      <c r="BK11" s="26" t="n">
        <v>-144</v>
      </c>
      <c r="BL11" s="27" t="n">
        <v>1.694444</v>
      </c>
      <c r="BM11" s="28" t="n">
        <v>0.590164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2026-08-02T15:51:21Z</dcterms:created>
  <dcterms:modified xsi:type="dcterms:W3CDTF">2026-08-02T15:51:21Z</dcterms:modified>
</cp:coreProperties>
</file>