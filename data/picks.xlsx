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39" headerRowCount="1">
  <autoFilter ref="A1:CA39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COUNTA('Picks'!$A$2:$A$39)</f>
        <v/>
      </c>
      <c r="C4" s="6">
        <f>COUNTIF('Picks'!$U$2:$U$39,"open")</f>
        <v/>
      </c>
      <c r="E4" s="6">
        <f>COUNTIF('Picks'!$U$2:$U$39,"settled")</f>
        <v/>
      </c>
      <c r="G4" s="6">
        <f>IF(COUNTIFS('Picks'!$U$2:$U$39,"settled",'Picks'!$V$2:$V$39,"win")+COUNTIFS('Picks'!$U$2:$U$39,"settled",'Picks'!$V$2:$V$39,"loss")&gt;=$L$2,"Ready","Insufficient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COUNTIF('Picks'!$BX$2:$BX$39,"&gt;0")</f>
        <v/>
      </c>
      <c r="C7" s="6">
        <f>COUNTIFS('Picks'!$BX$2:$BX$39,"&gt;0",'Picks'!$V$2:$V$39,"win")&amp;"-"&amp;COUNTIFS('Picks'!$BX$2:$BX$39,"&gt;0",'Picks'!$V$2:$V$39,"loss")</f>
        <v/>
      </c>
      <c r="E7" s="7">
        <f>IFERROR(COUNTIFS('Picks'!$BX$2:$BX$39,"&gt;0",'Picks'!$V$2:$V$39,"win")/(COUNTIFS('Picks'!$BX$2:$BX$39,"&gt;0",'Picks'!$V$2:$V$39,"win")+COUNTIFS('Picks'!$BX$2:$BX$39,"&gt;0",'Picks'!$V$2:$V$39,"loss")),0)</f>
        <v/>
      </c>
      <c r="G7" s="7">
        <f>IFERROR(SUM('Picks'!$BY$2:$BY$39)/SUM('Picks'!$BX$2:$BX$39),0)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SUM('Picks'!$BY$2:$BY$39)</f>
        <v/>
      </c>
      <c r="C10" s="9">
        <f>IFERROR(AVERAGEIF('Picks'!$AB$2:$AB$39,"&lt;&gt;",'Picks'!$AB$2:$AB$39),0)</f>
        <v/>
      </c>
      <c r="E10" s="6">
        <f>COUNTIFS('Picks'!$AM$2:$AM$39,"QUALIFIED_SHADOW_CALL",'Picks'!$U$2:$U$39,"settled")</f>
        <v/>
      </c>
      <c r="G10" s="8">
        <f>SUMIFS('Picks'!$AC$2:$AC$39,'Picks'!$AM$2:$AM$39,"QUALIFIED_SHADOW_CALL")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COUNTIFS('Picks'!$H$2:$H$39,$A14,'Picks'!$U$2:$U$39,"settled")</f>
        <v/>
      </c>
      <c r="C14" s="13">
        <f>COUNTIFS('Picks'!$H$2:$H$39,$A14,'Picks'!$U$2:$U$39,"settled",'Picks'!$V$2:$V$39,"win")</f>
        <v/>
      </c>
      <c r="D14" s="13">
        <f>COUNTIFS('Picks'!$H$2:$H$39,$A14,'Picks'!$U$2:$U$39,"settled",'Picks'!$V$2:$V$39,"loss")</f>
        <v/>
      </c>
      <c r="E14" s="14">
        <f>IFERROR(C14/(C14+D14),0)</f>
        <v/>
      </c>
      <c r="F14" s="15">
        <f>SUMIFS('Picks'!$BY$2:$BY$39,'Picks'!$H$2:$H$39,$A14)</f>
        <v/>
      </c>
      <c r="G14" s="16">
        <f>IFERROR(AVERAGEIFS('Picks'!$AB$2:$AB$39,'Picks'!$H$2:$H$39,$A14,'Picks'!$U$2:$U$39,"settled"),0)</f>
        <v/>
      </c>
    </row>
    <row r="15">
      <c r="A15" s="17" t="inlineStr">
        <is>
          <t>spread</t>
        </is>
      </c>
      <c r="B15" s="18">
        <f>COUNTIFS('Picks'!$H$2:$H$39,$A15,'Picks'!$U$2:$U$39,"settled")</f>
        <v/>
      </c>
      <c r="C15" s="18">
        <f>COUNTIFS('Picks'!$H$2:$H$39,$A15,'Picks'!$U$2:$U$39,"settled",'Picks'!$V$2:$V$39,"win")</f>
        <v/>
      </c>
      <c r="D15" s="18">
        <f>COUNTIFS('Picks'!$H$2:$H$39,$A15,'Picks'!$U$2:$U$39,"settled",'Picks'!$V$2:$V$39,"loss")</f>
        <v/>
      </c>
      <c r="E15" s="19">
        <f>IFERROR(C15/(C15+D15),0)</f>
        <v/>
      </c>
      <c r="F15" s="20">
        <f>SUMIFS('Picks'!$BY$2:$BY$39,'Picks'!$H$2:$H$39,$A15)</f>
        <v/>
      </c>
      <c r="G15" s="21">
        <f>IFERROR(AVERAGEIFS('Picks'!$AB$2:$AB$39,'Picks'!$H$2:$H$39,$A15,'Picks'!$U$2:$U$39,"settled"),0)</f>
        <v/>
      </c>
    </row>
    <row r="16">
      <c r="A16" s="12" t="inlineStr">
        <is>
          <t>total</t>
        </is>
      </c>
      <c r="B16" s="13">
        <f>COUNTIFS('Picks'!$H$2:$H$39,$A16,'Picks'!$U$2:$U$39,"settled")</f>
        <v/>
      </c>
      <c r="C16" s="13">
        <f>COUNTIFS('Picks'!$H$2:$H$39,$A16,'Picks'!$U$2:$U$39,"settled",'Picks'!$V$2:$V$39,"win")</f>
        <v/>
      </c>
      <c r="D16" s="13">
        <f>COUNTIFS('Picks'!$H$2:$H$39,$A16,'Picks'!$U$2:$U$39,"settled",'Picks'!$V$2:$V$39,"loss")</f>
        <v/>
      </c>
      <c r="E16" s="14">
        <f>IFERROR(C16/(C16+D16),0)</f>
        <v/>
      </c>
      <c r="F16" s="15">
        <f>SUMIFS('Picks'!$BY$2:$BY$39,'Picks'!$H$2:$H$39,$A16)</f>
        <v/>
      </c>
      <c r="G16" s="16">
        <f>IFERROR(AVERAGEIFS('Picks'!$AB$2:$AB$39,'Picks'!$H$2:$H$39,$A16,'Picks'!$U$2:$U$39,"settled"),0)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25" t="n"/>
      <c r="Z2" s="26" t="n"/>
      <c r="AA2" s="28" t="n"/>
      <c r="AB2" s="28" t="n"/>
      <c r="AC2" s="3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>
        <v>0.455446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69</v>
      </c>
      <c r="S3" s="29" t="n">
        <v>1.5</v>
      </c>
      <c r="T3" s="24" t="inlineStr">
        <is>
          <t>mlb-elo-trend-lr-v3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25" t="n"/>
      <c r="Z3" s="26" t="n"/>
      <c r="AA3" s="28" t="n"/>
      <c r="AB3" s="28" t="n"/>
      <c r="AC3" s="3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117c03794b1d1031deec3bd4cce88c9158bebd0622c621defd0aab3eb37c0a6e</t>
        </is>
      </c>
      <c r="BB3" s="24" t="inlineStr">
        <is>
          <t>learned_lr</t>
        </is>
      </c>
      <c r="BC3" s="24" t="inlineStr">
        <is>
          <t>mlb-elo-trend-lr-v3</t>
        </is>
      </c>
      <c r="BD3" s="24" t="inlineStr">
        <is>
          <t>117c03794b1d1031deec3bd4cce88c9158bebd0622c621defd0aab3eb37c0a6e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-102</v>
      </c>
      <c r="M4" s="27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75</v>
      </c>
      <c r="S4" s="29" t="n">
        <v>1</v>
      </c>
      <c r="T4" s="24" t="inlineStr">
        <is>
          <t>mlb-elo-trend-lr-v3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c97732889cfca1912f8d78791ff63f04ee3fe987951aced9e4fab541932597cd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c97732889cfca1912f8d78791ff63f04ee3fe987951aced9e4fab541932597cd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25" t="n"/>
      <c r="BK4" s="26" t="n">
        <v>-102</v>
      </c>
      <c r="BL4" s="27" t="n">
        <v>1.980392</v>
      </c>
      <c r="BM4" s="28" t="n">
        <v>0.50495</v>
      </c>
      <c r="BN4" s="28" t="n">
        <v>0.502488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-133</v>
      </c>
      <c r="M5" s="27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69</v>
      </c>
      <c r="S5" s="29" t="n">
        <v>1.5</v>
      </c>
      <c r="T5" s="24" t="inlineStr">
        <is>
          <t>mlb-elo-trend-lr-v3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c97732889cfca1912f8d78791ff63f04ee3fe987951aced9e4fab541932597cd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c97732889cfca1912f8d78791ff63f04ee3fe987951aced9e4fab541932597cd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25" t="n"/>
      <c r="BK5" s="26" t="n">
        <v>-133</v>
      </c>
      <c r="BL5" s="27" t="n">
        <v>1.75188</v>
      </c>
      <c r="BM5" s="28" t="n">
        <v>0.570815</v>
      </c>
      <c r="BN5" s="28" t="n">
        <v>0.567164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83</v>
      </c>
      <c r="S6" s="29" t="n">
        <v>1.25</v>
      </c>
      <c r="T6" s="24" t="inlineStr">
        <is>
          <t>mlb-elo-trend-lr-v3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c97732889cfca1912f8d78791ff63f04ee3fe987951aced9e4fab541932597cd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c97732889cfca1912f8d78791ff63f04ee3fe987951aced9e4fab541932597cd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>
        <v>0.507463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86</v>
      </c>
      <c r="S7" s="29" t="n">
        <v>1.25</v>
      </c>
      <c r="T7" s="24" t="inlineStr">
        <is>
          <t>mlb-elo-trend-lr-v3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25" t="n"/>
      <c r="Z7" s="26" t="n"/>
      <c r="AA7" s="28" t="n"/>
      <c r="AB7" s="28" t="n"/>
      <c r="AC7" s="3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c97732889cfca1912f8d78791ff63f04ee3fe987951aced9e4fab541932597cd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c97732889cfca1912f8d78791ff63f04ee3fe987951aced9e4fab541932597cd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-106</v>
      </c>
      <c r="M8" s="27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68</v>
      </c>
      <c r="S8" s="29" t="n">
        <v>1</v>
      </c>
      <c r="T8" s="24" t="inlineStr">
        <is>
          <t>mlb-elo-trend-lr-v3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25" t="n"/>
      <c r="Z8" s="26" t="n"/>
      <c r="AA8" s="28" t="n"/>
      <c r="AB8" s="28" t="n"/>
      <c r="AC8" s="3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c97732889cfca1912f8d78791ff63f04ee3fe987951aced9e4fab541932597cd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c97732889cfca1912f8d78791ff63f04ee3fe987951aced9e4fab541932597cd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25" t="n"/>
      <c r="BK8" s="26" t="n">
        <v>-106</v>
      </c>
      <c r="BL8" s="27" t="n">
        <v>1.943396</v>
      </c>
      <c r="BM8" s="28" t="n">
        <v>0.514563</v>
      </c>
      <c r="BN8" s="28" t="n">
        <v>0.5124379999999999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75</v>
      </c>
      <c r="S9" s="29" t="n">
        <v>1</v>
      </c>
      <c r="T9" s="24" t="inlineStr">
        <is>
          <t>mlb-elo-trend-lr-v3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c97732889cfca1912f8d78791ff63f04ee3fe987951aced9e4fab541932597cd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c97732889cfca1912f8d78791ff63f04ee3fe987951aced9e4fab541932597cd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25" t="n"/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74</v>
      </c>
      <c r="S10" s="29" t="n">
        <v>1.75</v>
      </c>
      <c r="T10" s="24" t="inlineStr">
        <is>
          <t>mlb-elo-trend-lr-v3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25" t="n"/>
      <c r="Z10" s="26" t="n"/>
      <c r="AA10" s="28" t="n"/>
      <c r="AB10" s="28" t="n"/>
      <c r="AC10" s="3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c97732889cfca1912f8d78791ff63f04ee3fe987951aced9e4fab541932597cd</t>
        </is>
      </c>
      <c r="BB10" s="24" t="inlineStr">
        <is>
          <t>learned_lr</t>
        </is>
      </c>
      <c r="BC10" s="24" t="inlineStr">
        <is>
          <t>mlb-elo-trend-lr-v3</t>
        </is>
      </c>
      <c r="BD10" s="24" t="inlineStr">
        <is>
          <t>c97732889cfca1912f8d78791ff63f04ee3fe987951aced9e4fab541932597cd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>
        <v>0.577114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102</v>
      </c>
      <c r="M11" s="27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87</v>
      </c>
      <c r="S11" s="29" t="n">
        <v>1.25</v>
      </c>
      <c r="T11" s="24" t="inlineStr">
        <is>
          <t>mlb-elo-trend-lr-v3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25" t="n"/>
      <c r="Z11" s="26" t="n"/>
      <c r="AA11" s="28" t="n"/>
      <c r="AB11" s="28" t="n"/>
      <c r="AC11" s="3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c97732889cfca1912f8d78791ff63f04ee3fe987951aced9e4fab541932597cd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c97732889cfca1912f8d78791ff63f04ee3fe987951aced9e4fab541932597cd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25" t="n"/>
      <c r="BK11" s="26" t="n">
        <v>102</v>
      </c>
      <c r="BL11" s="27" t="n">
        <v>2.02</v>
      </c>
      <c r="BM11" s="28" t="n">
        <v>0.49505</v>
      </c>
      <c r="BN11" s="28" t="n">
        <v>0.492537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-102</v>
      </c>
      <c r="M12" s="27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70</v>
      </c>
      <c r="S12" s="29" t="n">
        <v>1</v>
      </c>
      <c r="T12" s="24" t="inlineStr">
        <is>
          <t>mlb-elo-trend-lr-v3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40e5d70a6fae1347ad85569354088d9df4f2d6970f7d7c2f9d4924d65efd0c19</t>
        </is>
      </c>
      <c r="BB12" s="24" t="inlineStr">
        <is>
          <t>learned_lr</t>
        </is>
      </c>
      <c r="BC12" s="24" t="inlineStr">
        <is>
          <t>mlb-elo-trend-lr-v3</t>
        </is>
      </c>
      <c r="BD12" s="24" t="inlineStr">
        <is>
          <t>40e5d70a6fae1347ad85569354088d9df4f2d6970f7d7c2f9d4924d65efd0c19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25" t="n"/>
      <c r="BK12" s="26" t="n">
        <v>-102</v>
      </c>
      <c r="BL12" s="27" t="n">
        <v>1.980392</v>
      </c>
      <c r="BM12" s="28" t="n">
        <v>0.50495</v>
      </c>
      <c r="BN12" s="28" t="n">
        <v>0.502488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-102</v>
      </c>
      <c r="M13" s="27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84</v>
      </c>
      <c r="S13" s="29" t="n">
        <v>1.25</v>
      </c>
      <c r="T13" s="24" t="inlineStr">
        <is>
          <t>mlb-elo-trend-lr-v3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25" t="n"/>
      <c r="Z13" s="26" t="n"/>
      <c r="AA13" s="28" t="n"/>
      <c r="AB13" s="28" t="n"/>
      <c r="AC13" s="3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21de40f664c548e677d8ffc04521004b3df55963718b1d039537d56f08b84fb1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21de40f664c548e677d8ffc04521004b3df55963718b1d039537d56f08b84fb1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25" t="n"/>
      <c r="BK13" s="26" t="n">
        <v>-102</v>
      </c>
      <c r="BL13" s="27" t="n">
        <v>1.980392</v>
      </c>
      <c r="BM13" s="28" t="n">
        <v>0.50495</v>
      </c>
      <c r="BN13" s="28" t="n">
        <v>0.502488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60</v>
      </c>
      <c r="S14" s="29" t="n">
        <v>0.75</v>
      </c>
      <c r="T14" s="24" t="inlineStr">
        <is>
          <t>mlb-elo-trend-lr-v3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25" t="n"/>
      <c r="Z14" s="26" t="n"/>
      <c r="AA14" s="28" t="n"/>
      <c r="AB14" s="28" t="n"/>
      <c r="AC14" s="3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21de40f664c548e677d8ffc04521004b3df55963718b1d039537d56f08b84fb1</t>
        </is>
      </c>
      <c r="BB14" s="24" t="inlineStr">
        <is>
          <t>learned_lr</t>
        </is>
      </c>
      <c r="BC14" s="24" t="inlineStr">
        <is>
          <t>mlb-elo-trend-lr-v3</t>
        </is>
      </c>
      <c r="BD14" s="24" t="inlineStr">
        <is>
          <t>21de40f664c548e677d8ffc04521004b3df55963718b1d039537d56f08b84fb1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70</v>
      </c>
      <c r="S15" s="29" t="n">
        <v>1</v>
      </c>
      <c r="T15" s="24" t="inlineStr">
        <is>
          <t>mlb-elo-trend-lr-v3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21de40f664c548e677d8ffc04521004b3df55963718b1d039537d56f08b84fb1</t>
        </is>
      </c>
      <c r="BB15" s="24" t="inlineStr">
        <is>
          <t>learned_lr</t>
        </is>
      </c>
      <c r="BC15" s="24" t="inlineStr">
        <is>
          <t>mlb-elo-trend-lr-v3</t>
        </is>
      </c>
      <c r="BD15" s="24" t="inlineStr">
        <is>
          <t>21de40f664c548e677d8ffc04521004b3df55963718b1d039537d56f08b84fb1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>
        <v>0.507463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-111</v>
      </c>
      <c r="M16" s="27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90</v>
      </c>
      <c r="S16" s="29" t="n">
        <v>1.5</v>
      </c>
      <c r="T16" s="24" t="inlineStr">
        <is>
          <t>mlb-elo-trend-lr-v3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21de40f664c548e677d8ffc04521004b3df55963718b1d039537d56f08b84fb1</t>
        </is>
      </c>
      <c r="BB16" s="24" t="inlineStr">
        <is>
          <t>learned_lr</t>
        </is>
      </c>
      <c r="BC16" s="24" t="inlineStr">
        <is>
          <t>mlb-elo-trend-lr-v3</t>
        </is>
      </c>
      <c r="BD16" s="24" t="inlineStr">
        <is>
          <t>21de40f664c548e677d8ffc04521004b3df55963718b1d039537d56f08b84fb1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25" t="n"/>
      <c r="BK16" s="26" t="n">
        <v>-111</v>
      </c>
      <c r="BL16" s="27" t="n">
        <v>1.900901</v>
      </c>
      <c r="BM16" s="28" t="n">
        <v>0.526066</v>
      </c>
      <c r="BN16" s="28" t="n">
        <v>0.522388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66</v>
      </c>
      <c r="S17" s="29" t="n">
        <v>1</v>
      </c>
      <c r="T17" s="24" t="inlineStr">
        <is>
          <t>mlb-elo-trend-lr-v3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25" t="n"/>
      <c r="Z17" s="26" t="n"/>
      <c r="AA17" s="28" t="n"/>
      <c r="AB17" s="28" t="n"/>
      <c r="AC17" s="3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21de40f664c548e677d8ffc04521004b3df55963718b1d039537d56f08b84fb1</t>
        </is>
      </c>
      <c r="BB17" s="24" t="inlineStr">
        <is>
          <t>learned_lr</t>
        </is>
      </c>
      <c r="BC17" s="24" t="inlineStr">
        <is>
          <t>mlb-elo-trend-lr-v3</t>
        </is>
      </c>
      <c r="BD17" s="24" t="inlineStr">
        <is>
          <t>21de40f664c548e677d8ffc04521004b3df55963718b1d039537d56f08b84fb1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>
        <v>0.5148509999999999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111</v>
      </c>
      <c r="M18" s="27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95</v>
      </c>
      <c r="S18" s="29" t="n">
        <v>1.25</v>
      </c>
      <c r="T18" s="24" t="inlineStr">
        <is>
          <t>mlb-elo-trend-lr-v3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21de40f664c548e677d8ffc04521004b3df55963718b1d039537d56f08b84fb1</t>
        </is>
      </c>
      <c r="BB18" s="24" t="inlineStr">
        <is>
          <t>learned_lr</t>
        </is>
      </c>
      <c r="BC18" s="24" t="inlineStr">
        <is>
          <t>mlb-elo-trend-lr-v3</t>
        </is>
      </c>
      <c r="BD18" s="24" t="inlineStr">
        <is>
          <t>21de40f664c548e677d8ffc04521004b3df55963718b1d039537d56f08b84fb1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25" t="n"/>
      <c r="BK18" s="26" t="n">
        <v>111</v>
      </c>
      <c r="BL18" s="27" t="n">
        <v>2.11</v>
      </c>
      <c r="BM18" s="28" t="n">
        <v>0.473934</v>
      </c>
      <c r="BN18" s="28" t="n">
        <v>0.472637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-125</v>
      </c>
      <c r="M19" s="27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76</v>
      </c>
      <c r="S19" s="29" t="n">
        <v>1.5</v>
      </c>
      <c r="T19" s="24" t="inlineStr">
        <is>
          <t>mlb-elo-trend-lr-v3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25" t="n"/>
      <c r="Z19" s="26" t="n"/>
      <c r="AA19" s="28" t="n"/>
      <c r="AB19" s="28" t="n"/>
      <c r="AC19" s="3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21de40f664c548e677d8ffc04521004b3df55963718b1d039537d56f08b84fb1</t>
        </is>
      </c>
      <c r="BB19" s="24" t="inlineStr">
        <is>
          <t>learned_lr</t>
        </is>
      </c>
      <c r="BC19" s="24" t="inlineStr">
        <is>
          <t>mlb-elo-trend-lr-v3</t>
        </is>
      </c>
      <c r="BD19" s="24" t="inlineStr">
        <is>
          <t>21de40f664c548e677d8ffc04521004b3df55963718b1d039537d56f08b84fb1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25" t="n"/>
      <c r="BK19" s="26" t="n">
        <v>-125</v>
      </c>
      <c r="BL19" s="27" t="n">
        <v>1.8</v>
      </c>
      <c r="BM19" s="28" t="n">
        <v>0.555556</v>
      </c>
      <c r="BN19" s="28" t="n">
        <v>0.552239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68</v>
      </c>
      <c r="S20" s="29" t="n">
        <v>0.75</v>
      </c>
      <c r="T20" s="24" t="inlineStr">
        <is>
          <t>mlb-elo-trend-lr-v3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25" t="n"/>
      <c r="Z20" s="26" t="n"/>
      <c r="AA20" s="28" t="n"/>
      <c r="AB20" s="28" t="n"/>
      <c r="AC20" s="3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21de40f664c548e677d8ffc04521004b3df55963718b1d039537d56f08b84fb1</t>
        </is>
      </c>
      <c r="BB20" s="24" t="inlineStr">
        <is>
          <t>learned_lr</t>
        </is>
      </c>
      <c r="BC20" s="24" t="inlineStr">
        <is>
          <t>mlb-elo-trend-lr-v3</t>
        </is>
      </c>
      <c r="BD20" s="24" t="inlineStr">
        <is>
          <t>21de40f664c548e677d8ffc04521004b3df55963718b1d039537d56f08b84fb1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25" t="n"/>
      <c r="BK20" s="26" t="n">
        <v>106</v>
      </c>
      <c r="BL20" s="27" t="n">
        <v>2.06</v>
      </c>
      <c r="BM20" s="28" t="n">
        <v>0.485437</v>
      </c>
      <c r="BN20" s="28" t="n">
        <v>0.482587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-106</v>
      </c>
      <c r="M21" s="27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/>
      <c r="S21" s="29" t="n">
        <v>1</v>
      </c>
      <c r="T21" s="24" t="inlineStr">
        <is>
          <t>mlb-elo-trend-lr-v3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25" t="n"/>
      <c r="Z21" s="26" t="n"/>
      <c r="AA21" s="28" t="n"/>
      <c r="AB21" s="28" t="n"/>
      <c r="AC21" s="3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inlineStr">
        <is>
          <t>2026-07-17T16:26:03.970000Z</t>
        </is>
      </c>
      <c r="BI21" s="24" t="n"/>
      <c r="BJ21" s="25" t="n"/>
      <c r="BK21" s="26" t="n">
        <v>-106</v>
      </c>
      <c r="BL21" s="27" t="n">
        <v>1.943396</v>
      </c>
      <c r="BM21" s="28" t="n">
        <v>0.514563</v>
      </c>
      <c r="BN21" s="28" t="n">
        <v>0.5124379999999999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-106</v>
      </c>
      <c r="M22" s="27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/>
      <c r="S22" s="29" t="n">
        <v>1</v>
      </c>
      <c r="T22" s="24" t="inlineStr">
        <is>
          <t>mlb-elo-trend-lr-v3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25" t="n"/>
      <c r="Z22" s="26" t="n"/>
      <c r="AA22" s="28" t="n"/>
      <c r="AB22" s="28" t="n"/>
      <c r="AC22" s="3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inlineStr">
        <is>
          <t>2026-07-17T16:26:03.970000Z</t>
        </is>
      </c>
      <c r="BI22" s="24" t="n"/>
      <c r="BJ22" s="25" t="n"/>
      <c r="BK22" s="26" t="n">
        <v>-106</v>
      </c>
      <c r="BL22" s="27" t="n">
        <v>1.943396</v>
      </c>
      <c r="BM22" s="28" t="n">
        <v>0.514563</v>
      </c>
      <c r="BN22" s="28" t="n">
        <v>0.5124379999999999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</t>
        </is>
      </c>
      <c r="L23" s="26" t="n">
        <v>-141</v>
      </c>
      <c r="M23" s="27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/>
      <c r="S23" s="29" t="n">
        <v>1.75</v>
      </c>
      <c r="T23" s="24" t="inlineStr">
        <is>
          <t>mlb-elo-trend-lr-v3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25" t="n"/>
      <c r="Z23" s="26" t="n"/>
      <c r="AA23" s="28" t="n"/>
      <c r="AB23" s="28" t="n"/>
      <c r="AC23" s="3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inlineStr">
        <is>
          <t>2026-07-17T17:12:44.293402Z</t>
        </is>
      </c>
      <c r="BI23" s="24" t="n"/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</t>
        </is>
      </c>
      <c r="L24" s="26" t="n">
        <v>-133</v>
      </c>
      <c r="M24" s="27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/>
      <c r="S24" s="29" t="n">
        <v>1.5</v>
      </c>
      <c r="T24" s="24" t="inlineStr">
        <is>
          <t>mlb-elo-trend-lr-v3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25" t="n"/>
      <c r="Z24" s="26" t="n"/>
      <c r="AA24" s="28" t="n"/>
      <c r="AB24" s="28" t="n"/>
      <c r="AC24" s="3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inlineStr">
        <is>
          <t>2026-07-17T17:12:44.967723Z</t>
        </is>
      </c>
      <c r="BI24" s="24" t="n"/>
      <c r="BJ24" s="25" t="n"/>
      <c r="BK24" s="26" t="n">
        <v>-133</v>
      </c>
      <c r="BL24" s="27" t="n">
        <v>1.75188</v>
      </c>
      <c r="BM24" s="28" t="n">
        <v>0.570815</v>
      </c>
      <c r="BN24" s="28" t="n">
        <v>0.567164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</t>
        </is>
      </c>
      <c r="L25" s="26" t="n">
        <v>104</v>
      </c>
      <c r="M25" s="27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/>
      <c r="S25" s="29" t="n">
        <v>1.25</v>
      </c>
      <c r="T25" s="24" t="inlineStr">
        <is>
          <t>mlb-elo-trend-lr-v3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25" t="n"/>
      <c r="Z25" s="26" t="n"/>
      <c r="AA25" s="28" t="n"/>
      <c r="AB25" s="28" t="n"/>
      <c r="AC25" s="3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inlineStr">
        <is>
          <t>2026-07-17T16:26:11.935150Z</t>
        </is>
      </c>
      <c r="BI25" s="24" t="n"/>
      <c r="BJ25" s="25" t="n"/>
      <c r="BK25" s="26" t="n">
        <v>104</v>
      </c>
      <c r="BL25" s="27" t="n">
        <v>2.04</v>
      </c>
      <c r="BM25" s="28" t="n">
        <v>0.490196</v>
      </c>
      <c r="BN25" s="28" t="n">
        <v>0.487562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</t>
        </is>
      </c>
      <c r="L26" s="26" t="n">
        <v>-104</v>
      </c>
      <c r="M26" s="27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/>
      <c r="S26" s="29" t="n">
        <v>1</v>
      </c>
      <c r="T26" s="24" t="inlineStr">
        <is>
          <t>mlb-elo-trend-lr-v3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25" t="n"/>
      <c r="Z26" s="26" t="n"/>
      <c r="AA26" s="28" t="n"/>
      <c r="AB26" s="28" t="n"/>
      <c r="AC26" s="3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inlineStr">
        <is>
          <t>2026-07-17T16:26:12.761758Z</t>
        </is>
      </c>
      <c r="BI26" s="24" t="n"/>
      <c r="BJ26" s="25" t="n"/>
      <c r="BK26" s="26" t="n">
        <v>-104</v>
      </c>
      <c r="BL26" s="27" t="n">
        <v>1.961538</v>
      </c>
      <c r="BM26" s="28" t="n">
        <v>0.509804</v>
      </c>
      <c r="BN26" s="28" t="n">
        <v>0.507463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120</v>
      </c>
      <c r="M27" s="27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/>
      <c r="S27" s="29" t="n">
        <v>0.75</v>
      </c>
      <c r="T27" s="24" t="inlineStr">
        <is>
          <t>mlb-elo-trend-lr-v3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25" t="n"/>
      <c r="Z27" s="26" t="n"/>
      <c r="AA27" s="28" t="n"/>
      <c r="AB27" s="28" t="n"/>
      <c r="AC27" s="3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inlineStr">
        <is>
          <t>2026-07-17T16:26:14.658660Z</t>
        </is>
      </c>
      <c r="BI27" s="24" t="n"/>
      <c r="BJ27" s="25" t="n"/>
      <c r="BK27" s="26" t="n">
        <v>120</v>
      </c>
      <c r="BL27" s="27" t="n">
        <v>2.2</v>
      </c>
      <c r="BM27" s="28" t="n">
        <v>0.454545</v>
      </c>
      <c r="BN27" s="28" t="n">
        <v>0.452736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100</v>
      </c>
      <c r="M28" s="27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/>
      <c r="S28" s="29" t="n">
        <v>0.75</v>
      </c>
      <c r="T28" s="24" t="inlineStr">
        <is>
          <t>mlb-elo-trend-lr-v3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25" t="n"/>
      <c r="Z28" s="26" t="n"/>
      <c r="AA28" s="28" t="n"/>
      <c r="AB28" s="28" t="n"/>
      <c r="AC28" s="3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inlineStr">
        <is>
          <t>2026-07-17T16:26:13.837104Z</t>
        </is>
      </c>
      <c r="BI28" s="24" t="n"/>
      <c r="BJ28" s="25" t="n"/>
      <c r="BK28" s="26" t="n">
        <v>100</v>
      </c>
      <c r="BL28" s="27" t="n">
        <v>2</v>
      </c>
      <c r="BM28" s="28" t="n">
        <v>0.5</v>
      </c>
      <c r="BN28" s="28" t="n">
        <v>0.497512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108</v>
      </c>
      <c r="M29" s="27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93</v>
      </c>
      <c r="S29" s="29" t="n">
        <v>1.25</v>
      </c>
      <c r="T29" s="24" t="inlineStr">
        <is>
          <t>mlb-elo-trend-lr-v3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25" t="n"/>
      <c r="Z29" s="26" t="n"/>
      <c r="AA29" s="28" t="n"/>
      <c r="AB29" s="28" t="n"/>
      <c r="AC29" s="3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ebdb392c90fd9a9414a97c1b39024e1a4f2c894aee118b3b4598ecd7e5e96695</t>
        </is>
      </c>
      <c r="BB29" s="24" t="inlineStr">
        <is>
          <t>learned_lr</t>
        </is>
      </c>
      <c r="BC29" s="24" t="inlineStr">
        <is>
          <t>mlb-elo-trend-lr-v3</t>
        </is>
      </c>
      <c r="BD29" s="24" t="inlineStr">
        <is>
          <t>ebdb392c90fd9a9414a97c1b39024e1a4f2c894aee118b3b4598ecd7e5e96695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25" t="n"/>
      <c r="BK29" s="26" t="n">
        <v>108</v>
      </c>
      <c r="BL29" s="27" t="n">
        <v>2.08</v>
      </c>
      <c r="BM29" s="28" t="n">
        <v>0.480769</v>
      </c>
      <c r="BN29" s="28" t="n">
        <v>0.477612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65</v>
      </c>
      <c r="S30" s="29" t="n">
        <v>1.5</v>
      </c>
      <c r="T30" s="24" t="inlineStr">
        <is>
          <t>mlb-elo-trend-lr-v3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25" t="n"/>
      <c r="Z30" s="26" t="n"/>
      <c r="AA30" s="28" t="n"/>
      <c r="AB30" s="28" t="n"/>
      <c r="AC30" s="3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ebdb392c90fd9a9414a97c1b39024e1a4f2c894aee118b3b4598ecd7e5e96695</t>
        </is>
      </c>
      <c r="BB30" s="24" t="inlineStr">
        <is>
          <t>learned_lr</t>
        </is>
      </c>
      <c r="BC30" s="24" t="inlineStr">
        <is>
          <t>mlb-elo-trend-lr-v3</t>
        </is>
      </c>
      <c r="BD30" s="24" t="inlineStr">
        <is>
          <t>ebdb392c90fd9a9414a97c1b39024e1a4f2c894aee118b3b4598ecd7e5e96695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>
        <v>0.567164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130</v>
      </c>
      <c r="M31" s="27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mlb-elo-trend-lr-v3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25" t="n"/>
      <c r="Z31" s="26" t="n"/>
      <c r="AA31" s="28" t="n"/>
      <c r="AB31" s="28" t="n"/>
      <c r="AC31" s="3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ebdb392c90fd9a9414a97c1b39024e1a4f2c894aee118b3b4598ecd7e5e96695</t>
        </is>
      </c>
      <c r="BB31" s="24" t="inlineStr">
        <is>
          <t>learned_lr</t>
        </is>
      </c>
      <c r="BC31" s="24" t="inlineStr">
        <is>
          <t>mlb-elo-trend-lr-v3</t>
        </is>
      </c>
      <c r="BD31" s="24" t="inlineStr">
        <is>
          <t>ebdb392c90fd9a9414a97c1b39024e1a4f2c894aee118b3b4598ecd7e5e96695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25" t="n"/>
      <c r="BK31" s="26" t="n">
        <v>130</v>
      </c>
      <c r="BL31" s="27" t="n">
        <v>2.3</v>
      </c>
      <c r="BM31" s="28" t="n">
        <v>0.434783</v>
      </c>
      <c r="BN31" s="28" t="n">
        <v>0.432836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279e8c5dd40743fe</t>
        </is>
      </c>
      <c r="B32" s="24" t="inlineStr">
        <is>
          <t>2026-07-19T17:18:24.670965Z</t>
        </is>
      </c>
      <c r="C32" s="24" t="inlineStr">
        <is>
          <t>2026-07-20T19:00:00-0400</t>
        </is>
      </c>
      <c r="D32" s="24" t="inlineStr">
        <is>
          <t>401816187</t>
        </is>
      </c>
      <c r="E32" s="24" t="inlineStr">
        <is>
          <t>MLB</t>
        </is>
      </c>
      <c r="F32" s="24" t="inlineStr">
        <is>
          <t>Los Angeles Dodgers</t>
        </is>
      </c>
      <c r="G32" s="24" t="inlineStr">
        <is>
          <t>Philadelphia Phillies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135</v>
      </c>
      <c r="M32" s="27" t="n">
        <v>2.35</v>
      </c>
      <c r="N32" s="28" t="n">
        <v>0.425532</v>
      </c>
      <c r="O32" s="28" t="n">
        <v>0.535498</v>
      </c>
      <c r="P32" s="28" t="n"/>
      <c r="Q32" s="28" t="n">
        <v>0.109966</v>
      </c>
      <c r="R32" s="26" t="n">
        <v>100</v>
      </c>
      <c r="S32" s="29" t="n">
        <v>0.75</v>
      </c>
      <c r="T32" s="24" t="inlineStr">
        <is>
          <t>mlb-elo-trend-lr-v3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Learned LR call at threshold 0.5150; executable ask 0.4250 (aec-mlb-lad-phi-2026-07-20).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NO_CALL_LARGE_DISAGREEMENT_REVIEW</t>
        </is>
      </c>
      <c r="AP32" s="24" t="inlineStr">
        <is>
          <t>mlb-lad</t>
        </is>
      </c>
      <c r="AQ32" s="24" t="inlineStr">
        <is>
          <t>Los Angeles Dodgers</t>
        </is>
      </c>
      <c r="AR32" s="24" t="inlineStr">
        <is>
          <t>Los Angeles Dodgers</t>
        </is>
      </c>
      <c r="AS32" s="24" t="inlineStr">
        <is>
          <t>mlb-phi</t>
        </is>
      </c>
      <c r="AT32" s="24" t="inlineStr">
        <is>
          <t>Philadelphia Phillies</t>
        </is>
      </c>
      <c r="AU32" s="24" t="inlineStr">
        <is>
          <t>Philadelphia Phillies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ebdb392c90fd9a9414a97c1b39024e1a4f2c894aee118b3b4598ecd7e5e96695</t>
        </is>
      </c>
      <c r="BB32" s="24" t="inlineStr">
        <is>
          <t>learned_lr</t>
        </is>
      </c>
      <c r="BC32" s="24" t="inlineStr">
        <is>
          <t>mlb-elo-trend-lr-v3</t>
        </is>
      </c>
      <c r="BD32" s="24" t="inlineStr">
        <is>
          <t>ebdb392c90fd9a9414a97c1b39024e1a4f2c894aee118b3b4598ecd7e5e96695</t>
        </is>
      </c>
      <c r="BE32" s="24" t="inlineStr">
        <is>
          <t>2e2c2111662001b9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2026-07-19T17:17:33.614115Z</t>
        </is>
      </c>
      <c r="BI32" s="24" t="inlineStr">
        <is>
          <t>["same_event","same_team_same_day","same_league_same_day"]</t>
        </is>
      </c>
      <c r="BJ32" s="25" t="n"/>
      <c r="BK32" s="26" t="n">
        <v>135</v>
      </c>
      <c r="BL32" s="27" t="n">
        <v>2.35</v>
      </c>
      <c r="BM32" s="28" t="n">
        <v>0.425532</v>
      </c>
      <c r="BN32" s="28" t="n">
        <v>0.422886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</row>
    <row r="33" ht="36" customHeight="1">
      <c r="A33" s="24" t="inlineStr">
        <is>
          <t>a1f560f16ca8495f</t>
        </is>
      </c>
      <c r="B33" s="24" t="inlineStr">
        <is>
          <t>2026-07-19T17:18:24.670965Z</t>
        </is>
      </c>
      <c r="C33" s="24" t="inlineStr">
        <is>
          <t>2026-07-20T19:10:00-0400</t>
        </is>
      </c>
      <c r="D33" s="24" t="inlineStr">
        <is>
          <t>401816186</t>
        </is>
      </c>
      <c r="E33" s="24" t="inlineStr">
        <is>
          <t>MLB</t>
        </is>
      </c>
      <c r="F33" s="24" t="inlineStr">
        <is>
          <t>Baltimore Orioles</t>
        </is>
      </c>
      <c r="G33" s="24" t="inlineStr">
        <is>
          <t>Boston Red Sox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-117</v>
      </c>
      <c r="M33" s="27" t="n">
        <v>1.854701</v>
      </c>
      <c r="N33" s="28" t="n">
        <v>0.539171</v>
      </c>
      <c r="O33" s="28" t="n">
        <v>0.56697</v>
      </c>
      <c r="P33" s="28" t="n"/>
      <c r="Q33" s="28" t="n">
        <v>0.027799</v>
      </c>
      <c r="R33" s="26" t="n">
        <v>34</v>
      </c>
      <c r="S33" s="29" t="n">
        <v>1.25</v>
      </c>
      <c r="T33" s="24" t="inlineStr">
        <is>
          <t>mlb-elo-trend-lr-v3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Learned LR call at threshold 0.5150; executable ask 0.5400 (aec-mlb-bal-bos-2026-07-20).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mlb-bal</t>
        </is>
      </c>
      <c r="AQ33" s="24" t="inlineStr">
        <is>
          <t>Baltimore Orioles</t>
        </is>
      </c>
      <c r="AR33" s="24" t="inlineStr">
        <is>
          <t>Baltimore Orioles</t>
        </is>
      </c>
      <c r="AS33" s="24" t="inlineStr">
        <is>
          <t>mlb-bos</t>
        </is>
      </c>
      <c r="AT33" s="24" t="inlineStr">
        <is>
          <t>Boston Red Sox</t>
        </is>
      </c>
      <c r="AU33" s="24" t="inlineStr">
        <is>
          <t>Boston Red Sox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ebdb392c90fd9a9414a97c1b39024e1a4f2c894aee118b3b4598ecd7e5e96695</t>
        </is>
      </c>
      <c r="BB33" s="24" t="inlineStr">
        <is>
          <t>learned_lr</t>
        </is>
      </c>
      <c r="BC33" s="24" t="inlineStr">
        <is>
          <t>mlb-elo-trend-lr-v3</t>
        </is>
      </c>
      <c r="BD33" s="24" t="inlineStr">
        <is>
          <t>ebdb392c90fd9a9414a97c1b39024e1a4f2c894aee118b3b4598ecd7e5e96695</t>
        </is>
      </c>
      <c r="BE33" s="24" t="inlineStr">
        <is>
          <t>a6a83b5ac90d7962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2026-07-19T17:17:31.410943Z</t>
        </is>
      </c>
      <c r="BI33" s="24" t="inlineStr">
        <is>
          <t>["same_event","same_team_same_day","same_league_same_day"]</t>
        </is>
      </c>
      <c r="BJ33" s="25" t="n"/>
      <c r="BK33" s="26" t="n">
        <v>-117</v>
      </c>
      <c r="BL33" s="27" t="n">
        <v>1.854701</v>
      </c>
      <c r="BM33" s="28" t="n">
        <v>0.539171</v>
      </c>
      <c r="BN33" s="28" t="n">
        <v>0.537313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</row>
    <row r="34" ht="36" customHeight="1">
      <c r="A34" s="24" t="inlineStr">
        <is>
          <t>369b925b172f4b6a</t>
        </is>
      </c>
      <c r="B34" s="24" t="inlineStr">
        <is>
          <t>2026-07-19T17:18:24.670965Z</t>
        </is>
      </c>
      <c r="C34" s="24" t="inlineStr">
        <is>
          <t>2026-07-21T01:40Z</t>
        </is>
      </c>
      <c r="D34" s="24" t="inlineStr">
        <is>
          <t>401816199</t>
        </is>
      </c>
      <c r="E34" s="24" t="inlineStr">
        <is>
          <t>MLB</t>
        </is>
      </c>
      <c r="F34" s="24" t="inlineStr">
        <is>
          <t>Cincinnati Reds</t>
        </is>
      </c>
      <c r="G34" s="24" t="inlineStr">
        <is>
          <t>Seattle Mariners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-125</v>
      </c>
      <c r="M34" s="27" t="n">
        <v>1.8</v>
      </c>
      <c r="N34" s="28" t="n">
        <v>0.555556</v>
      </c>
      <c r="O34" s="28" t="n">
        <v>0.597509</v>
      </c>
      <c r="P34" s="28" t="n"/>
      <c r="Q34" s="28" t="n">
        <v>0.041953</v>
      </c>
      <c r="R34" s="26" t="n">
        <v>41</v>
      </c>
      <c r="S34" s="29" t="n">
        <v>1.5</v>
      </c>
      <c r="T34" s="24" t="inlineStr">
        <is>
          <t>mlb-elo-trend-lr-v3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Learned LR call at threshold 0.5150; executable ask 0.5550 (aec-mlb-cin-sea-2026-07-20).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mlb-cin</t>
        </is>
      </c>
      <c r="AQ34" s="24" t="inlineStr">
        <is>
          <t>Cincinnati Reds</t>
        </is>
      </c>
      <c r="AR34" s="24" t="inlineStr">
        <is>
          <t>Cincinnati Reds</t>
        </is>
      </c>
      <c r="AS34" s="24" t="inlineStr">
        <is>
          <t>mlb-sea</t>
        </is>
      </c>
      <c r="AT34" s="24" t="inlineStr">
        <is>
          <t>Seattle Mariners</t>
        </is>
      </c>
      <c r="AU34" s="24" t="inlineStr">
        <is>
          <t>Seattle Mariners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ebdb392c90fd9a9414a97c1b39024e1a4f2c894aee118b3b4598ecd7e5e96695</t>
        </is>
      </c>
      <c r="BB34" s="24" t="inlineStr">
        <is>
          <t>learned_lr</t>
        </is>
      </c>
      <c r="BC34" s="24" t="inlineStr">
        <is>
          <t>mlb-elo-trend-lr-v3</t>
        </is>
      </c>
      <c r="BD34" s="24" t="inlineStr">
        <is>
          <t>ebdb392c90fd9a9414a97c1b39024e1a4f2c894aee118b3b4598ecd7e5e96695</t>
        </is>
      </c>
      <c r="BE34" s="24" t="inlineStr">
        <is>
          <t>982d73638d70c45b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2026-07-19T17:17:46.849555Z</t>
        </is>
      </c>
      <c r="BI34" s="24" t="inlineStr">
        <is>
          <t>["same_event","same_team_same_day","same_league_same_day"]</t>
        </is>
      </c>
      <c r="BJ34" s="25" t="n"/>
      <c r="BK34" s="26" t="n">
        <v>-125</v>
      </c>
      <c r="BL34" s="27" t="n">
        <v>1.8</v>
      </c>
      <c r="BM34" s="28" t="n">
        <v>0.555556</v>
      </c>
      <c r="BN34" s="28" t="n">
        <v>0.552239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</row>
    <row r="35" ht="36" customHeight="1">
      <c r="A35" s="24" t="inlineStr">
        <is>
          <t>c7a1577522fb4d37</t>
        </is>
      </c>
      <c r="B35" s="24" t="inlineStr">
        <is>
          <t>2026-07-19T17:18:24.670965Z</t>
        </is>
      </c>
      <c r="C35" s="24" t="inlineStr">
        <is>
          <t>2026-07-21T02:00Z</t>
        </is>
      </c>
      <c r="D35" s="24" t="inlineStr">
        <is>
          <t>401816200</t>
        </is>
      </c>
      <c r="E35" s="24" t="inlineStr">
        <is>
          <t>MLB</t>
        </is>
      </c>
      <c r="F35" s="24" t="inlineStr">
        <is>
          <t>St. Louis Cardinals</t>
        </is>
      </c>
      <c r="G35" s="24" t="inlineStr">
        <is>
          <t>Los Angeles Angels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-102</v>
      </c>
      <c r="M35" s="27" t="n">
        <v>1.980392</v>
      </c>
      <c r="N35" s="28" t="n">
        <v>0.50495</v>
      </c>
      <c r="O35" s="28" t="n">
        <v>0.541942</v>
      </c>
      <c r="P35" s="28" t="n"/>
      <c r="Q35" s="28" t="n">
        <v>0.036992</v>
      </c>
      <c r="R35" s="26" t="n">
        <v>38</v>
      </c>
      <c r="S35" s="29" t="n">
        <v>1</v>
      </c>
      <c r="T35" s="24" t="inlineStr">
        <is>
          <t>mlb-elo-trend-lr-v3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Learned LR call at threshold 0.5150; executable ask 0.5050 (aec-mlb-stl-laa-2026-07-20).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mlb-stl</t>
        </is>
      </c>
      <c r="AQ35" s="24" t="inlineStr">
        <is>
          <t>St. Louis Cardinals</t>
        </is>
      </c>
      <c r="AR35" s="24" t="inlineStr">
        <is>
          <t>St. Louis Cardinals</t>
        </is>
      </c>
      <c r="AS35" s="24" t="inlineStr">
        <is>
          <t>mlb-laa</t>
        </is>
      </c>
      <c r="AT35" s="24" t="inlineStr">
        <is>
          <t>Los Angeles Angels</t>
        </is>
      </c>
      <c r="AU35" s="24" t="inlineStr">
        <is>
          <t>Los Angeles Angels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ebdb392c90fd9a9414a97c1b39024e1a4f2c894aee118b3b4598ecd7e5e96695</t>
        </is>
      </c>
      <c r="BB35" s="24" t="inlineStr">
        <is>
          <t>learned_lr</t>
        </is>
      </c>
      <c r="BC35" s="24" t="inlineStr">
        <is>
          <t>mlb-elo-trend-lr-v3</t>
        </is>
      </c>
      <c r="BD35" s="24" t="inlineStr">
        <is>
          <t>ebdb392c90fd9a9414a97c1b39024e1a4f2c894aee118b3b4598ecd7e5e96695</t>
        </is>
      </c>
      <c r="BE35" s="24" t="inlineStr">
        <is>
          <t>83613a19346b831e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2026-07-19T17:17:47.727344Z</t>
        </is>
      </c>
      <c r="BI35" s="24" t="inlineStr">
        <is>
          <t>["same_event","same_team_same_day","same_league_same_day"]</t>
        </is>
      </c>
      <c r="BJ35" s="25" t="n"/>
      <c r="BK35" s="26" t="n">
        <v>-102</v>
      </c>
      <c r="BL35" s="27" t="n">
        <v>1.980392</v>
      </c>
      <c r="BM35" s="28" t="n">
        <v>0.50495</v>
      </c>
      <c r="BN35" s="28" t="n">
        <v>0.502488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</row>
    <row r="36" ht="36" customHeight="1">
      <c r="A36" s="24" t="inlineStr">
        <is>
          <t>5ddbae8d805944cb</t>
        </is>
      </c>
      <c r="B36" s="24" t="inlineStr">
        <is>
          <t>2026-07-19T17:18:29.371620Z</t>
        </is>
      </c>
      <c r="C36" s="24" t="inlineStr">
        <is>
          <t>2026-07-21T00:00Z</t>
        </is>
      </c>
      <c r="D36" s="24" t="inlineStr">
        <is>
          <t>401892393</t>
        </is>
      </c>
      <c r="E36" s="24" t="inlineStr">
        <is>
          <t>WNBA</t>
        </is>
      </c>
      <c r="F36" s="24" t="inlineStr">
        <is>
          <t>New York Liberty</t>
        </is>
      </c>
      <c r="G36" s="24" t="inlineStr">
        <is>
          <t>Dallas Wings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108</v>
      </c>
      <c r="M36" s="27" t="n">
        <v>2.08</v>
      </c>
      <c r="N36" s="28" t="n">
        <v>0.480769</v>
      </c>
      <c r="O36" s="28" t="n">
        <v>0.6787840000000001</v>
      </c>
      <c r="P36" s="28" t="n"/>
      <c r="Q36" s="28" t="n">
        <v>0.198015</v>
      </c>
      <c r="R36" s="26" t="n">
        <v>100</v>
      </c>
      <c r="S36" s="29" t="n">
        <v>0.5</v>
      </c>
      <c r="T36" s="24" t="inlineStr">
        <is>
          <t>wnba-elo-trend-lr-v3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Learned LR call at threshold 0.5000; executable ask 0.4800 (aec-wnba-ny-dal-2026-07-20).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NO_CALL_LARGE_DISAGREEMENT_REVIEW</t>
        </is>
      </c>
      <c r="AP36" s="24" t="inlineStr">
        <is>
          <t>wnba-nyl</t>
        </is>
      </c>
      <c r="AQ36" s="24" t="inlineStr">
        <is>
          <t>New York Liberty</t>
        </is>
      </c>
      <c r="AR36" s="24" t="inlineStr">
        <is>
          <t>New York Liberty</t>
        </is>
      </c>
      <c r="AS36" s="24" t="inlineStr">
        <is>
          <t>wnba-dal</t>
        </is>
      </c>
      <c r="AT36" s="24" t="inlineStr">
        <is>
          <t>Dallas Wings</t>
        </is>
      </c>
      <c r="AU36" s="24" t="inlineStr">
        <is>
          <t>Dallas Wings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d339198b196cb3fcd02950ed5efbdd4cefbeb95b2cd63cd756e77f99dc483719</t>
        </is>
      </c>
      <c r="BB36" s="24" t="inlineStr">
        <is>
          <t>learned_lr</t>
        </is>
      </c>
      <c r="BC36" s="24" t="inlineStr">
        <is>
          <t>wnba-elo-trend-lr-v3</t>
        </is>
      </c>
      <c r="BD36" s="24" t="inlineStr">
        <is>
          <t>d339198b196cb3fcd02950ed5efbdd4cefbeb95b2cd63cd756e77f99dc483719</t>
        </is>
      </c>
      <c r="BE36" s="24" t="inlineStr">
        <is>
          <t>1c6f45e72b2d1f80</t>
        </is>
      </c>
      <c r="BF36" s="24" t="inlineStr">
        <is>
          <t>1</t>
        </is>
      </c>
      <c r="BG36" s="24" t="inlineStr">
        <is>
          <t>wnba-elo-trend-lr-v3</t>
        </is>
      </c>
      <c r="BH36" s="24" t="inlineStr">
        <is>
          <t>2026-07-19T17:17:49.472621Z</t>
        </is>
      </c>
      <c r="BI36" s="24" t="inlineStr">
        <is>
          <t>["same_event","same_team_same_day","same_league_same_day"]</t>
        </is>
      </c>
      <c r="BJ36" s="25" t="n"/>
      <c r="BK36" s="26" t="n">
        <v>108</v>
      </c>
      <c r="BL36" s="27" t="n">
        <v>2.08</v>
      </c>
      <c r="BM36" s="28" t="n">
        <v>0.480769</v>
      </c>
      <c r="BN36" s="28" t="n">
        <v>0.475248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</row>
    <row r="37" ht="36" customHeight="1">
      <c r="A37" s="24" t="inlineStr">
        <is>
          <t>ea9a359adce843bc</t>
        </is>
      </c>
      <c r="B37" s="24" t="inlineStr">
        <is>
          <t>2026-07-20T14:58:17.970946Z</t>
        </is>
      </c>
      <c r="C37" s="24" t="inlineStr">
        <is>
          <t>2026-07-20T18:40:00-0400</t>
        </is>
      </c>
      <c r="D37" s="24" t="inlineStr">
        <is>
          <t>401816188</t>
        </is>
      </c>
      <c r="E37" s="24" t="inlineStr">
        <is>
          <t>MLB</t>
        </is>
      </c>
      <c r="F37" s="24" t="inlineStr">
        <is>
          <t>Minnesota Twins</t>
        </is>
      </c>
      <c r="G37" s="24" t="inlineStr">
        <is>
          <t>Cleveland Guardians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111</v>
      </c>
      <c r="M37" s="27" t="n">
        <v>2.11</v>
      </c>
      <c r="N37" s="28" t="n">
        <v>0.473934</v>
      </c>
      <c r="O37" s="28" t="n">
        <v>0.5726869999999999</v>
      </c>
      <c r="P37" s="28" t="n"/>
      <c r="Q37" s="28" t="n">
        <v>0.09875299999999999</v>
      </c>
      <c r="R37" s="26" t="n">
        <v>99</v>
      </c>
      <c r="S37" s="29" t="n">
        <v>1.25</v>
      </c>
      <c r="T37" s="24" t="inlineStr">
        <is>
          <t>mlb-elo-trend-lr-v4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Learned LR call at threshold 0.5500; executable ask 0.4750 (aec-mlb-min-cle-2026-07-20).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NO_CALL_LARGE_DISAGREEMENT_REVIEW</t>
        </is>
      </c>
      <c r="AP37" s="24" t="inlineStr">
        <is>
          <t>mlb-min</t>
        </is>
      </c>
      <c r="AQ37" s="24" t="inlineStr">
        <is>
          <t>Minnesota Twins</t>
        </is>
      </c>
      <c r="AR37" s="24" t="inlineStr">
        <is>
          <t>Minnesota Twins</t>
        </is>
      </c>
      <c r="AS37" s="24" t="inlineStr">
        <is>
          <t>mlb-cle</t>
        </is>
      </c>
      <c r="AT37" s="24" t="inlineStr">
        <is>
          <t>Cleveland Guardians</t>
        </is>
      </c>
      <c r="AU37" s="24" t="inlineStr">
        <is>
          <t>Cleveland Guardians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2170ac399ced5417</t>
        </is>
      </c>
      <c r="BF37" s="24" t="inlineStr">
        <is>
          <t>1</t>
        </is>
      </c>
      <c r="BG37" s="24" t="inlineStr">
        <is>
          <t>mlb-elo-trend-lr-v4</t>
        </is>
      </c>
      <c r="BH37" s="24" t="inlineStr">
        <is>
          <t>2026-07-20T14:57:32.219947Z</t>
        </is>
      </c>
      <c r="BI37" s="24" t="inlineStr">
        <is>
          <t>["same_event","same_team_same_day","same_league_same_day"]</t>
        </is>
      </c>
      <c r="BJ37" s="25" t="n"/>
      <c r="BK37" s="26" t="n">
        <v>111</v>
      </c>
      <c r="BL37" s="27" t="n">
        <v>2.11</v>
      </c>
      <c r="BM37" s="28" t="n">
        <v>0.473934</v>
      </c>
      <c r="BN37" s="28" t="n">
        <v>0.472637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</row>
    <row r="38" ht="36" customHeight="1">
      <c r="A38" s="24" t="inlineStr">
        <is>
          <t>9a7ddbfc3b7343bd</t>
        </is>
      </c>
      <c r="B38" s="24" t="inlineStr">
        <is>
          <t>2026-07-20T14:58:17.970946Z</t>
        </is>
      </c>
      <c r="C38" s="24" t="inlineStr">
        <is>
          <t>2026-07-20T19:05:00-0400</t>
        </is>
      </c>
      <c r="D38" s="24" t="inlineStr">
        <is>
          <t>401816189</t>
        </is>
      </c>
      <c r="E38" s="24" t="inlineStr">
        <is>
          <t>MLB</t>
        </is>
      </c>
      <c r="F38" s="24" t="inlineStr">
        <is>
          <t>Pittsburgh Pirates</t>
        </is>
      </c>
      <c r="G38" s="24" t="inlineStr">
        <is>
          <t>New York Yankees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-108</v>
      </c>
      <c r="M38" s="27" t="n">
        <v>1.925926</v>
      </c>
      <c r="N38" s="28" t="n">
        <v>0.519231</v>
      </c>
      <c r="O38" s="28" t="n">
        <v>0.578558</v>
      </c>
      <c r="P38" s="28" t="n"/>
      <c r="Q38" s="28" t="n">
        <v>0.059327</v>
      </c>
      <c r="R38" s="26" t="n">
        <v>50</v>
      </c>
      <c r="S38" s="29" t="n">
        <v>1.25</v>
      </c>
      <c r="T38" s="24" t="inlineStr">
        <is>
          <t>mlb-elo-trend-lr-v4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Learned LR call at threshold 0.5500; executable ask 0.5200 (aec-mlb-pit-nyy-2026-07-20).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mlb-pit</t>
        </is>
      </c>
      <c r="AQ38" s="24" t="inlineStr">
        <is>
          <t>Pittsburgh Pirates</t>
        </is>
      </c>
      <c r="AR38" s="24" t="inlineStr">
        <is>
          <t>Pittsburgh Pirates</t>
        </is>
      </c>
      <c r="AS38" s="24" t="inlineStr">
        <is>
          <t>mlb-nyy</t>
        </is>
      </c>
      <c r="AT38" s="24" t="inlineStr">
        <is>
          <t>New York Yankees</t>
        </is>
      </c>
      <c r="AU38" s="24" t="inlineStr">
        <is>
          <t>New York Yankees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38ab7db5a3798f0c</t>
        </is>
      </c>
      <c r="BF38" s="24" t="inlineStr">
        <is>
          <t>1</t>
        </is>
      </c>
      <c r="BG38" s="24" t="inlineStr">
        <is>
          <t>mlb-elo-trend-lr-v4</t>
        </is>
      </c>
      <c r="BH38" s="24" t="inlineStr">
        <is>
          <t>2026-07-20T14:57:35.056972Z</t>
        </is>
      </c>
      <c r="BI38" s="24" t="inlineStr">
        <is>
          <t>["same_event","same_team_same_day","same_league_same_day"]</t>
        </is>
      </c>
      <c r="BJ38" s="25" t="n"/>
      <c r="BK38" s="26" t="n">
        <v>-108</v>
      </c>
      <c r="BL38" s="27" t="n">
        <v>1.925926</v>
      </c>
      <c r="BM38" s="28" t="n">
        <v>0.519231</v>
      </c>
      <c r="BN38" s="28" t="n">
        <v>0.517413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</row>
    <row r="39" ht="36" customHeight="1">
      <c r="A39" s="24" t="inlineStr">
        <is>
          <t>33b7223ce80841b3</t>
        </is>
      </c>
      <c r="B39" s="24" t="inlineStr">
        <is>
          <t>2026-07-20T14:58:17.970946Z</t>
        </is>
      </c>
      <c r="C39" s="24" t="inlineStr">
        <is>
          <t>2026-07-20T20:05:00-0400</t>
        </is>
      </c>
      <c r="D39" s="24" t="inlineStr">
        <is>
          <t>401816193</t>
        </is>
      </c>
      <c r="E39" s="24" t="inlineStr">
        <is>
          <t>MLB</t>
        </is>
      </c>
      <c r="F39" s="24" t="inlineStr">
        <is>
          <t>Detroit Tigers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-108</v>
      </c>
      <c r="M39" s="27" t="n">
        <v>1.925926</v>
      </c>
      <c r="N39" s="28" t="n">
        <v>0.519231</v>
      </c>
      <c r="O39" s="28" t="n">
        <v>0.566967</v>
      </c>
      <c r="P39" s="28" t="n"/>
      <c r="Q39" s="28" t="n">
        <v>0.047736</v>
      </c>
      <c r="R39" s="26" t="n">
        <v>44</v>
      </c>
      <c r="S39" s="29" t="n">
        <v>1.25</v>
      </c>
      <c r="T39" s="24" t="inlineStr">
        <is>
          <t>mlb-elo-trend-lr-v4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Learned LR call at threshold 0.5500; executable ask 0.5200 (aec-mlb-det-chc-2026-07-20).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mlb-det</t>
        </is>
      </c>
      <c r="AQ39" s="24" t="inlineStr">
        <is>
          <t>Detroit Tigers</t>
        </is>
      </c>
      <c r="AR39" s="24" t="inlineStr">
        <is>
          <t>Detroit Tigers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b84afb2c70e14d93</t>
        </is>
      </c>
      <c r="BF39" s="24" t="inlineStr">
        <is>
          <t>1</t>
        </is>
      </c>
      <c r="BG39" s="24" t="inlineStr">
        <is>
          <t>mlb-elo-trend-lr-v4</t>
        </is>
      </c>
      <c r="BH39" s="24" t="inlineStr">
        <is>
          <t>2026-07-20T14:57:46.871986Z</t>
        </is>
      </c>
      <c r="BI39" s="24" t="inlineStr">
        <is>
          <t>["same_event","same_team_same_day","same_league_same_day"]</t>
        </is>
      </c>
      <c r="BJ39" s="25" t="n"/>
      <c r="BK39" s="26" t="n">
        <v>-108</v>
      </c>
      <c r="BL39" s="27" t="n">
        <v>1.925926</v>
      </c>
      <c r="BM39" s="28" t="n">
        <v>0.519231</v>
      </c>
      <c r="BN39" s="28" t="n">
        <v>0.517413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2026-07-20T14:59:34Z</dcterms:created>
  <dcterms:modified xsi:type="dcterms:W3CDTF">2026-07-20T14:59:34Z</dcterms:modified>
</cp:coreProperties>
</file>