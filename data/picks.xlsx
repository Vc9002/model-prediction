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83" headerRowCount="1">
  <autoFilter ref="A1:CQ83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COUNTA('Picks'!$A$2:$A$83)</f>
        <v/>
      </c>
      <c r="C4" s="6">
        <f>COUNTIF('Picks'!$U$2:$U$83,"open")</f>
        <v/>
      </c>
      <c r="E4" s="6">
        <f>COUNTIF('Picks'!$U$2:$U$83,"settled")</f>
        <v/>
      </c>
      <c r="G4" s="6">
        <f>IF(COUNTIFS('Picks'!$U$2:$U$83,"settled",'Picks'!$V$2:$V$83,"win")+COUNTIFS('Picks'!$U$2:$U$83,"settled",'Picks'!$V$2:$V$83,"loss")&gt;=$L$2,"Ready","Insufficient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COUNTIF('Picks'!$BX$2:$BX$83,"&gt;0")</f>
        <v/>
      </c>
      <c r="C7" s="6">
        <f>COUNTIFS('Picks'!$BX$2:$BX$83,"&gt;0",'Picks'!$V$2:$V$83,"win")&amp;"-"&amp;COUNTIFS('Picks'!$BX$2:$BX$83,"&gt;0",'Picks'!$V$2:$V$83,"loss")</f>
        <v/>
      </c>
      <c r="E7" s="7">
        <f>IFERROR(COUNTIFS('Picks'!$BX$2:$BX$83,"&gt;0",'Picks'!$V$2:$V$83,"win")/(COUNTIFS('Picks'!$BX$2:$BX$83,"&gt;0",'Picks'!$V$2:$V$83,"win")+COUNTIFS('Picks'!$BX$2:$BX$83,"&gt;0",'Picks'!$V$2:$V$83,"loss")),0)</f>
        <v/>
      </c>
      <c r="G7" s="7">
        <f>IFERROR(SUM('Picks'!$BY$2:$BY$83)/SUM('Picks'!$BX$2:$BX$83),0)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SUM('Picks'!$BY$2:$BY$83)</f>
        <v/>
      </c>
      <c r="C10" s="9">
        <f>IFERROR(AVERAGEIF('Picks'!$AB$2:$AB$83,"&lt;&gt;",'Picks'!$AB$2:$AB$83),0)</f>
        <v/>
      </c>
      <c r="E10" s="6">
        <f>COUNTIFS('Picks'!$AM$2:$AM$83,"QUALIFIED_SHADOW_CALL",'Picks'!$U$2:$U$83,"settled")</f>
        <v/>
      </c>
      <c r="G10" s="8">
        <f>SUMIFS('Picks'!$AC$2:$AC$83,'Picks'!$AM$2:$AM$83,"QUALIFIED_SHADOW_CALL")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COUNTIFS('Picks'!$H$2:$H$83,$A14,'Picks'!$U$2:$U$83,"settled")</f>
        <v/>
      </c>
      <c r="C14" s="13">
        <f>COUNTIFS('Picks'!$H$2:$H$83,$A14,'Picks'!$U$2:$U$83,"settled",'Picks'!$V$2:$V$83,"win")</f>
        <v/>
      </c>
      <c r="D14" s="13">
        <f>COUNTIFS('Picks'!$H$2:$H$83,$A14,'Picks'!$U$2:$U$83,"settled",'Picks'!$V$2:$V$83,"loss")</f>
        <v/>
      </c>
      <c r="E14" s="14">
        <f>IFERROR(C14/(C14+D14),0)</f>
        <v/>
      </c>
      <c r="F14" s="15">
        <f>SUMIFS('Picks'!$BY$2:$BY$83,'Picks'!$H$2:$H$83,$A14)</f>
        <v/>
      </c>
      <c r="G14" s="16">
        <f>IFERROR(AVERAGEIFS('Picks'!$AB$2:$AB$83,'Picks'!$H$2:$H$83,$A14,'Picks'!$U$2:$U$83,"settled"),0)</f>
        <v/>
      </c>
    </row>
    <row r="15">
      <c r="A15" s="17" t="inlineStr">
        <is>
          <t>spread</t>
        </is>
      </c>
      <c r="B15" s="18">
        <f>COUNTIFS('Picks'!$H$2:$H$83,$A15,'Picks'!$U$2:$U$83,"settled")</f>
        <v/>
      </c>
      <c r="C15" s="18">
        <f>COUNTIFS('Picks'!$H$2:$H$83,$A15,'Picks'!$U$2:$U$83,"settled",'Picks'!$V$2:$V$83,"win")</f>
        <v/>
      </c>
      <c r="D15" s="18">
        <f>COUNTIFS('Picks'!$H$2:$H$83,$A15,'Picks'!$U$2:$U$83,"settled",'Picks'!$V$2:$V$83,"loss")</f>
        <v/>
      </c>
      <c r="E15" s="19">
        <f>IFERROR(C15/(C15+D15),0)</f>
        <v/>
      </c>
      <c r="F15" s="20">
        <f>SUMIFS('Picks'!$BY$2:$BY$83,'Picks'!$H$2:$H$83,$A15)</f>
        <v/>
      </c>
      <c r="G15" s="21">
        <f>IFERROR(AVERAGEIFS('Picks'!$AB$2:$AB$83,'Picks'!$H$2:$H$83,$A15,'Picks'!$U$2:$U$83,"settled"),0)</f>
        <v/>
      </c>
    </row>
    <row r="16">
      <c r="A16" s="12" t="inlineStr">
        <is>
          <t>total</t>
        </is>
      </c>
      <c r="B16" s="13">
        <f>COUNTIFS('Picks'!$H$2:$H$83,$A16,'Picks'!$U$2:$U$83,"settled")</f>
        <v/>
      </c>
      <c r="C16" s="13">
        <f>COUNTIFS('Picks'!$H$2:$H$83,$A16,'Picks'!$U$2:$U$83,"settled",'Picks'!$V$2:$V$83,"win")</f>
        <v/>
      </c>
      <c r="D16" s="13">
        <f>COUNTIFS('Picks'!$H$2:$H$83,$A16,'Picks'!$U$2:$U$83,"settled",'Picks'!$V$2:$V$83,"loss")</f>
        <v/>
      </c>
      <c r="E16" s="14">
        <f>IFERROR(C16/(C16+D16),0)</f>
        <v/>
      </c>
      <c r="F16" s="15">
        <f>SUMIFS('Picks'!$BY$2:$BY$83,'Picks'!$H$2:$H$83,$A16)</f>
        <v/>
      </c>
      <c r="G16" s="16">
        <f>IFERROR(AVERAGEIFS('Picks'!$AB$2:$AB$83,'Picks'!$H$2:$H$83,$A16,'Picks'!$U$2:$U$83,"settled"),0)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2</v>
      </c>
      <c r="Y52" s="25" t="n"/>
      <c r="Z52" s="26" t="n"/>
      <c r="AA52" s="28" t="n"/>
      <c r="AB52" s="28" t="n"/>
      <c r="AC52" s="30" t="n">
        <v>2.425</v>
      </c>
      <c r="AD52" s="24" t="inlineStr">
        <is>
          <t>2026-08-02T15:52:33.778676Z</t>
        </is>
      </c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f34743eccf0143a3</t>
        </is>
      </c>
      <c r="B53" s="24" t="inlineStr">
        <is>
          <t>2026-08-02T16:48:43.908788Z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0.643489</v>
      </c>
      <c r="P53" s="28" t="n"/>
      <c r="Q53" s="28" t="n">
        <v>-0.006861</v>
      </c>
      <c r="R53" s="26" t="n">
        <v>20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2026-08-02T16:47:30.539614Z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>
        <v>0.643564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inlineStr">
        <is>
          <t>0.643489</t>
        </is>
      </c>
      <c r="CQ53" s="24" t="inlineStr">
        <is>
          <t>False</t>
        </is>
      </c>
    </row>
    <row r="54" ht="36" customHeight="1">
      <c r="A54" s="24" t="inlineStr">
        <is>
          <t>5e9ae53a0f2043a1</t>
        </is>
      </c>
      <c r="B54" s="24" t="inlineStr">
        <is>
          <t>2026-08-02T16:48:43.908788Z</t>
        </is>
      </c>
      <c r="C54" s="24" t="inlineStr">
        <is>
          <t>2026-08-02T15:30:00-0400</t>
        </is>
      </c>
      <c r="D54" s="24" t="inlineStr">
        <is>
          <t>401857108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Portland Fire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0.57112</v>
      </c>
      <c r="P54" s="28" t="n"/>
      <c r="Q54" s="28" t="n">
        <v>0.07112</v>
      </c>
      <c r="R54" s="26" t="n">
        <v>58</v>
      </c>
      <c r="S54" s="29" t="n">
        <v>1.25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wnba-las</t>
        </is>
      </c>
      <c r="AQ54" s="24" t="inlineStr">
        <is>
          <t>Los Angeles Sparks</t>
        </is>
      </c>
      <c r="AR54" s="24" t="inlineStr">
        <is>
          <t>Los Angeles Sparks</t>
        </is>
      </c>
      <c r="AS54" s="24" t="inlineStr">
        <is>
          <t>wnba-por</t>
        </is>
      </c>
      <c r="AT54" s="24" t="inlineStr">
        <is>
          <t>Portland Fire</t>
        </is>
      </c>
      <c r="AU54" s="24" t="inlineStr">
        <is>
          <t>Portland Fire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58d7c01d51192db8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2026-08-02T16:47:31.588031Z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>
        <v>0.49505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0.5937045717</t>
        </is>
      </c>
      <c r="CD54" s="24" t="inlineStr">
        <is>
          <t>-1.420483</t>
        </is>
      </c>
      <c r="CE54" s="24" t="n"/>
      <c r="CF54" s="24" t="n"/>
      <c r="CG54" s="24" t="n"/>
      <c r="CH54" s="24" t="n"/>
      <c r="CI54" s="24" t="inlineStr">
        <is>
          <t>NO_CALL_AVAILABILITY_PLAYER_UNMAPPED</t>
        </is>
      </c>
      <c r="CJ54" s="24" t="n"/>
      <c r="CK54" s="24" t="n"/>
      <c r="CL54" s="24" t="n"/>
      <c r="CM54" s="24" t="n"/>
      <c r="CN54" s="24" t="n"/>
      <c r="CO54" s="24" t="n"/>
      <c r="CP54" s="24" t="inlineStr">
        <is>
          <t>0.57112</t>
        </is>
      </c>
      <c r="CQ54" s="24" t="inlineStr">
        <is>
          <t>True</t>
        </is>
      </c>
    </row>
    <row r="55" ht="36" customHeight="1">
      <c r="A55" s="24" t="inlineStr">
        <is>
          <t>6f8beea0847745d8</t>
        </is>
      </c>
      <c r="B55" s="24" t="inlineStr">
        <is>
          <t>2026-08-02T16:48:43.908788Z</t>
        </is>
      </c>
      <c r="C55" s="24" t="inlineStr">
        <is>
          <t>2026-08-02T19:00:00-0400</t>
        </is>
      </c>
      <c r="D55" s="24" t="inlineStr">
        <is>
          <t>401857109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Dallas Wings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-525</v>
      </c>
      <c r="M55" s="27" t="n">
        <v>1.190476</v>
      </c>
      <c r="N55" s="28" t="n">
        <v>0.84</v>
      </c>
      <c r="O55" s="28" t="n">
        <v>0.758559</v>
      </c>
      <c r="P55" s="28" t="n"/>
      <c r="Q55" s="28" t="n">
        <v>-0.081441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wnba-con</t>
        </is>
      </c>
      <c r="AQ55" s="24" t="inlineStr">
        <is>
          <t>Connecticut Sun</t>
        </is>
      </c>
      <c r="AR55" s="24" t="inlineStr">
        <is>
          <t>Connecticut Sun</t>
        </is>
      </c>
      <c r="AS55" s="24" t="inlineStr">
        <is>
          <t>wnba-dal</t>
        </is>
      </c>
      <c r="AT55" s="24" t="inlineStr">
        <is>
          <t>Dallas Wings</t>
        </is>
      </c>
      <c r="AU55" s="24" t="inlineStr">
        <is>
          <t>Dallas Wings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9c0c7cfe02317de7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2026-08-02T16:47:33.049459Z</t>
        </is>
      </c>
      <c r="BI55" s="24" t="inlineStr">
        <is>
          <t>["same_event","same_team_same_day","same_league_same_day"]</t>
        </is>
      </c>
      <c r="BJ55" s="25" t="n"/>
      <c r="BK55" s="26" t="n">
        <v>-525</v>
      </c>
      <c r="BL55" s="27" t="n">
        <v>1.190476</v>
      </c>
      <c r="BM55" s="28" t="n">
        <v>0.84</v>
      </c>
      <c r="BN55" s="28" t="n">
        <v>0.831683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0.8648169599</t>
        </is>
      </c>
      <c r="CD55" s="24" t="inlineStr">
        <is>
          <t>-2.14749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  <c r="CP55" s="24" t="inlineStr">
        <is>
          <t>0.758559</t>
        </is>
      </c>
      <c r="CQ55" s="24" t="inlineStr">
        <is>
          <t>False</t>
        </is>
      </c>
    </row>
    <row r="56" ht="36" customHeight="1">
      <c r="A56" s="24" t="inlineStr">
        <is>
          <t>fbacf530e1334866</t>
        </is>
      </c>
      <c r="B56" s="24" t="inlineStr">
        <is>
          <t>2026-08-02T16:48:43.908788Z</t>
        </is>
      </c>
      <c r="C56" s="24" t="inlineStr">
        <is>
          <t>2026-08-02T20:30:00-0400</t>
        </is>
      </c>
      <c r="D56" s="24" t="inlineStr">
        <is>
          <t>401857110</t>
        </is>
      </c>
      <c r="E56" s="24" t="inlineStr">
        <is>
          <t>WNBA</t>
        </is>
      </c>
      <c r="F56" s="24" t="inlineStr">
        <is>
          <t>Toronto Tempo</t>
        </is>
      </c>
      <c r="G56" s="24" t="inlineStr">
        <is>
          <t>Golden State Valkyries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-669</v>
      </c>
      <c r="M56" s="27" t="n">
        <v>1.149477</v>
      </c>
      <c r="N56" s="28" t="n">
        <v>0.869961</v>
      </c>
      <c r="O56" s="28" t="n">
        <v>0.772803</v>
      </c>
      <c r="P56" s="28" t="n"/>
      <c r="Q56" s="28" t="n">
        <v>-0.09715799999999999</v>
      </c>
      <c r="R56" s="26" t="n">
        <v>0</v>
      </c>
      <c r="S56" s="29" t="n">
        <v>2</v>
      </c>
      <c r="T56" s="24" t="inlineStr">
        <is>
          <t>wnba-elo-trend-lr-v4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wnba-tor</t>
        </is>
      </c>
      <c r="AQ56" s="24" t="inlineStr">
        <is>
          <t>Toronto Tempo</t>
        </is>
      </c>
      <c r="AR56" s="24" t="inlineStr">
        <is>
          <t>Toronto Tempo</t>
        </is>
      </c>
      <c r="AS56" s="24" t="inlineStr">
        <is>
          <t>wnba-gsv</t>
        </is>
      </c>
      <c r="AT56" s="24" t="inlineStr">
        <is>
          <t>Golden State Valkyries</t>
        </is>
      </c>
      <c r="AU56" s="24" t="inlineStr">
        <is>
          <t>Golden State Valkyries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7afd5274214b58b7efd7f7febc7be3ab33b92351cda5cc6403c0a39faea0cc8c</t>
        </is>
      </c>
      <c r="BB56" s="24" t="inlineStr">
        <is>
          <t>learned_lr</t>
        </is>
      </c>
      <c r="BC56" s="24" t="inlineStr">
        <is>
          <t>wnba-elo-trend-lr-v4</t>
        </is>
      </c>
      <c r="BD56" s="24" t="inlineStr">
        <is>
          <t>7afd5274214b58b7efd7f7febc7be3ab33b92351cda5cc6403c0a39faea0cc8c</t>
        </is>
      </c>
      <c r="BE56" s="24" t="inlineStr">
        <is>
          <t>c1ef9fc1d2a3714a</t>
        </is>
      </c>
      <c r="BF56" s="24" t="inlineStr">
        <is>
          <t>1</t>
        </is>
      </c>
      <c r="BG56" s="24" t="inlineStr">
        <is>
          <t>wnba-elo-trend-lr-v4</t>
        </is>
      </c>
      <c r="BH56" s="24" t="inlineStr">
        <is>
          <t>2026-08-02T16:47:33.999862Z</t>
        </is>
      </c>
      <c r="BI56" s="24" t="inlineStr">
        <is>
          <t>["same_event","same_team_same_day","same_league_same_day"]</t>
        </is>
      </c>
      <c r="BJ56" s="25" t="n"/>
      <c r="BK56" s="26" t="n">
        <v>-669</v>
      </c>
      <c r="BL56" s="27" t="n">
        <v>1.149477</v>
      </c>
      <c r="BM56" s="28" t="n">
        <v>0.869961</v>
      </c>
      <c r="BN56" s="28" t="n">
        <v>0.861386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0.8973864278</t>
        </is>
      </c>
      <c r="CD56" s="24" t="inlineStr">
        <is>
          <t>2.248193</t>
        </is>
      </c>
      <c r="CE56" s="24" t="n"/>
      <c r="CF56" s="24" t="n"/>
      <c r="CG56" s="24" t="n"/>
      <c r="CH56" s="24" t="n"/>
      <c r="CI56" s="24" t="inlineStr">
        <is>
          <t>NO_CALL_AVAILABILITY_PLAYER_UNMAPPED</t>
        </is>
      </c>
      <c r="CJ56" s="24" t="n"/>
      <c r="CK56" s="24" t="n"/>
      <c r="CL56" s="24" t="n"/>
      <c r="CM56" s="24" t="n"/>
      <c r="CN56" s="24" t="n"/>
      <c r="CO56" s="24" t="n"/>
      <c r="CP56" s="24" t="inlineStr">
        <is>
          <t>0.772803</t>
        </is>
      </c>
      <c r="CQ56" s="24" t="inlineStr">
        <is>
          <t>False</t>
        </is>
      </c>
    </row>
    <row r="57" ht="36" customHeight="1">
      <c r="A57" s="24" t="inlineStr">
        <is>
          <t>8cb51f162af5496b</t>
        </is>
      </c>
      <c r="B57" s="24" t="inlineStr">
        <is>
          <t>2026-08-02T16:48:43.908788Z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0.510159</v>
      </c>
      <c r="P57" s="28" t="n"/>
      <c r="Q57" s="28" t="n">
        <v>-0.055058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-0.0548.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49479e987644e024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2026-08-02T16:47:15.574366Z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1.019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inlineStr">
        <is>
          <t>0.510159</t>
        </is>
      </c>
      <c r="CQ57" s="24" t="inlineStr">
        <is>
          <t>False</t>
        </is>
      </c>
    </row>
    <row r="58" ht="36" customHeight="1">
      <c r="A58" s="24" t="inlineStr">
        <is>
          <t>ccc8b6b2ab0145e1</t>
        </is>
      </c>
      <c r="B58" s="24" t="inlineStr">
        <is>
          <t>2026-08-02T16:48:43.908788Z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0.600464</v>
      </c>
      <c r="P58" s="28" t="n"/>
      <c r="Q58" s="28" t="n">
        <v>0.050914</v>
      </c>
      <c r="R58" s="26" t="n">
        <v>47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0.5500 (aec-mlb-wsh-atl-2026-08-02); model edge vs ask +0.0505.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73dc550984f25411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2026-08-02T16:47:16.600061Z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>
        <v>0.547264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1.0183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inlineStr">
        <is>
          <t>0.600464</t>
        </is>
      </c>
      <c r="CQ58" s="24" t="inlineStr">
        <is>
          <t>True</t>
        </is>
      </c>
    </row>
    <row r="59" ht="36" customHeight="1">
      <c r="A59" s="24" t="inlineStr">
        <is>
          <t>ae46a4579716408e</t>
        </is>
      </c>
      <c r="B59" s="24" t="inlineStr">
        <is>
          <t>2026-08-02T16:48:43.908788Z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-120</v>
      </c>
      <c r="M59" s="27" t="n">
        <v>1.833333</v>
      </c>
      <c r="N59" s="28" t="n">
        <v>0.545455</v>
      </c>
      <c r="O59" s="28" t="n">
        <v>0.536276</v>
      </c>
      <c r="P59" s="28" t="n"/>
      <c r="Q59" s="28" t="n">
        <v>-0.009179</v>
      </c>
      <c r="R59" s="26" t="n">
        <v>17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0.5450 (aec-mlb-stl-tor-2026-08-02); model edge vs ask -0.0087.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2026-08-02T16:47:17.581659Z</t>
        </is>
      </c>
      <c r="BI59" s="24" t="inlineStr">
        <is>
          <t>["same_event","same_team_same_day","same_league_same_day"]</t>
        </is>
      </c>
      <c r="BJ59" s="25" t="n"/>
      <c r="BK59" s="26" t="n">
        <v>-120</v>
      </c>
      <c r="BL59" s="27" t="n">
        <v>1.833333</v>
      </c>
      <c r="BM59" s="28" t="n">
        <v>0.545455</v>
      </c>
      <c r="BN59" s="28" t="n">
        <v>0.542289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1.0</t>
        </is>
      </c>
      <c r="CG59" s="24" t="inlineStr">
        <is>
          <t>-2.0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inlineStr">
        <is>
          <t>0.536276</t>
        </is>
      </c>
      <c r="CQ59" s="24" t="inlineStr">
        <is>
          <t>False</t>
        </is>
      </c>
    </row>
    <row r="60" ht="36" customHeight="1">
      <c r="A60" s="24" t="inlineStr">
        <is>
          <t>c2761c88de064d21</t>
        </is>
      </c>
      <c r="B60" s="24" t="inlineStr">
        <is>
          <t>2026-08-02T16:48:43.908788Z</t>
        </is>
      </c>
      <c r="C60" s="24" t="inlineStr">
        <is>
          <t>2026-08-02T13:40:00-0400</t>
        </is>
      </c>
      <c r="D60" s="24" t="inlineStr">
        <is>
          <t>401816362</t>
        </is>
      </c>
      <c r="E60" s="24" t="inlineStr">
        <is>
          <t>MLB</t>
        </is>
      </c>
      <c r="F60" s="24" t="inlineStr">
        <is>
          <t>Arizona Diamondbacks</t>
        </is>
      </c>
      <c r="G60" s="24" t="inlineStr">
        <is>
          <t>Cleveland Guardians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-160</v>
      </c>
      <c r="M60" s="27" t="n">
        <v>1.625</v>
      </c>
      <c r="N60" s="28" t="n">
        <v>0.615385</v>
      </c>
      <c r="O60" s="28" t="n">
        <v>0.541975</v>
      </c>
      <c r="P60" s="28" t="n"/>
      <c r="Q60" s="28" t="n">
        <v>-0.07341</v>
      </c>
      <c r="R60" s="26" t="n">
        <v>0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0.6150 (aec-mlb-az-cle-2026-08-02); model edge vs ask -0.0730.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mlb-ari</t>
        </is>
      </c>
      <c r="AQ60" s="24" t="inlineStr">
        <is>
          <t>Arizona Diamondbacks</t>
        </is>
      </c>
      <c r="AR60" s="24" t="inlineStr">
        <is>
          <t>Arizona Diamondbacks</t>
        </is>
      </c>
      <c r="AS60" s="24" t="inlineStr">
        <is>
          <t>mlb-cle</t>
        </is>
      </c>
      <c r="AT60" s="24" t="inlineStr">
        <is>
          <t>Cleveland Guardians</t>
        </is>
      </c>
      <c r="AU60" s="24" t="inlineStr">
        <is>
          <t>Cleveland Guardians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3abf364aadf2cd68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2026-08-02T16:47:18.589397Z</t>
        </is>
      </c>
      <c r="BI60" s="24" t="inlineStr">
        <is>
          <t>["same_event","same_team_same_day","same_league_same_day"]</t>
        </is>
      </c>
      <c r="BJ60" s="25" t="n"/>
      <c r="BK60" s="26" t="n">
        <v>-160</v>
      </c>
      <c r="BL60" s="27" t="n">
        <v>1.625</v>
      </c>
      <c r="BM60" s="28" t="n">
        <v>0.615385</v>
      </c>
      <c r="BN60" s="28" t="n">
        <v>0.61194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0.5147263352</t>
        </is>
      </c>
      <c r="CD60" s="24" t="inlineStr">
        <is>
          <t>-1.620545</t>
        </is>
      </c>
      <c r="CE60" s="24" t="inlineStr">
        <is>
          <t>0.966</t>
        </is>
      </c>
      <c r="CF60" s="24" t="inlineStr">
        <is>
          <t>1.012</t>
        </is>
      </c>
      <c r="CG60" s="24" t="inlineStr">
        <is>
          <t>1.0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inlineStr">
        <is>
          <t>0.541975</t>
        </is>
      </c>
      <c r="CQ60" s="24" t="inlineStr">
        <is>
          <t>False</t>
        </is>
      </c>
    </row>
    <row r="61" ht="36" customHeight="1">
      <c r="A61" s="24" t="inlineStr">
        <is>
          <t>46fd771d8ffe45b2</t>
        </is>
      </c>
      <c r="B61" s="24" t="inlineStr">
        <is>
          <t>2026-08-02T16:48:43.908788Z</t>
        </is>
      </c>
      <c r="C61" s="24" t="inlineStr">
        <is>
          <t>2026-08-02T13:40:00-0400</t>
        </is>
      </c>
      <c r="D61" s="24" t="inlineStr">
        <is>
          <t>401816363</t>
        </is>
      </c>
      <c r="E61" s="24" t="inlineStr">
        <is>
          <t>MLB</t>
        </is>
      </c>
      <c r="F61" s="24" t="inlineStr">
        <is>
          <t>Chicago White Sox</t>
        </is>
      </c>
      <c r="G61" s="24" t="inlineStr">
        <is>
          <t>Tampa Bay Rays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-138</v>
      </c>
      <c r="M61" s="27" t="n">
        <v>1.724638</v>
      </c>
      <c r="N61" s="28" t="n">
        <v>0.579832</v>
      </c>
      <c r="O61" s="28" t="n">
        <v>0.565508</v>
      </c>
      <c r="P61" s="28" t="n"/>
      <c r="Q61" s="28" t="n">
        <v>-0.014324</v>
      </c>
      <c r="R61" s="26" t="n">
        <v>14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0.5800 (aec-mlb-cws-tb-2026-08-02); model edge vs ask -0.0145.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mlb-cws</t>
        </is>
      </c>
      <c r="AQ61" s="24" t="inlineStr">
        <is>
          <t>Chicago White Sox</t>
        </is>
      </c>
      <c r="AR61" s="24" t="inlineStr">
        <is>
          <t>Chicago White Sox</t>
        </is>
      </c>
      <c r="AS61" s="24" t="inlineStr">
        <is>
          <t>mlb-tb</t>
        </is>
      </c>
      <c r="AT61" s="24" t="inlineStr">
        <is>
          <t>Tampa Bay Rays</t>
        </is>
      </c>
      <c r="AU61" s="24" t="inlineStr">
        <is>
          <t>Tampa Bay Rays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adafae297aed5d6c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2026-08-02T16:47:21.524285Z</t>
        </is>
      </c>
      <c r="BI61" s="24" t="inlineStr">
        <is>
          <t>["same_event","same_team_same_day","same_league_same_day"]</t>
        </is>
      </c>
      <c r="BJ61" s="25" t="n"/>
      <c r="BK61" s="26" t="n">
        <v>-138</v>
      </c>
      <c r="BL61" s="27" t="n">
        <v>1.724638</v>
      </c>
      <c r="BM61" s="28" t="n">
        <v>0.579832</v>
      </c>
      <c r="BN61" s="28" t="n">
        <v>0.577114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0.5503982216</t>
        </is>
      </c>
      <c r="CD61" s="24" t="inlineStr">
        <is>
          <t>-0.597101</t>
        </is>
      </c>
      <c r="CE61" s="24" t="inlineStr">
        <is>
          <t>0.965</t>
        </is>
      </c>
      <c r="CF61" s="24" t="inlineStr">
        <is>
          <t>1.0</t>
        </is>
      </c>
      <c r="CG61" s="24" t="inlineStr">
        <is>
          <t>0.2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inlineStr">
        <is>
          <t>0.565508</t>
        </is>
      </c>
      <c r="CQ61" s="24" t="inlineStr">
        <is>
          <t>False</t>
        </is>
      </c>
    </row>
    <row r="62" ht="36" customHeight="1">
      <c r="A62" s="24" t="inlineStr">
        <is>
          <t>5093570833494a49</t>
        </is>
      </c>
      <c r="B62" s="24" t="inlineStr">
        <is>
          <t>2026-08-02T16:48:43.908788Z</t>
        </is>
      </c>
      <c r="C62" s="24" t="inlineStr">
        <is>
          <t>2026-08-02T13:40:00-0400</t>
        </is>
      </c>
      <c r="D62" s="24" t="inlineStr">
        <is>
          <t>401816364</t>
        </is>
      </c>
      <c r="E62" s="24" t="inlineStr">
        <is>
          <t>MLB</t>
        </is>
      </c>
      <c r="F62" s="24" t="inlineStr">
        <is>
          <t>Miami Marlins</t>
        </is>
      </c>
      <c r="G62" s="24" t="inlineStr">
        <is>
          <t>New York Mets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108</v>
      </c>
      <c r="M62" s="27" t="n">
        <v>2.08</v>
      </c>
      <c r="N62" s="28" t="n">
        <v>0.480769</v>
      </c>
      <c r="O62" s="28" t="n">
        <v>0.519289</v>
      </c>
      <c r="P62" s="28" t="n"/>
      <c r="Q62" s="28" t="n">
        <v>0.03852</v>
      </c>
      <c r="R62" s="26" t="n">
        <v>41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0.4800 (aec-mlb-mia-nym-2026-08-02); model edge vs ask +0.0393.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mlb-mia</t>
        </is>
      </c>
      <c r="AQ62" s="24" t="inlineStr">
        <is>
          <t>Miami Marlins</t>
        </is>
      </c>
      <c r="AR62" s="24" t="inlineStr">
        <is>
          <t>Miami Marlins</t>
        </is>
      </c>
      <c r="AS62" s="24" t="inlineStr">
        <is>
          <t>mlb-nym</t>
        </is>
      </c>
      <c r="AT62" s="24" t="inlineStr">
        <is>
          <t>New York Mets</t>
        </is>
      </c>
      <c r="AU62" s="24" t="inlineStr">
        <is>
          <t>New York Mets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4f285de198a5830f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2026-08-02T16:47:20.465851Z</t>
        </is>
      </c>
      <c r="BI62" s="24" t="inlineStr">
        <is>
          <t>["same_event","same_team_same_day","same_league_same_day"]</t>
        </is>
      </c>
      <c r="BJ62" s="25" t="n"/>
      <c r="BK62" s="26" t="n">
        <v>108</v>
      </c>
      <c r="BL62" s="27" t="n">
        <v>2.08</v>
      </c>
      <c r="BM62" s="28" t="n">
        <v>0.480769</v>
      </c>
      <c r="BN62" s="28" t="n">
        <v>0.477612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0.4938777222</t>
        </is>
      </c>
      <c r="CD62" s="24" t="inlineStr">
        <is>
          <t>-0.998113</t>
        </is>
      </c>
      <c r="CE62" s="24" t="inlineStr">
        <is>
          <t>0.978</t>
        </is>
      </c>
      <c r="CF62" s="24" t="inlineStr">
        <is>
          <t>1.0209</t>
        </is>
      </c>
      <c r="CG62" s="24" t="inlineStr">
        <is>
          <t>0.4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inlineStr">
        <is>
          <t>0.519289</t>
        </is>
      </c>
      <c r="CQ62" s="24" t="inlineStr">
        <is>
          <t>True</t>
        </is>
      </c>
    </row>
    <row r="63" ht="36" customHeight="1">
      <c r="A63" s="24" t="inlineStr">
        <is>
          <t>63f7e527b4d44f86</t>
        </is>
      </c>
      <c r="B63" s="24" t="inlineStr">
        <is>
          <t>2026-08-02T16:48:43.908788Z</t>
        </is>
      </c>
      <c r="C63" s="24" t="inlineStr">
        <is>
          <t>2026-08-02T13:40:00-0400</t>
        </is>
      </c>
      <c r="D63" s="24" t="inlineStr">
        <is>
          <t>401816366</t>
        </is>
      </c>
      <c r="E63" s="24" t="inlineStr">
        <is>
          <t>MLB</t>
        </is>
      </c>
      <c r="F63" s="24" t="inlineStr">
        <is>
          <t>Pittsburgh Pirates</t>
        </is>
      </c>
      <c r="G63" s="24" t="inlineStr">
        <is>
          <t>Cincinnati Reds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127</v>
      </c>
      <c r="M63" s="27" t="n">
        <v>2.27</v>
      </c>
      <c r="N63" s="28" t="n">
        <v>0.440529</v>
      </c>
      <c r="O63" s="28" t="n">
        <v>0.518519</v>
      </c>
      <c r="P63" s="28" t="n"/>
      <c r="Q63" s="28" t="n">
        <v>0.07799</v>
      </c>
      <c r="R63" s="26" t="n">
        <v>60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0.4400 (aec-mlb-pit-cin-2026-08-02); model edge vs ask +0.0785.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mlb-pit</t>
        </is>
      </c>
      <c r="AQ63" s="24" t="inlineStr">
        <is>
          <t>Pittsburgh Pirates</t>
        </is>
      </c>
      <c r="AR63" s="24" t="inlineStr">
        <is>
          <t>Pittsburgh Pirates</t>
        </is>
      </c>
      <c r="AS63" s="24" t="inlineStr">
        <is>
          <t>mlb-cin</t>
        </is>
      </c>
      <c r="AT63" s="24" t="inlineStr">
        <is>
          <t>Cincinnati Reds</t>
        </is>
      </c>
      <c r="AU63" s="24" t="inlineStr">
        <is>
          <t>Cincinnati Reds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2316e9a0ae11b344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2026-08-02T16:47:19.545324Z</t>
        </is>
      </c>
      <c r="BI63" s="24" t="inlineStr">
        <is>
          <t>["same_event","same_team_same_day","same_league_same_day"]</t>
        </is>
      </c>
      <c r="BJ63" s="25" t="n"/>
      <c r="BK63" s="26" t="n">
        <v>127</v>
      </c>
      <c r="BL63" s="27" t="n">
        <v>2.27</v>
      </c>
      <c r="BM63" s="28" t="n">
        <v>0.440529</v>
      </c>
      <c r="BN63" s="28" t="n">
        <v>0.437811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0.4891381657</t>
        </is>
      </c>
      <c r="CD63" s="24" t="inlineStr">
        <is>
          <t>0.471311</t>
        </is>
      </c>
      <c r="CE63" s="24" t="inlineStr">
        <is>
          <t>1.036</t>
        </is>
      </c>
      <c r="CF63" s="24" t="inlineStr">
        <is>
          <t>1.0043</t>
        </is>
      </c>
      <c r="CG63" s="24" t="inlineStr">
        <is>
          <t>-0.8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inlineStr">
        <is>
          <t>0.518519</t>
        </is>
      </c>
      <c r="CQ63" s="24" t="inlineStr">
        <is>
          <t>True</t>
        </is>
      </c>
    </row>
    <row r="64" ht="36" customHeight="1">
      <c r="A64" s="24" t="inlineStr">
        <is>
          <t>dee6efb09bd74fa4</t>
        </is>
      </c>
      <c r="B64" s="24" t="inlineStr">
        <is>
          <t>2026-08-02T16:48:43.908788Z</t>
        </is>
      </c>
      <c r="C64" s="24" t="inlineStr">
        <is>
          <t>2026-08-02T14:10:00-0400</t>
        </is>
      </c>
      <c r="D64" s="24" t="inlineStr">
        <is>
          <t>401816370</t>
        </is>
      </c>
      <c r="E64" s="24" t="inlineStr">
        <is>
          <t>MLB</t>
        </is>
      </c>
      <c r="F64" s="24" t="inlineStr">
        <is>
          <t>Texas Rangers</t>
        </is>
      </c>
      <c r="G64" s="24" t="inlineStr">
        <is>
          <t>Houston Astros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-127</v>
      </c>
      <c r="M64" s="27" t="n">
        <v>1.787402</v>
      </c>
      <c r="N64" s="28" t="n">
        <v>0.5594710000000001</v>
      </c>
      <c r="O64" s="28" t="n">
        <v>0.538187</v>
      </c>
      <c r="P64" s="28" t="n"/>
      <c r="Q64" s="28" t="n">
        <v>-0.021284</v>
      </c>
      <c r="R64" s="26" t="n">
        <v>10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0.5600 (aec-mlb-tex-hou-2026-08-02); model edge vs ask -0.0218.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mlb-tex</t>
        </is>
      </c>
      <c r="AQ64" s="24" t="inlineStr">
        <is>
          <t>Texas Rangers</t>
        </is>
      </c>
      <c r="AR64" s="24" t="inlineStr">
        <is>
          <t>Texas Rangers</t>
        </is>
      </c>
      <c r="AS64" s="24" t="inlineStr">
        <is>
          <t>mlb-hou</t>
        </is>
      </c>
      <c r="AT64" s="24" t="inlineStr">
        <is>
          <t>Houston Astros</t>
        </is>
      </c>
      <c r="AU64" s="24" t="inlineStr">
        <is>
          <t>Houston Astros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2d42dfba300c1668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2026-08-02T16:47:22.544463Z</t>
        </is>
      </c>
      <c r="BI64" s="24" t="inlineStr">
        <is>
          <t>["same_event","same_team_same_day","same_league_same_day"]</t>
        </is>
      </c>
      <c r="BJ64" s="25" t="n"/>
      <c r="BK64" s="26" t="n">
        <v>-127</v>
      </c>
      <c r="BL64" s="27" t="n">
        <v>1.787402</v>
      </c>
      <c r="BM64" s="28" t="n">
        <v>0.5594710000000001</v>
      </c>
      <c r="BN64" s="28" t="n">
        <v>0.557214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0.5570987062</t>
        </is>
      </c>
      <c r="CD64" s="24" t="inlineStr">
        <is>
          <t>1.976345</t>
        </is>
      </c>
      <c r="CE64" s="24" t="inlineStr">
        <is>
          <t>0.956</t>
        </is>
      </c>
      <c r="CF64" s="24" t="inlineStr">
        <is>
          <t>1.0</t>
        </is>
      </c>
      <c r="CG64" s="24" t="inlineStr">
        <is>
          <t>-1.4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inlineStr">
        <is>
          <t>0.538187</t>
        </is>
      </c>
      <c r="CQ64" s="24" t="inlineStr">
        <is>
          <t>False</t>
        </is>
      </c>
    </row>
    <row r="65" ht="36" customHeight="1">
      <c r="A65" s="24" t="inlineStr">
        <is>
          <t>b29866725d4942c7</t>
        </is>
      </c>
      <c r="B65" s="24" t="inlineStr">
        <is>
          <t>2026-08-02T16:48:43.908788Z</t>
        </is>
      </c>
      <c r="C65" s="24" t="inlineStr">
        <is>
          <t>2026-08-02T14:20:00-0400</t>
        </is>
      </c>
      <c r="D65" s="24" t="inlineStr">
        <is>
          <t>401816369</t>
        </is>
      </c>
      <c r="E65" s="24" t="inlineStr">
        <is>
          <t>MLB</t>
        </is>
      </c>
      <c r="F65" s="24" t="inlineStr">
        <is>
          <t>New York Yankees</t>
        </is>
      </c>
      <c r="G65" s="24" t="inlineStr">
        <is>
          <t>Chicago Cubs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108</v>
      </c>
      <c r="M65" s="27" t="n">
        <v>2.08</v>
      </c>
      <c r="N65" s="28" t="n">
        <v>0.480769</v>
      </c>
      <c r="O65" s="28" t="n">
        <v>0.549558</v>
      </c>
      <c r="P65" s="28" t="n"/>
      <c r="Q65" s="28" t="n">
        <v>0.068789</v>
      </c>
      <c r="R65" s="26" t="n">
        <v>56</v>
      </c>
      <c r="S65" s="29" t="n">
        <v>1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0.4800 (aec-mlb-nyy-chc-2026-08-02); model edge vs ask +0.0696.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mlb-nyy</t>
        </is>
      </c>
      <c r="AQ65" s="24" t="inlineStr">
        <is>
          <t>New York Yankees</t>
        </is>
      </c>
      <c r="AR65" s="24" t="inlineStr">
        <is>
          <t>New York Yankees</t>
        </is>
      </c>
      <c r="AS65" s="24" t="inlineStr">
        <is>
          <t>mlb-chc</t>
        </is>
      </c>
      <c r="AT65" s="24" t="inlineStr">
        <is>
          <t>Chicago Cubs</t>
        </is>
      </c>
      <c r="AU65" s="24" t="inlineStr">
        <is>
          <t>Chicago Cubs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9d686f298bb896a1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2026-08-02T16:47:23.319683Z</t>
        </is>
      </c>
      <c r="BI65" s="24" t="inlineStr">
        <is>
          <t>["same_event","same_team_same_day","same_league_same_day"]</t>
        </is>
      </c>
      <c r="BJ65" s="25" t="n"/>
      <c r="BK65" s="26" t="n">
        <v>108</v>
      </c>
      <c r="BL65" s="27" t="n">
        <v>2.08</v>
      </c>
      <c r="BM65" s="28" t="n">
        <v>0.480769</v>
      </c>
      <c r="BN65" s="28" t="n">
        <v>0.477612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0.5479631024</t>
        </is>
      </c>
      <c r="CD65" s="24" t="inlineStr">
        <is>
          <t>0.358864</t>
        </is>
      </c>
      <c r="CE65" s="24" t="inlineStr">
        <is>
          <t>0.986</t>
        </is>
      </c>
      <c r="CF65" s="24" t="inlineStr">
        <is>
          <t>1.0075</t>
        </is>
      </c>
      <c r="CG65" s="24" t="inlineStr">
        <is>
          <t>-0.8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inlineStr">
        <is>
          <t>0.549558</t>
        </is>
      </c>
      <c r="CQ65" s="24" t="inlineStr">
        <is>
          <t>True</t>
        </is>
      </c>
    </row>
    <row r="66" ht="36" customHeight="1">
      <c r="A66" s="24" t="inlineStr">
        <is>
          <t>8120ab690aa44c94</t>
        </is>
      </c>
      <c r="B66" s="24" t="inlineStr">
        <is>
          <t>2026-08-02T16:48:43.908788Z</t>
        </is>
      </c>
      <c r="C66" s="24" t="inlineStr">
        <is>
          <t>2026-08-02T15:10:00-0400</t>
        </is>
      </c>
      <c r="D66" s="24" t="inlineStr">
        <is>
          <t>401816371</t>
        </is>
      </c>
      <c r="E66" s="24" t="inlineStr">
        <is>
          <t>MLB</t>
        </is>
      </c>
      <c r="F66" s="24" t="inlineStr">
        <is>
          <t>Kansas City Royals</t>
        </is>
      </c>
      <c r="G66" s="24" t="inlineStr">
        <is>
          <t>Colorado Rockies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115</v>
      </c>
      <c r="M66" s="27" t="n">
        <v>2.15</v>
      </c>
      <c r="N66" s="28" t="n">
        <v>0.465116</v>
      </c>
      <c r="O66" s="28" t="n">
        <v>0.6000450000000001</v>
      </c>
      <c r="P66" s="28" t="n"/>
      <c r="Q66" s="28" t="n">
        <v>0.134929</v>
      </c>
      <c r="R66" s="26" t="n">
        <v>89</v>
      </c>
      <c r="S66" s="29" t="n">
        <v>1.25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0.4650 (aec-mlb-kc-col-2026-08-02); model edge vs ask +0.1350.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mlb-kc</t>
        </is>
      </c>
      <c r="AQ66" s="24" t="inlineStr">
        <is>
          <t>Kansas City Royals</t>
        </is>
      </c>
      <c r="AR66" s="24" t="inlineStr">
        <is>
          <t>Kansas City Royals</t>
        </is>
      </c>
      <c r="AS66" s="24" t="inlineStr">
        <is>
          <t>mlb-col</t>
        </is>
      </c>
      <c r="AT66" s="24" t="inlineStr">
        <is>
          <t>Colorado Rockies</t>
        </is>
      </c>
      <c r="AU66" s="24" t="inlineStr">
        <is>
          <t>Colorado Rockies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0c0953cd7a78282a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2026-08-02T16:47:24.564790Z</t>
        </is>
      </c>
      <c r="BI66" s="24" t="inlineStr">
        <is>
          <t>["same_event","same_team_same_day","same_league_same_day"]</t>
        </is>
      </c>
      <c r="BJ66" s="25" t="n"/>
      <c r="BK66" s="26" t="n">
        <v>115</v>
      </c>
      <c r="BL66" s="27" t="n">
        <v>2.15</v>
      </c>
      <c r="BM66" s="28" t="n">
        <v>0.465116</v>
      </c>
      <c r="BN66" s="28" t="n">
        <v>0.462687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0.4463973804</t>
        </is>
      </c>
      <c r="CD66" s="24" t="inlineStr">
        <is>
          <t>1.55286</t>
        </is>
      </c>
      <c r="CE66" s="24" t="inlineStr">
        <is>
          <t>1.193</t>
        </is>
      </c>
      <c r="CF66" s="24" t="inlineStr">
        <is>
          <t>1.0312</t>
        </is>
      </c>
      <c r="CG66" s="24" t="inlineStr">
        <is>
          <t>1.4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inlineStr">
        <is>
          <t>0.600045</t>
        </is>
      </c>
      <c r="CQ66" s="24" t="inlineStr">
        <is>
          <t>True</t>
        </is>
      </c>
    </row>
    <row r="67" ht="36" customHeight="1">
      <c r="A67" s="24" t="inlineStr">
        <is>
          <t>5660b6d8e8f44d3d</t>
        </is>
      </c>
      <c r="B67" s="24" t="inlineStr">
        <is>
          <t>2026-08-02T16:48:43.908788Z</t>
        </is>
      </c>
      <c r="C67" s="24" t="inlineStr">
        <is>
          <t>2026-08-02T15:15:00-0400</t>
        </is>
      </c>
      <c r="D67" s="24" t="inlineStr">
        <is>
          <t>401816374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-217</v>
      </c>
      <c r="M67" s="27" t="n">
        <v>1.460829</v>
      </c>
      <c r="N67" s="28" t="n">
        <v>0.684543</v>
      </c>
      <c r="O67" s="28" t="n">
        <v>0.625572</v>
      </c>
      <c r="P67" s="28" t="n"/>
      <c r="Q67" s="28" t="n">
        <v>-0.058971</v>
      </c>
      <c r="R67" s="26" t="n">
        <v>0</v>
      </c>
      <c r="S67" s="29" t="n">
        <v>1.5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0.6850 (aec-mlb-mil-laa-2026-08-02); model edge vs ask -0.0594.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ca396a4fc34ba284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2026-08-02T16:47:25.115116Z</t>
        </is>
      </c>
      <c r="BI67" s="24" t="inlineStr">
        <is>
          <t>["same_event","same_team_same_day","same_league_same_day"]</t>
        </is>
      </c>
      <c r="BJ67" s="25" t="n"/>
      <c r="BK67" s="26" t="n">
        <v>-217</v>
      </c>
      <c r="BL67" s="27" t="n">
        <v>1.460829</v>
      </c>
      <c r="BM67" s="28" t="n">
        <v>0.684543</v>
      </c>
      <c r="BN67" s="28" t="n">
        <v>0.681592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0.3268450055</t>
        </is>
      </c>
      <c r="CD67" s="24" t="inlineStr">
        <is>
          <t>-0.59379</t>
        </is>
      </c>
      <c r="CE67" s="24" t="inlineStr">
        <is>
          <t>1.01</t>
        </is>
      </c>
      <c r="CF67" s="24" t="inlineStr">
        <is>
          <t>1.0168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inlineStr">
        <is>
          <t>0.625572</t>
        </is>
      </c>
      <c r="CQ67" s="24" t="inlineStr">
        <is>
          <t>False</t>
        </is>
      </c>
    </row>
    <row r="68" ht="36" customHeight="1">
      <c r="A68" s="24" t="inlineStr">
        <is>
          <t>a0d8083f96dc491a</t>
        </is>
      </c>
      <c r="B68" s="24" t="inlineStr">
        <is>
          <t>2026-08-02T16:48:43.908788Z</t>
        </is>
      </c>
      <c r="C68" s="24" t="inlineStr">
        <is>
          <t>2026-08-02T16:05:00-0400</t>
        </is>
      </c>
      <c r="D68" s="24" t="inlineStr">
        <is>
          <t>401816373</t>
        </is>
      </c>
      <c r="E68" s="24" t="inlineStr">
        <is>
          <t>MLB</t>
        </is>
      </c>
      <c r="F68" s="24" t="inlineStr">
        <is>
          <t>Detroit Tigers</t>
        </is>
      </c>
      <c r="G68" s="24" t="inlineStr">
        <is>
          <t>Athletics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0.5593939999999999</v>
      </c>
      <c r="P68" s="28" t="n"/>
      <c r="Q68" s="28" t="n">
        <v>0.040163</v>
      </c>
      <c r="R68" s="26" t="n">
        <v>41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0.5200 (aec-mlb-det-ath-2026-08-02); model edge vs ask +0.0394.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mlb-det</t>
        </is>
      </c>
      <c r="AQ68" s="24" t="inlineStr">
        <is>
          <t>Detroit Tigers</t>
        </is>
      </c>
      <c r="AR68" s="24" t="inlineStr">
        <is>
          <t>Detroit Tigers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23be85c1ab78fadc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2026-08-02T16:47:26.391537Z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0.4182489247</t>
        </is>
      </c>
      <c r="CD68" s="24" t="inlineStr">
        <is>
          <t>-3.449013</t>
        </is>
      </c>
      <c r="CE68" s="24" t="inlineStr">
        <is>
          <t>1.153</t>
        </is>
      </c>
      <c r="CF68" s="24" t="inlineStr">
        <is>
          <t>1.0279</t>
        </is>
      </c>
      <c r="CG68" s="24" t="inlineStr">
        <is>
          <t>1.0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inlineStr">
        <is>
          <t>0.559394</t>
        </is>
      </c>
      <c r="CQ68" s="24" t="inlineStr">
        <is>
          <t>True</t>
        </is>
      </c>
    </row>
    <row r="69" ht="36" customHeight="1">
      <c r="A69" s="24" t="inlineStr">
        <is>
          <t>1ed32cea919649b7</t>
        </is>
      </c>
      <c r="B69" s="24" t="inlineStr">
        <is>
          <t>2026-08-02T16:48:43.908788Z</t>
        </is>
      </c>
      <c r="C69" s="24" t="inlineStr">
        <is>
          <t>2026-08-02T16:10:00-0400</t>
        </is>
      </c>
      <c r="D69" s="24" t="inlineStr">
        <is>
          <t>401816375</t>
        </is>
      </c>
      <c r="E69" s="24" t="inlineStr">
        <is>
          <t>MLB</t>
        </is>
      </c>
      <c r="F69" s="24" t="inlineStr">
        <is>
          <t>Minnesota Twins</t>
        </is>
      </c>
      <c r="G69" s="24" t="inlineStr">
        <is>
          <t>Seattle Mariners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0.596425</v>
      </c>
      <c r="P69" s="28" t="n"/>
      <c r="Q69" s="28" t="n">
        <v>0.036954</v>
      </c>
      <c r="R69" s="26" t="n">
        <v>40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0.5600 (aec-mlb-min-sea-2026-08-02); model edge vs ask +0.0364.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mlb-min</t>
        </is>
      </c>
      <c r="AQ69" s="24" t="inlineStr">
        <is>
          <t>Minnesota Twins</t>
        </is>
      </c>
      <c r="AR69" s="24" t="inlineStr">
        <is>
          <t>Minnesota Twins</t>
        </is>
      </c>
      <c r="AS69" s="24" t="inlineStr">
        <is>
          <t>mlb-sea</t>
        </is>
      </c>
      <c r="AT69" s="24" t="inlineStr">
        <is>
          <t>Seattle Mariners</t>
        </is>
      </c>
      <c r="AU69" s="24" t="inlineStr">
        <is>
          <t>Seattle Mariners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e58bfb84888a3f7a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2026-08-02T16:47:28.112071Z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>
        <v>0.557214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0.5819178739</t>
        </is>
      </c>
      <c r="CD69" s="24" t="inlineStr">
        <is>
          <t>0.703281</t>
        </is>
      </c>
      <c r="CE69" s="24" t="inlineStr">
        <is>
          <t>0.936</t>
        </is>
      </c>
      <c r="CF69" s="24" t="inlineStr">
        <is>
          <t>1.0</t>
        </is>
      </c>
      <c r="CG69" s="24" t="inlineStr">
        <is>
          <t>1.8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inlineStr">
        <is>
          <t>0.596425</t>
        </is>
      </c>
      <c r="CQ69" s="24" t="inlineStr">
        <is>
          <t>True</t>
        </is>
      </c>
    </row>
    <row r="70" ht="36" customHeight="1">
      <c r="A70" s="24" t="inlineStr">
        <is>
          <t>ab2644331574492c</t>
        </is>
      </c>
      <c r="B70" s="24" t="inlineStr">
        <is>
          <t>2026-08-02T16:48:43.908788Z</t>
        </is>
      </c>
      <c r="C70" s="24" t="inlineStr">
        <is>
          <t>2026-08-02T16:10:00-0400</t>
        </is>
      </c>
      <c r="D70" s="24" t="inlineStr">
        <is>
          <t>401816376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0.589154</v>
      </c>
      <c r="P70" s="28" t="n"/>
      <c r="Q70" s="28" t="n">
        <v>0.009322</v>
      </c>
      <c r="R70" s="26" t="n">
        <v>26</v>
      </c>
      <c r="S70" s="29" t="n">
        <v>1.25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0.5800 (aec-mlb-sf-sd-2026-08-02); model edge vs ask +0.0092.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be3929e3cfe65fa0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2026-08-02T16:47:27.326258Z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0.5952401601</t>
        </is>
      </c>
      <c r="CD70" s="24" t="inlineStr">
        <is>
          <t>0.046644</t>
        </is>
      </c>
      <c r="CE70" s="24" t="inlineStr">
        <is>
          <t>0.945</t>
        </is>
      </c>
      <c r="CF70" s="24" t="inlineStr">
        <is>
          <t>1.0095</t>
        </is>
      </c>
      <c r="CG70" s="24" t="inlineStr">
        <is>
          <t>-1.6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inlineStr">
        <is>
          <t>0.589154</t>
        </is>
      </c>
      <c r="CQ70" s="24" t="inlineStr">
        <is>
          <t>True</t>
        </is>
      </c>
    </row>
    <row r="71" ht="36" customHeight="1">
      <c r="A71" s="24" t="inlineStr">
        <is>
          <t>26f61e3fa6fe4f4a</t>
        </is>
      </c>
      <c r="B71" s="24" t="inlineStr">
        <is>
          <t>2026-08-02T16:48:43.908788Z</t>
        </is>
      </c>
      <c r="C71" s="24" t="inlineStr">
        <is>
          <t>2026-08-02T19:20:00-0400</t>
        </is>
      </c>
      <c r="D71" s="24" t="inlineStr">
        <is>
          <t>401816372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-167</v>
      </c>
      <c r="M71" s="27" t="n">
        <v>1.598802</v>
      </c>
      <c r="N71" s="28" t="n">
        <v>0.625468</v>
      </c>
      <c r="O71" s="28" t="n">
        <v>0.5594440000000001</v>
      </c>
      <c r="P71" s="28" t="n"/>
      <c r="Q71" s="28" t="n">
        <v>-0.066024</v>
      </c>
      <c r="R71" s="26" t="n">
        <v>0</v>
      </c>
      <c r="S71" s="29" t="n">
        <v>1</v>
      </c>
      <c r="T71" s="24" t="inlineStr">
        <is>
          <t>mlb-elo-trend-lr-v7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0.6242; executable ask 0.6250 (aec-mlb-bos-lad-2026-08-02); model edge vs ask -0.0656.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e66b9e523754aab2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2026-08-02T16:47:29.234492Z</t>
        </is>
      </c>
      <c r="BI71" s="24" t="inlineStr">
        <is>
          <t>["same_event","same_team_same_day","same_league_same_day"]</t>
        </is>
      </c>
      <c r="BJ71" s="25" t="n"/>
      <c r="BK71" s="26" t="n">
        <v>-167</v>
      </c>
      <c r="BL71" s="27" t="n">
        <v>1.598802</v>
      </c>
      <c r="BM71" s="28" t="n">
        <v>0.625468</v>
      </c>
      <c r="BN71" s="28" t="n">
        <v>0.621891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0.5465616607</t>
        </is>
      </c>
      <c r="CD71" s="24" t="inlineStr">
        <is>
          <t>-0.812713</t>
        </is>
      </c>
      <c r="CE71" s="24" t="inlineStr">
        <is>
          <t>1.026</t>
        </is>
      </c>
      <c r="CF71" s="24" t="inlineStr">
        <is>
          <t>1.016</t>
        </is>
      </c>
      <c r="CG71" s="24" t="inlineStr">
        <is>
          <t>2.6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inlineStr">
        <is>
          <t>0.559444</t>
        </is>
      </c>
      <c r="CQ71" s="24" t="inlineStr">
        <is>
          <t>False</t>
        </is>
      </c>
    </row>
    <row r="72" ht="36" customHeight="1">
      <c r="A72" s="24" t="inlineStr">
        <is>
          <t>9fbccabd02da431f</t>
        </is>
      </c>
      <c r="B72" s="24" t="inlineStr">
        <is>
          <t>2026-08-02T16:51:15.727312Z</t>
        </is>
      </c>
      <c r="C72" s="24" t="inlineStr">
        <is>
          <t>2026-08-02T17:30Z</t>
        </is>
      </c>
      <c r="D72" s="24" t="inlineStr">
        <is>
          <t>401841470</t>
        </is>
      </c>
      <c r="E72" s="24" t="inlineStr">
        <is>
          <t>SOCCER</t>
        </is>
      </c>
      <c r="F72" s="24" t="inlineStr">
        <is>
          <t>Gimnasia La Plata</t>
        </is>
      </c>
      <c r="G72" s="24" t="inlineStr">
        <is>
          <t>Aldosivi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233</v>
      </c>
      <c r="M72" s="27" t="n">
        <v>3.33</v>
      </c>
      <c r="N72" s="28" t="n">
        <v>0.3003</v>
      </c>
      <c r="O72" s="28" t="n">
        <v>0.456135</v>
      </c>
      <c r="P72" s="28" t="n">
        <v>0.2</v>
      </c>
      <c r="Q72" s="28" t="n">
        <v>0.155835</v>
      </c>
      <c r="R72" s="26" t="n">
        <v>8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0.3000 (atc-lpa-ald-gim-2026-08-02-ald).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Gimnasia La Plata</t>
        </is>
      </c>
      <c r="AQ72" s="24" t="inlineStr">
        <is>
          <t>Gimnasia La Plata</t>
        </is>
      </c>
      <c r="AR72" s="24" t="inlineStr">
        <is>
          <t>Gimnasia La Plata</t>
        </is>
      </c>
      <c r="AS72" s="24" t="inlineStr">
        <is>
          <t>Aldosivi</t>
        </is>
      </c>
      <c r="AT72" s="24" t="inlineStr">
        <is>
          <t>Aldosivi</t>
        </is>
      </c>
      <c r="AU72" s="24" t="inlineStr">
        <is>
          <t>Aldosivi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2026-08-02T16:47:34.772770Z</t>
        </is>
      </c>
      <c r="BI72" s="24" t="inlineStr">
        <is>
          <t>["same_event","same_team_same_day","same_league_same_day"]</t>
        </is>
      </c>
      <c r="BJ72" s="25" t="n"/>
      <c r="BK72" s="26" t="n">
        <v>233</v>
      </c>
      <c r="BL72" s="27" t="n">
        <v>3.33</v>
      </c>
      <c r="BM72" s="28" t="n">
        <v>0.3003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inlineStr">
        <is>
          <t>True</t>
        </is>
      </c>
    </row>
    <row r="73" ht="36" customHeight="1">
      <c r="A73" s="24" t="inlineStr">
        <is>
          <t>e165cef6306141b1</t>
        </is>
      </c>
      <c r="B73" s="24" t="inlineStr">
        <is>
          <t>2026-08-02T16:51:15.727312Z</t>
        </is>
      </c>
      <c r="C73" s="24" t="inlineStr">
        <is>
          <t>2026-08-02T20:00Z</t>
        </is>
      </c>
      <c r="D73" s="24" t="inlineStr">
        <is>
          <t>401841473</t>
        </is>
      </c>
      <c r="E73" s="24" t="inlineStr">
        <is>
          <t>SOCCER</t>
        </is>
      </c>
      <c r="F73" s="24" t="inlineStr">
        <is>
          <t>Boca Juniors</t>
        </is>
      </c>
      <c r="G73" s="24" t="inlineStr">
        <is>
          <t>Newell's Old Boys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355</v>
      </c>
      <c r="M73" s="27" t="n">
        <v>4.55</v>
      </c>
      <c r="N73" s="28" t="n">
        <v>0.21978</v>
      </c>
      <c r="O73" s="28" t="n">
        <v>0.398039</v>
      </c>
      <c r="P73" s="28" t="n">
        <v>0.2</v>
      </c>
      <c r="Q73" s="28" t="n">
        <v>0.178259</v>
      </c>
      <c r="R73" s="26" t="n">
        <v>19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1.46 (home) / 1.30 (away) from EWMA attack/defense strengths. Executable ask 0.2200 (atc-lpa-new-boc-2026-08-02-new).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Boca Juniors</t>
        </is>
      </c>
      <c r="AQ73" s="24" t="inlineStr">
        <is>
          <t>Boca Juniors</t>
        </is>
      </c>
      <c r="AR73" s="24" t="inlineStr">
        <is>
          <t>Boca Juniors</t>
        </is>
      </c>
      <c r="AS73" s="24" t="inlineStr">
        <is>
          <t>Newell's Old Boys</t>
        </is>
      </c>
      <c r="AT73" s="24" t="inlineStr">
        <is>
          <t>Newell's Old Boys</t>
        </is>
      </c>
      <c r="AU73" s="24" t="inlineStr">
        <is>
          <t>Newell's Old Boys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2026-08-02T16:47:34.761524Z</t>
        </is>
      </c>
      <c r="BI73" s="24" t="inlineStr">
        <is>
          <t>["same_event","same_team_same_day","same_league_same_day"]</t>
        </is>
      </c>
      <c r="BJ73" s="25" t="n"/>
      <c r="BK73" s="26" t="n">
        <v>355</v>
      </c>
      <c r="BL73" s="27" t="n">
        <v>4.55</v>
      </c>
      <c r="BM73" s="28" t="n">
        <v>0.21978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True</t>
        </is>
      </c>
    </row>
    <row r="74" ht="36" customHeight="1">
      <c r="A74" s="24" t="inlineStr">
        <is>
          <t>2c0b73f5026f4540</t>
        </is>
      </c>
      <c r="B74" s="24" t="inlineStr">
        <is>
          <t>2026-08-02T16:51:15.727312Z</t>
        </is>
      </c>
      <c r="C74" s="24" t="inlineStr">
        <is>
          <t>2026-08-02T22:15Z</t>
        </is>
      </c>
      <c r="D74" s="24" t="inlineStr">
        <is>
          <t>401841476</t>
        </is>
      </c>
      <c r="E74" s="24" t="inlineStr">
        <is>
          <t>SOCCER</t>
        </is>
      </c>
      <c r="F74" s="24" t="inlineStr">
        <is>
          <t>Rosario Central</t>
        </is>
      </c>
      <c r="G74" s="24" t="inlineStr">
        <is>
          <t>River Plate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0.5359159999999999</v>
      </c>
      <c r="P74" s="28" t="n">
        <v>0.2</v>
      </c>
      <c r="Q74" s="28" t="n">
        <v>0.066432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1.84 (home) / 1.10 (away) from EWMA attack/defense strengths. Executable ask 0.4700 (atc-lpa-riv-ros-2026-08-02-riv).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Rosario Central</t>
        </is>
      </c>
      <c r="AQ74" s="24" t="inlineStr">
        <is>
          <t>Rosario Central</t>
        </is>
      </c>
      <c r="AR74" s="24" t="inlineStr">
        <is>
          <t>Rosario Central</t>
        </is>
      </c>
      <c r="AS74" s="24" t="inlineStr">
        <is>
          <t>River Plate</t>
        </is>
      </c>
      <c r="AT74" s="24" t="inlineStr">
        <is>
          <t>River Plate</t>
        </is>
      </c>
      <c r="AU74" s="24" t="inlineStr">
        <is>
          <t>River Plate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2026-08-02T16:47:35.319407Z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True</t>
        </is>
      </c>
    </row>
    <row r="75" ht="36" customHeight="1">
      <c r="A75" s="24" t="inlineStr">
        <is>
          <t>f8ff6afe5b3d485b</t>
        </is>
      </c>
      <c r="B75" s="24" t="inlineStr">
        <is>
          <t>2026-08-02T16:51:15.727312Z</t>
        </is>
      </c>
      <c r="C75" s="24" t="inlineStr">
        <is>
          <t>2026-08-02T18:00Z</t>
        </is>
      </c>
      <c r="D75" s="24" t="inlineStr">
        <is>
          <t>401844019</t>
        </is>
      </c>
      <c r="E75" s="24" t="inlineStr">
        <is>
          <t>SOCCER</t>
        </is>
      </c>
      <c r="F75" s="24" t="inlineStr">
        <is>
          <t>San Miguel</t>
        </is>
      </c>
      <c r="G75" s="24" t="inlineStr">
        <is>
          <t>San Telmo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178</v>
      </c>
      <c r="M75" s="27" t="n">
        <v>2.78</v>
      </c>
      <c r="N75" s="28" t="n">
        <v>0.359712</v>
      </c>
      <c r="O75" s="28" t="n">
        <v>0.456135</v>
      </c>
      <c r="P75" s="28" t="n">
        <v>0.2</v>
      </c>
      <c r="Q75" s="28" t="n">
        <v>0.09642299999999999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0.3600 (atc-arg2-ste-casm-2026-08-02-ste).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San Miguel</t>
        </is>
      </c>
      <c r="AQ75" s="24" t="inlineStr">
        <is>
          <t>San Miguel</t>
        </is>
      </c>
      <c r="AR75" s="24" t="inlineStr">
        <is>
          <t>San Miguel</t>
        </is>
      </c>
      <c r="AS75" s="24" t="inlineStr">
        <is>
          <t>San Telmo</t>
        </is>
      </c>
      <c r="AT75" s="24" t="inlineStr">
        <is>
          <t>San Telmo</t>
        </is>
      </c>
      <c r="AU75" s="24" t="inlineStr">
        <is>
          <t>San Telmo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2026-08-02T16:47:36.485049Z</t>
        </is>
      </c>
      <c r="BI75" s="24" t="inlineStr">
        <is>
          <t>["same_event","same_team_same_day","same_league_same_day"]</t>
        </is>
      </c>
      <c r="BJ75" s="25" t="n"/>
      <c r="BK75" s="26" t="n">
        <v>178</v>
      </c>
      <c r="BL75" s="27" t="n">
        <v>2.78</v>
      </c>
      <c r="BM75" s="28" t="n">
        <v>0.359712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True</t>
        </is>
      </c>
    </row>
    <row r="76" ht="36" customHeight="1">
      <c r="A76" s="24" t="inlineStr">
        <is>
          <t>0175841a44c5456a</t>
        </is>
      </c>
      <c r="B76" s="24" t="inlineStr">
        <is>
          <t>2026-08-02T16:51:15.727312Z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150</v>
      </c>
      <c r="M76" s="27" t="n">
        <v>2.5</v>
      </c>
      <c r="N76" s="28" t="n">
        <v>0.4</v>
      </c>
      <c r="O76" s="28" t="n">
        <v>0.456135</v>
      </c>
      <c r="P76" s="28" t="n">
        <v>0.2</v>
      </c>
      <c r="Q76" s="28" t="n">
        <v>0.056135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0.4000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2026-08-02T16:47:37.549387Z</t>
        </is>
      </c>
      <c r="BI76" s="24" t="inlineStr">
        <is>
          <t>["same_event","same_team_same_day","same_league_same_day"]</t>
        </is>
      </c>
      <c r="BJ76" s="25" t="n"/>
      <c r="BK76" s="26" t="n">
        <v>150</v>
      </c>
      <c r="BL76" s="27" t="n">
        <v>2.5</v>
      </c>
      <c r="BM76" s="28" t="n">
        <v>0.4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e70c81d949194e43</t>
        </is>
      </c>
      <c r="B77" s="24" t="inlineStr">
        <is>
          <t>2026-08-02T16:51:15.727312Z</t>
        </is>
      </c>
      <c r="C77" s="24" t="inlineStr">
        <is>
          <t>2026-08-02T19:00Z</t>
        </is>
      </c>
      <c r="D77" s="24" t="inlineStr">
        <is>
          <t>401850609</t>
        </is>
      </c>
      <c r="E77" s="24" t="inlineStr">
        <is>
          <t>SOCCER</t>
        </is>
      </c>
      <c r="F77" s="24" t="inlineStr">
        <is>
          <t>O'Higgins</t>
        </is>
      </c>
      <c r="G77" s="24" t="inlineStr">
        <is>
          <t>La Serena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156</v>
      </c>
      <c r="M77" s="27" t="n">
        <v>2.56</v>
      </c>
      <c r="N77" s="28" t="n">
        <v>0.390625</v>
      </c>
      <c r="O77" s="28" t="n">
        <v>0.5359159999999999</v>
      </c>
      <c r="P77" s="28" t="n">
        <v>0.2</v>
      </c>
      <c r="Q77" s="28" t="n">
        <v>0.145291</v>
      </c>
      <c r="R77" s="26" t="n">
        <v>3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1.84 (home) / 1.10 (away) from EWMA attack/defense strengths. Executable ask 0.3900 (atc-pdc-ser-ohi-2026-08-02-ser).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O'Higgins</t>
        </is>
      </c>
      <c r="AQ77" s="24" t="inlineStr">
        <is>
          <t>O'Higgins</t>
        </is>
      </c>
      <c r="AR77" s="24" t="inlineStr">
        <is>
          <t>O'Higgins</t>
        </is>
      </c>
      <c r="AS77" s="24" t="inlineStr">
        <is>
          <t>La Serena</t>
        </is>
      </c>
      <c r="AT77" s="24" t="inlineStr">
        <is>
          <t>La Serena</t>
        </is>
      </c>
      <c r="AU77" s="24" t="inlineStr">
        <is>
          <t>La Serena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2026-08-02T16:47:39.241482Z</t>
        </is>
      </c>
      <c r="BI77" s="24" t="inlineStr">
        <is>
          <t>["same_event","same_team_same_day","same_league_same_day"]</t>
        </is>
      </c>
      <c r="BJ77" s="25" t="n"/>
      <c r="BK77" s="26" t="n">
        <v>156</v>
      </c>
      <c r="BL77" s="27" t="n">
        <v>2.56</v>
      </c>
      <c r="BM77" s="28" t="n">
        <v>0.390625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inlineStr">
        <is>
          <t>True</t>
        </is>
      </c>
    </row>
    <row r="78" ht="36" customHeight="1">
      <c r="A78" s="24" t="inlineStr">
        <is>
          <t>0a3ff4b4afe34320</t>
        </is>
      </c>
      <c r="B78" s="24" t="inlineStr">
        <is>
          <t>2026-08-02T16:51:15.727312Z</t>
        </is>
      </c>
      <c r="C78" s="24" t="inlineStr">
        <is>
          <t>2026-08-02T23:10Z</t>
        </is>
      </c>
      <c r="D78" s="24" t="inlineStr">
        <is>
          <t>401859718</t>
        </is>
      </c>
      <c r="E78" s="24" t="inlineStr">
        <is>
          <t>SOCCER</t>
        </is>
      </c>
      <c r="F78" s="24" t="inlineStr">
        <is>
          <t>Barcelona SC</t>
        </is>
      </c>
      <c r="G78" s="24" t="inlineStr">
        <is>
          <t>Leones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194</v>
      </c>
      <c r="M78" s="27" t="n">
        <v>2.94</v>
      </c>
      <c r="N78" s="28" t="n">
        <v>0.340136</v>
      </c>
      <c r="O78" s="28" t="n">
        <v>0.406677</v>
      </c>
      <c r="P78" s="28" t="n">
        <v>0.19</v>
      </c>
      <c r="Q78" s="28" t="n">
        <v>0.066541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1.38 (home) / 1.56 (away) from EWMA attack/defense strengths. Executable ask 0.3400 (atc-ecu1-leo-bsc-2026-08-02-bsc).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Barcelona SC</t>
        </is>
      </c>
      <c r="AQ78" s="24" t="inlineStr">
        <is>
          <t>Barcelona SC</t>
        </is>
      </c>
      <c r="AR78" s="24" t="inlineStr">
        <is>
          <t>Barcelona SC</t>
        </is>
      </c>
      <c r="AS78" s="24" t="inlineStr">
        <is>
          <t>Leones</t>
        </is>
      </c>
      <c r="AT78" s="24" t="inlineStr">
        <is>
          <t>Leones</t>
        </is>
      </c>
      <c r="AU78" s="24" t="inlineStr">
        <is>
          <t>Leones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2026-08-02T16:47:41.338397Z</t>
        </is>
      </c>
      <c r="BI78" s="24" t="inlineStr">
        <is>
          <t>["same_event","same_team_same_day","same_league_same_day"]</t>
        </is>
      </c>
      <c r="BJ78" s="25" t="n"/>
      <c r="BK78" s="26" t="n">
        <v>194</v>
      </c>
      <c r="BL78" s="27" t="n">
        <v>2.94</v>
      </c>
      <c r="BM78" s="28" t="n">
        <v>0.340136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inlineStr">
        <is>
          <t>True</t>
        </is>
      </c>
    </row>
    <row r="79" ht="36" customHeight="1">
      <c r="A79" s="24" t="inlineStr">
        <is>
          <t>ed18045da47e4867</t>
        </is>
      </c>
      <c r="B79" s="24" t="inlineStr">
        <is>
          <t>2026-08-02T16:51:36.214335Z</t>
        </is>
      </c>
      <c r="C79" s="24" t="inlineStr">
        <is>
          <t>2026-08-02T17:30Z</t>
        </is>
      </c>
      <c r="D79" s="24" t="inlineStr">
        <is>
          <t>1067-2026:179469</t>
        </is>
      </c>
      <c r="E79" s="24" t="inlineStr">
        <is>
          <t>TENNIS</t>
        </is>
      </c>
      <c r="F79" s="24" t="inlineStr">
        <is>
          <t>Darja Vidmanova</t>
        </is>
      </c>
      <c r="G79" s="24" t="inlineStr">
        <is>
          <t>Kristina Liutova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104</v>
      </c>
      <c r="M79" s="27" t="n">
        <v>2.04</v>
      </c>
      <c r="N79" s="28" t="n">
        <v>0.490196</v>
      </c>
      <c r="O79" s="28" t="n">
        <v>0.639939</v>
      </c>
      <c r="P79" s="28" t="n">
        <v>0.05</v>
      </c>
      <c r="Q79" s="28" t="n">
        <v>0.149743</v>
      </c>
      <c r="R79" s="26" t="n">
        <v>95</v>
      </c>
      <c r="S79" s="29" t="n">
        <v>1.5</v>
      </c>
      <c r="T79" s="24" t="inlineStr">
        <is>
          <t>tennis-surface-elo-v1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Surface-blended Elo on Hard: Darja Vidmanova p=0.640 vs Kristina Liutova. Executable ask 0.4900 (aec-wta-kriliu-darvid-2026-08-02).</t>
        </is>
      </c>
      <c r="AF79" s="31" t="inlineStr">
        <is>
          <t>Surface-blended Elo model; singles only, WTA+ATP market coverage, not yet locked-holdout qualified -- promoted by explicit operator directive, not genuine walk-forward validation.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Darja Vidmanova</t>
        </is>
      </c>
      <c r="AQ79" s="24" t="inlineStr">
        <is>
          <t>Darja Vidmanova</t>
        </is>
      </c>
      <c r="AR79" s="24" t="inlineStr">
        <is>
          <t>Darja Vidmanova</t>
        </is>
      </c>
      <c r="AS79" s="24" t="inlineStr">
        <is>
          <t>Kristina Liutova</t>
        </is>
      </c>
      <c r="AT79" s="24" t="inlineStr">
        <is>
          <t>Kristina Liutova</t>
        </is>
      </c>
      <c r="AU79" s="24" t="inlineStr">
        <is>
          <t>Kristina Liutova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1c05a3c4f76bde5de709ff6bb1937b3c4c67149c2ea621b7c90ca07898e048e8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1c05a3c4f76bde5de709ff6bb1937b3c4c67149c2ea621b7c90ca07898e048e8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1c05a3c4f76bde5de709ff6bb1937b3c4c67149c2ea621b7c90ca07898e048e8</t>
        </is>
      </c>
      <c r="BH79" s="24" t="inlineStr">
        <is>
          <t>2026-08-02T16:47:46.960029Z</t>
        </is>
      </c>
      <c r="BI79" s="24" t="inlineStr">
        <is>
          <t>["same_event","same_team_same_day","same_league_same_day"]</t>
        </is>
      </c>
      <c r="BJ79" s="25" t="n"/>
      <c r="BK79" s="26" t="n">
        <v>104</v>
      </c>
      <c r="BL79" s="27" t="n">
        <v>2.04</v>
      </c>
      <c r="BM79" s="28" t="n">
        <v>0.490196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inlineStr">
        <is>
          <t>True</t>
        </is>
      </c>
    </row>
    <row r="80" ht="36" customHeight="1">
      <c r="A80" s="24" t="inlineStr">
        <is>
          <t>96600ca51c4c416c</t>
        </is>
      </c>
      <c r="B80" s="24" t="inlineStr">
        <is>
          <t>2026-08-02T16:51:36.214335Z</t>
        </is>
      </c>
      <c r="C80" s="24" t="inlineStr">
        <is>
          <t>2026-08-02T20:00Z</t>
        </is>
      </c>
      <c r="D80" s="24" t="inlineStr">
        <is>
          <t>421-2026:182273</t>
        </is>
      </c>
      <c r="E80" s="24" t="inlineStr">
        <is>
          <t>TENNIS</t>
        </is>
      </c>
      <c r="F80" s="24" t="inlineStr">
        <is>
          <t>Lanlana Tararudee</t>
        </is>
      </c>
      <c r="G80" s="24" t="inlineStr">
        <is>
          <t>Emerson Jones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-186</v>
      </c>
      <c r="M80" s="27" t="n">
        <v>1.537634</v>
      </c>
      <c r="N80" s="28" t="n">
        <v>0.65035</v>
      </c>
      <c r="O80" s="28" t="n">
        <v>0.756798</v>
      </c>
      <c r="P80" s="28" t="n">
        <v>0.05</v>
      </c>
      <c r="Q80" s="28" t="n">
        <v>0.106448</v>
      </c>
      <c r="R80" s="26" t="n">
        <v>73</v>
      </c>
      <c r="S80" s="29" t="n">
        <v>2</v>
      </c>
      <c r="T80" s="24" t="inlineStr">
        <is>
          <t>tennis-surface-elo-v1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Surface-blended Elo on Hard: Lanlana Tararudee p=0.757 vs Emerson Jones. Executable ask 0.6500 (aec-wta-emejon-lantar-2026-08-02).</t>
        </is>
      </c>
      <c r="AF80" s="31" t="inlineStr">
        <is>
          <t>Surface-blended Elo model; singles only, WTA+ATP market coverage, not yet locked-holdout qualified -- promoted by explicit operator directive, not genuine walk-forward validation.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Lanlana Tararudee</t>
        </is>
      </c>
      <c r="AQ80" s="24" t="inlineStr">
        <is>
          <t>Lanlana Tararudee</t>
        </is>
      </c>
      <c r="AR80" s="24" t="inlineStr">
        <is>
          <t>Lanlana Tararudee</t>
        </is>
      </c>
      <c r="AS80" s="24" t="inlineStr">
        <is>
          <t>Emerson Jones</t>
        </is>
      </c>
      <c r="AT80" s="24" t="inlineStr">
        <is>
          <t>Emerson Jones</t>
        </is>
      </c>
      <c r="AU80" s="24" t="inlineStr">
        <is>
          <t>Emerson Jones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1c05a3c4f76bde5de709ff6bb1937b3c4c67149c2ea621b7c90ca07898e048e8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1c05a3c4f76bde5de709ff6bb1937b3c4c67149c2ea621b7c90ca07898e048e8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1c05a3c4f76bde5de709ff6bb1937b3c4c67149c2ea621b7c90ca07898e048e8</t>
        </is>
      </c>
      <c r="BH80" s="24" t="inlineStr">
        <is>
          <t>2026-08-02T16:47:57.265599Z</t>
        </is>
      </c>
      <c r="BI80" s="24" t="inlineStr">
        <is>
          <t>["same_event","same_team_same_day","same_league_same_day"]</t>
        </is>
      </c>
      <c r="BJ80" s="25" t="n"/>
      <c r="BK80" s="26" t="n">
        <v>-186</v>
      </c>
      <c r="BL80" s="27" t="n">
        <v>1.537634</v>
      </c>
      <c r="BM80" s="28" t="n">
        <v>0.65035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inlineStr">
        <is>
          <t>True</t>
        </is>
      </c>
    </row>
    <row r="81" ht="36" customHeight="1">
      <c r="A81" s="24" t="inlineStr">
        <is>
          <t>dda8b5d70c304fb0</t>
        </is>
      </c>
      <c r="B81" s="24" t="inlineStr">
        <is>
          <t>2026-08-02T16:51:36.214335Z</t>
        </is>
      </c>
      <c r="C81" s="24" t="inlineStr">
        <is>
          <t>2026-08-02T18:00Z</t>
        </is>
      </c>
      <c r="D81" s="24" t="inlineStr">
        <is>
          <t>421-2026:181785</t>
        </is>
      </c>
      <c r="E81" s="24" t="inlineStr">
        <is>
          <t>TENNIS</t>
        </is>
      </c>
      <c r="F81" s="24" t="inlineStr">
        <is>
          <t>Titouan Droguet</t>
        </is>
      </c>
      <c r="G81" s="24" t="inlineStr">
        <is>
          <t>Luca Van Assche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104</v>
      </c>
      <c r="M81" s="27" t="n">
        <v>2.04</v>
      </c>
      <c r="N81" s="28" t="n">
        <v>0.490196</v>
      </c>
      <c r="O81" s="28" t="n">
        <v>0.561017</v>
      </c>
      <c r="P81" s="28" t="n">
        <v>0.05</v>
      </c>
      <c r="Q81" s="28" t="n">
        <v>0.070821</v>
      </c>
      <c r="R81" s="26" t="n">
        <v>55</v>
      </c>
      <c r="S81" s="29" t="n">
        <v>1</v>
      </c>
      <c r="T81" s="24" t="inlineStr">
        <is>
          <t>tennis-surface-elo-v1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Surface-blended Elo on Hard: Titouan Droguet p=0.561 vs Luca Van Assche. Executable ask 0.4900 (aec-atp-lucass-titdro-2026-08-02).</t>
        </is>
      </c>
      <c r="AF81" s="31" t="inlineStr">
        <is>
          <t>Surface-blended Elo model; singles only, WTA+ATP market coverage, not yet locked-holdout qualified -- promoted by explicit operator directive, not genuine walk-forward validation.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Titouan Droguet</t>
        </is>
      </c>
      <c r="AQ81" s="24" t="inlineStr">
        <is>
          <t>Titouan Droguet</t>
        </is>
      </c>
      <c r="AR81" s="24" t="inlineStr">
        <is>
          <t>Titouan Droguet</t>
        </is>
      </c>
      <c r="AS81" s="24" t="inlineStr">
        <is>
          <t>Luca Van Assche</t>
        </is>
      </c>
      <c r="AT81" s="24" t="inlineStr">
        <is>
          <t>Luca Van Assche</t>
        </is>
      </c>
      <c r="AU81" s="24" t="inlineStr">
        <is>
          <t>Luca Van Assche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1c05a3c4f76bde5de709ff6bb1937b3c4c67149c2ea621b7c90ca07898e048e8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1c05a3c4f76bde5de709ff6bb1937b3c4c67149c2ea621b7c90ca07898e048e8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1c05a3c4f76bde5de709ff6bb1937b3c4c67149c2ea621b7c90ca07898e048e8</t>
        </is>
      </c>
      <c r="BH81" s="24" t="inlineStr">
        <is>
          <t>2026-08-02T16:48:12.259620Z</t>
        </is>
      </c>
      <c r="BI81" s="24" t="inlineStr">
        <is>
          <t>["same_event","same_team_same_day","same_league_same_day"]</t>
        </is>
      </c>
      <c r="BJ81" s="25" t="n"/>
      <c r="BK81" s="26" t="n">
        <v>104</v>
      </c>
      <c r="BL81" s="27" t="n">
        <v>2.04</v>
      </c>
      <c r="BM81" s="28" t="n">
        <v>0.490196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inlineStr">
        <is>
          <t>True</t>
        </is>
      </c>
    </row>
    <row r="82" ht="36" customHeight="1">
      <c r="A82" s="24" t="inlineStr">
        <is>
          <t>01dec2ca95124c27</t>
        </is>
      </c>
      <c r="B82" s="24" t="inlineStr">
        <is>
          <t>2026-08-02T16:51:36.214335Z</t>
        </is>
      </c>
      <c r="C82" s="24" t="inlineStr">
        <is>
          <t>2026-08-02T18:00Z</t>
        </is>
      </c>
      <c r="D82" s="24" t="inlineStr">
        <is>
          <t>421-2026:181836</t>
        </is>
      </c>
      <c r="E82" s="24" t="inlineStr">
        <is>
          <t>TENNIS</t>
        </is>
      </c>
      <c r="F82" s="24" t="inlineStr">
        <is>
          <t>Corentin Moutet</t>
        </is>
      </c>
      <c r="G82" s="24" t="inlineStr">
        <is>
          <t>Marton Fucsovics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104</v>
      </c>
      <c r="M82" s="27" t="n">
        <v>2.04</v>
      </c>
      <c r="N82" s="28" t="n">
        <v>0.490196</v>
      </c>
      <c r="O82" s="28" t="n">
        <v>0.567487</v>
      </c>
      <c r="P82" s="28" t="n">
        <v>0.05</v>
      </c>
      <c r="Q82" s="28" t="n">
        <v>0.077291</v>
      </c>
      <c r="R82" s="26" t="n">
        <v>59</v>
      </c>
      <c r="S82" s="29" t="n">
        <v>1</v>
      </c>
      <c r="T82" s="24" t="inlineStr">
        <is>
          <t>tennis-surface-elo-v1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Surface-blended Elo on Hard: Corentin Moutet p=0.433 vs Marton Fucsovics. Executable ask 0.4900 (aec-atp-marfuc-cormou-2026-08-03).</t>
        </is>
      </c>
      <c r="AF82" s="31" t="inlineStr">
        <is>
          <t>Surface-blended Elo model; singles only, WTA+ATP market coverage, not yet locked-holdout qualified -- promoted by explicit operator directive, not genuine walk-forward validation.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Corentin Moutet</t>
        </is>
      </c>
      <c r="AQ82" s="24" t="inlineStr">
        <is>
          <t>Corentin Moutet</t>
        </is>
      </c>
      <c r="AR82" s="24" t="inlineStr">
        <is>
          <t>Corentin Moutet</t>
        </is>
      </c>
      <c r="AS82" s="24" t="inlineStr">
        <is>
          <t>Marton Fucsovics</t>
        </is>
      </c>
      <c r="AT82" s="24" t="inlineStr">
        <is>
          <t>Marton Fucsovics</t>
        </is>
      </c>
      <c r="AU82" s="24" t="inlineStr">
        <is>
          <t>Marton Fucsovics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1c05a3c4f76bde5de709ff6bb1937b3c4c67149c2ea621b7c90ca07898e048e8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1c05a3c4f76bde5de709ff6bb1937b3c4c67149c2ea621b7c90ca07898e048e8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1c05a3c4f76bde5de709ff6bb1937b3c4c67149c2ea621b7c90ca07898e048e8</t>
        </is>
      </c>
      <c r="BH82" s="24" t="inlineStr">
        <is>
          <t>2026-08-02T16:48:10.755068Z</t>
        </is>
      </c>
      <c r="BI82" s="24" t="inlineStr">
        <is>
          <t>["same_event","same_team_same_day","same_league_same_day"]</t>
        </is>
      </c>
      <c r="BJ82" s="25" t="n"/>
      <c r="BK82" s="26" t="n">
        <v>104</v>
      </c>
      <c r="BL82" s="27" t="n">
        <v>2.04</v>
      </c>
      <c r="BM82" s="28" t="n">
        <v>0.490196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inlineStr">
        <is>
          <t>True</t>
        </is>
      </c>
    </row>
    <row r="83" ht="36" customHeight="1">
      <c r="A83" s="24" t="inlineStr">
        <is>
          <t>20000523680f4e2a</t>
        </is>
      </c>
      <c r="B83" s="24" t="inlineStr">
        <is>
          <t>2026-08-02T16:51:36.214335Z</t>
        </is>
      </c>
      <c r="C83" s="24" t="inlineStr">
        <is>
          <t>2026-08-03T00:30Z</t>
        </is>
      </c>
      <c r="D83" s="24" t="inlineStr">
        <is>
          <t>421-2026:181839</t>
        </is>
      </c>
      <c r="E83" s="24" t="inlineStr">
        <is>
          <t>TENNIS</t>
        </is>
      </c>
      <c r="F83" s="24" t="inlineStr">
        <is>
          <t>Vit Kopriva</t>
        </is>
      </c>
      <c r="G83" s="24" t="inlineStr">
        <is>
          <t>Alexis Galarneau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104</v>
      </c>
      <c r="M83" s="27" t="n">
        <v>2.04</v>
      </c>
      <c r="N83" s="28" t="n">
        <v>0.490196</v>
      </c>
      <c r="O83" s="28" t="n">
        <v>0.57909</v>
      </c>
      <c r="P83" s="28" t="n">
        <v>0.05</v>
      </c>
      <c r="Q83" s="28" t="n">
        <v>0.088894</v>
      </c>
      <c r="R83" s="26" t="n">
        <v>64</v>
      </c>
      <c r="S83" s="29" t="n">
        <v>1.25</v>
      </c>
      <c r="T83" s="24" t="inlineStr">
        <is>
          <t>tennis-surface-elo-v1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Surface-blended Elo on Hard: Vit Kopriva p=0.579 vs Alexis Galarneau. Executable ask 0.4900 (aec-atp-alegal-vitkop-2026-08-03).</t>
        </is>
      </c>
      <c r="AF83" s="31" t="inlineStr">
        <is>
          <t>Surface-blended Elo model; singles only, WTA+ATP market coverage, not yet locked-holdout qualified -- promoted by explicit operator directive, not genuine walk-forward validation.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Vit Kopriva</t>
        </is>
      </c>
      <c r="AQ83" s="24" t="inlineStr">
        <is>
          <t>Vit Kopriva</t>
        </is>
      </c>
      <c r="AR83" s="24" t="inlineStr">
        <is>
          <t>Vit Kopriva</t>
        </is>
      </c>
      <c r="AS83" s="24" t="inlineStr">
        <is>
          <t>Alexis Galarneau</t>
        </is>
      </c>
      <c r="AT83" s="24" t="inlineStr">
        <is>
          <t>Alexis Galarneau</t>
        </is>
      </c>
      <c r="AU83" s="24" t="inlineStr">
        <is>
          <t>Alexis Galarneau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1c05a3c4f76bde5de709ff6bb1937b3c4c67149c2ea621b7c90ca07898e048e8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1c05a3c4f76bde5de709ff6bb1937b3c4c67149c2ea621b7c90ca07898e048e8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1c05a3c4f76bde5de709ff6bb1937b3c4c67149c2ea621b7c90ca07898e048e8</t>
        </is>
      </c>
      <c r="BH83" s="24" t="inlineStr">
        <is>
          <t>2026-08-02T16:48:20.160476Z</t>
        </is>
      </c>
      <c r="BI83" s="24" t="inlineStr">
        <is>
          <t>["same_event","same_team_same_day","same_league_same_day"]</t>
        </is>
      </c>
      <c r="BJ83" s="25" t="n"/>
      <c r="BK83" s="26" t="n">
        <v>104</v>
      </c>
      <c r="BL83" s="27" t="n">
        <v>2.04</v>
      </c>
      <c r="BM83" s="28" t="n">
        <v>0.490196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2026-08-02T16:51:57Z</dcterms:created>
  <dcterms:modified xsi:type="dcterms:W3CDTF">2026-08-02T16:51:57Z</dcterms:modified>
</cp:coreProperties>
</file>