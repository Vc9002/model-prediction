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5" headerRowCount="1">
  <autoFilter ref="A1:CO3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COUNTA('Picks'!$A$2:$A$35)</f>
        <v/>
      </c>
      <c r="C4" s="6">
        <f>COUNTIF('Picks'!$U$2:$U$35,"open")</f>
        <v/>
      </c>
      <c r="E4" s="6">
        <f>COUNTIF('Picks'!$U$2:$U$35,"settled")</f>
        <v/>
      </c>
      <c r="G4" s="6">
        <f>IF(COUNTIFS('Picks'!$U$2:$U$35,"settled",'Picks'!$V$2:$V$35,"win")+COUNTIFS('Picks'!$U$2:$U$35,"settled",'Picks'!$V$2:$V$35,"loss")&gt;=$L$2,"Ready","Insufficient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COUNTIF('Picks'!$BX$2:$BX$35,"&gt;0")</f>
        <v/>
      </c>
      <c r="C7" s="6">
        <f>COUNTIFS('Picks'!$BX$2:$BX$35,"&gt;0",'Picks'!$V$2:$V$35,"win")&amp;"-"&amp;COUNTIFS('Picks'!$BX$2:$BX$35,"&gt;0",'Picks'!$V$2:$V$35,"loss")</f>
        <v/>
      </c>
      <c r="E7" s="7">
        <f>IFERROR(COUNTIFS('Picks'!$BX$2:$BX$35,"&gt;0",'Picks'!$V$2:$V$35,"win")/(COUNTIFS('Picks'!$BX$2:$BX$35,"&gt;0",'Picks'!$V$2:$V$35,"win")+COUNTIFS('Picks'!$BX$2:$BX$35,"&gt;0",'Picks'!$V$2:$V$35,"loss")),0)</f>
        <v/>
      </c>
      <c r="G7" s="7">
        <f>IFERROR(SUM('Picks'!$BY$2:$BY$35)/SUM('Picks'!$BX$2:$BX$35),0)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SUM('Picks'!$BY$2:$BY$35)</f>
        <v/>
      </c>
      <c r="C10" s="9">
        <f>IFERROR(AVERAGEIF('Picks'!$AB$2:$AB$35,"&lt;&gt;",'Picks'!$AB$2:$AB$35),0)</f>
        <v/>
      </c>
      <c r="E10" s="6">
        <f>COUNTIFS('Picks'!$AM$2:$AM$35,"QUALIFIED_SHADOW_CALL",'Picks'!$U$2:$U$35,"settled")</f>
        <v/>
      </c>
      <c r="G10" s="8">
        <f>SUMIFS('Picks'!$AC$2:$AC$35,'Picks'!$AM$2:$AM$35,"QUALIFIED_SHADOW_CALL")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COUNTIFS('Picks'!$H$2:$H$35,$A14,'Picks'!$U$2:$U$35,"settled")</f>
        <v/>
      </c>
      <c r="C14" s="13">
        <f>COUNTIFS('Picks'!$H$2:$H$35,$A14,'Picks'!$U$2:$U$35,"settled",'Picks'!$V$2:$V$35,"win")</f>
        <v/>
      </c>
      <c r="D14" s="13">
        <f>COUNTIFS('Picks'!$H$2:$H$35,$A14,'Picks'!$U$2:$U$35,"settled",'Picks'!$V$2:$V$35,"loss")</f>
        <v/>
      </c>
      <c r="E14" s="14">
        <f>IFERROR(C14/(C14+D14),0)</f>
        <v/>
      </c>
      <c r="F14" s="15">
        <f>SUMIFS('Picks'!$BY$2:$BY$35,'Picks'!$H$2:$H$35,$A14)</f>
        <v/>
      </c>
      <c r="G14" s="16">
        <f>IFERROR(AVERAGEIFS('Picks'!$AB$2:$AB$35,'Picks'!$H$2:$H$35,$A14,'Picks'!$U$2:$U$35,"settled"),0)</f>
        <v/>
      </c>
    </row>
    <row r="15">
      <c r="A15" s="17" t="inlineStr">
        <is>
          <t>spread</t>
        </is>
      </c>
      <c r="B15" s="18">
        <f>COUNTIFS('Picks'!$H$2:$H$35,$A15,'Picks'!$U$2:$U$35,"settled")</f>
        <v/>
      </c>
      <c r="C15" s="18">
        <f>COUNTIFS('Picks'!$H$2:$H$35,$A15,'Picks'!$U$2:$U$35,"settled",'Picks'!$V$2:$V$35,"win")</f>
        <v/>
      </c>
      <c r="D15" s="18">
        <f>COUNTIFS('Picks'!$H$2:$H$35,$A15,'Picks'!$U$2:$U$35,"settled",'Picks'!$V$2:$V$35,"loss")</f>
        <v/>
      </c>
      <c r="E15" s="19">
        <f>IFERROR(C15/(C15+D15),0)</f>
        <v/>
      </c>
      <c r="F15" s="20">
        <f>SUMIFS('Picks'!$BY$2:$BY$35,'Picks'!$H$2:$H$35,$A15)</f>
        <v/>
      </c>
      <c r="G15" s="21">
        <f>IFERROR(AVERAGEIFS('Picks'!$AB$2:$AB$35,'Picks'!$H$2:$H$35,$A15,'Picks'!$U$2:$U$35,"settled"),0)</f>
        <v/>
      </c>
    </row>
    <row r="16">
      <c r="A16" s="12" t="inlineStr">
        <is>
          <t>total</t>
        </is>
      </c>
      <c r="B16" s="13">
        <f>COUNTIFS('Picks'!$H$2:$H$35,$A16,'Picks'!$U$2:$U$35,"settled")</f>
        <v/>
      </c>
      <c r="C16" s="13">
        <f>COUNTIFS('Picks'!$H$2:$H$35,$A16,'Picks'!$U$2:$U$35,"settled",'Picks'!$V$2:$V$35,"win")</f>
        <v/>
      </c>
      <c r="D16" s="13">
        <f>COUNTIFS('Picks'!$H$2:$H$35,$A16,'Picks'!$U$2:$U$35,"settled",'Picks'!$V$2:$V$35,"loss")</f>
        <v/>
      </c>
      <c r="E16" s="14">
        <f>IFERROR(C16/(C16+D16),0)</f>
        <v/>
      </c>
      <c r="F16" s="15">
        <f>SUMIFS('Picks'!$BY$2:$BY$35,'Picks'!$H$2:$H$35,$A16)</f>
        <v/>
      </c>
      <c r="G16" s="16">
        <f>IFERROR(AVERAGEIFS('Picks'!$AB$2:$AB$35,'Picks'!$H$2:$H$35,$A16,'Picks'!$U$2:$U$35,"settled"),0)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2026-07-27T01:51:53.046989Z</t>
        </is>
      </c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1.4583</v>
      </c>
      <c r="AD12" s="24" t="inlineStr">
        <is>
          <t>2026-07-27T01:51:53.255117Z</t>
        </is>
      </c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settled</t>
        </is>
      </c>
      <c r="V13" s="24" t="inlineStr">
        <is>
          <t>win</t>
        </is>
      </c>
      <c r="W13" s="26" t="n">
        <v>2</v>
      </c>
      <c r="X13" s="26" t="n">
        <v>11</v>
      </c>
      <c r="Y13" s="25" t="n"/>
      <c r="Z13" s="26" t="n"/>
      <c r="AA13" s="28" t="n"/>
      <c r="AB13" s="28" t="n"/>
      <c r="AC13" s="30" t="n">
        <v>0.6309</v>
      </c>
      <c r="AD13" s="24" t="inlineStr">
        <is>
          <t>2026-07-27T01:51:53.681417Z</t>
        </is>
      </c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12</v>
      </c>
      <c r="Y14" s="25" t="n"/>
      <c r="Z14" s="26" t="n"/>
      <c r="AA14" s="28" t="n"/>
      <c r="AB14" s="28" t="n"/>
      <c r="AC14" s="30" t="n">
        <v>1.8519</v>
      </c>
      <c r="AD14" s="24" t="inlineStr">
        <is>
          <t>2026-07-27T01:51:53.884478Z</t>
        </is>
      </c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320f0723c3804b39</t>
        </is>
      </c>
      <c r="B15" s="24" t="inlineStr">
        <is>
          <t>2026-07-27T17:34:41.743446Z</t>
        </is>
      </c>
      <c r="C15" s="24" t="inlineStr">
        <is>
          <t>2026-07-27T14:35:00-0400</t>
        </is>
      </c>
      <c r="D15" s="24" t="inlineStr">
        <is>
          <t>401816288</t>
        </is>
      </c>
      <c r="E15" s="24" t="inlineStr">
        <is>
          <t>MLB</t>
        </is>
      </c>
      <c r="F15" s="24" t="inlineStr">
        <is>
          <t>Seattle Mariners</t>
        </is>
      </c>
      <c r="G15" s="24" t="inlineStr">
        <is>
          <t>Texas Rangers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0.507599</v>
      </c>
      <c r="P15" s="28" t="n"/>
      <c r="Q15" s="28" t="n">
        <v>-0.041951</v>
      </c>
      <c r="R15" s="26" t="n">
        <v>0</v>
      </c>
      <c r="S15" s="29" t="n">
        <v>0.5</v>
      </c>
      <c r="T15" s="24" t="inlineStr">
        <is>
          <t>mlb-elo-trend-lr-v6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7</v>
      </c>
      <c r="Y15" s="25" t="n"/>
      <c r="Z15" s="26" t="n">
        <v>-122</v>
      </c>
      <c r="AA15" s="28" t="n">
        <v>0.55</v>
      </c>
      <c r="AB15" s="28" t="n">
        <v>0.00045</v>
      </c>
      <c r="AC15" s="30" t="n">
        <v>-0.5</v>
      </c>
      <c r="AD15" s="24" t="inlineStr">
        <is>
          <t>2026-07-27T22:51:46.446979Z</t>
        </is>
      </c>
      <c r="AE15" s="31" t="inlineStr">
        <is>
          <t>Learned LR call at threshold 0.5690; executable ask 0.5500 (aec-mlb-sea-tex-2026-07-27).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mlb-sea</t>
        </is>
      </c>
      <c r="AQ15" s="24" t="inlineStr">
        <is>
          <t>Seattle Mariners</t>
        </is>
      </c>
      <c r="AR15" s="24" t="inlineStr">
        <is>
          <t>Seattle Mariners</t>
        </is>
      </c>
      <c r="AS15" s="24" t="inlineStr">
        <is>
          <t>mlb-tex</t>
        </is>
      </c>
      <c r="AT15" s="24" t="inlineStr">
        <is>
          <t>Texas Rangers</t>
        </is>
      </c>
      <c r="AU15" s="24" t="inlineStr">
        <is>
          <t>Texas Rangers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10a412e78306d1f4d1a66590dd7cd2087ed53520bfa3bb925889a6371153732f</t>
        </is>
      </c>
      <c r="BB15" s="24" t="inlineStr">
        <is>
          <t>learned_lr</t>
        </is>
      </c>
      <c r="BC15" s="24" t="inlineStr">
        <is>
          <t>mlb-elo-trend-lr-v6</t>
        </is>
      </c>
      <c r="BD15" s="24" t="inlineStr">
        <is>
          <t>10a412e78306d1f4d1a66590dd7cd2087ed53520bfa3bb925889a6371153732f</t>
        </is>
      </c>
      <c r="BE15" s="24" t="inlineStr">
        <is>
          <t>a37c4a50fb01129a</t>
        </is>
      </c>
      <c r="BF15" s="24" t="inlineStr">
        <is>
          <t>1</t>
        </is>
      </c>
      <c r="BG15" s="24" t="inlineStr">
        <is>
          <t>mlb-elo-trend-lr-v6</t>
        </is>
      </c>
      <c r="BH15" s="24" t="inlineStr">
        <is>
          <t>2026-07-27T17:33:59.725337Z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>
        <v>0.547264</v>
      </c>
      <c r="BO15" s="28" t="n"/>
      <c r="BP15" s="25" t="n"/>
      <c r="BQ15" s="27" t="n">
        <v>1.819672</v>
      </c>
      <c r="BR15" s="28" t="n">
        <v>0.55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0.492334675</t>
        </is>
      </c>
      <c r="CD15" s="24" t="inlineStr">
        <is>
          <t>-0.43076</t>
        </is>
      </c>
      <c r="CE15" s="24" t="inlineStr">
        <is>
          <t>1.02</t>
        </is>
      </c>
      <c r="CF15" s="24" t="n"/>
      <c r="CG15" s="24" t="n"/>
      <c r="CH15" s="24" t="inlineStr">
        <is>
          <t>0.56</t>
        </is>
      </c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6dfcdc727794465c</t>
        </is>
      </c>
      <c r="B16" s="24" t="inlineStr">
        <is>
          <t>2026-07-27T22:44:59Z</t>
        </is>
      </c>
      <c r="C16" s="24" t="inlineStr">
        <is>
          <t>2026-07-27T18:45:00-0400</t>
        </is>
      </c>
      <c r="D16" s="24" t="inlineStr">
        <is>
          <t>401816285</t>
        </is>
      </c>
      <c r="E16" s="24" t="inlineStr">
        <is>
          <t>MLB</t>
        </is>
      </c>
      <c r="F16" s="24" t="inlineStr">
        <is>
          <t>Toronto Blue Jays</t>
        </is>
      </c>
      <c r="G16" s="24" t="inlineStr">
        <is>
          <t>Washington Nationals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-115</v>
      </c>
      <c r="M16" s="27" t="n">
        <v>1.869565</v>
      </c>
      <c r="N16" s="28" t="n">
        <v>0.534884</v>
      </c>
      <c r="O16" s="28" t="n">
        <v>0.893765</v>
      </c>
      <c r="P16" s="28" t="n"/>
      <c r="Q16" s="28" t="n">
        <v>0.358881</v>
      </c>
      <c r="R16" s="26" t="n">
        <v>100</v>
      </c>
      <c r="S16" s="29" t="n">
        <v>2</v>
      </c>
      <c r="T16" s="24" t="inlineStr">
        <is>
          <t>mlb-elo-trend-lr-v6</t>
        </is>
      </c>
      <c r="U16" s="24" t="inlineStr">
        <is>
          <t>settled</t>
        </is>
      </c>
      <c r="V16" s="24" t="inlineStr">
        <is>
          <t>loss</t>
        </is>
      </c>
      <c r="W16" s="26" t="n">
        <v>3</v>
      </c>
      <c r="X16" s="26" t="n">
        <v>2</v>
      </c>
      <c r="Y16" s="25" t="n"/>
      <c r="Z16" s="26" t="n">
        <v>-115</v>
      </c>
      <c r="AA16" s="28" t="n">
        <v>0.535</v>
      </c>
      <c r="AB16" s="28" t="n">
        <v>0.000116</v>
      </c>
      <c r="AC16" s="30" t="n">
        <v>-2</v>
      </c>
      <c r="AD16" s="24" t="inlineStr">
        <is>
          <t>2026-07-28T16:01:57.155520Z</t>
        </is>
      </c>
      <c r="AE16" s="31" t="inlineStr">
        <is>
          <t>Learned LR call at threshold 0.5690; executable ask 0.5350 (aec-mlb-tor-wsh-2026-07-27).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mlb-tor</t>
        </is>
      </c>
      <c r="AQ16" s="24" t="inlineStr">
        <is>
          <t>Toronto Blue Jays</t>
        </is>
      </c>
      <c r="AR16" s="24" t="inlineStr">
        <is>
          <t>Toronto Blue Jays</t>
        </is>
      </c>
      <c r="AS16" s="24" t="inlineStr">
        <is>
          <t>mlb-wsh</t>
        </is>
      </c>
      <c r="AT16" s="24" t="inlineStr">
        <is>
          <t>Washington Nationals</t>
        </is>
      </c>
      <c r="AU16" s="24" t="inlineStr">
        <is>
          <t>Washington Nationals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0633355b1144e4205ca6d08e3f328d99cab0970358846bd77228f3bcbfcd70ee</t>
        </is>
      </c>
      <c r="BB16" s="24" t="inlineStr">
        <is>
          <t>learned_lr</t>
        </is>
      </c>
      <c r="BC16" s="24" t="inlineStr">
        <is>
          <t>mlb-elo-trend-lr-v6</t>
        </is>
      </c>
      <c r="BD16" s="24" t="inlineStr">
        <is>
          <t>0633355b1144e4205ca6d08e3f328d99cab0970358846bd77228f3bcbfcd70ee</t>
        </is>
      </c>
      <c r="BE16" s="24" t="inlineStr">
        <is>
          <t>c6e1a409809dfa96</t>
        </is>
      </c>
      <c r="BF16" s="24" t="inlineStr">
        <is>
          <t>1</t>
        </is>
      </c>
      <c r="BG16" s="24" t="inlineStr">
        <is>
          <t>mlb-elo-trend-lr-v6</t>
        </is>
      </c>
      <c r="BH16" s="24" t="inlineStr">
        <is>
          <t>2026-07-27T19:48:06.913287Z</t>
        </is>
      </c>
      <c r="BI16" s="24" t="inlineStr">
        <is>
          <t>["same_event","same_team_same_day","same_league_same_day"]</t>
        </is>
      </c>
      <c r="BJ16" s="25" t="n"/>
      <c r="BK16" s="26" t="n">
        <v>-115</v>
      </c>
      <c r="BL16" s="27" t="n">
        <v>1.869565</v>
      </c>
      <c r="BM16" s="28" t="n">
        <v>0.534884</v>
      </c>
      <c r="BN16" s="28" t="n">
        <v>0.532338</v>
      </c>
      <c r="BO16" s="28" t="n"/>
      <c r="BP16" s="25" t="n"/>
      <c r="BQ16" s="27" t="n">
        <v>1.869565</v>
      </c>
      <c r="BR16" s="28" t="n">
        <v>0.535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0.5019196627</t>
        </is>
      </c>
      <c r="CD16" s="24" t="inlineStr">
        <is>
          <t>0.540593</t>
        </is>
      </c>
      <c r="CE16" s="24" t="inlineStr">
        <is>
          <t>1.0</t>
        </is>
      </c>
      <c r="CF16" s="24" t="n"/>
      <c r="CG16" s="24" t="n"/>
      <c r="CH16" s="24" t="inlineStr">
        <is>
          <t>-7.14</t>
        </is>
      </c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c75567c357844fb8</t>
        </is>
      </c>
      <c r="B17" s="24" t="inlineStr">
        <is>
          <t>2026-07-27T22:59:59Z</t>
        </is>
      </c>
      <c r="C17" s="24" t="inlineStr">
        <is>
          <t>2026-07-27T19:00:00-0400</t>
        </is>
      </c>
      <c r="D17" s="24" t="inlineStr">
        <is>
          <t>401816283</t>
        </is>
      </c>
      <c r="E17" s="24" t="inlineStr">
        <is>
          <t>MLB</t>
        </is>
      </c>
      <c r="F17" s="24" t="inlineStr">
        <is>
          <t>Cleveland Guardians</t>
        </is>
      </c>
      <c r="G17" s="24" t="inlineStr">
        <is>
          <t>Cincinnati Reds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0.684329</v>
      </c>
      <c r="P17" s="28" t="n"/>
      <c r="Q17" s="28" t="n">
        <v>0.089187</v>
      </c>
      <c r="R17" s="26" t="n">
        <v>66</v>
      </c>
      <c r="S17" s="29" t="n">
        <v>2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2</v>
      </c>
      <c r="Y17" s="25" t="n"/>
      <c r="Z17" s="26" t="n"/>
      <c r="AA17" s="28" t="n"/>
      <c r="AB17" s="28" t="n"/>
      <c r="AC17" s="30" t="n">
        <v>1.3605</v>
      </c>
      <c r="AD17" s="24" t="inlineStr">
        <is>
          <t>2026-07-29T05:32:37.412289Z</t>
        </is>
      </c>
      <c r="AE17" s="31" t="inlineStr">
        <is>
          <t>Learned LR call at threshold 0.5690; executable ask 0.5950 (aec-mlb-cle-cin-2026-07-27).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mlb-cle</t>
        </is>
      </c>
      <c r="AQ17" s="24" t="inlineStr">
        <is>
          <t>Cleveland Guardians</t>
        </is>
      </c>
      <c r="AR17" s="24" t="inlineStr">
        <is>
          <t>Cleveland Guardians</t>
        </is>
      </c>
      <c r="AS17" s="24" t="inlineStr">
        <is>
          <t>mlb-cin</t>
        </is>
      </c>
      <c r="AT17" s="24" t="inlineStr">
        <is>
          <t>Cincinnati Reds</t>
        </is>
      </c>
      <c r="AU17" s="24" t="inlineStr">
        <is>
          <t>Cincinnati Reds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0633355b1144e4205ca6d08e3f328d99cab0970358846bd77228f3bcbfcd70ee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0633355b1144e4205ca6d08e3f328d99cab0970358846bd77228f3bcbfcd70ee</t>
        </is>
      </c>
      <c r="BE17" s="24" t="inlineStr">
        <is>
          <t>bd6f2b0e9ab44b21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2026-07-27T22:52:40.069101Z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0.4926827475</t>
        </is>
      </c>
      <c r="CD17" s="24" t="inlineStr">
        <is>
          <t>-0.86802</t>
        </is>
      </c>
      <c r="CE17" s="24" t="inlineStr">
        <is>
          <t>1.05</t>
        </is>
      </c>
      <c r="CF17" s="24" t="n"/>
      <c r="CG17" s="24" t="n"/>
      <c r="CH17" s="24" t="inlineStr">
        <is>
          <t>-2.18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2b287879ab4b41e3</t>
        </is>
      </c>
      <c r="B18" s="24" t="inlineStr">
        <is>
          <t>2026-07-27T23:09:59Z</t>
        </is>
      </c>
      <c r="C18" s="24" t="inlineStr">
        <is>
          <t>2026-07-27T19:10:00-0400</t>
        </is>
      </c>
      <c r="D18" s="24" t="inlineStr">
        <is>
          <t>401816281</t>
        </is>
      </c>
      <c r="E18" s="24" t="inlineStr">
        <is>
          <t>MLB</t>
        </is>
      </c>
      <c r="F18" s="24" t="inlineStr">
        <is>
          <t>Atlanta Braves</t>
        </is>
      </c>
      <c r="G18" s="24" t="inlineStr">
        <is>
          <t>New York Mets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-102</v>
      </c>
      <c r="M18" s="27" t="n">
        <v>1.980392</v>
      </c>
      <c r="N18" s="28" t="n">
        <v>0.50495</v>
      </c>
      <c r="O18" s="28" t="n">
        <v>0.629264</v>
      </c>
      <c r="P18" s="28" t="n"/>
      <c r="Q18" s="28" t="n">
        <v>0.124314</v>
      </c>
      <c r="R18" s="26" t="n">
        <v>83</v>
      </c>
      <c r="S18" s="29" t="n">
        <v>1.75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14</v>
      </c>
      <c r="Y18" s="25" t="n"/>
      <c r="Z18" s="26" t="n">
        <v>-102</v>
      </c>
      <c r="AA18" s="28" t="n">
        <v>0.505</v>
      </c>
      <c r="AB18" s="28" t="n">
        <v>5e-05</v>
      </c>
      <c r="AC18" s="30" t="n">
        <v>1.7157</v>
      </c>
      <c r="AD18" s="24" t="inlineStr">
        <is>
          <t>2026-07-28T16:01:57.318144Z</t>
        </is>
      </c>
      <c r="AE18" s="31" t="inlineStr">
        <is>
          <t>Learned LR call at threshold 0.5690; executable ask 0.5050 (aec-mlb-atl-nym-2026-07-27).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mlb-atl</t>
        </is>
      </c>
      <c r="AQ18" s="24" t="inlineStr">
        <is>
          <t>Atlanta Braves</t>
        </is>
      </c>
      <c r="AR18" s="24" t="inlineStr">
        <is>
          <t>Atlanta Braves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0633355b1144e4205ca6d08e3f328d99cab0970358846bd77228f3bcbfcd70ee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0633355b1144e4205ca6d08e3f328d99cab0970358846bd77228f3bcbfcd70ee</t>
        </is>
      </c>
      <c r="BE18" s="24" t="inlineStr">
        <is>
          <t>3ef0103e6db8ea51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2026-07-27T22:52:39.124210Z</t>
        </is>
      </c>
      <c r="BI18" s="24" t="inlineStr">
        <is>
          <t>["same_event","same_team_same_day","same_league_same_day"]</t>
        </is>
      </c>
      <c r="BJ18" s="25" t="n"/>
      <c r="BK18" s="26" t="n">
        <v>-102</v>
      </c>
      <c r="BL18" s="27" t="n">
        <v>1.980392</v>
      </c>
      <c r="BM18" s="28" t="n">
        <v>0.50495</v>
      </c>
      <c r="BN18" s="28" t="n">
        <v>0.502488</v>
      </c>
      <c r="BO18" s="28" t="n"/>
      <c r="BP18" s="25" t="n"/>
      <c r="BQ18" s="27" t="n">
        <v>1.980392</v>
      </c>
      <c r="BR18" s="28" t="n">
        <v>0.505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0.4315693087</t>
        </is>
      </c>
      <c r="CD18" s="24" t="inlineStr">
        <is>
          <t>-2.190624</t>
        </is>
      </c>
      <c r="CE18" s="24" t="inlineStr">
        <is>
          <t>0.97</t>
        </is>
      </c>
      <c r="CF18" s="24" t="n"/>
      <c r="CG18" s="24" t="n"/>
      <c r="CH18" s="24" t="inlineStr">
        <is>
          <t>-1.06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769420b0ef2f4271</t>
        </is>
      </c>
      <c r="B19" s="24" t="inlineStr">
        <is>
          <t>2026-07-27T23:39:59Z</t>
        </is>
      </c>
      <c r="C19" s="24" t="inlineStr">
        <is>
          <t>2026-07-27T19:40:00-0400</t>
        </is>
      </c>
      <c r="D19" s="24" t="inlineStr">
        <is>
          <t>401816287</t>
        </is>
      </c>
      <c r="E19" s="24" t="inlineStr">
        <is>
          <t>MLB</t>
        </is>
      </c>
      <c r="F19" s="24" t="inlineStr">
        <is>
          <t>New York Yankees</t>
        </is>
      </c>
      <c r="G19" s="24" t="inlineStr">
        <is>
          <t>Chicago White Sox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-133</v>
      </c>
      <c r="M19" s="27" t="n">
        <v>1.75188</v>
      </c>
      <c r="N19" s="28" t="n">
        <v>0.570815</v>
      </c>
      <c r="O19" s="28" t="n">
        <v>0.693452</v>
      </c>
      <c r="P19" s="28" t="n"/>
      <c r="Q19" s="28" t="n">
        <v>0.122637</v>
      </c>
      <c r="R19" s="26" t="n">
        <v>83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9</v>
      </c>
      <c r="X19" s="26" t="n">
        <v>5</v>
      </c>
      <c r="Y19" s="25" t="n"/>
      <c r="Z19" s="26" t="n">
        <v>-133</v>
      </c>
      <c r="AA19" s="28" t="n">
        <v>0.57</v>
      </c>
      <c r="AB19" s="28" t="n">
        <v>-0.000815</v>
      </c>
      <c r="AC19" s="30" t="n">
        <v>1.5038</v>
      </c>
      <c r="AD19" s="24" t="inlineStr">
        <is>
          <t>2026-07-28T16:01:57.439945Z</t>
        </is>
      </c>
      <c r="AE19" s="31" t="inlineStr">
        <is>
          <t>Learned LR call at threshold 0.5690; executable ask 0.5700 (aec-mlb-nyy-cws-2026-07-27).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mlb-nyy</t>
        </is>
      </c>
      <c r="AQ19" s="24" t="inlineStr">
        <is>
          <t>New York Yankees</t>
        </is>
      </c>
      <c r="AR19" s="24" t="inlineStr">
        <is>
          <t>New York Yankees</t>
        </is>
      </c>
      <c r="AS19" s="24" t="inlineStr">
        <is>
          <t>mlb-cws</t>
        </is>
      </c>
      <c r="AT19" s="24" t="inlineStr">
        <is>
          <t>Chicago White Sox</t>
        </is>
      </c>
      <c r="AU19" s="24" t="inlineStr">
        <is>
          <t>Chicago White Sox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0633355b1144e4205ca6d08e3f328d99cab0970358846bd77228f3bcbfcd70ee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0633355b1144e4205ca6d08e3f328d99cab0970358846bd77228f3bcbfcd70ee</t>
        </is>
      </c>
      <c r="BE19" s="24" t="inlineStr">
        <is>
          <t>240c7cb854526226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2026-07-27T22:52:40.563303Z</t>
        </is>
      </c>
      <c r="BI19" s="24" t="inlineStr">
        <is>
          <t>["same_event","same_team_same_day","same_league_same_day"]</t>
        </is>
      </c>
      <c r="BJ19" s="25" t="n"/>
      <c r="BK19" s="26" t="n">
        <v>-133</v>
      </c>
      <c r="BL19" s="27" t="n">
        <v>1.75188</v>
      </c>
      <c r="BM19" s="28" t="n">
        <v>0.570815</v>
      </c>
      <c r="BN19" s="28" t="n">
        <v>0.567164</v>
      </c>
      <c r="BO19" s="28" t="n"/>
      <c r="BP19" s="25" t="n"/>
      <c r="BQ19" s="27" t="n">
        <v>1.75188</v>
      </c>
      <c r="BR19" s="28" t="n">
        <v>0.57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0.4761494151</t>
        </is>
      </c>
      <c r="CD19" s="24" t="inlineStr">
        <is>
          <t>1.500354</t>
        </is>
      </c>
      <c r="CE19" s="24" t="inlineStr">
        <is>
          <t>0.99</t>
        </is>
      </c>
      <c r="CF19" s="24" t="n"/>
      <c r="CG19" s="24" t="n"/>
      <c r="CH19" s="24" t="inlineStr">
        <is>
          <t>2.92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1d6569cdde63441b</t>
        </is>
      </c>
      <c r="B20" s="24" t="inlineStr">
        <is>
          <t>2026-07-27T23:44:59Z</t>
        </is>
      </c>
      <c r="C20" s="24" t="inlineStr">
        <is>
          <t>2026-07-27T19:45:00-0400</t>
        </is>
      </c>
      <c r="D20" s="24" t="inlineStr">
        <is>
          <t>401816286</t>
        </is>
      </c>
      <c r="E20" s="24" t="inlineStr">
        <is>
          <t>MLB</t>
        </is>
      </c>
      <c r="F20" s="24" t="inlineStr">
        <is>
          <t>Chicago Cubs</t>
        </is>
      </c>
      <c r="G20" s="24" t="inlineStr">
        <is>
          <t>St. Louis Cardinals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111</v>
      </c>
      <c r="M20" s="27" t="n">
        <v>2.11</v>
      </c>
      <c r="N20" s="28" t="n">
        <v>0.473934</v>
      </c>
      <c r="O20" s="28" t="n">
        <v>0.574883</v>
      </c>
      <c r="P20" s="28" t="n"/>
      <c r="Q20" s="28" t="n">
        <v>0.100949</v>
      </c>
      <c r="R20" s="26" t="n">
        <v>71</v>
      </c>
      <c r="S20" s="29" t="n">
        <v>1.25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3</v>
      </c>
      <c r="Y20" s="25" t="n"/>
      <c r="Z20" s="26" t="n">
        <v>111</v>
      </c>
      <c r="AA20" s="28" t="n">
        <v>0.475</v>
      </c>
      <c r="AB20" s="28" t="n">
        <v>0.001066</v>
      </c>
      <c r="AC20" s="30" t="n">
        <v>-1.25</v>
      </c>
      <c r="AD20" s="24" t="inlineStr">
        <is>
          <t>2026-07-28T16:01:57.571348Z</t>
        </is>
      </c>
      <c r="AE20" s="31" t="inlineStr">
        <is>
          <t>Learned LR call at threshold 0.5690; executable ask 0.4750 (aec-mlb-chc-stl-2026-07-27).</t>
        </is>
      </c>
      <c r="AF20" s="31" t="inlineStr">
        <is>
          <t>Learned model; shadow-qualified via operator override.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mlb-chc</t>
        </is>
      </c>
      <c r="AQ20" s="24" t="inlineStr">
        <is>
          <t>Chicago Cubs</t>
        </is>
      </c>
      <c r="AR20" s="24" t="inlineStr">
        <is>
          <t>Chicago Cubs</t>
        </is>
      </c>
      <c r="AS20" s="24" t="inlineStr">
        <is>
          <t>mlb-stl</t>
        </is>
      </c>
      <c r="AT20" s="24" t="inlineStr">
        <is>
          <t>St. Louis Cardinals</t>
        </is>
      </c>
      <c r="AU20" s="24" t="inlineStr">
        <is>
          <t>St. Louis Cardinals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0633355b1144e4205ca6d08e3f328d99cab0970358846bd77228f3bcbfcd70ee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0633355b1144e4205ca6d08e3f328d99cab0970358846bd77228f3bcbfcd70ee</t>
        </is>
      </c>
      <c r="BE20" s="24" t="inlineStr">
        <is>
          <t>01075785a4cf42a4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2026-07-27T22:52:41.511217Z</t>
        </is>
      </c>
      <c r="BI20" s="24" t="inlineStr">
        <is>
          <t>["same_event","same_team_same_day","same_league_same_day"]</t>
        </is>
      </c>
      <c r="BJ20" s="25" t="n"/>
      <c r="BK20" s="26" t="n">
        <v>111</v>
      </c>
      <c r="BL20" s="27" t="n">
        <v>2.11</v>
      </c>
      <c r="BM20" s="28" t="n">
        <v>0.473934</v>
      </c>
      <c r="BN20" s="28" t="n">
        <v>0.472637</v>
      </c>
      <c r="BO20" s="28" t="n"/>
      <c r="BP20" s="25" t="n"/>
      <c r="BQ20" s="27" t="n">
        <v>2.11</v>
      </c>
      <c r="BR20" s="28" t="n">
        <v>0.475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0.4644554475</t>
        </is>
      </c>
      <c r="CD20" s="24" t="inlineStr">
        <is>
          <t>-0.743911</t>
        </is>
      </c>
      <c r="CE20" s="24" t="inlineStr">
        <is>
          <t>0.99</t>
        </is>
      </c>
      <c r="CF20" s="24" t="n"/>
      <c r="CG20" s="24" t="n"/>
      <c r="CH20" s="24" t="inlineStr">
        <is>
          <t>-0.54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8f14fe8da27345f3</t>
        </is>
      </c>
      <c r="B21" s="24" t="inlineStr">
        <is>
          <t>2026-07-28T01:37:59Z</t>
        </is>
      </c>
      <c r="C21" s="24" t="inlineStr">
        <is>
          <t>2026-07-27T21:38:00-0400</t>
        </is>
      </c>
      <c r="D21" s="24" t="inlineStr">
        <is>
          <t>401816290</t>
        </is>
      </c>
      <c r="E21" s="24" t="inlineStr">
        <is>
          <t>MLB</t>
        </is>
      </c>
      <c r="F21" s="24" t="inlineStr">
        <is>
          <t>Houston Astros</t>
        </is>
      </c>
      <c r="G21" s="24" t="inlineStr">
        <is>
          <t>Los Angeles Angels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102</v>
      </c>
      <c r="M21" s="27" t="n">
        <v>2.02</v>
      </c>
      <c r="N21" s="28" t="n">
        <v>0.49505</v>
      </c>
      <c r="O21" s="28" t="n">
        <v>0.747572</v>
      </c>
      <c r="P21" s="28" t="n"/>
      <c r="Q21" s="28" t="n">
        <v>0.252522</v>
      </c>
      <c r="R21" s="26" t="n">
        <v>100</v>
      </c>
      <c r="S21" s="29" t="n">
        <v>2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4</v>
      </c>
      <c r="Y21" s="25" t="n"/>
      <c r="Z21" s="26" t="n">
        <v>102</v>
      </c>
      <c r="AA21" s="28" t="n">
        <v>0.495</v>
      </c>
      <c r="AB21" s="28" t="n">
        <v>-5e-05</v>
      </c>
      <c r="AC21" s="30" t="n">
        <v>-2</v>
      </c>
      <c r="AD21" s="24" t="inlineStr">
        <is>
          <t>2026-07-28T16:01:57.691826Z</t>
        </is>
      </c>
      <c r="AE21" s="31" t="inlineStr">
        <is>
          <t>Learned LR call at threshold 0.5690; executable ask 0.4950 (aec-mlb-hou-laa-2026-07-27).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mlb-hou</t>
        </is>
      </c>
      <c r="AQ21" s="24" t="inlineStr">
        <is>
          <t>Houston Astros</t>
        </is>
      </c>
      <c r="AR21" s="24" t="inlineStr">
        <is>
          <t>Houston Astros</t>
        </is>
      </c>
      <c r="AS21" s="24" t="inlineStr">
        <is>
          <t>mlb-laa</t>
        </is>
      </c>
      <c r="AT21" s="24" t="inlineStr">
        <is>
          <t>Los Angeles Angels</t>
        </is>
      </c>
      <c r="AU21" s="24" t="inlineStr">
        <is>
          <t>Los Angeles Angels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0633355b1144e4205ca6d08e3f328d99cab0970358846bd77228f3bcbfcd70ee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0633355b1144e4205ca6d08e3f328d99cab0970358846bd77228f3bcbfcd70ee</t>
        </is>
      </c>
      <c r="BE21" s="24" t="inlineStr">
        <is>
          <t>5fa6950739bd6684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2026-07-27T22:52:42.458048Z</t>
        </is>
      </c>
      <c r="BI21" s="24" t="inlineStr">
        <is>
          <t>["same_event","same_team_same_day","same_league_same_day"]</t>
        </is>
      </c>
      <c r="BJ21" s="25" t="n"/>
      <c r="BK21" s="26" t="n">
        <v>102</v>
      </c>
      <c r="BL21" s="27" t="n">
        <v>2.02</v>
      </c>
      <c r="BM21" s="28" t="n">
        <v>0.49505</v>
      </c>
      <c r="BN21" s="28" t="n">
        <v>0.492537</v>
      </c>
      <c r="BO21" s="28" t="n"/>
      <c r="BP21" s="25" t="n"/>
      <c r="BQ21" s="27" t="n">
        <v>2.02</v>
      </c>
      <c r="BR21" s="28" t="n">
        <v>0.495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0.4559426507</t>
        </is>
      </c>
      <c r="CD21" s="24" t="inlineStr">
        <is>
          <t>-1.582476</t>
        </is>
      </c>
      <c r="CE21" s="24" t="inlineStr">
        <is>
          <t>1.01</t>
        </is>
      </c>
      <c r="CF21" s="24" t="n"/>
      <c r="CG21" s="24" t="n"/>
      <c r="CH21" s="24" t="inlineStr">
        <is>
          <t>-3.13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877fc5d38347407c</t>
        </is>
      </c>
      <c r="B22" s="24" t="inlineStr">
        <is>
          <t>2026-07-28T17:26:33.566799Z</t>
        </is>
      </c>
      <c r="C22" s="24" t="inlineStr">
        <is>
          <t>2026-07-28T13:40:00-0400</t>
        </is>
      </c>
      <c r="D22" s="24" t="inlineStr">
        <is>
          <t>401901849</t>
        </is>
      </c>
      <c r="E22" s="24" t="inlineStr">
        <is>
          <t>MLB</t>
        </is>
      </c>
      <c r="F22" s="24" t="inlineStr">
        <is>
          <t>Cleveland Guardians</t>
        </is>
      </c>
      <c r="G22" s="24" t="inlineStr">
        <is>
          <t>Cincinnati Reds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model_opinion_no_executable_quote</t>
        </is>
      </c>
      <c r="L22" s="26" t="n">
        <v>-110</v>
      </c>
      <c r="M22" s="27" t="n">
        <v>1.909091</v>
      </c>
      <c r="N22" s="28" t="n">
        <v>0.52381</v>
      </c>
      <c r="O22" s="28" t="n">
        <v>0.684329</v>
      </c>
      <c r="P22" s="28" t="n"/>
      <c r="Q22" s="28" t="n">
        <v>0.160519</v>
      </c>
      <c r="R22" s="26" t="n">
        <v>100</v>
      </c>
      <c r="S22" s="29" t="n">
        <v>0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/>
      <c r="Z22" s="26" t="n">
        <v>-147</v>
      </c>
      <c r="AA22" s="28" t="n">
        <v>0.595</v>
      </c>
      <c r="AB22" s="28" t="n">
        <v>0.07119</v>
      </c>
      <c r="AC22" s="30" t="n">
        <v>0</v>
      </c>
      <c r="AD22" s="24" t="inlineStr">
        <is>
          <t>2026-07-28T23:36:42.481545Z</t>
        </is>
      </c>
      <c r="AE22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NO_CALL_MARKET_UNAVAILABLE</t>
        </is>
      </c>
      <c r="AP22" s="24" t="inlineStr">
        <is>
          <t>mlb-cle</t>
        </is>
      </c>
      <c r="AQ22" s="24" t="inlineStr">
        <is>
          <t>Cleveland Guardians</t>
        </is>
      </c>
      <c r="AR22" s="24" t="inlineStr">
        <is>
          <t>Cleveland Guardians</t>
        </is>
      </c>
      <c r="AS22" s="24" t="inlineStr">
        <is>
          <t>mlb-cin</t>
        </is>
      </c>
      <c r="AT22" s="24" t="inlineStr">
        <is>
          <t>Cincinnati Reds</t>
        </is>
      </c>
      <c r="AU22" s="24" t="inlineStr">
        <is>
          <t>Cincinnati Reds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0633355b1144e4205ca6d08e3f328d99cab0970358846bd77228f3bcbfcd70ee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0633355b1144e4205ca6d08e3f328d99cab0970358846bd77228f3bcbfcd70ee</t>
        </is>
      </c>
      <c r="BE22" s="24" t="inlineStr">
        <is>
          <t>985793cc1b640b1d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2026-07-28T17:26:33.566799Z</t>
        </is>
      </c>
      <c r="BI22" s="24" t="inlineStr">
        <is>
          <t>["same_event","same_team_same_day","same_league_same_day"]</t>
        </is>
      </c>
      <c r="BJ22" s="25" t="n"/>
      <c r="BK22" s="26" t="n">
        <v>-110</v>
      </c>
      <c r="BL22" s="27" t="n">
        <v>1.909091</v>
      </c>
      <c r="BM22" s="28" t="n">
        <v>0.52381</v>
      </c>
      <c r="BN22" s="28" t="n"/>
      <c r="BO22" s="28" t="n"/>
      <c r="BP22" s="25" t="n"/>
      <c r="BQ22" s="27" t="n">
        <v>1.680272</v>
      </c>
      <c r="BR22" s="28" t="n">
        <v>0.595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inlineStr">
        <is>
          <t>2026-07-28T23:36:42.481545Z</t>
        </is>
      </c>
      <c r="CA22" s="31" t="inlineStr">
        <is>
          <t>fixed one-unit hypothetical scoring; no real exposure or execution</t>
        </is>
      </c>
      <c r="CB22" s="24" t="n"/>
      <c r="CC22" s="24" t="inlineStr">
        <is>
          <t>0.4926827475</t>
        </is>
      </c>
      <c r="CD22" s="24" t="inlineStr">
        <is>
          <t>-0.86802</t>
        </is>
      </c>
      <c r="CE22" s="24" t="inlineStr">
        <is>
          <t>1.05</t>
        </is>
      </c>
      <c r="CF22" s="24" t="n"/>
      <c r="CG22" s="24" t="n"/>
      <c r="CH22" s="24" t="inlineStr">
        <is>
          <t>-2.18</t>
        </is>
      </c>
      <c r="CI22" s="24" t="inlineStr">
        <is>
          <t>executable_quote_missing_or_unmatched</t>
        </is>
      </c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1c9ac23f35b9411b</t>
        </is>
      </c>
      <c r="B23" s="24" t="inlineStr">
        <is>
          <t>2026-07-28T20:32:52.305699Z</t>
        </is>
      </c>
      <c r="C23" s="24" t="inlineStr">
        <is>
          <t>2026-07-28T18:40:00-0400</t>
        </is>
      </c>
      <c r="D23" s="24" t="inlineStr">
        <is>
          <t>401816294</t>
        </is>
      </c>
      <c r="E23" s="24" t="inlineStr">
        <is>
          <t>MLB</t>
        </is>
      </c>
      <c r="F23" s="24" t="inlineStr">
        <is>
          <t>Baltimore Orioles</t>
        </is>
      </c>
      <c r="G23" s="24" t="inlineStr">
        <is>
          <t>Detroit Tigers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-135</v>
      </c>
      <c r="M23" s="27" t="n">
        <v>1.740741</v>
      </c>
      <c r="N23" s="28" t="n">
        <v>0.574468</v>
      </c>
      <c r="O23" s="28" t="n">
        <v>0.742108</v>
      </c>
      <c r="P23" s="28" t="n"/>
      <c r="Q23" s="28" t="n">
        <v>0.16764</v>
      </c>
      <c r="R23" s="26" t="n">
        <v>100</v>
      </c>
      <c r="S23" s="29" t="n">
        <v>2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14</v>
      </c>
      <c r="Y23" s="25" t="n"/>
      <c r="Z23" s="26" t="n">
        <v>-135</v>
      </c>
      <c r="AA23" s="28" t="n">
        <v>0.575</v>
      </c>
      <c r="AB23" s="28" t="n">
        <v>0.000532</v>
      </c>
      <c r="AC23" s="30" t="n">
        <v>1.4815</v>
      </c>
      <c r="AD23" s="24" t="inlineStr">
        <is>
          <t>2026-07-29T02:41:26.282792Z</t>
        </is>
      </c>
      <c r="AE23" s="31" t="inlineStr">
        <is>
          <t>Learned LR call at threshold 0.5690; executable ask 0.5750 (aec-mlb-bal-det-2026-07-28).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mlb-bal</t>
        </is>
      </c>
      <c r="AQ23" s="24" t="inlineStr">
        <is>
          <t>Baltimore Orioles</t>
        </is>
      </c>
      <c r="AR23" s="24" t="inlineStr">
        <is>
          <t>Baltimore Orioles</t>
        </is>
      </c>
      <c r="AS23" s="24" t="inlineStr">
        <is>
          <t>mlb-det</t>
        </is>
      </c>
      <c r="AT23" s="24" t="inlineStr">
        <is>
          <t>Detroit Tigers</t>
        </is>
      </c>
      <c r="AU23" s="24" t="inlineStr">
        <is>
          <t>Detroit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0633355b1144e4205ca6d08e3f328d99cab0970358846bd77228f3bcbfcd70ee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0633355b1144e4205ca6d08e3f328d99cab0970358846bd77228f3bcbfcd70ee</t>
        </is>
      </c>
      <c r="BE23" s="24" t="inlineStr">
        <is>
          <t>1ef6dbb2275c6f7d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2026-07-28T20:32:05.666915Z</t>
        </is>
      </c>
      <c r="BI23" s="24" t="inlineStr">
        <is>
          <t>["same_event","same_team_same_day","same_league_same_day"]</t>
        </is>
      </c>
      <c r="BJ23" s="25" t="n"/>
      <c r="BK23" s="26" t="n">
        <v>-135</v>
      </c>
      <c r="BL23" s="27" t="n">
        <v>1.740741</v>
      </c>
      <c r="BM23" s="28" t="n">
        <v>0.574468</v>
      </c>
      <c r="BN23" s="28" t="n">
        <v>0.572139</v>
      </c>
      <c r="BO23" s="28" t="n"/>
      <c r="BP23" s="25" t="n"/>
      <c r="BQ23" s="27" t="n">
        <v>1.740741</v>
      </c>
      <c r="BR23" s="28" t="n">
        <v>0.575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0.5578182793</t>
        </is>
      </c>
      <c r="CD23" s="24" t="inlineStr">
        <is>
          <t>-0.528912</t>
        </is>
      </c>
      <c r="CE23" s="24" t="inlineStr">
        <is>
          <t>0.98</t>
        </is>
      </c>
      <c r="CF23" s="24" t="n"/>
      <c r="CG23" s="24" t="n"/>
      <c r="CH23" s="24" t="inlineStr">
        <is>
          <t>-3.11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64c146d858584ab4</t>
        </is>
      </c>
      <c r="B24" s="24" t="inlineStr">
        <is>
          <t>2026-07-28T20:32:52.305699Z</t>
        </is>
      </c>
      <c r="C24" s="24" t="inlineStr">
        <is>
          <t>2026-07-28T18:40:00-0400</t>
        </is>
      </c>
      <c r="D24" s="24" t="inlineStr">
        <is>
          <t>401816296</t>
        </is>
      </c>
      <c r="E24" s="24" t="inlineStr">
        <is>
          <t>MLB</t>
        </is>
      </c>
      <c r="F24" s="24" t="inlineStr">
        <is>
          <t>Philadelphia Phillies</t>
        </is>
      </c>
      <c r="G24" s="24" t="inlineStr">
        <is>
          <t>Miami Marlins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-125</v>
      </c>
      <c r="M24" s="27" t="n">
        <v>1.8</v>
      </c>
      <c r="N24" s="28" t="n">
        <v>0.555556</v>
      </c>
      <c r="O24" s="28" t="n">
        <v>0.660233</v>
      </c>
      <c r="P24" s="28" t="n"/>
      <c r="Q24" s="28" t="n">
        <v>0.104677</v>
      </c>
      <c r="R24" s="26" t="n">
        <v>74</v>
      </c>
      <c r="S24" s="29" t="n">
        <v>2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-125</v>
      </c>
      <c r="AA24" s="28" t="n">
        <v>0.555</v>
      </c>
      <c r="AB24" s="28" t="n">
        <v>-0.000556</v>
      </c>
      <c r="AC24" s="30" t="n">
        <v>1.6</v>
      </c>
      <c r="AD24" s="24" t="inlineStr">
        <is>
          <t>2026-07-29T02:41:26.407776Z</t>
        </is>
      </c>
      <c r="AE24" s="31" t="inlineStr">
        <is>
          <t>Learned LR call at threshold 0.5690; executable ask 0.5550 (aec-mlb-phi-mia-2026-07-28).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mlb-phi</t>
        </is>
      </c>
      <c r="AQ24" s="24" t="inlineStr">
        <is>
          <t>Philadelphia Phillies</t>
        </is>
      </c>
      <c r="AR24" s="24" t="inlineStr">
        <is>
          <t>Philadelphia Phillies</t>
        </is>
      </c>
      <c r="AS24" s="24" t="inlineStr">
        <is>
          <t>mlb-mia</t>
        </is>
      </c>
      <c r="AT24" s="24" t="inlineStr">
        <is>
          <t>Miami Marlins</t>
        </is>
      </c>
      <c r="AU24" s="24" t="inlineStr">
        <is>
          <t>Miami Marlins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0633355b1144e4205ca6d08e3f328d99cab0970358846bd77228f3bcbfcd70ee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0633355b1144e4205ca6d08e3f328d99cab0970358846bd77228f3bcbfcd70ee</t>
        </is>
      </c>
      <c r="BE24" s="24" t="inlineStr">
        <is>
          <t>0ecf6d5d6b8524ff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2026-07-28T20:32:06.628497Z</t>
        </is>
      </c>
      <c r="BI24" s="24" t="inlineStr">
        <is>
          <t>["same_event","same_team_same_day","same_league_same_day"]</t>
        </is>
      </c>
      <c r="BJ24" s="25" t="n"/>
      <c r="BK24" s="26" t="n">
        <v>-125</v>
      </c>
      <c r="BL24" s="27" t="n">
        <v>1.8</v>
      </c>
      <c r="BM24" s="28" t="n">
        <v>0.555556</v>
      </c>
      <c r="BN24" s="28" t="n">
        <v>0.552239</v>
      </c>
      <c r="BO24" s="28" t="n"/>
      <c r="BP24" s="25" t="n"/>
      <c r="BQ24" s="27" t="n">
        <v>1.8</v>
      </c>
      <c r="BR24" s="28" t="n">
        <v>0.555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0.477817603</t>
        </is>
      </c>
      <c r="CD24" s="24" t="inlineStr">
        <is>
          <t>-0.644046</t>
        </is>
      </c>
      <c r="CE24" s="24" t="inlineStr">
        <is>
          <t>0.99</t>
        </is>
      </c>
      <c r="CF24" s="24" t="n"/>
      <c r="CG24" s="24" t="n"/>
      <c r="CH24" s="24" t="inlineStr">
        <is>
          <t>-1.81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30a1c6ea7aa44b4c</t>
        </is>
      </c>
      <c r="B25" s="24" t="inlineStr">
        <is>
          <t>2026-07-28T23:38:20.366083Z</t>
        </is>
      </c>
      <c r="C25" s="24" t="inlineStr">
        <is>
          <t>2026-07-28T19:45:00-0400</t>
        </is>
      </c>
      <c r="D25" s="24" t="inlineStr">
        <is>
          <t>401816299</t>
        </is>
      </c>
      <c r="E25" s="24" t="inlineStr">
        <is>
          <t>MLB</t>
        </is>
      </c>
      <c r="F25" s="24" t="inlineStr">
        <is>
          <t>Chicago Cubs</t>
        </is>
      </c>
      <c r="G25" s="24" t="inlineStr">
        <is>
          <t>St. Louis Cardinals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100</v>
      </c>
      <c r="M25" s="27" t="n">
        <v>2</v>
      </c>
      <c r="N25" s="28" t="n">
        <v>0.5</v>
      </c>
      <c r="O25" s="28" t="n">
        <v>0.658691</v>
      </c>
      <c r="P25" s="28" t="n"/>
      <c r="Q25" s="28" t="n">
        <v>0.158691</v>
      </c>
      <c r="R25" s="26" t="n">
        <v>100</v>
      </c>
      <c r="S25" s="29" t="n">
        <v>2</v>
      </c>
      <c r="T25" s="24" t="inlineStr">
        <is>
          <t>mlb-elo-trend-lr-v6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Learned LR call at threshold 0.5690; executable ask 0.5000 (aec-mlb-chc-stl-2026-07-28).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mlb-chc</t>
        </is>
      </c>
      <c r="AQ25" s="24" t="inlineStr">
        <is>
          <t>Chicago Cubs</t>
        </is>
      </c>
      <c r="AR25" s="24" t="inlineStr">
        <is>
          <t>Chicago Cubs</t>
        </is>
      </c>
      <c r="AS25" s="24" t="inlineStr">
        <is>
          <t>mlb-stl</t>
        </is>
      </c>
      <c r="AT25" s="24" t="inlineStr">
        <is>
          <t>St. Louis Cardinals</t>
        </is>
      </c>
      <c r="AU25" s="24" t="inlineStr">
        <is>
          <t>St. Louis Cardinals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0633355b1144e4205ca6d08e3f328d99cab0970358846bd77228f3bcbfcd70ee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0633355b1144e4205ca6d08e3f328d99cab0970358846bd77228f3bcbfcd70ee</t>
        </is>
      </c>
      <c r="BE25" s="24" t="inlineStr">
        <is>
          <t>68171e0531444439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2026-07-28T23:37:48.025116Z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>
        <v>0.497512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0.4644554475</t>
        </is>
      </c>
      <c r="CD25" s="24" t="inlineStr">
        <is>
          <t>-0.743911</t>
        </is>
      </c>
      <c r="CE25" s="24" t="inlineStr">
        <is>
          <t>0.99</t>
        </is>
      </c>
      <c r="CF25" s="24" t="n"/>
      <c r="CG25" s="24" t="n"/>
      <c r="CH25" s="24" t="inlineStr">
        <is>
          <t>-1.78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96cb1cd6e3b045e9</t>
        </is>
      </c>
      <c r="B26" s="24" t="inlineStr">
        <is>
          <t>2026-07-28T23:38:20.366083Z</t>
        </is>
      </c>
      <c r="C26" s="24" t="inlineStr">
        <is>
          <t>2026-07-28T21:40:00-0400</t>
        </is>
      </c>
      <c r="D26" s="24" t="inlineStr">
        <is>
          <t>401816303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San Diego Padres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-213</v>
      </c>
      <c r="M26" s="27" t="n">
        <v>1.469484</v>
      </c>
      <c r="N26" s="28" t="n">
        <v>0.680511</v>
      </c>
      <c r="O26" s="28" t="n">
        <v>0.7310950000000001</v>
      </c>
      <c r="P26" s="28" t="n"/>
      <c r="Q26" s="28" t="n">
        <v>0.050584</v>
      </c>
      <c r="R26" s="26" t="n">
        <v>47</v>
      </c>
      <c r="S26" s="29" t="n">
        <v>2</v>
      </c>
      <c r="T26" s="24" t="inlineStr">
        <is>
          <t>mlb-elo-trend-lr-v6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Learned LR call at threshold 0.5690; executable ask 0.6800 (aec-mlb-col-sd-2026-07-28).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0633355b1144e4205ca6d08e3f328d99cab0970358846bd77228f3bcbfcd70ee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0633355b1144e4205ca6d08e3f328d99cab0970358846bd77228f3bcbfcd70ee</t>
        </is>
      </c>
      <c r="BE26" s="24" t="inlineStr">
        <is>
          <t>7af36682a5486cf7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2026-07-28T23:37:49.975579Z</t>
        </is>
      </c>
      <c r="BI26" s="24" t="inlineStr">
        <is>
          <t>["same_event","same_team_same_day","same_league_same_day"]</t>
        </is>
      </c>
      <c r="BJ26" s="25" t="n"/>
      <c r="BK26" s="26" t="n">
        <v>-213</v>
      </c>
      <c r="BL26" s="27" t="n">
        <v>1.469484</v>
      </c>
      <c r="BM26" s="28" t="n">
        <v>0.680511</v>
      </c>
      <c r="BN26" s="28" t="n">
        <v>0.676617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0.6881581363</t>
        </is>
      </c>
      <c r="CD26" s="24" t="inlineStr">
        <is>
          <t>2.156212</t>
        </is>
      </c>
      <c r="CE26" s="24" t="inlineStr">
        <is>
          <t>0.95</t>
        </is>
      </c>
      <c r="CF26" s="24" t="n"/>
      <c r="CG26" s="24" t="n"/>
      <c r="CH26" s="24" t="inlineStr">
        <is>
          <t>-3.29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4530e411e7664557</t>
        </is>
      </c>
      <c r="B27" s="24" t="inlineStr">
        <is>
          <t>2026-07-29T05:19:46.912744Z</t>
        </is>
      </c>
      <c r="C27" s="24" t="inlineStr">
        <is>
          <t>2026-07-29T13:10:00-0400</t>
        </is>
      </c>
      <c r="D27" s="24" t="inlineStr">
        <is>
          <t>401816309</t>
        </is>
      </c>
      <c r="E27" s="24" t="inlineStr">
        <is>
          <t>MLB</t>
        </is>
      </c>
      <c r="F27" s="24" t="inlineStr">
        <is>
          <t>Baltimore Orioles</t>
        </is>
      </c>
      <c r="G27" s="24" t="inlineStr">
        <is>
          <t>Detroit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model_opinion_no_executable_quote</t>
        </is>
      </c>
      <c r="L27" s="26" t="n">
        <v>-110</v>
      </c>
      <c r="M27" s="27" t="n">
        <v>1.909091</v>
      </c>
      <c r="N27" s="28" t="n">
        <v>0.52381</v>
      </c>
      <c r="O27" s="28" t="n">
        <v>0.642577</v>
      </c>
      <c r="P27" s="28" t="n"/>
      <c r="Q27" s="28" t="n">
        <v>0.118767</v>
      </c>
      <c r="R27" s="26" t="n">
        <v>79</v>
      </c>
      <c r="S27" s="29" t="n">
        <v>0</v>
      </c>
      <c r="T27" s="24" t="inlineStr">
        <is>
          <t>mlb-elo-trend-lr-v6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NO_CALL_MARKET_UNAVAILABLE</t>
        </is>
      </c>
      <c r="AP27" s="24" t="inlineStr">
        <is>
          <t>mlb-bal</t>
        </is>
      </c>
      <c r="AQ27" s="24" t="inlineStr">
        <is>
          <t>Baltimore Orioles</t>
        </is>
      </c>
      <c r="AR27" s="24" t="inlineStr">
        <is>
          <t>Baltimore Orioles</t>
        </is>
      </c>
      <c r="AS27" s="24" t="inlineStr">
        <is>
          <t>mlb-det</t>
        </is>
      </c>
      <c r="AT27" s="24" t="inlineStr">
        <is>
          <t>Detroit Tigers</t>
        </is>
      </c>
      <c r="AU27" s="24" t="inlineStr">
        <is>
          <t>Detroit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0633355b1144e4205ca6d08e3f328d99cab0970358846bd77228f3bcbfcd70ee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0633355b1144e4205ca6d08e3f328d99cab0970358846bd77228f3bcbfcd70ee</t>
        </is>
      </c>
      <c r="BE27" s="24" t="inlineStr">
        <is>
          <t>737a4d0bea1eb67e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2026-07-29T05:19:46.912744Z</t>
        </is>
      </c>
      <c r="BI27" s="24" t="inlineStr">
        <is>
          <t>["same_event","same_team_same_day","same_league_same_day"]</t>
        </is>
      </c>
      <c r="BJ27" s="25" t="n"/>
      <c r="BK27" s="26" t="n">
        <v>-110</v>
      </c>
      <c r="BL27" s="27" t="n">
        <v>1.909091</v>
      </c>
      <c r="BM27" s="28" t="n">
        <v>0.52381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0.5578182793</t>
        </is>
      </c>
      <c r="CD27" s="24" t="inlineStr">
        <is>
          <t>-0.528912</t>
        </is>
      </c>
      <c r="CE27" s="24" t="inlineStr">
        <is>
          <t>0.98</t>
        </is>
      </c>
      <c r="CF27" s="24" t="n"/>
      <c r="CG27" s="24" t="n"/>
      <c r="CH27" s="24" t="inlineStr">
        <is>
          <t>-1.47</t>
        </is>
      </c>
      <c r="CI27" s="24" t="inlineStr">
        <is>
          <t>executable_quote_missing_or_unmatched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a4df93341b4c4840</t>
        </is>
      </c>
      <c r="B28" s="24" t="inlineStr">
        <is>
          <t>2026-07-29T05:19:46.912744Z</t>
        </is>
      </c>
      <c r="C28" s="24" t="inlineStr">
        <is>
          <t>2026-07-29T16:10:00-0400</t>
        </is>
      </c>
      <c r="D28" s="24" t="inlineStr">
        <is>
          <t>401816318</t>
        </is>
      </c>
      <c r="E28" s="24" t="inlineStr">
        <is>
          <t>MLB</t>
        </is>
      </c>
      <c r="F28" s="24" t="inlineStr">
        <is>
          <t>Colorado Rockies</t>
        </is>
      </c>
      <c r="G28" s="24" t="inlineStr">
        <is>
          <t>San Diego Padres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model_opinion_no_executable_quote</t>
        </is>
      </c>
      <c r="L28" s="26" t="n">
        <v>-110</v>
      </c>
      <c r="M28" s="27" t="n">
        <v>1.909091</v>
      </c>
      <c r="N28" s="28" t="n">
        <v>0.52381</v>
      </c>
      <c r="O28" s="28" t="n">
        <v>0.758118</v>
      </c>
      <c r="P28" s="28" t="n"/>
      <c r="Q28" s="28" t="n">
        <v>0.234308</v>
      </c>
      <c r="R28" s="26" t="n">
        <v>100</v>
      </c>
      <c r="S28" s="29" t="n">
        <v>0</v>
      </c>
      <c r="T28" s="24" t="inlineStr">
        <is>
          <t>mlb-elo-trend-lr-v6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NO_CALL_MARKET_UNAVAILABLE</t>
        </is>
      </c>
      <c r="AP28" s="24" t="inlineStr">
        <is>
          <t>mlb-col</t>
        </is>
      </c>
      <c r="AQ28" s="24" t="inlineStr">
        <is>
          <t>Colorado Rockies</t>
        </is>
      </c>
      <c r="AR28" s="24" t="inlineStr">
        <is>
          <t>Colorado Rockies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0633355b1144e4205ca6d08e3f328d99cab0970358846bd77228f3bcbfcd70ee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0633355b1144e4205ca6d08e3f328d99cab0970358846bd77228f3bcbfcd70ee</t>
        </is>
      </c>
      <c r="BE28" s="24" t="inlineStr">
        <is>
          <t>50faeb2db498d024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2026-07-29T05:19:46.912744Z</t>
        </is>
      </c>
      <c r="BI28" s="24" t="inlineStr">
        <is>
          <t>["same_event","same_team_same_day","same_league_same_day"]</t>
        </is>
      </c>
      <c r="BJ28" s="25" t="n"/>
      <c r="BK28" s="26" t="n">
        <v>-110</v>
      </c>
      <c r="BL28" s="27" t="n">
        <v>1.909091</v>
      </c>
      <c r="BM28" s="28" t="n">
        <v>0.52381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0.6881581363</t>
        </is>
      </c>
      <c r="CD28" s="24" t="inlineStr">
        <is>
          <t>2.156212</t>
        </is>
      </c>
      <c r="CE28" s="24" t="inlineStr">
        <is>
          <t>0.95</t>
        </is>
      </c>
      <c r="CF28" s="24" t="n"/>
      <c r="CG28" s="24" t="n"/>
      <c r="CH28" s="24" t="inlineStr">
        <is>
          <t>4.18</t>
        </is>
      </c>
      <c r="CI28" s="24" t="inlineStr">
        <is>
          <t>executable_quote_missing_or_unmatched</t>
        </is>
      </c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ecb593c89de14d16</t>
        </is>
      </c>
      <c r="B29" s="24" t="inlineStr">
        <is>
          <t>2026-07-29T05:19:46.912744Z</t>
        </is>
      </c>
      <c r="C29" s="24" t="inlineStr">
        <is>
          <t>2026-07-29T18:40:00-0400</t>
        </is>
      </c>
      <c r="D29" s="24" t="inlineStr">
        <is>
          <t>401816312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Tampa Bay Rays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model_opinion_no_executable_quote</t>
        </is>
      </c>
      <c r="L29" s="26" t="n">
        <v>-110</v>
      </c>
      <c r="M29" s="27" t="n">
        <v>1.909091</v>
      </c>
      <c r="N29" s="28" t="n">
        <v>0.52381</v>
      </c>
      <c r="O29" s="28" t="n">
        <v>0.579954</v>
      </c>
      <c r="P29" s="28" t="n"/>
      <c r="Q29" s="28" t="n">
        <v>0.056144</v>
      </c>
      <c r="R29" s="26" t="n">
        <v>48</v>
      </c>
      <c r="S29" s="29" t="n">
        <v>0</v>
      </c>
      <c r="T29" s="24" t="inlineStr">
        <is>
          <t>mlb-elo-trend-lr-v6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NO_CALL_MARKET_UNAVAILABLE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mlb-tb</t>
        </is>
      </c>
      <c r="AT29" s="24" t="inlineStr">
        <is>
          <t>Tampa Bay Rays</t>
        </is>
      </c>
      <c r="AU29" s="24" t="inlineStr">
        <is>
          <t>Tampa Bay Rays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0633355b1144e4205ca6d08e3f328d99cab0970358846bd77228f3bcbfcd70ee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0633355b1144e4205ca6d08e3f328d99cab0970358846bd77228f3bcbfcd70ee</t>
        </is>
      </c>
      <c r="BE29" s="24" t="inlineStr">
        <is>
          <t>f28f46ef3960c6ac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2026-07-29T05:19:46.912744Z</t>
        </is>
      </c>
      <c r="BI29" s="24" t="inlineStr">
        <is>
          <t>["same_event","same_team_same_day","same_league_same_day"]</t>
        </is>
      </c>
      <c r="BJ29" s="25" t="n"/>
      <c r="BK29" s="26" t="n">
        <v>-110</v>
      </c>
      <c r="BL29" s="27" t="n">
        <v>1.909091</v>
      </c>
      <c r="BM29" s="28" t="n">
        <v>0.52381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0.5812862212</t>
        </is>
      </c>
      <c r="CD29" s="24" t="inlineStr">
        <is>
          <t>1.271016</t>
        </is>
      </c>
      <c r="CE29" s="24" t="inlineStr">
        <is>
          <t>0.96</t>
        </is>
      </c>
      <c r="CF29" s="24" t="n"/>
      <c r="CG29" s="24" t="n"/>
      <c r="CH29" s="24" t="inlineStr">
        <is>
          <t>-0.87</t>
        </is>
      </c>
      <c r="CI29" s="24" t="inlineStr">
        <is>
          <t>executable_quote_missing_or_unmatched</t>
        </is>
      </c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9cf1b29591de4274</t>
        </is>
      </c>
      <c r="B30" s="24" t="inlineStr">
        <is>
          <t>2026-07-29T05:19:46.912744Z</t>
        </is>
      </c>
      <c r="C30" s="24" t="inlineStr">
        <is>
          <t>2026-07-29T19:40:00-0400</t>
        </is>
      </c>
      <c r="D30" s="24" t="inlineStr">
        <is>
          <t>401816315</t>
        </is>
      </c>
      <c r="E30" s="24" t="inlineStr">
        <is>
          <t>MLB</t>
        </is>
      </c>
      <c r="F30" s="24" t="inlineStr">
        <is>
          <t>Kansas City Royals</t>
        </is>
      </c>
      <c r="G30" s="24" t="inlineStr">
        <is>
          <t>Minnesota Twins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model_opinion_no_executable_quote</t>
        </is>
      </c>
      <c r="L30" s="26" t="n">
        <v>-110</v>
      </c>
      <c r="M30" s="27" t="n">
        <v>1.909091</v>
      </c>
      <c r="N30" s="28" t="n">
        <v>0.52381</v>
      </c>
      <c r="O30" s="28" t="n">
        <v>0.6076009999999999</v>
      </c>
      <c r="P30" s="28" t="n"/>
      <c r="Q30" s="28" t="n">
        <v>0.083791</v>
      </c>
      <c r="R30" s="26" t="n">
        <v>62</v>
      </c>
      <c r="S30" s="29" t="n">
        <v>0</v>
      </c>
      <c r="T30" s="24" t="inlineStr">
        <is>
          <t>mlb-elo-trend-lr-v6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NO_CALL_MARKET_UNAVAILABLE</t>
        </is>
      </c>
      <c r="AP30" s="24" t="inlineStr">
        <is>
          <t>mlb-kc</t>
        </is>
      </c>
      <c r="AQ30" s="24" t="inlineStr">
        <is>
          <t>Kansas City Royals</t>
        </is>
      </c>
      <c r="AR30" s="24" t="inlineStr">
        <is>
          <t>Kansas City Royals</t>
        </is>
      </c>
      <c r="AS30" s="24" t="inlineStr">
        <is>
          <t>mlb-min</t>
        </is>
      </c>
      <c r="AT30" s="24" t="inlineStr">
        <is>
          <t>Minnesota Twins</t>
        </is>
      </c>
      <c r="AU30" s="24" t="inlineStr">
        <is>
          <t>Minnesota Twins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0633355b1144e4205ca6d08e3f328d99cab0970358846bd77228f3bcbfcd70ee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0633355b1144e4205ca6d08e3f328d99cab0970358846bd77228f3bcbfcd70ee</t>
        </is>
      </c>
      <c r="BE30" s="24" t="inlineStr">
        <is>
          <t>fd890ce0158a231f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2026-07-29T05:19:46.912744Z</t>
        </is>
      </c>
      <c r="BI30" s="24" t="inlineStr">
        <is>
          <t>["same_event","same_team_same_day","same_league_same_day"]</t>
        </is>
      </c>
      <c r="BJ30" s="25" t="n"/>
      <c r="BK30" s="26" t="n">
        <v>-110</v>
      </c>
      <c r="BL30" s="27" t="n">
        <v>1.909091</v>
      </c>
      <c r="BM30" s="28" t="n">
        <v>0.52381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0.5494442227</t>
        </is>
      </c>
      <c r="CD30" s="24" t="inlineStr">
        <is>
          <t>0.040618</t>
        </is>
      </c>
      <c r="CE30" s="24" t="inlineStr">
        <is>
          <t>1.0</t>
        </is>
      </c>
      <c r="CF30" s="24" t="n"/>
      <c r="CG30" s="24" t="n"/>
      <c r="CH30" s="24" t="inlineStr">
        <is>
          <t>1.96</t>
        </is>
      </c>
      <c r="CI30" s="24" t="inlineStr">
        <is>
          <t>executable_quote_missing_or_unmatched</t>
        </is>
      </c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208e8b124e534e6b</t>
        </is>
      </c>
      <c r="B31" s="24" t="inlineStr">
        <is>
          <t>2026-07-29T05:19:46.912744Z</t>
        </is>
      </c>
      <c r="C31" s="24" t="inlineStr">
        <is>
          <t>2026-07-29T19:40:00-0400</t>
        </is>
      </c>
      <c r="D31" s="24" t="inlineStr">
        <is>
          <t>401816316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White Sox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model_opinion_no_executable_quote</t>
        </is>
      </c>
      <c r="L31" s="26" t="n">
        <v>-110</v>
      </c>
      <c r="M31" s="27" t="n">
        <v>1.909091</v>
      </c>
      <c r="N31" s="28" t="n">
        <v>0.52381</v>
      </c>
      <c r="O31" s="28" t="n">
        <v>0.595337</v>
      </c>
      <c r="P31" s="28" t="n"/>
      <c r="Q31" s="28" t="n">
        <v>0.07152699999999999</v>
      </c>
      <c r="R31" s="26" t="n">
        <v>56</v>
      </c>
      <c r="S31" s="29" t="n">
        <v>0</v>
      </c>
      <c r="T31" s="24" t="inlineStr">
        <is>
          <t>mlb-elo-trend-lr-v6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NO_CALL_MARKET_UNAVAILABLE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mlb-cws</t>
        </is>
      </c>
      <c r="AT31" s="24" t="inlineStr">
        <is>
          <t>Chicago White Sox</t>
        </is>
      </c>
      <c r="AU31" s="24" t="inlineStr">
        <is>
          <t>Chicago White Sox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0633355b1144e4205ca6d08e3f328d99cab0970358846bd77228f3bcbfcd70ee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0633355b1144e4205ca6d08e3f328d99cab0970358846bd77228f3bcbfcd70ee</t>
        </is>
      </c>
      <c r="BE31" s="24" t="inlineStr">
        <is>
          <t>9fd872ad0f3e63a3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2026-07-29T05:19:46.912744Z</t>
        </is>
      </c>
      <c r="BI31" s="24" t="inlineStr">
        <is>
          <t>["same_event","same_team_same_day","same_league_same_day"]</t>
        </is>
      </c>
      <c r="BJ31" s="25" t="n"/>
      <c r="BK31" s="26" t="n">
        <v>-110</v>
      </c>
      <c r="BL31" s="27" t="n">
        <v>1.909091</v>
      </c>
      <c r="BM31" s="28" t="n">
        <v>0.52381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0.4761494151</t>
        </is>
      </c>
      <c r="CD31" s="24" t="inlineStr">
        <is>
          <t>1.500354</t>
        </is>
      </c>
      <c r="CE31" s="24" t="inlineStr">
        <is>
          <t>0.99</t>
        </is>
      </c>
      <c r="CF31" s="24" t="n"/>
      <c r="CG31" s="24" t="n"/>
      <c r="CH31" s="24" t="inlineStr">
        <is>
          <t>1.42</t>
        </is>
      </c>
      <c r="CI31" s="24" t="inlineStr">
        <is>
          <t>executable_quote_missing_or_unmatched</t>
        </is>
      </c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d536ae89b2e54ac1</t>
        </is>
      </c>
      <c r="B32" s="24" t="inlineStr">
        <is>
          <t>2026-07-29T05:19:46.912744Z</t>
        </is>
      </c>
      <c r="C32" s="24" t="inlineStr">
        <is>
          <t>2026-07-29T21:40:00-0400</t>
        </is>
      </c>
      <c r="D32" s="24" t="inlineStr">
        <is>
          <t>401816317</t>
        </is>
      </c>
      <c r="E32" s="24" t="inlineStr">
        <is>
          <t>MLB</t>
        </is>
      </c>
      <c r="F32" s="24" t="inlineStr">
        <is>
          <t>Boston Red Sox</t>
        </is>
      </c>
      <c r="G32" s="24" t="inlineStr">
        <is>
          <t>Athletics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model_opinion_no_executable_quote</t>
        </is>
      </c>
      <c r="L32" s="26" t="n">
        <v>-110</v>
      </c>
      <c r="M32" s="27" t="n">
        <v>1.909091</v>
      </c>
      <c r="N32" s="28" t="n">
        <v>0.52381</v>
      </c>
      <c r="O32" s="28" t="n">
        <v>0.6658500000000001</v>
      </c>
      <c r="P32" s="28" t="n"/>
      <c r="Q32" s="28" t="n">
        <v>0.14204</v>
      </c>
      <c r="R32" s="26" t="n">
        <v>91</v>
      </c>
      <c r="S32" s="29" t="n">
        <v>0</v>
      </c>
      <c r="T32" s="24" t="inlineStr">
        <is>
          <t>mlb-elo-trend-lr-v6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NO_CALL_MARKET_UNAVAILABLE</t>
        </is>
      </c>
      <c r="AP32" s="24" t="inlineStr">
        <is>
          <t>mlb-bos</t>
        </is>
      </c>
      <c r="AQ32" s="24" t="inlineStr">
        <is>
          <t>Boston Red Sox</t>
        </is>
      </c>
      <c r="AR32" s="24" t="inlineStr">
        <is>
          <t>Boston Red Sox</t>
        </is>
      </c>
      <c r="AS32" s="24" t="inlineStr">
        <is>
          <t>mlb-ath</t>
        </is>
      </c>
      <c r="AT32" s="24" t="inlineStr">
        <is>
          <t>Athletics</t>
        </is>
      </c>
      <c r="AU32" s="24" t="inlineStr">
        <is>
          <t>Athletics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0633355b1144e4205ca6d08e3f328d99cab0970358846bd77228f3bcbfcd70ee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0633355b1144e4205ca6d08e3f328d99cab0970358846bd77228f3bcbfcd70ee</t>
        </is>
      </c>
      <c r="BE32" s="24" t="inlineStr">
        <is>
          <t>e8772ec77b881e9a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2026-07-29T05:19:46.912744Z</t>
        </is>
      </c>
      <c r="BI32" s="24" t="inlineStr">
        <is>
          <t>["same_event","same_team_same_day","same_league_same_day"]</t>
        </is>
      </c>
      <c r="BJ32" s="25" t="n"/>
      <c r="BK32" s="26" t="n">
        <v>-110</v>
      </c>
      <c r="BL32" s="27" t="n">
        <v>1.909091</v>
      </c>
      <c r="BM32" s="28" t="n">
        <v>0.52381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0.3891185316</t>
        </is>
      </c>
      <c r="CD32" s="24" t="inlineStr">
        <is>
          <t>-1.066043</t>
        </is>
      </c>
      <c r="CE32" s="24" t="inlineStr">
        <is>
          <t>0.98</t>
        </is>
      </c>
      <c r="CF32" s="24" t="n"/>
      <c r="CG32" s="24" t="n"/>
      <c r="CH32" s="24" t="inlineStr">
        <is>
          <t>2.91</t>
        </is>
      </c>
      <c r="CI32" s="24" t="inlineStr">
        <is>
          <t>executable_quote_missing_or_unmatched</t>
        </is>
      </c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0b44eef52d4c4880</t>
        </is>
      </c>
      <c r="B33" s="24" t="inlineStr">
        <is>
          <t>2026-07-29T05:19:46.912744Z</t>
        </is>
      </c>
      <c r="C33" s="24" t="inlineStr">
        <is>
          <t>2026-07-29T22:10:00-0400</t>
        </is>
      </c>
      <c r="D33" s="24" t="inlineStr">
        <is>
          <t>401816321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model_opinion_no_executable_quote</t>
        </is>
      </c>
      <c r="L33" s="26" t="n">
        <v>-110</v>
      </c>
      <c r="M33" s="27" t="n">
        <v>1.909091</v>
      </c>
      <c r="N33" s="28" t="n">
        <v>0.52381</v>
      </c>
      <c r="O33" s="28" t="n">
        <v>0.578264</v>
      </c>
      <c r="P33" s="28" t="n"/>
      <c r="Q33" s="28" t="n">
        <v>0.054454</v>
      </c>
      <c r="R33" s="26" t="n">
        <v>47</v>
      </c>
      <c r="S33" s="29" t="n">
        <v>0</v>
      </c>
      <c r="T33" s="24" t="inlineStr">
        <is>
          <t>mlb-elo-trend-lr-v6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NO_CALL_MARKET_UNAVAILABLE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0633355b1144e4205ca6d08e3f328d99cab0970358846bd77228f3bcbfcd70ee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0633355b1144e4205ca6d08e3f328d99cab0970358846bd77228f3bcbfcd70ee</t>
        </is>
      </c>
      <c r="BE33" s="24" t="inlineStr">
        <is>
          <t>48afb82b2455fcbf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2026-07-29T05:19:46.912744Z</t>
        </is>
      </c>
      <c r="BI33" s="24" t="inlineStr">
        <is>
          <t>["same_event","same_team_same_day","same_league_same_day"]</t>
        </is>
      </c>
      <c r="BJ33" s="25" t="n"/>
      <c r="BK33" s="26" t="n">
        <v>-110</v>
      </c>
      <c r="BL33" s="27" t="n">
        <v>1.909091</v>
      </c>
      <c r="BM33" s="28" t="n">
        <v>0.52381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0.6258863376</t>
        </is>
      </c>
      <c r="CD33" s="24" t="inlineStr">
        <is>
          <t>-0.186858</t>
        </is>
      </c>
      <c r="CE33" s="24" t="inlineStr">
        <is>
          <t>0.99</t>
        </is>
      </c>
      <c r="CF33" s="24" t="n"/>
      <c r="CG33" s="24" t="n"/>
      <c r="CH33" s="24" t="inlineStr">
        <is>
          <t>1.67</t>
        </is>
      </c>
      <c r="CI33" s="24" t="inlineStr">
        <is>
          <t>executable_quote_missing_or_unmatched</t>
        </is>
      </c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383f41591c534ef5</t>
        </is>
      </c>
      <c r="B34" s="24" t="inlineStr">
        <is>
          <t>2026-07-29T05:19:53.585877Z</t>
        </is>
      </c>
      <c r="C34" s="24" t="inlineStr">
        <is>
          <t>2026-07-29T20:00:00-0400</t>
        </is>
      </c>
      <c r="D34" s="24" t="inlineStr">
        <is>
          <t>401857097</t>
        </is>
      </c>
      <c r="E34" s="24" t="inlineStr">
        <is>
          <t>WNBA</t>
        </is>
      </c>
      <c r="F34" s="24" t="inlineStr">
        <is>
          <t>Atlanta Dream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model_opinion_no_executable_quote</t>
        </is>
      </c>
      <c r="L34" s="26" t="n">
        <v>-110</v>
      </c>
      <c r="M34" s="27" t="n">
        <v>1.909091</v>
      </c>
      <c r="N34" s="28" t="n">
        <v>0.52381</v>
      </c>
      <c r="O34" s="28" t="n">
        <v>0.66476</v>
      </c>
      <c r="P34" s="28" t="n"/>
      <c r="Q34" s="28" t="n">
        <v>0.14095</v>
      </c>
      <c r="R34" s="26" t="n">
        <v>90</v>
      </c>
      <c r="S34" s="29" t="n">
        <v>0</v>
      </c>
      <c r="T34" s="24" t="inlineStr">
        <is>
          <t>wnba-elo-trend-lr-v4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NO_CALL_AVAILABILITY_UNAVAILABLE, executable_quote_missing_or_unmatched unavailable for this game — defaulted to neutral, other features used normally.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NO_CALL_MARKET_UNAVAILABLE</t>
        </is>
      </c>
      <c r="AP34" s="24" t="inlineStr">
        <is>
          <t>wnba-atl</t>
        </is>
      </c>
      <c r="AQ34" s="24" t="inlineStr">
        <is>
          <t>Atlanta Dream</t>
        </is>
      </c>
      <c r="AR34" s="24" t="inlineStr">
        <is>
          <t>Atlanta Dream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f25936b561e6d355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2026-07-29T05:19:53.585877Z</t>
        </is>
      </c>
      <c r="BI34" s="24" t="inlineStr">
        <is>
          <t>["same_event","same_team_same_day","same_league_same_day"]</t>
        </is>
      </c>
      <c r="BJ34" s="25" t="n"/>
      <c r="BK34" s="26" t="n">
        <v>-110</v>
      </c>
      <c r="BL34" s="27" t="n">
        <v>1.909091</v>
      </c>
      <c r="BM34" s="28" t="n">
        <v>0.52381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0.7229749194</t>
        </is>
      </c>
      <c r="CD34" s="24" t="inlineStr">
        <is>
          <t>-2.425932</t>
        </is>
      </c>
      <c r="CE34" s="24" t="n"/>
      <c r="CF34" s="24" t="n"/>
      <c r="CG34" s="24" t="n"/>
      <c r="CH34" s="24" t="n"/>
      <c r="CI34" s="24" t="inlineStr">
        <is>
          <t>NO_CALL_AVAILABILITY_UNAVAILABLE,executable_quote_missing_or_unmatched</t>
        </is>
      </c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df3672f8d9724eb8</t>
        </is>
      </c>
      <c r="B35" s="24" t="inlineStr">
        <is>
          <t>2026-07-29T05:19:53.585877Z</t>
        </is>
      </c>
      <c r="C35" s="24" t="inlineStr">
        <is>
          <t>2026-07-29T22:00:00-0400</t>
        </is>
      </c>
      <c r="D35" s="24" t="inlineStr">
        <is>
          <t>401857098</t>
        </is>
      </c>
      <c r="E35" s="24" t="inlineStr">
        <is>
          <t>WNBA</t>
        </is>
      </c>
      <c r="F35" s="24" t="inlineStr">
        <is>
          <t>Golden State Valkyries</t>
        </is>
      </c>
      <c r="G35" s="24" t="inlineStr">
        <is>
          <t>Phoenix Mercury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model_opinion_no_executable_quote</t>
        </is>
      </c>
      <c r="L35" s="26" t="n">
        <v>-110</v>
      </c>
      <c r="M35" s="27" t="n">
        <v>1.909091</v>
      </c>
      <c r="N35" s="28" t="n">
        <v>0.52381</v>
      </c>
      <c r="O35" s="28" t="n">
        <v>0.7219989999999999</v>
      </c>
      <c r="P35" s="28" t="n"/>
      <c r="Q35" s="28" t="n">
        <v>0.198189</v>
      </c>
      <c r="R35" s="26" t="n">
        <v>100</v>
      </c>
      <c r="S35" s="29" t="n">
        <v>0</v>
      </c>
      <c r="T35" s="24" t="inlineStr">
        <is>
          <t>wnba-elo-trend-lr-v4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NO_CALL_AVAILABILITY_UNAVAILABLE, executable_quote_missing_or_unmatched unavailable for this game — defaulted to neutral, other features used normally.</t>
        </is>
      </c>
      <c r="AF35" s="31" t="inlineStr">
        <is>
          <t>Learned model; shadow-qualified via operator override.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NO_CALL_MARKET_UNAVAILABLE</t>
        </is>
      </c>
      <c r="AP35" s="24" t="inlineStr">
        <is>
          <t>wnba-gsv</t>
        </is>
      </c>
      <c r="AQ35" s="24" t="inlineStr">
        <is>
          <t>Golden State Valkyries</t>
        </is>
      </c>
      <c r="AR35" s="24" t="inlineStr">
        <is>
          <t>Golden State Valkyries</t>
        </is>
      </c>
      <c r="AS35" s="24" t="inlineStr">
        <is>
          <t>wnba-phx</t>
        </is>
      </c>
      <c r="AT35" s="24" t="inlineStr">
        <is>
          <t>Phoenix Mercury</t>
        </is>
      </c>
      <c r="AU35" s="24" t="inlineStr">
        <is>
          <t>Phoenix Mercury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5ba5847b783e4237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2026-07-29T05:19:53.585877Z</t>
        </is>
      </c>
      <c r="BI35" s="24" t="inlineStr">
        <is>
          <t>["same_event","same_team_same_day","same_league_same_day"]</t>
        </is>
      </c>
      <c r="BJ35" s="25" t="n"/>
      <c r="BK35" s="26" t="n">
        <v>-110</v>
      </c>
      <c r="BL35" s="27" t="n">
        <v>1.909091</v>
      </c>
      <c r="BM35" s="28" t="n">
        <v>0.52381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0.1902656067</t>
        </is>
      </c>
      <c r="CD35" s="24" t="inlineStr">
        <is>
          <t>-0.399848</t>
        </is>
      </c>
      <c r="CE35" s="24" t="n"/>
      <c r="CF35" s="24" t="n"/>
      <c r="CG35" s="24" t="n"/>
      <c r="CH35" s="24" t="n"/>
      <c r="CI35" s="24" t="inlineStr">
        <is>
          <t>NO_CALL_AVAILABILITY_UNAVAILABLE,executable_quote_missing_or_unmatched</t>
        </is>
      </c>
      <c r="CJ35" s="24" t="n"/>
      <c r="CK35" s="24" t="n"/>
      <c r="CL35" s="24" t="n"/>
      <c r="CM35" s="24" t="n"/>
      <c r="CN35" s="24" t="n"/>
      <c r="CO3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2026-07-29T05:32:37Z</dcterms:created>
  <dcterms:modified xsi:type="dcterms:W3CDTF">2026-07-29T05:32:37Z</dcterms:modified>
</cp:coreProperties>
</file>