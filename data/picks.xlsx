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0" headerRowCount="1">
  <autoFilter ref="A1:CO7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COUNTA('Picks'!$A$2:$A$70)</f>
        <v/>
      </c>
      <c r="C4" s="6">
        <f>COUNTIF('Picks'!$U$2:$U$70,"open")</f>
        <v/>
      </c>
      <c r="E4" s="6">
        <f>COUNTIF('Picks'!$U$2:$U$70,"settled")</f>
        <v/>
      </c>
      <c r="G4" s="6">
        <f>IF(COUNTIFS('Picks'!$U$2:$U$70,"settled",'Picks'!$V$2:$V$70,"win")+COUNTIFS('Picks'!$U$2:$U$70,"settled",'Picks'!$V$2:$V$70,"loss")&gt;=$L$2,"Ready","Insufficient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COUNTIF('Picks'!$BX$2:$BX$70,"&gt;0")</f>
        <v/>
      </c>
      <c r="C7" s="6">
        <f>COUNTIFS('Picks'!$BX$2:$BX$70,"&gt;0",'Picks'!$V$2:$V$70,"win")&amp;"-"&amp;COUNTIFS('Picks'!$BX$2:$BX$70,"&gt;0",'Picks'!$V$2:$V$70,"loss")</f>
        <v/>
      </c>
      <c r="E7" s="7">
        <f>IFERROR(COUNTIFS('Picks'!$BX$2:$BX$70,"&gt;0",'Picks'!$V$2:$V$70,"win")/(COUNTIFS('Picks'!$BX$2:$BX$70,"&gt;0",'Picks'!$V$2:$V$70,"win")+COUNTIFS('Picks'!$BX$2:$BX$70,"&gt;0",'Picks'!$V$2:$V$70,"loss")),0)</f>
        <v/>
      </c>
      <c r="G7" s="7">
        <f>IFERROR(SUM('Picks'!$BY$2:$BY$70)/SUM('Picks'!$BX$2:$BX$70),0)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SUM('Picks'!$BY$2:$BY$70)</f>
        <v/>
      </c>
      <c r="C10" s="9">
        <f>IFERROR(AVERAGEIF('Picks'!$AB$2:$AB$70,"&lt;&gt;",'Picks'!$AB$2:$AB$70),0)</f>
        <v/>
      </c>
      <c r="E10" s="6">
        <f>COUNTIFS('Picks'!$AM$2:$AM$70,"QUALIFIED_SHADOW_CALL",'Picks'!$U$2:$U$70,"settled")</f>
        <v/>
      </c>
      <c r="G10" s="8">
        <f>SUMIFS('Picks'!$AC$2:$AC$70,'Picks'!$AM$2:$AM$70,"QUALIFIED_SHADOW_CALL")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COUNTIFS('Picks'!$H$2:$H$70,$A14,'Picks'!$U$2:$U$70,"settled")</f>
        <v/>
      </c>
      <c r="C14" s="13">
        <f>COUNTIFS('Picks'!$H$2:$H$70,$A14,'Picks'!$U$2:$U$70,"settled",'Picks'!$V$2:$V$70,"win")</f>
        <v/>
      </c>
      <c r="D14" s="13">
        <f>COUNTIFS('Picks'!$H$2:$H$70,$A14,'Picks'!$U$2:$U$70,"settled",'Picks'!$V$2:$V$70,"loss")</f>
        <v/>
      </c>
      <c r="E14" s="14">
        <f>IFERROR(C14/(C14+D14),0)</f>
        <v/>
      </c>
      <c r="F14" s="15">
        <f>SUMIFS('Picks'!$BY$2:$BY$70,'Picks'!$H$2:$H$70,$A14)</f>
        <v/>
      </c>
      <c r="G14" s="16">
        <f>IFERROR(AVERAGEIFS('Picks'!$AB$2:$AB$70,'Picks'!$H$2:$H$70,$A14,'Picks'!$U$2:$U$70,"settled"),0)</f>
        <v/>
      </c>
    </row>
    <row r="15">
      <c r="A15" s="17" t="inlineStr">
        <is>
          <t>spread</t>
        </is>
      </c>
      <c r="B15" s="18">
        <f>COUNTIFS('Picks'!$H$2:$H$70,$A15,'Picks'!$U$2:$U$70,"settled")</f>
        <v/>
      </c>
      <c r="C15" s="18">
        <f>COUNTIFS('Picks'!$H$2:$H$70,$A15,'Picks'!$U$2:$U$70,"settled",'Picks'!$V$2:$V$70,"win")</f>
        <v/>
      </c>
      <c r="D15" s="18">
        <f>COUNTIFS('Picks'!$H$2:$H$70,$A15,'Picks'!$U$2:$U$70,"settled",'Picks'!$V$2:$V$70,"loss")</f>
        <v/>
      </c>
      <c r="E15" s="19">
        <f>IFERROR(C15/(C15+D15),0)</f>
        <v/>
      </c>
      <c r="F15" s="20">
        <f>SUMIFS('Picks'!$BY$2:$BY$70,'Picks'!$H$2:$H$70,$A15)</f>
        <v/>
      </c>
      <c r="G15" s="21">
        <f>IFERROR(AVERAGEIFS('Picks'!$AB$2:$AB$70,'Picks'!$H$2:$H$70,$A15,'Picks'!$U$2:$U$70,"settled"),0)</f>
        <v/>
      </c>
    </row>
    <row r="16">
      <c r="A16" s="12" t="inlineStr">
        <is>
          <t>total</t>
        </is>
      </c>
      <c r="B16" s="13">
        <f>COUNTIFS('Picks'!$H$2:$H$70,$A16,'Picks'!$U$2:$U$70,"settled")</f>
        <v/>
      </c>
      <c r="C16" s="13">
        <f>COUNTIFS('Picks'!$H$2:$H$70,$A16,'Picks'!$U$2:$U$70,"settled",'Picks'!$V$2:$V$70,"win")</f>
        <v/>
      </c>
      <c r="D16" s="13">
        <f>COUNTIFS('Picks'!$H$2:$H$70,$A16,'Picks'!$U$2:$U$70,"settled",'Picks'!$V$2:$V$70,"loss")</f>
        <v/>
      </c>
      <c r="E16" s="14">
        <f>IFERROR(C16/(C16+D16),0)</f>
        <v/>
      </c>
      <c r="F16" s="15">
        <f>SUMIFS('Picks'!$BY$2:$BY$70,'Picks'!$H$2:$H$70,$A16)</f>
        <v/>
      </c>
      <c r="G16" s="16">
        <f>IFERROR(AVERAGEIFS('Picks'!$AB$2:$AB$70,'Picks'!$H$2:$H$70,$A16,'Picks'!$U$2:$U$70,"settled"),0)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b1a69ceaf9414c0c</t>
        </is>
      </c>
      <c r="B52" s="24" t="inlineStr">
        <is>
          <t>2026-08-02T07:12:10.920987Z</t>
        </is>
      </c>
      <c r="C52" s="24" t="inlineStr">
        <is>
          <t>2026-08-02T13:00:00-0400</t>
        </is>
      </c>
      <c r="D52" s="24" t="inlineStr">
        <is>
          <t>401857107</t>
        </is>
      </c>
      <c r="E52" s="24" t="inlineStr">
        <is>
          <t>WNBA</t>
        </is>
      </c>
      <c r="F52" s="24" t="inlineStr">
        <is>
          <t>Indiana Fever</t>
        </is>
      </c>
      <c r="G52" s="24" t="inlineStr">
        <is>
          <t>Minnesota Lynx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0.643489</v>
      </c>
      <c r="P52" s="28" t="n"/>
      <c r="Q52" s="28" t="n">
        <v>-0.026478</v>
      </c>
      <c r="R52" s="26" t="n">
        <v>10</v>
      </c>
      <c r="S52" s="29" t="n">
        <v>1.5</v>
      </c>
      <c r="T52" s="24" t="inlineStr">
        <is>
          <t>wnba-elo-trend-lr-v4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Learned LR call at threshold 0.5001; executable ask 0.6700 (aec-wnba-ind-min-2026-08-02); model edge vs ask -0.0265. NOTE: NO_CALL_AVAILABILITY_PLAYER_UNMAPPED unavailable for this game — defaulted to neutral, other features used normally.</t>
        </is>
      </c>
      <c r="AF52" s="31" t="inlineStr">
        <is>
          <t>Learned model; shadow-qualified via operator override.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wnba-ind</t>
        </is>
      </c>
      <c r="AQ52" s="24" t="inlineStr">
        <is>
          <t>Indiana Fever</t>
        </is>
      </c>
      <c r="AR52" s="24" t="inlineStr">
        <is>
          <t>Indiana Fever</t>
        </is>
      </c>
      <c r="AS52" s="24" t="inlineStr">
        <is>
          <t>wnba-min</t>
        </is>
      </c>
      <c r="AT52" s="24" t="inlineStr">
        <is>
          <t>Minnesota Lynx</t>
        </is>
      </c>
      <c r="AU52" s="24" t="inlineStr">
        <is>
          <t>Minnesota Lynx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7afd5274214b58b7efd7f7febc7be3ab33b92351cda5cc6403c0a39faea0cc8c</t>
        </is>
      </c>
      <c r="BB52" s="24" t="inlineStr">
        <is>
          <t>learned_lr</t>
        </is>
      </c>
      <c r="BC52" s="24" t="inlineStr">
        <is>
          <t>wnba-elo-trend-lr-v4</t>
        </is>
      </c>
      <c r="BD52" s="24" t="inlineStr">
        <is>
          <t>7afd5274214b58b7efd7f7febc7be3ab33b92351cda5cc6403c0a39faea0cc8c</t>
        </is>
      </c>
      <c r="BE52" s="24" t="inlineStr">
        <is>
          <t>cb6d856341c7efe7</t>
        </is>
      </c>
      <c r="BF52" s="24" t="inlineStr">
        <is>
          <t>1</t>
        </is>
      </c>
      <c r="BG52" s="24" t="inlineStr">
        <is>
          <t>wnba-elo-trend-lr-v4</t>
        </is>
      </c>
      <c r="BH52" s="24" t="inlineStr">
        <is>
          <t>2026-08-02T07:11:17.717034Z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>
        <v>0.663366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inlineStr">
        <is>
          <t>0.6810434571</t>
        </is>
      </c>
      <c r="CD52" s="24" t="inlineStr">
        <is>
          <t>-4.330577</t>
        </is>
      </c>
      <c r="CE52" s="24" t="n"/>
      <c r="CF52" s="24" t="n"/>
      <c r="CG52" s="24" t="n"/>
      <c r="CH52" s="24" t="n"/>
      <c r="CI52" s="24" t="inlineStr">
        <is>
          <t>NO_CALL_AVAILABILITY_PLAYER_UNMAPPED</t>
        </is>
      </c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53cf7b9179274fdf</t>
        </is>
      </c>
      <c r="B53" s="24" t="inlineStr">
        <is>
          <t>2026-08-02T07:12:10.920987Z</t>
        </is>
      </c>
      <c r="C53" s="24" t="inlineStr">
        <is>
          <t>2026-08-02T15:30:00-0400</t>
        </is>
      </c>
      <c r="D53" s="24" t="inlineStr">
        <is>
          <t>401857108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Portland Fire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100</v>
      </c>
      <c r="M53" s="27" t="n">
        <v>2</v>
      </c>
      <c r="N53" s="28" t="n">
        <v>0.5</v>
      </c>
      <c r="O53" s="28" t="n">
        <v>0.57112</v>
      </c>
      <c r="P53" s="28" t="n"/>
      <c r="Q53" s="28" t="n">
        <v>0.07112</v>
      </c>
      <c r="R53" s="26" t="n">
        <v>58</v>
      </c>
      <c r="S53" s="29" t="n">
        <v>1.25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0.5000 (aec-wnba-la-por-2026-08-02); model edge vs ask +0.0711.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wnba-por</t>
        </is>
      </c>
      <c r="AT53" s="24" t="inlineStr">
        <is>
          <t>Portland Fire</t>
        </is>
      </c>
      <c r="AU53" s="24" t="inlineStr">
        <is>
          <t>Portland Fire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58d7c01d51192db8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2026-08-02T07:11:18.670669Z</t>
        </is>
      </c>
      <c r="BI53" s="24" t="inlineStr">
        <is>
          <t>["same_event","same_team_same_day","same_league_same_day"]</t>
        </is>
      </c>
      <c r="BJ53" s="25" t="n"/>
      <c r="BK53" s="26" t="n">
        <v>100</v>
      </c>
      <c r="BL53" s="27" t="n">
        <v>2</v>
      </c>
      <c r="BM53" s="28" t="n">
        <v>0.5</v>
      </c>
      <c r="BN53" s="28" t="n">
        <v>0.49505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0.5937045717</t>
        </is>
      </c>
      <c r="CD53" s="24" t="inlineStr">
        <is>
          <t>-1.420483</t>
        </is>
      </c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113a8b54a3664d04</t>
        </is>
      </c>
      <c r="B54" s="24" t="inlineStr">
        <is>
          <t>2026-08-02T07:12:10.920987Z</t>
        </is>
      </c>
      <c r="C54" s="24" t="inlineStr">
        <is>
          <t>2026-08-02T19:00:00-0400</t>
        </is>
      </c>
      <c r="D54" s="24" t="inlineStr">
        <is>
          <t>401857109</t>
        </is>
      </c>
      <c r="E54" s="24" t="inlineStr">
        <is>
          <t>WNBA</t>
        </is>
      </c>
      <c r="F54" s="24" t="inlineStr">
        <is>
          <t>Connecticut Sun</t>
        </is>
      </c>
      <c r="G54" s="24" t="inlineStr">
        <is>
          <t>Dallas Wings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-525</v>
      </c>
      <c r="M54" s="27" t="n">
        <v>1.190476</v>
      </c>
      <c r="N54" s="28" t="n">
        <v>0.84</v>
      </c>
      <c r="O54" s="28" t="n">
        <v>0.758559</v>
      </c>
      <c r="P54" s="28" t="n"/>
      <c r="Q54" s="28" t="n">
        <v>-0.081441</v>
      </c>
      <c r="R54" s="26" t="n">
        <v>0</v>
      </c>
      <c r="S54" s="29" t="n">
        <v>2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wnba-con</t>
        </is>
      </c>
      <c r="AQ54" s="24" t="inlineStr">
        <is>
          <t>Connecticut Sun</t>
        </is>
      </c>
      <c r="AR54" s="24" t="inlineStr">
        <is>
          <t>Connecticut Sun</t>
        </is>
      </c>
      <c r="AS54" s="24" t="inlineStr">
        <is>
          <t>wnba-dal</t>
        </is>
      </c>
      <c r="AT54" s="24" t="inlineStr">
        <is>
          <t>Dallas Wings</t>
        </is>
      </c>
      <c r="AU54" s="24" t="inlineStr">
        <is>
          <t>Dallas Wings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9c0c7cfe02317de7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2026-08-02T07:11:20.306110Z</t>
        </is>
      </c>
      <c r="BI54" s="24" t="inlineStr">
        <is>
          <t>["same_event","same_team_same_day","same_league_same_day"]</t>
        </is>
      </c>
      <c r="BJ54" s="25" t="n"/>
      <c r="BK54" s="26" t="n">
        <v>-525</v>
      </c>
      <c r="BL54" s="27" t="n">
        <v>1.190476</v>
      </c>
      <c r="BM54" s="28" t="n">
        <v>0.84</v>
      </c>
      <c r="BN54" s="28" t="n">
        <v>0.831683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0.8648169599</t>
        </is>
      </c>
      <c r="CD54" s="24" t="inlineStr">
        <is>
          <t>-2.14749</t>
        </is>
      </c>
      <c r="CE54" s="24" t="n"/>
      <c r="CF54" s="24" t="n"/>
      <c r="CG54" s="24" t="n"/>
      <c r="CH54" s="24" t="n"/>
      <c r="CI54" s="24" t="inlineStr">
        <is>
          <t>NO_CALL_AVAILABILITY_PLAYER_UNMAPPED</t>
        </is>
      </c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2a34881952d54817</t>
        </is>
      </c>
      <c r="B55" s="24" t="inlineStr">
        <is>
          <t>2026-08-02T07:12:10.920987Z</t>
        </is>
      </c>
      <c r="C55" s="24" t="inlineStr">
        <is>
          <t>2026-08-02T20:30:00-0400</t>
        </is>
      </c>
      <c r="D55" s="24" t="inlineStr">
        <is>
          <t>401857110</t>
        </is>
      </c>
      <c r="E55" s="24" t="inlineStr">
        <is>
          <t>WNBA</t>
        </is>
      </c>
      <c r="F55" s="24" t="inlineStr">
        <is>
          <t>Toronto Tempo</t>
        </is>
      </c>
      <c r="G55" s="24" t="inlineStr">
        <is>
          <t>Golden State Valkyries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-669</v>
      </c>
      <c r="M55" s="27" t="n">
        <v>1.149477</v>
      </c>
      <c r="N55" s="28" t="n">
        <v>0.869961</v>
      </c>
      <c r="O55" s="28" t="n">
        <v>0.772803</v>
      </c>
      <c r="P55" s="28" t="n"/>
      <c r="Q55" s="28" t="n">
        <v>-0.09715799999999999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wnba-tor</t>
        </is>
      </c>
      <c r="AQ55" s="24" t="inlineStr">
        <is>
          <t>Toronto Tempo</t>
        </is>
      </c>
      <c r="AR55" s="24" t="inlineStr">
        <is>
          <t>Toronto Tempo</t>
        </is>
      </c>
      <c r="AS55" s="24" t="inlineStr">
        <is>
          <t>wnba-gsv</t>
        </is>
      </c>
      <c r="AT55" s="24" t="inlineStr">
        <is>
          <t>Golden State Valkyries</t>
        </is>
      </c>
      <c r="AU55" s="24" t="inlineStr">
        <is>
          <t>Golden State Valkyries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c1ef9fc1d2a3714a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2026-08-02T07:11:21.289872Z</t>
        </is>
      </c>
      <c r="BI55" s="24" t="inlineStr">
        <is>
          <t>["same_event","same_team_same_day","same_league_same_day"]</t>
        </is>
      </c>
      <c r="BJ55" s="25" t="n"/>
      <c r="BK55" s="26" t="n">
        <v>-669</v>
      </c>
      <c r="BL55" s="27" t="n">
        <v>1.149477</v>
      </c>
      <c r="BM55" s="28" t="n">
        <v>0.869961</v>
      </c>
      <c r="BN55" s="28" t="n">
        <v>0.861386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0.8973864278</t>
        </is>
      </c>
      <c r="CD55" s="24" t="inlineStr">
        <is>
          <t>2.248193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a8194ffc0f5e4424</t>
        </is>
      </c>
      <c r="B56" s="24" t="inlineStr">
        <is>
          <t>2026-08-02T07:12:10.920987Z</t>
        </is>
      </c>
      <c r="C56" s="24" t="inlineStr">
        <is>
          <t>2026-08-02T13:35:00-0400</t>
        </is>
      </c>
      <c r="D56" s="24" t="inlineStr">
        <is>
          <t>401816365</t>
        </is>
      </c>
      <c r="E56" s="24" t="inlineStr">
        <is>
          <t>MLB</t>
        </is>
      </c>
      <c r="F56" s="24" t="inlineStr">
        <is>
          <t>Philadelphia Phillies</t>
        </is>
      </c>
      <c r="G56" s="24" t="inlineStr">
        <is>
          <t>Baltimore Orioles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0.510265</v>
      </c>
      <c r="P56" s="28" t="n"/>
      <c r="Q56" s="28" t="n">
        <v>-0.049206</v>
      </c>
      <c r="R56" s="26" t="n">
        <v>0</v>
      </c>
      <c r="S56" s="29" t="n">
        <v>1</v>
      </c>
      <c r="T56" s="24" t="inlineStr">
        <is>
          <t>mlb-elo-trend-lr-v7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0.6242; executable ask 0.5600 (aec-mlb-phi-bal-2026-08-02); model edge vs ask -0.0497.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mlb-phi</t>
        </is>
      </c>
      <c r="AQ56" s="24" t="inlineStr">
        <is>
          <t>Philadelphia Phillies</t>
        </is>
      </c>
      <c r="AR56" s="24" t="inlineStr">
        <is>
          <t>Philadelphia Phillies</t>
        </is>
      </c>
      <c r="AS56" s="24" t="inlineStr">
        <is>
          <t>mlb-bal</t>
        </is>
      </c>
      <c r="AT56" s="24" t="inlineStr">
        <is>
          <t>Baltimore Orioles</t>
        </is>
      </c>
      <c r="AU56" s="24" t="inlineStr">
        <is>
          <t>Baltimore Orioles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ddb4f7d0b87c8828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2026-08-02T07:11:02.839017Z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>
        <v>0.557214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0.4831243511</t>
        </is>
      </c>
      <c r="CD56" s="24" t="inlineStr">
        <is>
          <t>-0.050102</t>
        </is>
      </c>
      <c r="CE56" s="24" t="inlineStr">
        <is>
          <t>1.03</t>
        </is>
      </c>
      <c r="CF56" s="24" t="inlineStr">
        <is>
          <t>1.021</t>
        </is>
      </c>
      <c r="CG56" s="24" t="inlineStr">
        <is>
          <t>2.8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732e3a4996c84f8d</t>
        </is>
      </c>
      <c r="B57" s="24" t="inlineStr">
        <is>
          <t>2026-08-02T07:12:10.920987Z</t>
        </is>
      </c>
      <c r="C57" s="24" t="inlineStr">
        <is>
          <t>2026-08-02T13:35:00-0400</t>
        </is>
      </c>
      <c r="D57" s="24" t="inlineStr">
        <is>
          <t>401816368</t>
        </is>
      </c>
      <c r="E57" s="24" t="inlineStr">
        <is>
          <t>MLB</t>
        </is>
      </c>
      <c r="F57" s="24" t="inlineStr">
        <is>
          <t>Washington Nationals</t>
        </is>
      </c>
      <c r="G57" s="24" t="inlineStr">
        <is>
          <t>Atlanta Braves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0.600347</v>
      </c>
      <c r="P57" s="28" t="n"/>
      <c r="Q57" s="28" t="n">
        <v>0.061176</v>
      </c>
      <c r="R57" s="26" t="n">
        <v>52</v>
      </c>
      <c r="S57" s="29" t="n">
        <v>1.25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0.5400 (aec-mlb-wsh-atl-2026-08-02); model edge vs ask +0.0603.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mlb-wsh</t>
        </is>
      </c>
      <c r="AQ57" s="24" t="inlineStr">
        <is>
          <t>Washington Nationals</t>
        </is>
      </c>
      <c r="AR57" s="24" t="inlineStr">
        <is>
          <t>Washington Nationals</t>
        </is>
      </c>
      <c r="AS57" s="24" t="inlineStr">
        <is>
          <t>mlb-atl</t>
        </is>
      </c>
      <c r="AT57" s="24" t="inlineStr">
        <is>
          <t>Atlanta Braves</t>
        </is>
      </c>
      <c r="AU57" s="24" t="inlineStr">
        <is>
          <t>Atlanta Braves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5a8b8f0237e0f7f7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2026-08-02T07:11:03.921396Z</t>
        </is>
      </c>
      <c r="BI57" s="24" t="inlineStr">
        <is>
          <t>["same_event","same_team_same_day","same_league_same_day"]</t>
        </is>
      </c>
      <c r="BJ57" s="25" t="n"/>
      <c r="BK57" s="26" t="n">
        <v>-117</v>
      </c>
      <c r="BL57" s="27" t="n">
        <v>1.854701</v>
      </c>
      <c r="BM57" s="28" t="n">
        <v>0.539171</v>
      </c>
      <c r="BN57" s="28" t="n">
        <v>0.537313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0.6335187094</t>
        </is>
      </c>
      <c r="CD57" s="24" t="inlineStr">
        <is>
          <t>1.061773</t>
        </is>
      </c>
      <c r="CE57" s="24" t="inlineStr">
        <is>
          <t>0.929</t>
        </is>
      </c>
      <c r="CF57" s="24" t="inlineStr">
        <is>
          <t>1.0206</t>
        </is>
      </c>
      <c r="CG57" s="24" t="inlineStr">
        <is>
          <t>-3.6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f9b6d8157df342e6</t>
        </is>
      </c>
      <c r="B58" s="24" t="inlineStr">
        <is>
          <t>2026-08-02T07:12:10.920987Z</t>
        </is>
      </c>
      <c r="C58" s="24" t="inlineStr">
        <is>
          <t>2026-08-02T13:37:00-0400</t>
        </is>
      </c>
      <c r="D58" s="24" t="inlineStr">
        <is>
          <t>401816367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Toronto Blue Jays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-108</v>
      </c>
      <c r="M58" s="27" t="n">
        <v>1.925926</v>
      </c>
      <c r="N58" s="28" t="n">
        <v>0.519231</v>
      </c>
      <c r="O58" s="28" t="n">
        <v>0.536276</v>
      </c>
      <c r="P58" s="28" t="n"/>
      <c r="Q58" s="28" t="n">
        <v>0.017045</v>
      </c>
      <c r="R58" s="26" t="n">
        <v>29</v>
      </c>
      <c r="S58" s="29" t="n">
        <v>1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0.5200 (aec-mlb-stl-tor-2026-08-02); model edge vs ask +0.0163.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mlb-tor</t>
        </is>
      </c>
      <c r="AT58" s="24" t="inlineStr">
        <is>
          <t>Toronto Blue Jays</t>
        </is>
      </c>
      <c r="AU58" s="24" t="inlineStr">
        <is>
          <t>Toronto Blue Jays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429c13d4c562f5e8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2026-08-02T07:11:04.884951Z</t>
        </is>
      </c>
      <c r="BI58" s="24" t="inlineStr">
        <is>
          <t>["same_event","same_team_same_day","same_league_same_day"]</t>
        </is>
      </c>
      <c r="BJ58" s="25" t="n"/>
      <c r="BK58" s="26" t="n">
        <v>-108</v>
      </c>
      <c r="BL58" s="27" t="n">
        <v>1.925926</v>
      </c>
      <c r="BM58" s="28" t="n">
        <v>0.519231</v>
      </c>
      <c r="BN58" s="28" t="n">
        <v>0.517413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0.5658417148</t>
        </is>
      </c>
      <c r="CD58" s="24" t="inlineStr">
        <is>
          <t>1.499161</t>
        </is>
      </c>
      <c r="CE58" s="24" t="inlineStr">
        <is>
          <t>1.019</t>
        </is>
      </c>
      <c r="CF58" s="24" t="inlineStr">
        <is>
          <t>1.0</t>
        </is>
      </c>
      <c r="CG58" s="24" t="inlineStr">
        <is>
          <t>-2.0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e09597530374477c</t>
        </is>
      </c>
      <c r="B59" s="24" t="inlineStr">
        <is>
          <t>2026-08-02T07:12:10.920987Z</t>
        </is>
      </c>
      <c r="C59" s="24" t="inlineStr">
        <is>
          <t>2026-08-02T13:40:00-0400</t>
        </is>
      </c>
      <c r="D59" s="24" t="inlineStr">
        <is>
          <t>401816362</t>
        </is>
      </c>
      <c r="E59" s="24" t="inlineStr">
        <is>
          <t>MLB</t>
        </is>
      </c>
      <c r="F59" s="24" t="inlineStr">
        <is>
          <t>Arizona Diamondbacks</t>
        </is>
      </c>
      <c r="G59" s="24" t="inlineStr">
        <is>
          <t>Cleveland Guardians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-135</v>
      </c>
      <c r="M59" s="27" t="n">
        <v>1.740741</v>
      </c>
      <c r="N59" s="28" t="n">
        <v>0.574468</v>
      </c>
      <c r="O59" s="28" t="n">
        <v>0.542333</v>
      </c>
      <c r="P59" s="28" t="n"/>
      <c r="Q59" s="28" t="n">
        <v>-0.032135</v>
      </c>
      <c r="R59" s="26" t="n">
        <v>5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0.5750 (aec-mlb-az-cle-2026-08-02); model edge vs ask -0.0327.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mlb-ari</t>
        </is>
      </c>
      <c r="AQ59" s="24" t="inlineStr">
        <is>
          <t>Arizona Diamondbacks</t>
        </is>
      </c>
      <c r="AR59" s="24" t="inlineStr">
        <is>
          <t>Arizona Diamondbacks</t>
        </is>
      </c>
      <c r="AS59" s="24" t="inlineStr">
        <is>
          <t>mlb-cle</t>
        </is>
      </c>
      <c r="AT59" s="24" t="inlineStr">
        <is>
          <t>Cleveland Guardians</t>
        </is>
      </c>
      <c r="AU59" s="24" t="inlineStr">
        <is>
          <t>Cleveland Guardians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8082ba852600e9f8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2026-08-02T07:11:05.948352Z</t>
        </is>
      </c>
      <c r="BI59" s="24" t="inlineStr">
        <is>
          <t>["same_event","same_team_same_day","same_league_same_day"]</t>
        </is>
      </c>
      <c r="BJ59" s="25" t="n"/>
      <c r="BK59" s="26" t="n">
        <v>-135</v>
      </c>
      <c r="BL59" s="27" t="n">
        <v>1.740741</v>
      </c>
      <c r="BM59" s="28" t="n">
        <v>0.574468</v>
      </c>
      <c r="BN59" s="28" t="n">
        <v>0.572139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0.5147263352</t>
        </is>
      </c>
      <c r="CD59" s="24" t="inlineStr">
        <is>
          <t>-1.620545</t>
        </is>
      </c>
      <c r="CE59" s="24" t="inlineStr">
        <is>
          <t>0.966</t>
        </is>
      </c>
      <c r="CF59" s="24" t="inlineStr">
        <is>
          <t>1.0052</t>
        </is>
      </c>
      <c r="CG59" s="24" t="inlineStr">
        <is>
          <t>1.0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f1526d26b07f4f4f</t>
        </is>
      </c>
      <c r="B60" s="24" t="inlineStr">
        <is>
          <t>2026-08-02T07:12:10.920987Z</t>
        </is>
      </c>
      <c r="C60" s="24" t="inlineStr">
        <is>
          <t>2026-08-02T13:40:00-0400</t>
        </is>
      </c>
      <c r="D60" s="24" t="inlineStr">
        <is>
          <t>401816363</t>
        </is>
      </c>
      <c r="E60" s="24" t="inlineStr">
        <is>
          <t>MLB</t>
        </is>
      </c>
      <c r="F60" s="24" t="inlineStr">
        <is>
          <t>Chicago White Sox</t>
        </is>
      </c>
      <c r="G60" s="24" t="inlineStr">
        <is>
          <t>Tampa Bay Rays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-138</v>
      </c>
      <c r="M60" s="27" t="n">
        <v>1.724638</v>
      </c>
      <c r="N60" s="28" t="n">
        <v>0.579832</v>
      </c>
      <c r="O60" s="28" t="n">
        <v>0.565508</v>
      </c>
      <c r="P60" s="28" t="n"/>
      <c r="Q60" s="28" t="n">
        <v>-0.014324</v>
      </c>
      <c r="R60" s="26" t="n">
        <v>14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0.5800 (aec-mlb-cws-tb-2026-08-02); model edge vs ask -0.0145.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mlb-cws</t>
        </is>
      </c>
      <c r="AQ60" s="24" t="inlineStr">
        <is>
          <t>Chicago White Sox</t>
        </is>
      </c>
      <c r="AR60" s="24" t="inlineStr">
        <is>
          <t>Chicago White Sox</t>
        </is>
      </c>
      <c r="AS60" s="24" t="inlineStr">
        <is>
          <t>mlb-tb</t>
        </is>
      </c>
      <c r="AT60" s="24" t="inlineStr">
        <is>
          <t>Tampa Bay Rays</t>
        </is>
      </c>
      <c r="AU60" s="24" t="inlineStr">
        <is>
          <t>Tampa Bay Rays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adafae297aed5d6c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2026-08-02T07:11:08.776580Z</t>
        </is>
      </c>
      <c r="BI60" s="24" t="inlineStr">
        <is>
          <t>["same_event","same_team_same_day","same_league_same_day"]</t>
        </is>
      </c>
      <c r="BJ60" s="25" t="n"/>
      <c r="BK60" s="26" t="n">
        <v>-138</v>
      </c>
      <c r="BL60" s="27" t="n">
        <v>1.724638</v>
      </c>
      <c r="BM60" s="28" t="n">
        <v>0.579832</v>
      </c>
      <c r="BN60" s="28" t="n">
        <v>0.577114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0.5503982216</t>
        </is>
      </c>
      <c r="CD60" s="24" t="inlineStr">
        <is>
          <t>-0.597101</t>
        </is>
      </c>
      <c r="CE60" s="24" t="inlineStr">
        <is>
          <t>0.965</t>
        </is>
      </c>
      <c r="CF60" s="24" t="inlineStr">
        <is>
          <t>1.0</t>
        </is>
      </c>
      <c r="CG60" s="24" t="inlineStr">
        <is>
          <t>0.2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5a05437cf9854399</t>
        </is>
      </c>
      <c r="B61" s="24" t="inlineStr">
        <is>
          <t>2026-08-02T07:12:10.920987Z</t>
        </is>
      </c>
      <c r="C61" s="24" t="inlineStr">
        <is>
          <t>2026-08-02T13:40:00-0400</t>
        </is>
      </c>
      <c r="D61" s="24" t="inlineStr">
        <is>
          <t>401816364</t>
        </is>
      </c>
      <c r="E61" s="24" t="inlineStr">
        <is>
          <t>MLB</t>
        </is>
      </c>
      <c r="F61" s="24" t="inlineStr">
        <is>
          <t>Miami Marlins</t>
        </is>
      </c>
      <c r="G61" s="24" t="inlineStr">
        <is>
          <t>New York Mets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108</v>
      </c>
      <c r="M61" s="27" t="n">
        <v>2.08</v>
      </c>
      <c r="N61" s="28" t="n">
        <v>0.480769</v>
      </c>
      <c r="O61" s="28" t="n">
        <v>0.519194</v>
      </c>
      <c r="P61" s="28" t="n"/>
      <c r="Q61" s="28" t="n">
        <v>0.038425</v>
      </c>
      <c r="R61" s="26" t="n">
        <v>41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0.4800 (aec-mlb-mia-nym-2026-08-02); model edge vs ask +0.0392.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mlb-mia</t>
        </is>
      </c>
      <c r="AQ61" s="24" t="inlineStr">
        <is>
          <t>Miami Marlins</t>
        </is>
      </c>
      <c r="AR61" s="24" t="inlineStr">
        <is>
          <t>Miami Marlins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2d38d059d757eb9e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2026-08-02T07:11:07.556434Z</t>
        </is>
      </c>
      <c r="BI61" s="24" t="inlineStr">
        <is>
          <t>["same_event","same_team_same_day","same_league_same_day"]</t>
        </is>
      </c>
      <c r="BJ61" s="25" t="n"/>
      <c r="BK61" s="26" t="n">
        <v>108</v>
      </c>
      <c r="BL61" s="27" t="n">
        <v>2.08</v>
      </c>
      <c r="BM61" s="28" t="n">
        <v>0.480769</v>
      </c>
      <c r="BN61" s="28" t="n">
        <v>0.477612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0.4938777222</t>
        </is>
      </c>
      <c r="CD61" s="24" t="inlineStr">
        <is>
          <t>-0.998113</t>
        </is>
      </c>
      <c r="CE61" s="24" t="inlineStr">
        <is>
          <t>0.978</t>
        </is>
      </c>
      <c r="CF61" s="24" t="inlineStr">
        <is>
          <t>1.0227</t>
        </is>
      </c>
      <c r="CG61" s="24" t="inlineStr">
        <is>
          <t>0.4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2323c3508d4d4219</t>
        </is>
      </c>
      <c r="B62" s="24" t="inlineStr">
        <is>
          <t>2026-08-02T07:12:10.920987Z</t>
        </is>
      </c>
      <c r="C62" s="24" t="inlineStr">
        <is>
          <t>2026-08-02T13:40:00-0400</t>
        </is>
      </c>
      <c r="D62" s="24" t="inlineStr">
        <is>
          <t>401816366</t>
        </is>
      </c>
      <c r="E62" s="24" t="inlineStr">
        <is>
          <t>MLB</t>
        </is>
      </c>
      <c r="F62" s="24" t="inlineStr">
        <is>
          <t>Pittsburgh Pirates</t>
        </is>
      </c>
      <c r="G62" s="24" t="inlineStr">
        <is>
          <t>Cincinnati Reds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138</v>
      </c>
      <c r="M62" s="27" t="n">
        <v>2.38</v>
      </c>
      <c r="N62" s="28" t="n">
        <v>0.420168</v>
      </c>
      <c r="O62" s="28" t="n">
        <v>0.51845</v>
      </c>
      <c r="P62" s="28" t="n"/>
      <c r="Q62" s="28" t="n">
        <v>0.09828199999999999</v>
      </c>
      <c r="R62" s="26" t="n">
        <v>70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0.4200 (aec-mlb-pit-cin-2026-08-02); model edge vs ask +0.0984.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mlb-pit</t>
        </is>
      </c>
      <c r="AQ62" s="24" t="inlineStr">
        <is>
          <t>Pittsburgh Pirates</t>
        </is>
      </c>
      <c r="AR62" s="24" t="inlineStr">
        <is>
          <t>Pittsburgh Pirates</t>
        </is>
      </c>
      <c r="AS62" s="24" t="inlineStr">
        <is>
          <t>mlb-cin</t>
        </is>
      </c>
      <c r="AT62" s="24" t="inlineStr">
        <is>
          <t>Cincinnati Reds</t>
        </is>
      </c>
      <c r="AU62" s="24" t="inlineStr">
        <is>
          <t>Cincinnati Reds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ddeca2e105ed897c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2026-08-02T07:11:06.897751Z</t>
        </is>
      </c>
      <c r="BI62" s="24" t="inlineStr">
        <is>
          <t>["same_event","same_team_same_day","same_league_same_day"]</t>
        </is>
      </c>
      <c r="BJ62" s="25" t="n"/>
      <c r="BK62" s="26" t="n">
        <v>138</v>
      </c>
      <c r="BL62" s="27" t="n">
        <v>2.38</v>
      </c>
      <c r="BM62" s="28" t="n">
        <v>0.420168</v>
      </c>
      <c r="BN62" s="28" t="n">
        <v>0.41791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0.4891381657</t>
        </is>
      </c>
      <c r="CD62" s="24" t="inlineStr">
        <is>
          <t>0.471311</t>
        </is>
      </c>
      <c r="CE62" s="24" t="inlineStr">
        <is>
          <t>1.036</t>
        </is>
      </c>
      <c r="CF62" s="24" t="inlineStr">
        <is>
          <t>1.003</t>
        </is>
      </c>
      <c r="CG62" s="24" t="inlineStr">
        <is>
          <t>-0.8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00f70dc01c8642e1</t>
        </is>
      </c>
      <c r="B63" s="24" t="inlineStr">
        <is>
          <t>2026-08-02T07:12:10.920987Z</t>
        </is>
      </c>
      <c r="C63" s="24" t="inlineStr">
        <is>
          <t>2026-08-02T14:10:00-0400</t>
        </is>
      </c>
      <c r="D63" s="24" t="inlineStr">
        <is>
          <t>401816370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-115</v>
      </c>
      <c r="M63" s="27" t="n">
        <v>1.869565</v>
      </c>
      <c r="N63" s="28" t="n">
        <v>0.534884</v>
      </c>
      <c r="O63" s="28" t="n">
        <v>0.538187</v>
      </c>
      <c r="P63" s="28" t="n"/>
      <c r="Q63" s="28" t="n">
        <v>0.003303</v>
      </c>
      <c r="R63" s="26" t="n">
        <v>23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0.5350 (aec-mlb-tex-hou-2026-08-02); model edge vs ask +0.0032.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2d42dfba300c1668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2026-08-02T07:11:09.528742Z</t>
        </is>
      </c>
      <c r="BI63" s="24" t="inlineStr">
        <is>
          <t>["same_event","same_team_same_day","same_league_same_day"]</t>
        </is>
      </c>
      <c r="BJ63" s="25" t="n"/>
      <c r="BK63" s="26" t="n">
        <v>-115</v>
      </c>
      <c r="BL63" s="27" t="n">
        <v>1.869565</v>
      </c>
      <c r="BM63" s="28" t="n">
        <v>0.534884</v>
      </c>
      <c r="BN63" s="28" t="n">
        <v>0.532338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0.5570987062</t>
        </is>
      </c>
      <c r="CD63" s="24" t="inlineStr">
        <is>
          <t>1.976345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-1.4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80258574229b4a45</t>
        </is>
      </c>
      <c r="B64" s="24" t="inlineStr">
        <is>
          <t>2026-08-02T07:12:10.920987Z</t>
        </is>
      </c>
      <c r="C64" s="24" t="inlineStr">
        <is>
          <t>2026-08-02T14:20:00-0400</t>
        </is>
      </c>
      <c r="D64" s="24" t="inlineStr">
        <is>
          <t>401816369</t>
        </is>
      </c>
      <c r="E64" s="24" t="inlineStr">
        <is>
          <t>MLB</t>
        </is>
      </c>
      <c r="F64" s="24" t="inlineStr">
        <is>
          <t>New York Yankees</t>
        </is>
      </c>
      <c r="G64" s="24" t="inlineStr">
        <is>
          <t>Chicago Cubs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115</v>
      </c>
      <c r="M64" s="27" t="n">
        <v>2.15</v>
      </c>
      <c r="N64" s="28" t="n">
        <v>0.465116</v>
      </c>
      <c r="O64" s="28" t="n">
        <v>0.549412</v>
      </c>
      <c r="P64" s="28" t="n"/>
      <c r="Q64" s="28" t="n">
        <v>0.084296</v>
      </c>
      <c r="R64" s="26" t="n">
        <v>63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0.4650 (aec-mlb-nyy-chc-2026-08-02); model edge vs ask +0.0844.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mlb-nyy</t>
        </is>
      </c>
      <c r="AQ64" s="24" t="inlineStr">
        <is>
          <t>New York Yankees</t>
        </is>
      </c>
      <c r="AR64" s="24" t="inlineStr">
        <is>
          <t>New York Yankees</t>
        </is>
      </c>
      <c r="AS64" s="24" t="inlineStr">
        <is>
          <t>mlb-chc</t>
        </is>
      </c>
      <c r="AT64" s="24" t="inlineStr">
        <is>
          <t>Chicago Cubs</t>
        </is>
      </c>
      <c r="AU64" s="24" t="inlineStr">
        <is>
          <t>Chicago Cubs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a08edee3cd28001e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2026-08-02T07:11:10.401780Z</t>
        </is>
      </c>
      <c r="BI64" s="24" t="inlineStr">
        <is>
          <t>["same_event","same_team_same_day","same_league_same_day"]</t>
        </is>
      </c>
      <c r="BJ64" s="25" t="n"/>
      <c r="BK64" s="26" t="n">
        <v>115</v>
      </c>
      <c r="BL64" s="27" t="n">
        <v>2.15</v>
      </c>
      <c r="BM64" s="28" t="n">
        <v>0.465116</v>
      </c>
      <c r="BN64" s="28" t="n">
        <v>0.462687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0.5479631024</t>
        </is>
      </c>
      <c r="CD64" s="24" t="inlineStr">
        <is>
          <t>0.358864</t>
        </is>
      </c>
      <c r="CE64" s="24" t="inlineStr">
        <is>
          <t>0.986</t>
        </is>
      </c>
      <c r="CF64" s="24" t="inlineStr">
        <is>
          <t>1.0103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7937afa3dbc9454c</t>
        </is>
      </c>
      <c r="B65" s="24" t="inlineStr">
        <is>
          <t>2026-08-02T07:12:10.920987Z</t>
        </is>
      </c>
      <c r="C65" s="24" t="inlineStr">
        <is>
          <t>2026-08-02T15:10:00-0400</t>
        </is>
      </c>
      <c r="D65" s="24" t="inlineStr">
        <is>
          <t>401816371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104</v>
      </c>
      <c r="M65" s="27" t="n">
        <v>2.04</v>
      </c>
      <c r="N65" s="28" t="n">
        <v>0.490196</v>
      </c>
      <c r="O65" s="28" t="n">
        <v>0.5999989999999999</v>
      </c>
      <c r="P65" s="28" t="n"/>
      <c r="Q65" s="28" t="n">
        <v>0.109803</v>
      </c>
      <c r="R65" s="26" t="n">
        <v>76</v>
      </c>
      <c r="S65" s="29" t="n">
        <v>1.25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0.4900 (aec-mlb-kc-col-2026-08-02); model edge vs ask +0.1100.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8a8f8b72edb34435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2026-08-02T07:11:11.443231Z</t>
        </is>
      </c>
      <c r="BI65" s="24" t="inlineStr">
        <is>
          <t>["same_event","same_team_same_day","same_league_same_day"]</t>
        </is>
      </c>
      <c r="BJ65" s="25" t="n"/>
      <c r="BK65" s="26" t="n">
        <v>104</v>
      </c>
      <c r="BL65" s="27" t="n">
        <v>2.04</v>
      </c>
      <c r="BM65" s="28" t="n">
        <v>0.490196</v>
      </c>
      <c r="BN65" s="28" t="n">
        <v>0.487562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0.4463973804</t>
        </is>
      </c>
      <c r="CD65" s="24" t="inlineStr">
        <is>
          <t>1.55286</t>
        </is>
      </c>
      <c r="CE65" s="24" t="inlineStr">
        <is>
          <t>1.193</t>
        </is>
      </c>
      <c r="CF65" s="24" t="inlineStr">
        <is>
          <t>1.0303</t>
        </is>
      </c>
      <c r="CG65" s="24" t="inlineStr">
        <is>
          <t>1.4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13d4bbf9fce24ce1</t>
        </is>
      </c>
      <c r="B66" s="24" t="inlineStr">
        <is>
          <t>2026-08-02T07:12:10.920987Z</t>
        </is>
      </c>
      <c r="C66" s="24" t="inlineStr">
        <is>
          <t>2026-08-02T15:15:00-0400</t>
        </is>
      </c>
      <c r="D66" s="24" t="inlineStr">
        <is>
          <t>401816374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Angels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-217</v>
      </c>
      <c r="M66" s="27" t="n">
        <v>1.460829</v>
      </c>
      <c r="N66" s="28" t="n">
        <v>0.684543</v>
      </c>
      <c r="O66" s="28" t="n">
        <v>0.625617</v>
      </c>
      <c r="P66" s="28" t="n"/>
      <c r="Q66" s="28" t="n">
        <v>-0.058926</v>
      </c>
      <c r="R66" s="26" t="n">
        <v>0</v>
      </c>
      <c r="S66" s="29" t="n">
        <v>1.5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0.6850 (aec-mlb-mil-laa-2026-08-02); model edge vs ask -0.0594.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b4ef4d89871f7ba6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2026-08-02T07:11:12.131172Z</t>
        </is>
      </c>
      <c r="BI66" s="24" t="inlineStr">
        <is>
          <t>["same_event","same_team_same_day","same_league_same_day"]</t>
        </is>
      </c>
      <c r="BJ66" s="25" t="n"/>
      <c r="BK66" s="26" t="n">
        <v>-217</v>
      </c>
      <c r="BL66" s="27" t="n">
        <v>1.460829</v>
      </c>
      <c r="BM66" s="28" t="n">
        <v>0.684543</v>
      </c>
      <c r="BN66" s="28" t="n">
        <v>0.681592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0.3268450055</t>
        </is>
      </c>
      <c r="CD66" s="24" t="inlineStr">
        <is>
          <t>-0.59379</t>
        </is>
      </c>
      <c r="CE66" s="24" t="inlineStr">
        <is>
          <t>1.01</t>
        </is>
      </c>
      <c r="CF66" s="24" t="inlineStr">
        <is>
          <t>1.0177</t>
        </is>
      </c>
      <c r="CG66" s="24" t="inlineStr">
        <is>
          <t>0.2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be19c90cf8ec48ad</t>
        </is>
      </c>
      <c r="B67" s="24" t="inlineStr">
        <is>
          <t>2026-08-02T07:12:10.920987Z</t>
        </is>
      </c>
      <c r="C67" s="24" t="inlineStr">
        <is>
          <t>2026-08-02T16:05:00-0400</t>
        </is>
      </c>
      <c r="D67" s="24" t="inlineStr">
        <is>
          <t>401816373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-106</v>
      </c>
      <c r="M67" s="27" t="n">
        <v>1.943396</v>
      </c>
      <c r="N67" s="28" t="n">
        <v>0.514563</v>
      </c>
      <c r="O67" s="28" t="n">
        <v>0.559493</v>
      </c>
      <c r="P67" s="28" t="n"/>
      <c r="Q67" s="28" t="n">
        <v>0.04493</v>
      </c>
      <c r="R67" s="26" t="n">
        <v>44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0.5150 (aec-mlb-det-ath-2026-08-02); model edge vs ask +0.0445.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00e7038bac98b145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2026-08-02T07:11:13.443758Z</t>
        </is>
      </c>
      <c r="BI67" s="24" t="inlineStr">
        <is>
          <t>["same_event","same_team_same_day","same_league_same_day"]</t>
        </is>
      </c>
      <c r="BJ67" s="25" t="n"/>
      <c r="BK67" s="26" t="n">
        <v>-106</v>
      </c>
      <c r="BL67" s="27" t="n">
        <v>1.943396</v>
      </c>
      <c r="BM67" s="28" t="n">
        <v>0.514563</v>
      </c>
      <c r="BN67" s="28" t="n">
        <v>0.5124379999999999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0.4182489247</t>
        </is>
      </c>
      <c r="CD67" s="24" t="inlineStr">
        <is>
          <t>-3.449013</t>
        </is>
      </c>
      <c r="CE67" s="24" t="inlineStr">
        <is>
          <t>1.153</t>
        </is>
      </c>
      <c r="CF67" s="24" t="inlineStr">
        <is>
          <t>1.0298</t>
        </is>
      </c>
      <c r="CG67" s="24" t="inlineStr">
        <is>
          <t>1.0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763dda395eb04972</t>
        </is>
      </c>
      <c r="B68" s="24" t="inlineStr">
        <is>
          <t>2026-08-02T07:12:10.920987Z</t>
        </is>
      </c>
      <c r="C68" s="24" t="inlineStr">
        <is>
          <t>2026-08-02T16:10:00-0400</t>
        </is>
      </c>
      <c r="D68" s="24" t="inlineStr">
        <is>
          <t>401816375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Seattle Mariners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0.596425</v>
      </c>
      <c r="P68" s="28" t="n"/>
      <c r="Q68" s="28" t="n">
        <v>0.036954</v>
      </c>
      <c r="R68" s="26" t="n">
        <v>40</v>
      </c>
      <c r="S68" s="29" t="n">
        <v>1.25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0.5600 (aec-mlb-min-sea-2026-08-02); model edge vs ask +0.0364.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mlb-sea</t>
        </is>
      </c>
      <c r="AT68" s="24" t="inlineStr">
        <is>
          <t>Seattle Mariners</t>
        </is>
      </c>
      <c r="AU68" s="24" t="inlineStr">
        <is>
          <t>Seattle Mariners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e58bfb84888a3f7a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2026-08-02T07:11:15.238873Z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>
        <v>0.557214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0.5819178739</t>
        </is>
      </c>
      <c r="CD68" s="24" t="inlineStr">
        <is>
          <t>0.703281</t>
        </is>
      </c>
      <c r="CE68" s="24" t="inlineStr">
        <is>
          <t>0.936</t>
        </is>
      </c>
      <c r="CF68" s="24" t="inlineStr">
        <is>
          <t>1.0</t>
        </is>
      </c>
      <c r="CG68" s="24" t="inlineStr">
        <is>
          <t>1.8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9f02c04b57d74a2c</t>
        </is>
      </c>
      <c r="B69" s="24" t="inlineStr">
        <is>
          <t>2026-08-02T07:12:10.920987Z</t>
        </is>
      </c>
      <c r="C69" s="24" t="inlineStr">
        <is>
          <t>2026-08-02T16:10:00-0400</t>
        </is>
      </c>
      <c r="D69" s="24" t="inlineStr">
        <is>
          <t>401816376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0.589015</v>
      </c>
      <c r="P69" s="28" t="n"/>
      <c r="Q69" s="28" t="n">
        <v>0.009183</v>
      </c>
      <c r="R69" s="26" t="n">
        <v>26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0.5800 (aec-mlb-sf-sd-2026-08-02); model edge vs ask +0.0090.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c332f3cd0c06de36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2026-08-02T07:11:14.354504Z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>
        <v>0.577114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0.5952401601</t>
        </is>
      </c>
      <c r="CD69" s="24" t="inlineStr">
        <is>
          <t>0.046644</t>
        </is>
      </c>
      <c r="CE69" s="24" t="inlineStr">
        <is>
          <t>0.945</t>
        </is>
      </c>
      <c r="CF69" s="24" t="inlineStr">
        <is>
          <t>1.0122</t>
        </is>
      </c>
      <c r="CG69" s="24" t="inlineStr">
        <is>
          <t>-1.6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b36f03977d9c4315</t>
        </is>
      </c>
      <c r="B70" s="24" t="inlineStr">
        <is>
          <t>2026-08-02T07:12:10.920987Z</t>
        </is>
      </c>
      <c r="C70" s="24" t="inlineStr">
        <is>
          <t>2026-08-02T19:20:00-0400</t>
        </is>
      </c>
      <c r="D70" s="24" t="inlineStr">
        <is>
          <t>401816372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0.559402</v>
      </c>
      <c r="P70" s="28" t="n"/>
      <c r="Q70" s="28" t="n">
        <v>-0.040598</v>
      </c>
      <c r="R70" s="26" t="n">
        <v>1</v>
      </c>
      <c r="S70" s="29" t="n">
        <v>1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0.6000 (aec-mlb-bos-lad-2026-08-02); model edge vs ask -0.0406.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eb0d325be4c32457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2026-08-02T07:11:16.250112Z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>
        <v>0.597015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0.5465616607</t>
        </is>
      </c>
      <c r="CD70" s="24" t="inlineStr">
        <is>
          <t>-0.812713</t>
        </is>
      </c>
      <c r="CE70" s="24" t="inlineStr">
        <is>
          <t>1.026</t>
        </is>
      </c>
      <c r="CF70" s="24" t="inlineStr">
        <is>
          <t>1.0168</t>
        </is>
      </c>
      <c r="CG70" s="24" t="inlineStr">
        <is>
          <t>2.6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2026-08-02T07:12:35Z</dcterms:created>
  <dcterms:modified xsi:type="dcterms:W3CDTF">2026-08-02T07:12:35Z</dcterms:modified>
</cp:coreProperties>
</file>