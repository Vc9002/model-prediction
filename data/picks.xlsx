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59" headerRowCount="1">
  <autoFilter ref="A1:CA59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COUNTA('Picks'!$A$2:$A$59)</f>
        <v/>
      </c>
      <c r="C4" s="6">
        <f>COUNTIF('Picks'!$U$2:$U$59,"open")</f>
        <v/>
      </c>
      <c r="E4" s="6">
        <f>COUNTIF('Picks'!$U$2:$U$59,"settled")</f>
        <v/>
      </c>
      <c r="G4" s="6">
        <f>IF(COUNTIFS('Picks'!$U$2:$U$59,"settled",'Picks'!$V$2:$V$59,"win")+COUNTIFS('Picks'!$U$2:$U$59,"settled",'Picks'!$V$2:$V$59,"loss")&gt;=$L$2,"Ready","Insufficient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COUNTIF('Picks'!$BX$2:$BX$59,"&gt;0")</f>
        <v/>
      </c>
      <c r="C7" s="6">
        <f>COUNTIFS('Picks'!$BX$2:$BX$59,"&gt;0",'Picks'!$V$2:$V$59,"win")&amp;"-"&amp;COUNTIFS('Picks'!$BX$2:$BX$59,"&gt;0",'Picks'!$V$2:$V$59,"loss")</f>
        <v/>
      </c>
      <c r="E7" s="7">
        <f>IFERROR(COUNTIFS('Picks'!$BX$2:$BX$59,"&gt;0",'Picks'!$V$2:$V$59,"win")/(COUNTIFS('Picks'!$BX$2:$BX$59,"&gt;0",'Picks'!$V$2:$V$59,"win")+COUNTIFS('Picks'!$BX$2:$BX$59,"&gt;0",'Picks'!$V$2:$V$59,"loss")),0)</f>
        <v/>
      </c>
      <c r="G7" s="7">
        <f>IFERROR(SUM('Picks'!$BY$2:$BY$59)/SUM('Picks'!$BX$2:$BX$59),0)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SUM('Picks'!$BY$2:$BY$59)</f>
        <v/>
      </c>
      <c r="C10" s="9">
        <f>IFERROR(AVERAGEIF('Picks'!$AB$2:$AB$59,"&lt;&gt;",'Picks'!$AB$2:$AB$59),0)</f>
        <v/>
      </c>
      <c r="E10" s="6">
        <f>COUNTIFS('Picks'!$AM$2:$AM$59,"QUALIFIED_SHADOW_CALL",'Picks'!$U$2:$U$59,"settled")</f>
        <v/>
      </c>
      <c r="G10" s="8">
        <f>SUMIFS('Picks'!$AC$2:$AC$59,'Picks'!$AM$2:$AM$59,"QUALIFIED_SHADOW_CALL")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COUNTIFS('Picks'!$H$2:$H$59,$A14,'Picks'!$U$2:$U$59,"settled")</f>
        <v/>
      </c>
      <c r="C14" s="13">
        <f>COUNTIFS('Picks'!$H$2:$H$59,$A14,'Picks'!$U$2:$U$59,"settled",'Picks'!$V$2:$V$59,"win")</f>
        <v/>
      </c>
      <c r="D14" s="13">
        <f>COUNTIFS('Picks'!$H$2:$H$59,$A14,'Picks'!$U$2:$U$59,"settled",'Picks'!$V$2:$V$59,"loss")</f>
        <v/>
      </c>
      <c r="E14" s="14">
        <f>IFERROR(C14/(C14+D14),0)</f>
        <v/>
      </c>
      <c r="F14" s="15">
        <f>SUMIFS('Picks'!$BY$2:$BY$59,'Picks'!$H$2:$H$59,$A14)</f>
        <v/>
      </c>
      <c r="G14" s="16">
        <f>IFERROR(AVERAGEIFS('Picks'!$AB$2:$AB$59,'Picks'!$H$2:$H$59,$A14,'Picks'!$U$2:$U$59,"settled"),0)</f>
        <v/>
      </c>
    </row>
    <row r="15">
      <c r="A15" s="17" t="inlineStr">
        <is>
          <t>spread</t>
        </is>
      </c>
      <c r="B15" s="18">
        <f>COUNTIFS('Picks'!$H$2:$H$59,$A15,'Picks'!$U$2:$U$59,"settled")</f>
        <v/>
      </c>
      <c r="C15" s="18">
        <f>COUNTIFS('Picks'!$H$2:$H$59,$A15,'Picks'!$U$2:$U$59,"settled",'Picks'!$V$2:$V$59,"win")</f>
        <v/>
      </c>
      <c r="D15" s="18">
        <f>COUNTIFS('Picks'!$H$2:$H$59,$A15,'Picks'!$U$2:$U$59,"settled",'Picks'!$V$2:$V$59,"loss")</f>
        <v/>
      </c>
      <c r="E15" s="19">
        <f>IFERROR(C15/(C15+D15),0)</f>
        <v/>
      </c>
      <c r="F15" s="20">
        <f>SUMIFS('Picks'!$BY$2:$BY$59,'Picks'!$H$2:$H$59,$A15)</f>
        <v/>
      </c>
      <c r="G15" s="21">
        <f>IFERROR(AVERAGEIFS('Picks'!$AB$2:$AB$59,'Picks'!$H$2:$H$59,$A15,'Picks'!$U$2:$U$59,"settled"),0)</f>
        <v/>
      </c>
    </row>
    <row r="16">
      <c r="A16" s="12" t="inlineStr">
        <is>
          <t>total</t>
        </is>
      </c>
      <c r="B16" s="13">
        <f>COUNTIFS('Picks'!$H$2:$H$59,$A16,'Picks'!$U$2:$U$59,"settled")</f>
        <v/>
      </c>
      <c r="C16" s="13">
        <f>COUNTIFS('Picks'!$H$2:$H$59,$A16,'Picks'!$U$2:$U$59,"settled",'Picks'!$V$2:$V$59,"win")</f>
        <v/>
      </c>
      <c r="D16" s="13">
        <f>COUNTIFS('Picks'!$H$2:$H$59,$A16,'Picks'!$U$2:$U$59,"settled",'Picks'!$V$2:$V$59,"loss")</f>
        <v/>
      </c>
      <c r="E16" s="14">
        <f>IFERROR(C16/(C16+D16),0)</f>
        <v/>
      </c>
      <c r="F16" s="15">
        <f>SUMIFS('Picks'!$BY$2:$BY$59,'Picks'!$H$2:$H$59,$A16)</f>
        <v/>
      </c>
      <c r="G16" s="16">
        <f>IFERROR(AVERAGEIFS('Picks'!$AB$2:$AB$59,'Picks'!$H$2:$H$59,$A16,'Picks'!$U$2:$U$59,"settled"),0)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25" t="n"/>
      <c r="Z2" s="26" t="n"/>
      <c r="AA2" s="28" t="n"/>
      <c r="AB2" s="28" t="n"/>
      <c r="AC2" s="3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>
        <v>0.455446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25" t="n"/>
      <c r="Z3" s="26" t="n"/>
      <c r="AA3" s="28" t="n"/>
      <c r="AB3" s="28" t="n"/>
      <c r="AC3" s="3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-102</v>
      </c>
      <c r="M4" s="27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25" t="n"/>
      <c r="BK4" s="26" t="n">
        <v>-102</v>
      </c>
      <c r="BL4" s="27" t="n">
        <v>1.980392</v>
      </c>
      <c r="BM4" s="28" t="n">
        <v>0.50495</v>
      </c>
      <c r="BN4" s="28" t="n">
        <v>0.502488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-133</v>
      </c>
      <c r="M5" s="27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25" t="n"/>
      <c r="Z5" s="26" t="n"/>
      <c r="AA5" s="28" t="n"/>
      <c r="AB5" s="28" t="n"/>
      <c r="AC5" s="3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25" t="n"/>
      <c r="BK5" s="26" t="n">
        <v>-133</v>
      </c>
      <c r="BL5" s="27" t="n">
        <v>1.75188</v>
      </c>
      <c r="BM5" s="28" t="n">
        <v>0.570815</v>
      </c>
      <c r="BN5" s="28" t="n">
        <v>0.567164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>
        <v>0.507463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25" t="n"/>
      <c r="Z7" s="26" t="n"/>
      <c r="AA7" s="28" t="n"/>
      <c r="AB7" s="28" t="n"/>
      <c r="AC7" s="3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-106</v>
      </c>
      <c r="M8" s="27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25" t="n"/>
      <c r="Z8" s="26" t="n"/>
      <c r="AA8" s="28" t="n"/>
      <c r="AB8" s="28" t="n"/>
      <c r="AC8" s="3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25" t="n"/>
      <c r="BK8" s="26" t="n">
        <v>-106</v>
      </c>
      <c r="BL8" s="27" t="n">
        <v>1.943396</v>
      </c>
      <c r="BM8" s="28" t="n">
        <v>0.514563</v>
      </c>
      <c r="BN8" s="28" t="n">
        <v>0.5124379999999999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25" t="n"/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25" t="n"/>
      <c r="Z10" s="26" t="n"/>
      <c r="AA10" s="28" t="n"/>
      <c r="AB10" s="28" t="n"/>
      <c r="AC10" s="3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>
        <v>0.577114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102</v>
      </c>
      <c r="M11" s="27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25" t="n"/>
      <c r="Z11" s="26" t="n"/>
      <c r="AA11" s="28" t="n"/>
      <c r="AB11" s="28" t="n"/>
      <c r="AC11" s="3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25" t="n"/>
      <c r="BK11" s="26" t="n">
        <v>102</v>
      </c>
      <c r="BL11" s="27" t="n">
        <v>2.02</v>
      </c>
      <c r="BM11" s="28" t="n">
        <v>0.49505</v>
      </c>
      <c r="BN11" s="28" t="n">
        <v>0.492537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-102</v>
      </c>
      <c r="M12" s="27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25" t="n"/>
      <c r="BK12" s="26" t="n">
        <v>-102</v>
      </c>
      <c r="BL12" s="27" t="n">
        <v>1.980392</v>
      </c>
      <c r="BM12" s="28" t="n">
        <v>0.50495</v>
      </c>
      <c r="BN12" s="28" t="n">
        <v>0.502488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-102</v>
      </c>
      <c r="M13" s="27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25" t="n"/>
      <c r="Z13" s="26" t="n"/>
      <c r="AA13" s="28" t="n"/>
      <c r="AB13" s="28" t="n"/>
      <c r="AC13" s="3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25" t="n"/>
      <c r="BK13" s="26" t="n">
        <v>-102</v>
      </c>
      <c r="BL13" s="27" t="n">
        <v>1.980392</v>
      </c>
      <c r="BM13" s="28" t="n">
        <v>0.50495</v>
      </c>
      <c r="BN13" s="28" t="n">
        <v>0.502488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25" t="n"/>
      <c r="Z14" s="26" t="n"/>
      <c r="AA14" s="28" t="n"/>
      <c r="AB14" s="28" t="n"/>
      <c r="AC14" s="3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39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>
        <v>0.507463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-111</v>
      </c>
      <c r="M16" s="27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79</v>
      </c>
      <c r="S16" s="29" t="n">
        <v>1.5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25" t="n"/>
      <c r="BK16" s="26" t="n">
        <v>-111</v>
      </c>
      <c r="BL16" s="27" t="n">
        <v>1.900901</v>
      </c>
      <c r="BM16" s="28" t="n">
        <v>0.526066</v>
      </c>
      <c r="BN16" s="28" t="n">
        <v>0.522388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31</v>
      </c>
      <c r="S17" s="29" t="n">
        <v>1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25" t="n"/>
      <c r="Z17" s="26" t="n"/>
      <c r="AA17" s="28" t="n"/>
      <c r="AB17" s="28" t="n"/>
      <c r="AC17" s="3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>
        <v>0.5148509999999999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111</v>
      </c>
      <c r="M18" s="27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90</v>
      </c>
      <c r="S18" s="29" t="n">
        <v>1.25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25" t="n"/>
      <c r="BK18" s="26" t="n">
        <v>111</v>
      </c>
      <c r="BL18" s="27" t="n">
        <v>2.11</v>
      </c>
      <c r="BM18" s="28" t="n">
        <v>0.473934</v>
      </c>
      <c r="BN18" s="28" t="n">
        <v>0.472637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-125</v>
      </c>
      <c r="M19" s="27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51</v>
      </c>
      <c r="S19" s="29" t="n">
        <v>1.5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25" t="n"/>
      <c r="Z19" s="26" t="n"/>
      <c r="AA19" s="28" t="n"/>
      <c r="AB19" s="28" t="n"/>
      <c r="AC19" s="3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25" t="n"/>
      <c r="BK19" s="26" t="n">
        <v>-125</v>
      </c>
      <c r="BL19" s="27" t="n">
        <v>1.8</v>
      </c>
      <c r="BM19" s="28" t="n">
        <v>0.555556</v>
      </c>
      <c r="BN19" s="28" t="n">
        <v>0.552239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106</v>
      </c>
      <c r="M20" s="27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35</v>
      </c>
      <c r="S20" s="29" t="n">
        <v>0.75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25" t="n"/>
      <c r="Z20" s="26" t="n"/>
      <c r="AA20" s="28" t="n"/>
      <c r="AB20" s="28" t="n"/>
      <c r="AC20" s="3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25" t="n"/>
      <c r="BK20" s="26" t="n">
        <v>106</v>
      </c>
      <c r="BL20" s="27" t="n">
        <v>2.06</v>
      </c>
      <c r="BM20" s="28" t="n">
        <v>0.485437</v>
      </c>
      <c r="BN20" s="28" t="n">
        <v>0.482587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-106</v>
      </c>
      <c r="M21" s="27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>
        <v>35</v>
      </c>
      <c r="S21" s="29" t="n">
        <v>1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25" t="n"/>
      <c r="Z21" s="26" t="n"/>
      <c r="AA21" s="28" t="n"/>
      <c r="AB21" s="28" t="n"/>
      <c r="AC21" s="3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2026-07-17T16:26:03.970000Z</t>
        </is>
      </c>
      <c r="BI21" s="24" t="n"/>
      <c r="BJ21" s="25" t="n"/>
      <c r="BK21" s="26" t="n">
        <v>-106</v>
      </c>
      <c r="BL21" s="27" t="n">
        <v>1.943396</v>
      </c>
      <c r="BM21" s="28" t="n">
        <v>0.514563</v>
      </c>
      <c r="BN21" s="28" t="n">
        <v>0.5124379999999999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-106</v>
      </c>
      <c r="M22" s="27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>
        <v>35</v>
      </c>
      <c r="S22" s="29" t="n">
        <v>1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25" t="n"/>
      <c r="Z22" s="26" t="n"/>
      <c r="AA22" s="28" t="n"/>
      <c r="AB22" s="28" t="n"/>
      <c r="AC22" s="3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2026-07-17T16:26:03.970000Z</t>
        </is>
      </c>
      <c r="BI22" s="24" t="n"/>
      <c r="BJ22" s="25" t="n"/>
      <c r="BK22" s="26" t="n">
        <v>-106</v>
      </c>
      <c r="BL22" s="27" t="n">
        <v>1.943396</v>
      </c>
      <c r="BM22" s="28" t="n">
        <v>0.514563</v>
      </c>
      <c r="BN22" s="28" t="n">
        <v>0.5124379999999999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</t>
        </is>
      </c>
      <c r="L23" s="26" t="n">
        <v>-141</v>
      </c>
      <c r="M23" s="27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>
        <v>31</v>
      </c>
      <c r="S23" s="29" t="n">
        <v>1.75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25" t="n"/>
      <c r="Z23" s="26" t="n"/>
      <c r="AA23" s="28" t="n"/>
      <c r="AB23" s="28" t="n"/>
      <c r="AC23" s="3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inlineStr">
        <is>
          <t>5224fb6ffbc9ddf8fa517627b830ac851192da94d241963d556945393a42bb9d</t>
        </is>
      </c>
      <c r="BB23" s="24" t="n"/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n"/>
      <c r="BF23" s="24" t="n"/>
      <c r="BG23" s="24" t="n"/>
      <c r="BH23" s="24" t="inlineStr">
        <is>
          <t>2026-07-17T17:12:44.293402Z</t>
        </is>
      </c>
      <c r="BI23" s="24" t="n"/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</t>
        </is>
      </c>
      <c r="L24" s="26" t="n">
        <v>-133</v>
      </c>
      <c r="M24" s="27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>
        <v>31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25" t="n"/>
      <c r="Z24" s="26" t="n"/>
      <c r="AA24" s="28" t="n"/>
      <c r="AB24" s="28" t="n"/>
      <c r="AC24" s="3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inlineStr">
        <is>
          <t>5224fb6ffbc9ddf8fa517627b830ac851192da94d241963d556945393a42bb9d</t>
        </is>
      </c>
      <c r="BB24" s="24" t="n"/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n"/>
      <c r="BF24" s="24" t="n"/>
      <c r="BG24" s="24" t="n"/>
      <c r="BH24" s="24" t="inlineStr">
        <is>
          <t>2026-07-17T17:12:44.967723Z</t>
        </is>
      </c>
      <c r="BI24" s="24" t="n"/>
      <c r="BJ24" s="25" t="n"/>
      <c r="BK24" s="26" t="n">
        <v>-133</v>
      </c>
      <c r="BL24" s="27" t="n">
        <v>1.75188</v>
      </c>
      <c r="BM24" s="28" t="n">
        <v>0.570815</v>
      </c>
      <c r="BN24" s="28" t="n">
        <v>0.567164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</t>
        </is>
      </c>
      <c r="L25" s="26" t="n">
        <v>104</v>
      </c>
      <c r="M25" s="27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>
        <v>92</v>
      </c>
      <c r="S25" s="29" t="n">
        <v>1.25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25" t="n"/>
      <c r="Z25" s="26" t="n"/>
      <c r="AA25" s="28" t="n"/>
      <c r="AB25" s="28" t="n"/>
      <c r="AC25" s="3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inlineStr">
        <is>
          <t>5224fb6ffbc9ddf8fa517627b830ac851192da94d241963d556945393a42bb9d</t>
        </is>
      </c>
      <c r="BB25" s="24" t="n"/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n"/>
      <c r="BF25" s="24" t="n"/>
      <c r="BG25" s="24" t="n"/>
      <c r="BH25" s="24" t="inlineStr">
        <is>
          <t>2026-07-17T16:26:11.935150Z</t>
        </is>
      </c>
      <c r="BI25" s="24" t="n"/>
      <c r="BJ25" s="25" t="n"/>
      <c r="BK25" s="26" t="n">
        <v>104</v>
      </c>
      <c r="BL25" s="27" t="n">
        <v>2.04</v>
      </c>
      <c r="BM25" s="28" t="n">
        <v>0.490196</v>
      </c>
      <c r="BN25" s="28" t="n">
        <v>0.487562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</t>
        </is>
      </c>
      <c r="L26" s="26" t="n">
        <v>-104</v>
      </c>
      <c r="M26" s="27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>
        <v>40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25" t="n"/>
      <c r="Z26" s="26" t="n"/>
      <c r="AA26" s="28" t="n"/>
      <c r="AB26" s="28" t="n"/>
      <c r="AC26" s="3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inlineStr">
        <is>
          <t>5224fb6ffbc9ddf8fa517627b830ac851192da94d241963d556945393a42bb9d</t>
        </is>
      </c>
      <c r="BB26" s="24" t="n"/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n"/>
      <c r="BF26" s="24" t="n"/>
      <c r="BG26" s="24" t="n"/>
      <c r="BH26" s="24" t="inlineStr">
        <is>
          <t>2026-07-17T16:26:12.761758Z</t>
        </is>
      </c>
      <c r="BI26" s="24" t="n"/>
      <c r="BJ26" s="25" t="n"/>
      <c r="BK26" s="26" t="n">
        <v>-104</v>
      </c>
      <c r="BL26" s="27" t="n">
        <v>1.961538</v>
      </c>
      <c r="BM26" s="28" t="n">
        <v>0.509804</v>
      </c>
      <c r="BN26" s="28" t="n">
        <v>0.507463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120</v>
      </c>
      <c r="M27" s="27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>
        <v>75</v>
      </c>
      <c r="S27" s="29" t="n">
        <v>0.75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25" t="n"/>
      <c r="Z27" s="26" t="n"/>
      <c r="AA27" s="28" t="n"/>
      <c r="AB27" s="28" t="n"/>
      <c r="AC27" s="3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inlineStr">
        <is>
          <t>5224fb6ffbc9ddf8fa517627b830ac851192da94d241963d556945393a42bb9d</t>
        </is>
      </c>
      <c r="BB27" s="24" t="n"/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n"/>
      <c r="BF27" s="24" t="n"/>
      <c r="BG27" s="24" t="n"/>
      <c r="BH27" s="24" t="inlineStr">
        <is>
          <t>2026-07-17T16:26:14.658660Z</t>
        </is>
      </c>
      <c r="BI27" s="24" t="n"/>
      <c r="BJ27" s="25" t="n"/>
      <c r="BK27" s="26" t="n">
        <v>120</v>
      </c>
      <c r="BL27" s="27" t="n">
        <v>2.2</v>
      </c>
      <c r="BM27" s="28" t="n">
        <v>0.454545</v>
      </c>
      <c r="BN27" s="28" t="n">
        <v>0.452736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100</v>
      </c>
      <c r="M28" s="27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>
        <v>25</v>
      </c>
      <c r="S28" s="29" t="n">
        <v>0.75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25" t="n"/>
      <c r="Z28" s="26" t="n"/>
      <c r="AA28" s="28" t="n"/>
      <c r="AB28" s="28" t="n"/>
      <c r="AC28" s="3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inlineStr">
        <is>
          <t>5224fb6ffbc9ddf8fa517627b830ac851192da94d241963d556945393a42bb9d</t>
        </is>
      </c>
      <c r="BB28" s="24" t="n"/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n"/>
      <c r="BF28" s="24" t="n"/>
      <c r="BG28" s="24" t="n"/>
      <c r="BH28" s="24" t="inlineStr">
        <is>
          <t>2026-07-17T16:26:13.837104Z</t>
        </is>
      </c>
      <c r="BI28" s="24" t="n"/>
      <c r="BJ28" s="25" t="n"/>
      <c r="BK28" s="26" t="n">
        <v>100</v>
      </c>
      <c r="BL28" s="27" t="n">
        <v>2</v>
      </c>
      <c r="BM28" s="28" t="n">
        <v>0.5</v>
      </c>
      <c r="BN28" s="28" t="n">
        <v>0.497512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108</v>
      </c>
      <c r="M29" s="27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85</v>
      </c>
      <c r="S29" s="29" t="n">
        <v>1.25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25" t="n"/>
      <c r="Z29" s="26" t="n"/>
      <c r="AA29" s="28" t="n"/>
      <c r="AB29" s="28" t="n"/>
      <c r="AC29" s="3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25" t="n"/>
      <c r="BK29" s="26" t="n">
        <v>108</v>
      </c>
      <c r="BL29" s="27" t="n">
        <v>2.08</v>
      </c>
      <c r="BM29" s="28" t="n">
        <v>0.480769</v>
      </c>
      <c r="BN29" s="28" t="n">
        <v>0.477612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29</v>
      </c>
      <c r="S30" s="29" t="n">
        <v>1.5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25" t="n"/>
      <c r="Z30" s="26" t="n"/>
      <c r="AA30" s="28" t="n"/>
      <c r="AB30" s="28" t="n"/>
      <c r="AC30" s="3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>
        <v>0.567164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130</v>
      </c>
      <c r="M31" s="27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25" t="n"/>
      <c r="Z31" s="26" t="n"/>
      <c r="AA31" s="28" t="n"/>
      <c r="AB31" s="28" t="n"/>
      <c r="AC31" s="3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25" t="n"/>
      <c r="BK31" s="26" t="n">
        <v>130</v>
      </c>
      <c r="BL31" s="27" t="n">
        <v>2.3</v>
      </c>
      <c r="BM31" s="28" t="n">
        <v>0.434783</v>
      </c>
      <c r="BN31" s="28" t="n">
        <v>0.432836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542e7a0dbfec4eb5</t>
        </is>
      </c>
      <c r="B32" s="24" t="inlineStr">
        <is>
          <t>2026-07-20T16:50:34.398508Z</t>
        </is>
      </c>
      <c r="C32" s="24" t="inlineStr">
        <is>
          <t>2026-07-20T18:40:00-0400</t>
        </is>
      </c>
      <c r="D32" s="24" t="inlineStr">
        <is>
          <t>401816188</t>
        </is>
      </c>
      <c r="E32" s="24" t="inlineStr">
        <is>
          <t>MLB</t>
        </is>
      </c>
      <c r="F32" s="24" t="inlineStr">
        <is>
          <t>Minnesota Twins</t>
        </is>
      </c>
      <c r="G32" s="24" t="inlineStr">
        <is>
          <t>Cleveland Guardians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115</v>
      </c>
      <c r="M32" s="27" t="n">
        <v>2.15</v>
      </c>
      <c r="N32" s="28" t="n">
        <v>0.465116</v>
      </c>
      <c r="O32" s="28" t="n">
        <v>0.5726869999999999</v>
      </c>
      <c r="P32" s="28" t="n"/>
      <c r="Q32" s="28" t="n">
        <v>0.107571</v>
      </c>
      <c r="R32" s="26" t="n">
        <v>100</v>
      </c>
      <c r="S32" s="29" t="n">
        <v>1.25</v>
      </c>
      <c r="T32" s="24" t="inlineStr">
        <is>
          <t>mlb-elo-trend-lr-v4</t>
        </is>
      </c>
      <c r="U32" s="24" t="inlineStr">
        <is>
          <t>settled</t>
        </is>
      </c>
      <c r="V32" s="24" t="inlineStr">
        <is>
          <t>win</t>
        </is>
      </c>
      <c r="W32" s="26" t="n">
        <v>4</v>
      </c>
      <c r="X32" s="26" t="n">
        <v>13</v>
      </c>
      <c r="Y32" s="25" t="n"/>
      <c r="Z32" s="26" t="n"/>
      <c r="AA32" s="28" t="n"/>
      <c r="AB32" s="28" t="n"/>
      <c r="AC32" s="30" t="n">
        <v>1.4375</v>
      </c>
      <c r="AD32" s="24" t="inlineStr">
        <is>
          <t>2026-07-21T03:22:54.737922Z</t>
        </is>
      </c>
      <c r="AE32" s="31" t="inlineStr">
        <is>
          <t>Learned LR call at threshold 0.5500; executable ask 0.4650 (aec-mlb-min-cle-2026-07-20).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NO_CALL_LARGE_DISAGREEMENT_REVIEW</t>
        </is>
      </c>
      <c r="AP32" s="24" t="inlineStr">
        <is>
          <t>mlb-min</t>
        </is>
      </c>
      <c r="AQ32" s="24" t="inlineStr">
        <is>
          <t>Minnesota Twins</t>
        </is>
      </c>
      <c r="AR32" s="24" t="inlineStr">
        <is>
          <t>Minnesota Twins</t>
        </is>
      </c>
      <c r="AS32" s="24" t="inlineStr">
        <is>
          <t>mlb-cle</t>
        </is>
      </c>
      <c r="AT32" s="24" t="inlineStr">
        <is>
          <t>Cleveland Guardians</t>
        </is>
      </c>
      <c r="AU32" s="24" t="inlineStr">
        <is>
          <t>Cleveland Guardians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2170ac399ced5417</t>
        </is>
      </c>
      <c r="BF32" s="24" t="inlineStr">
        <is>
          <t>1</t>
        </is>
      </c>
      <c r="BG32" s="24" t="inlineStr">
        <is>
          <t>mlb-elo-trend-lr-v4</t>
        </is>
      </c>
      <c r="BH32" s="24" t="inlineStr">
        <is>
          <t>2026-07-20T16:49:43.428041Z</t>
        </is>
      </c>
      <c r="BI32" s="24" t="inlineStr">
        <is>
          <t>["same_event","same_team_same_day","same_league_same_day"]</t>
        </is>
      </c>
      <c r="BJ32" s="25" t="n"/>
      <c r="BK32" s="26" t="n">
        <v>115</v>
      </c>
      <c r="BL32" s="27" t="n">
        <v>2.15</v>
      </c>
      <c r="BM32" s="28" t="n">
        <v>0.465116</v>
      </c>
      <c r="BN32" s="28" t="n">
        <v>0.462687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>
        <v>1</v>
      </c>
      <c r="BY32" s="27" t="n">
        <v>1.15</v>
      </c>
      <c r="BZ32" s="24" t="inlineStr">
        <is>
          <t>2026-07-21T03:22:54.737922Z</t>
        </is>
      </c>
      <c r="CA32" s="31" t="inlineStr">
        <is>
          <t>fixed one-unit hypothetical scoring; no real exposure or execution</t>
        </is>
      </c>
    </row>
    <row r="33" ht="36" customHeight="1">
      <c r="A33" s="24" t="inlineStr">
        <is>
          <t>554be71d308247ed</t>
        </is>
      </c>
      <c r="B33" s="24" t="inlineStr">
        <is>
          <t>2026-07-20T16:50:34.398508Z</t>
        </is>
      </c>
      <c r="C33" s="24" t="inlineStr">
        <is>
          <t>2026-07-20T19:05:00-0400</t>
        </is>
      </c>
      <c r="D33" s="24" t="inlineStr">
        <is>
          <t>401816189</t>
        </is>
      </c>
      <c r="E33" s="24" t="inlineStr">
        <is>
          <t>MLB</t>
        </is>
      </c>
      <c r="F33" s="24" t="inlineStr">
        <is>
          <t>Pittsburgh Pirates</t>
        </is>
      </c>
      <c r="G33" s="24" t="inlineStr">
        <is>
          <t>New York Yankees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-108</v>
      </c>
      <c r="M33" s="27" t="n">
        <v>1.925926</v>
      </c>
      <c r="N33" s="28" t="n">
        <v>0.519231</v>
      </c>
      <c r="O33" s="28" t="n">
        <v>0.578558</v>
      </c>
      <c r="P33" s="28" t="n"/>
      <c r="Q33" s="28" t="n">
        <v>0.059327</v>
      </c>
      <c r="R33" s="26" t="n">
        <v>50</v>
      </c>
      <c r="S33" s="29" t="n">
        <v>1.25</v>
      </c>
      <c r="T33" s="24" t="inlineStr">
        <is>
          <t>mlb-elo-trend-lr-v4</t>
        </is>
      </c>
      <c r="U33" s="24" t="inlineStr">
        <is>
          <t>settled</t>
        </is>
      </c>
      <c r="V33" s="24" t="inlineStr">
        <is>
          <t>win</t>
        </is>
      </c>
      <c r="W33" s="26" t="n">
        <v>5</v>
      </c>
      <c r="X33" s="26" t="n">
        <v>8</v>
      </c>
      <c r="Y33" s="25" t="n"/>
      <c r="Z33" s="26" t="n"/>
      <c r="AA33" s="28" t="n"/>
      <c r="AB33" s="28" t="n"/>
      <c r="AC33" s="30" t="n">
        <v>1.1574</v>
      </c>
      <c r="AD33" s="24" t="inlineStr">
        <is>
          <t>2026-07-21T03:22:55.055992Z</t>
        </is>
      </c>
      <c r="AE33" s="31" t="inlineStr">
        <is>
          <t>Learned LR call at threshold 0.5500; executable ask 0.5200 (aec-mlb-pit-nyy-2026-07-20).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mlb-pit</t>
        </is>
      </c>
      <c r="AQ33" s="24" t="inlineStr">
        <is>
          <t>Pittsburgh Pirates</t>
        </is>
      </c>
      <c r="AR33" s="24" t="inlineStr">
        <is>
          <t>Pittsburgh Pirates</t>
        </is>
      </c>
      <c r="AS33" s="24" t="inlineStr">
        <is>
          <t>mlb-nyy</t>
        </is>
      </c>
      <c r="AT33" s="24" t="inlineStr">
        <is>
          <t>New York Yankees</t>
        </is>
      </c>
      <c r="AU33" s="24" t="inlineStr">
        <is>
          <t>New York Yankees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38ab7db5a3798f0c</t>
        </is>
      </c>
      <c r="BF33" s="24" t="inlineStr">
        <is>
          <t>1</t>
        </is>
      </c>
      <c r="BG33" s="24" t="inlineStr">
        <is>
          <t>mlb-elo-trend-lr-v4</t>
        </is>
      </c>
      <c r="BH33" s="24" t="inlineStr">
        <is>
          <t>2026-07-20T16:49:45.032018Z</t>
        </is>
      </c>
      <c r="BI33" s="24" t="inlineStr">
        <is>
          <t>["same_event","same_team_same_day","same_league_same_day"]</t>
        </is>
      </c>
      <c r="BJ33" s="25" t="n"/>
      <c r="BK33" s="26" t="n">
        <v>-108</v>
      </c>
      <c r="BL33" s="27" t="n">
        <v>1.925926</v>
      </c>
      <c r="BM33" s="28" t="n">
        <v>0.519231</v>
      </c>
      <c r="BN33" s="28" t="n">
        <v>0.517413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>
        <v>1</v>
      </c>
      <c r="BY33" s="27" t="n">
        <v>0.925926</v>
      </c>
      <c r="BZ33" s="24" t="inlineStr">
        <is>
          <t>2026-07-21T03:22:55.055992Z</t>
        </is>
      </c>
      <c r="CA33" s="31" t="inlineStr">
        <is>
          <t>fixed one-unit hypothetical scoring; no real exposure or execution</t>
        </is>
      </c>
    </row>
    <row r="34" ht="36" customHeight="1">
      <c r="A34" s="24" t="inlineStr">
        <is>
          <t>af79b4620f7a4af3</t>
        </is>
      </c>
      <c r="B34" s="24" t="inlineStr">
        <is>
          <t>2026-07-20T16:50:34.398508Z</t>
        </is>
      </c>
      <c r="C34" s="24" t="inlineStr">
        <is>
          <t>2026-07-20T20:05:00-0400</t>
        </is>
      </c>
      <c r="D34" s="24" t="inlineStr">
        <is>
          <t>401816193</t>
        </is>
      </c>
      <c r="E34" s="24" t="inlineStr">
        <is>
          <t>MLB</t>
        </is>
      </c>
      <c r="F34" s="24" t="inlineStr">
        <is>
          <t>Detroit Tigers</t>
        </is>
      </c>
      <c r="G34" s="24" t="inlineStr">
        <is>
          <t>Chicago Cubs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-106</v>
      </c>
      <c r="M34" s="27" t="n">
        <v>1.943396</v>
      </c>
      <c r="N34" s="28" t="n">
        <v>0.514563</v>
      </c>
      <c r="O34" s="28" t="n">
        <v>0.566967</v>
      </c>
      <c r="P34" s="28" t="n"/>
      <c r="Q34" s="28" t="n">
        <v>0.052404</v>
      </c>
      <c r="R34" s="26" t="n">
        <v>46</v>
      </c>
      <c r="S34" s="29" t="n">
        <v>1.25</v>
      </c>
      <c r="T34" s="24" t="inlineStr">
        <is>
          <t>mlb-elo-trend-lr-v4</t>
        </is>
      </c>
      <c r="U34" s="24" t="inlineStr">
        <is>
          <t>settled</t>
        </is>
      </c>
      <c r="V34" s="24" t="inlineStr">
        <is>
          <t>loss</t>
        </is>
      </c>
      <c r="W34" s="26" t="n">
        <v>8</v>
      </c>
      <c r="X34" s="26" t="n">
        <v>6</v>
      </c>
      <c r="Y34" s="25" t="n"/>
      <c r="Z34" s="26" t="n"/>
      <c r="AA34" s="28" t="n"/>
      <c r="AB34" s="28" t="n"/>
      <c r="AC34" s="30" t="n">
        <v>-1.25</v>
      </c>
      <c r="AD34" s="24" t="inlineStr">
        <is>
          <t>2026-07-21T04:41:10.971771Z</t>
        </is>
      </c>
      <c r="AE34" s="31" t="inlineStr">
        <is>
          <t>Learned LR call at threshold 0.5500; executable ask 0.5150 (aec-mlb-det-chc-2026-07-20).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mlb-det</t>
        </is>
      </c>
      <c r="AQ34" s="24" t="inlineStr">
        <is>
          <t>Detroit Tigers</t>
        </is>
      </c>
      <c r="AR34" s="24" t="inlineStr">
        <is>
          <t>Detroit Tigers</t>
        </is>
      </c>
      <c r="AS34" s="24" t="inlineStr">
        <is>
          <t>mlb-chc</t>
        </is>
      </c>
      <c r="AT34" s="24" t="inlineStr">
        <is>
          <t>Chicago Cubs</t>
        </is>
      </c>
      <c r="AU34" s="24" t="inlineStr">
        <is>
          <t>Chicago Cubs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b84afb2c70e14d93</t>
        </is>
      </c>
      <c r="BF34" s="24" t="inlineStr">
        <is>
          <t>1</t>
        </is>
      </c>
      <c r="BG34" s="24" t="inlineStr">
        <is>
          <t>mlb-elo-trend-lr-v4</t>
        </is>
      </c>
      <c r="BH34" s="24" t="inlineStr">
        <is>
          <t>2026-07-20T16:49:55.275935Z</t>
        </is>
      </c>
      <c r="BI34" s="24" t="inlineStr">
        <is>
          <t>["same_event","same_team_same_day","same_league_same_day"]</t>
        </is>
      </c>
      <c r="BJ34" s="25" t="n"/>
      <c r="BK34" s="26" t="n">
        <v>-106</v>
      </c>
      <c r="BL34" s="27" t="n">
        <v>1.943396</v>
      </c>
      <c r="BM34" s="28" t="n">
        <v>0.514563</v>
      </c>
      <c r="BN34" s="28" t="n">
        <v>0.5124379999999999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</row>
    <row r="35" ht="36" customHeight="1">
      <c r="A35" s="24" t="inlineStr">
        <is>
          <t>283f71257d594ea5</t>
        </is>
      </c>
      <c r="B35" s="24" t="inlineStr">
        <is>
          <t>2026-07-20T16:50:37.639352Z</t>
        </is>
      </c>
      <c r="C35" s="24" t="inlineStr">
        <is>
          <t>2026-07-20T20:00:00-0400</t>
        </is>
      </c>
      <c r="D35" s="24" t="inlineStr">
        <is>
          <t>401892393</t>
        </is>
      </c>
      <c r="E35" s="24" t="inlineStr">
        <is>
          <t>WNBA</t>
        </is>
      </c>
      <c r="F35" s="24" t="inlineStr">
        <is>
          <t>New York Liberty</t>
        </is>
      </c>
      <c r="G35" s="24" t="inlineStr">
        <is>
          <t>Dallas Wings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150</v>
      </c>
      <c r="M35" s="27" t="n">
        <v>2.5</v>
      </c>
      <c r="N35" s="28" t="n">
        <v>0.4</v>
      </c>
      <c r="O35" s="28" t="n">
        <v>0.751217</v>
      </c>
      <c r="P35" s="28" t="n"/>
      <c r="Q35" s="28" t="n">
        <v>0.351217</v>
      </c>
      <c r="R35" s="26" t="n">
        <v>100</v>
      </c>
      <c r="S35" s="29" t="n">
        <v>2</v>
      </c>
      <c r="T35" s="24" t="inlineStr">
        <is>
          <t>wnba-elo-trend-lr-v3</t>
        </is>
      </c>
      <c r="U35" s="24" t="inlineStr">
        <is>
          <t>settled</t>
        </is>
      </c>
      <c r="V35" s="24" t="inlineStr">
        <is>
          <t>loss</t>
        </is>
      </c>
      <c r="W35" s="26" t="n">
        <v>99</v>
      </c>
      <c r="X35" s="26" t="n">
        <v>98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2026-07-21T03:22:55.455883Z</t>
        </is>
      </c>
      <c r="AE35" s="31" t="inlineStr">
        <is>
          <t>Learned LR call at threshold 0.5051; executable ask 0.4000 (aec-wnba-ny-dal-2026-07-20).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NO_CALL_LARGE_DISAGREEMENT_REVIEW</t>
        </is>
      </c>
      <c r="AP35" s="24" t="inlineStr">
        <is>
          <t>wnba-nyl</t>
        </is>
      </c>
      <c r="AQ35" s="24" t="inlineStr">
        <is>
          <t>New York Liberty</t>
        </is>
      </c>
      <c r="AR35" s="24" t="inlineStr">
        <is>
          <t>New York Liberty</t>
        </is>
      </c>
      <c r="AS35" s="24" t="inlineStr">
        <is>
          <t>wnba-dal</t>
        </is>
      </c>
      <c r="AT35" s="24" t="inlineStr">
        <is>
          <t>Dallas Wings</t>
        </is>
      </c>
      <c r="AU35" s="24" t="inlineStr">
        <is>
          <t>Dallas Wings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43ee2f84f025c10f83f80a8c22d49c35c420734a8a730b5f272287225cceee4b</t>
        </is>
      </c>
      <c r="BB35" s="24" t="inlineStr">
        <is>
          <t>learned_lr</t>
        </is>
      </c>
      <c r="BC35" s="24" t="inlineStr">
        <is>
          <t>wnba-elo-trend-lr-v3</t>
        </is>
      </c>
      <c r="BD35" s="24" t="inlineStr">
        <is>
          <t>43ee2f84f025c10f83f80a8c22d49c35c420734a8a730b5f272287225cceee4b</t>
        </is>
      </c>
      <c r="BE35" s="24" t="inlineStr">
        <is>
          <t>3b474aa853a60d81</t>
        </is>
      </c>
      <c r="BF35" s="24" t="inlineStr">
        <is>
          <t>1</t>
        </is>
      </c>
      <c r="BG35" s="24" t="inlineStr">
        <is>
          <t>wnba-elo-trend-lr-v3</t>
        </is>
      </c>
      <c r="BH35" s="24" t="inlineStr">
        <is>
          <t>2026-07-20T16:50:05.640054Z</t>
        </is>
      </c>
      <c r="BI35" s="24" t="inlineStr">
        <is>
          <t>["same_event","same_team_same_day","same_league_same_day"]</t>
        </is>
      </c>
      <c r="BJ35" s="25" t="n"/>
      <c r="BK35" s="26" t="n">
        <v>150</v>
      </c>
      <c r="BL35" s="27" t="n">
        <v>2.5</v>
      </c>
      <c r="BM35" s="28" t="n">
        <v>0.4</v>
      </c>
      <c r="BN35" s="28" t="n">
        <v>0.39604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>
        <v>1</v>
      </c>
      <c r="BY35" s="27" t="n">
        <v>-1</v>
      </c>
      <c r="BZ35" s="24" t="inlineStr">
        <is>
          <t>2026-07-21T03:22:55.455883Z</t>
        </is>
      </c>
      <c r="CA35" s="31" t="inlineStr">
        <is>
          <t>fixed one-unit hypothetical scoring; no real exposure or execution</t>
        </is>
      </c>
    </row>
    <row r="36" ht="36" customHeight="1">
      <c r="A36" s="24" t="inlineStr">
        <is>
          <t>9d66d2c6b69d4f27</t>
        </is>
      </c>
      <c r="B36" s="24" t="inlineStr">
        <is>
          <t>2026-07-21T08:28:21.625948Z</t>
        </is>
      </c>
      <c r="C36" s="24" t="inlineStr">
        <is>
          <t>2026-07-21T19:40:00-0400</t>
        </is>
      </c>
      <c r="D36" s="24" t="inlineStr">
        <is>
          <t>401816210</t>
        </is>
      </c>
      <c r="E36" s="24" t="inlineStr">
        <is>
          <t>MLB</t>
        </is>
      </c>
      <c r="F36" s="24" t="inlineStr">
        <is>
          <t>New York Mets</t>
        </is>
      </c>
      <c r="G36" s="24" t="inlineStr">
        <is>
          <t>Milwaukee Brewers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-133</v>
      </c>
      <c r="M36" s="27" t="n">
        <v>1.75188</v>
      </c>
      <c r="N36" s="28" t="n">
        <v>0.570815</v>
      </c>
      <c r="O36" s="28" t="n">
        <v>0.640995</v>
      </c>
      <c r="P36" s="28" t="n"/>
      <c r="Q36" s="28" t="n">
        <v>0.07018000000000001</v>
      </c>
      <c r="R36" s="26" t="n">
        <v>55</v>
      </c>
      <c r="S36" s="29" t="n">
        <v>2</v>
      </c>
      <c r="T36" s="24" t="inlineStr">
        <is>
          <t>mlb-elo-trend-lr-v4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Learned LR call at threshold 0.5500; executable ask 0.5700 (aec-mlb-nym-mil-2026-07-21).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mlb-nym</t>
        </is>
      </c>
      <c r="AQ36" s="24" t="inlineStr">
        <is>
          <t>New York Mets</t>
        </is>
      </c>
      <c r="AR36" s="24" t="inlineStr">
        <is>
          <t>New York Mets</t>
        </is>
      </c>
      <c r="AS36" s="24" t="inlineStr">
        <is>
          <t>mlb-mil</t>
        </is>
      </c>
      <c r="AT36" s="24" t="inlineStr">
        <is>
          <t>Milwaukee Brewers</t>
        </is>
      </c>
      <c r="AU36" s="24" t="inlineStr">
        <is>
          <t>Milwaukee Brewers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b3842f29fc9906ce</t>
        </is>
      </c>
      <c r="BF36" s="24" t="inlineStr">
        <is>
          <t>1</t>
        </is>
      </c>
      <c r="BG36" s="24" t="inlineStr">
        <is>
          <t>mlb-elo-trend-lr-v4</t>
        </is>
      </c>
      <c r="BH36" s="24" t="inlineStr">
        <is>
          <t>2026-07-21T08:27:49.015557Z</t>
        </is>
      </c>
      <c r="BI36" s="24" t="inlineStr">
        <is>
          <t>["same_event","same_team_same_day","same_league_same_day"]</t>
        </is>
      </c>
      <c r="BJ36" s="25" t="n"/>
      <c r="BK36" s="26" t="n">
        <v>-133</v>
      </c>
      <c r="BL36" s="27" t="n">
        <v>1.75188</v>
      </c>
      <c r="BM36" s="28" t="n">
        <v>0.570815</v>
      </c>
      <c r="BN36" s="28" t="n">
        <v>0.567164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</row>
    <row r="37" ht="36" customHeight="1">
      <c r="A37" s="24" t="inlineStr">
        <is>
          <t>0f1add5fb76a4ae7</t>
        </is>
      </c>
      <c r="B37" s="24" t="inlineStr">
        <is>
          <t>2026-07-21T08:28:21.625948Z</t>
        </is>
      </c>
      <c r="C37" s="24" t="inlineStr">
        <is>
          <t>2026-07-21T20:05:00-0400</t>
        </is>
      </c>
      <c r="D37" s="24" t="inlineStr">
        <is>
          <t>401816208</t>
        </is>
      </c>
      <c r="E37" s="24" t="inlineStr">
        <is>
          <t>MLB</t>
        </is>
      </c>
      <c r="F37" s="24" t="inlineStr">
        <is>
          <t>Detroit Tigers</t>
        </is>
      </c>
      <c r="G37" s="24" t="inlineStr">
        <is>
          <t>Chicago Cubs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-111</v>
      </c>
      <c r="M37" s="27" t="n">
        <v>1.900901</v>
      </c>
      <c r="N37" s="28" t="n">
        <v>0.526066</v>
      </c>
      <c r="O37" s="28" t="n">
        <v>0.566967</v>
      </c>
      <c r="P37" s="28" t="n"/>
      <c r="Q37" s="28" t="n">
        <v>0.040901</v>
      </c>
      <c r="R37" s="26" t="n">
        <v>40</v>
      </c>
      <c r="S37" s="29" t="n">
        <v>1.25</v>
      </c>
      <c r="T37" s="24" t="inlineStr">
        <is>
          <t>mlb-elo-trend-lr-v4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Learned LR call at threshold 0.5500; executable ask 0.5250 (aec-mlb-det-chc-2026-07-21).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mlb-det</t>
        </is>
      </c>
      <c r="AQ37" s="24" t="inlineStr">
        <is>
          <t>Detroit Tigers</t>
        </is>
      </c>
      <c r="AR37" s="24" t="inlineStr">
        <is>
          <t>Detroit Tigers</t>
        </is>
      </c>
      <c r="AS37" s="24" t="inlineStr">
        <is>
          <t>mlb-chc</t>
        </is>
      </c>
      <c r="AT37" s="24" t="inlineStr">
        <is>
          <t>Chicago Cubs</t>
        </is>
      </c>
      <c r="AU37" s="24" t="inlineStr">
        <is>
          <t>Chicago Cubs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ac77cab6921e81d4</t>
        </is>
      </c>
      <c r="BF37" s="24" t="inlineStr">
        <is>
          <t>1</t>
        </is>
      </c>
      <c r="BG37" s="24" t="inlineStr">
        <is>
          <t>mlb-elo-trend-lr-v4</t>
        </is>
      </c>
      <c r="BH37" s="24" t="inlineStr">
        <is>
          <t>2026-07-21T08:27:54.312105Z</t>
        </is>
      </c>
      <c r="BI37" s="24" t="inlineStr">
        <is>
          <t>["same_event","same_team_same_day","same_league_same_day"]</t>
        </is>
      </c>
      <c r="BJ37" s="25" t="n"/>
      <c r="BK37" s="26" t="n">
        <v>-111</v>
      </c>
      <c r="BL37" s="27" t="n">
        <v>1.900901</v>
      </c>
      <c r="BM37" s="28" t="n">
        <v>0.526066</v>
      </c>
      <c r="BN37" s="28" t="n">
        <v>0.522388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</row>
    <row r="38" ht="36" customHeight="1">
      <c r="A38" s="24" t="inlineStr">
        <is>
          <t>5d159d03a1244f92</t>
        </is>
      </c>
      <c r="B38" s="24" t="inlineStr">
        <is>
          <t>2026-07-21T08:28:21.625948Z</t>
        </is>
      </c>
      <c r="C38" s="24" t="inlineStr">
        <is>
          <t>2026-07-21T20:40:00-0400</t>
        </is>
      </c>
      <c r="D38" s="24" t="inlineStr">
        <is>
          <t>401816212</t>
        </is>
      </c>
      <c r="E38" s="24" t="inlineStr">
        <is>
          <t>MLB</t>
        </is>
      </c>
      <c r="F38" s="24" t="inlineStr">
        <is>
          <t>Washington Nationals</t>
        </is>
      </c>
      <c r="G38" s="24" t="inlineStr">
        <is>
          <t>Colorado Rockies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-102</v>
      </c>
      <c r="M38" s="27" t="n">
        <v>1.980392</v>
      </c>
      <c r="N38" s="28" t="n">
        <v>0.50495</v>
      </c>
      <c r="O38" s="28" t="n">
        <v>0.5563709999999999</v>
      </c>
      <c r="P38" s="28" t="n"/>
      <c r="Q38" s="28" t="n">
        <v>0.051421</v>
      </c>
      <c r="R38" s="26" t="n">
        <v>46</v>
      </c>
      <c r="S38" s="29" t="n">
        <v>1</v>
      </c>
      <c r="T38" s="24" t="inlineStr">
        <is>
          <t>mlb-elo-trend-lr-v4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Learned LR call at threshold 0.5500; executable ask 0.5050 (aec-mlb-wsh-col-2026-07-21).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mlb-wsh</t>
        </is>
      </c>
      <c r="AQ38" s="24" t="inlineStr">
        <is>
          <t>Washington Nationals</t>
        </is>
      </c>
      <c r="AR38" s="24" t="inlineStr">
        <is>
          <t>Washington Nationals</t>
        </is>
      </c>
      <c r="AS38" s="24" t="inlineStr">
        <is>
          <t>mlb-col</t>
        </is>
      </c>
      <c r="AT38" s="24" t="inlineStr">
        <is>
          <t>Colorado Rockies</t>
        </is>
      </c>
      <c r="AU38" s="24" t="inlineStr">
        <is>
          <t>Colorado Rockies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398815bb9dc03ea8</t>
        </is>
      </c>
      <c r="BF38" s="24" t="inlineStr">
        <is>
          <t>1</t>
        </is>
      </c>
      <c r="BG38" s="24" t="inlineStr">
        <is>
          <t>mlb-elo-trend-lr-v4</t>
        </is>
      </c>
      <c r="BH38" s="24" t="inlineStr">
        <is>
          <t>2026-07-21T08:27:57.788476Z</t>
        </is>
      </c>
      <c r="BI38" s="24" t="inlineStr">
        <is>
          <t>["same_event","same_team_same_day","same_league_same_day"]</t>
        </is>
      </c>
      <c r="BJ38" s="25" t="n"/>
      <c r="BK38" s="26" t="n">
        <v>-102</v>
      </c>
      <c r="BL38" s="27" t="n">
        <v>1.980392</v>
      </c>
      <c r="BM38" s="28" t="n">
        <v>0.50495</v>
      </c>
      <c r="BN38" s="28" t="n">
        <v>0.502488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</row>
    <row r="39" ht="36" customHeight="1">
      <c r="A39" s="24" t="inlineStr">
        <is>
          <t>8386d51ccef24cb5</t>
        </is>
      </c>
      <c r="B39" s="24" t="inlineStr">
        <is>
          <t>2026-07-21T08:28:21.625948Z</t>
        </is>
      </c>
      <c r="C39" s="24" t="inlineStr">
        <is>
          <t>2026-07-21T21:40:00-0400</t>
        </is>
      </c>
      <c r="D39" s="24" t="inlineStr">
        <is>
          <t>401816213</t>
        </is>
      </c>
      <c r="E39" s="24" t="inlineStr">
        <is>
          <t>MLB</t>
        </is>
      </c>
      <c r="F39" s="24" t="inlineStr">
        <is>
          <t>Athletics</t>
        </is>
      </c>
      <c r="G39" s="24" t="inlineStr">
        <is>
          <t>Arizona Diamondbacks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-127</v>
      </c>
      <c r="M39" s="27" t="n">
        <v>1.787402</v>
      </c>
      <c r="N39" s="28" t="n">
        <v>0.5594710000000001</v>
      </c>
      <c r="O39" s="28" t="n">
        <v>0.58189</v>
      </c>
      <c r="P39" s="28" t="n"/>
      <c r="Q39" s="28" t="n">
        <v>0.022419</v>
      </c>
      <c r="R39" s="26" t="n">
        <v>31</v>
      </c>
      <c r="S39" s="29" t="n">
        <v>1.25</v>
      </c>
      <c r="T39" s="24" t="inlineStr">
        <is>
          <t>mlb-elo-trend-lr-v4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Learned LR call at threshold 0.5500; executable ask 0.5600 (aec-mlb-ath-az-2026-07-21).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mlb-ath</t>
        </is>
      </c>
      <c r="AQ39" s="24" t="inlineStr">
        <is>
          <t>Athletics</t>
        </is>
      </c>
      <c r="AR39" s="24" t="inlineStr">
        <is>
          <t>Athletics</t>
        </is>
      </c>
      <c r="AS39" s="24" t="inlineStr">
        <is>
          <t>mlb-ari</t>
        </is>
      </c>
      <c r="AT39" s="24" t="inlineStr">
        <is>
          <t>Arizona Diamondbacks</t>
        </is>
      </c>
      <c r="AU39" s="24" t="inlineStr">
        <is>
          <t>Arizona Diamondbacks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9892b2a76fbe9db3</t>
        </is>
      </c>
      <c r="BF39" s="24" t="inlineStr">
        <is>
          <t>1</t>
        </is>
      </c>
      <c r="BG39" s="24" t="inlineStr">
        <is>
          <t>mlb-elo-trend-lr-v4</t>
        </is>
      </c>
      <c r="BH39" s="24" t="inlineStr">
        <is>
          <t>2026-07-21T08:28:01.055923Z</t>
        </is>
      </c>
      <c r="BI39" s="24" t="inlineStr">
        <is>
          <t>["same_event","same_team_same_day","same_league_same_day"]</t>
        </is>
      </c>
      <c r="BJ39" s="25" t="n"/>
      <c r="BK39" s="26" t="n">
        <v>-127</v>
      </c>
      <c r="BL39" s="27" t="n">
        <v>1.787402</v>
      </c>
      <c r="BM39" s="28" t="n">
        <v>0.5594710000000001</v>
      </c>
      <c r="BN39" s="28" t="n">
        <v>0.557214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</row>
    <row r="40" ht="36" customHeight="1">
      <c r="A40" s="24" t="inlineStr">
        <is>
          <t>3781ba4200414486</t>
        </is>
      </c>
      <c r="B40" s="24" t="inlineStr">
        <is>
          <t>2026-07-21T08:28:21.625948Z</t>
        </is>
      </c>
      <c r="C40" s="24" t="inlineStr">
        <is>
          <t>2026-07-21T21:40:00-0400</t>
        </is>
      </c>
      <c r="D40" s="24" t="inlineStr">
        <is>
          <t>401816214</t>
        </is>
      </c>
      <c r="E40" s="24" t="inlineStr">
        <is>
          <t>MLB</t>
        </is>
      </c>
      <c r="F40" s="24" t="inlineStr">
        <is>
          <t>Cincinnati Reds</t>
        </is>
      </c>
      <c r="G40" s="24" t="inlineStr">
        <is>
          <t>Seattle Mariners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-106</v>
      </c>
      <c r="M40" s="27" t="n">
        <v>1.943396</v>
      </c>
      <c r="N40" s="28" t="n">
        <v>0.514563</v>
      </c>
      <c r="O40" s="28" t="n">
        <v>0.592852</v>
      </c>
      <c r="P40" s="28" t="n"/>
      <c r="Q40" s="28" t="n">
        <v>0.078289</v>
      </c>
      <c r="R40" s="26" t="n">
        <v>59</v>
      </c>
      <c r="S40" s="29" t="n">
        <v>1</v>
      </c>
      <c r="T40" s="24" t="inlineStr">
        <is>
          <t>mlb-elo-trend-lr-v4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Learned LR call at threshold 0.5500; executable ask 0.5150 (aec-mlb-cin-sea-2026-07-21).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mlb-cin</t>
        </is>
      </c>
      <c r="AQ40" s="24" t="inlineStr">
        <is>
          <t>Cincinnati Reds</t>
        </is>
      </c>
      <c r="AR40" s="24" t="inlineStr">
        <is>
          <t>Cincinnati Reds</t>
        </is>
      </c>
      <c r="AS40" s="24" t="inlineStr">
        <is>
          <t>mlb-sea</t>
        </is>
      </c>
      <c r="AT40" s="24" t="inlineStr">
        <is>
          <t>Seattle Mariners</t>
        </is>
      </c>
      <c r="AU40" s="24" t="inlineStr">
        <is>
          <t>Seattle Mariners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5c7208cbf934ad36</t>
        </is>
      </c>
      <c r="BF40" s="24" t="inlineStr">
        <is>
          <t>1</t>
        </is>
      </c>
      <c r="BG40" s="24" t="inlineStr">
        <is>
          <t>mlb-elo-trend-lr-v4</t>
        </is>
      </c>
      <c r="BH40" s="24" t="inlineStr">
        <is>
          <t>2026-07-21T08:28:02.507970Z</t>
        </is>
      </c>
      <c r="BI40" s="24" t="inlineStr">
        <is>
          <t>["same_event","same_team_same_day","same_league_same_day"]</t>
        </is>
      </c>
      <c r="BJ40" s="25" t="n"/>
      <c r="BK40" s="26" t="n">
        <v>-106</v>
      </c>
      <c r="BL40" s="27" t="n">
        <v>1.943396</v>
      </c>
      <c r="BM40" s="28" t="n">
        <v>0.514563</v>
      </c>
      <c r="BN40" s="28" t="n">
        <v>0.5124379999999999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</row>
    <row r="41" ht="36" customHeight="1">
      <c r="A41" s="24" t="inlineStr">
        <is>
          <t>e6c6805e8ee84709</t>
        </is>
      </c>
      <c r="B41" s="24" t="inlineStr">
        <is>
          <t>2026-07-21T08:30:04.732597Z</t>
        </is>
      </c>
      <c r="C41" s="24" t="inlineStr">
        <is>
          <t>2026-07-21T10:45:00Z</t>
        </is>
      </c>
      <c r="D41" s="24" t="inlineStr">
        <is>
          <t>54950</t>
        </is>
      </c>
      <c r="E41" s="24" t="inlineStr">
        <is>
          <t>LOL</t>
        </is>
      </c>
      <c r="F41" s="24" t="inlineStr">
        <is>
          <t>Kiwoom DRX</t>
        </is>
      </c>
      <c r="G41" s="24" t="inlineStr">
        <is>
          <t>T1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144</v>
      </c>
      <c r="M41" s="27" t="n">
        <v>2.44</v>
      </c>
      <c r="N41" s="28" t="n">
        <v>0.409836</v>
      </c>
      <c r="O41" s="28" t="n">
        <v>0.7499980000000001</v>
      </c>
      <c r="P41" s="28" t="n"/>
      <c r="Q41" s="28" t="n">
        <v>0.339998</v>
      </c>
      <c r="R41" s="26" t="n">
        <v>100</v>
      </c>
      <c r="S41" s="29" t="n">
        <v>2</v>
      </c>
      <c r="T41" s="24" t="inlineStr">
        <is>
          <t>lol-neutral-series-elo-v1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0.4100 (aec-lol-t1-krx-2026-07-21).</t>
        </is>
      </c>
      <c r="AF41" s="31" t="inlineStr">
        <is>
          <t>Research baseline; zero-unit shadow until qualified.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Kiwoom DRX</t>
        </is>
      </c>
      <c r="AQ41" s="24" t="inlineStr">
        <is>
          <t>Kiwoom DRX</t>
        </is>
      </c>
      <c r="AR41" s="24" t="inlineStr">
        <is>
          <t>Kiwoom DRX</t>
        </is>
      </c>
      <c r="AS41" s="24" t="inlineStr">
        <is>
          <t>T1</t>
        </is>
      </c>
      <c r="AT41" s="24" t="inlineStr">
        <is>
          <t>T1</t>
        </is>
      </c>
      <c r="AU41" s="24" t="inlineStr">
        <is>
          <t>T1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82612f1b27d5065af8d70fd6669509ff00dc1c7e3a91bb423192bf3b0a9736ce</t>
        </is>
      </c>
      <c r="BB41" s="24" t="inlineStr">
        <is>
          <t>neutral_elo</t>
        </is>
      </c>
      <c r="BC41" s="24" t="inlineStr">
        <is>
          <t>lol-neutral-series-elo-v1</t>
        </is>
      </c>
      <c r="BD41" s="24" t="inlineStr">
        <is>
          <t>82612f1b27d5065af8d70fd6669509ff00dc1c7e3a91bb423192bf3b0a9736ce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unknown</t>
        </is>
      </c>
      <c r="BH41" s="24" t="inlineStr">
        <is>
          <t>2026-07-21T08:30:04.732597Z</t>
        </is>
      </c>
      <c r="BI41" s="24" t="inlineStr">
        <is>
          <t>["same_event","same_team_same_day","same_league_same_day"]</t>
        </is>
      </c>
      <c r="BJ41" s="25" t="n"/>
      <c r="BK41" s="26" t="n">
        <v>144</v>
      </c>
      <c r="BL41" s="27" t="n">
        <v>2.44</v>
      </c>
      <c r="BM41" s="28" t="n">
        <v>0.409836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</row>
    <row r="42" ht="36" customHeight="1">
      <c r="A42" s="24" t="inlineStr">
        <is>
          <t>afb2b4ca2d694387</t>
        </is>
      </c>
      <c r="B42" s="24" t="inlineStr">
        <is>
          <t>2026-07-21T08:30:04.942524Z</t>
        </is>
      </c>
      <c r="C42" s="24" t="inlineStr">
        <is>
          <t>2026-07-21T11:30:00Z</t>
        </is>
      </c>
      <c r="D42" s="24" t="inlineStr">
        <is>
          <t>54961</t>
        </is>
      </c>
      <c r="E42" s="24" t="inlineStr">
        <is>
          <t>LOL</t>
        </is>
      </c>
      <c r="F42" s="24" t="inlineStr">
        <is>
          <t>DN SOOPers</t>
        </is>
      </c>
      <c r="G42" s="24" t="inlineStr">
        <is>
          <t>Hanwha Life Esports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194</v>
      </c>
      <c r="M42" s="27" t="n">
        <v>2.94</v>
      </c>
      <c r="N42" s="28" t="n">
        <v>0.340136</v>
      </c>
      <c r="O42" s="28" t="n">
        <v>0.75</v>
      </c>
      <c r="P42" s="28" t="n"/>
      <c r="Q42" s="28" t="n">
        <v>0.41</v>
      </c>
      <c r="R42" s="26" t="n">
        <v>100</v>
      </c>
      <c r="S42" s="29" t="n">
        <v>2</v>
      </c>
      <c r="T42" s="24" t="inlineStr">
        <is>
          <t>lol-neutral-series-elo-v1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0.3400 (aec-lol-hle-dns-2026-07-21).</t>
        </is>
      </c>
      <c r="AF42" s="31" t="inlineStr">
        <is>
          <t>Research baseline; zero-unit shadow until qualified.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DN SOOPers</t>
        </is>
      </c>
      <c r="AQ42" s="24" t="inlineStr">
        <is>
          <t>DN SOOPers</t>
        </is>
      </c>
      <c r="AR42" s="24" t="inlineStr">
        <is>
          <t>DN SOOPers</t>
        </is>
      </c>
      <c r="AS42" s="24" t="inlineStr">
        <is>
          <t>Hanwha Life Esports</t>
        </is>
      </c>
      <c r="AT42" s="24" t="inlineStr">
        <is>
          <t>Hanwha Life Esports</t>
        </is>
      </c>
      <c r="AU42" s="24" t="inlineStr">
        <is>
          <t>Hanwha Life Esports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82612f1b27d5065af8d70fd6669509ff00dc1c7e3a91bb423192bf3b0a9736ce</t>
        </is>
      </c>
      <c r="BB42" s="24" t="inlineStr">
        <is>
          <t>neutral_elo</t>
        </is>
      </c>
      <c r="BC42" s="24" t="inlineStr">
        <is>
          <t>lol-neutral-series-elo-v1</t>
        </is>
      </c>
      <c r="BD42" s="24" t="inlineStr">
        <is>
          <t>82612f1b27d5065af8d70fd6669509ff00dc1c7e3a91bb423192bf3b0a9736ce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unknown</t>
        </is>
      </c>
      <c r="BH42" s="24" t="inlineStr">
        <is>
          <t>2026-07-21T08:30:04.942524Z</t>
        </is>
      </c>
      <c r="BI42" s="24" t="inlineStr">
        <is>
          <t>["same_event","same_team_same_day","same_league_same_day"]</t>
        </is>
      </c>
      <c r="BJ42" s="25" t="n"/>
      <c r="BK42" s="26" t="n">
        <v>194</v>
      </c>
      <c r="BL42" s="27" t="n">
        <v>2.94</v>
      </c>
      <c r="BM42" s="28" t="n">
        <v>0.340136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</row>
    <row r="43" ht="36" customHeight="1">
      <c r="A43" s="24" t="inlineStr">
        <is>
          <t>e269074c55f34c0a</t>
        </is>
      </c>
      <c r="B43" s="24" t="inlineStr">
        <is>
          <t>2026-07-21T08:30:05.151435Z</t>
        </is>
      </c>
      <c r="C43" s="24" t="inlineStr">
        <is>
          <t>2026-07-21T16:00:00Z</t>
        </is>
      </c>
      <c r="D43" s="24" t="inlineStr">
        <is>
          <t>56853</t>
        </is>
      </c>
      <c r="E43" s="24" t="inlineStr">
        <is>
          <t>LOL</t>
        </is>
      </c>
      <c r="F43" s="24" t="inlineStr">
        <is>
          <t>Ici Japon Corp. Esport</t>
        </is>
      </c>
      <c r="G43" s="24" t="inlineStr">
        <is>
          <t>TLN Pirates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-144</v>
      </c>
      <c r="M43" s="27" t="n">
        <v>1.694444</v>
      </c>
      <c r="N43" s="28" t="n">
        <v>0.590164</v>
      </c>
      <c r="O43" s="28" t="n">
        <v>0.650242</v>
      </c>
      <c r="P43" s="28" t="n"/>
      <c r="Q43" s="28" t="n">
        <v>0.060242</v>
      </c>
      <c r="R43" s="26" t="n">
        <v>60</v>
      </c>
      <c r="S43" s="29" t="n">
        <v>2</v>
      </c>
      <c r="T43" s="24" t="inlineStr">
        <is>
          <t>lol-neutral-series-elo-v1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0.5900 (aec-lol-tlnp-ijc-2026-07-21).</t>
        </is>
      </c>
      <c r="AF43" s="31" t="inlineStr">
        <is>
          <t>Research baseline; zero-unit shadow until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Ici Japon Corp. Esport</t>
        </is>
      </c>
      <c r="AQ43" s="24" t="inlineStr">
        <is>
          <t>Ici Japon Corp. Esport</t>
        </is>
      </c>
      <c r="AR43" s="24" t="inlineStr">
        <is>
          <t>Ici Japon Corp. Esport</t>
        </is>
      </c>
      <c r="AS43" s="24" t="inlineStr">
        <is>
          <t>TLN Pirates</t>
        </is>
      </c>
      <c r="AT43" s="24" t="inlineStr">
        <is>
          <t>TLN Pirates</t>
        </is>
      </c>
      <c r="AU43" s="24" t="inlineStr">
        <is>
          <t>TLN Pirates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82612f1b27d5065af8d70fd6669509ff00dc1c7e3a91bb423192bf3b0a9736ce</t>
        </is>
      </c>
      <c r="BB43" s="24" t="inlineStr">
        <is>
          <t>neutral_elo</t>
        </is>
      </c>
      <c r="BC43" s="24" t="inlineStr">
        <is>
          <t>lol-neutral-series-elo-v1</t>
        </is>
      </c>
      <c r="BD43" s="24" t="inlineStr">
        <is>
          <t>82612f1b27d5065af8d70fd6669509ff00dc1c7e3a91bb423192bf3b0a9736ce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unknown</t>
        </is>
      </c>
      <c r="BH43" s="24" t="inlineStr">
        <is>
          <t>2026-07-21T08:30:05.151435Z</t>
        </is>
      </c>
      <c r="BI43" s="24" t="inlineStr">
        <is>
          <t>["same_event","same_team_same_day","same_league_same_day"]</t>
        </is>
      </c>
      <c r="BJ43" s="25" t="n"/>
      <c r="BK43" s="26" t="n">
        <v>-144</v>
      </c>
      <c r="BL43" s="27" t="n">
        <v>1.694444</v>
      </c>
      <c r="BM43" s="28" t="n">
        <v>0.590164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</row>
    <row r="44" ht="36" customHeight="1">
      <c r="A44" s="24" t="inlineStr">
        <is>
          <t>998d5fc8f8714168</t>
        </is>
      </c>
      <c r="B44" s="24" t="inlineStr">
        <is>
          <t>2026-07-21T08:30:05.359328Z</t>
        </is>
      </c>
      <c r="C44" s="24" t="inlineStr">
        <is>
          <t>2026-07-21T18:30:00Z</t>
        </is>
      </c>
      <c r="D44" s="24" t="inlineStr">
        <is>
          <t>57016</t>
        </is>
      </c>
      <c r="E44" s="24" t="inlineStr">
        <is>
          <t>LOL</t>
        </is>
      </c>
      <c r="F44" s="24" t="inlineStr">
        <is>
          <t>Baam Esports</t>
        </is>
      </c>
      <c r="G44" s="24" t="inlineStr">
        <is>
          <t>Pyramid IV Esports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113</v>
      </c>
      <c r="M44" s="27" t="n">
        <v>2.13</v>
      </c>
      <c r="N44" s="28" t="n">
        <v>0.469484</v>
      </c>
      <c r="O44" s="28" t="n">
        <v>0.503502</v>
      </c>
      <c r="P44" s="28" t="n"/>
      <c r="Q44" s="28" t="n">
        <v>0.033502</v>
      </c>
      <c r="R44" s="26" t="n">
        <v>33</v>
      </c>
      <c r="S44" s="29" t="n">
        <v>0.5</v>
      </c>
      <c r="T44" s="24" t="inlineStr">
        <is>
          <t>lol-neutral-series-elo-v1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0.4700 (aec-lol-piv-bam-2026-07-21).</t>
        </is>
      </c>
      <c r="AF44" s="31" t="inlineStr">
        <is>
          <t>Research baseline; zero-unit shadow until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Baam Esports</t>
        </is>
      </c>
      <c r="AQ44" s="24" t="inlineStr">
        <is>
          <t>Baam Esports</t>
        </is>
      </c>
      <c r="AR44" s="24" t="inlineStr">
        <is>
          <t>Baam Esports</t>
        </is>
      </c>
      <c r="AS44" s="24" t="inlineStr">
        <is>
          <t>Pyramid IV Esports</t>
        </is>
      </c>
      <c r="AT44" s="24" t="inlineStr">
        <is>
          <t>Pyramid IV Esports</t>
        </is>
      </c>
      <c r="AU44" s="24" t="inlineStr">
        <is>
          <t>Pyramid IV Esports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82612f1b27d5065af8d70fd6669509ff00dc1c7e3a91bb423192bf3b0a9736ce</t>
        </is>
      </c>
      <c r="BB44" s="24" t="inlineStr">
        <is>
          <t>neutral_elo</t>
        </is>
      </c>
      <c r="BC44" s="24" t="inlineStr">
        <is>
          <t>lol-neutral-series-elo-v1</t>
        </is>
      </c>
      <c r="BD44" s="24" t="inlineStr">
        <is>
          <t>82612f1b27d5065af8d70fd6669509ff00dc1c7e3a91bb423192bf3b0a9736ce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unknown</t>
        </is>
      </c>
      <c r="BH44" s="24" t="inlineStr">
        <is>
          <t>2026-07-21T08:30:05.359328Z</t>
        </is>
      </c>
      <c r="BI44" s="24" t="inlineStr">
        <is>
          <t>["same_event","same_team_same_day","same_league_same_day"]</t>
        </is>
      </c>
      <c r="BJ44" s="25" t="n"/>
      <c r="BK44" s="26" t="n">
        <v>113</v>
      </c>
      <c r="BL44" s="27" t="n">
        <v>2.13</v>
      </c>
      <c r="BM44" s="28" t="n">
        <v>0.469484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</row>
    <row r="45" ht="36" customHeight="1">
      <c r="A45" s="24" t="inlineStr">
        <is>
          <t>d3b95e0bdd404503</t>
        </is>
      </c>
      <c r="B45" s="24" t="inlineStr">
        <is>
          <t>2026-07-21T08:30:05.574126Z</t>
        </is>
      </c>
      <c r="C45" s="24" t="inlineStr">
        <is>
          <t>2026-07-21T19:00:00Z</t>
        </is>
      </c>
      <c r="D45" s="24" t="inlineStr">
        <is>
          <t>56856</t>
        </is>
      </c>
      <c r="E45" s="24" t="inlineStr">
        <is>
          <t>LOL</t>
        </is>
      </c>
      <c r="F45" s="24" t="inlineStr">
        <is>
          <t>Joblife</t>
        </is>
      </c>
      <c r="G45" s="24" t="inlineStr">
        <is>
          <t>Galions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-194</v>
      </c>
      <c r="M45" s="27" t="n">
        <v>1.515464</v>
      </c>
      <c r="N45" s="28" t="n">
        <v>0.659864</v>
      </c>
      <c r="O45" s="28" t="n">
        <v>0.748054</v>
      </c>
      <c r="P45" s="28" t="n"/>
      <c r="Q45" s="28" t="n">
        <v>0.08805399999999999</v>
      </c>
      <c r="R45" s="26" t="n">
        <v>88</v>
      </c>
      <c r="S45" s="29" t="n">
        <v>2</v>
      </c>
      <c r="T45" s="24" t="inlineStr">
        <is>
          <t>lol-neutral-series-elo-v1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0.6600 (aec-lol-gal-jl-2026-07-21).</t>
        </is>
      </c>
      <c r="AF45" s="31" t="inlineStr">
        <is>
          <t>Research baseline; zero-unit shadow until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Joblife</t>
        </is>
      </c>
      <c r="AQ45" s="24" t="inlineStr">
        <is>
          <t>Joblife</t>
        </is>
      </c>
      <c r="AR45" s="24" t="inlineStr">
        <is>
          <t>Joblife</t>
        </is>
      </c>
      <c r="AS45" s="24" t="inlineStr">
        <is>
          <t>Galions</t>
        </is>
      </c>
      <c r="AT45" s="24" t="inlineStr">
        <is>
          <t>Galions</t>
        </is>
      </c>
      <c r="AU45" s="24" t="inlineStr">
        <is>
          <t>Galions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82612f1b27d5065af8d70fd6669509ff00dc1c7e3a91bb423192bf3b0a9736ce</t>
        </is>
      </c>
      <c r="BB45" s="24" t="inlineStr">
        <is>
          <t>neutral_elo</t>
        </is>
      </c>
      <c r="BC45" s="24" t="inlineStr">
        <is>
          <t>lol-neutral-series-elo-v1</t>
        </is>
      </c>
      <c r="BD45" s="24" t="inlineStr">
        <is>
          <t>82612f1b27d5065af8d70fd6669509ff00dc1c7e3a91bb423192bf3b0a9736ce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unknown</t>
        </is>
      </c>
      <c r="BH45" s="24" t="inlineStr">
        <is>
          <t>2026-07-21T08:30:05.574126Z</t>
        </is>
      </c>
      <c r="BI45" s="24" t="inlineStr">
        <is>
          <t>["same_event","same_team_same_day","same_league_same_day"]</t>
        </is>
      </c>
      <c r="BJ45" s="25" t="n"/>
      <c r="BK45" s="26" t="n">
        <v>-194</v>
      </c>
      <c r="BL45" s="27" t="n">
        <v>1.515464</v>
      </c>
      <c r="BM45" s="28" t="n">
        <v>0.659864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</row>
    <row r="46" ht="36" customHeight="1">
      <c r="A46" s="24" t="inlineStr">
        <is>
          <t>4c1c4e9366e14623</t>
        </is>
      </c>
      <c r="B46" s="24" t="inlineStr">
        <is>
          <t>2026-07-21T08:30:05.910492Z</t>
        </is>
      </c>
      <c r="C46" s="24" t="inlineStr">
        <is>
          <t>2026-07-21T21:00:00Z</t>
        </is>
      </c>
      <c r="D46" s="24" t="inlineStr">
        <is>
          <t>55205</t>
        </is>
      </c>
      <c r="E46" s="24" t="inlineStr">
        <is>
          <t>LOL</t>
        </is>
      </c>
      <c r="F46" s="24" t="inlineStr">
        <is>
          <t>RMD Gaming</t>
        </is>
      </c>
      <c r="G46" s="24" t="inlineStr">
        <is>
          <t>paiN Gaming Academy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-203</v>
      </c>
      <c r="M46" s="27" t="n">
        <v>1.492611</v>
      </c>
      <c r="N46" s="28" t="n">
        <v>0.669967</v>
      </c>
      <c r="O46" s="28" t="n">
        <v>0.731785</v>
      </c>
      <c r="P46" s="28" t="n"/>
      <c r="Q46" s="28" t="n">
        <v>0.061785</v>
      </c>
      <c r="R46" s="26" t="n">
        <v>61</v>
      </c>
      <c r="S46" s="29" t="n">
        <v>2</v>
      </c>
      <c r="T46" s="24" t="inlineStr">
        <is>
          <t>lol-neutral-series-elo-v1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0.6700 (aec-lol-pnga-rmd-2026-07-21).</t>
        </is>
      </c>
      <c r="AF46" s="31" t="inlineStr">
        <is>
          <t>Research baseline; zero-unit shadow until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RMD Gaming</t>
        </is>
      </c>
      <c r="AQ46" s="24" t="inlineStr">
        <is>
          <t>RMD Gaming</t>
        </is>
      </c>
      <c r="AR46" s="24" t="inlineStr">
        <is>
          <t>RMD Gaming</t>
        </is>
      </c>
      <c r="AS46" s="24" t="inlineStr">
        <is>
          <t>paiN Gaming Academy</t>
        </is>
      </c>
      <c r="AT46" s="24" t="inlineStr">
        <is>
          <t>paiN Gaming Academy</t>
        </is>
      </c>
      <c r="AU46" s="24" t="inlineStr">
        <is>
          <t>paiN Gaming Academy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82612f1b27d5065af8d70fd6669509ff00dc1c7e3a91bb423192bf3b0a9736ce</t>
        </is>
      </c>
      <c r="BB46" s="24" t="inlineStr">
        <is>
          <t>neutral_elo</t>
        </is>
      </c>
      <c r="BC46" s="24" t="inlineStr">
        <is>
          <t>lol-neutral-series-elo-v1</t>
        </is>
      </c>
      <c r="BD46" s="24" t="inlineStr">
        <is>
          <t>82612f1b27d5065af8d70fd6669509ff00dc1c7e3a91bb423192bf3b0a9736ce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unknown</t>
        </is>
      </c>
      <c r="BH46" s="24" t="inlineStr">
        <is>
          <t>2026-07-21T08:30:05.910492Z</t>
        </is>
      </c>
      <c r="BI46" s="24" t="inlineStr">
        <is>
          <t>["same_event","same_team_same_day","same_league_same_day"]</t>
        </is>
      </c>
      <c r="BJ46" s="25" t="n"/>
      <c r="BK46" s="26" t="n">
        <v>-203</v>
      </c>
      <c r="BL46" s="27" t="n">
        <v>1.492611</v>
      </c>
      <c r="BM46" s="28" t="n">
        <v>0.669967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</row>
    <row r="47" ht="36" customHeight="1">
      <c r="A47" s="24" t="inlineStr">
        <is>
          <t>db9ff36a2ee94b8c</t>
        </is>
      </c>
      <c r="B47" s="24" t="inlineStr">
        <is>
          <t>2026-07-21T08:30:06.130324Z</t>
        </is>
      </c>
      <c r="C47" s="24" t="inlineStr">
        <is>
          <t>2026-07-21T22:00:00Z</t>
        </is>
      </c>
      <c r="D47" s="24" t="inlineStr">
        <is>
          <t>55206</t>
        </is>
      </c>
      <c r="E47" s="24" t="inlineStr">
        <is>
          <t>LOL</t>
        </is>
      </c>
      <c r="F47" s="24" t="inlineStr">
        <is>
          <t>Estral Esports</t>
        </is>
      </c>
      <c r="G47" s="24" t="inlineStr">
        <is>
          <t>KaBuM! Ilha das Lendas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212</v>
      </c>
      <c r="M47" s="27" t="n">
        <v>3.12</v>
      </c>
      <c r="N47" s="28" t="n">
        <v>0.320513</v>
      </c>
      <c r="O47" s="28" t="n">
        <v>0.59232</v>
      </c>
      <c r="P47" s="28" t="n"/>
      <c r="Q47" s="28" t="n">
        <v>0.27232</v>
      </c>
      <c r="R47" s="26" t="n">
        <v>100</v>
      </c>
      <c r="S47" s="29" t="n">
        <v>1.5</v>
      </c>
      <c r="T47" s="24" t="inlineStr">
        <is>
          <t>lol-neutral-series-elo-v1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0.3200 (aec-lol-kbm-est-2026-07-21).</t>
        </is>
      </c>
      <c r="AF47" s="31" t="inlineStr">
        <is>
          <t>Research baseline; zero-unit shadow until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Estral Esports</t>
        </is>
      </c>
      <c r="AQ47" s="24" t="inlineStr">
        <is>
          <t>Estral Esports</t>
        </is>
      </c>
      <c r="AR47" s="24" t="inlineStr">
        <is>
          <t>Estral Esports</t>
        </is>
      </c>
      <c r="AS47" s="24" t="inlineStr">
        <is>
          <t>KaBuM! Ilha das Lendas</t>
        </is>
      </c>
      <c r="AT47" s="24" t="inlineStr">
        <is>
          <t>KaBuM! Ilha das Lendas</t>
        </is>
      </c>
      <c r="AU47" s="24" t="inlineStr">
        <is>
          <t>KaBuM! Ilha das Lendas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82612f1b27d5065af8d70fd6669509ff00dc1c7e3a91bb423192bf3b0a9736ce</t>
        </is>
      </c>
      <c r="BB47" s="24" t="inlineStr">
        <is>
          <t>neutral_elo</t>
        </is>
      </c>
      <c r="BC47" s="24" t="inlineStr">
        <is>
          <t>lol-neutral-series-elo-v1</t>
        </is>
      </c>
      <c r="BD47" s="24" t="inlineStr">
        <is>
          <t>82612f1b27d5065af8d70fd6669509ff00dc1c7e3a91bb423192bf3b0a9736ce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unknown</t>
        </is>
      </c>
      <c r="BH47" s="24" t="inlineStr">
        <is>
          <t>2026-07-21T08:30:06.130324Z</t>
        </is>
      </c>
      <c r="BI47" s="24" t="inlineStr">
        <is>
          <t>["same_event","same_team_same_day","same_league_same_day"]</t>
        </is>
      </c>
      <c r="BJ47" s="25" t="n"/>
      <c r="BK47" s="26" t="n">
        <v>212</v>
      </c>
      <c r="BL47" s="27" t="n">
        <v>3.12</v>
      </c>
      <c r="BM47" s="28" t="n">
        <v>0.320513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</row>
    <row r="48" ht="36" customHeight="1">
      <c r="A48" s="24" t="inlineStr">
        <is>
          <t>c1f4d33246924874</t>
        </is>
      </c>
      <c r="B48" s="24" t="inlineStr">
        <is>
          <t>2026-07-21T08:30:06.360899Z</t>
        </is>
      </c>
      <c r="C48" s="24" t="inlineStr">
        <is>
          <t>2026-07-22T11:00:00Z</t>
        </is>
      </c>
      <c r="D48" s="24" t="inlineStr">
        <is>
          <t>55996</t>
        </is>
      </c>
      <c r="E48" s="24" t="inlineStr">
        <is>
          <t>LOL</t>
        </is>
      </c>
      <c r="F48" s="24" t="inlineStr">
        <is>
          <t>Team WE</t>
        </is>
      </c>
      <c r="G48" s="24" t="inlineStr">
        <is>
          <t>Top Esports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0.748396</v>
      </c>
      <c r="P48" s="28" t="n"/>
      <c r="Q48" s="28" t="n">
        <v>0.07839599999999999</v>
      </c>
      <c r="R48" s="26" t="n">
        <v>78</v>
      </c>
      <c r="S48" s="29" t="n">
        <v>2</v>
      </c>
      <c r="T48" s="24" t="inlineStr">
        <is>
          <t>lol-neutral-series-elo-v1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0.6700 (aec-lol-tes-we-2026-07-22).</t>
        </is>
      </c>
      <c r="AF48" s="31" t="inlineStr">
        <is>
          <t>Research baseline; zero-unit shadow until qualified.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Team WE</t>
        </is>
      </c>
      <c r="AQ48" s="24" t="inlineStr">
        <is>
          <t>Team WE</t>
        </is>
      </c>
      <c r="AR48" s="24" t="inlineStr">
        <is>
          <t>Team WE</t>
        </is>
      </c>
      <c r="AS48" s="24" t="inlineStr">
        <is>
          <t>Top Esports</t>
        </is>
      </c>
      <c r="AT48" s="24" t="inlineStr">
        <is>
          <t>Top Esports</t>
        </is>
      </c>
      <c r="AU48" s="24" t="inlineStr">
        <is>
          <t>Top Esports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82612f1b27d5065af8d70fd6669509ff00dc1c7e3a91bb423192bf3b0a9736ce</t>
        </is>
      </c>
      <c r="BB48" s="24" t="inlineStr">
        <is>
          <t>neutral_elo</t>
        </is>
      </c>
      <c r="BC48" s="24" t="inlineStr">
        <is>
          <t>lol-neutral-series-elo-v1</t>
        </is>
      </c>
      <c r="BD48" s="24" t="inlineStr">
        <is>
          <t>82612f1b27d5065af8d70fd6669509ff00dc1c7e3a91bb423192bf3b0a9736ce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unknown</t>
        </is>
      </c>
      <c r="BH48" s="24" t="inlineStr">
        <is>
          <t>2026-07-21T08:30:06.360899Z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</row>
    <row r="49" ht="36" customHeight="1">
      <c r="A49" s="24" t="inlineStr">
        <is>
          <t>a2bb4ba4e2f84c70</t>
        </is>
      </c>
      <c r="B49" s="24" t="inlineStr">
        <is>
          <t>2026-07-21T08:30:06.595624Z</t>
        </is>
      </c>
      <c r="C49" s="24" t="inlineStr">
        <is>
          <t>2026-07-22T15:00:00Z</t>
        </is>
      </c>
      <c r="D49" s="24" t="inlineStr">
        <is>
          <t>56056</t>
        </is>
      </c>
      <c r="E49" s="24" t="inlineStr">
        <is>
          <t>LOL</t>
        </is>
      </c>
      <c r="F49" s="24" t="inlineStr">
        <is>
          <t>FALKE Esports</t>
        </is>
      </c>
      <c r="G49" s="24" t="inlineStr">
        <is>
          <t>UB Alma Mater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203</v>
      </c>
      <c r="M49" s="27" t="n">
        <v>3.03</v>
      </c>
      <c r="N49" s="28" t="n">
        <v>0.330033</v>
      </c>
      <c r="O49" s="28" t="n">
        <v>0.64693</v>
      </c>
      <c r="P49" s="28" t="n"/>
      <c r="Q49" s="28" t="n">
        <v>0.31693</v>
      </c>
      <c r="R49" s="26" t="n">
        <v>100</v>
      </c>
      <c r="S49" s="29" t="n">
        <v>2</v>
      </c>
      <c r="T49" s="24" t="inlineStr">
        <is>
          <t>lol-neutral-series-elo-v1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0.3300 (aec-lol-ub-flk-2026-07-22).</t>
        </is>
      </c>
      <c r="AF49" s="31" t="inlineStr">
        <is>
          <t>Research baseline; zero-unit shadow until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FALKE Esports</t>
        </is>
      </c>
      <c r="AQ49" s="24" t="inlineStr">
        <is>
          <t>FALKE Esports</t>
        </is>
      </c>
      <c r="AR49" s="24" t="inlineStr">
        <is>
          <t>FALKE Esports</t>
        </is>
      </c>
      <c r="AS49" s="24" t="inlineStr">
        <is>
          <t>UB Alma Mater</t>
        </is>
      </c>
      <c r="AT49" s="24" t="inlineStr">
        <is>
          <t>UB Alma Mater</t>
        </is>
      </c>
      <c r="AU49" s="24" t="inlineStr">
        <is>
          <t>UB Alma Mater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82612f1b27d5065af8d70fd6669509ff00dc1c7e3a91bb423192bf3b0a9736ce</t>
        </is>
      </c>
      <c r="BB49" s="24" t="inlineStr">
        <is>
          <t>neutral_elo</t>
        </is>
      </c>
      <c r="BC49" s="24" t="inlineStr">
        <is>
          <t>lol-neutral-series-elo-v1</t>
        </is>
      </c>
      <c r="BD49" s="24" t="inlineStr">
        <is>
          <t>82612f1b27d5065af8d70fd6669509ff00dc1c7e3a91bb423192bf3b0a9736ce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unknown</t>
        </is>
      </c>
      <c r="BH49" s="24" t="inlineStr">
        <is>
          <t>2026-07-21T08:30:06.595624Z</t>
        </is>
      </c>
      <c r="BI49" s="24" t="inlineStr">
        <is>
          <t>["same_event","same_team_same_day","same_league_same_day"]</t>
        </is>
      </c>
      <c r="BJ49" s="25" t="n"/>
      <c r="BK49" s="26" t="n">
        <v>203</v>
      </c>
      <c r="BL49" s="27" t="n">
        <v>3.03</v>
      </c>
      <c r="BM49" s="28" t="n">
        <v>0.330033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</row>
    <row r="50" ht="36" customHeight="1">
      <c r="A50" s="24" t="inlineStr">
        <is>
          <t>88825e98cdf14a2c</t>
        </is>
      </c>
      <c r="B50" s="24" t="inlineStr">
        <is>
          <t>2026-07-21T08:30:06.831199Z</t>
        </is>
      </c>
      <c r="C50" s="24" t="inlineStr">
        <is>
          <t>2026-07-22T17:30:00Z</t>
        </is>
      </c>
      <c r="D50" s="24" t="inlineStr">
        <is>
          <t>56127</t>
        </is>
      </c>
      <c r="E50" s="24" t="inlineStr">
        <is>
          <t>LOL</t>
        </is>
      </c>
      <c r="F50" s="24" t="inlineStr">
        <is>
          <t>UCAM Esports Club</t>
        </is>
      </c>
      <c r="G50" s="24" t="inlineStr">
        <is>
          <t>Barça eSports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-144</v>
      </c>
      <c r="M50" s="27" t="n">
        <v>1.694444</v>
      </c>
      <c r="N50" s="28" t="n">
        <v>0.590164</v>
      </c>
      <c r="O50" s="28" t="n">
        <v>0.6951349999999999</v>
      </c>
      <c r="P50" s="28" t="n"/>
      <c r="Q50" s="28" t="n">
        <v>0.105135</v>
      </c>
      <c r="R50" s="26" t="n">
        <v>100</v>
      </c>
      <c r="S50" s="29" t="n">
        <v>2</v>
      </c>
      <c r="T50" s="24" t="inlineStr">
        <is>
          <t>lol-neutral-series-elo-v1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0.5900 (aec-lol-bar-ucam-2026-07-22).</t>
        </is>
      </c>
      <c r="AF50" s="31" t="inlineStr">
        <is>
          <t>Research baseline; zero-unit shadow until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UCAM Esports Club</t>
        </is>
      </c>
      <c r="AQ50" s="24" t="inlineStr">
        <is>
          <t>UCAM Esports Club</t>
        </is>
      </c>
      <c r="AR50" s="24" t="inlineStr">
        <is>
          <t>UCAM Esports Club</t>
        </is>
      </c>
      <c r="AS50" s="24" t="inlineStr">
        <is>
          <t>Barça eSports</t>
        </is>
      </c>
      <c r="AT50" s="24" t="inlineStr">
        <is>
          <t>Barça eSports</t>
        </is>
      </c>
      <c r="AU50" s="24" t="inlineStr">
        <is>
          <t>Barça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82612f1b27d5065af8d70fd6669509ff00dc1c7e3a91bb423192bf3b0a9736ce</t>
        </is>
      </c>
      <c r="BB50" s="24" t="inlineStr">
        <is>
          <t>neutral_elo</t>
        </is>
      </c>
      <c r="BC50" s="24" t="inlineStr">
        <is>
          <t>lol-neutral-series-elo-v1</t>
        </is>
      </c>
      <c r="BD50" s="24" t="inlineStr">
        <is>
          <t>82612f1b27d5065af8d70fd6669509ff00dc1c7e3a91bb423192bf3b0a9736ce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unknown</t>
        </is>
      </c>
      <c r="BH50" s="24" t="inlineStr">
        <is>
          <t>2026-07-21T08:30:06.831199Z</t>
        </is>
      </c>
      <c r="BI50" s="24" t="inlineStr">
        <is>
          <t>["same_event","same_team_same_day","same_league_same_day"]</t>
        </is>
      </c>
      <c r="BJ50" s="25" t="n"/>
      <c r="BK50" s="26" t="n">
        <v>-144</v>
      </c>
      <c r="BL50" s="27" t="n">
        <v>1.694444</v>
      </c>
      <c r="BM50" s="28" t="n">
        <v>0.590164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</row>
    <row r="51" ht="36" customHeight="1">
      <c r="A51" s="24" t="inlineStr">
        <is>
          <t>03582afc01c14b32</t>
        </is>
      </c>
      <c r="B51" s="24" t="inlineStr">
        <is>
          <t>2026-07-21T08:42:00.190701Z</t>
        </is>
      </c>
      <c r="C51" s="24" t="inlineStr">
        <is>
          <t>2026-07-21T10:00:00Z</t>
        </is>
      </c>
      <c r="D51" s="24" t="inlineStr">
        <is>
          <t>54926</t>
        </is>
      </c>
      <c r="E51" s="24" t="inlineStr">
        <is>
          <t>CS2</t>
        </is>
      </c>
      <c r="F51" s="24" t="inlineStr">
        <is>
          <t>NIP</t>
        </is>
      </c>
      <c r="G51" s="24" t="inlineStr">
        <is>
          <t>M80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108</v>
      </c>
      <c r="M51" s="27" t="n">
        <v>2.08</v>
      </c>
      <c r="N51" s="28" t="n">
        <v>0.480769</v>
      </c>
      <c r="O51" s="28" t="n">
        <v>0.670551</v>
      </c>
      <c r="P51" s="28" t="n"/>
      <c r="Q51" s="28" t="n">
        <v>0.190551</v>
      </c>
      <c r="R51" s="26" t="n">
        <v>100</v>
      </c>
      <c r="S51" s="29" t="n">
        <v>2</v>
      </c>
      <c r="T51" s="24" t="inlineStr">
        <is>
          <t>cs2-neutral-series-elo-v1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0.4800 (aec-cs2-m80-nip-2026-07-21).</t>
        </is>
      </c>
      <c r="AF51" s="31" t="inlineStr">
        <is>
          <t>Research baseline; zero-unit shadow until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NIP</t>
        </is>
      </c>
      <c r="AQ51" s="24" t="inlineStr">
        <is>
          <t>NIP</t>
        </is>
      </c>
      <c r="AR51" s="24" t="inlineStr">
        <is>
          <t>NIP</t>
        </is>
      </c>
      <c r="AS51" s="24" t="inlineStr">
        <is>
          <t>M80</t>
        </is>
      </c>
      <c r="AT51" s="24" t="inlineStr">
        <is>
          <t>M80</t>
        </is>
      </c>
      <c r="AU51" s="24" t="inlineStr">
        <is>
          <t>M80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9dbde86ab8062ac73a51c94b0ad431573ac8b755ccd742d86794849a749958c7</t>
        </is>
      </c>
      <c r="BB51" s="24" t="inlineStr">
        <is>
          <t>neutral_elo</t>
        </is>
      </c>
      <c r="BC51" s="24" t="inlineStr">
        <is>
          <t>cs2-neutral-series-elo-v1</t>
        </is>
      </c>
      <c r="BD51" s="24" t="inlineStr">
        <is>
          <t>9dbde86ab8062ac73a51c94b0ad431573ac8b755ccd742d86794849a749958c7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unknown</t>
        </is>
      </c>
      <c r="BH51" s="24" t="inlineStr">
        <is>
          <t>2026-07-21T08:42:00.190701Z</t>
        </is>
      </c>
      <c r="BI51" s="24" t="inlineStr">
        <is>
          <t>["same_event","same_team_same_day","same_league_same_day"]</t>
        </is>
      </c>
      <c r="BJ51" s="25" t="n"/>
      <c r="BK51" s="26" t="n">
        <v>108</v>
      </c>
      <c r="BL51" s="27" t="n">
        <v>2.08</v>
      </c>
      <c r="BM51" s="28" t="n">
        <v>0.480769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</row>
    <row r="52" ht="36" customHeight="1">
      <c r="A52" s="24" t="inlineStr">
        <is>
          <t>50a3838af764488c</t>
        </is>
      </c>
      <c r="B52" s="24" t="inlineStr">
        <is>
          <t>2026-07-21T08:42:00.444816Z</t>
        </is>
      </c>
      <c r="C52" s="24" t="inlineStr">
        <is>
          <t>2026-07-21T10:30:00Z</t>
        </is>
      </c>
      <c r="D52" s="24" t="inlineStr">
        <is>
          <t>56029</t>
        </is>
      </c>
      <c r="E52" s="24" t="inlineStr">
        <is>
          <t>CS2</t>
        </is>
      </c>
      <c r="F52" s="24" t="inlineStr">
        <is>
          <t>CYBERSHOKE Esports</t>
        </is>
      </c>
      <c r="G52" s="24" t="inlineStr">
        <is>
          <t>BET-M 33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156</v>
      </c>
      <c r="M52" s="27" t="n">
        <v>2.56</v>
      </c>
      <c r="N52" s="28" t="n">
        <v>0.390625</v>
      </c>
      <c r="O52" s="28" t="n">
        <v>0.7467510000000001</v>
      </c>
      <c r="P52" s="28" t="n"/>
      <c r="Q52" s="28" t="n">
        <v>0.356751</v>
      </c>
      <c r="R52" s="26" t="n">
        <v>100</v>
      </c>
      <c r="S52" s="29" t="n">
        <v>2</v>
      </c>
      <c r="T52" s="24" t="inlineStr">
        <is>
          <t>cs2-neutral-series-elo-v1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0.3900 (aec-cs2-33-cs-2026-07-21).</t>
        </is>
      </c>
      <c r="AF52" s="31" t="inlineStr">
        <is>
          <t>Research baseline; zero-unit shadow until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CYBERSHOKE Esports</t>
        </is>
      </c>
      <c r="AQ52" s="24" t="inlineStr">
        <is>
          <t>CYBERSHOKE Esports</t>
        </is>
      </c>
      <c r="AR52" s="24" t="inlineStr">
        <is>
          <t>CYBERSHOKE Esports</t>
        </is>
      </c>
      <c r="AS52" s="24" t="inlineStr">
        <is>
          <t>BET-M 33</t>
        </is>
      </c>
      <c r="AT52" s="24" t="inlineStr">
        <is>
          <t>BET-M 33</t>
        </is>
      </c>
      <c r="AU52" s="24" t="inlineStr">
        <is>
          <t>BET-M 33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9dbde86ab8062ac73a51c94b0ad431573ac8b755ccd742d86794849a749958c7</t>
        </is>
      </c>
      <c r="BB52" s="24" t="inlineStr">
        <is>
          <t>neutral_elo</t>
        </is>
      </c>
      <c r="BC52" s="24" t="inlineStr">
        <is>
          <t>cs2-neutral-series-elo-v1</t>
        </is>
      </c>
      <c r="BD52" s="24" t="inlineStr">
        <is>
          <t>9dbde86ab8062ac73a51c94b0ad431573ac8b755ccd742d86794849a749958c7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unknown</t>
        </is>
      </c>
      <c r="BH52" s="24" t="inlineStr">
        <is>
          <t>2026-07-21T08:42:00.444816Z</t>
        </is>
      </c>
      <c r="BI52" s="24" t="inlineStr">
        <is>
          <t>["same_event","same_team_same_day","same_league_same_day"]</t>
        </is>
      </c>
      <c r="BJ52" s="25" t="n"/>
      <c r="BK52" s="26" t="n">
        <v>156</v>
      </c>
      <c r="BL52" s="27" t="n">
        <v>2.56</v>
      </c>
      <c r="BM52" s="28" t="n">
        <v>0.390625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</row>
    <row r="53" ht="36" customHeight="1">
      <c r="A53" s="24" t="inlineStr">
        <is>
          <t>44b141aa642b4858</t>
        </is>
      </c>
      <c r="B53" s="24" t="inlineStr">
        <is>
          <t>2026-07-21T08:42:00.767263Z</t>
        </is>
      </c>
      <c r="C53" s="24" t="inlineStr">
        <is>
          <t>2026-07-21T11:00:00Z</t>
        </is>
      </c>
      <c r="D53" s="24" t="inlineStr">
        <is>
          <t>57524</t>
        </is>
      </c>
      <c r="E53" s="24" t="inlineStr">
        <is>
          <t>CS2</t>
        </is>
      </c>
      <c r="F53" s="24" t="inlineStr">
        <is>
          <t>Entropy</t>
        </is>
      </c>
      <c r="G53" s="24" t="inlineStr">
        <is>
          <t>Esport Academy Copenhagen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-108</v>
      </c>
      <c r="M53" s="27" t="n">
        <v>1.925926</v>
      </c>
      <c r="N53" s="28" t="n">
        <v>0.519231</v>
      </c>
      <c r="O53" s="28" t="n">
        <v>0.602113</v>
      </c>
      <c r="P53" s="28" t="n"/>
      <c r="Q53" s="28" t="n">
        <v>0.08211300000000001</v>
      </c>
      <c r="R53" s="26" t="n">
        <v>82</v>
      </c>
      <c r="S53" s="29" t="n">
        <v>1.5</v>
      </c>
      <c r="T53" s="24" t="inlineStr">
        <is>
          <t>cs2-neutral-series-elo-v1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0.5200 (aec-cs2-eac-ent-2026-07-21).</t>
        </is>
      </c>
      <c r="AF53" s="31" t="inlineStr">
        <is>
          <t>Research baseline; zero-unit shadow until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Entropy</t>
        </is>
      </c>
      <c r="AQ53" s="24" t="inlineStr">
        <is>
          <t>Entropy</t>
        </is>
      </c>
      <c r="AR53" s="24" t="inlineStr">
        <is>
          <t>Entropy</t>
        </is>
      </c>
      <c r="AS53" s="24" t="inlineStr">
        <is>
          <t>Esport Academy Copenhagen</t>
        </is>
      </c>
      <c r="AT53" s="24" t="inlineStr">
        <is>
          <t>Esport Academy Copenhagen</t>
        </is>
      </c>
      <c r="AU53" s="24" t="inlineStr">
        <is>
          <t>Esport Academy Copenhagen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9dbde86ab8062ac73a51c94b0ad431573ac8b755ccd742d86794849a749958c7</t>
        </is>
      </c>
      <c r="BB53" s="24" t="inlineStr">
        <is>
          <t>neutral_elo</t>
        </is>
      </c>
      <c r="BC53" s="24" t="inlineStr">
        <is>
          <t>cs2-neutral-series-elo-v1</t>
        </is>
      </c>
      <c r="BD53" s="24" t="inlineStr">
        <is>
          <t>9dbde86ab8062ac73a51c94b0ad431573ac8b755ccd742d86794849a749958c7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unknown</t>
        </is>
      </c>
      <c r="BH53" s="24" t="inlineStr">
        <is>
          <t>2026-07-21T08:42:00.767263Z</t>
        </is>
      </c>
      <c r="BI53" s="24" t="inlineStr">
        <is>
          <t>["same_event","same_team_same_day","same_league_same_day"]</t>
        </is>
      </c>
      <c r="BJ53" s="25" t="n"/>
      <c r="BK53" s="26" t="n">
        <v>-108</v>
      </c>
      <c r="BL53" s="27" t="n">
        <v>1.925926</v>
      </c>
      <c r="BM53" s="28" t="n">
        <v>0.519231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</row>
    <row r="54" ht="36" customHeight="1">
      <c r="A54" s="24" t="inlineStr">
        <is>
          <t>6df84ccaa48f4c5e</t>
        </is>
      </c>
      <c r="B54" s="24" t="inlineStr">
        <is>
          <t>2026-07-21T08:42:01.018148Z</t>
        </is>
      </c>
      <c r="C54" s="24" t="inlineStr">
        <is>
          <t>2026-07-21T13:00:00Z</t>
        </is>
      </c>
      <c r="D54" s="24" t="inlineStr">
        <is>
          <t>56030</t>
        </is>
      </c>
      <c r="E54" s="24" t="inlineStr">
        <is>
          <t>CS2</t>
        </is>
      </c>
      <c r="F54" s="24" t="inlineStr">
        <is>
          <t>Gentle Mates</t>
        </is>
      </c>
      <c r="G54" s="24" t="inlineStr">
        <is>
          <t>3DMAX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122</v>
      </c>
      <c r="M54" s="27" t="n">
        <v>2.22</v>
      </c>
      <c r="N54" s="28" t="n">
        <v>0.45045</v>
      </c>
      <c r="O54" s="28" t="n">
        <v>0.569167</v>
      </c>
      <c r="P54" s="28" t="n"/>
      <c r="Q54" s="28" t="n">
        <v>0.119167</v>
      </c>
      <c r="R54" s="26" t="n">
        <v>100</v>
      </c>
      <c r="S54" s="29" t="n">
        <v>1.25</v>
      </c>
      <c r="T54" s="24" t="inlineStr">
        <is>
          <t>cs2-neutral-series-elo-v1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0.4500 (aec-cs2-3dmax-m8-2026-07-21).</t>
        </is>
      </c>
      <c r="AF54" s="31" t="inlineStr">
        <is>
          <t>Research baseline; zero-unit shadow until qualified.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Gentle Mates</t>
        </is>
      </c>
      <c r="AQ54" s="24" t="inlineStr">
        <is>
          <t>Gentle Mates</t>
        </is>
      </c>
      <c r="AR54" s="24" t="inlineStr">
        <is>
          <t>Gentle Mates</t>
        </is>
      </c>
      <c r="AS54" s="24" t="inlineStr">
        <is>
          <t>3DMAX</t>
        </is>
      </c>
      <c r="AT54" s="24" t="inlineStr">
        <is>
          <t>3DMAX</t>
        </is>
      </c>
      <c r="AU54" s="24" t="inlineStr">
        <is>
          <t>3DMAX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9dbde86ab8062ac73a51c94b0ad431573ac8b755ccd742d86794849a749958c7</t>
        </is>
      </c>
      <c r="BB54" s="24" t="inlineStr">
        <is>
          <t>neutral_elo</t>
        </is>
      </c>
      <c r="BC54" s="24" t="inlineStr">
        <is>
          <t>cs2-neutral-series-elo-v1</t>
        </is>
      </c>
      <c r="BD54" s="24" t="inlineStr">
        <is>
          <t>9dbde86ab8062ac73a51c94b0ad431573ac8b755ccd742d86794849a749958c7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unknown</t>
        </is>
      </c>
      <c r="BH54" s="24" t="inlineStr">
        <is>
          <t>2026-07-21T08:42:01.018148Z</t>
        </is>
      </c>
      <c r="BI54" s="24" t="inlineStr">
        <is>
          <t>["same_event","same_team_same_day","same_league_same_day"]</t>
        </is>
      </c>
      <c r="BJ54" s="25" t="n"/>
      <c r="BK54" s="26" t="n">
        <v>122</v>
      </c>
      <c r="BL54" s="27" t="n">
        <v>2.22</v>
      </c>
      <c r="BM54" s="28" t="n">
        <v>0.45045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</row>
    <row r="55" ht="36" customHeight="1">
      <c r="A55" s="24" t="inlineStr">
        <is>
          <t>0d57ba5837b140c4</t>
        </is>
      </c>
      <c r="B55" s="24" t="inlineStr">
        <is>
          <t>2026-07-21T08:42:01.274817Z</t>
        </is>
      </c>
      <c r="C55" s="24" t="inlineStr">
        <is>
          <t>2026-07-21T13:00:00Z</t>
        </is>
      </c>
      <c r="D55" s="24" t="inlineStr">
        <is>
          <t>57526</t>
        </is>
      </c>
      <c r="E55" s="24" t="inlineStr">
        <is>
          <t>CS2</t>
        </is>
      </c>
      <c r="F55" s="24" t="inlineStr">
        <is>
          <t>Misa Esports</t>
        </is>
      </c>
      <c r="G55" s="24" t="inlineStr">
        <is>
          <t>Honvéd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-108</v>
      </c>
      <c r="M55" s="27" t="n">
        <v>1.925926</v>
      </c>
      <c r="N55" s="28" t="n">
        <v>0.519231</v>
      </c>
      <c r="O55" s="28" t="n">
        <v>0.543642</v>
      </c>
      <c r="P55" s="28" t="n"/>
      <c r="Q55" s="28" t="n">
        <v>0.023642</v>
      </c>
      <c r="R55" s="26" t="n">
        <v>23</v>
      </c>
      <c r="S55" s="29" t="n">
        <v>1</v>
      </c>
      <c r="T55" s="24" t="inlineStr">
        <is>
          <t>cs2-neutral-series-elo-v1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0.5200 (aec-cs2-hon-misa-2026-07-21).</t>
        </is>
      </c>
      <c r="AF55" s="31" t="inlineStr">
        <is>
          <t>Research baseline; zero-unit shadow until qualified.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Misa Esports</t>
        </is>
      </c>
      <c r="AQ55" s="24" t="inlineStr">
        <is>
          <t>Misa Esports</t>
        </is>
      </c>
      <c r="AR55" s="24" t="inlineStr">
        <is>
          <t>Misa Esports</t>
        </is>
      </c>
      <c r="AS55" s="24" t="inlineStr">
        <is>
          <t>Honvéd</t>
        </is>
      </c>
      <c r="AT55" s="24" t="inlineStr">
        <is>
          <t>Honvéd</t>
        </is>
      </c>
      <c r="AU55" s="24" t="inlineStr">
        <is>
          <t>Honvéd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9dbde86ab8062ac73a51c94b0ad431573ac8b755ccd742d86794849a749958c7</t>
        </is>
      </c>
      <c r="BB55" s="24" t="inlineStr">
        <is>
          <t>neutral_elo</t>
        </is>
      </c>
      <c r="BC55" s="24" t="inlineStr">
        <is>
          <t>cs2-neutral-series-elo-v1</t>
        </is>
      </c>
      <c r="BD55" s="24" t="inlineStr">
        <is>
          <t>9dbde86ab8062ac73a51c94b0ad431573ac8b755ccd742d86794849a749958c7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unknown</t>
        </is>
      </c>
      <c r="BH55" s="24" t="inlineStr">
        <is>
          <t>2026-07-21T08:42:01.274817Z</t>
        </is>
      </c>
      <c r="BI55" s="24" t="inlineStr">
        <is>
          <t>["same_event","same_team_same_day","same_league_same_day"]</t>
        </is>
      </c>
      <c r="BJ55" s="25" t="n"/>
      <c r="BK55" s="26" t="n">
        <v>-108</v>
      </c>
      <c r="BL55" s="27" t="n">
        <v>1.925926</v>
      </c>
      <c r="BM55" s="28" t="n">
        <v>0.519231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</row>
    <row r="56" ht="36" customHeight="1">
      <c r="A56" s="24" t="inlineStr">
        <is>
          <t>deec3410f2a94b9b</t>
        </is>
      </c>
      <c r="B56" s="24" t="inlineStr">
        <is>
          <t>2026-07-21T08:42:01.532563Z</t>
        </is>
      </c>
      <c r="C56" s="24" t="inlineStr">
        <is>
          <t>2026-07-21T17:00:00Z</t>
        </is>
      </c>
      <c r="D56" s="24" t="inlineStr">
        <is>
          <t>57988</t>
        </is>
      </c>
      <c r="E56" s="24" t="inlineStr">
        <is>
          <t>CS2</t>
        </is>
      </c>
      <c r="F56" s="24" t="inlineStr">
        <is>
          <t>Just Players</t>
        </is>
      </c>
      <c r="G56" s="24" t="inlineStr">
        <is>
          <t>ex-RUSTEC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-117</v>
      </c>
      <c r="M56" s="27" t="n">
        <v>1.854701</v>
      </c>
      <c r="N56" s="28" t="n">
        <v>0.539171</v>
      </c>
      <c r="O56" s="28" t="n">
        <v>0.6339399999999999</v>
      </c>
      <c r="P56" s="28" t="n"/>
      <c r="Q56" s="28" t="n">
        <v>0.09394</v>
      </c>
      <c r="R56" s="26" t="n">
        <v>93</v>
      </c>
      <c r="S56" s="29" t="n">
        <v>1.75</v>
      </c>
      <c r="T56" s="24" t="inlineStr">
        <is>
          <t>cs2-neutral-series-elo-v1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0.5400 (aec-cs2-erx-jpu-2026-07-21).</t>
        </is>
      </c>
      <c r="AF56" s="31" t="inlineStr">
        <is>
          <t>Research baseline; zero-unit shadow until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Just Players</t>
        </is>
      </c>
      <c r="AQ56" s="24" t="inlineStr">
        <is>
          <t>Just Players</t>
        </is>
      </c>
      <c r="AR56" s="24" t="inlineStr">
        <is>
          <t>Just Players</t>
        </is>
      </c>
      <c r="AS56" s="24" t="inlineStr">
        <is>
          <t>ex-RUSTEC</t>
        </is>
      </c>
      <c r="AT56" s="24" t="inlineStr">
        <is>
          <t>ex-RUSTEC</t>
        </is>
      </c>
      <c r="AU56" s="24" t="inlineStr">
        <is>
          <t>ex-RUSTEC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9dbde86ab8062ac73a51c94b0ad431573ac8b755ccd742d86794849a749958c7</t>
        </is>
      </c>
      <c r="BB56" s="24" t="inlineStr">
        <is>
          <t>neutral_elo</t>
        </is>
      </c>
      <c r="BC56" s="24" t="inlineStr">
        <is>
          <t>cs2-neutral-series-elo-v1</t>
        </is>
      </c>
      <c r="BD56" s="24" t="inlineStr">
        <is>
          <t>9dbde86ab8062ac73a51c94b0ad431573ac8b755ccd742d86794849a749958c7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unknown</t>
        </is>
      </c>
      <c r="BH56" s="24" t="inlineStr">
        <is>
          <t>2026-07-21T08:42:01.532563Z</t>
        </is>
      </c>
      <c r="BI56" s="24" t="inlineStr">
        <is>
          <t>["same_event","same_team_same_day","same_league_same_day"]</t>
        </is>
      </c>
      <c r="BJ56" s="25" t="n"/>
      <c r="BK56" s="26" t="n">
        <v>-117</v>
      </c>
      <c r="BL56" s="27" t="n">
        <v>1.854701</v>
      </c>
      <c r="BM56" s="28" t="n">
        <v>0.539171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</row>
    <row r="57" ht="36" customHeight="1">
      <c r="A57" s="24" t="inlineStr">
        <is>
          <t>f174748546c44634</t>
        </is>
      </c>
      <c r="B57" s="24" t="inlineStr">
        <is>
          <t>2026-07-21T08:42:01.794019Z</t>
        </is>
      </c>
      <c r="C57" s="24" t="inlineStr">
        <is>
          <t>2026-07-21T17:30:00Z</t>
        </is>
      </c>
      <c r="D57" s="24" t="inlineStr">
        <is>
          <t>55178</t>
        </is>
      </c>
      <c r="E57" s="24" t="inlineStr">
        <is>
          <t>CS2</t>
        </is>
      </c>
      <c r="F57" s="24" t="inlineStr">
        <is>
          <t>Wildcard</t>
        </is>
      </c>
      <c r="G57" s="24" t="inlineStr">
        <is>
          <t>Alliance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-178</v>
      </c>
      <c r="M57" s="27" t="n">
        <v>1.561798</v>
      </c>
      <c r="N57" s="28" t="n">
        <v>0.640288</v>
      </c>
      <c r="O57" s="28" t="n">
        <v>0.715788</v>
      </c>
      <c r="P57" s="28" t="n"/>
      <c r="Q57" s="28" t="n">
        <v>0.07578799999999999</v>
      </c>
      <c r="R57" s="26" t="n">
        <v>75</v>
      </c>
      <c r="S57" s="29" t="n">
        <v>2</v>
      </c>
      <c r="T57" s="24" t="inlineStr">
        <is>
          <t>cs2-neutral-series-elo-v1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0.6400 (aec-cs2-all-wc-2026-07-21).</t>
        </is>
      </c>
      <c r="AF57" s="31" t="inlineStr">
        <is>
          <t>Research baseline; zero-unit shadow until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Wildcard</t>
        </is>
      </c>
      <c r="AQ57" s="24" t="inlineStr">
        <is>
          <t>Wildcard</t>
        </is>
      </c>
      <c r="AR57" s="24" t="inlineStr">
        <is>
          <t>Wildcard</t>
        </is>
      </c>
      <c r="AS57" s="24" t="inlineStr">
        <is>
          <t>Alliance</t>
        </is>
      </c>
      <c r="AT57" s="24" t="inlineStr">
        <is>
          <t>Alliance</t>
        </is>
      </c>
      <c r="AU57" s="24" t="inlineStr">
        <is>
          <t>Alliance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9dbde86ab8062ac73a51c94b0ad431573ac8b755ccd742d86794849a749958c7</t>
        </is>
      </c>
      <c r="BB57" s="24" t="inlineStr">
        <is>
          <t>neutral_elo</t>
        </is>
      </c>
      <c r="BC57" s="24" t="inlineStr">
        <is>
          <t>cs2-neutral-series-elo-v1</t>
        </is>
      </c>
      <c r="BD57" s="24" t="inlineStr">
        <is>
          <t>9dbde86ab8062ac73a51c94b0ad431573ac8b755ccd742d86794849a749958c7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unknown</t>
        </is>
      </c>
      <c r="BH57" s="24" t="inlineStr">
        <is>
          <t>2026-07-21T08:42:01.794019Z</t>
        </is>
      </c>
      <c r="BI57" s="24" t="inlineStr">
        <is>
          <t>["same_event","same_team_same_day","same_league_same_day"]</t>
        </is>
      </c>
      <c r="BJ57" s="25" t="n"/>
      <c r="BK57" s="26" t="n">
        <v>-178</v>
      </c>
      <c r="BL57" s="27" t="n">
        <v>1.561798</v>
      </c>
      <c r="BM57" s="28" t="n">
        <v>0.640288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</row>
    <row r="58" ht="36" customHeight="1">
      <c r="A58" s="24" t="inlineStr">
        <is>
          <t>9cccd398c3f94f4a</t>
        </is>
      </c>
      <c r="B58" s="24" t="inlineStr">
        <is>
          <t>2026-07-21T08:42:02.062138Z</t>
        </is>
      </c>
      <c r="C58" s="24" t="inlineStr">
        <is>
          <t>2026-07-21T19:00:00Z</t>
        </is>
      </c>
      <c r="D58" s="24" t="inlineStr">
        <is>
          <t>56760</t>
        </is>
      </c>
      <c r="E58" s="24" t="inlineStr">
        <is>
          <t>CS2</t>
        </is>
      </c>
      <c r="F58" s="24" t="inlineStr">
        <is>
          <t>ALKA GAMING</t>
        </is>
      </c>
      <c r="G58" s="24" t="inlineStr">
        <is>
          <t>Procyon Gaming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-133</v>
      </c>
      <c r="M58" s="27" t="n">
        <v>1.75188</v>
      </c>
      <c r="N58" s="28" t="n">
        <v>0.570815</v>
      </c>
      <c r="O58" s="28" t="n">
        <v>0.700612</v>
      </c>
      <c r="P58" s="28" t="n"/>
      <c r="Q58" s="28" t="n">
        <v>0.130612</v>
      </c>
      <c r="R58" s="26" t="n">
        <v>100</v>
      </c>
      <c r="S58" s="29" t="n">
        <v>2</v>
      </c>
      <c r="T58" s="24" t="inlineStr">
        <is>
          <t>cs2-neutral-series-elo-v1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0.5700 (aec-cs2-pcy-alka-2026-07-21).</t>
        </is>
      </c>
      <c r="AF58" s="31" t="inlineStr">
        <is>
          <t>Research baseline; zero-unit shadow until qualified.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ALKA GAMING</t>
        </is>
      </c>
      <c r="AQ58" s="24" t="inlineStr">
        <is>
          <t>ALKA GAMING</t>
        </is>
      </c>
      <c r="AR58" s="24" t="inlineStr">
        <is>
          <t>ALKA GAMING</t>
        </is>
      </c>
      <c r="AS58" s="24" t="inlineStr">
        <is>
          <t>Procyon Gaming</t>
        </is>
      </c>
      <c r="AT58" s="24" t="inlineStr">
        <is>
          <t>Procyon Gaming</t>
        </is>
      </c>
      <c r="AU58" s="24" t="inlineStr">
        <is>
          <t>Procyon Gaming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9dbde86ab8062ac73a51c94b0ad431573ac8b755ccd742d86794849a749958c7</t>
        </is>
      </c>
      <c r="BB58" s="24" t="inlineStr">
        <is>
          <t>neutral_elo</t>
        </is>
      </c>
      <c r="BC58" s="24" t="inlineStr">
        <is>
          <t>cs2-neutral-series-elo-v1</t>
        </is>
      </c>
      <c r="BD58" s="24" t="inlineStr">
        <is>
          <t>9dbde86ab8062ac73a51c94b0ad431573ac8b755ccd742d86794849a749958c7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unknown</t>
        </is>
      </c>
      <c r="BH58" s="24" t="inlineStr">
        <is>
          <t>2026-07-21T08:42:02.062138Z</t>
        </is>
      </c>
      <c r="BI58" s="24" t="inlineStr">
        <is>
          <t>["same_event","same_team_same_day","same_league_same_day"]</t>
        </is>
      </c>
      <c r="BJ58" s="25" t="n"/>
      <c r="BK58" s="26" t="n">
        <v>-133</v>
      </c>
      <c r="BL58" s="27" t="n">
        <v>1.75188</v>
      </c>
      <c r="BM58" s="28" t="n">
        <v>0.570815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</row>
    <row r="59" ht="36" customHeight="1">
      <c r="A59" s="24" t="inlineStr">
        <is>
          <t>746d294b25534956</t>
        </is>
      </c>
      <c r="B59" s="24" t="inlineStr">
        <is>
          <t>2026-07-21T08:42:02.337781Z</t>
        </is>
      </c>
      <c r="C59" s="24" t="inlineStr">
        <is>
          <t>2026-07-22T08:00:00Z</t>
        </is>
      </c>
      <c r="D59" s="24" t="inlineStr">
        <is>
          <t>57989</t>
        </is>
      </c>
      <c r="E59" s="24" t="inlineStr">
        <is>
          <t>CS2</t>
        </is>
      </c>
      <c r="F59" s="24" t="inlineStr">
        <is>
          <t>Rune Eaters</t>
        </is>
      </c>
      <c r="G59" s="24" t="inlineStr">
        <is>
          <t>Black Phoenix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138</v>
      </c>
      <c r="M59" s="27" t="n">
        <v>2.38</v>
      </c>
      <c r="N59" s="28" t="n">
        <v>0.420168</v>
      </c>
      <c r="O59" s="28" t="n">
        <v>0.629112</v>
      </c>
      <c r="P59" s="28" t="n"/>
      <c r="Q59" s="28" t="n">
        <v>0.209112</v>
      </c>
      <c r="R59" s="26" t="n">
        <v>100</v>
      </c>
      <c r="S59" s="29" t="n">
        <v>1.75</v>
      </c>
      <c r="T59" s="24" t="inlineStr">
        <is>
          <t>cs2-neutral-series-elo-v1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0.4200 (aec-cs2-bpl-re-2026-07-22).</t>
        </is>
      </c>
      <c r="AF59" s="31" t="inlineStr">
        <is>
          <t>Research baseline; zero-unit shadow until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Rune Eaters</t>
        </is>
      </c>
      <c r="AQ59" s="24" t="inlineStr">
        <is>
          <t>Rune Eaters</t>
        </is>
      </c>
      <c r="AR59" s="24" t="inlineStr">
        <is>
          <t>Rune Eaters</t>
        </is>
      </c>
      <c r="AS59" s="24" t="inlineStr">
        <is>
          <t>Black Phoenix</t>
        </is>
      </c>
      <c r="AT59" s="24" t="inlineStr">
        <is>
          <t>Black Phoenix</t>
        </is>
      </c>
      <c r="AU59" s="24" t="inlineStr">
        <is>
          <t>Black Phoenix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9dbde86ab8062ac73a51c94b0ad431573ac8b755ccd742d86794849a749958c7</t>
        </is>
      </c>
      <c r="BB59" s="24" t="inlineStr">
        <is>
          <t>neutral_elo</t>
        </is>
      </c>
      <c r="BC59" s="24" t="inlineStr">
        <is>
          <t>cs2-neutral-series-elo-v1</t>
        </is>
      </c>
      <c r="BD59" s="24" t="inlineStr">
        <is>
          <t>9dbde86ab8062ac73a51c94b0ad431573ac8b755ccd742d86794849a749958c7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unknown</t>
        </is>
      </c>
      <c r="BH59" s="24" t="inlineStr">
        <is>
          <t>2026-07-21T08:42:02.337781Z</t>
        </is>
      </c>
      <c r="BI59" s="24" t="inlineStr">
        <is>
          <t>["same_event","same_team_same_day","same_league_same_day"]</t>
        </is>
      </c>
      <c r="BJ59" s="25" t="n"/>
      <c r="BK59" s="26" t="n">
        <v>138</v>
      </c>
      <c r="BL59" s="27" t="n">
        <v>2.38</v>
      </c>
      <c r="BM59" s="28" t="n">
        <v>0.420168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2026-07-21T08:42:02Z</dcterms:created>
  <dcterms:modified xsi:type="dcterms:W3CDTF">2026-07-21T08:42:02Z</dcterms:modified>
</cp:coreProperties>
</file>