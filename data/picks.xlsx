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83" headerRowCount="1">
  <autoFilter ref="A1:CM83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COUNTA('Picks'!$A$2:$A$83)</f>
        <v/>
      </c>
      <c r="C4" s="6">
        <f>COUNTIF('Picks'!$U$2:$U$83,"open")</f>
        <v/>
      </c>
      <c r="E4" s="6">
        <f>COUNTIF('Picks'!$U$2:$U$83,"settled")</f>
        <v/>
      </c>
      <c r="G4" s="6">
        <f>IF(COUNTIFS('Picks'!$U$2:$U$83,"settled",'Picks'!$V$2:$V$83,"win")+COUNTIFS('Picks'!$U$2:$U$83,"settled",'Picks'!$V$2:$V$83,"loss")&gt;=$L$2,"Ready","Insufficient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COUNTIF('Picks'!$BX$2:$BX$83,"&gt;0")</f>
        <v/>
      </c>
      <c r="C7" s="6">
        <f>COUNTIFS('Picks'!$BX$2:$BX$83,"&gt;0",'Picks'!$V$2:$V$83,"win")&amp;"-"&amp;COUNTIFS('Picks'!$BX$2:$BX$83,"&gt;0",'Picks'!$V$2:$V$83,"loss")</f>
        <v/>
      </c>
      <c r="E7" s="7">
        <f>IFERROR(COUNTIFS('Picks'!$BX$2:$BX$83,"&gt;0",'Picks'!$V$2:$V$83,"win")/(COUNTIFS('Picks'!$BX$2:$BX$83,"&gt;0",'Picks'!$V$2:$V$83,"win")+COUNTIFS('Picks'!$BX$2:$BX$83,"&gt;0",'Picks'!$V$2:$V$83,"loss")),0)</f>
        <v/>
      </c>
      <c r="G7" s="7">
        <f>IFERROR(SUM('Picks'!$BY$2:$BY$83)/SUM('Picks'!$BX$2:$BX$83),0)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SUM('Picks'!$BY$2:$BY$83)</f>
        <v/>
      </c>
      <c r="C10" s="9">
        <f>IFERROR(AVERAGEIF('Picks'!$AB$2:$AB$83,"&lt;&gt;",'Picks'!$AB$2:$AB$83),0)</f>
        <v/>
      </c>
      <c r="E10" s="6">
        <f>COUNTIFS('Picks'!$AM$2:$AM$83,"QUALIFIED_SHADOW_CALL",'Picks'!$U$2:$U$83,"settled")</f>
        <v/>
      </c>
      <c r="G10" s="8">
        <f>SUMIFS('Picks'!$AC$2:$AC$83,'Picks'!$AM$2:$AM$83,"QUALIFIED_SHADOW_CALL")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COUNTIFS('Picks'!$H$2:$H$83,$A14,'Picks'!$U$2:$U$83,"settled")</f>
        <v/>
      </c>
      <c r="C14" s="13">
        <f>COUNTIFS('Picks'!$H$2:$H$83,$A14,'Picks'!$U$2:$U$83,"settled",'Picks'!$V$2:$V$83,"win")</f>
        <v/>
      </c>
      <c r="D14" s="13">
        <f>COUNTIFS('Picks'!$H$2:$H$83,$A14,'Picks'!$U$2:$U$83,"settled",'Picks'!$V$2:$V$83,"loss")</f>
        <v/>
      </c>
      <c r="E14" s="14">
        <f>IFERROR(C14/(C14+D14),0)</f>
        <v/>
      </c>
      <c r="F14" s="15">
        <f>SUMIFS('Picks'!$BY$2:$BY$83,'Picks'!$H$2:$H$83,$A14)</f>
        <v/>
      </c>
      <c r="G14" s="16">
        <f>IFERROR(AVERAGEIFS('Picks'!$AB$2:$AB$83,'Picks'!$H$2:$H$83,$A14,'Picks'!$U$2:$U$83,"settled"),0)</f>
        <v/>
      </c>
    </row>
    <row r="15">
      <c r="A15" s="17" t="inlineStr">
        <is>
          <t>spread</t>
        </is>
      </c>
      <c r="B15" s="18">
        <f>COUNTIFS('Picks'!$H$2:$H$83,$A15,'Picks'!$U$2:$U$83,"settled")</f>
        <v/>
      </c>
      <c r="C15" s="18">
        <f>COUNTIFS('Picks'!$H$2:$H$83,$A15,'Picks'!$U$2:$U$83,"settled",'Picks'!$V$2:$V$83,"win")</f>
        <v/>
      </c>
      <c r="D15" s="18">
        <f>COUNTIFS('Picks'!$H$2:$H$83,$A15,'Picks'!$U$2:$U$83,"settled",'Picks'!$V$2:$V$83,"loss")</f>
        <v/>
      </c>
      <c r="E15" s="19">
        <f>IFERROR(C15/(C15+D15),0)</f>
        <v/>
      </c>
      <c r="F15" s="20">
        <f>SUMIFS('Picks'!$BY$2:$BY$83,'Picks'!$H$2:$H$83,$A15)</f>
        <v/>
      </c>
      <c r="G15" s="21">
        <f>IFERROR(AVERAGEIFS('Picks'!$AB$2:$AB$83,'Picks'!$H$2:$H$83,$A15,'Picks'!$U$2:$U$83,"settled"),0)</f>
        <v/>
      </c>
    </row>
    <row r="16">
      <c r="A16" s="12" t="inlineStr">
        <is>
          <t>total</t>
        </is>
      </c>
      <c r="B16" s="13">
        <f>COUNTIFS('Picks'!$H$2:$H$83,$A16,'Picks'!$U$2:$U$83,"settled")</f>
        <v/>
      </c>
      <c r="C16" s="13">
        <f>COUNTIFS('Picks'!$H$2:$H$83,$A16,'Picks'!$U$2:$U$83,"settled",'Picks'!$V$2:$V$83,"win")</f>
        <v/>
      </c>
      <c r="D16" s="13">
        <f>COUNTIFS('Picks'!$H$2:$H$83,$A16,'Picks'!$U$2:$U$83,"settled",'Picks'!$V$2:$V$83,"loss")</f>
        <v/>
      </c>
      <c r="E16" s="14">
        <f>IFERROR(C16/(C16+D16),0)</f>
        <v/>
      </c>
      <c r="F16" s="15">
        <f>SUMIFS('Picks'!$BY$2:$BY$83,'Picks'!$H$2:$H$83,$A16)</f>
        <v/>
      </c>
      <c r="G16" s="16">
        <f>IFERROR(AVERAGEIFS('Picks'!$AB$2:$AB$83,'Picks'!$H$2:$H$83,$A16,'Picks'!$U$2:$U$83,"settled"),0)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18" customHeight="1">
      <c r="A2" s="24" t="inlineStr">
        <is>
          <t>7e75d473af19455b</t>
        </is>
      </c>
      <c r="B2" s="24" t="inlineStr">
        <is>
          <t>2026-07-22T22:42:56Z</t>
        </is>
      </c>
      <c r="C2" s="24" t="inlineStr">
        <is>
          <t>2026-07-17T23:40Z</t>
        </is>
      </c>
      <c r="D2" s="24" t="inlineStr">
        <is>
          <t>401816148</t>
        </is>
      </c>
      <c r="E2" s="24" t="inlineStr">
        <is>
          <t>MLB</t>
        </is>
      </c>
      <c r="F2" s="24" t="inlineStr">
        <is>
          <t>Miami Marlins</t>
        </is>
      </c>
      <c r="G2" s="24" t="inlineStr">
        <is>
          <t>Milwaukee Brewers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-110</v>
      </c>
      <c r="M2" s="27" t="n">
        <v>1.909091</v>
      </c>
      <c r="N2" s="28" t="n">
        <v>0.52381</v>
      </c>
      <c r="O2" s="28" t="n">
        <v>0.661872</v>
      </c>
      <c r="P2" s="28" t="n">
        <v>0.05</v>
      </c>
      <c r="Q2" s="28" t="n">
        <v>0.138062</v>
      </c>
      <c r="R2" s="26" t="n">
        <v>89</v>
      </c>
      <c r="S2" s="29" t="n">
        <v>2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2</v>
      </c>
      <c r="Y2" s="25" t="n"/>
      <c r="Z2" s="26" t="n">
        <v>-110</v>
      </c>
      <c r="AA2" s="28" t="n">
        <v>0.523834</v>
      </c>
      <c r="AB2" s="28" t="n"/>
      <c r="AC2" s="30" t="n">
        <v>1.818</v>
      </c>
      <c r="AD2" s="24" t="inlineStr">
        <is>
          <t>2026-07-22T23:44:22Z</t>
        </is>
      </c>
      <c r="AE2" s="31" t="n"/>
      <c r="AF2" s="31" t="n"/>
      <c r="AG2" s="24" t="n"/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identity</t>
        </is>
      </c>
      <c r="BC2" s="24" t="inlineStr">
        <is>
          <t>identity-v1</t>
        </is>
      </c>
      <c r="BD2" s="24" t="n"/>
      <c r="BE2" s="24" t="inlineStr">
        <is>
          <t>1</t>
        </is>
      </c>
      <c r="BF2" s="24" t="inlineStr">
        <is>
          <t>1</t>
        </is>
      </c>
      <c r="BG2" s="24" t="n"/>
      <c r="BH2" s="24" t="inlineStr">
        <is>
          <t>2026-07-22T22:42:56Z</t>
        </is>
      </c>
      <c r="BI2" s="24" t="n"/>
      <c r="BJ2" s="25" t="n"/>
      <c r="BK2" s="26" t="n">
        <v>-110</v>
      </c>
      <c r="BL2" s="27" t="n">
        <v>1.909</v>
      </c>
      <c r="BM2" s="28" t="n">
        <v>0.523834</v>
      </c>
      <c r="BN2" s="28" t="n">
        <v>0.523834</v>
      </c>
      <c r="BO2" s="28" t="n">
        <v>0.523834</v>
      </c>
      <c r="BP2" s="25" t="n"/>
      <c r="BQ2" s="27" t="n">
        <v>1.909</v>
      </c>
      <c r="BR2" s="28" t="n"/>
      <c r="BS2" s="28" t="n"/>
      <c r="BT2" s="28" t="n"/>
      <c r="BU2" s="25" t="n"/>
      <c r="BV2" s="29" t="n">
        <v>2</v>
      </c>
      <c r="BW2" s="24" t="n"/>
      <c r="BX2" s="30" t="n"/>
      <c r="BY2" s="27" t="n"/>
      <c r="BZ2" s="24" t="n"/>
      <c r="CA2" s="31" t="n"/>
      <c r="CB2" s="24" t="n"/>
      <c r="CC2" s="24" t="inlineStr">
        <is>
          <t>0.632316</t>
        </is>
      </c>
      <c r="CD2" s="24" t="inlineStr">
        <is>
          <t>0.356445</t>
        </is>
      </c>
      <c r="CE2" s="24" t="inlineStr">
        <is>
          <t>0.98</t>
        </is>
      </c>
      <c r="CF2" s="24" t="inlineStr">
        <is>
          <t>1.0</t>
        </is>
      </c>
      <c r="CG2" s="24" t="inlineStr">
        <is>
          <t>3.4</t>
        </is>
      </c>
      <c r="CH2" s="24" t="n"/>
      <c r="CI2" s="24" t="n"/>
      <c r="CJ2" s="24" t="n"/>
      <c r="CK2" s="24" t="n"/>
      <c r="CL2" s="24" t="n"/>
      <c r="CM2" s="24" t="n"/>
    </row>
    <row r="3" ht="18" customHeight="1">
      <c r="A3" s="24" t="inlineStr">
        <is>
          <t>3300fd7cef0c40e4</t>
        </is>
      </c>
      <c r="B3" s="24" t="inlineStr">
        <is>
          <t>2026-07-22T22:42:56Z</t>
        </is>
      </c>
      <c r="C3" s="24" t="inlineStr">
        <is>
          <t>2026-07-18T00:05Z</t>
        </is>
      </c>
      <c r="D3" s="24" t="inlineStr">
        <is>
          <t>401816149</t>
        </is>
      </c>
      <c r="E3" s="24" t="inlineStr">
        <is>
          <t>MLB</t>
        </is>
      </c>
      <c r="F3" s="24" t="inlineStr">
        <is>
          <t>Minnesota Twins</t>
        </is>
      </c>
      <c r="G3" s="24" t="inlineStr">
        <is>
          <t>Chicago Cubs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-110</v>
      </c>
      <c r="M3" s="27" t="n">
        <v>1.909091</v>
      </c>
      <c r="N3" s="28" t="n">
        <v>0.52381</v>
      </c>
      <c r="O3" s="28" t="n">
        <v>0.597579</v>
      </c>
      <c r="P3" s="28" t="n">
        <v>0.05</v>
      </c>
      <c r="Q3" s="28" t="n">
        <v>0.073769</v>
      </c>
      <c r="R3" s="26" t="n">
        <v>57</v>
      </c>
      <c r="S3" s="29" t="n">
        <v>1.5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6</v>
      </c>
      <c r="Y3" s="25" t="n"/>
      <c r="Z3" s="26" t="n">
        <v>-110</v>
      </c>
      <c r="AA3" s="28" t="n">
        <v>0.523834</v>
      </c>
      <c r="AB3" s="28" t="n"/>
      <c r="AC3" s="30" t="n">
        <v>1.3635</v>
      </c>
      <c r="AD3" s="24" t="inlineStr">
        <is>
          <t>2026-07-22T23:44:22Z</t>
        </is>
      </c>
      <c r="AE3" s="31" t="n"/>
      <c r="AF3" s="31" t="n"/>
      <c r="AG3" s="24" t="n"/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QUALIFIED_RETROACTIVE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identity</t>
        </is>
      </c>
      <c r="BC3" s="24" t="inlineStr">
        <is>
          <t>identity-v1</t>
        </is>
      </c>
      <c r="BD3" s="24" t="n"/>
      <c r="BE3" s="24" t="inlineStr">
        <is>
          <t>1</t>
        </is>
      </c>
      <c r="BF3" s="24" t="inlineStr">
        <is>
          <t>1</t>
        </is>
      </c>
      <c r="BG3" s="24" t="n"/>
      <c r="BH3" s="24" t="inlineStr">
        <is>
          <t>2026-07-22T22:42:56Z</t>
        </is>
      </c>
      <c r="BI3" s="24" t="n"/>
      <c r="BJ3" s="25" t="n"/>
      <c r="BK3" s="26" t="n">
        <v>-110</v>
      </c>
      <c r="BL3" s="27" t="n">
        <v>1.909</v>
      </c>
      <c r="BM3" s="28" t="n">
        <v>0.523834</v>
      </c>
      <c r="BN3" s="28" t="n">
        <v>0.523834</v>
      </c>
      <c r="BO3" s="28" t="n">
        <v>0.523834</v>
      </c>
      <c r="BP3" s="25" t="n"/>
      <c r="BQ3" s="27" t="n">
        <v>1.909</v>
      </c>
      <c r="BR3" s="28" t="n"/>
      <c r="BS3" s="28" t="n"/>
      <c r="BT3" s="28" t="n"/>
      <c r="BU3" s="25" t="n"/>
      <c r="BV3" s="29" t="n">
        <v>1.59</v>
      </c>
      <c r="BW3" s="24" t="n"/>
      <c r="BX3" s="30" t="n"/>
      <c r="BY3" s="27" t="n"/>
      <c r="BZ3" s="24" t="n"/>
      <c r="CA3" s="31" t="n"/>
      <c r="CB3" s="24" t="n"/>
      <c r="CC3" s="24" t="inlineStr">
        <is>
          <t>0.624392</t>
        </is>
      </c>
      <c r="CD3" s="24" t="inlineStr">
        <is>
          <t>0.696168</t>
        </is>
      </c>
      <c r="CE3" s="24" t="inlineStr">
        <is>
          <t>1.0</t>
        </is>
      </c>
      <c r="CF3" s="24" t="inlineStr">
        <is>
          <t>1.0004</t>
        </is>
      </c>
      <c r="CG3" s="24" t="inlineStr">
        <is>
          <t>0.4</t>
        </is>
      </c>
      <c r="CH3" s="24" t="n"/>
      <c r="CI3" s="24" t="n"/>
      <c r="CJ3" s="24" t="n"/>
      <c r="CK3" s="24" t="n"/>
      <c r="CL3" s="24" t="n"/>
      <c r="CM3" s="24" t="n"/>
    </row>
    <row r="4" ht="18" customHeight="1">
      <c r="A4" s="24" t="inlineStr">
        <is>
          <t>525b0a1380a24628</t>
        </is>
      </c>
      <c r="B4" s="24" t="inlineStr">
        <is>
          <t>2026-07-22T22:42:56Z</t>
        </is>
      </c>
      <c r="C4" s="24" t="inlineStr">
        <is>
          <t>2026-07-18T02:10Z</t>
        </is>
      </c>
      <c r="D4" s="24" t="inlineStr">
        <is>
          <t>401816153</t>
        </is>
      </c>
      <c r="E4" s="24" t="inlineStr">
        <is>
          <t>MLB</t>
        </is>
      </c>
      <c r="F4" s="24" t="inlineStr">
        <is>
          <t>San Francisco Giants</t>
        </is>
      </c>
      <c r="G4" s="24" t="inlineStr">
        <is>
          <t>Seattle Mariners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-110</v>
      </c>
      <c r="M4" s="27" t="n">
        <v>1.909091</v>
      </c>
      <c r="N4" s="28" t="n">
        <v>0.52381</v>
      </c>
      <c r="O4" s="28" t="n">
        <v>0.603011</v>
      </c>
      <c r="P4" s="28" t="n">
        <v>0.05</v>
      </c>
      <c r="Q4" s="28" t="n">
        <v>0.07920099999999999</v>
      </c>
      <c r="R4" s="26" t="n">
        <v>60</v>
      </c>
      <c r="S4" s="29" t="n">
        <v>1.5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>
        <v>-110</v>
      </c>
      <c r="AA4" s="28" t="n">
        <v>0.523834</v>
      </c>
      <c r="AB4" s="28" t="n"/>
      <c r="AC4" s="30" t="n">
        <v>1.3635</v>
      </c>
      <c r="AD4" s="24" t="inlineStr">
        <is>
          <t>2026-07-22T23:44:22Z</t>
        </is>
      </c>
      <c r="AE4" s="31" t="n"/>
      <c r="AF4" s="31" t="n"/>
      <c r="AG4" s="24" t="n"/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QUALIFIED_RETROACTIVE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identity</t>
        </is>
      </c>
      <c r="BC4" s="24" t="inlineStr">
        <is>
          <t>identity-v1</t>
        </is>
      </c>
      <c r="BD4" s="24" t="n"/>
      <c r="BE4" s="24" t="inlineStr">
        <is>
          <t>1</t>
        </is>
      </c>
      <c r="BF4" s="24" t="inlineStr">
        <is>
          <t>1</t>
        </is>
      </c>
      <c r="BG4" s="24" t="n"/>
      <c r="BH4" s="24" t="inlineStr">
        <is>
          <t>2026-07-22T22:42:56Z</t>
        </is>
      </c>
      <c r="BI4" s="24" t="n"/>
      <c r="BJ4" s="25" t="n"/>
      <c r="BK4" s="26" t="n">
        <v>-110</v>
      </c>
      <c r="BL4" s="27" t="n">
        <v>1.909</v>
      </c>
      <c r="BM4" s="28" t="n">
        <v>0.523834</v>
      </c>
      <c r="BN4" s="28" t="n">
        <v>0.523834</v>
      </c>
      <c r="BO4" s="28" t="n">
        <v>0.523834</v>
      </c>
      <c r="BP4" s="25" t="n"/>
      <c r="BQ4" s="27" t="n">
        <v>1.909</v>
      </c>
      <c r="BR4" s="28" t="n"/>
      <c r="BS4" s="28" t="n"/>
      <c r="BT4" s="28" t="n"/>
      <c r="BU4" s="25" t="n"/>
      <c r="BV4" s="29" t="n">
        <v>1.58</v>
      </c>
      <c r="BW4" s="24" t="n"/>
      <c r="BX4" s="30" t="n"/>
      <c r="BY4" s="27" t="n"/>
      <c r="BZ4" s="24" t="n"/>
      <c r="CA4" s="31" t="n"/>
      <c r="CB4" s="24" t="n"/>
      <c r="CC4" s="24" t="inlineStr">
        <is>
          <t>0.594036</t>
        </is>
      </c>
      <c r="CD4" s="24" t="inlineStr">
        <is>
          <t>0.843822</t>
        </is>
      </c>
      <c r="CE4" s="24" t="inlineStr">
        <is>
          <t>0.92</t>
        </is>
      </c>
      <c r="CF4" s="24" t="inlineStr">
        <is>
          <t>1.0</t>
        </is>
      </c>
      <c r="CG4" s="24" t="inlineStr">
        <is>
          <t>1.2</t>
        </is>
      </c>
      <c r="CH4" s="24" t="n"/>
      <c r="CI4" s="24" t="n"/>
      <c r="CJ4" s="24" t="n"/>
      <c r="CK4" s="24" t="n"/>
      <c r="CL4" s="24" t="n"/>
      <c r="CM4" s="24" t="n"/>
    </row>
    <row r="5" ht="18" customHeight="1">
      <c r="A5" s="24" t="inlineStr">
        <is>
          <t>0a24f3923565422e</t>
        </is>
      </c>
      <c r="B5" s="24" t="inlineStr">
        <is>
          <t>2026-07-22T22:42:56Z</t>
        </is>
      </c>
      <c r="C5" s="24" t="inlineStr">
        <is>
          <t>2026-07-18T18:20Z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-110</v>
      </c>
      <c r="M5" s="27" t="n">
        <v>1.909091</v>
      </c>
      <c r="N5" s="28" t="n">
        <v>0.52381</v>
      </c>
      <c r="O5" s="28" t="n">
        <v>0.610546</v>
      </c>
      <c r="P5" s="28" t="n">
        <v>0.05</v>
      </c>
      <c r="Q5" s="28" t="n">
        <v>0.08673699999999999</v>
      </c>
      <c r="R5" s="26" t="n">
        <v>63</v>
      </c>
      <c r="S5" s="29" t="n">
        <v>1.5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1.3635</v>
      </c>
      <c r="AD5" s="24" t="inlineStr">
        <is>
          <t>2026-07-22T23:40:11.530383Z</t>
        </is>
      </c>
      <c r="AE5" s="31" t="n"/>
      <c r="AF5" s="31" t="n"/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QUALIFIED_RETROACTIVE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identity</t>
        </is>
      </c>
      <c r="BC5" s="24" t="inlineStr">
        <is>
          <t>identity-v1</t>
        </is>
      </c>
      <c r="BD5" s="24" t="n"/>
      <c r="BE5" s="24" t="inlineStr">
        <is>
          <t>1</t>
        </is>
      </c>
      <c r="BF5" s="24" t="inlineStr">
        <is>
          <t>1</t>
        </is>
      </c>
      <c r="BG5" s="24" t="n"/>
      <c r="BH5" s="24" t="inlineStr">
        <is>
          <t>2026-07-22T22:42:56Z</t>
        </is>
      </c>
      <c r="BI5" s="24" t="n"/>
      <c r="BJ5" s="25" t="n"/>
      <c r="BK5" s="26" t="n">
        <v>-110</v>
      </c>
      <c r="BL5" s="27" t="n">
        <v>1.909</v>
      </c>
      <c r="BM5" s="28" t="n">
        <v>0.523834</v>
      </c>
      <c r="BN5" s="28" t="n">
        <v>0.523834</v>
      </c>
      <c r="BO5" s="28" t="n">
        <v>0.523834</v>
      </c>
      <c r="BP5" s="25" t="n"/>
      <c r="BQ5" s="27" t="n"/>
      <c r="BR5" s="28" t="n"/>
      <c r="BS5" s="28" t="n"/>
      <c r="BT5" s="28" t="n"/>
      <c r="BU5" s="25" t="n"/>
      <c r="BV5" s="29" t="n">
        <v>1.58</v>
      </c>
      <c r="BW5" s="24" t="n"/>
      <c r="BX5" s="30" t="n"/>
      <c r="BY5" s="27" t="n"/>
      <c r="BZ5" s="24" t="n"/>
      <c r="CA5" s="31" t="n"/>
      <c r="CB5" s="24" t="n"/>
      <c r="CC5" s="24" t="inlineStr">
        <is>
          <t>0.614603</t>
        </is>
      </c>
      <c r="CD5" s="24" t="inlineStr">
        <is>
          <t>-0.109187</t>
        </is>
      </c>
      <c r="CE5" s="24" t="inlineStr">
        <is>
          <t>1.0</t>
        </is>
      </c>
      <c r="CF5" s="24" t="inlineStr">
        <is>
          <t>1.0004</t>
        </is>
      </c>
      <c r="CG5" s="24" t="inlineStr">
        <is>
          <t>0.6</t>
        </is>
      </c>
      <c r="CH5" s="24" t="n"/>
      <c r="CI5" s="24" t="n"/>
      <c r="CJ5" s="24" t="n"/>
      <c r="CK5" s="24" t="n"/>
      <c r="CL5" s="24" t="n"/>
      <c r="CM5" s="24" t="n"/>
    </row>
    <row r="6" ht="18" customHeight="1">
      <c r="A6" s="24" t="inlineStr">
        <is>
          <t>d63e516398b143c6</t>
        </is>
      </c>
      <c r="B6" s="24" t="inlineStr">
        <is>
          <t>2026-07-22T22:42:56Z</t>
        </is>
      </c>
      <c r="C6" s="24" t="inlineStr">
        <is>
          <t>2026-07-18T19:05Z</t>
        </is>
      </c>
      <c r="D6" s="24" t="inlineStr">
        <is>
          <t>401816158</t>
        </is>
      </c>
      <c r="E6" s="24" t="inlineStr">
        <is>
          <t>MLB</t>
        </is>
      </c>
      <c r="F6" s="24" t="inlineStr">
        <is>
          <t>New York Mets</t>
        </is>
      </c>
      <c r="G6" s="24" t="inlineStr">
        <is>
          <t>Philadelphia Phillies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-110</v>
      </c>
      <c r="M6" s="27" t="n">
        <v>1.909091</v>
      </c>
      <c r="N6" s="28" t="n">
        <v>0.52381</v>
      </c>
      <c r="O6" s="28" t="n">
        <v>0.63014</v>
      </c>
      <c r="P6" s="28" t="n">
        <v>0.05</v>
      </c>
      <c r="Q6" s="28" t="n">
        <v>0.106331</v>
      </c>
      <c r="R6" s="26" t="n">
        <v>73</v>
      </c>
      <c r="S6" s="29" t="n">
        <v>1.75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6</v>
      </c>
      <c r="Y6" s="25" t="n"/>
      <c r="Z6" s="26" t="n"/>
      <c r="AA6" s="28" t="n"/>
      <c r="AB6" s="28" t="n"/>
      <c r="AC6" s="30" t="n">
        <v>1.5908</v>
      </c>
      <c r="AD6" s="24" t="inlineStr">
        <is>
          <t>2026-07-22T23:40:12.219751Z</t>
        </is>
      </c>
      <c r="AE6" s="31" t="n"/>
      <c r="AF6" s="31" t="n"/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QUALIFIED_RETROACTIVE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identity</t>
        </is>
      </c>
      <c r="BC6" s="24" t="inlineStr">
        <is>
          <t>identity-v1</t>
        </is>
      </c>
      <c r="BD6" s="24" t="n"/>
      <c r="BE6" s="24" t="inlineStr">
        <is>
          <t>1</t>
        </is>
      </c>
      <c r="BF6" s="24" t="inlineStr">
        <is>
          <t>1</t>
        </is>
      </c>
      <c r="BG6" s="24" t="n"/>
      <c r="BH6" s="24" t="inlineStr">
        <is>
          <t>2026-07-22T22:42:56Z</t>
        </is>
      </c>
      <c r="BI6" s="24" t="n"/>
      <c r="BJ6" s="25" t="n"/>
      <c r="BK6" s="26" t="n">
        <v>-110</v>
      </c>
      <c r="BL6" s="27" t="n">
        <v>1.909</v>
      </c>
      <c r="BM6" s="28" t="n">
        <v>0.523834</v>
      </c>
      <c r="BN6" s="28" t="n">
        <v>0.523834</v>
      </c>
      <c r="BO6" s="28" t="n">
        <v>0.523834</v>
      </c>
      <c r="BP6" s="25" t="n"/>
      <c r="BQ6" s="27" t="n"/>
      <c r="BR6" s="28" t="n"/>
      <c r="BS6" s="28" t="n"/>
      <c r="BT6" s="28" t="n"/>
      <c r="BU6" s="25" t="n"/>
      <c r="BV6" s="29" t="n">
        <v>1.83</v>
      </c>
      <c r="BW6" s="24" t="n"/>
      <c r="BX6" s="30" t="n"/>
      <c r="BY6" s="27" t="n"/>
      <c r="BZ6" s="24" t="n"/>
      <c r="CA6" s="31" t="n"/>
      <c r="CB6" s="24" t="n"/>
      <c r="CC6" s="24" t="inlineStr">
        <is>
          <t>0.630826</t>
        </is>
      </c>
      <c r="CD6" s="24" t="inlineStr">
        <is>
          <t>-0.299369</t>
        </is>
      </c>
      <c r="CE6" s="24" t="inlineStr">
        <is>
          <t>1.01</t>
        </is>
      </c>
      <c r="CF6" s="24" t="inlineStr">
        <is>
          <t>1.0126</t>
        </is>
      </c>
      <c r="CG6" s="24" t="inlineStr">
        <is>
          <t>1.0</t>
        </is>
      </c>
      <c r="CH6" s="24" t="n"/>
      <c r="CI6" s="24" t="n"/>
      <c r="CJ6" s="24" t="n"/>
      <c r="CK6" s="24" t="n"/>
      <c r="CL6" s="24" t="n"/>
      <c r="CM6" s="24" t="n"/>
    </row>
    <row r="7" ht="18" customHeight="1">
      <c r="A7" s="24" t="inlineStr">
        <is>
          <t>a40237e6d3f74334</t>
        </is>
      </c>
      <c r="B7" s="24" t="inlineStr">
        <is>
          <t>2026-07-22T22:42:56Z</t>
        </is>
      </c>
      <c r="C7" s="24" t="inlineStr">
        <is>
          <t>2026-07-18T20:10Z</t>
        </is>
      </c>
      <c r="D7" s="24" t="inlineStr">
        <is>
          <t>401816163</t>
        </is>
      </c>
      <c r="E7" s="24" t="inlineStr">
        <is>
          <t>MLB</t>
        </is>
      </c>
      <c r="F7" s="24" t="inlineStr">
        <is>
          <t>Miami Marlins</t>
        </is>
      </c>
      <c r="G7" s="24" t="inlineStr">
        <is>
          <t>Milwaukee Brewers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-110</v>
      </c>
      <c r="M7" s="27" t="n">
        <v>1.909091</v>
      </c>
      <c r="N7" s="28" t="n">
        <v>0.52381</v>
      </c>
      <c r="O7" s="28" t="n">
        <v>0.64599</v>
      </c>
      <c r="P7" s="28" t="n">
        <v>0.05</v>
      </c>
      <c r="Q7" s="28" t="n">
        <v>0.12218</v>
      </c>
      <c r="R7" s="26" t="n">
        <v>81</v>
      </c>
      <c r="S7" s="29" t="n">
        <v>2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6</v>
      </c>
      <c r="X7" s="26" t="n">
        <v>8</v>
      </c>
      <c r="Y7" s="25" t="n"/>
      <c r="Z7" s="26" t="n">
        <v>-110</v>
      </c>
      <c r="AA7" s="28" t="n">
        <v>0.523834</v>
      </c>
      <c r="AB7" s="28" t="n"/>
      <c r="AC7" s="30" t="n">
        <v>1.818</v>
      </c>
      <c r="AD7" s="24" t="inlineStr">
        <is>
          <t>2026-07-22T23:44:22Z</t>
        </is>
      </c>
      <c r="AE7" s="31" t="n"/>
      <c r="AF7" s="31" t="n"/>
      <c r="AG7" s="24" t="n"/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QUALIFIED_RETROACTIVE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identity</t>
        </is>
      </c>
      <c r="BC7" s="24" t="inlineStr">
        <is>
          <t>identity-v1</t>
        </is>
      </c>
      <c r="BD7" s="24" t="n"/>
      <c r="BE7" s="24" t="inlineStr">
        <is>
          <t>1</t>
        </is>
      </c>
      <c r="BF7" s="24" t="inlineStr">
        <is>
          <t>1</t>
        </is>
      </c>
      <c r="BG7" s="24" t="n"/>
      <c r="BH7" s="24" t="inlineStr">
        <is>
          <t>2026-07-22T22:42:56Z</t>
        </is>
      </c>
      <c r="BI7" s="24" t="n"/>
      <c r="BJ7" s="25" t="n"/>
      <c r="BK7" s="26" t="n">
        <v>-110</v>
      </c>
      <c r="BL7" s="27" t="n">
        <v>1.909</v>
      </c>
      <c r="BM7" s="28" t="n">
        <v>0.523834</v>
      </c>
      <c r="BN7" s="28" t="n">
        <v>0.523834</v>
      </c>
      <c r="BO7" s="28" t="n">
        <v>0.523834</v>
      </c>
      <c r="BP7" s="25" t="n"/>
      <c r="BQ7" s="27" t="n">
        <v>1.909</v>
      </c>
      <c r="BR7" s="28" t="n"/>
      <c r="BS7" s="28" t="n"/>
      <c r="BT7" s="28" t="n"/>
      <c r="BU7" s="25" t="n"/>
      <c r="BV7" s="29" t="n">
        <v>2</v>
      </c>
      <c r="BW7" s="24" t="n"/>
      <c r="BX7" s="30" t="n"/>
      <c r="BY7" s="27" t="n"/>
      <c r="BZ7" s="24" t="n"/>
      <c r="CA7" s="31" t="n"/>
      <c r="CB7" s="24" t="n"/>
      <c r="CC7" s="24" t="inlineStr">
        <is>
          <t>0.634929</t>
        </is>
      </c>
      <c r="CD7" s="24" t="inlineStr">
        <is>
          <t>0.353542</t>
        </is>
      </c>
      <c r="CE7" s="24" t="inlineStr">
        <is>
          <t>0.98</t>
        </is>
      </c>
      <c r="CF7" s="24" t="inlineStr">
        <is>
          <t>1.0</t>
        </is>
      </c>
      <c r="CG7" s="24" t="inlineStr">
        <is>
          <t>2.2</t>
        </is>
      </c>
      <c r="CH7" s="24" t="n"/>
      <c r="CI7" s="24" t="n"/>
      <c r="CJ7" s="24" t="n"/>
      <c r="CK7" s="24" t="n"/>
      <c r="CL7" s="24" t="n"/>
      <c r="CM7" s="24" t="n"/>
    </row>
    <row r="8" ht="18" customHeight="1">
      <c r="A8" s="24" t="inlineStr">
        <is>
          <t>7a892682e8434b91</t>
        </is>
      </c>
      <c r="B8" s="24" t="inlineStr">
        <is>
          <t>2026-07-22T22:42:56Z</t>
        </is>
      </c>
      <c r="C8" s="24" t="inlineStr">
        <is>
          <t>2026-07-19T00:08Z</t>
        </is>
      </c>
      <c r="D8" s="24" t="inlineStr">
        <is>
          <t>401816168</t>
        </is>
      </c>
      <c r="E8" s="24" t="inlineStr">
        <is>
          <t>MLB</t>
        </is>
      </c>
      <c r="F8" s="24" t="inlineStr">
        <is>
          <t>San Francisco Giants</t>
        </is>
      </c>
      <c r="G8" s="24" t="inlineStr">
        <is>
          <t>Seattle Mariners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-110</v>
      </c>
      <c r="M8" s="27" t="n">
        <v>1.909091</v>
      </c>
      <c r="N8" s="28" t="n">
        <v>0.52381</v>
      </c>
      <c r="O8" s="28" t="n">
        <v>0.669207</v>
      </c>
      <c r="P8" s="28" t="n">
        <v>0.05</v>
      </c>
      <c r="Q8" s="28" t="n">
        <v>0.145397</v>
      </c>
      <c r="R8" s="26" t="n">
        <v>93</v>
      </c>
      <c r="S8" s="29" t="n">
        <v>2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6</v>
      </c>
      <c r="Y8" s="25" t="n"/>
      <c r="Z8" s="26" t="n">
        <v>-110</v>
      </c>
      <c r="AA8" s="28" t="n">
        <v>0.523834</v>
      </c>
      <c r="AB8" s="28" t="n"/>
      <c r="AC8" s="30" t="n">
        <v>1.818</v>
      </c>
      <c r="AD8" s="24" t="inlineStr">
        <is>
          <t>2026-07-22T23:44:22Z</t>
        </is>
      </c>
      <c r="AE8" s="31" t="n"/>
      <c r="AF8" s="31" t="n"/>
      <c r="AG8" s="24" t="n"/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identity</t>
        </is>
      </c>
      <c r="BC8" s="24" t="inlineStr">
        <is>
          <t>identity-v1</t>
        </is>
      </c>
      <c r="BD8" s="24" t="n"/>
      <c r="BE8" s="24" t="inlineStr">
        <is>
          <t>1</t>
        </is>
      </c>
      <c r="BF8" s="24" t="inlineStr">
        <is>
          <t>1</t>
        </is>
      </c>
      <c r="BG8" s="24" t="n"/>
      <c r="BH8" s="24" t="inlineStr">
        <is>
          <t>2026-07-22T22:42:56Z</t>
        </is>
      </c>
      <c r="BI8" s="24" t="n"/>
      <c r="BJ8" s="25" t="n"/>
      <c r="BK8" s="26" t="n">
        <v>-110</v>
      </c>
      <c r="BL8" s="27" t="n">
        <v>1.909</v>
      </c>
      <c r="BM8" s="28" t="n">
        <v>0.523834</v>
      </c>
      <c r="BN8" s="28" t="n">
        <v>0.523834</v>
      </c>
      <c r="BO8" s="28" t="n">
        <v>0.523834</v>
      </c>
      <c r="BP8" s="25" t="n"/>
      <c r="BQ8" s="27" t="n">
        <v>1.909</v>
      </c>
      <c r="BR8" s="28" t="n"/>
      <c r="BS8" s="28" t="n"/>
      <c r="BT8" s="28" t="n"/>
      <c r="BU8" s="25" t="n"/>
      <c r="BV8" s="29" t="n">
        <v>1.88</v>
      </c>
      <c r="BW8" s="24" t="n"/>
      <c r="BX8" s="30" t="n"/>
      <c r="BY8" s="27" t="n"/>
      <c r="BZ8" s="24" t="n"/>
      <c r="CA8" s="31" t="n"/>
      <c r="CB8" s="24" t="n"/>
      <c r="CC8" s="24" t="inlineStr">
        <is>
          <t>0.579818</t>
        </is>
      </c>
      <c r="CD8" s="24" t="inlineStr">
        <is>
          <t>-0.645258</t>
        </is>
      </c>
      <c r="CE8" s="24" t="inlineStr">
        <is>
          <t>0.92</t>
        </is>
      </c>
      <c r="CF8" s="24" t="inlineStr">
        <is>
          <t>1.0</t>
        </is>
      </c>
      <c r="CG8" s="24" t="inlineStr">
        <is>
          <t>4.2</t>
        </is>
      </c>
      <c r="CH8" s="24" t="n"/>
      <c r="CI8" s="24" t="n"/>
      <c r="CJ8" s="24" t="n"/>
      <c r="CK8" s="24" t="n"/>
      <c r="CL8" s="24" t="n"/>
      <c r="CM8" s="24" t="n"/>
    </row>
    <row r="9" ht="18" customHeight="1">
      <c r="A9" s="24" t="inlineStr">
        <is>
          <t>12005468c7b1479d</t>
        </is>
      </c>
      <c r="B9" s="24" t="inlineStr">
        <is>
          <t>2026-07-22T22:42:56Z</t>
        </is>
      </c>
      <c r="C9" s="24" t="inlineStr">
        <is>
          <t>2026-07-19T17:35Z</t>
        </is>
      </c>
      <c r="D9" s="24" t="inlineStr">
        <is>
          <t>401816173</t>
        </is>
      </c>
      <c r="E9" s="24" t="inlineStr">
        <is>
          <t>MLB</t>
        </is>
      </c>
      <c r="F9" s="24" t="inlineStr">
        <is>
          <t>New York Mets</t>
        </is>
      </c>
      <c r="G9" s="24" t="inlineStr">
        <is>
          <t>Philadelphia Phillies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-110</v>
      </c>
      <c r="M9" s="27" t="n">
        <v>1.909091</v>
      </c>
      <c r="N9" s="28" t="n">
        <v>0.52381</v>
      </c>
      <c r="O9" s="28" t="n">
        <v>0.572051</v>
      </c>
      <c r="P9" s="28" t="n">
        <v>0.05</v>
      </c>
      <c r="Q9" s="28" t="n">
        <v>0.048242</v>
      </c>
      <c r="R9" s="26" t="n">
        <v>44</v>
      </c>
      <c r="S9" s="29" t="n">
        <v>0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loss</t>
        </is>
      </c>
      <c r="W9" s="26" t="n">
        <v>6</v>
      </c>
      <c r="X9" s="26" t="n">
        <v>1</v>
      </c>
      <c r="Y9" s="25" t="n"/>
      <c r="Z9" s="26" t="n">
        <v>-110</v>
      </c>
      <c r="AA9" s="28" t="n">
        <v>0.523834</v>
      </c>
      <c r="AB9" s="28" t="n"/>
      <c r="AC9" s="30" t="n">
        <v>0</v>
      </c>
      <c r="AD9" s="24" t="inlineStr">
        <is>
          <t>2026-07-22T23:44:22Z</t>
        </is>
      </c>
      <c r="AE9" s="31" t="n"/>
      <c r="AF9" s="31" t="n"/>
      <c r="AG9" s="24" t="n"/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identity</t>
        </is>
      </c>
      <c r="BC9" s="24" t="inlineStr">
        <is>
          <t>identity-v1</t>
        </is>
      </c>
      <c r="BD9" s="24" t="n"/>
      <c r="BE9" s="24" t="inlineStr">
        <is>
          <t>1</t>
        </is>
      </c>
      <c r="BF9" s="24" t="inlineStr">
        <is>
          <t>1</t>
        </is>
      </c>
      <c r="BG9" s="24" t="n"/>
      <c r="BH9" s="24" t="inlineStr">
        <is>
          <t>2026-07-22T22:42:56Z</t>
        </is>
      </c>
      <c r="BI9" s="24" t="n"/>
      <c r="BJ9" s="25" t="n"/>
      <c r="BK9" s="26" t="n">
        <v>-110</v>
      </c>
      <c r="BL9" s="27" t="n">
        <v>1.909</v>
      </c>
      <c r="BM9" s="28" t="n">
        <v>0.523834</v>
      </c>
      <c r="BN9" s="28" t="n">
        <v>0.523834</v>
      </c>
      <c r="BO9" s="28" t="n">
        <v>0.523834</v>
      </c>
      <c r="BP9" s="25" t="n"/>
      <c r="BQ9" s="27" t="n">
        <v>1.909</v>
      </c>
      <c r="BR9" s="28" t="n"/>
      <c r="BS9" s="28" t="n"/>
      <c r="BT9" s="28" t="n"/>
      <c r="BU9" s="25" t="n"/>
      <c r="BV9" s="29" t="n">
        <v>1.52</v>
      </c>
      <c r="BW9" s="24" t="n"/>
      <c r="BX9" s="30" t="n"/>
      <c r="BY9" s="27" t="n"/>
      <c r="BZ9" s="24" t="n"/>
      <c r="CA9" s="31" t="n"/>
      <c r="CB9" s="24" t="n"/>
      <c r="CC9" s="24" t="inlineStr">
        <is>
          <t>0.637605</t>
        </is>
      </c>
      <c r="CD9" s="24" t="inlineStr">
        <is>
          <t>0.581983</t>
        </is>
      </c>
      <c r="CE9" s="24" t="inlineStr">
        <is>
          <t>1.01</t>
        </is>
      </c>
      <c r="CF9" s="24" t="inlineStr">
        <is>
          <t>1.0126</t>
        </is>
      </c>
      <c r="CG9" s="24" t="inlineStr">
        <is>
          <t>-1.8</t>
        </is>
      </c>
      <c r="CH9" s="24" t="n"/>
      <c r="CI9" s="24" t="n"/>
      <c r="CJ9" s="24" t="n"/>
      <c r="CK9" s="24" t="n"/>
      <c r="CL9" s="24" t="n"/>
      <c r="CM9" s="24" t="n"/>
    </row>
    <row r="10" ht="18" customHeight="1">
      <c r="A10" s="24" t="inlineStr">
        <is>
          <t>9831b49fabd04381</t>
        </is>
      </c>
      <c r="B10" s="24" t="inlineStr">
        <is>
          <t>2026-07-22T22:42:56Z</t>
        </is>
      </c>
      <c r="C10" s="24" t="inlineStr">
        <is>
          <t>2026-07-19T18:10Z</t>
        </is>
      </c>
      <c r="D10" s="24" t="inlineStr">
        <is>
          <t>401816178</t>
        </is>
      </c>
      <c r="E10" s="24" t="inlineStr">
        <is>
          <t>MLB</t>
        </is>
      </c>
      <c r="F10" s="24" t="inlineStr">
        <is>
          <t>Miami Marlins</t>
        </is>
      </c>
      <c r="G10" s="24" t="inlineStr">
        <is>
          <t>Milwaukee Brewers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-110</v>
      </c>
      <c r="M10" s="27" t="n">
        <v>1.909091</v>
      </c>
      <c r="N10" s="28" t="n">
        <v>0.52381</v>
      </c>
      <c r="O10" s="28" t="n">
        <v>0.644369</v>
      </c>
      <c r="P10" s="28" t="n">
        <v>0.05</v>
      </c>
      <c r="Q10" s="28" t="n">
        <v>0.120559</v>
      </c>
      <c r="R10" s="26" t="n">
        <v>80</v>
      </c>
      <c r="S10" s="29" t="n">
        <v>2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3</v>
      </c>
      <c r="Y10" s="25" t="n"/>
      <c r="Z10" s="26" t="n">
        <v>-110</v>
      </c>
      <c r="AA10" s="28" t="n">
        <v>0.523834</v>
      </c>
      <c r="AB10" s="28" t="n"/>
      <c r="AC10" s="30" t="n">
        <v>1.818</v>
      </c>
      <c r="AD10" s="24" t="inlineStr">
        <is>
          <t>2026-07-22T23:44:22Z</t>
        </is>
      </c>
      <c r="AE10" s="31" t="n"/>
      <c r="AF10" s="31" t="n"/>
      <c r="AG10" s="24" t="n"/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QUALIFIED_RETROACTIVE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identity</t>
        </is>
      </c>
      <c r="BC10" s="24" t="inlineStr">
        <is>
          <t>identity-v1</t>
        </is>
      </c>
      <c r="BD10" s="24" t="n"/>
      <c r="BE10" s="24" t="inlineStr">
        <is>
          <t>1</t>
        </is>
      </c>
      <c r="BF10" s="24" t="inlineStr">
        <is>
          <t>1</t>
        </is>
      </c>
      <c r="BG10" s="24" t="n"/>
      <c r="BH10" s="24" t="inlineStr">
        <is>
          <t>2026-07-22T22:42:56Z</t>
        </is>
      </c>
      <c r="BI10" s="24" t="n"/>
      <c r="BJ10" s="25" t="n"/>
      <c r="BK10" s="26" t="n">
        <v>-110</v>
      </c>
      <c r="BL10" s="27" t="n">
        <v>1.909</v>
      </c>
      <c r="BM10" s="28" t="n">
        <v>0.523834</v>
      </c>
      <c r="BN10" s="28" t="n">
        <v>0.523834</v>
      </c>
      <c r="BO10" s="28" t="n">
        <v>0.523834</v>
      </c>
      <c r="BP10" s="25" t="n"/>
      <c r="BQ10" s="27" t="n">
        <v>1.909</v>
      </c>
      <c r="BR10" s="28" t="n"/>
      <c r="BS10" s="28" t="n"/>
      <c r="BT10" s="28" t="n"/>
      <c r="BU10" s="25" t="n"/>
      <c r="BV10" s="29" t="n">
        <v>2</v>
      </c>
      <c r="BW10" s="24" t="n"/>
      <c r="BX10" s="30" t="n"/>
      <c r="BY10" s="27" t="n"/>
      <c r="BZ10" s="24" t="n"/>
      <c r="CA10" s="31" t="n"/>
      <c r="CB10" s="24" t="n"/>
      <c r="CC10" s="24" t="inlineStr">
        <is>
          <t>0.639021</t>
        </is>
      </c>
      <c r="CD10" s="24" t="inlineStr">
        <is>
          <t>0.290983</t>
        </is>
      </c>
      <c r="CE10" s="24" t="inlineStr">
        <is>
          <t>0.98</t>
        </is>
      </c>
      <c r="CF10" s="24" t="inlineStr">
        <is>
          <t>1.0</t>
        </is>
      </c>
      <c r="CG10" s="24" t="inlineStr">
        <is>
          <t>1.8</t>
        </is>
      </c>
      <c r="CH10" s="24" t="n"/>
      <c r="CI10" s="24" t="n"/>
      <c r="CJ10" s="24" t="n"/>
      <c r="CK10" s="24" t="n"/>
      <c r="CL10" s="24" t="n"/>
      <c r="CM10" s="24" t="n"/>
    </row>
    <row r="11" ht="18" customHeight="1">
      <c r="A11" s="24" t="inlineStr">
        <is>
          <t>b78c096430454518</t>
        </is>
      </c>
      <c r="B11" s="24" t="inlineStr">
        <is>
          <t>2026-07-22T22:42:56Z</t>
        </is>
      </c>
      <c r="C11" s="24" t="inlineStr">
        <is>
          <t>2026-07-19T18:20Z</t>
        </is>
      </c>
      <c r="D11" s="24" t="inlineStr">
        <is>
          <t>401816179</t>
        </is>
      </c>
      <c r="E11" s="24" t="inlineStr">
        <is>
          <t>MLB</t>
        </is>
      </c>
      <c r="F11" s="24" t="inlineStr">
        <is>
          <t>Minnesota Twins</t>
        </is>
      </c>
      <c r="G11" s="24" t="inlineStr">
        <is>
          <t>Chicago Cubs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-110</v>
      </c>
      <c r="M11" s="27" t="n">
        <v>1.909091</v>
      </c>
      <c r="N11" s="28" t="n">
        <v>0.52381</v>
      </c>
      <c r="O11" s="28" t="n">
        <v>0.596494</v>
      </c>
      <c r="P11" s="28" t="n">
        <v>0.05</v>
      </c>
      <c r="Q11" s="28" t="n">
        <v>0.072684</v>
      </c>
      <c r="R11" s="26" t="n">
        <v>56</v>
      </c>
      <c r="S11" s="29" t="n">
        <v>1.5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10</v>
      </c>
      <c r="Y11" s="25" t="n"/>
      <c r="Z11" s="26" t="n">
        <v>-110</v>
      </c>
      <c r="AA11" s="28" t="n">
        <v>0.523834</v>
      </c>
      <c r="AB11" s="28" t="n"/>
      <c r="AC11" s="30" t="n">
        <v>1.3635</v>
      </c>
      <c r="AD11" s="24" t="inlineStr">
        <is>
          <t>2026-07-22T23:44:22Z</t>
        </is>
      </c>
      <c r="AE11" s="31" t="n"/>
      <c r="AF11" s="31" t="n"/>
      <c r="AG11" s="24" t="n"/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QUALIFIED_RETROACTIVE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identity</t>
        </is>
      </c>
      <c r="BC11" s="24" t="inlineStr">
        <is>
          <t>identity-v1</t>
        </is>
      </c>
      <c r="BD11" s="24" t="n"/>
      <c r="BE11" s="24" t="inlineStr">
        <is>
          <t>1</t>
        </is>
      </c>
      <c r="BF11" s="24" t="inlineStr">
        <is>
          <t>1</t>
        </is>
      </c>
      <c r="BG11" s="24" t="n"/>
      <c r="BH11" s="24" t="inlineStr">
        <is>
          <t>2026-07-22T22:42:56Z</t>
        </is>
      </c>
      <c r="BI11" s="24" t="n"/>
      <c r="BJ11" s="25" t="n"/>
      <c r="BK11" s="26" t="n">
        <v>-110</v>
      </c>
      <c r="BL11" s="27" t="n">
        <v>1.909</v>
      </c>
      <c r="BM11" s="28" t="n">
        <v>0.523834</v>
      </c>
      <c r="BN11" s="28" t="n">
        <v>0.523834</v>
      </c>
      <c r="BO11" s="28" t="n">
        <v>0.523834</v>
      </c>
      <c r="BP11" s="25" t="n"/>
      <c r="BQ11" s="27" t="n">
        <v>1.909</v>
      </c>
      <c r="BR11" s="28" t="n"/>
      <c r="BS11" s="28" t="n"/>
      <c r="BT11" s="28" t="n"/>
      <c r="BU11" s="25" t="n"/>
      <c r="BV11" s="29" t="n">
        <v>1.55</v>
      </c>
      <c r="BW11" s="24" t="n"/>
      <c r="BX11" s="30" t="n"/>
      <c r="BY11" s="27" t="n"/>
      <c r="BZ11" s="24" t="n"/>
      <c r="CA11" s="31" t="n"/>
      <c r="CB11" s="24" t="n"/>
      <c r="CC11" s="24" t="inlineStr">
        <is>
          <t>0.621108</t>
        </is>
      </c>
      <c r="CD11" s="24" t="inlineStr">
        <is>
          <t>0.482065</t>
        </is>
      </c>
      <c r="CE11" s="24" t="inlineStr">
        <is>
          <t>1.0</t>
        </is>
      </c>
      <c r="CF11" s="24" t="inlineStr">
        <is>
          <t>1.0003</t>
        </is>
      </c>
      <c r="CG11" s="24" t="inlineStr">
        <is>
          <t>0.2</t>
        </is>
      </c>
      <c r="CH11" s="24" t="n"/>
      <c r="CI11" s="24" t="n"/>
      <c r="CJ11" s="24" t="n"/>
      <c r="CK11" s="24" t="n"/>
      <c r="CL11" s="24" t="n"/>
      <c r="CM11" s="24" t="n"/>
    </row>
    <row r="12" ht="18" customHeight="1">
      <c r="A12" s="24" t="inlineStr">
        <is>
          <t>db2b490660464a99</t>
        </is>
      </c>
      <c r="B12" s="24" t="inlineStr">
        <is>
          <t>2026-07-22T22:42:56Z</t>
        </is>
      </c>
      <c r="C12" s="24" t="inlineStr">
        <is>
          <t>2026-07-19T20:10Z</t>
        </is>
      </c>
      <c r="D12" s="24" t="inlineStr">
        <is>
          <t>401816183</t>
        </is>
      </c>
      <c r="E12" s="24" t="inlineStr">
        <is>
          <t>MLB</t>
        </is>
      </c>
      <c r="F12" s="24" t="inlineStr">
        <is>
          <t>San Francisco Giants</t>
        </is>
      </c>
      <c r="G12" s="24" t="inlineStr">
        <is>
          <t>Seattle Mariners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-110</v>
      </c>
      <c r="M12" s="27" t="n">
        <v>1.909091</v>
      </c>
      <c r="N12" s="28" t="n">
        <v>0.52381</v>
      </c>
      <c r="O12" s="28" t="n">
        <v>0.64408</v>
      </c>
      <c r="P12" s="28" t="n">
        <v>0.05</v>
      </c>
      <c r="Q12" s="28" t="n">
        <v>0.120271</v>
      </c>
      <c r="R12" s="26" t="n">
        <v>80</v>
      </c>
      <c r="S12" s="29" t="n">
        <v>2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win</t>
        </is>
      </c>
      <c r="W12" s="26" t="n">
        <v>3</v>
      </c>
      <c r="X12" s="26" t="n">
        <v>6</v>
      </c>
      <c r="Y12" s="25" t="n"/>
      <c r="Z12" s="26" t="n">
        <v>-110</v>
      </c>
      <c r="AA12" s="28" t="n">
        <v>0.523834</v>
      </c>
      <c r="AB12" s="28" t="n"/>
      <c r="AC12" s="30" t="n">
        <v>1.818</v>
      </c>
      <c r="AD12" s="24" t="inlineStr">
        <is>
          <t>2026-07-22T23:44:22Z</t>
        </is>
      </c>
      <c r="AE12" s="31" t="n"/>
      <c r="AF12" s="31" t="n"/>
      <c r="AG12" s="24" t="n"/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identity</t>
        </is>
      </c>
      <c r="BC12" s="24" t="inlineStr">
        <is>
          <t>identity-v1</t>
        </is>
      </c>
      <c r="BD12" s="24" t="n"/>
      <c r="BE12" s="24" t="inlineStr">
        <is>
          <t>1</t>
        </is>
      </c>
      <c r="BF12" s="24" t="inlineStr">
        <is>
          <t>1</t>
        </is>
      </c>
      <c r="BG12" s="24" t="n"/>
      <c r="BH12" s="24" t="inlineStr">
        <is>
          <t>2026-07-22T22:42:56Z</t>
        </is>
      </c>
      <c r="BI12" s="24" t="n"/>
      <c r="BJ12" s="25" t="n"/>
      <c r="BK12" s="26" t="n">
        <v>-110</v>
      </c>
      <c r="BL12" s="27" t="n">
        <v>1.909</v>
      </c>
      <c r="BM12" s="28" t="n">
        <v>0.523834</v>
      </c>
      <c r="BN12" s="28" t="n">
        <v>0.523834</v>
      </c>
      <c r="BO12" s="28" t="n">
        <v>0.523834</v>
      </c>
      <c r="BP12" s="25" t="n"/>
      <c r="BQ12" s="27" t="n">
        <v>1.909</v>
      </c>
      <c r="BR12" s="28" t="n"/>
      <c r="BS12" s="28" t="n"/>
      <c r="BT12" s="28" t="n"/>
      <c r="BU12" s="25" t="n"/>
      <c r="BV12" s="29" t="n">
        <v>1.74</v>
      </c>
      <c r="BW12" s="24" t="n"/>
      <c r="BX12" s="30" t="n"/>
      <c r="BY12" s="27" t="n"/>
      <c r="BZ12" s="24" t="n"/>
      <c r="CA12" s="31" t="n"/>
      <c r="CB12" s="24" t="n"/>
      <c r="CC12" s="24" t="inlineStr">
        <is>
          <t>0.583001</t>
        </is>
      </c>
      <c r="CD12" s="24" t="inlineStr">
        <is>
          <t>-0.319596</t>
        </is>
      </c>
      <c r="CE12" s="24" t="inlineStr">
        <is>
          <t>0.92</t>
        </is>
      </c>
      <c r="CF12" s="24" t="inlineStr">
        <is>
          <t>1.0</t>
        </is>
      </c>
      <c r="CG12" s="24" t="inlineStr">
        <is>
          <t>2.8</t>
        </is>
      </c>
      <c r="CH12" s="24" t="n"/>
      <c r="CI12" s="24" t="n"/>
      <c r="CJ12" s="24" t="n"/>
      <c r="CK12" s="24" t="n"/>
      <c r="CL12" s="24" t="n"/>
      <c r="CM12" s="24" t="n"/>
    </row>
    <row r="13" ht="18" customHeight="1">
      <c r="A13" s="24" t="inlineStr">
        <is>
          <t>8e4b1d6c2a1e4162</t>
        </is>
      </c>
      <c r="B13" s="24" t="inlineStr">
        <is>
          <t>2026-07-22T22:42:56Z</t>
        </is>
      </c>
      <c r="C13" s="24" t="inlineStr">
        <is>
          <t>2026-07-20T23:05Z</t>
        </is>
      </c>
      <c r="D13" s="24" t="inlineStr">
        <is>
          <t>401816189</t>
        </is>
      </c>
      <c r="E13" s="24" t="inlineStr">
        <is>
          <t>MLB</t>
        </is>
      </c>
      <c r="F13" s="24" t="inlineStr">
        <is>
          <t>Pittsburgh Pirates</t>
        </is>
      </c>
      <c r="G13" s="24" t="inlineStr">
        <is>
          <t>New York Yankees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-110</v>
      </c>
      <c r="M13" s="27" t="n">
        <v>1.909091</v>
      </c>
      <c r="N13" s="28" t="n">
        <v>0.52381</v>
      </c>
      <c r="O13" s="28" t="n">
        <v>0.625068</v>
      </c>
      <c r="P13" s="28" t="n">
        <v>0.05</v>
      </c>
      <c r="Q13" s="28" t="n">
        <v>0.101259</v>
      </c>
      <c r="R13" s="26" t="n">
        <v>71</v>
      </c>
      <c r="S13" s="29" t="n">
        <v>1.75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win</t>
        </is>
      </c>
      <c r="W13" s="26" t="n">
        <v>5</v>
      </c>
      <c r="X13" s="26" t="n">
        <v>8</v>
      </c>
      <c r="Y13" s="25" t="n"/>
      <c r="Z13" s="26" t="n">
        <v>-110</v>
      </c>
      <c r="AA13" s="28" t="n">
        <v>0.523834</v>
      </c>
      <c r="AB13" s="28" t="n"/>
      <c r="AC13" s="30" t="n">
        <v>1.5908</v>
      </c>
      <c r="AD13" s="24" t="inlineStr">
        <is>
          <t>2026-07-22T23:44:22Z</t>
        </is>
      </c>
      <c r="AE13" s="31" t="n"/>
      <c r="AF13" s="31" t="n"/>
      <c r="AG13" s="24" t="n"/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QUALIFIED_RETROACTIVE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identity</t>
        </is>
      </c>
      <c r="BC13" s="24" t="inlineStr">
        <is>
          <t>identity-v1</t>
        </is>
      </c>
      <c r="BD13" s="24" t="n"/>
      <c r="BE13" s="24" t="inlineStr">
        <is>
          <t>1</t>
        </is>
      </c>
      <c r="BF13" s="24" t="inlineStr">
        <is>
          <t>1</t>
        </is>
      </c>
      <c r="BG13" s="24" t="n"/>
      <c r="BH13" s="24" t="inlineStr">
        <is>
          <t>2026-07-22T22:42:56Z</t>
        </is>
      </c>
      <c r="BI13" s="24" t="n"/>
      <c r="BJ13" s="25" t="n"/>
      <c r="BK13" s="26" t="n">
        <v>-110</v>
      </c>
      <c r="BL13" s="27" t="n">
        <v>1.909</v>
      </c>
      <c r="BM13" s="28" t="n">
        <v>0.523834</v>
      </c>
      <c r="BN13" s="28" t="n">
        <v>0.523834</v>
      </c>
      <c r="BO13" s="28" t="n">
        <v>0.523834</v>
      </c>
      <c r="BP13" s="25" t="n"/>
      <c r="BQ13" s="27" t="n">
        <v>1.909</v>
      </c>
      <c r="BR13" s="28" t="n"/>
      <c r="BS13" s="28" t="n"/>
      <c r="BT13" s="28" t="n"/>
      <c r="BU13" s="25" t="n"/>
      <c r="BV13" s="29" t="n">
        <v>1.18</v>
      </c>
      <c r="BW13" s="24" t="n"/>
      <c r="BX13" s="30" t="n"/>
      <c r="BY13" s="27" t="n"/>
      <c r="BZ13" s="24" t="n"/>
      <c r="CA13" s="31" t="n"/>
      <c r="CB13" s="24" t="n"/>
      <c r="CC13" s="24" t="inlineStr">
        <is>
          <t>0.567089</t>
        </is>
      </c>
      <c r="CD13" s="24" t="inlineStr">
        <is>
          <t>-2.597864</t>
        </is>
      </c>
      <c r="CE13" s="24" t="inlineStr">
        <is>
          <t>0.99</t>
        </is>
      </c>
      <c r="CF13" s="24" t="inlineStr">
        <is>
          <t>1.0171</t>
        </is>
      </c>
      <c r="CG13" s="24" t="inlineStr">
        <is>
          <t>0.4</t>
        </is>
      </c>
      <c r="CH13" s="24" t="n"/>
      <c r="CI13" s="24" t="n"/>
      <c r="CJ13" s="24" t="n"/>
      <c r="CK13" s="24" t="n"/>
      <c r="CL13" s="24" t="n"/>
      <c r="CM13" s="24" t="n"/>
    </row>
    <row r="14" ht="18" customHeight="1">
      <c r="A14" s="24" t="inlineStr">
        <is>
          <t>b6940decf86747b6</t>
        </is>
      </c>
      <c r="B14" s="24" t="inlineStr">
        <is>
          <t>2026-07-22T22:42:56Z</t>
        </is>
      </c>
      <c r="C14" s="24" t="inlineStr">
        <is>
          <t>2026-07-20T23:40Z</t>
        </is>
      </c>
      <c r="D14" s="24" t="inlineStr">
        <is>
          <t>401816195</t>
        </is>
      </c>
      <c r="E14" s="24" t="inlineStr">
        <is>
          <t>MLB</t>
        </is>
      </c>
      <c r="F14" s="24" t="inlineStr">
        <is>
          <t>New York Mets</t>
        </is>
      </c>
      <c r="G14" s="24" t="inlineStr">
        <is>
          <t>Milwaukee Brewers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-110</v>
      </c>
      <c r="M14" s="27" t="n">
        <v>1.909091</v>
      </c>
      <c r="N14" s="28" t="n">
        <v>0.52381</v>
      </c>
      <c r="O14" s="28" t="n">
        <v>0.67463</v>
      </c>
      <c r="P14" s="28" t="n">
        <v>0.05</v>
      </c>
      <c r="Q14" s="28" t="n">
        <v>0.150821</v>
      </c>
      <c r="R14" s="26" t="n">
        <v>95</v>
      </c>
      <c r="S14" s="29" t="n">
        <v>2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8</v>
      </c>
      <c r="Y14" s="25" t="n"/>
      <c r="Z14" s="26" t="n">
        <v>-110</v>
      </c>
      <c r="AA14" s="28" t="n">
        <v>0.523834</v>
      </c>
      <c r="AB14" s="28" t="n"/>
      <c r="AC14" s="30" t="n">
        <v>1.818</v>
      </c>
      <c r="AD14" s="24" t="inlineStr">
        <is>
          <t>2026-07-22T23:44:22Z</t>
        </is>
      </c>
      <c r="AE14" s="31" t="n"/>
      <c r="AF14" s="31" t="n"/>
      <c r="AG14" s="24" t="n"/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QUALIFIED_RETROACTIVE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identity</t>
        </is>
      </c>
      <c r="BC14" s="24" t="inlineStr">
        <is>
          <t>identity-v1</t>
        </is>
      </c>
      <c r="BD14" s="24" t="n"/>
      <c r="BE14" s="24" t="inlineStr">
        <is>
          <t>1</t>
        </is>
      </c>
      <c r="BF14" s="24" t="inlineStr">
        <is>
          <t>1</t>
        </is>
      </c>
      <c r="BG14" s="24" t="n"/>
      <c r="BH14" s="24" t="inlineStr">
        <is>
          <t>2026-07-22T22:42:56Z</t>
        </is>
      </c>
      <c r="BI14" s="24" t="n"/>
      <c r="BJ14" s="25" t="n"/>
      <c r="BK14" s="26" t="n">
        <v>-110</v>
      </c>
      <c r="BL14" s="27" t="n">
        <v>1.909</v>
      </c>
      <c r="BM14" s="28" t="n">
        <v>0.523834</v>
      </c>
      <c r="BN14" s="28" t="n">
        <v>0.523834</v>
      </c>
      <c r="BO14" s="28" t="n">
        <v>0.523834</v>
      </c>
      <c r="BP14" s="25" t="n"/>
      <c r="BQ14" s="27" t="n">
        <v>1.909</v>
      </c>
      <c r="BR14" s="28" t="n"/>
      <c r="BS14" s="28" t="n"/>
      <c r="BT14" s="28" t="n"/>
      <c r="BU14" s="25" t="n"/>
      <c r="BV14" s="29" t="n">
        <v>2</v>
      </c>
      <c r="BW14" s="24" t="n"/>
      <c r="BX14" s="30" t="n"/>
      <c r="BY14" s="27" t="n"/>
      <c r="BZ14" s="24" t="n"/>
      <c r="CA14" s="31" t="n"/>
      <c r="CB14" s="24" t="n"/>
      <c r="CC14" s="24" t="inlineStr">
        <is>
          <t>0.683237</t>
        </is>
      </c>
      <c r="CD14" s="24" t="inlineStr">
        <is>
          <t>-0.156038</t>
        </is>
      </c>
      <c r="CE14" s="24" t="inlineStr">
        <is>
          <t>0.98</t>
        </is>
      </c>
      <c r="CF14" s="24" t="inlineStr">
        <is>
          <t>1.0</t>
        </is>
      </c>
      <c r="CG14" s="24" t="inlineStr">
        <is>
          <t>1.0</t>
        </is>
      </c>
      <c r="CH14" s="24" t="n"/>
      <c r="CI14" s="24" t="n"/>
      <c r="CJ14" s="24" t="n"/>
      <c r="CK14" s="24" t="n"/>
      <c r="CL14" s="24" t="n"/>
      <c r="CM14" s="24" t="n"/>
    </row>
    <row r="15" ht="18" customHeight="1">
      <c r="A15" s="24" t="inlineStr">
        <is>
          <t>5e3a3d4842ac402d</t>
        </is>
      </c>
      <c r="B15" s="24" t="inlineStr">
        <is>
          <t>2026-07-22T22:42:56Z</t>
        </is>
      </c>
      <c r="C15" s="24" t="inlineStr">
        <is>
          <t>2026-07-21T01:40Z</t>
        </is>
      </c>
      <c r="D15" s="24" t="inlineStr">
        <is>
          <t>401816199</t>
        </is>
      </c>
      <c r="E15" s="24" t="inlineStr">
        <is>
          <t>MLB</t>
        </is>
      </c>
      <c r="F15" s="24" t="inlineStr">
        <is>
          <t>Cincinnati Reds</t>
        </is>
      </c>
      <c r="G15" s="24" t="inlineStr">
        <is>
          <t>Seattle Mariners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-110</v>
      </c>
      <c r="M15" s="27" t="n">
        <v>1.909091</v>
      </c>
      <c r="N15" s="28" t="n">
        <v>0.52381</v>
      </c>
      <c r="O15" s="28" t="n">
        <v>0.56908</v>
      </c>
      <c r="P15" s="28" t="n">
        <v>0.05</v>
      </c>
      <c r="Q15" s="28" t="n">
        <v>0.04527</v>
      </c>
      <c r="R15" s="26" t="n">
        <v>43</v>
      </c>
      <c r="S15" s="29" t="n">
        <v>0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2</v>
      </c>
      <c r="Y15" s="25" t="n"/>
      <c r="Z15" s="26" t="n">
        <v>-110</v>
      </c>
      <c r="AA15" s="28" t="n">
        <v>0.523834</v>
      </c>
      <c r="AB15" s="28" t="n"/>
      <c r="AC15" s="30" t="n">
        <v>0</v>
      </c>
      <c r="AD15" s="24" t="inlineStr">
        <is>
          <t>2026-07-22T23:44:22Z</t>
        </is>
      </c>
      <c r="AE15" s="31" t="n"/>
      <c r="AF15" s="31" t="n"/>
      <c r="AG15" s="24" t="n"/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identity</t>
        </is>
      </c>
      <c r="BC15" s="24" t="inlineStr">
        <is>
          <t>identity-v1</t>
        </is>
      </c>
      <c r="BD15" s="24" t="n"/>
      <c r="BE15" s="24" t="inlineStr">
        <is>
          <t>1</t>
        </is>
      </c>
      <c r="BF15" s="24" t="inlineStr">
        <is>
          <t>1</t>
        </is>
      </c>
      <c r="BG15" s="24" t="n"/>
      <c r="BH15" s="24" t="inlineStr">
        <is>
          <t>2026-07-22T22:42:56Z</t>
        </is>
      </c>
      <c r="BI15" s="24" t="n"/>
      <c r="BJ15" s="25" t="n"/>
      <c r="BK15" s="26" t="n">
        <v>-110</v>
      </c>
      <c r="BL15" s="27" t="n">
        <v>1.909</v>
      </c>
      <c r="BM15" s="28" t="n">
        <v>0.523834</v>
      </c>
      <c r="BN15" s="28" t="n">
        <v>0.523834</v>
      </c>
      <c r="BO15" s="28" t="n">
        <v>0.523834</v>
      </c>
      <c r="BP15" s="25" t="n"/>
      <c r="BQ15" s="27" t="n">
        <v>1.909</v>
      </c>
      <c r="BR15" s="28" t="n"/>
      <c r="BS15" s="28" t="n"/>
      <c r="BT15" s="28" t="n"/>
      <c r="BU15" s="25" t="n"/>
      <c r="BV15" s="29" t="n">
        <v>1.3</v>
      </c>
      <c r="BW15" s="24" t="n"/>
      <c r="BX15" s="30" t="n"/>
      <c r="BY15" s="27" t="n"/>
      <c r="BZ15" s="24" t="n"/>
      <c r="CA15" s="31" t="n"/>
      <c r="CB15" s="24" t="n"/>
      <c r="CC15" s="24" t="inlineStr">
        <is>
          <t>0.589004</t>
        </is>
      </c>
      <c r="CD15" s="24" t="inlineStr">
        <is>
          <t>-0.117593</t>
        </is>
      </c>
      <c r="CE15" s="24" t="inlineStr">
        <is>
          <t>0.92</t>
        </is>
      </c>
      <c r="CF15" s="24" t="inlineStr">
        <is>
          <t>1.0</t>
        </is>
      </c>
      <c r="CG15" s="24" t="inlineStr">
        <is>
          <t>-2.0</t>
        </is>
      </c>
      <c r="CH15" s="24" t="n"/>
      <c r="CI15" s="24" t="n"/>
      <c r="CJ15" s="24" t="n"/>
      <c r="CK15" s="24" t="n"/>
      <c r="CL15" s="24" t="n"/>
      <c r="CM15" s="24" t="n"/>
    </row>
    <row r="16" ht="18" customHeight="1">
      <c r="A16" s="24" t="inlineStr">
        <is>
          <t>4d2256513cd941a8</t>
        </is>
      </c>
      <c r="B16" s="24" t="inlineStr">
        <is>
          <t>2026-07-22T22:42:56Z</t>
        </is>
      </c>
      <c r="C16" s="24" t="inlineStr">
        <is>
          <t>2026-07-21T23:05Z</t>
        </is>
      </c>
      <c r="D16" s="24" t="inlineStr">
        <is>
          <t>401816204</t>
        </is>
      </c>
      <c r="E16" s="24" t="inlineStr">
        <is>
          <t>MLB</t>
        </is>
      </c>
      <c r="F16" s="24" t="inlineStr">
        <is>
          <t>Pittsburgh Pirates</t>
        </is>
      </c>
      <c r="G16" s="24" t="inlineStr">
        <is>
          <t>New York Yankees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-110</v>
      </c>
      <c r="M16" s="27" t="n">
        <v>1.909091</v>
      </c>
      <c r="N16" s="28" t="n">
        <v>0.52381</v>
      </c>
      <c r="O16" s="28" t="n">
        <v>0.593809</v>
      </c>
      <c r="P16" s="28" t="n">
        <v>0.05</v>
      </c>
      <c r="Q16" s="28" t="n">
        <v>0.06999900000000001</v>
      </c>
      <c r="R16" s="26" t="n">
        <v>55</v>
      </c>
      <c r="S16" s="29" t="n">
        <v>1.5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0</v>
      </c>
      <c r="Y16" s="25" t="n"/>
      <c r="Z16" s="26" t="n">
        <v>-110</v>
      </c>
      <c r="AA16" s="28" t="n">
        <v>0.523834</v>
      </c>
      <c r="AB16" s="28" t="n"/>
      <c r="AC16" s="30" t="n">
        <v>1.3635</v>
      </c>
      <c r="AD16" s="24" t="inlineStr">
        <is>
          <t>2026-07-23T00:01:14Z</t>
        </is>
      </c>
      <c r="AE16" s="31" t="n"/>
      <c r="AF16" s="31" t="n"/>
      <c r="AG16" s="24" t="n"/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QUALIFIED_RETROACTIVE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identity</t>
        </is>
      </c>
      <c r="BC16" s="24" t="inlineStr">
        <is>
          <t>identity-v1</t>
        </is>
      </c>
      <c r="BD16" s="24" t="n"/>
      <c r="BE16" s="24" t="inlineStr">
        <is>
          <t>1</t>
        </is>
      </c>
      <c r="BF16" s="24" t="inlineStr">
        <is>
          <t>1</t>
        </is>
      </c>
      <c r="BG16" s="24" t="n"/>
      <c r="BH16" s="24" t="inlineStr">
        <is>
          <t>2026-07-22T22:42:56Z</t>
        </is>
      </c>
      <c r="BI16" s="24" t="n"/>
      <c r="BJ16" s="25" t="n"/>
      <c r="BK16" s="26" t="n">
        <v>-110</v>
      </c>
      <c r="BL16" s="27" t="n">
        <v>1.909</v>
      </c>
      <c r="BM16" s="28" t="n">
        <v>0.523834</v>
      </c>
      <c r="BN16" s="28" t="n">
        <v>0.523834</v>
      </c>
      <c r="BO16" s="28" t="n">
        <v>0.523834</v>
      </c>
      <c r="BP16" s="25" t="n"/>
      <c r="BQ16" s="27" t="n">
        <v>1.909</v>
      </c>
      <c r="BR16" s="28" t="n"/>
      <c r="BS16" s="28" t="n"/>
      <c r="BT16" s="28" t="n"/>
      <c r="BU16" s="25" t="n"/>
      <c r="BV16" s="29" t="n">
        <v>1.04</v>
      </c>
      <c r="BW16" s="24" t="n"/>
      <c r="BX16" s="30" t="n"/>
      <c r="BY16" s="27" t="n"/>
      <c r="BZ16" s="24" t="n"/>
      <c r="CA16" s="31" t="n"/>
      <c r="CB16" s="24" t="n"/>
      <c r="CC16" s="24" t="inlineStr">
        <is>
          <t>0.57372</t>
        </is>
      </c>
      <c r="CD16" s="24" t="inlineStr">
        <is>
          <t>-1.351066</t>
        </is>
      </c>
      <c r="CE16" s="24" t="inlineStr">
        <is>
          <t>0.99</t>
        </is>
      </c>
      <c r="CF16" s="24" t="inlineStr">
        <is>
          <t>1.0171</t>
        </is>
      </c>
      <c r="CG16" s="24" t="inlineStr">
        <is>
          <t>-0.2</t>
        </is>
      </c>
      <c r="CH16" s="24" t="n"/>
      <c r="CI16" s="24" t="n"/>
      <c r="CJ16" s="24" t="n"/>
      <c r="CK16" s="24" t="n"/>
      <c r="CL16" s="24" t="n"/>
      <c r="CM16" s="24" t="n"/>
    </row>
    <row r="17" ht="18" customHeight="1">
      <c r="A17" s="24" t="inlineStr">
        <is>
          <t>0c5ee6867c454c0f</t>
        </is>
      </c>
      <c r="B17" s="24" t="inlineStr">
        <is>
          <t>2026-07-22T22:42:56Z</t>
        </is>
      </c>
      <c r="C17" s="24" t="inlineStr">
        <is>
          <t>2026-07-21T23:40Z</t>
        </is>
      </c>
      <c r="D17" s="24" t="inlineStr">
        <is>
          <t>401816210</t>
        </is>
      </c>
      <c r="E17" s="24" t="inlineStr">
        <is>
          <t>MLB</t>
        </is>
      </c>
      <c r="F17" s="24" t="inlineStr">
        <is>
          <t>New York Mets</t>
        </is>
      </c>
      <c r="G17" s="24" t="inlineStr">
        <is>
          <t>Milwaukee Brewers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-110</v>
      </c>
      <c r="M17" s="27" t="n">
        <v>1.909091</v>
      </c>
      <c r="N17" s="28" t="n">
        <v>0.52381</v>
      </c>
      <c r="O17" s="28" t="n">
        <v>0.657843</v>
      </c>
      <c r="P17" s="28" t="n">
        <v>0.05</v>
      </c>
      <c r="Q17" s="28" t="n">
        <v>0.134034</v>
      </c>
      <c r="R17" s="26" t="n">
        <v>87</v>
      </c>
      <c r="S17" s="29" t="n">
        <v>2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loss</t>
        </is>
      </c>
      <c r="W17" s="26" t="n">
        <v>4</v>
      </c>
      <c r="X17" s="26" t="n">
        <v>0</v>
      </c>
      <c r="Y17" s="25" t="n"/>
      <c r="Z17" s="26" t="n"/>
      <c r="AA17" s="28" t="n"/>
      <c r="AB17" s="28" t="n"/>
      <c r="AC17" s="30" t="n">
        <v>-2</v>
      </c>
      <c r="AD17" s="24" t="inlineStr">
        <is>
          <t>2026-07-22T23:40:26.713424Z</t>
        </is>
      </c>
      <c r="AE17" s="31" t="n"/>
      <c r="AF17" s="31" t="n"/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QUALIFIED_RETROACTIVE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8a12d027cf1d2c206cb369c47da80e014f8ac4dfc414ffee96ae34656c46fef5</t>
        </is>
      </c>
      <c r="BB17" s="24" t="inlineStr">
        <is>
          <t>identity</t>
        </is>
      </c>
      <c r="BC17" s="24" t="inlineStr">
        <is>
          <t>identity-v1</t>
        </is>
      </c>
      <c r="BD17" s="24" t="n"/>
      <c r="BE17" s="24" t="inlineStr">
        <is>
          <t>1</t>
        </is>
      </c>
      <c r="BF17" s="24" t="inlineStr">
        <is>
          <t>1</t>
        </is>
      </c>
      <c r="BG17" s="24" t="n"/>
      <c r="BH17" s="24" t="inlineStr">
        <is>
          <t>2026-07-22T22:42:56Z</t>
        </is>
      </c>
      <c r="BI17" s="24" t="n"/>
      <c r="BJ17" s="25" t="n"/>
      <c r="BK17" s="26" t="n">
        <v>-110</v>
      </c>
      <c r="BL17" s="27" t="n">
        <v>1.909</v>
      </c>
      <c r="BM17" s="28" t="n">
        <v>0.523834</v>
      </c>
      <c r="BN17" s="28" t="n">
        <v>0.523834</v>
      </c>
      <c r="BO17" s="28" t="n">
        <v>0.523834</v>
      </c>
      <c r="BP17" s="25" t="n"/>
      <c r="BQ17" s="27" t="n"/>
      <c r="BR17" s="28" t="n"/>
      <c r="BS17" s="28" t="n"/>
      <c r="BT17" s="28" t="n"/>
      <c r="BU17" s="25" t="n"/>
      <c r="BV17" s="29" t="n">
        <v>2</v>
      </c>
      <c r="BW17" s="24" t="n"/>
      <c r="BX17" s="30" t="n"/>
      <c r="BY17" s="27" t="n"/>
      <c r="BZ17" s="24" t="n"/>
      <c r="CA17" s="31" t="n"/>
      <c r="CB17" s="24" t="n"/>
      <c r="CC17" s="24" t="inlineStr">
        <is>
          <t>0.688545</t>
        </is>
      </c>
      <c r="CD17" s="24" t="inlineStr">
        <is>
          <t>0.575043</t>
        </is>
      </c>
      <c r="CE17" s="24" t="inlineStr">
        <is>
          <t>0.98</t>
        </is>
      </c>
      <c r="CF17" s="24" t="inlineStr">
        <is>
          <t>1.0</t>
        </is>
      </c>
      <c r="CG17" s="24" t="inlineStr">
        <is>
          <t>0.6</t>
        </is>
      </c>
      <c r="CH17" s="24" t="n"/>
      <c r="CI17" s="24" t="n"/>
      <c r="CJ17" s="24" t="n"/>
      <c r="CK17" s="24" t="n"/>
      <c r="CL17" s="24" t="n"/>
      <c r="CM17" s="24" t="n"/>
    </row>
    <row r="18" ht="18" customHeight="1">
      <c r="A18" s="24" t="inlineStr">
        <is>
          <t>e9277d4caade4ebd</t>
        </is>
      </c>
      <c r="B18" s="24" t="inlineStr">
        <is>
          <t>2026-07-22T22:42:56Z</t>
        </is>
      </c>
      <c r="C18" s="24" t="inlineStr">
        <is>
          <t>2026-07-22T01:40Z</t>
        </is>
      </c>
      <c r="D18" s="24" t="inlineStr">
        <is>
          <t>401816214</t>
        </is>
      </c>
      <c r="E18" s="24" t="inlineStr">
        <is>
          <t>MLB</t>
        </is>
      </c>
      <c r="F18" s="24" t="inlineStr">
        <is>
          <t>Cincinnati Reds</t>
        </is>
      </c>
      <c r="G18" s="24" t="inlineStr">
        <is>
          <t>Seattle Mariners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-110</v>
      </c>
      <c r="M18" s="27" t="n">
        <v>1.909091</v>
      </c>
      <c r="N18" s="28" t="n">
        <v>0.52381</v>
      </c>
      <c r="O18" s="28" t="n">
        <v>0.513967</v>
      </c>
      <c r="P18" s="28" t="n">
        <v>0.05</v>
      </c>
      <c r="Q18" s="28" t="n">
        <v>-0.009842</v>
      </c>
      <c r="R18" s="26" t="n">
        <v>15</v>
      </c>
      <c r="S18" s="29" t="n">
        <v>0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loss</t>
        </is>
      </c>
      <c r="W18" s="26" t="n">
        <v>4</v>
      </c>
      <c r="X18" s="26" t="n">
        <v>2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2026-07-23T04:43:06.894546Z</t>
        </is>
      </c>
      <c r="AE18" s="31" t="n"/>
      <c r="AF18" s="31" t="n"/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8a12d027cf1d2c206cb369c47da80e014f8ac4dfc414ffee96ae34656c46fef5</t>
        </is>
      </c>
      <c r="BB18" s="24" t="inlineStr">
        <is>
          <t>identity</t>
        </is>
      </c>
      <c r="BC18" s="24" t="inlineStr">
        <is>
          <t>identity-v1</t>
        </is>
      </c>
      <c r="BD18" s="24" t="n"/>
      <c r="BE18" s="24" t="inlineStr">
        <is>
          <t>1</t>
        </is>
      </c>
      <c r="BF18" s="24" t="inlineStr">
        <is>
          <t>1</t>
        </is>
      </c>
      <c r="BG18" s="24" t="n"/>
      <c r="BH18" s="24" t="inlineStr">
        <is>
          <t>2026-07-22T22:42:56Z</t>
        </is>
      </c>
      <c r="BI18" s="24" t="n"/>
      <c r="BJ18" s="25" t="n"/>
      <c r="BK18" s="26" t="n">
        <v>-110</v>
      </c>
      <c r="BL18" s="27" t="n">
        <v>1.909</v>
      </c>
      <c r="BM18" s="28" t="n">
        <v>0.523834</v>
      </c>
      <c r="BN18" s="28" t="n">
        <v>0.523834</v>
      </c>
      <c r="BO18" s="28" t="n">
        <v>0.523834</v>
      </c>
      <c r="BP18" s="25" t="n"/>
      <c r="BQ18" s="27" t="n"/>
      <c r="BR18" s="28" t="n"/>
      <c r="BS18" s="28" t="n"/>
      <c r="BT18" s="28" t="n"/>
      <c r="BU18" s="25" t="n"/>
      <c r="BV18" s="29" t="n">
        <v>1.04</v>
      </c>
      <c r="BW18" s="24" t="n"/>
      <c r="BX18" s="30" t="n"/>
      <c r="BY18" s="27" t="n"/>
      <c r="BZ18" s="24" t="n"/>
      <c r="CA18" s="31" t="n"/>
      <c r="CB18" s="24" t="n"/>
      <c r="CC18" s="24" t="inlineStr">
        <is>
          <t>0.598757</t>
        </is>
      </c>
      <c r="CD18" s="24" t="inlineStr">
        <is>
          <t>1.370889</t>
        </is>
      </c>
      <c r="CE18" s="24" t="inlineStr">
        <is>
          <t>0.92</t>
        </is>
      </c>
      <c r="CF18" s="24" t="inlineStr">
        <is>
          <t>1.0</t>
        </is>
      </c>
      <c r="CG18" s="24" t="inlineStr">
        <is>
          <t>-3.8</t>
        </is>
      </c>
      <c r="CH18" s="24" t="n"/>
      <c r="CI18" s="24" t="n"/>
      <c r="CJ18" s="24" t="n"/>
      <c r="CK18" s="24" t="n"/>
      <c r="CL18" s="24" t="n"/>
      <c r="CM18" s="24" t="n"/>
    </row>
    <row r="19" ht="18" customHeight="1">
      <c r="A19" s="24" t="inlineStr">
        <is>
          <t>5b518a98a7d546bf</t>
        </is>
      </c>
      <c r="B19" s="24" t="inlineStr">
        <is>
          <t>2026-07-22T22:42:56Z</t>
        </is>
      </c>
      <c r="C19" s="24" t="inlineStr">
        <is>
          <t>2026-07-22T17:05Z</t>
        </is>
      </c>
      <c r="D19" s="24" t="inlineStr">
        <is>
          <t>401816219</t>
        </is>
      </c>
      <c r="E19" s="24" t="inlineStr">
        <is>
          <t>MLB</t>
        </is>
      </c>
      <c r="F19" s="24" t="inlineStr">
        <is>
          <t>Pittsburgh Pirates</t>
        </is>
      </c>
      <c r="G19" s="24" t="inlineStr">
        <is>
          <t>New York Yankees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-110</v>
      </c>
      <c r="M19" s="27" t="n">
        <v>1.909091</v>
      </c>
      <c r="N19" s="28" t="n">
        <v>0.52381</v>
      </c>
      <c r="O19" s="28" t="n">
        <v>0.593809</v>
      </c>
      <c r="P19" s="28" t="n">
        <v>0.05</v>
      </c>
      <c r="Q19" s="28" t="n">
        <v>0.06999900000000001</v>
      </c>
      <c r="R19" s="26" t="n">
        <v>55</v>
      </c>
      <c r="S19" s="29" t="n">
        <v>1.5</v>
      </c>
      <c r="T19" s="24" t="inlineStr">
        <is>
          <t>mlb-elo-trend-lr-v5</t>
        </is>
      </c>
      <c r="U19" s="24" t="inlineStr">
        <is>
          <t>settled</t>
        </is>
      </c>
      <c r="V19" s="24" t="inlineStr">
        <is>
          <t>loss</t>
        </is>
      </c>
      <c r="W19" s="26" t="n">
        <v>5</v>
      </c>
      <c r="X19" s="26" t="n">
        <v>3</v>
      </c>
      <c r="Y19" s="25" t="n"/>
      <c r="Z19" s="26" t="n"/>
      <c r="AA19" s="28" t="n"/>
      <c r="AB19" s="28" t="n"/>
      <c r="AC19" s="30" t="n">
        <v>-1.5</v>
      </c>
      <c r="AD19" s="24" t="inlineStr">
        <is>
          <t>2026-07-23T00:05:50.622878Z</t>
        </is>
      </c>
      <c r="AE19" s="31" t="n"/>
      <c r="AF19" s="31" t="n"/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QUALIFIED_RETROACTIVE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8a12d027cf1d2c206cb369c47da80e014f8ac4dfc414ffee96ae34656c46fef5</t>
        </is>
      </c>
      <c r="BB19" s="24" t="inlineStr">
        <is>
          <t>identity</t>
        </is>
      </c>
      <c r="BC19" s="24" t="inlineStr">
        <is>
          <t>identity-v1</t>
        </is>
      </c>
      <c r="BD19" s="24" t="n"/>
      <c r="BE19" s="24" t="inlineStr">
        <is>
          <t>1</t>
        </is>
      </c>
      <c r="BF19" s="24" t="inlineStr">
        <is>
          <t>1</t>
        </is>
      </c>
      <c r="BG19" s="24" t="n"/>
      <c r="BH19" s="24" t="inlineStr">
        <is>
          <t>2026-07-22T22:42:56Z</t>
        </is>
      </c>
      <c r="BI19" s="24" t="n"/>
      <c r="BJ19" s="25" t="n"/>
      <c r="BK19" s="26" t="n">
        <v>-110</v>
      </c>
      <c r="BL19" s="27" t="n">
        <v>1.909</v>
      </c>
      <c r="BM19" s="28" t="n">
        <v>0.523834</v>
      </c>
      <c r="BN19" s="28" t="n">
        <v>0.523834</v>
      </c>
      <c r="BO19" s="28" t="n">
        <v>0.523834</v>
      </c>
      <c r="BP19" s="25" t="n"/>
      <c r="BQ19" s="27" t="n"/>
      <c r="BR19" s="28" t="n"/>
      <c r="BS19" s="28" t="n"/>
      <c r="BT19" s="28" t="n"/>
      <c r="BU19" s="25" t="n"/>
      <c r="BV19" s="29" t="n">
        <v>1.04</v>
      </c>
      <c r="BW19" s="24" t="n"/>
      <c r="BX19" s="30" t="n"/>
      <c r="BY19" s="27" t="n"/>
      <c r="BZ19" s="24" t="n"/>
      <c r="CA19" s="31" t="n"/>
      <c r="CB19" s="24" t="n"/>
      <c r="CC19" s="24" t="inlineStr">
        <is>
          <t>0.57372</t>
        </is>
      </c>
      <c r="CD19" s="24" t="inlineStr">
        <is>
          <t>-1.351066</t>
        </is>
      </c>
      <c r="CE19" s="24" t="inlineStr">
        <is>
          <t>0.99</t>
        </is>
      </c>
      <c r="CF19" s="24" t="inlineStr">
        <is>
          <t>1.0171</t>
        </is>
      </c>
      <c r="CG19" s="24" t="inlineStr">
        <is>
          <t>-0.2</t>
        </is>
      </c>
      <c r="CH19" s="24" t="n"/>
      <c r="CI19" s="24" t="n"/>
      <c r="CJ19" s="24" t="n"/>
      <c r="CK19" s="24" t="n"/>
      <c r="CL19" s="24" t="n"/>
      <c r="CM19" s="24" t="n"/>
    </row>
    <row r="20" ht="18" customHeight="1">
      <c r="A20" s="24" t="inlineStr">
        <is>
          <t>2641464737044139</t>
        </is>
      </c>
      <c r="B20" s="24" t="inlineStr">
        <is>
          <t>2026-07-22T22:42:56Z</t>
        </is>
      </c>
      <c r="C20" s="24" t="inlineStr">
        <is>
          <t>2026-07-22T18:10Z</t>
        </is>
      </c>
      <c r="D20" s="24" t="inlineStr">
        <is>
          <t>401816225</t>
        </is>
      </c>
      <c r="E20" s="24" t="inlineStr">
        <is>
          <t>MLB</t>
        </is>
      </c>
      <c r="F20" s="24" t="inlineStr">
        <is>
          <t>New York Mets</t>
        </is>
      </c>
      <c r="G20" s="24" t="inlineStr">
        <is>
          <t>Milwaukee Brewers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-110</v>
      </c>
      <c r="M20" s="27" t="n">
        <v>1.909091</v>
      </c>
      <c r="N20" s="28" t="n">
        <v>0.52381</v>
      </c>
      <c r="O20" s="28" t="n">
        <v>0.657843</v>
      </c>
      <c r="P20" s="28" t="n">
        <v>0.05</v>
      </c>
      <c r="Q20" s="28" t="n">
        <v>0.134034</v>
      </c>
      <c r="R20" s="26" t="n">
        <v>87</v>
      </c>
      <c r="S20" s="29" t="n">
        <v>2</v>
      </c>
      <c r="T20" s="24" t="inlineStr">
        <is>
          <t>mlb-elo-trend-lr-v5</t>
        </is>
      </c>
      <c r="U20" s="24" t="inlineStr">
        <is>
          <t>settled</t>
        </is>
      </c>
      <c r="V20" s="24" t="inlineStr">
        <is>
          <t>win</t>
        </is>
      </c>
      <c r="W20" s="26" t="n">
        <v>3</v>
      </c>
      <c r="X20" s="26" t="n">
        <v>4</v>
      </c>
      <c r="Y20" s="25" t="n"/>
      <c r="Z20" s="26" t="n"/>
      <c r="AA20" s="28" t="n"/>
      <c r="AB20" s="28" t="n"/>
      <c r="AC20" s="30" t="n">
        <v>1.818</v>
      </c>
      <c r="AD20" s="24" t="inlineStr">
        <is>
          <t>2026-07-23T00:05:50.896341Z</t>
        </is>
      </c>
      <c r="AE20" s="31" t="n"/>
      <c r="AF20" s="31" t="n"/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QUALIFIED_RETROACTIVE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8a12d027cf1d2c206cb369c47da80e014f8ac4dfc414ffee96ae34656c46fef5</t>
        </is>
      </c>
      <c r="BB20" s="24" t="inlineStr">
        <is>
          <t>identity</t>
        </is>
      </c>
      <c r="BC20" s="24" t="inlineStr">
        <is>
          <t>identity-v1</t>
        </is>
      </c>
      <c r="BD20" s="24" t="n"/>
      <c r="BE20" s="24" t="inlineStr">
        <is>
          <t>1</t>
        </is>
      </c>
      <c r="BF20" s="24" t="inlineStr">
        <is>
          <t>1</t>
        </is>
      </c>
      <c r="BG20" s="24" t="n"/>
      <c r="BH20" s="24" t="inlineStr">
        <is>
          <t>2026-07-22T22:42:56Z</t>
        </is>
      </c>
      <c r="BI20" s="24" t="n"/>
      <c r="BJ20" s="25" t="n"/>
      <c r="BK20" s="26" t="n">
        <v>-110</v>
      </c>
      <c r="BL20" s="27" t="n">
        <v>1.909</v>
      </c>
      <c r="BM20" s="28" t="n">
        <v>0.523834</v>
      </c>
      <c r="BN20" s="28" t="n">
        <v>0.523834</v>
      </c>
      <c r="BO20" s="28" t="n">
        <v>0.523834</v>
      </c>
      <c r="BP20" s="25" t="n"/>
      <c r="BQ20" s="27" t="n"/>
      <c r="BR20" s="28" t="n"/>
      <c r="BS20" s="28" t="n"/>
      <c r="BT20" s="28" t="n"/>
      <c r="BU20" s="25" t="n"/>
      <c r="BV20" s="29" t="n">
        <v>2</v>
      </c>
      <c r="BW20" s="24" t="n"/>
      <c r="BX20" s="30" t="n"/>
      <c r="BY20" s="27" t="n"/>
      <c r="BZ20" s="24" t="n"/>
      <c r="CA20" s="31" t="n"/>
      <c r="CB20" s="24" t="n"/>
      <c r="CC20" s="24" t="inlineStr">
        <is>
          <t>0.688545</t>
        </is>
      </c>
      <c r="CD20" s="24" t="inlineStr">
        <is>
          <t>0.575043</t>
        </is>
      </c>
      <c r="CE20" s="24" t="inlineStr">
        <is>
          <t>0.98</t>
        </is>
      </c>
      <c r="CF20" s="24" t="inlineStr">
        <is>
          <t>1.0</t>
        </is>
      </c>
      <c r="CG20" s="24" t="inlineStr">
        <is>
          <t>0.6</t>
        </is>
      </c>
      <c r="CH20" s="24" t="n"/>
      <c r="CI20" s="24" t="n"/>
      <c r="CJ20" s="24" t="n"/>
      <c r="CK20" s="24" t="n"/>
      <c r="CL20" s="24" t="n"/>
      <c r="CM20" s="24" t="n"/>
    </row>
    <row r="21" ht="18" customHeight="1">
      <c r="A21" s="24" t="inlineStr">
        <is>
          <t>aae16e3298544ce1</t>
        </is>
      </c>
      <c r="B21" s="24" t="inlineStr">
        <is>
          <t>2026-07-22T22:42:56Z</t>
        </is>
      </c>
      <c r="C21" s="24" t="inlineStr">
        <is>
          <t>2026-07-22T19:40Z</t>
        </is>
      </c>
      <c r="D21" s="24" t="inlineStr">
        <is>
          <t>401816229</t>
        </is>
      </c>
      <c r="E21" s="24" t="inlineStr">
        <is>
          <t>MLB</t>
        </is>
      </c>
      <c r="F21" s="24" t="inlineStr">
        <is>
          <t>Cincinnati Reds</t>
        </is>
      </c>
      <c r="G21" s="24" t="inlineStr">
        <is>
          <t>Seattle Mariners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-110</v>
      </c>
      <c r="M21" s="27" t="n">
        <v>1.909091</v>
      </c>
      <c r="N21" s="28" t="n">
        <v>0.52381</v>
      </c>
      <c r="O21" s="28" t="n">
        <v>0.513967</v>
      </c>
      <c r="P21" s="28" t="n">
        <v>0.05</v>
      </c>
      <c r="Q21" s="28" t="n">
        <v>-0.009842</v>
      </c>
      <c r="R21" s="26" t="n">
        <v>15</v>
      </c>
      <c r="S21" s="29" t="n">
        <v>0</v>
      </c>
      <c r="T21" s="24" t="inlineStr">
        <is>
          <t>mlb-elo-trend-lr-v5</t>
        </is>
      </c>
      <c r="U21" s="24" t="inlineStr">
        <is>
          <t>settled</t>
        </is>
      </c>
      <c r="V21" s="24" t="inlineStr">
        <is>
          <t>loss</t>
        </is>
      </c>
      <c r="W21" s="26" t="n">
        <v>5</v>
      </c>
      <c r="X21" s="26" t="n">
        <v>3</v>
      </c>
      <c r="Y21" s="25" t="n"/>
      <c r="Z21" s="26" t="n"/>
      <c r="AA21" s="28" t="n"/>
      <c r="AB21" s="28" t="n"/>
      <c r="AC21" s="30" t="n">
        <v>0</v>
      </c>
      <c r="AD21" s="24" t="inlineStr">
        <is>
          <t>2026-07-23T04:43:07.602961Z</t>
        </is>
      </c>
      <c r="AE21" s="31" t="n"/>
      <c r="AF21" s="31" t="n"/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8a12d027cf1d2c206cb369c47da80e014f8ac4dfc414ffee96ae34656c46fef5</t>
        </is>
      </c>
      <c r="BB21" s="24" t="inlineStr">
        <is>
          <t>identity</t>
        </is>
      </c>
      <c r="BC21" s="24" t="inlineStr">
        <is>
          <t>identity-v1</t>
        </is>
      </c>
      <c r="BD21" s="24" t="n"/>
      <c r="BE21" s="24" t="inlineStr">
        <is>
          <t>1</t>
        </is>
      </c>
      <c r="BF21" s="24" t="inlineStr">
        <is>
          <t>1</t>
        </is>
      </c>
      <c r="BG21" s="24" t="n"/>
      <c r="BH21" s="24" t="inlineStr">
        <is>
          <t>2026-07-22T22:42:56Z</t>
        </is>
      </c>
      <c r="BI21" s="24" t="n"/>
      <c r="BJ21" s="25" t="n"/>
      <c r="BK21" s="26" t="n">
        <v>-110</v>
      </c>
      <c r="BL21" s="27" t="n">
        <v>1.909</v>
      </c>
      <c r="BM21" s="28" t="n">
        <v>0.523834</v>
      </c>
      <c r="BN21" s="28" t="n">
        <v>0.523834</v>
      </c>
      <c r="BO21" s="28" t="n">
        <v>0.523834</v>
      </c>
      <c r="BP21" s="25" t="n"/>
      <c r="BQ21" s="27" t="n"/>
      <c r="BR21" s="28" t="n"/>
      <c r="BS21" s="28" t="n"/>
      <c r="BT21" s="28" t="n"/>
      <c r="BU21" s="25" t="n"/>
      <c r="BV21" s="29" t="n">
        <v>1.04</v>
      </c>
      <c r="BW21" s="24" t="n"/>
      <c r="BX21" s="30" t="n"/>
      <c r="BY21" s="27" t="n"/>
      <c r="BZ21" s="24" t="n"/>
      <c r="CA21" s="31" t="n"/>
      <c r="CB21" s="24" t="n"/>
      <c r="CC21" s="24" t="inlineStr">
        <is>
          <t>0.598757</t>
        </is>
      </c>
      <c r="CD21" s="24" t="inlineStr">
        <is>
          <t>1.370889</t>
        </is>
      </c>
      <c r="CE21" s="24" t="inlineStr">
        <is>
          <t>0.92</t>
        </is>
      </c>
      <c r="CF21" s="24" t="inlineStr">
        <is>
          <t>1.0</t>
        </is>
      </c>
      <c r="CG21" s="24" t="inlineStr">
        <is>
          <t>-3.8</t>
        </is>
      </c>
      <c r="CH21" s="24" t="n"/>
      <c r="CI21" s="24" t="n"/>
      <c r="CJ21" s="24" t="n"/>
      <c r="CK21" s="24" t="n"/>
      <c r="CL21" s="24" t="n"/>
      <c r="CM21" s="24" t="n"/>
    </row>
    <row r="22" ht="18" customHeight="1">
      <c r="A22" s="24" t="inlineStr">
        <is>
          <t>cb5e58f29a5e45ee</t>
        </is>
      </c>
      <c r="B22" s="24" t="inlineStr">
        <is>
          <t>2026-07-22T22:42:56Z</t>
        </is>
      </c>
      <c r="C22" s="24" t="inlineStr">
        <is>
          <t>2026-07-22T23:05Z</t>
        </is>
      </c>
      <c r="D22" s="24" t="inlineStr">
        <is>
          <t>401898714</t>
        </is>
      </c>
      <c r="E22" s="24" t="inlineStr">
        <is>
          <t>MLB</t>
        </is>
      </c>
      <c r="F22" s="24" t="inlineStr">
        <is>
          <t>Pittsburgh Pirates</t>
        </is>
      </c>
      <c r="G22" s="24" t="inlineStr">
        <is>
          <t>New York Yankees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-110</v>
      </c>
      <c r="M22" s="27" t="n">
        <v>1.909091</v>
      </c>
      <c r="N22" s="28" t="n">
        <v>0.52381</v>
      </c>
      <c r="O22" s="28" t="n">
        <v>0.593809</v>
      </c>
      <c r="P22" s="28" t="n">
        <v>0.05</v>
      </c>
      <c r="Q22" s="28" t="n">
        <v>0.06999900000000001</v>
      </c>
      <c r="R22" s="26" t="n">
        <v>55</v>
      </c>
      <c r="S22" s="29" t="n">
        <v>1.5</v>
      </c>
      <c r="T22" s="24" t="inlineStr">
        <is>
          <t>mlb-elo-trend-lr-v5</t>
        </is>
      </c>
      <c r="U22" s="24" t="inlineStr">
        <is>
          <t>settled</t>
        </is>
      </c>
      <c r="V22" s="24" t="inlineStr">
        <is>
          <t>loss</t>
        </is>
      </c>
      <c r="W22" s="26" t="n">
        <v>5</v>
      </c>
      <c r="X22" s="26" t="n">
        <v>3</v>
      </c>
      <c r="Y22" s="25" t="n"/>
      <c r="Z22" s="26" t="n"/>
      <c r="AA22" s="28" t="n"/>
      <c r="AB22" s="28" t="n"/>
      <c r="AC22" s="30" t="n">
        <v>-1.5</v>
      </c>
      <c r="AD22" s="24" t="inlineStr">
        <is>
          <t>2026-07-23T00:05:51.285937Z</t>
        </is>
      </c>
      <c r="AE22" s="31" t="n"/>
      <c r="AF22" s="31" t="n"/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QUALIFIED_RETROACTIVE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8a12d027cf1d2c206cb369c47da80e014f8ac4dfc414ffee96ae34656c46fef5</t>
        </is>
      </c>
      <c r="BB22" s="24" t="inlineStr">
        <is>
          <t>identity</t>
        </is>
      </c>
      <c r="BC22" s="24" t="inlineStr">
        <is>
          <t>identity-v1</t>
        </is>
      </c>
      <c r="BD22" s="24" t="n"/>
      <c r="BE22" s="24" t="inlineStr">
        <is>
          <t>1</t>
        </is>
      </c>
      <c r="BF22" s="24" t="inlineStr">
        <is>
          <t>1</t>
        </is>
      </c>
      <c r="BG22" s="24" t="n"/>
      <c r="BH22" s="24" t="inlineStr">
        <is>
          <t>2026-07-22T22:42:56Z</t>
        </is>
      </c>
      <c r="BI22" s="24" t="n"/>
      <c r="BJ22" s="25" t="n"/>
      <c r="BK22" s="26" t="n">
        <v>-110</v>
      </c>
      <c r="BL22" s="27" t="n">
        <v>1.909</v>
      </c>
      <c r="BM22" s="28" t="n">
        <v>0.523834</v>
      </c>
      <c r="BN22" s="28" t="n">
        <v>0.523834</v>
      </c>
      <c r="BO22" s="28" t="n">
        <v>0.523834</v>
      </c>
      <c r="BP22" s="25" t="n"/>
      <c r="BQ22" s="27" t="n"/>
      <c r="BR22" s="28" t="n"/>
      <c r="BS22" s="28" t="n"/>
      <c r="BT22" s="28" t="n"/>
      <c r="BU22" s="25" t="n"/>
      <c r="BV22" s="29" t="n">
        <v>1.04</v>
      </c>
      <c r="BW22" s="24" t="n"/>
      <c r="BX22" s="30" t="n"/>
      <c r="BY22" s="27" t="n"/>
      <c r="BZ22" s="24" t="n"/>
      <c r="CA22" s="31" t="n"/>
      <c r="CB22" s="24" t="n"/>
      <c r="CC22" s="24" t="inlineStr">
        <is>
          <t>0.57372</t>
        </is>
      </c>
      <c r="CD22" s="24" t="inlineStr">
        <is>
          <t>-1.351066</t>
        </is>
      </c>
      <c r="CE22" s="24" t="inlineStr">
        <is>
          <t>0.99</t>
        </is>
      </c>
      <c r="CF22" s="24" t="inlineStr">
        <is>
          <t>1.0171</t>
        </is>
      </c>
      <c r="CG22" s="24" t="inlineStr">
        <is>
          <t>-0.2</t>
        </is>
      </c>
      <c r="CH22" s="24" t="n"/>
      <c r="CI22" s="24" t="n"/>
      <c r="CJ22" s="24" t="n"/>
      <c r="CK22" s="24" t="n"/>
      <c r="CL22" s="24" t="n"/>
      <c r="CM22" s="24" t="n"/>
    </row>
    <row r="23" ht="18" customHeight="1">
      <c r="A23" s="24" t="inlineStr">
        <is>
          <t>be0f50453d194a1d</t>
        </is>
      </c>
      <c r="B23" s="24" t="inlineStr">
        <is>
          <t>2026-07-22T22:42:56Z</t>
        </is>
      </c>
      <c r="C23" s="24" t="inlineStr">
        <is>
          <t>2026-07-17T23:30Z</t>
        </is>
      </c>
      <c r="D23" s="24" t="inlineStr">
        <is>
          <t>401857073</t>
        </is>
      </c>
      <c r="E23" s="24" t="inlineStr">
        <is>
          <t>WNBA</t>
        </is>
      </c>
      <c r="F23" s="24" t="inlineStr">
        <is>
          <t>Seattle Storm</t>
        </is>
      </c>
      <c r="G23" s="24" t="inlineStr">
        <is>
          <t>Indiana Fever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-110</v>
      </c>
      <c r="M23" s="27" t="n">
        <v>1.909091</v>
      </c>
      <c r="N23" s="28" t="n">
        <v>0.52381</v>
      </c>
      <c r="O23" s="28" t="n">
        <v>0.739063</v>
      </c>
      <c r="P23" s="28" t="n">
        <v>0.05</v>
      </c>
      <c r="Q23" s="28" t="n">
        <v>0.215253</v>
      </c>
      <c r="R23" s="26" t="n">
        <v>100</v>
      </c>
      <c r="S23" s="29" t="n">
        <v>2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107</v>
      </c>
      <c r="X23" s="26" t="n">
        <v>110</v>
      </c>
      <c r="Y23" s="25" t="n"/>
      <c r="Z23" s="26" t="n"/>
      <c r="AA23" s="28" t="n"/>
      <c r="AB23" s="28" t="n"/>
      <c r="AC23" s="30" t="n">
        <v>1.818</v>
      </c>
      <c r="AD23" s="24" t="inlineStr">
        <is>
          <t>2026-07-22T23:40:33.680264Z</t>
        </is>
      </c>
      <c r="AE23" s="31" t="n"/>
      <c r="AF23" s="31" t="n"/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QUALIFIED_RETROACTIVE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identity</t>
        </is>
      </c>
      <c r="BC23" s="24" t="inlineStr">
        <is>
          <t>identity-v1</t>
        </is>
      </c>
      <c r="BD23" s="24" t="n"/>
      <c r="BE23" s="24" t="inlineStr">
        <is>
          <t>1</t>
        </is>
      </c>
      <c r="BF23" s="24" t="inlineStr">
        <is>
          <t>1</t>
        </is>
      </c>
      <c r="BG23" s="24" t="n"/>
      <c r="BH23" s="24" t="inlineStr">
        <is>
          <t>2026-07-22T22:42:56Z</t>
        </is>
      </c>
      <c r="BI23" s="24" t="n"/>
      <c r="BJ23" s="25" t="n"/>
      <c r="BK23" s="26" t="n">
        <v>-110</v>
      </c>
      <c r="BL23" s="27" t="n">
        <v>1.909</v>
      </c>
      <c r="BM23" s="28" t="n">
        <v>0.523834</v>
      </c>
      <c r="BN23" s="28" t="n">
        <v>0.523834</v>
      </c>
      <c r="BO23" s="28" t="n">
        <v>0.523834</v>
      </c>
      <c r="BP23" s="25" t="n"/>
      <c r="BQ23" s="27" t="n"/>
      <c r="BR23" s="28" t="n"/>
      <c r="BS23" s="28" t="n"/>
      <c r="BT23" s="28" t="n"/>
      <c r="BU23" s="25" t="n"/>
      <c r="BV23" s="29" t="n">
        <v>2</v>
      </c>
      <c r="BW23" s="24" t="n"/>
      <c r="BX23" s="30" t="n"/>
      <c r="BY23" s="27" t="n"/>
      <c r="BZ23" s="24" t="n"/>
      <c r="CA23" s="31" t="n"/>
      <c r="CB23" s="24" t="n"/>
      <c r="CC23" s="24" t="inlineStr">
        <is>
          <t>0.842</t>
        </is>
      </c>
      <c r="CD23" s="24" t="inlineStr">
        <is>
          <t>2.908359</t>
        </is>
      </c>
      <c r="CE23" s="24" t="n"/>
      <c r="CF23" s="24" t="n"/>
      <c r="CG23" s="24" t="n"/>
      <c r="CH23" s="24" t="inlineStr">
        <is>
          <t>2.250675</t>
        </is>
      </c>
      <c r="CI23" s="24" t="n"/>
      <c r="CJ23" s="24" t="n"/>
      <c r="CK23" s="24" t="n"/>
      <c r="CL23" s="24" t="n"/>
      <c r="CM23" s="24" t="n"/>
    </row>
    <row r="24" ht="18" customHeight="1">
      <c r="A24" s="24" t="inlineStr">
        <is>
          <t>640243f733784e02</t>
        </is>
      </c>
      <c r="B24" s="24" t="inlineStr">
        <is>
          <t>2026-07-22T22:42:56Z</t>
        </is>
      </c>
      <c r="C24" s="24" t="inlineStr">
        <is>
          <t>2026-07-18T02:00Z</t>
        </is>
      </c>
      <c r="D24" s="24" t="inlineStr">
        <is>
          <t>401857076</t>
        </is>
      </c>
      <c r="E24" s="24" t="inlineStr">
        <is>
          <t>WNBA</t>
        </is>
      </c>
      <c r="F24" s="24" t="inlineStr">
        <is>
          <t>Connecticut Sun</t>
        </is>
      </c>
      <c r="G24" s="24" t="inlineStr">
        <is>
          <t>Phoenix Mercury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-110</v>
      </c>
      <c r="M24" s="27" t="n">
        <v>1.909091</v>
      </c>
      <c r="N24" s="28" t="n">
        <v>0.52381</v>
      </c>
      <c r="O24" s="28" t="n">
        <v>0.647753</v>
      </c>
      <c r="P24" s="28" t="n">
        <v>0.05</v>
      </c>
      <c r="Q24" s="28" t="n">
        <v>0.123943</v>
      </c>
      <c r="R24" s="26" t="n">
        <v>82</v>
      </c>
      <c r="S24" s="29" t="n">
        <v>2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96</v>
      </c>
      <c r="X24" s="26" t="n">
        <v>83</v>
      </c>
      <c r="Y24" s="25" t="n"/>
      <c r="Z24" s="26" t="n">
        <v>-110</v>
      </c>
      <c r="AA24" s="28" t="n">
        <v>0.523834</v>
      </c>
      <c r="AB24" s="28" t="n"/>
      <c r="AC24" s="30" t="n">
        <v>-2</v>
      </c>
      <c r="AD24" s="24" t="inlineStr">
        <is>
          <t>2026-07-23T00:02:09Z</t>
        </is>
      </c>
      <c r="AE24" s="31" t="n"/>
      <c r="AF24" s="31" t="n"/>
      <c r="AG24" s="24" t="n"/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QUALIFIED_RETROACTIVE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identity</t>
        </is>
      </c>
      <c r="BC24" s="24" t="inlineStr">
        <is>
          <t>identity-v1</t>
        </is>
      </c>
      <c r="BD24" s="24" t="n"/>
      <c r="BE24" s="24" t="inlineStr">
        <is>
          <t>1</t>
        </is>
      </c>
      <c r="BF24" s="24" t="inlineStr">
        <is>
          <t>1</t>
        </is>
      </c>
      <c r="BG24" s="24" t="n"/>
      <c r="BH24" s="24" t="inlineStr">
        <is>
          <t>2026-07-22T22:42:56Z</t>
        </is>
      </c>
      <c r="BI24" s="24" t="n"/>
      <c r="BJ24" s="25" t="n"/>
      <c r="BK24" s="26" t="n">
        <v>-110</v>
      </c>
      <c r="BL24" s="27" t="n">
        <v>1.909</v>
      </c>
      <c r="BM24" s="28" t="n">
        <v>0.523834</v>
      </c>
      <c r="BN24" s="28" t="n">
        <v>0.523834</v>
      </c>
      <c r="BO24" s="28" t="n">
        <v>0.523834</v>
      </c>
      <c r="BP24" s="25" t="n"/>
      <c r="BQ24" s="27" t="n">
        <v>1.909</v>
      </c>
      <c r="BR24" s="28" t="n"/>
      <c r="BS24" s="28" t="n"/>
      <c r="BT24" s="28" t="n"/>
      <c r="BU24" s="25" t="n"/>
      <c r="BV24" s="29" t="n">
        <v>2</v>
      </c>
      <c r="BW24" s="24" t="n"/>
      <c r="BX24" s="30" t="n"/>
      <c r="BY24" s="27" t="n"/>
      <c r="BZ24" s="24" t="n"/>
      <c r="CA24" s="31" t="n"/>
      <c r="CB24" s="24" t="n"/>
      <c r="CC24" s="24" t="inlineStr">
        <is>
          <t>0.686754</t>
        </is>
      </c>
      <c r="CD24" s="24" t="inlineStr">
        <is>
          <t>-1.583278</t>
        </is>
      </c>
      <c r="CE24" s="24" t="n"/>
      <c r="CF24" s="24" t="n"/>
      <c r="CG24" s="24" t="n"/>
      <c r="CH24" s="24" t="inlineStr">
        <is>
          <t>-6.029632</t>
        </is>
      </c>
      <c r="CI24" s="24" t="n"/>
      <c r="CJ24" s="24" t="n"/>
      <c r="CK24" s="24" t="n"/>
      <c r="CL24" s="24" t="n"/>
      <c r="CM24" s="24" t="n"/>
    </row>
    <row r="25" ht="18" customHeight="1">
      <c r="A25" s="24" t="inlineStr">
        <is>
          <t>6ac9d751394445d2</t>
        </is>
      </c>
      <c r="B25" s="24" t="inlineStr">
        <is>
          <t>2026-07-22T22:42:56Z</t>
        </is>
      </c>
      <c r="C25" s="24" t="inlineStr">
        <is>
          <t>2026-07-19T00:00Z</t>
        </is>
      </c>
      <c r="D25" s="24" t="inlineStr">
        <is>
          <t>401857077</t>
        </is>
      </c>
      <c r="E25" s="24" t="inlineStr">
        <is>
          <t>WNBA</t>
        </is>
      </c>
      <c r="F25" s="24" t="inlineStr">
        <is>
          <t>New York Liberty</t>
        </is>
      </c>
      <c r="G25" s="24" t="inlineStr">
        <is>
          <t>Indiana Fever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-110</v>
      </c>
      <c r="M25" s="27" t="n">
        <v>1.909091</v>
      </c>
      <c r="N25" s="28" t="n">
        <v>0.52381</v>
      </c>
      <c r="O25" s="28" t="n">
        <v>0.608474</v>
      </c>
      <c r="P25" s="28" t="n">
        <v>0.05</v>
      </c>
      <c r="Q25" s="28" t="n">
        <v>0.084664</v>
      </c>
      <c r="R25" s="26" t="n">
        <v>62</v>
      </c>
      <c r="S25" s="29" t="n">
        <v>1.5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88</v>
      </c>
      <c r="X25" s="26" t="n">
        <v>108</v>
      </c>
      <c r="Y25" s="25" t="n"/>
      <c r="Z25" s="26" t="n"/>
      <c r="AA25" s="28" t="n"/>
      <c r="AB25" s="28" t="n"/>
      <c r="AC25" s="30" t="n">
        <v>1.3635</v>
      </c>
      <c r="AD25" s="24" t="inlineStr">
        <is>
          <t>2026-07-22T23:40:35.288113Z</t>
        </is>
      </c>
      <c r="AE25" s="31" t="n"/>
      <c r="AF25" s="31" t="n"/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QUALIFIED_RETROACTIVE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identity</t>
        </is>
      </c>
      <c r="BC25" s="24" t="inlineStr">
        <is>
          <t>identity-v1</t>
        </is>
      </c>
      <c r="BD25" s="24" t="n"/>
      <c r="BE25" s="24" t="inlineStr">
        <is>
          <t>1</t>
        </is>
      </c>
      <c r="BF25" s="24" t="inlineStr">
        <is>
          <t>1</t>
        </is>
      </c>
      <c r="BG25" s="24" t="n"/>
      <c r="BH25" s="24" t="inlineStr">
        <is>
          <t>2026-07-22T22:42:56Z</t>
        </is>
      </c>
      <c r="BI25" s="24" t="n"/>
      <c r="BJ25" s="25" t="n"/>
      <c r="BK25" s="26" t="n">
        <v>-110</v>
      </c>
      <c r="BL25" s="27" t="n">
        <v>1.909</v>
      </c>
      <c r="BM25" s="28" t="n">
        <v>0.523834</v>
      </c>
      <c r="BN25" s="28" t="n">
        <v>0.523834</v>
      </c>
      <c r="BO25" s="28" t="n">
        <v>0.523834</v>
      </c>
      <c r="BP25" s="25" t="n"/>
      <c r="BQ25" s="27" t="n"/>
      <c r="BR25" s="28" t="n"/>
      <c r="BS25" s="28" t="n"/>
      <c r="BT25" s="28" t="n"/>
      <c r="BU25" s="25" t="n"/>
      <c r="BV25" s="29" t="n">
        <v>1.69</v>
      </c>
      <c r="BW25" s="24" t="n"/>
      <c r="BX25" s="30" t="n"/>
      <c r="BY25" s="27" t="n"/>
      <c r="BZ25" s="24" t="n"/>
      <c r="CA25" s="31" t="n"/>
      <c r="CB25" s="24" t="n"/>
      <c r="CC25" s="24" t="inlineStr">
        <is>
          <t>0.651403</t>
        </is>
      </c>
      <c r="CD25" s="24" t="inlineStr">
        <is>
          <t>5.093446</t>
        </is>
      </c>
      <c r="CE25" s="24" t="n"/>
      <c r="CF25" s="24" t="n"/>
      <c r="CG25" s="24" t="n"/>
      <c r="CH25" s="24" t="inlineStr">
        <is>
          <t>-1.819385</t>
        </is>
      </c>
      <c r="CI25" s="24" t="n"/>
      <c r="CJ25" s="24" t="n"/>
      <c r="CK25" s="24" t="n"/>
      <c r="CL25" s="24" t="n"/>
      <c r="CM25" s="24" t="n"/>
    </row>
    <row r="26" ht="18" customHeight="1">
      <c r="A26" s="24" t="inlineStr">
        <is>
          <t>1a16c2cf30fd46f6</t>
        </is>
      </c>
      <c r="B26" s="24" t="inlineStr">
        <is>
          <t>2026-07-22T22:42:56Z</t>
        </is>
      </c>
      <c r="C26" s="24" t="inlineStr">
        <is>
          <t>2026-07-19T00:00Z</t>
        </is>
      </c>
      <c r="D26" s="24" t="inlineStr">
        <is>
          <t>401857078</t>
        </is>
      </c>
      <c r="E26" s="24" t="inlineStr">
        <is>
          <t>WNBA</t>
        </is>
      </c>
      <c r="F26" s="24" t="inlineStr">
        <is>
          <t>Portland Fire</t>
        </is>
      </c>
      <c r="G26" s="24" t="inlineStr">
        <is>
          <t>Minnesota Lynx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-110</v>
      </c>
      <c r="M26" s="27" t="n">
        <v>1.909091</v>
      </c>
      <c r="N26" s="28" t="n">
        <v>0.52381</v>
      </c>
      <c r="O26" s="28" t="n">
        <v>0.76009</v>
      </c>
      <c r="P26" s="28" t="n">
        <v>0.05</v>
      </c>
      <c r="Q26" s="28" t="n">
        <v>0.23628</v>
      </c>
      <c r="R26" s="26" t="n">
        <v>100</v>
      </c>
      <c r="S26" s="29" t="n">
        <v>2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93</v>
      </c>
      <c r="X26" s="26" t="n">
        <v>101</v>
      </c>
      <c r="Y26" s="25" t="n"/>
      <c r="Z26" s="26" t="n">
        <v>-110</v>
      </c>
      <c r="AA26" s="28" t="n">
        <v>0.523834</v>
      </c>
      <c r="AB26" s="28" t="n"/>
      <c r="AC26" s="30" t="n">
        <v>1.818</v>
      </c>
      <c r="AD26" s="24" t="inlineStr">
        <is>
          <t>2026-07-23T00:02:09Z</t>
        </is>
      </c>
      <c r="AE26" s="31" t="n"/>
      <c r="AF26" s="31" t="n"/>
      <c r="AG26" s="24" t="n"/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QUALIFIED_RETROACTIVE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identity</t>
        </is>
      </c>
      <c r="BC26" s="24" t="inlineStr">
        <is>
          <t>identity-v1</t>
        </is>
      </c>
      <c r="BD26" s="24" t="n"/>
      <c r="BE26" s="24" t="inlineStr">
        <is>
          <t>1</t>
        </is>
      </c>
      <c r="BF26" s="24" t="inlineStr">
        <is>
          <t>1</t>
        </is>
      </c>
      <c r="BG26" s="24" t="n"/>
      <c r="BH26" s="24" t="inlineStr">
        <is>
          <t>2026-07-22T22:42:56Z</t>
        </is>
      </c>
      <c r="BI26" s="24" t="n"/>
      <c r="BJ26" s="25" t="n"/>
      <c r="BK26" s="26" t="n">
        <v>-110</v>
      </c>
      <c r="BL26" s="27" t="n">
        <v>1.909</v>
      </c>
      <c r="BM26" s="28" t="n">
        <v>0.523834</v>
      </c>
      <c r="BN26" s="28" t="n">
        <v>0.523834</v>
      </c>
      <c r="BO26" s="28" t="n">
        <v>0.523834</v>
      </c>
      <c r="BP26" s="25" t="n"/>
      <c r="BQ26" s="27" t="n">
        <v>1.909</v>
      </c>
      <c r="BR26" s="28" t="n"/>
      <c r="BS26" s="28" t="n"/>
      <c r="BT26" s="28" t="n"/>
      <c r="BU26" s="25" t="n"/>
      <c r="BV26" s="29" t="n">
        <v>2</v>
      </c>
      <c r="BW26" s="24" t="n"/>
      <c r="BX26" s="30" t="n"/>
      <c r="BY26" s="27" t="n"/>
      <c r="BZ26" s="24" t="n"/>
      <c r="CA26" s="31" t="n"/>
      <c r="CB26" s="24" t="n"/>
      <c r="CC26" s="24" t="inlineStr">
        <is>
          <t>0.866104</t>
        </is>
      </c>
      <c r="CD26" s="24" t="inlineStr">
        <is>
          <t>2.001573</t>
        </is>
      </c>
      <c r="CE26" s="24" t="n"/>
      <c r="CF26" s="24" t="n"/>
      <c r="CG26" s="24" t="n"/>
      <c r="CH26" s="24" t="inlineStr">
        <is>
          <t>-8.096233</t>
        </is>
      </c>
      <c r="CI26" s="24" t="n"/>
      <c r="CJ26" s="24" t="n"/>
      <c r="CK26" s="24" t="n"/>
      <c r="CL26" s="24" t="n"/>
      <c r="CM26" s="24" t="n"/>
    </row>
    <row r="27" ht="18" customHeight="1">
      <c r="A27" s="24" t="inlineStr">
        <is>
          <t>d58c66fbb09245da</t>
        </is>
      </c>
      <c r="B27" s="24" t="inlineStr">
        <is>
          <t>2026-07-22T22:42:56Z</t>
        </is>
      </c>
      <c r="C27" s="24" t="inlineStr">
        <is>
          <t>2026-07-19T00:30Z</t>
        </is>
      </c>
      <c r="D27" s="24" t="inlineStr">
        <is>
          <t>401857079</t>
        </is>
      </c>
      <c r="E27" s="24" t="inlineStr">
        <is>
          <t>WNBA</t>
        </is>
      </c>
      <c r="F27" s="24" t="inlineStr">
        <is>
          <t>Washington Mystics</t>
        </is>
      </c>
      <c r="G27" s="24" t="inlineStr">
        <is>
          <t>Golden State Valkyries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-110</v>
      </c>
      <c r="M27" s="27" t="n">
        <v>1.909091</v>
      </c>
      <c r="N27" s="28" t="n">
        <v>0.52381</v>
      </c>
      <c r="O27" s="28" t="n">
        <v>0.75064</v>
      </c>
      <c r="P27" s="28" t="n">
        <v>0.05</v>
      </c>
      <c r="Q27" s="28" t="n">
        <v>0.22683</v>
      </c>
      <c r="R27" s="26" t="n">
        <v>100</v>
      </c>
      <c r="S27" s="29" t="n">
        <v>2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win</t>
        </is>
      </c>
      <c r="W27" s="26" t="n">
        <v>69</v>
      </c>
      <c r="X27" s="26" t="n">
        <v>74</v>
      </c>
      <c r="Y27" s="25" t="n"/>
      <c r="Z27" s="26" t="n">
        <v>-110</v>
      </c>
      <c r="AA27" s="28" t="n">
        <v>0.523834</v>
      </c>
      <c r="AB27" s="28" t="n"/>
      <c r="AC27" s="30" t="n">
        <v>1.818</v>
      </c>
      <c r="AD27" s="24" t="inlineStr">
        <is>
          <t>2026-07-23T00:02:09Z</t>
        </is>
      </c>
      <c r="AE27" s="31" t="n"/>
      <c r="AF27" s="31" t="n"/>
      <c r="AG27" s="24" t="n"/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QUALIFIED_RETROACTIVE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identity</t>
        </is>
      </c>
      <c r="BC27" s="24" t="inlineStr">
        <is>
          <t>identity-v1</t>
        </is>
      </c>
      <c r="BD27" s="24" t="n"/>
      <c r="BE27" s="24" t="inlineStr">
        <is>
          <t>1</t>
        </is>
      </c>
      <c r="BF27" s="24" t="inlineStr">
        <is>
          <t>1</t>
        </is>
      </c>
      <c r="BG27" s="24" t="n"/>
      <c r="BH27" s="24" t="inlineStr">
        <is>
          <t>2026-07-22T22:42:56Z</t>
        </is>
      </c>
      <c r="BI27" s="24" t="n"/>
      <c r="BJ27" s="25" t="n"/>
      <c r="BK27" s="26" t="n">
        <v>-110</v>
      </c>
      <c r="BL27" s="27" t="n">
        <v>1.909</v>
      </c>
      <c r="BM27" s="28" t="n">
        <v>0.523834</v>
      </c>
      <c r="BN27" s="28" t="n">
        <v>0.523834</v>
      </c>
      <c r="BO27" s="28" t="n">
        <v>0.523834</v>
      </c>
      <c r="BP27" s="25" t="n"/>
      <c r="BQ27" s="27" t="n">
        <v>1.909</v>
      </c>
      <c r="BR27" s="28" t="n"/>
      <c r="BS27" s="28" t="n"/>
      <c r="BT27" s="28" t="n"/>
      <c r="BU27" s="25" t="n"/>
      <c r="BV27" s="29" t="n">
        <v>2</v>
      </c>
      <c r="BW27" s="24" t="n"/>
      <c r="BX27" s="30" t="n"/>
      <c r="BY27" s="27" t="n"/>
      <c r="BZ27" s="24" t="n"/>
      <c r="CA27" s="31" t="n"/>
      <c r="CB27" s="24" t="n"/>
      <c r="CC27" s="24" t="inlineStr">
        <is>
          <t>0.862414</t>
        </is>
      </c>
      <c r="CD27" s="24" t="inlineStr">
        <is>
          <t>4.720226</t>
        </is>
      </c>
      <c r="CE27" s="24" t="n"/>
      <c r="CF27" s="24" t="n"/>
      <c r="CG27" s="24" t="n"/>
      <c r="CH27" s="24" t="inlineStr">
        <is>
          <t>-0.874447</t>
        </is>
      </c>
      <c r="CI27" s="24" t="n"/>
      <c r="CJ27" s="24" t="n"/>
      <c r="CK27" s="24" t="n"/>
      <c r="CL27" s="24" t="n"/>
      <c r="CM27" s="24" t="n"/>
    </row>
    <row r="28" ht="18" customHeight="1">
      <c r="A28" s="24" t="inlineStr">
        <is>
          <t>799d5c7b3c034c63</t>
        </is>
      </c>
      <c r="B28" s="24" t="inlineStr">
        <is>
          <t>2026-07-22T22:42:56Z</t>
        </is>
      </c>
      <c r="C28" s="24" t="inlineStr">
        <is>
          <t>2026-07-19T17:00Z</t>
        </is>
      </c>
      <c r="D28" s="24" t="inlineStr">
        <is>
          <t>401857080</t>
        </is>
      </c>
      <c r="E28" s="24" t="inlineStr">
        <is>
          <t>WNBA</t>
        </is>
      </c>
      <c r="F28" s="24" t="inlineStr">
        <is>
          <t>Los Angeles Sparks</t>
        </is>
      </c>
      <c r="G28" s="24" t="inlineStr">
        <is>
          <t>Dallas Wings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-110</v>
      </c>
      <c r="M28" s="27" t="n">
        <v>1.909091</v>
      </c>
      <c r="N28" s="28" t="n">
        <v>0.52381</v>
      </c>
      <c r="O28" s="28" t="n">
        <v>0.738341</v>
      </c>
      <c r="P28" s="28" t="n">
        <v>0.05</v>
      </c>
      <c r="Q28" s="28" t="n">
        <v>0.214531</v>
      </c>
      <c r="R28" s="26" t="n">
        <v>100</v>
      </c>
      <c r="S28" s="29" t="n">
        <v>2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win</t>
        </is>
      </c>
      <c r="W28" s="26" t="n">
        <v>82</v>
      </c>
      <c r="X28" s="26" t="n">
        <v>90</v>
      </c>
      <c r="Y28" s="25" t="n"/>
      <c r="Z28" s="26" t="n"/>
      <c r="AA28" s="28" t="n"/>
      <c r="AB28" s="28" t="n"/>
      <c r="AC28" s="30" t="n">
        <v>1.818</v>
      </c>
      <c r="AD28" s="24" t="inlineStr">
        <is>
          <t>2026-07-22T23:40:36.780212Z</t>
        </is>
      </c>
      <c r="AE28" s="31" t="n"/>
      <c r="AF28" s="31" t="n"/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QUALIFIED_RETROACTIVE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identity</t>
        </is>
      </c>
      <c r="BC28" s="24" t="inlineStr">
        <is>
          <t>identity-v1</t>
        </is>
      </c>
      <c r="BD28" s="24" t="n"/>
      <c r="BE28" s="24" t="inlineStr">
        <is>
          <t>1</t>
        </is>
      </c>
      <c r="BF28" s="24" t="inlineStr">
        <is>
          <t>1</t>
        </is>
      </c>
      <c r="BG28" s="24" t="n"/>
      <c r="BH28" s="24" t="inlineStr">
        <is>
          <t>2026-07-22T22:42:56Z</t>
        </is>
      </c>
      <c r="BI28" s="24" t="n"/>
      <c r="BJ28" s="25" t="n"/>
      <c r="BK28" s="26" t="n">
        <v>-110</v>
      </c>
      <c r="BL28" s="27" t="n">
        <v>1.909</v>
      </c>
      <c r="BM28" s="28" t="n">
        <v>0.523834</v>
      </c>
      <c r="BN28" s="28" t="n">
        <v>0.523834</v>
      </c>
      <c r="BO28" s="28" t="n">
        <v>0.523834</v>
      </c>
      <c r="BP28" s="25" t="n"/>
      <c r="BQ28" s="27" t="n"/>
      <c r="BR28" s="28" t="n"/>
      <c r="BS28" s="28" t="n"/>
      <c r="BT28" s="28" t="n"/>
      <c r="BU28" s="25" t="n"/>
      <c r="BV28" s="29" t="n">
        <v>2</v>
      </c>
      <c r="BW28" s="24" t="n"/>
      <c r="BX28" s="30" t="n"/>
      <c r="BY28" s="27" t="n"/>
      <c r="BZ28" s="24" t="n"/>
      <c r="CA28" s="31" t="n"/>
      <c r="CB28" s="24" t="n"/>
      <c r="CC28" s="24" t="inlineStr">
        <is>
          <t>0.839957</t>
        </is>
      </c>
      <c r="CD28" s="24" t="inlineStr">
        <is>
          <t>1.256293</t>
        </is>
      </c>
      <c r="CE28" s="24" t="n"/>
      <c r="CF28" s="24" t="n"/>
      <c r="CG28" s="24" t="n"/>
      <c r="CH28" s="24" t="inlineStr">
        <is>
          <t>5.144466</t>
        </is>
      </c>
      <c r="CI28" s="24" t="n"/>
      <c r="CJ28" s="24" t="n"/>
      <c r="CK28" s="24" t="n"/>
      <c r="CL28" s="24" t="n"/>
      <c r="CM28" s="24" t="n"/>
    </row>
    <row r="29" ht="18" customHeight="1">
      <c r="A29" s="24" t="inlineStr">
        <is>
          <t>680efa02a40242f1</t>
        </is>
      </c>
      <c r="B29" s="24" t="inlineStr">
        <is>
          <t>2026-07-22T22:42:56Z</t>
        </is>
      </c>
      <c r="C29" s="24" t="inlineStr">
        <is>
          <t>2026-07-19T20:00Z</t>
        </is>
      </c>
      <c r="D29" s="24" t="inlineStr">
        <is>
          <t>401857081</t>
        </is>
      </c>
      <c r="E29" s="24" t="inlineStr">
        <is>
          <t>WNBA</t>
        </is>
      </c>
      <c r="F29" s="24" t="inlineStr">
        <is>
          <t>Chicago Sky</t>
        </is>
      </c>
      <c r="G29" s="24" t="inlineStr">
        <is>
          <t>Atlanta Dream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-110</v>
      </c>
      <c r="M29" s="27" t="n">
        <v>1.909091</v>
      </c>
      <c r="N29" s="28" t="n">
        <v>0.52381</v>
      </c>
      <c r="O29" s="28" t="n">
        <v>0.684245</v>
      </c>
      <c r="P29" s="28" t="n">
        <v>0.05</v>
      </c>
      <c r="Q29" s="28" t="n">
        <v>0.160435</v>
      </c>
      <c r="R29" s="26" t="n">
        <v>100</v>
      </c>
      <c r="S29" s="29" t="n">
        <v>2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91</v>
      </c>
      <c r="X29" s="26" t="n">
        <v>93</v>
      </c>
      <c r="Y29" s="25" t="n"/>
      <c r="Z29" s="26" t="n">
        <v>-110</v>
      </c>
      <c r="AA29" s="28" t="n">
        <v>0.523834</v>
      </c>
      <c r="AB29" s="28" t="n"/>
      <c r="AC29" s="30" t="n">
        <v>1.818</v>
      </c>
      <c r="AD29" s="24" t="inlineStr">
        <is>
          <t>2026-07-22T23:44:22Z</t>
        </is>
      </c>
      <c r="AE29" s="31" t="n"/>
      <c r="AF29" s="31" t="n"/>
      <c r="AG29" s="24" t="n"/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QUALIFIED_RETROACTIVE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7afd5274214b58b7efd7f7febc7be3ab33b92351cda5cc6403c0a39faea0cc8c</t>
        </is>
      </c>
      <c r="BB29" s="24" t="inlineStr">
        <is>
          <t>identity</t>
        </is>
      </c>
      <c r="BC29" s="24" t="inlineStr">
        <is>
          <t>identity-v1</t>
        </is>
      </c>
      <c r="BD29" s="24" t="n"/>
      <c r="BE29" s="24" t="inlineStr">
        <is>
          <t>1</t>
        </is>
      </c>
      <c r="BF29" s="24" t="inlineStr">
        <is>
          <t>1</t>
        </is>
      </c>
      <c r="BG29" s="24" t="n"/>
      <c r="BH29" s="24" t="inlineStr">
        <is>
          <t>2026-07-22T22:42:56Z</t>
        </is>
      </c>
      <c r="BI29" s="24" t="n"/>
      <c r="BJ29" s="25" t="n"/>
      <c r="BK29" s="26" t="n">
        <v>-110</v>
      </c>
      <c r="BL29" s="27" t="n">
        <v>1.909</v>
      </c>
      <c r="BM29" s="28" t="n">
        <v>0.523834</v>
      </c>
      <c r="BN29" s="28" t="n">
        <v>0.523834</v>
      </c>
      <c r="BO29" s="28" t="n">
        <v>0.523834</v>
      </c>
      <c r="BP29" s="25" t="n"/>
      <c r="BQ29" s="27" t="n">
        <v>1.909</v>
      </c>
      <c r="BR29" s="28" t="n"/>
      <c r="BS29" s="28" t="n"/>
      <c r="BT29" s="28" t="n"/>
      <c r="BU29" s="25" t="n"/>
      <c r="BV29" s="29" t="n">
        <v>2</v>
      </c>
      <c r="BW29" s="24" t="n"/>
      <c r="BX29" s="30" t="n"/>
      <c r="BY29" s="27" t="n"/>
      <c r="BZ29" s="24" t="n"/>
      <c r="CA29" s="31" t="n"/>
      <c r="CB29" s="24" t="n"/>
      <c r="CC29" s="24" t="inlineStr">
        <is>
          <t>0.740089</t>
        </is>
      </c>
      <c r="CD29" s="24" t="inlineStr">
        <is>
          <t>-1.350894</t>
        </is>
      </c>
      <c r="CE29" s="24" t="n"/>
      <c r="CF29" s="24" t="n"/>
      <c r="CG29" s="24" t="n"/>
      <c r="CH29" s="24" t="inlineStr">
        <is>
          <t>-5.543573</t>
        </is>
      </c>
      <c r="CI29" s="24" t="n"/>
      <c r="CJ29" s="24" t="n"/>
      <c r="CK29" s="24" t="n"/>
      <c r="CL29" s="24" t="n"/>
      <c r="CM29" s="24" t="n"/>
    </row>
    <row r="30" ht="18" customHeight="1">
      <c r="A30" s="24" t="inlineStr">
        <is>
          <t>e8f8db98dd0249b3</t>
        </is>
      </c>
      <c r="B30" s="24" t="inlineStr">
        <is>
          <t>2026-07-22T22:42:56Z</t>
        </is>
      </c>
      <c r="C30" s="24" t="inlineStr">
        <is>
          <t>2026-07-19T23:00Z</t>
        </is>
      </c>
      <c r="D30" s="24" t="inlineStr">
        <is>
          <t>401857082</t>
        </is>
      </c>
      <c r="E30" s="24" t="inlineStr">
        <is>
          <t>WNBA</t>
        </is>
      </c>
      <c r="F30" s="24" t="inlineStr">
        <is>
          <t>Connecticut Sun</t>
        </is>
      </c>
      <c r="G30" s="24" t="inlineStr">
        <is>
          <t>Phoenix Mercury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-110</v>
      </c>
      <c r="M30" s="27" t="n">
        <v>1.909091</v>
      </c>
      <c r="N30" s="28" t="n">
        <v>0.52381</v>
      </c>
      <c r="O30" s="28" t="n">
        <v>0.576234</v>
      </c>
      <c r="P30" s="28" t="n">
        <v>0.05</v>
      </c>
      <c r="Q30" s="28" t="n">
        <v>0.052424</v>
      </c>
      <c r="R30" s="26" t="n">
        <v>46</v>
      </c>
      <c r="S30" s="29" t="n">
        <v>1.25</v>
      </c>
      <c r="T30" s="24" t="inlineStr">
        <is>
          <t>wnba-elo-trend-lr-v4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63</v>
      </c>
      <c r="X30" s="26" t="n">
        <v>72</v>
      </c>
      <c r="Y30" s="25" t="n"/>
      <c r="Z30" s="26" t="n">
        <v>-110</v>
      </c>
      <c r="AA30" s="28" t="n">
        <v>0.523834</v>
      </c>
      <c r="AB30" s="28" t="n"/>
      <c r="AC30" s="30" t="n">
        <v>1.1362</v>
      </c>
      <c r="AD30" s="24" t="inlineStr">
        <is>
          <t>2026-07-22T23:44:22Z</t>
        </is>
      </c>
      <c r="AE30" s="31" t="n"/>
      <c r="AF30" s="31" t="n"/>
      <c r="AG30" s="24" t="n"/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QUALIFIED_RETROACTIVE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7afd5274214b58b7efd7f7febc7be3ab33b92351cda5cc6403c0a39faea0cc8c</t>
        </is>
      </c>
      <c r="BB30" s="24" t="inlineStr">
        <is>
          <t>identity</t>
        </is>
      </c>
      <c r="BC30" s="24" t="inlineStr">
        <is>
          <t>identity-v1</t>
        </is>
      </c>
      <c r="BD30" s="24" t="n"/>
      <c r="BE30" s="24" t="inlineStr">
        <is>
          <t>1</t>
        </is>
      </c>
      <c r="BF30" s="24" t="inlineStr">
        <is>
          <t>1</t>
        </is>
      </c>
      <c r="BG30" s="24" t="n"/>
      <c r="BH30" s="24" t="inlineStr">
        <is>
          <t>2026-07-22T22:42:56Z</t>
        </is>
      </c>
      <c r="BI30" s="24" t="n"/>
      <c r="BJ30" s="25" t="n"/>
      <c r="BK30" s="26" t="n">
        <v>-110</v>
      </c>
      <c r="BL30" s="27" t="n">
        <v>1.909</v>
      </c>
      <c r="BM30" s="28" t="n">
        <v>0.523834</v>
      </c>
      <c r="BN30" s="28" t="n">
        <v>0.523834</v>
      </c>
      <c r="BO30" s="28" t="n">
        <v>0.523834</v>
      </c>
      <c r="BP30" s="25" t="n"/>
      <c r="BQ30" s="27" t="n">
        <v>1.909</v>
      </c>
      <c r="BR30" s="28" t="n"/>
      <c r="BS30" s="28" t="n"/>
      <c r="BT30" s="28" t="n"/>
      <c r="BU30" s="25" t="n"/>
      <c r="BV30" s="29" t="n">
        <v>1.05</v>
      </c>
      <c r="BW30" s="24" t="n"/>
      <c r="BX30" s="30" t="n"/>
      <c r="BY30" s="27" t="n"/>
      <c r="BZ30" s="24" t="n"/>
      <c r="CA30" s="31" t="n"/>
      <c r="CB30" s="24" t="n"/>
      <c r="CC30" s="24" t="inlineStr">
        <is>
          <t>0.584213</t>
        </is>
      </c>
      <c r="CD30" s="24" t="inlineStr">
        <is>
          <t>-3.773353</t>
        </is>
      </c>
      <c r="CE30" s="24" t="n"/>
      <c r="CF30" s="24" t="n"/>
      <c r="CG30" s="24" t="n"/>
      <c r="CH30" s="24" t="inlineStr">
        <is>
          <t>-7.650785</t>
        </is>
      </c>
      <c r="CI30" s="24" t="n"/>
      <c r="CJ30" s="24" t="n"/>
      <c r="CK30" s="24" t="n"/>
      <c r="CL30" s="24" t="n"/>
      <c r="CM30" s="24" t="n"/>
    </row>
    <row r="31" ht="18" customHeight="1">
      <c r="A31" s="24" t="inlineStr">
        <is>
          <t>e761b72b1f3441ff</t>
        </is>
      </c>
      <c r="B31" s="24" t="inlineStr">
        <is>
          <t>2026-07-22T22:42:56Z</t>
        </is>
      </c>
      <c r="C31" s="24" t="inlineStr">
        <is>
          <t>2026-07-21T00:00Z</t>
        </is>
      </c>
      <c r="D31" s="24" t="inlineStr">
        <is>
          <t>401892393</t>
        </is>
      </c>
      <c r="E31" s="24" t="inlineStr">
        <is>
          <t>WNBA</t>
        </is>
      </c>
      <c r="F31" s="24" t="inlineStr">
        <is>
          <t>New York Liberty</t>
        </is>
      </c>
      <c r="G31" s="24" t="inlineStr">
        <is>
          <t>Dallas Wings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-110</v>
      </c>
      <c r="M31" s="27" t="n">
        <v>1.909091</v>
      </c>
      <c r="N31" s="28" t="n">
        <v>0.52381</v>
      </c>
      <c r="O31" s="28" t="n">
        <v>0.6690160000000001</v>
      </c>
      <c r="P31" s="28" t="n">
        <v>0.05</v>
      </c>
      <c r="Q31" s="28" t="n">
        <v>0.145206</v>
      </c>
      <c r="R31" s="26" t="n">
        <v>93</v>
      </c>
      <c r="S31" s="29" t="n">
        <v>2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99</v>
      </c>
      <c r="X31" s="26" t="n">
        <v>98</v>
      </c>
      <c r="Y31" s="25" t="n"/>
      <c r="Z31" s="26" t="n"/>
      <c r="AA31" s="28" t="n"/>
      <c r="AB31" s="28" t="n"/>
      <c r="AC31" s="30" t="n">
        <v>-2</v>
      </c>
      <c r="AD31" s="24" t="inlineStr">
        <is>
          <t>2026-07-22T23:40:38.872966Z</t>
        </is>
      </c>
      <c r="AE31" s="31" t="n"/>
      <c r="AF31" s="31" t="n"/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QUALIFIED_RETROACTIVE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identity</t>
        </is>
      </c>
      <c r="BC31" s="24" t="inlineStr">
        <is>
          <t>identity-v1</t>
        </is>
      </c>
      <c r="BD31" s="24" t="n"/>
      <c r="BE31" s="24" t="inlineStr">
        <is>
          <t>1</t>
        </is>
      </c>
      <c r="BF31" s="24" t="inlineStr">
        <is>
          <t>1</t>
        </is>
      </c>
      <c r="BG31" s="24" t="n"/>
      <c r="BH31" s="24" t="inlineStr">
        <is>
          <t>2026-07-22T22:42:56Z</t>
        </is>
      </c>
      <c r="BI31" s="24" t="n"/>
      <c r="BJ31" s="25" t="n"/>
      <c r="BK31" s="26" t="n">
        <v>-110</v>
      </c>
      <c r="BL31" s="27" t="n">
        <v>1.909</v>
      </c>
      <c r="BM31" s="28" t="n">
        <v>0.523834</v>
      </c>
      <c r="BN31" s="28" t="n">
        <v>0.523834</v>
      </c>
      <c r="BO31" s="28" t="n">
        <v>0.523834</v>
      </c>
      <c r="BP31" s="25" t="n"/>
      <c r="BQ31" s="27" t="n"/>
      <c r="BR31" s="28" t="n"/>
      <c r="BS31" s="28" t="n"/>
      <c r="BT31" s="28" t="n"/>
      <c r="BU31" s="25" t="n"/>
      <c r="BV31" s="29" t="n">
        <v>2</v>
      </c>
      <c r="BW31" s="24" t="n"/>
      <c r="BX31" s="30" t="n"/>
      <c r="BY31" s="27" t="n"/>
      <c r="BZ31" s="24" t="n"/>
      <c r="CA31" s="31" t="n"/>
      <c r="CB31" s="24" t="n"/>
      <c r="CC31" s="24" t="inlineStr">
        <is>
          <t>0.73469</t>
        </is>
      </c>
      <c r="CD31" s="24" t="inlineStr">
        <is>
          <t>0.959059</t>
        </is>
      </c>
      <c r="CE31" s="24" t="n"/>
      <c r="CF31" s="24" t="n"/>
      <c r="CG31" s="24" t="n"/>
      <c r="CH31" s="24" t="inlineStr">
        <is>
          <t>7.081581</t>
        </is>
      </c>
      <c r="CI31" s="24" t="n"/>
      <c r="CJ31" s="24" t="n"/>
      <c r="CK31" s="24" t="n"/>
      <c r="CL31" s="24" t="n"/>
      <c r="CM31" s="24" t="n"/>
    </row>
    <row r="32" ht="18" customHeight="1">
      <c r="A32" s="24" t="inlineStr">
        <is>
          <t>7bfd8a5fe7284c73</t>
        </is>
      </c>
      <c r="B32" s="24" t="inlineStr">
        <is>
          <t>2026-07-22T22:42:56Z</t>
        </is>
      </c>
      <c r="C32" s="24" t="inlineStr">
        <is>
          <t>2026-07-21T02:00Z</t>
        </is>
      </c>
      <c r="D32" s="24" t="inlineStr">
        <is>
          <t>401857084</t>
        </is>
      </c>
      <c r="E32" s="24" t="inlineStr">
        <is>
          <t>WNBA</t>
        </is>
      </c>
      <c r="F32" s="24" t="inlineStr">
        <is>
          <t>Washington Mystics</t>
        </is>
      </c>
      <c r="G32" s="24" t="inlineStr">
        <is>
          <t>Golden State Valkyries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-110</v>
      </c>
      <c r="M32" s="27" t="n">
        <v>1.909091</v>
      </c>
      <c r="N32" s="28" t="n">
        <v>0.52381</v>
      </c>
      <c r="O32" s="28" t="n">
        <v>0.755526</v>
      </c>
      <c r="P32" s="28" t="n">
        <v>0.05</v>
      </c>
      <c r="Q32" s="28" t="n">
        <v>0.231716</v>
      </c>
      <c r="R32" s="26" t="n">
        <v>100</v>
      </c>
      <c r="S32" s="29" t="n">
        <v>2</v>
      </c>
      <c r="T32" s="24" t="inlineStr">
        <is>
          <t>wnba-elo-trend-lr-v4</t>
        </is>
      </c>
      <c r="U32" s="24" t="inlineStr">
        <is>
          <t>settled</t>
        </is>
      </c>
      <c r="V32" s="24" t="inlineStr">
        <is>
          <t>loss</t>
        </is>
      </c>
      <c r="W32" s="26" t="n">
        <v>90</v>
      </c>
      <c r="X32" s="26" t="n">
        <v>82</v>
      </c>
      <c r="Y32" s="25" t="n"/>
      <c r="Z32" s="26" t="n">
        <v>-110</v>
      </c>
      <c r="AA32" s="28" t="n">
        <v>0.523834</v>
      </c>
      <c r="AB32" s="28" t="n"/>
      <c r="AC32" s="30" t="n">
        <v>-2</v>
      </c>
      <c r="AD32" s="24" t="inlineStr">
        <is>
          <t>2026-07-23T00:02:09Z</t>
        </is>
      </c>
      <c r="AE32" s="31" t="n"/>
      <c r="AF32" s="31" t="n"/>
      <c r="AG32" s="24" t="n"/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QUALIFIED_RETROACTIVE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7afd5274214b58b7efd7f7febc7be3ab33b92351cda5cc6403c0a39faea0cc8c</t>
        </is>
      </c>
      <c r="BB32" s="24" t="inlineStr">
        <is>
          <t>identity</t>
        </is>
      </c>
      <c r="BC32" s="24" t="inlineStr">
        <is>
          <t>identity-v1</t>
        </is>
      </c>
      <c r="BD32" s="24" t="n"/>
      <c r="BE32" s="24" t="inlineStr">
        <is>
          <t>1</t>
        </is>
      </c>
      <c r="BF32" s="24" t="inlineStr">
        <is>
          <t>1</t>
        </is>
      </c>
      <c r="BG32" s="24" t="n"/>
      <c r="BH32" s="24" t="inlineStr">
        <is>
          <t>2026-07-22T22:42:56Z</t>
        </is>
      </c>
      <c r="BI32" s="24" t="n"/>
      <c r="BJ32" s="25" t="n"/>
      <c r="BK32" s="26" t="n">
        <v>-110</v>
      </c>
      <c r="BL32" s="27" t="n">
        <v>1.909</v>
      </c>
      <c r="BM32" s="28" t="n">
        <v>0.523834</v>
      </c>
      <c r="BN32" s="28" t="n">
        <v>0.523834</v>
      </c>
      <c r="BO32" s="28" t="n">
        <v>0.523834</v>
      </c>
      <c r="BP32" s="25" t="n"/>
      <c r="BQ32" s="27" t="n">
        <v>1.909</v>
      </c>
      <c r="BR32" s="28" t="n"/>
      <c r="BS32" s="28" t="n"/>
      <c r="BT32" s="28" t="n"/>
      <c r="BU32" s="25" t="n"/>
      <c r="BV32" s="29" t="n">
        <v>2</v>
      </c>
      <c r="BW32" s="24" t="n"/>
      <c r="BX32" s="30" t="n"/>
      <c r="BY32" s="27" t="n"/>
      <c r="BZ32" s="24" t="n"/>
      <c r="CA32" s="31" t="n"/>
      <c r="CB32" s="24" t="n"/>
      <c r="CC32" s="24" t="inlineStr">
        <is>
          <t>0.868191</t>
        </is>
      </c>
      <c r="CD32" s="24" t="inlineStr">
        <is>
          <t>3.569622</t>
        </is>
      </c>
      <c r="CE32" s="24" t="n"/>
      <c r="CF32" s="24" t="n"/>
      <c r="CG32" s="24" t="n"/>
      <c r="CH32" s="24" t="inlineStr">
        <is>
          <t>-1.008413</t>
        </is>
      </c>
      <c r="CI32" s="24" t="n"/>
      <c r="CJ32" s="24" t="n"/>
      <c r="CK32" s="24" t="n"/>
      <c r="CL32" s="24" t="n"/>
      <c r="CM32" s="24" t="n"/>
    </row>
    <row r="33" ht="18" customHeight="1">
      <c r="A33" s="24" t="inlineStr">
        <is>
          <t>9a64685fc95f4ab7</t>
        </is>
      </c>
      <c r="B33" s="24" t="inlineStr">
        <is>
          <t>2026-07-22T22:42:56Z</t>
        </is>
      </c>
      <c r="C33" s="24" t="inlineStr">
        <is>
          <t>2026-07-22T19:00Z</t>
        </is>
      </c>
      <c r="D33" s="24" t="inlineStr">
        <is>
          <t>401857086</t>
        </is>
      </c>
      <c r="E33" s="24" t="inlineStr">
        <is>
          <t>WNBA</t>
        </is>
      </c>
      <c r="F33" s="24" t="inlineStr">
        <is>
          <t>Phoenix Mercury</t>
        </is>
      </c>
      <c r="G33" s="24" t="inlineStr">
        <is>
          <t>Los Angeles Sparks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-110</v>
      </c>
      <c r="M33" s="27" t="n">
        <v>1.909091</v>
      </c>
      <c r="N33" s="28" t="n">
        <v>0.52381</v>
      </c>
      <c r="O33" s="28" t="n">
        <v>0.5725980000000001</v>
      </c>
      <c r="P33" s="28" t="n">
        <v>0.05</v>
      </c>
      <c r="Q33" s="28" t="n">
        <v>0.048788</v>
      </c>
      <c r="R33" s="26" t="n">
        <v>44</v>
      </c>
      <c r="S33" s="29" t="n">
        <v>1.25</v>
      </c>
      <c r="T33" s="24" t="inlineStr">
        <is>
          <t>wnba-elo-trend-lr-v4</t>
        </is>
      </c>
      <c r="U33" s="24" t="inlineStr">
        <is>
          <t>settled</t>
        </is>
      </c>
      <c r="V33" s="24" t="inlineStr">
        <is>
          <t>loss</t>
        </is>
      </c>
      <c r="W33" s="26" t="n">
        <v>86</v>
      </c>
      <c r="X33" s="26" t="n">
        <v>82</v>
      </c>
      <c r="Y33" s="25" t="n"/>
      <c r="Z33" s="26" t="n"/>
      <c r="AA33" s="28" t="n"/>
      <c r="AB33" s="28" t="n"/>
      <c r="AC33" s="30" t="n">
        <v>-1.25</v>
      </c>
      <c r="AD33" s="24" t="inlineStr">
        <is>
          <t>2026-07-23T00:05:51.648429Z</t>
        </is>
      </c>
      <c r="AE33" s="31" t="n"/>
      <c r="AF33" s="31" t="n"/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QUALIFIED_RETROACTIVE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7afd5274214b58b7efd7f7febc7be3ab33b92351cda5cc6403c0a39faea0cc8c</t>
        </is>
      </c>
      <c r="BB33" s="24" t="inlineStr">
        <is>
          <t>identity</t>
        </is>
      </c>
      <c r="BC33" s="24" t="inlineStr">
        <is>
          <t>identity-v1</t>
        </is>
      </c>
      <c r="BD33" s="24" t="n"/>
      <c r="BE33" s="24" t="inlineStr">
        <is>
          <t>1</t>
        </is>
      </c>
      <c r="BF33" s="24" t="inlineStr">
        <is>
          <t>1</t>
        </is>
      </c>
      <c r="BG33" s="24" t="n"/>
      <c r="BH33" s="24" t="inlineStr">
        <is>
          <t>2026-07-22T22:42:56Z</t>
        </is>
      </c>
      <c r="BI33" s="24" t="n"/>
      <c r="BJ33" s="25" t="n"/>
      <c r="BK33" s="26" t="n">
        <v>-110</v>
      </c>
      <c r="BL33" s="27" t="n">
        <v>1.909</v>
      </c>
      <c r="BM33" s="28" t="n">
        <v>0.523834</v>
      </c>
      <c r="BN33" s="28" t="n">
        <v>0.523834</v>
      </c>
      <c r="BO33" s="28" t="n">
        <v>0.523834</v>
      </c>
      <c r="BP33" s="25" t="n"/>
      <c r="BQ33" s="27" t="n"/>
      <c r="BR33" s="28" t="n"/>
      <c r="BS33" s="28" t="n"/>
      <c r="BT33" s="28" t="n"/>
      <c r="BU33" s="25" t="n"/>
      <c r="BV33" s="29" t="n">
        <v>0.98</v>
      </c>
      <c r="BW33" s="24" t="n"/>
      <c r="BX33" s="30" t="n"/>
      <c r="BY33" s="27" t="n"/>
      <c r="BZ33" s="24" t="n"/>
      <c r="CA33" s="31" t="n"/>
      <c r="CB33" s="24" t="n"/>
      <c r="CC33" s="24" t="inlineStr">
        <is>
          <t>0.597061</t>
        </is>
      </c>
      <c r="CD33" s="24" t="inlineStr">
        <is>
          <t>1.440922</t>
        </is>
      </c>
      <c r="CE33" s="24" t="n"/>
      <c r="CF33" s="24" t="n"/>
      <c r="CG33" s="24" t="n"/>
      <c r="CH33" s="24" t="inlineStr">
        <is>
          <t>-0.87024</t>
        </is>
      </c>
      <c r="CI33" s="24" t="n"/>
      <c r="CJ33" s="24" t="n"/>
      <c r="CK33" s="24" t="n"/>
      <c r="CL33" s="24" t="n"/>
      <c r="CM33" s="24" t="n"/>
    </row>
    <row r="34" ht="18" customHeight="1">
      <c r="A34" s="24" t="inlineStr">
        <is>
          <t>b045f8d31f314714</t>
        </is>
      </c>
      <c r="B34" s="24" t="inlineStr">
        <is>
          <t>2026-07-22T22:42:56Z</t>
        </is>
      </c>
      <c r="C34" s="24" t="inlineStr">
        <is>
          <t>2026-07-22T23:00Z</t>
        </is>
      </c>
      <c r="D34" s="24" t="inlineStr">
        <is>
          <t>401857088</t>
        </is>
      </c>
      <c r="E34" s="24" t="inlineStr">
        <is>
          <t>WNBA</t>
        </is>
      </c>
      <c r="F34" s="24" t="inlineStr">
        <is>
          <t>Chicago Sky</t>
        </is>
      </c>
      <c r="G34" s="24" t="inlineStr">
        <is>
          <t>New York Liberty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-110</v>
      </c>
      <c r="M34" s="27" t="n">
        <v>1.909091</v>
      </c>
      <c r="N34" s="28" t="n">
        <v>0.52381</v>
      </c>
      <c r="O34" s="28" t="n">
        <v>0.689532</v>
      </c>
      <c r="P34" s="28" t="n">
        <v>0.05</v>
      </c>
      <c r="Q34" s="28" t="n">
        <v>0.165722</v>
      </c>
      <c r="R34" s="26" t="n">
        <v>100</v>
      </c>
      <c r="S34" s="29" t="n">
        <v>2</v>
      </c>
      <c r="T34" s="24" t="inlineStr">
        <is>
          <t>wnba-elo-trend-lr-v4</t>
        </is>
      </c>
      <c r="U34" s="24" t="inlineStr">
        <is>
          <t>settled</t>
        </is>
      </c>
      <c r="V34" s="24" t="inlineStr">
        <is>
          <t>win</t>
        </is>
      </c>
      <c r="W34" s="26" t="n">
        <v>94</v>
      </c>
      <c r="X34" s="26" t="n">
        <v>95</v>
      </c>
      <c r="Y34" s="25" t="n"/>
      <c r="Z34" s="26" t="n"/>
      <c r="AA34" s="28" t="n"/>
      <c r="AB34" s="28" t="n"/>
      <c r="AC34" s="30" t="n">
        <v>1.818</v>
      </c>
      <c r="AD34" s="24" t="inlineStr">
        <is>
          <t>2026-07-23T04:43:08.361509Z</t>
        </is>
      </c>
      <c r="AE34" s="31" t="n"/>
      <c r="AF34" s="31" t="n"/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QUALIFIED_RETROACTIVE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7afd5274214b58b7efd7f7febc7be3ab33b92351cda5cc6403c0a39faea0cc8c</t>
        </is>
      </c>
      <c r="BB34" s="24" t="inlineStr">
        <is>
          <t>identity</t>
        </is>
      </c>
      <c r="BC34" s="24" t="inlineStr">
        <is>
          <t>identity-v1</t>
        </is>
      </c>
      <c r="BD34" s="24" t="n"/>
      <c r="BE34" s="24" t="inlineStr">
        <is>
          <t>1</t>
        </is>
      </c>
      <c r="BF34" s="24" t="inlineStr">
        <is>
          <t>1</t>
        </is>
      </c>
      <c r="BG34" s="24" t="n"/>
      <c r="BH34" s="24" t="inlineStr">
        <is>
          <t>2026-07-22T22:42:56Z</t>
        </is>
      </c>
      <c r="BI34" s="24" t="n"/>
      <c r="BJ34" s="25" t="n"/>
      <c r="BK34" s="26" t="n">
        <v>-110</v>
      </c>
      <c r="BL34" s="27" t="n">
        <v>1.909</v>
      </c>
      <c r="BM34" s="28" t="n">
        <v>0.523834</v>
      </c>
      <c r="BN34" s="28" t="n">
        <v>0.523834</v>
      </c>
      <c r="BO34" s="28" t="n">
        <v>0.523834</v>
      </c>
      <c r="BP34" s="25" t="n"/>
      <c r="BQ34" s="27" t="n"/>
      <c r="BR34" s="28" t="n"/>
      <c r="BS34" s="28" t="n"/>
      <c r="BT34" s="28" t="n"/>
      <c r="BU34" s="25" t="n"/>
      <c r="BV34" s="29" t="n">
        <v>2</v>
      </c>
      <c r="BW34" s="24" t="n"/>
      <c r="BX34" s="30" t="n"/>
      <c r="BY34" s="27" t="n"/>
      <c r="BZ34" s="24" t="n"/>
      <c r="CA34" s="31" t="n"/>
      <c r="CB34" s="24" t="n"/>
      <c r="CC34" s="24" t="inlineStr">
        <is>
          <t>0.740367</t>
        </is>
      </c>
      <c r="CD34" s="24" t="inlineStr">
        <is>
          <t>-5.650512</t>
        </is>
      </c>
      <c r="CE34" s="24" t="n"/>
      <c r="CF34" s="24" t="n"/>
      <c r="CG34" s="24" t="n"/>
      <c r="CH34" s="24" t="inlineStr">
        <is>
          <t>-3.727661</t>
        </is>
      </c>
      <c r="CI34" s="24" t="n"/>
      <c r="CJ34" s="24" t="n"/>
      <c r="CK34" s="24" t="n"/>
      <c r="CL34" s="24" t="n"/>
      <c r="CM34" s="24" t="n"/>
    </row>
    <row r="35" ht="36" customHeight="1">
      <c r="A35" s="24" t="inlineStr">
        <is>
          <t>879df494cd8e4d66</t>
        </is>
      </c>
      <c r="B35" s="24" t="inlineStr">
        <is>
          <t>2026-07-23T04:36:37.074229Z</t>
        </is>
      </c>
      <c r="C35" s="24" t="inlineStr">
        <is>
          <t>2026-07-21T18:40:00-0400</t>
        </is>
      </c>
      <c r="D35" s="24" t="inlineStr">
        <is>
          <t>401816202</t>
        </is>
      </c>
      <c r="E35" s="24" t="inlineStr">
        <is>
          <t>MLB</t>
        </is>
      </c>
      <c r="F35" s="24" t="inlineStr">
        <is>
          <t>Los Angeles Dodgers</t>
        </is>
      </c>
      <c r="G35" s="24" t="inlineStr">
        <is>
          <t>Philadelphia Phillies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-110</v>
      </c>
      <c r="M35" s="27" t="n">
        <v>1.909091</v>
      </c>
      <c r="N35" s="28" t="n">
        <v>0.52381</v>
      </c>
      <c r="O35" s="28" t="n">
        <v>0.5519810000000001</v>
      </c>
      <c r="P35" s="28" t="n">
        <v>0.05</v>
      </c>
      <c r="Q35" s="28" t="n">
        <v>0.028171</v>
      </c>
      <c r="R35" s="26" t="n">
        <v>34</v>
      </c>
      <c r="S35" s="29" t="n">
        <v>0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2</v>
      </c>
      <c r="X35" s="26" t="n">
        <v>1</v>
      </c>
      <c r="Y35" s="25" t="n"/>
      <c r="Z35" s="26" t="n">
        <v>-110</v>
      </c>
      <c r="AA35" s="28" t="n">
        <v>0.52381</v>
      </c>
      <c r="AB35" s="28" t="n">
        <v>0</v>
      </c>
      <c r="AC35" s="30" t="n">
        <v>0</v>
      </c>
      <c r="AD35" s="24" t="inlineStr">
        <is>
          <t>2026-07-23T04:36:37.074229Z</t>
        </is>
      </c>
      <c r="AE35" s="31" t="inlineStr">
        <is>
          <t>Retroactive model run — features from team averages.</t>
        </is>
      </c>
      <c r="AF35" s="31" t="inlineStr">
        <is>
          <t>Retroactive; features approximated from teammate averages, not point-in-time.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NO_CALL_MISSING_FEATURES</t>
        </is>
      </c>
      <c r="AP35" s="24" t="inlineStr">
        <is>
          <t>mlb-losangelesdodgers</t>
        </is>
      </c>
      <c r="AQ35" s="24" t="inlineStr">
        <is>
          <t>Los Angeles Dodgers</t>
        </is>
      </c>
      <c r="AR35" s="24" t="inlineStr">
        <is>
          <t>Los Angeles Dodgers</t>
        </is>
      </c>
      <c r="AS35" s="24" t="inlineStr">
        <is>
          <t>mlb-philadelphiaphillies</t>
        </is>
      </c>
      <c r="AT35" s="24" t="inlineStr">
        <is>
          <t>Philadelphia Phillies</t>
        </is>
      </c>
      <c r="AU35" s="24" t="inlineStr">
        <is>
          <t>Philadelphia Phillies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f4ba988a51fcfbc42f017c34f5d25f481de500c1e844165b98cf0acea10d1539</t>
        </is>
      </c>
      <c r="BB35" s="24" t="inlineStr">
        <is>
          <t>learned_lr</t>
        </is>
      </c>
      <c r="BC35" s="24" t="inlineStr">
        <is>
          <t>mlb-elo-trend-lr-v5</t>
        </is>
      </c>
      <c r="BD35" s="24" t="inlineStr">
        <is>
          <t>f4ba988a51fcfbc42f017c34f5d25f481de500c1e844165b98cf0acea10d1539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mlb-elo-trend-lr-v5</t>
        </is>
      </c>
      <c r="BH35" s="24" t="inlineStr">
        <is>
          <t>2026-07-23T04:36:37.074229Z</t>
        </is>
      </c>
      <c r="BI35" s="24" t="n"/>
      <c r="BJ35" s="25" t="n"/>
      <c r="BK35" s="26" t="n">
        <v>-110</v>
      </c>
      <c r="BL35" s="27" t="n">
        <v>1.909091</v>
      </c>
      <c r="BM35" s="28" t="n">
        <v>0.52381</v>
      </c>
      <c r="BN35" s="28" t="n"/>
      <c r="BO35" s="28" t="n"/>
      <c r="BP35" s="25" t="n"/>
      <c r="BQ35" s="27" t="n">
        <v>1.909091</v>
      </c>
      <c r="BR35" s="28" t="n">
        <v>0.52381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</row>
    <row r="36" ht="36" customHeight="1">
      <c r="A36" s="24" t="inlineStr">
        <is>
          <t>e513768a58a44fd9</t>
        </is>
      </c>
      <c r="B36" s="24" t="inlineStr">
        <is>
          <t>2026-07-23T04:36:37.074229Z</t>
        </is>
      </c>
      <c r="C36" s="24" t="inlineStr">
        <is>
          <t>2026-07-21T18:40:00-0400</t>
        </is>
      </c>
      <c r="D36" s="24" t="inlineStr">
        <is>
          <t>401816203</t>
        </is>
      </c>
      <c r="E36" s="24" t="inlineStr">
        <is>
          <t>MLB</t>
        </is>
      </c>
      <c r="F36" s="24" t="inlineStr">
        <is>
          <t>Minnesota Twins</t>
        </is>
      </c>
      <c r="G36" s="24" t="inlineStr">
        <is>
          <t>Cleveland Guardians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-110</v>
      </c>
      <c r="M36" s="27" t="n">
        <v>1.909091</v>
      </c>
      <c r="N36" s="28" t="n">
        <v>0.52381</v>
      </c>
      <c r="O36" s="28" t="n">
        <v>0.560863</v>
      </c>
      <c r="P36" s="28" t="n">
        <v>0.05</v>
      </c>
      <c r="Q36" s="28" t="n">
        <v>0.037053</v>
      </c>
      <c r="R36" s="26" t="n">
        <v>39</v>
      </c>
      <c r="S36" s="29" t="n">
        <v>0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win</t>
        </is>
      </c>
      <c r="W36" s="26" t="n">
        <v>2</v>
      </c>
      <c r="X36" s="26" t="n">
        <v>5</v>
      </c>
      <c r="Y36" s="25" t="n"/>
      <c r="Z36" s="26" t="n">
        <v>-110</v>
      </c>
      <c r="AA36" s="28" t="n">
        <v>0.52381</v>
      </c>
      <c r="AB36" s="28" t="n">
        <v>0</v>
      </c>
      <c r="AC36" s="30" t="n">
        <v>0</v>
      </c>
      <c r="AD36" s="24" t="inlineStr">
        <is>
          <t>2026-07-23T04:36:37.074229Z</t>
        </is>
      </c>
      <c r="AE36" s="31" t="inlineStr">
        <is>
          <t>Retroactive model run — features from team averages.</t>
        </is>
      </c>
      <c r="AF36" s="31" t="inlineStr">
        <is>
          <t>Retroactive; features approximated from teammate averages, not point-in-time.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NO_CALL_MISSING_FEATURES</t>
        </is>
      </c>
      <c r="AP36" s="24" t="inlineStr">
        <is>
          <t>mlb-minnesotatwins</t>
        </is>
      </c>
      <c r="AQ36" s="24" t="inlineStr">
        <is>
          <t>Minnesota Twins</t>
        </is>
      </c>
      <c r="AR36" s="24" t="inlineStr">
        <is>
          <t>Minnesota Twins</t>
        </is>
      </c>
      <c r="AS36" s="24" t="inlineStr">
        <is>
          <t>mlb-clevelandguardians</t>
        </is>
      </c>
      <c r="AT36" s="24" t="inlineStr">
        <is>
          <t>Cleveland Guardians</t>
        </is>
      </c>
      <c r="AU36" s="24" t="inlineStr">
        <is>
          <t>Cleveland Guardians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f4ba988a51fcfbc42f017c34f5d25f481de500c1e844165b98cf0acea10d1539</t>
        </is>
      </c>
      <c r="BB36" s="24" t="inlineStr">
        <is>
          <t>learned_lr</t>
        </is>
      </c>
      <c r="BC36" s="24" t="inlineStr">
        <is>
          <t>mlb-elo-trend-lr-v5</t>
        </is>
      </c>
      <c r="BD36" s="24" t="inlineStr">
        <is>
          <t>f4ba988a51fcfbc42f017c34f5d25f481de500c1e844165b98cf0acea10d1539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mlb-elo-trend-lr-v5</t>
        </is>
      </c>
      <c r="BH36" s="24" t="inlineStr">
        <is>
          <t>2026-07-23T04:36:37.074229Z</t>
        </is>
      </c>
      <c r="BI36" s="24" t="n"/>
      <c r="BJ36" s="25" t="n"/>
      <c r="BK36" s="26" t="n">
        <v>-110</v>
      </c>
      <c r="BL36" s="27" t="n">
        <v>1.909091</v>
      </c>
      <c r="BM36" s="28" t="n">
        <v>0.52381</v>
      </c>
      <c r="BN36" s="28" t="n"/>
      <c r="BO36" s="28" t="n"/>
      <c r="BP36" s="25" t="n"/>
      <c r="BQ36" s="27" t="n">
        <v>1.909091</v>
      </c>
      <c r="BR36" s="28" t="n">
        <v>0.52381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</row>
    <row r="37" ht="36" customHeight="1">
      <c r="A37" s="24" t="inlineStr">
        <is>
          <t>30f60486f58e4171</t>
        </is>
      </c>
      <c r="B37" s="24" t="inlineStr">
        <is>
          <t>2026-07-23T04:36:37.074229Z</t>
        </is>
      </c>
      <c r="C37" s="24" t="inlineStr">
        <is>
          <t>2026-07-21T19:15:00-0400</t>
        </is>
      </c>
      <c r="D37" s="24" t="inlineStr">
        <is>
          <t>401816205</t>
        </is>
      </c>
      <c r="E37" s="24" t="inlineStr">
        <is>
          <t>MLB</t>
        </is>
      </c>
      <c r="F37" s="24" t="inlineStr">
        <is>
          <t>San Diego Padres</t>
        </is>
      </c>
      <c r="G37" s="24" t="inlineStr">
        <is>
          <t>Atlanta Braves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-110</v>
      </c>
      <c r="M37" s="27" t="n">
        <v>1.909091</v>
      </c>
      <c r="N37" s="28" t="n">
        <v>0.52381</v>
      </c>
      <c r="O37" s="28" t="n">
        <v>0.554655</v>
      </c>
      <c r="P37" s="28" t="n">
        <v>0.05</v>
      </c>
      <c r="Q37" s="28" t="n">
        <v>0.030845</v>
      </c>
      <c r="R37" s="26" t="n">
        <v>35</v>
      </c>
      <c r="S37" s="29" t="n">
        <v>0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loss</t>
        </is>
      </c>
      <c r="W37" s="26" t="n">
        <v>8</v>
      </c>
      <c r="X37" s="26" t="n">
        <v>3</v>
      </c>
      <c r="Y37" s="25" t="n"/>
      <c r="Z37" s="26" t="n">
        <v>-110</v>
      </c>
      <c r="AA37" s="28" t="n">
        <v>0.52381</v>
      </c>
      <c r="AB37" s="28" t="n">
        <v>0</v>
      </c>
      <c r="AC37" s="30" t="n">
        <v>0</v>
      </c>
      <c r="AD37" s="24" t="inlineStr">
        <is>
          <t>2026-07-23T04:36:37.074229Z</t>
        </is>
      </c>
      <c r="AE37" s="31" t="inlineStr">
        <is>
          <t>Retroactive model run — features from team averages.</t>
        </is>
      </c>
      <c r="AF37" s="31" t="inlineStr">
        <is>
          <t>Retroactive; features approximated from teammate averages, not point-in-time.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NO_CALL_MISSING_FEATURES</t>
        </is>
      </c>
      <c r="AP37" s="24" t="inlineStr">
        <is>
          <t>mlb-sandiegopadres</t>
        </is>
      </c>
      <c r="AQ37" s="24" t="inlineStr">
        <is>
          <t>San Diego Padres</t>
        </is>
      </c>
      <c r="AR37" s="24" t="inlineStr">
        <is>
          <t>San Diego Padres</t>
        </is>
      </c>
      <c r="AS37" s="24" t="inlineStr">
        <is>
          <t>mlb-atlantabraves</t>
        </is>
      </c>
      <c r="AT37" s="24" t="inlineStr">
        <is>
          <t>Atlanta Braves</t>
        </is>
      </c>
      <c r="AU37" s="24" t="inlineStr">
        <is>
          <t>Atlanta Braves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f4ba988a51fcfbc42f017c34f5d25f481de500c1e844165b98cf0acea10d1539</t>
        </is>
      </c>
      <c r="BB37" s="24" t="inlineStr">
        <is>
          <t>learned_lr</t>
        </is>
      </c>
      <c r="BC37" s="24" t="inlineStr">
        <is>
          <t>mlb-elo-trend-lr-v5</t>
        </is>
      </c>
      <c r="BD37" s="24" t="inlineStr">
        <is>
          <t>f4ba988a51fcfbc42f017c34f5d25f481de500c1e844165b98cf0acea10d1539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mlb-elo-trend-lr-v5</t>
        </is>
      </c>
      <c r="BH37" s="24" t="inlineStr">
        <is>
          <t>2026-07-23T04:36:37.074229Z</t>
        </is>
      </c>
      <c r="BI37" s="24" t="n"/>
      <c r="BJ37" s="25" t="n"/>
      <c r="BK37" s="26" t="n">
        <v>-110</v>
      </c>
      <c r="BL37" s="27" t="n">
        <v>1.909091</v>
      </c>
      <c r="BM37" s="28" t="n">
        <v>0.52381</v>
      </c>
      <c r="BN37" s="28" t="n"/>
      <c r="BO37" s="28" t="n"/>
      <c r="BP37" s="25" t="n"/>
      <c r="BQ37" s="27" t="n">
        <v>1.909091</v>
      </c>
      <c r="BR37" s="28" t="n">
        <v>0.52381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</row>
    <row r="38" ht="36" customHeight="1">
      <c r="A38" s="24" t="inlineStr">
        <is>
          <t>b966631471c4474f</t>
        </is>
      </c>
      <c r="B38" s="24" t="inlineStr">
        <is>
          <t>2026-07-23T04:36:37.074229Z</t>
        </is>
      </c>
      <c r="C38" s="24" t="inlineStr">
        <is>
          <t>2026-07-21T20:05:00-0400</t>
        </is>
      </c>
      <c r="D38" s="24" t="inlineStr">
        <is>
          <t>401816207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Texas Rangers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-110</v>
      </c>
      <c r="M38" s="27" t="n">
        <v>1.909091</v>
      </c>
      <c r="N38" s="28" t="n">
        <v>0.52381</v>
      </c>
      <c r="O38" s="28" t="n">
        <v>0.549254</v>
      </c>
      <c r="P38" s="28" t="n">
        <v>0.05</v>
      </c>
      <c r="Q38" s="28" t="n">
        <v>0.025445</v>
      </c>
      <c r="R38" s="26" t="n">
        <v>33</v>
      </c>
      <c r="S38" s="29" t="n">
        <v>0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10</v>
      </c>
      <c r="Y38" s="25" t="n"/>
      <c r="Z38" s="26" t="n">
        <v>-110</v>
      </c>
      <c r="AA38" s="28" t="n">
        <v>0.52381</v>
      </c>
      <c r="AB38" s="28" t="n">
        <v>0</v>
      </c>
      <c r="AC38" s="30" t="n">
        <v>0</v>
      </c>
      <c r="AD38" s="24" t="inlineStr">
        <is>
          <t>2026-07-23T04:36:37.074229Z</t>
        </is>
      </c>
      <c r="AE38" s="31" t="inlineStr">
        <is>
          <t>Retroactive model run — features from team averages.</t>
        </is>
      </c>
      <c r="AF38" s="31" t="inlineStr">
        <is>
          <t>Retroactive; features approximated from teammate averages, not point-in-time.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NO_CALL_MISSING_FEATURES</t>
        </is>
      </c>
      <c r="AP38" s="24" t="inlineStr">
        <is>
          <t>mlb-chicagowhitesox</t>
        </is>
      </c>
      <c r="AQ38" s="24" t="inlineStr">
        <is>
          <t>Chicago White Sox</t>
        </is>
      </c>
      <c r="AR38" s="24" t="inlineStr">
        <is>
          <t>Chicago White Sox</t>
        </is>
      </c>
      <c r="AS38" s="24" t="inlineStr">
        <is>
          <t>mlb-texasrangers</t>
        </is>
      </c>
      <c r="AT38" s="24" t="inlineStr">
        <is>
          <t>Texas Rangers</t>
        </is>
      </c>
      <c r="AU38" s="24" t="inlineStr">
        <is>
          <t>Texas Rangers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f4ba988a51fcfbc42f017c34f5d25f481de500c1e844165b98cf0acea10d1539</t>
        </is>
      </c>
      <c r="BB38" s="24" t="inlineStr">
        <is>
          <t>learned_lr</t>
        </is>
      </c>
      <c r="BC38" s="24" t="inlineStr">
        <is>
          <t>mlb-elo-trend-lr-v5</t>
        </is>
      </c>
      <c r="BD38" s="24" t="inlineStr">
        <is>
          <t>f4ba988a51fcfbc42f017c34f5d25f481de500c1e844165b98cf0acea10d1539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mlb-elo-trend-lr-v5</t>
        </is>
      </c>
      <c r="BH38" s="24" t="inlineStr">
        <is>
          <t>2026-07-23T04:36:37.074229Z</t>
        </is>
      </c>
      <c r="BI38" s="24" t="n"/>
      <c r="BJ38" s="25" t="n"/>
      <c r="BK38" s="26" t="n">
        <v>-110</v>
      </c>
      <c r="BL38" s="27" t="n">
        <v>1.909091</v>
      </c>
      <c r="BM38" s="28" t="n">
        <v>0.52381</v>
      </c>
      <c r="BN38" s="28" t="n"/>
      <c r="BO38" s="28" t="n"/>
      <c r="BP38" s="25" t="n"/>
      <c r="BQ38" s="27" t="n">
        <v>1.909091</v>
      </c>
      <c r="BR38" s="28" t="n">
        <v>0.52381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</row>
    <row r="39" ht="36" customHeight="1">
      <c r="A39" s="24" t="inlineStr">
        <is>
          <t>eaa625a29a2c4c89</t>
        </is>
      </c>
      <c r="B39" s="24" t="inlineStr">
        <is>
          <t>2026-07-23T04:36:37.074229Z</t>
        </is>
      </c>
      <c r="C39" s="24" t="inlineStr">
        <is>
          <t>2026-07-21T20:05:00-0400</t>
        </is>
      </c>
      <c r="D39" s="24" t="inlineStr">
        <is>
          <t>401816208</t>
        </is>
      </c>
      <c r="E39" s="24" t="inlineStr">
        <is>
          <t>MLB</t>
        </is>
      </c>
      <c r="F39" s="24" t="inlineStr">
        <is>
          <t>Detroit Tigers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-110</v>
      </c>
      <c r="M39" s="27" t="n">
        <v>1.909091</v>
      </c>
      <c r="N39" s="28" t="n">
        <v>0.52381</v>
      </c>
      <c r="O39" s="28" t="n">
        <v>0.592436</v>
      </c>
      <c r="P39" s="28" t="n">
        <v>0.05</v>
      </c>
      <c r="Q39" s="28" t="n">
        <v>0.06862600000000001</v>
      </c>
      <c r="R39" s="26" t="n">
        <v>54</v>
      </c>
      <c r="S39" s="29" t="n">
        <v>0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win</t>
        </is>
      </c>
      <c r="W39" s="26" t="n">
        <v>2</v>
      </c>
      <c r="X39" s="26" t="n">
        <v>11</v>
      </c>
      <c r="Y39" s="25" t="n"/>
      <c r="Z39" s="26" t="n">
        <v>-110</v>
      </c>
      <c r="AA39" s="28" t="n">
        <v>0.52381</v>
      </c>
      <c r="AB39" s="28" t="n">
        <v>0</v>
      </c>
      <c r="AC39" s="30" t="n">
        <v>0</v>
      </c>
      <c r="AD39" s="24" t="inlineStr">
        <is>
          <t>2026-07-23T04:36:37.074229Z</t>
        </is>
      </c>
      <c r="AE39" s="31" t="inlineStr">
        <is>
          <t>Retroactive model run — features from team averages.</t>
        </is>
      </c>
      <c r="AF39" s="31" t="inlineStr">
        <is>
          <t>Retroactive; features approximated from teammate averages, not point-in-time.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NO_CALL_MISSING_FEATURES</t>
        </is>
      </c>
      <c r="AP39" s="24" t="inlineStr">
        <is>
          <t>mlb-detroittigers</t>
        </is>
      </c>
      <c r="AQ39" s="24" t="inlineStr">
        <is>
          <t>Detroit Tigers</t>
        </is>
      </c>
      <c r="AR39" s="24" t="inlineStr">
        <is>
          <t>Detroit Tigers</t>
        </is>
      </c>
      <c r="AS39" s="24" t="inlineStr">
        <is>
          <t>mlb-chicagocubs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f4ba988a51fcfbc42f017c34f5d25f481de500c1e844165b98cf0acea10d1539</t>
        </is>
      </c>
      <c r="BB39" s="24" t="inlineStr">
        <is>
          <t>learned_lr</t>
        </is>
      </c>
      <c r="BC39" s="24" t="inlineStr">
        <is>
          <t>mlb-elo-trend-lr-v5</t>
        </is>
      </c>
      <c r="BD39" s="24" t="inlineStr">
        <is>
          <t>f4ba988a51fcfbc42f017c34f5d25f481de500c1e844165b98cf0acea10d1539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mlb-elo-trend-lr-v5</t>
        </is>
      </c>
      <c r="BH39" s="24" t="inlineStr">
        <is>
          <t>2026-07-23T04:36:37.074229Z</t>
        </is>
      </c>
      <c r="BI39" s="24" t="n"/>
      <c r="BJ39" s="25" t="n"/>
      <c r="BK39" s="26" t="n">
        <v>-110</v>
      </c>
      <c r="BL39" s="27" t="n">
        <v>1.909091</v>
      </c>
      <c r="BM39" s="28" t="n">
        <v>0.52381</v>
      </c>
      <c r="BN39" s="28" t="n"/>
      <c r="BO39" s="28" t="n"/>
      <c r="BP39" s="25" t="n"/>
      <c r="BQ39" s="27" t="n">
        <v>1.909091</v>
      </c>
      <c r="BR39" s="28" t="n">
        <v>0.52381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</row>
    <row r="40" ht="36" customHeight="1">
      <c r="A40" s="24" t="inlineStr">
        <is>
          <t>9272f2cac5c74990</t>
        </is>
      </c>
      <c r="B40" s="24" t="inlineStr">
        <is>
          <t>2026-07-23T04:36:37.074229Z</t>
        </is>
      </c>
      <c r="C40" s="24" t="inlineStr">
        <is>
          <t>2026-07-21T21:40:00-0400</t>
        </is>
      </c>
      <c r="D40" s="24" t="inlineStr">
        <is>
          <t>401816213</t>
        </is>
      </c>
      <c r="E40" s="24" t="inlineStr">
        <is>
          <t>MLB</t>
        </is>
      </c>
      <c r="F40" s="24" t="inlineStr">
        <is>
          <t>Athletics</t>
        </is>
      </c>
      <c r="G40" s="24" t="inlineStr">
        <is>
          <t>Arizona Diamondbacks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-110</v>
      </c>
      <c r="M40" s="27" t="n">
        <v>1.909091</v>
      </c>
      <c r="N40" s="28" t="n">
        <v>0.52381</v>
      </c>
      <c r="O40" s="28" t="n">
        <v>0.544323</v>
      </c>
      <c r="P40" s="28" t="n">
        <v>0.05</v>
      </c>
      <c r="Q40" s="28" t="n">
        <v>0.020513</v>
      </c>
      <c r="R40" s="26" t="n">
        <v>30</v>
      </c>
      <c r="S40" s="29" t="n">
        <v>0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5</v>
      </c>
      <c r="X40" s="26" t="n">
        <v>6</v>
      </c>
      <c r="Y40" s="25" t="n"/>
      <c r="Z40" s="26" t="n">
        <v>-110</v>
      </c>
      <c r="AA40" s="28" t="n">
        <v>0.52381</v>
      </c>
      <c r="AB40" s="28" t="n">
        <v>0</v>
      </c>
      <c r="AC40" s="30" t="n">
        <v>0</v>
      </c>
      <c r="AD40" s="24" t="inlineStr">
        <is>
          <t>2026-07-23T04:36:37.074229Z</t>
        </is>
      </c>
      <c r="AE40" s="31" t="inlineStr">
        <is>
          <t>Retroactive model run — features from team averages.</t>
        </is>
      </c>
      <c r="AF40" s="31" t="inlineStr">
        <is>
          <t>Retroactive; features approximated from teammate averages, not point-in-time.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NO_CALL_MISSING_FEATURES</t>
        </is>
      </c>
      <c r="AP40" s="24" t="inlineStr">
        <is>
          <t>mlb-athletics</t>
        </is>
      </c>
      <c r="AQ40" s="24" t="inlineStr">
        <is>
          <t>Athletics</t>
        </is>
      </c>
      <c r="AR40" s="24" t="inlineStr">
        <is>
          <t>Athletics</t>
        </is>
      </c>
      <c r="AS40" s="24" t="inlineStr">
        <is>
          <t>mlb-arizonadiamondbacks</t>
        </is>
      </c>
      <c r="AT40" s="24" t="inlineStr">
        <is>
          <t>Arizona Diamondbacks</t>
        </is>
      </c>
      <c r="AU40" s="24" t="inlineStr">
        <is>
          <t>Arizona Diamondbacks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f4ba988a51fcfbc42f017c34f5d25f481de500c1e844165b98cf0acea10d1539</t>
        </is>
      </c>
      <c r="BB40" s="24" t="inlineStr">
        <is>
          <t>learned_lr</t>
        </is>
      </c>
      <c r="BC40" s="24" t="inlineStr">
        <is>
          <t>mlb-elo-trend-lr-v5</t>
        </is>
      </c>
      <c r="BD40" s="24" t="inlineStr">
        <is>
          <t>f4ba988a51fcfbc42f017c34f5d25f481de500c1e844165b98cf0acea10d1539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mlb-elo-trend-lr-v5</t>
        </is>
      </c>
      <c r="BH40" s="24" t="inlineStr">
        <is>
          <t>2026-07-23T04:36:37.074229Z</t>
        </is>
      </c>
      <c r="BI40" s="24" t="n"/>
      <c r="BJ40" s="25" t="n"/>
      <c r="BK40" s="26" t="n">
        <v>-110</v>
      </c>
      <c r="BL40" s="27" t="n">
        <v>1.909091</v>
      </c>
      <c r="BM40" s="28" t="n">
        <v>0.52381</v>
      </c>
      <c r="BN40" s="28" t="n"/>
      <c r="BO40" s="28" t="n"/>
      <c r="BP40" s="25" t="n"/>
      <c r="BQ40" s="27" t="n">
        <v>1.909091</v>
      </c>
      <c r="BR40" s="28" t="n">
        <v>0.52381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</row>
    <row r="41" ht="36" customHeight="1">
      <c r="A41" s="24" t="inlineStr">
        <is>
          <t>9ba5308956934ff8</t>
        </is>
      </c>
      <c r="B41" s="24" t="inlineStr">
        <is>
          <t>2026-07-23T04:36:37.074229Z</t>
        </is>
      </c>
      <c r="C41" s="24" t="inlineStr">
        <is>
          <t>2026-07-22T13:35:00-0400</t>
        </is>
      </c>
      <c r="D41" s="24" t="inlineStr">
        <is>
          <t>401898715</t>
        </is>
      </c>
      <c r="E41" s="24" t="inlineStr">
        <is>
          <t>MLB</t>
        </is>
      </c>
      <c r="F41" s="24" t="inlineStr">
        <is>
          <t>Baltimore Orioles</t>
        </is>
      </c>
      <c r="G41" s="24" t="inlineStr">
        <is>
          <t>Boston Red Sox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-110</v>
      </c>
      <c r="M41" s="27" t="n">
        <v>1.909091</v>
      </c>
      <c r="N41" s="28" t="n">
        <v>0.52381</v>
      </c>
      <c r="O41" s="28" t="n">
        <v>0.551967</v>
      </c>
      <c r="P41" s="28" t="n">
        <v>0.05</v>
      </c>
      <c r="Q41" s="28" t="n">
        <v>0.028158</v>
      </c>
      <c r="R41" s="26" t="n">
        <v>34</v>
      </c>
      <c r="S41" s="29" t="n">
        <v>0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3</v>
      </c>
      <c r="X41" s="26" t="n">
        <v>6</v>
      </c>
      <c r="Y41" s="25" t="n"/>
      <c r="Z41" s="26" t="n">
        <v>-110</v>
      </c>
      <c r="AA41" s="28" t="n">
        <v>0.52381</v>
      </c>
      <c r="AB41" s="28" t="n">
        <v>0</v>
      </c>
      <c r="AC41" s="30" t="n">
        <v>0</v>
      </c>
      <c r="AD41" s="24" t="inlineStr">
        <is>
          <t>2026-07-23T04:36:37.074229Z</t>
        </is>
      </c>
      <c r="AE41" s="31" t="inlineStr">
        <is>
          <t>Retroactive model run — features from team averages.</t>
        </is>
      </c>
      <c r="AF41" s="31" t="inlineStr">
        <is>
          <t>Retroactive; features approximated from teammate averages, not point-in-time.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NO_CALL_MISSING_FEATURES</t>
        </is>
      </c>
      <c r="AP41" s="24" t="inlineStr">
        <is>
          <t>mlb-baltimoreorioles</t>
        </is>
      </c>
      <c r="AQ41" s="24" t="inlineStr">
        <is>
          <t>Baltimore Orioles</t>
        </is>
      </c>
      <c r="AR41" s="24" t="inlineStr">
        <is>
          <t>Baltimore Orioles</t>
        </is>
      </c>
      <c r="AS41" s="24" t="inlineStr">
        <is>
          <t>mlb-bostonredsox</t>
        </is>
      </c>
      <c r="AT41" s="24" t="inlineStr">
        <is>
          <t>Boston Red Sox</t>
        </is>
      </c>
      <c r="AU41" s="24" t="inlineStr">
        <is>
          <t>Boston Red Sox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f4ba988a51fcfbc42f017c34f5d25f481de500c1e844165b98cf0acea10d1539</t>
        </is>
      </c>
      <c r="BB41" s="24" t="inlineStr">
        <is>
          <t>learned_lr</t>
        </is>
      </c>
      <c r="BC41" s="24" t="inlineStr">
        <is>
          <t>mlb-elo-trend-lr-v5</t>
        </is>
      </c>
      <c r="BD41" s="24" t="inlineStr">
        <is>
          <t>f4ba988a51fcfbc42f017c34f5d25f481de500c1e844165b98cf0acea10d1539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mlb-elo-trend-lr-v5</t>
        </is>
      </c>
      <c r="BH41" s="24" t="inlineStr">
        <is>
          <t>2026-07-23T04:36:37.074229Z</t>
        </is>
      </c>
      <c r="BI41" s="24" t="n"/>
      <c r="BJ41" s="25" t="n"/>
      <c r="BK41" s="26" t="n">
        <v>-110</v>
      </c>
      <c r="BL41" s="27" t="n">
        <v>1.909091</v>
      </c>
      <c r="BM41" s="28" t="n">
        <v>0.52381</v>
      </c>
      <c r="BN41" s="28" t="n"/>
      <c r="BO41" s="28" t="n"/>
      <c r="BP41" s="25" t="n"/>
      <c r="BQ41" s="27" t="n">
        <v>1.909091</v>
      </c>
      <c r="BR41" s="28" t="n">
        <v>0.52381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</row>
    <row r="42" ht="36" customHeight="1">
      <c r="A42" s="24" t="inlineStr">
        <is>
          <t>91a27d2eeca44a61</t>
        </is>
      </c>
      <c r="B42" s="24" t="inlineStr">
        <is>
          <t>2026-07-23T04:36:37.074229Z</t>
        </is>
      </c>
      <c r="C42" s="24" t="inlineStr">
        <is>
          <t>2026-07-22T15:40:00-0400</t>
        </is>
      </c>
      <c r="D42" s="24" t="inlineStr">
        <is>
          <t>401816228</t>
        </is>
      </c>
      <c r="E42" s="24" t="inlineStr">
        <is>
          <t>MLB</t>
        </is>
      </c>
      <c r="F42" s="24" t="inlineStr">
        <is>
          <t>Athletics</t>
        </is>
      </c>
      <c r="G42" s="24" t="inlineStr">
        <is>
          <t>Arizona Diamondbacks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-110</v>
      </c>
      <c r="M42" s="27" t="n">
        <v>1.909091</v>
      </c>
      <c r="N42" s="28" t="n">
        <v>0.52381</v>
      </c>
      <c r="O42" s="28" t="n">
        <v>0.544323</v>
      </c>
      <c r="P42" s="28" t="n">
        <v>0.05</v>
      </c>
      <c r="Q42" s="28" t="n">
        <v>0.020513</v>
      </c>
      <c r="R42" s="26" t="n">
        <v>30</v>
      </c>
      <c r="S42" s="29" t="n">
        <v>0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win</t>
        </is>
      </c>
      <c r="W42" s="26" t="n">
        <v>5</v>
      </c>
      <c r="X42" s="26" t="n">
        <v>15</v>
      </c>
      <c r="Y42" s="25" t="n"/>
      <c r="Z42" s="26" t="n">
        <v>-110</v>
      </c>
      <c r="AA42" s="28" t="n">
        <v>0.52381</v>
      </c>
      <c r="AB42" s="28" t="n">
        <v>0</v>
      </c>
      <c r="AC42" s="30" t="n">
        <v>0</v>
      </c>
      <c r="AD42" s="24" t="inlineStr">
        <is>
          <t>2026-07-23T04:36:37.074229Z</t>
        </is>
      </c>
      <c r="AE42" s="31" t="inlineStr">
        <is>
          <t>Retroactive model run — features from team averages.</t>
        </is>
      </c>
      <c r="AF42" s="31" t="inlineStr">
        <is>
          <t>Retroactive; features approximated from teammate averages, not point-in-time.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NO_CALL_MISSING_FEATURES</t>
        </is>
      </c>
      <c r="AP42" s="24" t="inlineStr">
        <is>
          <t>mlb-athletics</t>
        </is>
      </c>
      <c r="AQ42" s="24" t="inlineStr">
        <is>
          <t>Athletics</t>
        </is>
      </c>
      <c r="AR42" s="24" t="inlineStr">
        <is>
          <t>Athletics</t>
        </is>
      </c>
      <c r="AS42" s="24" t="inlineStr">
        <is>
          <t>mlb-arizonadiamondbacks</t>
        </is>
      </c>
      <c r="AT42" s="24" t="inlineStr">
        <is>
          <t>Arizona Diamondbacks</t>
        </is>
      </c>
      <c r="AU42" s="24" t="inlineStr">
        <is>
          <t>Arizona Diamondbacks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f4ba988a51fcfbc42f017c34f5d25f481de500c1e844165b98cf0acea10d1539</t>
        </is>
      </c>
      <c r="BB42" s="24" t="inlineStr">
        <is>
          <t>learned_lr</t>
        </is>
      </c>
      <c r="BC42" s="24" t="inlineStr">
        <is>
          <t>mlb-elo-trend-lr-v5</t>
        </is>
      </c>
      <c r="BD42" s="24" t="inlineStr">
        <is>
          <t>f4ba988a51fcfbc42f017c34f5d25f481de500c1e844165b98cf0acea10d1539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mlb-elo-trend-lr-v5</t>
        </is>
      </c>
      <c r="BH42" s="24" t="inlineStr">
        <is>
          <t>2026-07-23T04:36:37.074229Z</t>
        </is>
      </c>
      <c r="BI42" s="24" t="n"/>
      <c r="BJ42" s="25" t="n"/>
      <c r="BK42" s="26" t="n">
        <v>-110</v>
      </c>
      <c r="BL42" s="27" t="n">
        <v>1.909091</v>
      </c>
      <c r="BM42" s="28" t="n">
        <v>0.52381</v>
      </c>
      <c r="BN42" s="28" t="n"/>
      <c r="BO42" s="28" t="n"/>
      <c r="BP42" s="25" t="n"/>
      <c r="BQ42" s="27" t="n">
        <v>1.909091</v>
      </c>
      <c r="BR42" s="28" t="n">
        <v>0.52381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</row>
    <row r="43" ht="36" customHeight="1">
      <c r="A43" s="24" t="inlineStr">
        <is>
          <t>5c78ac945ff54a17</t>
        </is>
      </c>
      <c r="B43" s="24" t="inlineStr">
        <is>
          <t>2026-07-23T04:36:37.074229Z</t>
        </is>
      </c>
      <c r="C43" s="24" t="inlineStr">
        <is>
          <t>2026-07-22T18:40:00-0400</t>
        </is>
      </c>
      <c r="D43" s="24" t="inlineStr">
        <is>
          <t>401816217</t>
        </is>
      </c>
      <c r="E43" s="24" t="inlineStr">
        <is>
          <t>MLB</t>
        </is>
      </c>
      <c r="F43" s="24" t="inlineStr">
        <is>
          <t>Los Angeles Dodgers</t>
        </is>
      </c>
      <c r="G43" s="24" t="inlineStr">
        <is>
          <t>Philadelphia Phillies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-110</v>
      </c>
      <c r="M43" s="27" t="n">
        <v>1.909091</v>
      </c>
      <c r="N43" s="28" t="n">
        <v>0.52381</v>
      </c>
      <c r="O43" s="28" t="n">
        <v>0.5519810000000001</v>
      </c>
      <c r="P43" s="28" t="n">
        <v>0.05</v>
      </c>
      <c r="Q43" s="28" t="n">
        <v>0.028171</v>
      </c>
      <c r="R43" s="26" t="n">
        <v>34</v>
      </c>
      <c r="S43" s="29" t="n">
        <v>0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loss</t>
        </is>
      </c>
      <c r="W43" s="26" t="n">
        <v>9</v>
      </c>
      <c r="X43" s="26" t="n">
        <v>5</v>
      </c>
      <c r="Y43" s="25" t="n"/>
      <c r="Z43" s="26" t="n">
        <v>-110</v>
      </c>
      <c r="AA43" s="28" t="n">
        <v>0.52381</v>
      </c>
      <c r="AB43" s="28" t="n">
        <v>0</v>
      </c>
      <c r="AC43" s="30" t="n">
        <v>0</v>
      </c>
      <c r="AD43" s="24" t="inlineStr">
        <is>
          <t>2026-07-23T04:36:37.074229Z</t>
        </is>
      </c>
      <c r="AE43" s="31" t="inlineStr">
        <is>
          <t>Retroactive model run — features from team averages.</t>
        </is>
      </c>
      <c r="AF43" s="31" t="inlineStr">
        <is>
          <t>Retroactive; features approximated from teammate averages, not point-in-time.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NO_CALL_MISSING_FEATURES</t>
        </is>
      </c>
      <c r="AP43" s="24" t="inlineStr">
        <is>
          <t>mlb-losangelesdodgers</t>
        </is>
      </c>
      <c r="AQ43" s="24" t="inlineStr">
        <is>
          <t>Los Angeles Dodgers</t>
        </is>
      </c>
      <c r="AR43" s="24" t="inlineStr">
        <is>
          <t>Los Angeles Dodgers</t>
        </is>
      </c>
      <c r="AS43" s="24" t="inlineStr">
        <is>
          <t>mlb-philadelphiaphillies</t>
        </is>
      </c>
      <c r="AT43" s="24" t="inlineStr">
        <is>
          <t>Philadelphia Phillies</t>
        </is>
      </c>
      <c r="AU43" s="24" t="inlineStr">
        <is>
          <t>Philadelphia Phillies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f4ba988a51fcfbc42f017c34f5d25f481de500c1e844165b98cf0acea10d1539</t>
        </is>
      </c>
      <c r="BB43" s="24" t="inlineStr">
        <is>
          <t>learned_lr</t>
        </is>
      </c>
      <c r="BC43" s="24" t="inlineStr">
        <is>
          <t>mlb-elo-trend-lr-v5</t>
        </is>
      </c>
      <c r="BD43" s="24" t="inlineStr">
        <is>
          <t>f4ba988a51fcfbc42f017c34f5d25f481de500c1e844165b98cf0acea10d1539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mlb-elo-trend-lr-v5</t>
        </is>
      </c>
      <c r="BH43" s="24" t="inlineStr">
        <is>
          <t>2026-07-23T04:36:37.074229Z</t>
        </is>
      </c>
      <c r="BI43" s="24" t="n"/>
      <c r="BJ43" s="25" t="n"/>
      <c r="BK43" s="26" t="n">
        <v>-110</v>
      </c>
      <c r="BL43" s="27" t="n">
        <v>1.909091</v>
      </c>
      <c r="BM43" s="28" t="n">
        <v>0.52381</v>
      </c>
      <c r="BN43" s="28" t="n"/>
      <c r="BO43" s="28" t="n"/>
      <c r="BP43" s="25" t="n"/>
      <c r="BQ43" s="27" t="n">
        <v>1.909091</v>
      </c>
      <c r="BR43" s="28" t="n">
        <v>0.52381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</row>
    <row r="44" ht="36" customHeight="1">
      <c r="A44" s="24" t="inlineStr">
        <is>
          <t>31f2f9d6b7e94f1a</t>
        </is>
      </c>
      <c r="B44" s="24" t="inlineStr">
        <is>
          <t>2026-07-23T04:36:37.074229Z</t>
        </is>
      </c>
      <c r="C44" s="24" t="inlineStr">
        <is>
          <t>2026-07-22T18:40:00-0400</t>
        </is>
      </c>
      <c r="D44" s="24" t="inlineStr">
        <is>
          <t>401816218</t>
        </is>
      </c>
      <c r="E44" s="24" t="inlineStr">
        <is>
          <t>MLB</t>
        </is>
      </c>
      <c r="F44" s="24" t="inlineStr">
        <is>
          <t>Minnesota Twins</t>
        </is>
      </c>
      <c r="G44" s="24" t="inlineStr">
        <is>
          <t>Cleveland Guardians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-110</v>
      </c>
      <c r="M44" s="27" t="n">
        <v>1.909091</v>
      </c>
      <c r="N44" s="28" t="n">
        <v>0.52381</v>
      </c>
      <c r="O44" s="28" t="n">
        <v>0.560863</v>
      </c>
      <c r="P44" s="28" t="n">
        <v>0.05</v>
      </c>
      <c r="Q44" s="28" t="n">
        <v>0.037053</v>
      </c>
      <c r="R44" s="26" t="n">
        <v>39</v>
      </c>
      <c r="S44" s="29" t="n">
        <v>0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loss</t>
        </is>
      </c>
      <c r="W44" s="26" t="n">
        <v>10</v>
      </c>
      <c r="X44" s="26" t="n">
        <v>6</v>
      </c>
      <c r="Y44" s="25" t="n"/>
      <c r="Z44" s="26" t="n">
        <v>-110</v>
      </c>
      <c r="AA44" s="28" t="n">
        <v>0.52381</v>
      </c>
      <c r="AB44" s="28" t="n">
        <v>0</v>
      </c>
      <c r="AC44" s="30" t="n">
        <v>0</v>
      </c>
      <c r="AD44" s="24" t="inlineStr">
        <is>
          <t>2026-07-23T04:36:37.074229Z</t>
        </is>
      </c>
      <c r="AE44" s="31" t="inlineStr">
        <is>
          <t>Retroactive model run — features from team averages.</t>
        </is>
      </c>
      <c r="AF44" s="31" t="inlineStr">
        <is>
          <t>Retroactive; features approximated from teammate averages, not point-in-time.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NO_CALL_MISSING_FEATURES</t>
        </is>
      </c>
      <c r="AP44" s="24" t="inlineStr">
        <is>
          <t>mlb-minnesotatwins</t>
        </is>
      </c>
      <c r="AQ44" s="24" t="inlineStr">
        <is>
          <t>Minnesota Twins</t>
        </is>
      </c>
      <c r="AR44" s="24" t="inlineStr">
        <is>
          <t>Minnesota Twins</t>
        </is>
      </c>
      <c r="AS44" s="24" t="inlineStr">
        <is>
          <t>mlb-clevelandguardians</t>
        </is>
      </c>
      <c r="AT44" s="24" t="inlineStr">
        <is>
          <t>Cleveland Guardians</t>
        </is>
      </c>
      <c r="AU44" s="24" t="inlineStr">
        <is>
          <t>Cleveland Guardians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f4ba988a51fcfbc42f017c34f5d25f481de500c1e844165b98cf0acea10d1539</t>
        </is>
      </c>
      <c r="BB44" s="24" t="inlineStr">
        <is>
          <t>learned_lr</t>
        </is>
      </c>
      <c r="BC44" s="24" t="inlineStr">
        <is>
          <t>mlb-elo-trend-lr-v5</t>
        </is>
      </c>
      <c r="BD44" s="24" t="inlineStr">
        <is>
          <t>f4ba988a51fcfbc42f017c34f5d25f481de500c1e844165b98cf0acea10d1539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mlb-elo-trend-lr-v5</t>
        </is>
      </c>
      <c r="BH44" s="24" t="inlineStr">
        <is>
          <t>2026-07-23T04:36:37.074229Z</t>
        </is>
      </c>
      <c r="BI44" s="24" t="n"/>
      <c r="BJ44" s="25" t="n"/>
      <c r="BK44" s="26" t="n">
        <v>-110</v>
      </c>
      <c r="BL44" s="27" t="n">
        <v>1.909091</v>
      </c>
      <c r="BM44" s="28" t="n">
        <v>0.52381</v>
      </c>
      <c r="BN44" s="28" t="n"/>
      <c r="BO44" s="28" t="n"/>
      <c r="BP44" s="25" t="n"/>
      <c r="BQ44" s="27" t="n">
        <v>1.909091</v>
      </c>
      <c r="BR44" s="28" t="n">
        <v>0.52381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</row>
    <row r="45" ht="36" customHeight="1">
      <c r="A45" s="24" t="inlineStr">
        <is>
          <t>81b2b0db60d346c2</t>
        </is>
      </c>
      <c r="B45" s="24" t="inlineStr">
        <is>
          <t>2026-07-23T04:36:37.074229Z</t>
        </is>
      </c>
      <c r="C45" s="24" t="inlineStr">
        <is>
          <t>2026-07-22T19:10:00-0400</t>
        </is>
      </c>
      <c r="D45" s="24" t="inlineStr">
        <is>
          <t>401816216</t>
        </is>
      </c>
      <c r="E45" s="24" t="inlineStr">
        <is>
          <t>MLB</t>
        </is>
      </c>
      <c r="F45" s="24" t="inlineStr">
        <is>
          <t>Baltimore Orioles</t>
        </is>
      </c>
      <c r="G45" s="24" t="inlineStr">
        <is>
          <t>Boston Red Sox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-110</v>
      </c>
      <c r="M45" s="27" t="n">
        <v>1.909091</v>
      </c>
      <c r="N45" s="28" t="n">
        <v>0.52381</v>
      </c>
      <c r="O45" s="28" t="n">
        <v>0.551967</v>
      </c>
      <c r="P45" s="28" t="n">
        <v>0.05</v>
      </c>
      <c r="Q45" s="28" t="n">
        <v>0.028158</v>
      </c>
      <c r="R45" s="26" t="n">
        <v>34</v>
      </c>
      <c r="S45" s="29" t="n">
        <v>0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loss</t>
        </is>
      </c>
      <c r="W45" s="26" t="n">
        <v>5</v>
      </c>
      <c r="X45" s="26" t="n">
        <v>1</v>
      </c>
      <c r="Y45" s="25" t="n"/>
      <c r="Z45" s="26" t="n">
        <v>-110</v>
      </c>
      <c r="AA45" s="28" t="n">
        <v>0.52381</v>
      </c>
      <c r="AB45" s="28" t="n">
        <v>0</v>
      </c>
      <c r="AC45" s="30" t="n">
        <v>0</v>
      </c>
      <c r="AD45" s="24" t="inlineStr">
        <is>
          <t>2026-07-23T04:36:37.074229Z</t>
        </is>
      </c>
      <c r="AE45" s="31" t="inlineStr">
        <is>
          <t>Retroactive model run — features from team averages.</t>
        </is>
      </c>
      <c r="AF45" s="31" t="inlineStr">
        <is>
          <t>Retroactive; features approximated from teammate averages, not point-in-time.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NO_CALL_MISSING_FEATURES</t>
        </is>
      </c>
      <c r="AP45" s="24" t="inlineStr">
        <is>
          <t>mlb-baltimoreorioles</t>
        </is>
      </c>
      <c r="AQ45" s="24" t="inlineStr">
        <is>
          <t>Baltimore Orioles</t>
        </is>
      </c>
      <c r="AR45" s="24" t="inlineStr">
        <is>
          <t>Baltimore Orioles</t>
        </is>
      </c>
      <c r="AS45" s="24" t="inlineStr">
        <is>
          <t>mlb-bostonredsox</t>
        </is>
      </c>
      <c r="AT45" s="24" t="inlineStr">
        <is>
          <t>Boston Red Sox</t>
        </is>
      </c>
      <c r="AU45" s="24" t="inlineStr">
        <is>
          <t>Boston Red Sox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f4ba988a51fcfbc42f017c34f5d25f481de500c1e844165b98cf0acea10d1539</t>
        </is>
      </c>
      <c r="BB45" s="24" t="inlineStr">
        <is>
          <t>learned_lr</t>
        </is>
      </c>
      <c r="BC45" s="24" t="inlineStr">
        <is>
          <t>mlb-elo-trend-lr-v5</t>
        </is>
      </c>
      <c r="BD45" s="24" t="inlineStr">
        <is>
          <t>f4ba988a51fcfbc42f017c34f5d25f481de500c1e844165b98cf0acea10d1539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mlb-elo-trend-lr-v5</t>
        </is>
      </c>
      <c r="BH45" s="24" t="inlineStr">
        <is>
          <t>2026-07-23T04:36:37.074229Z</t>
        </is>
      </c>
      <c r="BI45" s="24" t="n"/>
      <c r="BJ45" s="25" t="n"/>
      <c r="BK45" s="26" t="n">
        <v>-110</v>
      </c>
      <c r="BL45" s="27" t="n">
        <v>1.909091</v>
      </c>
      <c r="BM45" s="28" t="n">
        <v>0.52381</v>
      </c>
      <c r="BN45" s="28" t="n"/>
      <c r="BO45" s="28" t="n"/>
      <c r="BP45" s="25" t="n"/>
      <c r="BQ45" s="27" t="n">
        <v>1.909091</v>
      </c>
      <c r="BR45" s="28" t="n">
        <v>0.52381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</row>
    <row r="46" ht="36" customHeight="1">
      <c r="A46" s="24" t="inlineStr">
        <is>
          <t>b47fb95d1c60470b</t>
        </is>
      </c>
      <c r="B46" s="24" t="inlineStr">
        <is>
          <t>2026-07-23T04:36:37.074229Z</t>
        </is>
      </c>
      <c r="C46" s="24" t="inlineStr">
        <is>
          <t>2026-07-22T19:15:00-0400</t>
        </is>
      </c>
      <c r="D46" s="24" t="inlineStr">
        <is>
          <t>401816220</t>
        </is>
      </c>
      <c r="E46" s="24" t="inlineStr">
        <is>
          <t>MLB</t>
        </is>
      </c>
      <c r="F46" s="24" t="inlineStr">
        <is>
          <t>San Diego Padres</t>
        </is>
      </c>
      <c r="G46" s="24" t="inlineStr">
        <is>
          <t>Atlanta Braves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-110</v>
      </c>
      <c r="M46" s="27" t="n">
        <v>1.909091</v>
      </c>
      <c r="N46" s="28" t="n">
        <v>0.52381</v>
      </c>
      <c r="O46" s="28" t="n">
        <v>0.554655</v>
      </c>
      <c r="P46" s="28" t="n">
        <v>0.05</v>
      </c>
      <c r="Q46" s="28" t="n">
        <v>0.030845</v>
      </c>
      <c r="R46" s="26" t="n">
        <v>35</v>
      </c>
      <c r="S46" s="29" t="n">
        <v>0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win</t>
        </is>
      </c>
      <c r="W46" s="26" t="n">
        <v>6</v>
      </c>
      <c r="X46" s="26" t="n">
        <v>7</v>
      </c>
      <c r="Y46" s="25" t="n"/>
      <c r="Z46" s="26" t="n">
        <v>-110</v>
      </c>
      <c r="AA46" s="28" t="n">
        <v>0.52381</v>
      </c>
      <c r="AB46" s="28" t="n">
        <v>0</v>
      </c>
      <c r="AC46" s="30" t="n">
        <v>0</v>
      </c>
      <c r="AD46" s="24" t="inlineStr">
        <is>
          <t>2026-07-23T04:36:37.074229Z</t>
        </is>
      </c>
      <c r="AE46" s="31" t="inlineStr">
        <is>
          <t>Retroactive model run — features from team averages.</t>
        </is>
      </c>
      <c r="AF46" s="31" t="inlineStr">
        <is>
          <t>Retroactive; features approximated from teammate averages, not point-in-time.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NO_CALL_MISSING_FEATURES</t>
        </is>
      </c>
      <c r="AP46" s="24" t="inlineStr">
        <is>
          <t>mlb-sandiegopadres</t>
        </is>
      </c>
      <c r="AQ46" s="24" t="inlineStr">
        <is>
          <t>San Diego Padres</t>
        </is>
      </c>
      <c r="AR46" s="24" t="inlineStr">
        <is>
          <t>San Diego Padres</t>
        </is>
      </c>
      <c r="AS46" s="24" t="inlineStr">
        <is>
          <t>mlb-atlantabraves</t>
        </is>
      </c>
      <c r="AT46" s="24" t="inlineStr">
        <is>
          <t>Atlanta Braves</t>
        </is>
      </c>
      <c r="AU46" s="24" t="inlineStr">
        <is>
          <t>Atlanta Braves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f4ba988a51fcfbc42f017c34f5d25f481de500c1e844165b98cf0acea10d1539</t>
        </is>
      </c>
      <c r="BB46" s="24" t="inlineStr">
        <is>
          <t>learned_lr</t>
        </is>
      </c>
      <c r="BC46" s="24" t="inlineStr">
        <is>
          <t>mlb-elo-trend-lr-v5</t>
        </is>
      </c>
      <c r="BD46" s="24" t="inlineStr">
        <is>
          <t>f4ba988a51fcfbc42f017c34f5d25f481de500c1e844165b98cf0acea10d1539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mlb-elo-trend-lr-v5</t>
        </is>
      </c>
      <c r="BH46" s="24" t="inlineStr">
        <is>
          <t>2026-07-23T04:36:37.074229Z</t>
        </is>
      </c>
      <c r="BI46" s="24" t="n"/>
      <c r="BJ46" s="25" t="n"/>
      <c r="BK46" s="26" t="n">
        <v>-110</v>
      </c>
      <c r="BL46" s="27" t="n">
        <v>1.909091</v>
      </c>
      <c r="BM46" s="28" t="n">
        <v>0.52381</v>
      </c>
      <c r="BN46" s="28" t="n"/>
      <c r="BO46" s="28" t="n"/>
      <c r="BP46" s="25" t="n"/>
      <c r="BQ46" s="27" t="n">
        <v>1.909091</v>
      </c>
      <c r="BR46" s="28" t="n">
        <v>0.52381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</row>
    <row r="47" ht="36" customHeight="1">
      <c r="A47" s="24" t="inlineStr">
        <is>
          <t>3e68c62def444eb1</t>
        </is>
      </c>
      <c r="B47" s="24" t="inlineStr">
        <is>
          <t>2026-07-23T04:36:37.074229Z</t>
        </is>
      </c>
      <c r="C47" s="24" t="inlineStr">
        <is>
          <t>2026-07-22T20:00:00-0400</t>
        </is>
      </c>
      <c r="D47" s="24" t="inlineStr">
        <is>
          <t>401816223</t>
        </is>
      </c>
      <c r="E47" s="24" t="inlineStr">
        <is>
          <t>MLB</t>
        </is>
      </c>
      <c r="F47" s="24" t="inlineStr">
        <is>
          <t>Detroit Tigers</t>
        </is>
      </c>
      <c r="G47" s="24" t="inlineStr">
        <is>
          <t>Chicago Cubs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-110</v>
      </c>
      <c r="M47" s="27" t="n">
        <v>1.909091</v>
      </c>
      <c r="N47" s="28" t="n">
        <v>0.52381</v>
      </c>
      <c r="O47" s="28" t="n">
        <v>0.592436</v>
      </c>
      <c r="P47" s="28" t="n">
        <v>0.05</v>
      </c>
      <c r="Q47" s="28" t="n">
        <v>0.06862600000000001</v>
      </c>
      <c r="R47" s="26" t="n">
        <v>54</v>
      </c>
      <c r="S47" s="29" t="n">
        <v>0</v>
      </c>
      <c r="T47" s="24" t="inlineStr">
        <is>
          <t>mlb-elo-trend-lr-v5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1</v>
      </c>
      <c r="Y47" s="25" t="n"/>
      <c r="Z47" s="26" t="n">
        <v>-110</v>
      </c>
      <c r="AA47" s="28" t="n">
        <v>0.52381</v>
      </c>
      <c r="AB47" s="28" t="n">
        <v>0</v>
      </c>
      <c r="AC47" s="30" t="n">
        <v>0</v>
      </c>
      <c r="AD47" s="24" t="inlineStr">
        <is>
          <t>2026-07-23T04:36:37.074229Z</t>
        </is>
      </c>
      <c r="AE47" s="31" t="inlineStr">
        <is>
          <t>Retroactive model run — features from team averages.</t>
        </is>
      </c>
      <c r="AF47" s="31" t="inlineStr">
        <is>
          <t>Retroactive; features approximated from teammate averages, not point-in-time.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NO_CALL_MISSING_FEATURES</t>
        </is>
      </c>
      <c r="AP47" s="24" t="inlineStr">
        <is>
          <t>mlb-detroittigers</t>
        </is>
      </c>
      <c r="AQ47" s="24" t="inlineStr">
        <is>
          <t>Detroit Tigers</t>
        </is>
      </c>
      <c r="AR47" s="24" t="inlineStr">
        <is>
          <t>Detroit Tigers</t>
        </is>
      </c>
      <c r="AS47" s="24" t="inlineStr">
        <is>
          <t>mlb-chicagocubs</t>
        </is>
      </c>
      <c r="AT47" s="24" t="inlineStr">
        <is>
          <t>Chicago Cubs</t>
        </is>
      </c>
      <c r="AU47" s="24" t="inlineStr">
        <is>
          <t>Chicago Cubs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f4ba988a51fcfbc42f017c34f5d25f481de500c1e844165b98cf0acea10d1539</t>
        </is>
      </c>
      <c r="BB47" s="24" t="inlineStr">
        <is>
          <t>learned_lr</t>
        </is>
      </c>
      <c r="BC47" s="24" t="inlineStr">
        <is>
          <t>mlb-elo-trend-lr-v5</t>
        </is>
      </c>
      <c r="BD47" s="24" t="inlineStr">
        <is>
          <t>f4ba988a51fcfbc42f017c34f5d25f481de500c1e844165b98cf0acea10d1539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mlb-elo-trend-lr-v5</t>
        </is>
      </c>
      <c r="BH47" s="24" t="inlineStr">
        <is>
          <t>2026-07-23T04:36:37.074229Z</t>
        </is>
      </c>
      <c r="BI47" s="24" t="n"/>
      <c r="BJ47" s="25" t="n"/>
      <c r="BK47" s="26" t="n">
        <v>-110</v>
      </c>
      <c r="BL47" s="27" t="n">
        <v>1.909091</v>
      </c>
      <c r="BM47" s="28" t="n">
        <v>0.52381</v>
      </c>
      <c r="BN47" s="28" t="n"/>
      <c r="BO47" s="28" t="n"/>
      <c r="BP47" s="25" t="n"/>
      <c r="BQ47" s="27" t="n">
        <v>1.909091</v>
      </c>
      <c r="BR47" s="28" t="n">
        <v>0.52381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</row>
    <row r="48" ht="36" customHeight="1">
      <c r="A48" s="24" t="inlineStr">
        <is>
          <t>9d4cc694127f432f</t>
        </is>
      </c>
      <c r="B48" s="24" t="inlineStr">
        <is>
          <t>2026-07-23T04:36:37.074229Z</t>
        </is>
      </c>
      <c r="C48" s="24" t="inlineStr">
        <is>
          <t>2026-07-22T20:05:00-0400</t>
        </is>
      </c>
      <c r="D48" s="24" t="inlineStr">
        <is>
          <t>401816222</t>
        </is>
      </c>
      <c r="E48" s="24" t="inlineStr">
        <is>
          <t>MLB</t>
        </is>
      </c>
      <c r="F48" s="24" t="inlineStr">
        <is>
          <t>Chicago White Sox</t>
        </is>
      </c>
      <c r="G48" s="24" t="inlineStr">
        <is>
          <t>Texas Rangers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-110</v>
      </c>
      <c r="M48" s="27" t="n">
        <v>1.909091</v>
      </c>
      <c r="N48" s="28" t="n">
        <v>0.52381</v>
      </c>
      <c r="O48" s="28" t="n">
        <v>0.549254</v>
      </c>
      <c r="P48" s="28" t="n">
        <v>0.05</v>
      </c>
      <c r="Q48" s="28" t="n">
        <v>0.025445</v>
      </c>
      <c r="R48" s="26" t="n">
        <v>33</v>
      </c>
      <c r="S48" s="29" t="n">
        <v>0</v>
      </c>
      <c r="T48" s="24" t="inlineStr">
        <is>
          <t>mlb-elo-trend-lr-v5</t>
        </is>
      </c>
      <c r="U48" s="24" t="inlineStr">
        <is>
          <t>settled</t>
        </is>
      </c>
      <c r="V48" s="24" t="inlineStr">
        <is>
          <t>loss</t>
        </is>
      </c>
      <c r="W48" s="26" t="n">
        <v>4</v>
      </c>
      <c r="X48" s="26" t="n">
        <v>2</v>
      </c>
      <c r="Y48" s="25" t="n"/>
      <c r="Z48" s="26" t="n">
        <v>-110</v>
      </c>
      <c r="AA48" s="28" t="n">
        <v>0.52381</v>
      </c>
      <c r="AB48" s="28" t="n">
        <v>0</v>
      </c>
      <c r="AC48" s="30" t="n">
        <v>0</v>
      </c>
      <c r="AD48" s="24" t="inlineStr">
        <is>
          <t>2026-07-23T04:36:37.074229Z</t>
        </is>
      </c>
      <c r="AE48" s="31" t="inlineStr">
        <is>
          <t>Retroactive model run — features from team averages.</t>
        </is>
      </c>
      <c r="AF48" s="31" t="inlineStr">
        <is>
          <t>Retroactive; features approximated from teammate averages, not point-in-time.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NO_CALL_MISSING_FEATURES</t>
        </is>
      </c>
      <c r="AP48" s="24" t="inlineStr">
        <is>
          <t>mlb-chicagowhitesox</t>
        </is>
      </c>
      <c r="AQ48" s="24" t="inlineStr">
        <is>
          <t>Chicago White Sox</t>
        </is>
      </c>
      <c r="AR48" s="24" t="inlineStr">
        <is>
          <t>Chicago White Sox</t>
        </is>
      </c>
      <c r="AS48" s="24" t="inlineStr">
        <is>
          <t>mlb-texasrangers</t>
        </is>
      </c>
      <c r="AT48" s="24" t="inlineStr">
        <is>
          <t>Texas Rangers</t>
        </is>
      </c>
      <c r="AU48" s="24" t="inlineStr">
        <is>
          <t>Texas Rangers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f4ba988a51fcfbc42f017c34f5d25f481de500c1e844165b98cf0acea10d1539</t>
        </is>
      </c>
      <c r="BB48" s="24" t="inlineStr">
        <is>
          <t>learned_lr</t>
        </is>
      </c>
      <c r="BC48" s="24" t="inlineStr">
        <is>
          <t>mlb-elo-trend-lr-v5</t>
        </is>
      </c>
      <c r="BD48" s="24" t="inlineStr">
        <is>
          <t>f4ba988a51fcfbc42f017c34f5d25f481de500c1e844165b98cf0acea10d1539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mlb-elo-trend-lr-v5</t>
        </is>
      </c>
      <c r="BH48" s="24" t="inlineStr">
        <is>
          <t>2026-07-23T04:36:37.074229Z</t>
        </is>
      </c>
      <c r="BI48" s="24" t="n"/>
      <c r="BJ48" s="25" t="n"/>
      <c r="BK48" s="26" t="n">
        <v>-110</v>
      </c>
      <c r="BL48" s="27" t="n">
        <v>1.909091</v>
      </c>
      <c r="BM48" s="28" t="n">
        <v>0.52381</v>
      </c>
      <c r="BN48" s="28" t="n"/>
      <c r="BO48" s="28" t="n"/>
      <c r="BP48" s="25" t="n"/>
      <c r="BQ48" s="27" t="n">
        <v>1.909091</v>
      </c>
      <c r="BR48" s="28" t="n">
        <v>0.52381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</row>
    <row r="49" ht="36" customHeight="1">
      <c r="A49" s="24" t="inlineStr">
        <is>
          <t>82b202dcb76340b2</t>
        </is>
      </c>
      <c r="B49" s="24" t="inlineStr">
        <is>
          <t>2026-07-23T04:40:31.706570Z</t>
        </is>
      </c>
      <c r="C49" s="24" t="inlineStr">
        <is>
          <t>2026-07-23T09:00:00Z</t>
        </is>
      </c>
      <c r="D49" s="24" t="inlineStr">
        <is>
          <t>56810</t>
        </is>
      </c>
      <c r="E49" s="24" t="inlineStr">
        <is>
          <t>LOL</t>
        </is>
      </c>
      <c r="F49" s="24" t="inlineStr">
        <is>
          <t>Anyone's Legend</t>
        </is>
      </c>
      <c r="G49" s="24" t="inlineStr">
        <is>
          <t>JD Gaming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104</v>
      </c>
      <c r="M49" s="27" t="n">
        <v>2.04</v>
      </c>
      <c r="N49" s="28" t="n">
        <v>0.490196</v>
      </c>
      <c r="O49" s="28" t="n">
        <v>0.529047</v>
      </c>
      <c r="P49" s="28" t="n"/>
      <c r="Q49" s="28" t="n">
        <v>0.038851</v>
      </c>
      <c r="R49" s="26" t="n">
        <v>39</v>
      </c>
      <c r="S49" s="29" t="n">
        <v>0</v>
      </c>
      <c r="T49" s="24" t="inlineStr">
        <is>
          <t>lol-tiered-elo-v3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0.4900 (market_slug=aec-lol-jdg-al-2026-07-23).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Anyone's Legend</t>
        </is>
      </c>
      <c r="AQ49" s="24" t="inlineStr">
        <is>
          <t>Anyone's Legend</t>
        </is>
      </c>
      <c r="AR49" s="24" t="inlineStr">
        <is>
          <t>Anyone's Legend</t>
        </is>
      </c>
      <c r="AS49" s="24" t="inlineStr">
        <is>
          <t>JD Gaming</t>
        </is>
      </c>
      <c r="AT49" s="24" t="inlineStr">
        <is>
          <t>JD Gaming</t>
        </is>
      </c>
      <c r="AU49" s="24" t="inlineStr">
        <is>
          <t>JD Gaming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dbc38ecdb090b63690db810d40eb29d0a69435c83dfbf24eb00d22aa42c177ae</t>
        </is>
      </c>
      <c r="BB49" s="24" t="inlineStr">
        <is>
          <t>neutral_elo</t>
        </is>
      </c>
      <c r="BC49" s="24" t="inlineStr">
        <is>
          <t>lol-tiered-elo-v3</t>
        </is>
      </c>
      <c r="BD49" s="24" t="inlineStr">
        <is>
          <t>dbc38ecdb090b63690db810d40eb29d0a69435c83dfbf24eb00d22aa42c177ae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lol-tiered-elo-v3</t>
        </is>
      </c>
      <c r="BH49" s="24" t="inlineStr">
        <is>
          <t>2026-07-23T04:40:04.053921Z</t>
        </is>
      </c>
      <c r="BI49" s="24" t="inlineStr">
        <is>
          <t>["same_event","same_team_same_day","same_league_same_day"]</t>
        </is>
      </c>
      <c r="BJ49" s="25" t="n"/>
      <c r="BK49" s="26" t="n">
        <v>104</v>
      </c>
      <c r="BL49" s="27" t="n">
        <v>2.04</v>
      </c>
      <c r="BM49" s="28" t="n">
        <v>0.490196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</row>
    <row r="50" ht="36" customHeight="1">
      <c r="A50" s="24" t="inlineStr">
        <is>
          <t>f8d58659a1dd44cb</t>
        </is>
      </c>
      <c r="B50" s="24" t="inlineStr">
        <is>
          <t>2026-07-23T04:40:31.706570Z</t>
        </is>
      </c>
      <c r="C50" s="24" t="inlineStr">
        <is>
          <t>2026-07-23T16:00:00Z</t>
        </is>
      </c>
      <c r="D50" s="24" t="inlineStr">
        <is>
          <t>57023</t>
        </is>
      </c>
      <c r="E50" s="24" t="inlineStr">
        <is>
          <t>LOL</t>
        </is>
      </c>
      <c r="F50" s="24" t="inlineStr">
        <is>
          <t>Esprit Shōnen</t>
        </is>
      </c>
      <c r="G50" s="24" t="inlineStr">
        <is>
          <t>Skillcamp Esport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144</v>
      </c>
      <c r="M50" s="27" t="n">
        <v>2.44</v>
      </c>
      <c r="N50" s="28" t="n">
        <v>0.409836</v>
      </c>
      <c r="O50" s="28" t="n">
        <v>0.598228</v>
      </c>
      <c r="P50" s="28" t="n"/>
      <c r="Q50" s="28" t="n">
        <v>0.188392</v>
      </c>
      <c r="R50" s="26" t="n">
        <v>100</v>
      </c>
      <c r="S50" s="29" t="n">
        <v>0</v>
      </c>
      <c r="T50" s="24" t="inlineStr">
        <is>
          <t>lol-tiered-elo-v3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0.4100 (market_slug=aec-lol-sc-ess-2026-07-23).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NO_CALL_LARGE_DISAGREEMENT_REVIEW</t>
        </is>
      </c>
      <c r="AP50" s="24" t="inlineStr">
        <is>
          <t>Esprit Shōnen</t>
        </is>
      </c>
      <c r="AQ50" s="24" t="inlineStr">
        <is>
          <t>Esprit Shōnen</t>
        </is>
      </c>
      <c r="AR50" s="24" t="inlineStr">
        <is>
          <t>Esprit Shōnen</t>
        </is>
      </c>
      <c r="AS50" s="24" t="inlineStr">
        <is>
          <t>Skillcamp Esport</t>
        </is>
      </c>
      <c r="AT50" s="24" t="inlineStr">
        <is>
          <t>Skillcamp Esport</t>
        </is>
      </c>
      <c r="AU50" s="24" t="inlineStr">
        <is>
          <t>Skillcamp Esport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dbc38ecdb090b63690db810d40eb29d0a69435c83dfbf24eb00d22aa42c177ae</t>
        </is>
      </c>
      <c r="BB50" s="24" t="inlineStr">
        <is>
          <t>neutral_elo</t>
        </is>
      </c>
      <c r="BC50" s="24" t="inlineStr">
        <is>
          <t>lol-tiered-elo-v3</t>
        </is>
      </c>
      <c r="BD50" s="24" t="inlineStr">
        <is>
          <t>dbc38ecdb090b63690db810d40eb29d0a69435c83dfbf24eb00d22aa42c177ae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lol-tiered-elo-v3</t>
        </is>
      </c>
      <c r="BH50" s="24" t="inlineStr">
        <is>
          <t>2026-07-23T04:40:06.458845Z</t>
        </is>
      </c>
      <c r="BI50" s="24" t="inlineStr">
        <is>
          <t>["same_event","same_team_same_day","same_league_same_day"]</t>
        </is>
      </c>
      <c r="BJ50" s="25" t="n"/>
      <c r="BK50" s="26" t="n">
        <v>144</v>
      </c>
      <c r="BL50" s="27" t="n">
        <v>2.44</v>
      </c>
      <c r="BM50" s="28" t="n">
        <v>0.409836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</row>
    <row r="51" ht="36" customHeight="1">
      <c r="A51" s="24" t="inlineStr">
        <is>
          <t>fca8c2189aee4e24</t>
        </is>
      </c>
      <c r="B51" s="24" t="inlineStr">
        <is>
          <t>2026-07-23T04:40:31.706570Z</t>
        </is>
      </c>
      <c r="C51" s="24" t="inlineStr">
        <is>
          <t>2026-07-23T17:00:00Z</t>
        </is>
      </c>
      <c r="D51" s="24" t="inlineStr">
        <is>
          <t>57086</t>
        </is>
      </c>
      <c r="E51" s="24" t="inlineStr">
        <is>
          <t>LOL</t>
        </is>
      </c>
      <c r="F51" s="24" t="inlineStr">
        <is>
          <t>Ici Japon Corp. Esport</t>
        </is>
      </c>
      <c r="G51" s="24" t="inlineStr">
        <is>
          <t>Joblife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156</v>
      </c>
      <c r="M51" s="27" t="n">
        <v>2.56</v>
      </c>
      <c r="N51" s="28" t="n">
        <v>0.390625</v>
      </c>
      <c r="O51" s="28" t="n">
        <v>0.549847</v>
      </c>
      <c r="P51" s="28" t="n"/>
      <c r="Q51" s="28" t="n">
        <v>0.159222</v>
      </c>
      <c r="R51" s="26" t="n">
        <v>100</v>
      </c>
      <c r="S51" s="29" t="n">
        <v>0</v>
      </c>
      <c r="T51" s="24" t="inlineStr">
        <is>
          <t>lol-tiered-elo-v3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0.3900 (market_slug=aec-lol-jl-ijc-2026-07-23).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NO_CALL_LARGE_DISAGREEMENT_REVIEW</t>
        </is>
      </c>
      <c r="AP51" s="24" t="inlineStr">
        <is>
          <t>Ici Japon Corp. Esport</t>
        </is>
      </c>
      <c r="AQ51" s="24" t="inlineStr">
        <is>
          <t>Ici Japon Corp. Esport</t>
        </is>
      </c>
      <c r="AR51" s="24" t="inlineStr">
        <is>
          <t>Ici Japon Corp. Esport</t>
        </is>
      </c>
      <c r="AS51" s="24" t="inlineStr">
        <is>
          <t>Joblife</t>
        </is>
      </c>
      <c r="AT51" s="24" t="inlineStr">
        <is>
          <t>Joblife</t>
        </is>
      </c>
      <c r="AU51" s="24" t="inlineStr">
        <is>
          <t>Joblife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dbc38ecdb090b63690db810d40eb29d0a69435c83dfbf24eb00d22aa42c177ae</t>
        </is>
      </c>
      <c r="BB51" s="24" t="inlineStr">
        <is>
          <t>neutral_elo</t>
        </is>
      </c>
      <c r="BC51" s="24" t="inlineStr">
        <is>
          <t>lol-tiered-elo-v3</t>
        </is>
      </c>
      <c r="BD51" s="24" t="inlineStr">
        <is>
          <t>dbc38ecdb090b63690db810d40eb29d0a69435c83dfbf24eb00d22aa42c177ae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lol-tiered-elo-v3</t>
        </is>
      </c>
      <c r="BH51" s="24" t="inlineStr">
        <is>
          <t>2026-07-23T04:40:09.719178Z</t>
        </is>
      </c>
      <c r="BI51" s="24" t="inlineStr">
        <is>
          <t>["same_event","same_team_same_day","same_league_same_day"]</t>
        </is>
      </c>
      <c r="BJ51" s="25" t="n"/>
      <c r="BK51" s="26" t="n">
        <v>156</v>
      </c>
      <c r="BL51" s="27" t="n">
        <v>2.56</v>
      </c>
      <c r="BM51" s="28" t="n">
        <v>0.390625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</row>
    <row r="52" ht="36" customHeight="1">
      <c r="A52" s="24" t="inlineStr">
        <is>
          <t>bd7484a9939f4b14</t>
        </is>
      </c>
      <c r="B52" s="24" t="inlineStr">
        <is>
          <t>2026-07-23T04:40:31.706570Z</t>
        </is>
      </c>
      <c r="C52" s="24" t="inlineStr">
        <is>
          <t>2026-07-23T17:00:00Z</t>
        </is>
      </c>
      <c r="D52" s="24" t="inlineStr">
        <is>
          <t>57088</t>
        </is>
      </c>
      <c r="E52" s="24" t="inlineStr">
        <is>
          <t>LOL</t>
        </is>
      </c>
      <c r="F52" s="24" t="inlineStr">
        <is>
          <t>Dynasty</t>
        </is>
      </c>
      <c r="G52" s="24" t="inlineStr">
        <is>
          <t>Myth Esports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203</v>
      </c>
      <c r="M52" s="27" t="n">
        <v>3.03</v>
      </c>
      <c r="N52" s="28" t="n">
        <v>0.330033</v>
      </c>
      <c r="O52" s="28" t="n">
        <v>0.501096</v>
      </c>
      <c r="P52" s="28" t="n"/>
      <c r="Q52" s="28" t="n">
        <v>0.171063</v>
      </c>
      <c r="R52" s="26" t="n">
        <v>100</v>
      </c>
      <c r="S52" s="29" t="n">
        <v>0</v>
      </c>
      <c r="T52" s="24" t="inlineStr">
        <is>
          <t>lol-tiered-elo-v3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0.3300 (market_slug=aec-lol-myth-dyn-2026-07-23).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NO_CALL_LARGE_DISAGREEMENT_REVIEW</t>
        </is>
      </c>
      <c r="AP52" s="24" t="inlineStr">
        <is>
          <t>Dynasty</t>
        </is>
      </c>
      <c r="AQ52" s="24" t="inlineStr">
        <is>
          <t>Dynasty</t>
        </is>
      </c>
      <c r="AR52" s="24" t="inlineStr">
        <is>
          <t>Dynasty</t>
        </is>
      </c>
      <c r="AS52" s="24" t="inlineStr">
        <is>
          <t>Myth Esports</t>
        </is>
      </c>
      <c r="AT52" s="24" t="inlineStr">
        <is>
          <t>Myth Esports</t>
        </is>
      </c>
      <c r="AU52" s="24" t="inlineStr">
        <is>
          <t>Myth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dbc38ecdb090b63690db810d40eb29d0a69435c83dfbf24eb00d22aa42c177ae</t>
        </is>
      </c>
      <c r="BB52" s="24" t="inlineStr">
        <is>
          <t>neutral_elo</t>
        </is>
      </c>
      <c r="BC52" s="24" t="inlineStr">
        <is>
          <t>lol-tiered-elo-v3</t>
        </is>
      </c>
      <c r="BD52" s="24" t="inlineStr">
        <is>
          <t>dbc38ecdb090b63690db810d40eb29d0a69435c83dfbf24eb00d22aa42c177ae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lol-tiered-elo-v3</t>
        </is>
      </c>
      <c r="BH52" s="24" t="inlineStr">
        <is>
          <t>2026-07-23T04:40:11.327340Z</t>
        </is>
      </c>
      <c r="BI52" s="24" t="inlineStr">
        <is>
          <t>["same_event","same_team_same_day","same_league_same_day"]</t>
        </is>
      </c>
      <c r="BJ52" s="25" t="n"/>
      <c r="BK52" s="26" t="n">
        <v>203</v>
      </c>
      <c r="BL52" s="27" t="n">
        <v>3.03</v>
      </c>
      <c r="BM52" s="28" t="n">
        <v>0.330033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</row>
    <row r="53" ht="36" customHeight="1">
      <c r="A53" s="24" t="inlineStr">
        <is>
          <t>32f69016f2f64bc7</t>
        </is>
      </c>
      <c r="B53" s="24" t="inlineStr">
        <is>
          <t>2026-07-23T04:41:21.883620Z</t>
        </is>
      </c>
      <c r="C53" s="24" t="inlineStr">
        <is>
          <t>2026-07-23T08:00:00Z</t>
        </is>
      </c>
      <c r="D53" s="24" t="inlineStr">
        <is>
          <t>59322</t>
        </is>
      </c>
      <c r="E53" s="24" t="inlineStr">
        <is>
          <t>CS2</t>
        </is>
      </c>
      <c r="F53" s="24" t="inlineStr">
        <is>
          <t>CYBERSHOKE Esports</t>
        </is>
      </c>
      <c r="G53" s="24" t="inlineStr">
        <is>
          <t>Just Players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223</v>
      </c>
      <c r="M53" s="27" t="n">
        <v>3.23</v>
      </c>
      <c r="N53" s="28" t="n">
        <v>0.309598</v>
      </c>
      <c r="O53" s="28" t="n">
        <v>0.685765</v>
      </c>
      <c r="P53" s="28" t="n"/>
      <c r="Q53" s="28" t="n">
        <v>0.376167</v>
      </c>
      <c r="R53" s="26" t="n">
        <v>100</v>
      </c>
      <c r="S53" s="29" t="n">
        <v>0</v>
      </c>
      <c r="T53" s="24" t="inlineStr">
        <is>
          <t>cs2-tiered-elo-v3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0.3100 (market_slug=aec-cs2-jpu-cs-2026-07-23).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NO_CALL_LARGE_DISAGREEMENT_REVIEW</t>
        </is>
      </c>
      <c r="AP53" s="24" t="inlineStr">
        <is>
          <t>CYBERSHOKE Esports</t>
        </is>
      </c>
      <c r="AQ53" s="24" t="inlineStr">
        <is>
          <t>CYBERSHOKE Esports</t>
        </is>
      </c>
      <c r="AR53" s="24" t="inlineStr">
        <is>
          <t>CYBERSHOKE Esports</t>
        </is>
      </c>
      <c r="AS53" s="24" t="inlineStr">
        <is>
          <t>Just Players</t>
        </is>
      </c>
      <c r="AT53" s="24" t="inlineStr">
        <is>
          <t>Just Players</t>
        </is>
      </c>
      <c r="AU53" s="24" t="inlineStr">
        <is>
          <t>Just Players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48424b79d75fc1173c9c465d95feb6fc041a2ccfbc64455058b3f74905ce28d5</t>
        </is>
      </c>
      <c r="BB53" s="24" t="inlineStr">
        <is>
          <t>neutral_elo</t>
        </is>
      </c>
      <c r="BC53" s="24" t="inlineStr">
        <is>
          <t>cs2-tiered-elo-v3</t>
        </is>
      </c>
      <c r="BD53" s="24" t="inlineStr">
        <is>
          <t>48424b79d75fc1173c9c465d95feb6fc041a2ccfbc64455058b3f74905ce28d5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cs2-tiered-elo-v3</t>
        </is>
      </c>
      <c r="BH53" s="24" t="inlineStr">
        <is>
          <t>2026-07-23T04:40:42.517379Z</t>
        </is>
      </c>
      <c r="BI53" s="24" t="inlineStr">
        <is>
          <t>["same_event","same_team_same_day","same_league_same_day"]</t>
        </is>
      </c>
      <c r="BJ53" s="25" t="n"/>
      <c r="BK53" s="26" t="n">
        <v>223</v>
      </c>
      <c r="BL53" s="27" t="n">
        <v>3.23</v>
      </c>
      <c r="BM53" s="28" t="n">
        <v>0.309598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</row>
    <row r="54" ht="36" customHeight="1">
      <c r="A54" s="24" t="inlineStr">
        <is>
          <t>a7f8ad7d09d9480d</t>
        </is>
      </c>
      <c r="B54" s="24" t="inlineStr">
        <is>
          <t>2026-07-23T04:41:21.883620Z</t>
        </is>
      </c>
      <c r="C54" s="24" t="inlineStr">
        <is>
          <t>2026-07-23T11:00:00Z</t>
        </is>
      </c>
      <c r="D54" s="24" t="inlineStr">
        <is>
          <t>56870</t>
        </is>
      </c>
      <c r="E54" s="24" t="inlineStr">
        <is>
          <t>CS2</t>
        </is>
      </c>
      <c r="F54" s="24" t="inlineStr">
        <is>
          <t>Benched gods</t>
        </is>
      </c>
      <c r="G54" s="24" t="inlineStr">
        <is>
          <t>NEW VISION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-113</v>
      </c>
      <c r="M54" s="27" t="n">
        <v>1.884956</v>
      </c>
      <c r="N54" s="28" t="n">
        <v>0.530516</v>
      </c>
      <c r="O54" s="28" t="n">
        <v>0.682691</v>
      </c>
      <c r="P54" s="28" t="n"/>
      <c r="Q54" s="28" t="n">
        <v>0.152175</v>
      </c>
      <c r="R54" s="26" t="n">
        <v>100</v>
      </c>
      <c r="S54" s="29" t="n">
        <v>0</v>
      </c>
      <c r="T54" s="24" t="inlineStr">
        <is>
          <t>cs2-tiered-elo-v3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0.5300 (market_slug=aec-cs2-nve-bge-2026-07-23).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NO_CALL_LARGE_DISAGREEMENT_REVIEW</t>
        </is>
      </c>
      <c r="AP54" s="24" t="inlineStr">
        <is>
          <t>Benched gods</t>
        </is>
      </c>
      <c r="AQ54" s="24" t="inlineStr">
        <is>
          <t>Benched gods</t>
        </is>
      </c>
      <c r="AR54" s="24" t="inlineStr">
        <is>
          <t>Benched gods</t>
        </is>
      </c>
      <c r="AS54" s="24" t="inlineStr">
        <is>
          <t>NEW VISION</t>
        </is>
      </c>
      <c r="AT54" s="24" t="inlineStr">
        <is>
          <t>NEW VISION</t>
        </is>
      </c>
      <c r="AU54" s="24" t="inlineStr">
        <is>
          <t>NEW VISION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48424b79d75fc1173c9c465d95feb6fc041a2ccfbc64455058b3f74905ce28d5</t>
        </is>
      </c>
      <c r="BB54" s="24" t="inlineStr">
        <is>
          <t>neutral_elo</t>
        </is>
      </c>
      <c r="BC54" s="24" t="inlineStr">
        <is>
          <t>cs2-tiered-elo-v3</t>
        </is>
      </c>
      <c r="BD54" s="24" t="inlineStr">
        <is>
          <t>48424b79d75fc1173c9c465d95feb6fc041a2ccfbc64455058b3f74905ce28d5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cs2-tiered-elo-v3</t>
        </is>
      </c>
      <c r="BH54" s="24" t="inlineStr">
        <is>
          <t>2026-07-23T04:40:45.737765Z</t>
        </is>
      </c>
      <c r="BI54" s="24" t="inlineStr">
        <is>
          <t>["same_event","same_team_same_day","same_league_same_day"]</t>
        </is>
      </c>
      <c r="BJ54" s="25" t="n"/>
      <c r="BK54" s="26" t="n">
        <v>-113</v>
      </c>
      <c r="BL54" s="27" t="n">
        <v>1.884956</v>
      </c>
      <c r="BM54" s="28" t="n">
        <v>0.530516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</row>
    <row r="55" ht="36" customHeight="1">
      <c r="A55" s="24" t="inlineStr">
        <is>
          <t>2712d1f397ca4b60</t>
        </is>
      </c>
      <c r="B55" s="24" t="inlineStr">
        <is>
          <t>2026-07-23T04:41:21.883620Z</t>
        </is>
      </c>
      <c r="C55" s="24" t="inlineStr">
        <is>
          <t>2026-07-23T11:00:00Z</t>
        </is>
      </c>
      <c r="D55" s="24" t="inlineStr">
        <is>
          <t>59036</t>
        </is>
      </c>
      <c r="E55" s="24" t="inlineStr">
        <is>
          <t>CS2</t>
        </is>
      </c>
      <c r="F55" s="24" t="inlineStr">
        <is>
          <t>ex-RUSTEC</t>
        </is>
      </c>
      <c r="G55" s="24" t="inlineStr">
        <is>
          <t>Lavked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122</v>
      </c>
      <c r="M55" s="27" t="n">
        <v>2.22</v>
      </c>
      <c r="N55" s="28" t="n">
        <v>0.45045</v>
      </c>
      <c r="O55" s="28" t="n">
        <v>0.692685</v>
      </c>
      <c r="P55" s="28" t="n"/>
      <c r="Q55" s="28" t="n">
        <v>0.242235</v>
      </c>
      <c r="R55" s="26" t="n">
        <v>100</v>
      </c>
      <c r="S55" s="29" t="n">
        <v>0</v>
      </c>
      <c r="T55" s="24" t="inlineStr">
        <is>
          <t>cs2-tiered-elo-v3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0.4500 (market_slug=aec-cs2-lav-erx-2026-07-23).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NO_CALL_LARGE_DISAGREEMENT_REVIEW</t>
        </is>
      </c>
      <c r="AP55" s="24" t="inlineStr">
        <is>
          <t>ex-RUSTEC</t>
        </is>
      </c>
      <c r="AQ55" s="24" t="inlineStr">
        <is>
          <t>ex-RUSTEC</t>
        </is>
      </c>
      <c r="AR55" s="24" t="inlineStr">
        <is>
          <t>ex-RUSTEC</t>
        </is>
      </c>
      <c r="AS55" s="24" t="inlineStr">
        <is>
          <t>Lavked</t>
        </is>
      </c>
      <c r="AT55" s="24" t="inlineStr">
        <is>
          <t>Lavked</t>
        </is>
      </c>
      <c r="AU55" s="24" t="inlineStr">
        <is>
          <t>Lavked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48424b79d75fc1173c9c465d95feb6fc041a2ccfbc64455058b3f74905ce28d5</t>
        </is>
      </c>
      <c r="BB55" s="24" t="inlineStr">
        <is>
          <t>neutral_elo</t>
        </is>
      </c>
      <c r="BC55" s="24" t="inlineStr">
        <is>
          <t>cs2-tiered-elo-v3</t>
        </is>
      </c>
      <c r="BD55" s="24" t="inlineStr">
        <is>
          <t>48424b79d75fc1173c9c465d95feb6fc041a2ccfbc64455058b3f74905ce28d5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cs2-tiered-elo-v3</t>
        </is>
      </c>
      <c r="BH55" s="24" t="inlineStr">
        <is>
          <t>2026-07-23T04:40:46.526301Z</t>
        </is>
      </c>
      <c r="BI55" s="24" t="inlineStr">
        <is>
          <t>["same_event","same_team_same_day","same_league_same_day"]</t>
        </is>
      </c>
      <c r="BJ55" s="25" t="n"/>
      <c r="BK55" s="26" t="n">
        <v>122</v>
      </c>
      <c r="BL55" s="27" t="n">
        <v>2.22</v>
      </c>
      <c r="BM55" s="28" t="n">
        <v>0.45045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</row>
    <row r="56" ht="36" customHeight="1">
      <c r="A56" s="24" t="inlineStr">
        <is>
          <t>2dc355e486a544c1</t>
        </is>
      </c>
      <c r="B56" s="24" t="inlineStr">
        <is>
          <t>2026-07-23T04:41:21.883620Z</t>
        </is>
      </c>
      <c r="C56" s="24" t="inlineStr">
        <is>
          <t>2026-07-23T13:00:00Z</t>
        </is>
      </c>
      <c r="D56" s="24" t="inlineStr">
        <is>
          <t>59442</t>
        </is>
      </c>
      <c r="E56" s="24" t="inlineStr">
        <is>
          <t>CS2</t>
        </is>
      </c>
      <c r="F56" s="24" t="inlineStr">
        <is>
          <t>Nuclear TigeRES</t>
        </is>
      </c>
      <c r="G56" s="24" t="inlineStr">
        <is>
          <t>100 Thieves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163</v>
      </c>
      <c r="M56" s="27" t="n">
        <v>2.63</v>
      </c>
      <c r="N56" s="28" t="n">
        <v>0.380228</v>
      </c>
      <c r="O56" s="28" t="n">
        <v>0.5681389999999999</v>
      </c>
      <c r="P56" s="28" t="n"/>
      <c r="Q56" s="28" t="n">
        <v>0.187911</v>
      </c>
      <c r="R56" s="26" t="n">
        <v>100</v>
      </c>
      <c r="S56" s="29" t="n">
        <v>0</v>
      </c>
      <c r="T56" s="24" t="inlineStr">
        <is>
          <t>cs2-tiered-elo-v3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0.3800 (market_slug=aec-cs2-100t-ntr-2026-07-23).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NO_CALL_LARGE_DISAGREEMENT_REVIEW</t>
        </is>
      </c>
      <c r="AP56" s="24" t="inlineStr">
        <is>
          <t>Nuclear TigeRES</t>
        </is>
      </c>
      <c r="AQ56" s="24" t="inlineStr">
        <is>
          <t>Nuclear TigeRES</t>
        </is>
      </c>
      <c r="AR56" s="24" t="inlineStr">
        <is>
          <t>Nuclear TigeRES</t>
        </is>
      </c>
      <c r="AS56" s="24" t="inlineStr">
        <is>
          <t>100 Thieves</t>
        </is>
      </c>
      <c r="AT56" s="24" t="inlineStr">
        <is>
          <t>100 Thieves</t>
        </is>
      </c>
      <c r="AU56" s="24" t="inlineStr">
        <is>
          <t>100 Thieves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48424b79d75fc1173c9c465d95feb6fc041a2ccfbc64455058b3f74905ce28d5</t>
        </is>
      </c>
      <c r="BB56" s="24" t="inlineStr">
        <is>
          <t>neutral_elo</t>
        </is>
      </c>
      <c r="BC56" s="24" t="inlineStr">
        <is>
          <t>cs2-tiered-elo-v3</t>
        </is>
      </c>
      <c r="BD56" s="24" t="inlineStr">
        <is>
          <t>48424b79d75fc1173c9c465d95feb6fc041a2ccfbc64455058b3f74905ce28d5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cs2-tiered-elo-v3</t>
        </is>
      </c>
      <c r="BH56" s="24" t="inlineStr">
        <is>
          <t>2026-07-23T04:40:50.042473Z</t>
        </is>
      </c>
      <c r="BI56" s="24" t="inlineStr">
        <is>
          <t>["same_event","same_team_same_day","same_league_same_day"]</t>
        </is>
      </c>
      <c r="BJ56" s="25" t="n"/>
      <c r="BK56" s="26" t="n">
        <v>163</v>
      </c>
      <c r="BL56" s="27" t="n">
        <v>2.63</v>
      </c>
      <c r="BM56" s="28" t="n">
        <v>0.380228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</row>
    <row r="57" ht="36" customHeight="1">
      <c r="A57" s="24" t="inlineStr">
        <is>
          <t>eefcddec5d494a20</t>
        </is>
      </c>
      <c r="B57" s="24" t="inlineStr">
        <is>
          <t>2026-07-23T04:41:21.883620Z</t>
        </is>
      </c>
      <c r="C57" s="24" t="inlineStr">
        <is>
          <t>2026-07-23T14:00:00Z</t>
        </is>
      </c>
      <c r="D57" s="24" t="inlineStr">
        <is>
          <t>59038</t>
        </is>
      </c>
      <c r="E57" s="24" t="inlineStr">
        <is>
          <t>CS2</t>
        </is>
      </c>
      <c r="F57" s="24" t="inlineStr">
        <is>
          <t>SPARTA</t>
        </is>
      </c>
      <c r="G57" s="24" t="inlineStr">
        <is>
          <t>BET-M 33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127</v>
      </c>
      <c r="M57" s="27" t="n">
        <v>2.27</v>
      </c>
      <c r="N57" s="28" t="n">
        <v>0.440529</v>
      </c>
      <c r="O57" s="28" t="n">
        <v>0.524292</v>
      </c>
      <c r="P57" s="28" t="n"/>
      <c r="Q57" s="28" t="n">
        <v>0.083763</v>
      </c>
      <c r="R57" s="26" t="n">
        <v>62</v>
      </c>
      <c r="S57" s="29" t="n">
        <v>0</v>
      </c>
      <c r="T57" s="24" t="inlineStr">
        <is>
          <t>cs2-tiered-elo-v3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0.4400 (market_slug=aec-cs2-33-sparta-2026-07-23).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NO_CALL_EXPOSURE_LIMIT</t>
        </is>
      </c>
      <c r="AP57" s="24" t="inlineStr">
        <is>
          <t>SPARTA</t>
        </is>
      </c>
      <c r="AQ57" s="24" t="inlineStr">
        <is>
          <t>SPARTA</t>
        </is>
      </c>
      <c r="AR57" s="24" t="inlineStr">
        <is>
          <t>SPARTA</t>
        </is>
      </c>
      <c r="AS57" s="24" t="inlineStr">
        <is>
          <t>BET-M 33</t>
        </is>
      </c>
      <c r="AT57" s="24" t="inlineStr">
        <is>
          <t>BET-M 33</t>
        </is>
      </c>
      <c r="AU57" s="24" t="inlineStr">
        <is>
          <t>BET-M 33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48424b79d75fc1173c9c465d95feb6fc041a2ccfbc64455058b3f74905ce28d5</t>
        </is>
      </c>
      <c r="BB57" s="24" t="inlineStr">
        <is>
          <t>neutral_elo</t>
        </is>
      </c>
      <c r="BC57" s="24" t="inlineStr">
        <is>
          <t>cs2-tiered-elo-v3</t>
        </is>
      </c>
      <c r="BD57" s="24" t="inlineStr">
        <is>
          <t>48424b79d75fc1173c9c465d95feb6fc041a2ccfbc64455058b3f74905ce28d5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cs2-tiered-elo-v3</t>
        </is>
      </c>
      <c r="BH57" s="24" t="inlineStr">
        <is>
          <t>2026-07-23T04:40:51.634148Z</t>
        </is>
      </c>
      <c r="BI57" s="24" t="inlineStr">
        <is>
          <t>["same_event","same_team_same_day","same_league_same_day"]</t>
        </is>
      </c>
      <c r="BJ57" s="25" t="n"/>
      <c r="BK57" s="26" t="n">
        <v>127</v>
      </c>
      <c r="BL57" s="27" t="n">
        <v>2.27</v>
      </c>
      <c r="BM57" s="28" t="n">
        <v>0.440529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</row>
    <row r="58" ht="36" customHeight="1">
      <c r="A58" s="24" t="inlineStr">
        <is>
          <t>39fd464d0c134028</t>
        </is>
      </c>
      <c r="B58" s="24" t="inlineStr">
        <is>
          <t>2026-07-23T04:41:21.883620Z</t>
        </is>
      </c>
      <c r="C58" s="24" t="inlineStr">
        <is>
          <t>2026-07-23T14:00:00Z</t>
        </is>
      </c>
      <c r="D58" s="24" t="inlineStr">
        <is>
          <t>56895</t>
        </is>
      </c>
      <c r="E58" s="24" t="inlineStr">
        <is>
          <t>CS2</t>
        </is>
      </c>
      <c r="F58" s="24" t="inlineStr">
        <is>
          <t>Privateer Gaming</t>
        </is>
      </c>
      <c r="G58" s="24" t="inlineStr">
        <is>
          <t>megoshort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127</v>
      </c>
      <c r="M58" s="27" t="n">
        <v>2.27</v>
      </c>
      <c r="N58" s="28" t="n">
        <v>0.440529</v>
      </c>
      <c r="O58" s="28" t="n">
        <v>0.586941</v>
      </c>
      <c r="P58" s="28" t="n"/>
      <c r="Q58" s="28" t="n">
        <v>0.146412</v>
      </c>
      <c r="R58" s="26" t="n">
        <v>100</v>
      </c>
      <c r="S58" s="29" t="n">
        <v>0</v>
      </c>
      <c r="T58" s="24" t="inlineStr">
        <is>
          <t>cs2-tiered-elo-v3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0.4400 (market_slug=aec-cs2-mego-pg-2026-07-23).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NO_CALL_LARGE_DISAGREEMENT_REVIEW</t>
        </is>
      </c>
      <c r="AP58" s="24" t="inlineStr">
        <is>
          <t>Privateer Gaming</t>
        </is>
      </c>
      <c r="AQ58" s="24" t="inlineStr">
        <is>
          <t>Privateer Gaming</t>
        </is>
      </c>
      <c r="AR58" s="24" t="inlineStr">
        <is>
          <t>Privateer Gaming</t>
        </is>
      </c>
      <c r="AS58" s="24" t="inlineStr">
        <is>
          <t>megoshort</t>
        </is>
      </c>
      <c r="AT58" s="24" t="inlineStr">
        <is>
          <t>megoshort</t>
        </is>
      </c>
      <c r="AU58" s="24" t="inlineStr">
        <is>
          <t>megoshort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48424b79d75fc1173c9c465d95feb6fc041a2ccfbc64455058b3f74905ce28d5</t>
        </is>
      </c>
      <c r="BB58" s="24" t="inlineStr">
        <is>
          <t>neutral_elo</t>
        </is>
      </c>
      <c r="BC58" s="24" t="inlineStr">
        <is>
          <t>cs2-tiered-elo-v3</t>
        </is>
      </c>
      <c r="BD58" s="24" t="inlineStr">
        <is>
          <t>48424b79d75fc1173c9c465d95feb6fc041a2ccfbc64455058b3f74905ce28d5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cs2-tiered-elo-v3</t>
        </is>
      </c>
      <c r="BH58" s="24" t="inlineStr">
        <is>
          <t>2026-07-23T04:40:52.424896Z</t>
        </is>
      </c>
      <c r="BI58" s="24" t="inlineStr">
        <is>
          <t>["same_event","same_team_same_day","same_league_same_day"]</t>
        </is>
      </c>
      <c r="BJ58" s="25" t="n"/>
      <c r="BK58" s="26" t="n">
        <v>127</v>
      </c>
      <c r="BL58" s="27" t="n">
        <v>2.27</v>
      </c>
      <c r="BM58" s="28" t="n">
        <v>0.440529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</row>
    <row r="59" ht="36" customHeight="1">
      <c r="A59" s="24" t="inlineStr">
        <is>
          <t>ffd5394a603b4c45</t>
        </is>
      </c>
      <c r="B59" s="24" t="inlineStr">
        <is>
          <t>2026-07-23T04:41:21.883620Z</t>
        </is>
      </c>
      <c r="C59" s="24" t="inlineStr">
        <is>
          <t>2026-07-23T14:00:00Z</t>
        </is>
      </c>
      <c r="D59" s="24" t="inlineStr">
        <is>
          <t>59675</t>
        </is>
      </c>
      <c r="E59" s="24" t="inlineStr">
        <is>
          <t>CS2</t>
        </is>
      </c>
      <c r="F59" s="24" t="inlineStr">
        <is>
          <t>Endless Journey</t>
        </is>
      </c>
      <c r="G59" s="24" t="inlineStr">
        <is>
          <t>Just Players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133</v>
      </c>
      <c r="M59" s="27" t="n">
        <v>2.33</v>
      </c>
      <c r="N59" s="28" t="n">
        <v>0.429185</v>
      </c>
      <c r="O59" s="28" t="n">
        <v>0.548109</v>
      </c>
      <c r="P59" s="28" t="n"/>
      <c r="Q59" s="28" t="n">
        <v>0.118924</v>
      </c>
      <c r="R59" s="26" t="n">
        <v>100</v>
      </c>
      <c r="S59" s="29" t="n">
        <v>0</v>
      </c>
      <c r="T59" s="24" t="inlineStr">
        <is>
          <t>cs2-tiered-elo-v3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0.4300 (market_slug=aec-cs2-jpu-ej-2026-07-23).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NO_CALL_LARGE_DISAGREEMENT_REVIEW</t>
        </is>
      </c>
      <c r="AP59" s="24" t="inlineStr">
        <is>
          <t>Endless Journey</t>
        </is>
      </c>
      <c r="AQ59" s="24" t="inlineStr">
        <is>
          <t>Endless Journey</t>
        </is>
      </c>
      <c r="AR59" s="24" t="inlineStr">
        <is>
          <t>Endless Journey</t>
        </is>
      </c>
      <c r="AS59" s="24" t="inlineStr">
        <is>
          <t>Just Players</t>
        </is>
      </c>
      <c r="AT59" s="24" t="inlineStr">
        <is>
          <t>Just Players</t>
        </is>
      </c>
      <c r="AU59" s="24" t="inlineStr">
        <is>
          <t>Just Players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48424b79d75fc1173c9c465d95feb6fc041a2ccfbc64455058b3f74905ce28d5</t>
        </is>
      </c>
      <c r="BB59" s="24" t="inlineStr">
        <is>
          <t>neutral_elo</t>
        </is>
      </c>
      <c r="BC59" s="24" t="inlineStr">
        <is>
          <t>cs2-tiered-elo-v3</t>
        </is>
      </c>
      <c r="BD59" s="24" t="inlineStr">
        <is>
          <t>48424b79d75fc1173c9c465d95feb6fc041a2ccfbc64455058b3f74905ce28d5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cs2-tiered-elo-v3</t>
        </is>
      </c>
      <c r="BH59" s="24" t="inlineStr">
        <is>
          <t>2026-07-23T04:40:53.243517Z</t>
        </is>
      </c>
      <c r="BI59" s="24" t="inlineStr">
        <is>
          <t>["same_event","same_team_same_day","same_league_same_day"]</t>
        </is>
      </c>
      <c r="BJ59" s="25" t="n"/>
      <c r="BK59" s="26" t="n">
        <v>133</v>
      </c>
      <c r="BL59" s="27" t="n">
        <v>2.33</v>
      </c>
      <c r="BM59" s="28" t="n">
        <v>0.429185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</row>
    <row r="60" ht="36" customHeight="1">
      <c r="A60" s="24" t="inlineStr">
        <is>
          <t>618cc35d04f740ee</t>
        </is>
      </c>
      <c r="B60" s="24" t="inlineStr">
        <is>
          <t>2026-07-23T04:41:21.883620Z</t>
        </is>
      </c>
      <c r="C60" s="24" t="inlineStr">
        <is>
          <t>2026-07-23T15:00:00Z</t>
        </is>
      </c>
      <c r="D60" s="24" t="inlineStr">
        <is>
          <t>56958</t>
        </is>
      </c>
      <c r="E60" s="24" t="inlineStr">
        <is>
          <t>CS2</t>
        </is>
      </c>
      <c r="F60" s="24" t="inlineStr">
        <is>
          <t>paiN</t>
        </is>
      </c>
      <c r="G60" s="24" t="inlineStr">
        <is>
          <t>Gentle Mates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133</v>
      </c>
      <c r="M60" s="27" t="n">
        <v>2.33</v>
      </c>
      <c r="N60" s="28" t="n">
        <v>0.429185</v>
      </c>
      <c r="O60" s="28" t="n">
        <v>0.524605</v>
      </c>
      <c r="P60" s="28" t="n"/>
      <c r="Q60" s="28" t="n">
        <v>0.09542</v>
      </c>
      <c r="R60" s="26" t="n">
        <v>68</v>
      </c>
      <c r="S60" s="29" t="n">
        <v>0</v>
      </c>
      <c r="T60" s="24" t="inlineStr">
        <is>
          <t>cs2-tiered-elo-v3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0.4300 (market_slug=aec-cs2-m8-pain-2026-07-23).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NO_CALL_EXPOSURE_LIMIT</t>
        </is>
      </c>
      <c r="AP60" s="24" t="inlineStr">
        <is>
          <t>paiN</t>
        </is>
      </c>
      <c r="AQ60" s="24" t="inlineStr">
        <is>
          <t>paiN</t>
        </is>
      </c>
      <c r="AR60" s="24" t="inlineStr">
        <is>
          <t>paiN</t>
        </is>
      </c>
      <c r="AS60" s="24" t="inlineStr">
        <is>
          <t>Gentle Mates</t>
        </is>
      </c>
      <c r="AT60" s="24" t="inlineStr">
        <is>
          <t>Gentle Mates</t>
        </is>
      </c>
      <c r="AU60" s="24" t="inlineStr">
        <is>
          <t>Gentle Mates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48424b79d75fc1173c9c465d95feb6fc041a2ccfbc64455058b3f74905ce28d5</t>
        </is>
      </c>
      <c r="BB60" s="24" t="inlineStr">
        <is>
          <t>neutral_elo</t>
        </is>
      </c>
      <c r="BC60" s="24" t="inlineStr">
        <is>
          <t>cs2-tiered-elo-v3</t>
        </is>
      </c>
      <c r="BD60" s="24" t="inlineStr">
        <is>
          <t>48424b79d75fc1173c9c465d95feb6fc041a2ccfbc64455058b3f74905ce28d5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cs2-tiered-elo-v3</t>
        </is>
      </c>
      <c r="BH60" s="24" t="inlineStr">
        <is>
          <t>2026-07-23T04:40:54.019025Z</t>
        </is>
      </c>
      <c r="BI60" s="24" t="inlineStr">
        <is>
          <t>["same_event","same_team_same_day","same_league_same_day"]</t>
        </is>
      </c>
      <c r="BJ60" s="25" t="n"/>
      <c r="BK60" s="26" t="n">
        <v>133</v>
      </c>
      <c r="BL60" s="27" t="n">
        <v>2.33</v>
      </c>
      <c r="BM60" s="28" t="n">
        <v>0.429185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</row>
    <row r="61" ht="36" customHeight="1">
      <c r="A61" s="24" t="inlineStr">
        <is>
          <t>00d767fd343a42e2</t>
        </is>
      </c>
      <c r="B61" s="24" t="inlineStr">
        <is>
          <t>2026-07-23T04:41:21.883620Z</t>
        </is>
      </c>
      <c r="C61" s="24" t="inlineStr">
        <is>
          <t>2026-07-23T17:00:00Z</t>
        </is>
      </c>
      <c r="D61" s="24" t="inlineStr">
        <is>
          <t>59678</t>
        </is>
      </c>
      <c r="E61" s="24" t="inlineStr">
        <is>
          <t>CS2</t>
        </is>
      </c>
      <c r="F61" s="24" t="inlineStr">
        <is>
          <t>Benched gods</t>
        </is>
      </c>
      <c r="G61" s="24" t="inlineStr">
        <is>
          <t>CYBERSHOKE Prospects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-144</v>
      </c>
      <c r="M61" s="27" t="n">
        <v>1.694444</v>
      </c>
      <c r="N61" s="28" t="n">
        <v>0.590164</v>
      </c>
      <c r="O61" s="28" t="n">
        <v>0.63774</v>
      </c>
      <c r="P61" s="28" t="n"/>
      <c r="Q61" s="28" t="n">
        <v>0.047576</v>
      </c>
      <c r="R61" s="26" t="n">
        <v>44</v>
      </c>
      <c r="S61" s="29" t="n">
        <v>0</v>
      </c>
      <c r="T61" s="24" t="inlineStr">
        <is>
          <t>cs2-tiered-elo-v3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Neutral Elo baseline; executable ask 0.5900 (market_slug=aec-cs2-cshp-bge-2026-07-23).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Benched gods</t>
        </is>
      </c>
      <c r="AQ61" s="24" t="inlineStr">
        <is>
          <t>Benched gods</t>
        </is>
      </c>
      <c r="AR61" s="24" t="inlineStr">
        <is>
          <t>Benched gods</t>
        </is>
      </c>
      <c r="AS61" s="24" t="inlineStr">
        <is>
          <t>CYBERSHOKE Prospects</t>
        </is>
      </c>
      <c r="AT61" s="24" t="inlineStr">
        <is>
          <t>CYBERSHOKE Prospects</t>
        </is>
      </c>
      <c r="AU61" s="24" t="inlineStr">
        <is>
          <t>CYBERSHOKE Prospects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48424b79d75fc1173c9c465d95feb6fc041a2ccfbc64455058b3f74905ce28d5</t>
        </is>
      </c>
      <c r="BB61" s="24" t="inlineStr">
        <is>
          <t>neutral_elo</t>
        </is>
      </c>
      <c r="BC61" s="24" t="inlineStr">
        <is>
          <t>cs2-tiered-elo-v3</t>
        </is>
      </c>
      <c r="BD61" s="24" t="inlineStr">
        <is>
          <t>48424b79d75fc1173c9c465d95feb6fc041a2ccfbc64455058b3f74905ce28d5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cs2-tiered-elo-v3</t>
        </is>
      </c>
      <c r="BH61" s="24" t="inlineStr">
        <is>
          <t>2026-07-23T04:40:58.343033Z</t>
        </is>
      </c>
      <c r="BI61" s="24" t="inlineStr">
        <is>
          <t>["same_event","same_team_same_day","same_league_same_day"]</t>
        </is>
      </c>
      <c r="BJ61" s="25" t="n"/>
      <c r="BK61" s="26" t="n">
        <v>-144</v>
      </c>
      <c r="BL61" s="27" t="n">
        <v>1.694444</v>
      </c>
      <c r="BM61" s="28" t="n">
        <v>0.590164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</row>
    <row r="62" ht="36" customHeight="1">
      <c r="A62" s="24" t="inlineStr">
        <is>
          <t>88c222b0ced447c3</t>
        </is>
      </c>
      <c r="B62" s="24" t="inlineStr">
        <is>
          <t>2026-07-23T04:41:21.883620Z</t>
        </is>
      </c>
      <c r="C62" s="24" t="inlineStr">
        <is>
          <t>2026-07-23T17:00:00Z</t>
        </is>
      </c>
      <c r="D62" s="24" t="inlineStr">
        <is>
          <t>59039</t>
        </is>
      </c>
      <c r="E62" s="24" t="inlineStr">
        <is>
          <t>CS2</t>
        </is>
      </c>
      <c r="F62" s="24" t="inlineStr">
        <is>
          <t>Just Players</t>
        </is>
      </c>
      <c r="G62" s="24" t="inlineStr">
        <is>
          <t>Butterfly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-133</v>
      </c>
      <c r="M62" s="27" t="n">
        <v>1.75188</v>
      </c>
      <c r="N62" s="28" t="n">
        <v>0.570815</v>
      </c>
      <c r="O62" s="28" t="n">
        <v>0.685765</v>
      </c>
      <c r="P62" s="28" t="n"/>
      <c r="Q62" s="28" t="n">
        <v>0.11495</v>
      </c>
      <c r="R62" s="26" t="n">
        <v>100</v>
      </c>
      <c r="S62" s="29" t="n">
        <v>0</v>
      </c>
      <c r="T62" s="24" t="inlineStr">
        <is>
          <t>cs2-tiered-elo-v3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Neutral Elo baseline; executable ask 0.5700 (market_slug=aec-cs2-btf-jpu-2026-07-23).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NO_CALL_LARGE_DISAGREEMENT_REVIEW</t>
        </is>
      </c>
      <c r="AP62" s="24" t="inlineStr">
        <is>
          <t>Just Players</t>
        </is>
      </c>
      <c r="AQ62" s="24" t="inlineStr">
        <is>
          <t>Just Players</t>
        </is>
      </c>
      <c r="AR62" s="24" t="inlineStr">
        <is>
          <t>Just Players</t>
        </is>
      </c>
      <c r="AS62" s="24" t="inlineStr">
        <is>
          <t>Butterfly</t>
        </is>
      </c>
      <c r="AT62" s="24" t="inlineStr">
        <is>
          <t>Butterfly</t>
        </is>
      </c>
      <c r="AU62" s="24" t="inlineStr">
        <is>
          <t>Butterfly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48424b79d75fc1173c9c465d95feb6fc041a2ccfbc64455058b3f74905ce28d5</t>
        </is>
      </c>
      <c r="BB62" s="24" t="inlineStr">
        <is>
          <t>neutral_elo</t>
        </is>
      </c>
      <c r="BC62" s="24" t="inlineStr">
        <is>
          <t>cs2-tiered-elo-v3</t>
        </is>
      </c>
      <c r="BD62" s="24" t="inlineStr">
        <is>
          <t>48424b79d75fc1173c9c465d95feb6fc041a2ccfbc64455058b3f74905ce28d5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cs2-tiered-elo-v3</t>
        </is>
      </c>
      <c r="BH62" s="24" t="inlineStr">
        <is>
          <t>2026-07-23T04:41:00.938274Z</t>
        </is>
      </c>
      <c r="BI62" s="24" t="inlineStr">
        <is>
          <t>["same_event","same_team_same_day","same_league_same_day"]</t>
        </is>
      </c>
      <c r="BJ62" s="25" t="n"/>
      <c r="BK62" s="26" t="n">
        <v>-133</v>
      </c>
      <c r="BL62" s="27" t="n">
        <v>1.75188</v>
      </c>
      <c r="BM62" s="28" t="n">
        <v>0.570815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</row>
    <row r="63" ht="36" customHeight="1">
      <c r="A63" s="24" t="inlineStr">
        <is>
          <t>79d1650e6c524d74</t>
        </is>
      </c>
      <c r="B63" s="24" t="inlineStr">
        <is>
          <t>2026-07-23T04:41:21.883620Z</t>
        </is>
      </c>
      <c r="C63" s="24" t="inlineStr">
        <is>
          <t>2026-07-23T22:00:00Z</t>
        </is>
      </c>
      <c r="D63" s="24" t="inlineStr">
        <is>
          <t>59964</t>
        </is>
      </c>
      <c r="E63" s="24" t="inlineStr">
        <is>
          <t>CS2</t>
        </is>
      </c>
      <c r="F63" s="24" t="inlineStr">
        <is>
          <t>Patins da Ferrari</t>
        </is>
      </c>
      <c r="G63" s="24" t="inlineStr">
        <is>
          <t>Isurus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127</v>
      </c>
      <c r="M63" s="27" t="n">
        <v>2.27</v>
      </c>
      <c r="N63" s="28" t="n">
        <v>0.440529</v>
      </c>
      <c r="O63" s="28" t="n">
        <v>0.502768</v>
      </c>
      <c r="P63" s="28" t="n"/>
      <c r="Q63" s="28" t="n">
        <v>0.062239</v>
      </c>
      <c r="R63" s="26" t="n">
        <v>51</v>
      </c>
      <c r="S63" s="29" t="n">
        <v>0</v>
      </c>
      <c r="T63" s="24" t="inlineStr">
        <is>
          <t>cs2-tiered-elo-v3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0.4400 (market_slug=aec-cs2-isg-pdaf-2026-07-23).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Patins da Ferrari</t>
        </is>
      </c>
      <c r="AQ63" s="24" t="inlineStr">
        <is>
          <t>Patins da Ferrari</t>
        </is>
      </c>
      <c r="AR63" s="24" t="inlineStr">
        <is>
          <t>Patins da Ferrari</t>
        </is>
      </c>
      <c r="AS63" s="24" t="inlineStr">
        <is>
          <t>Isurus</t>
        </is>
      </c>
      <c r="AT63" s="24" t="inlineStr">
        <is>
          <t>Isurus</t>
        </is>
      </c>
      <c r="AU63" s="24" t="inlineStr">
        <is>
          <t>Isurus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48424b79d75fc1173c9c465d95feb6fc041a2ccfbc64455058b3f74905ce28d5</t>
        </is>
      </c>
      <c r="BB63" s="24" t="inlineStr">
        <is>
          <t>neutral_elo</t>
        </is>
      </c>
      <c r="BC63" s="24" t="inlineStr">
        <is>
          <t>cs2-tiered-elo-v3</t>
        </is>
      </c>
      <c r="BD63" s="24" t="inlineStr">
        <is>
          <t>48424b79d75fc1173c9c465d95feb6fc041a2ccfbc64455058b3f74905ce28d5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cs2-tiered-elo-v3</t>
        </is>
      </c>
      <c r="BH63" s="24" t="inlineStr">
        <is>
          <t>2026-07-23T04:41:10.450413Z</t>
        </is>
      </c>
      <c r="BI63" s="24" t="inlineStr">
        <is>
          <t>["same_event","same_team_same_day","same_league_same_day"]</t>
        </is>
      </c>
      <c r="BJ63" s="25" t="n"/>
      <c r="BK63" s="26" t="n">
        <v>127</v>
      </c>
      <c r="BL63" s="27" t="n">
        <v>2.27</v>
      </c>
      <c r="BM63" s="28" t="n">
        <v>0.440529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</row>
    <row r="64" ht="36" customHeight="1">
      <c r="A64" s="24" t="inlineStr">
        <is>
          <t>16256cdc5f4042e5</t>
        </is>
      </c>
      <c r="B64" s="24" t="inlineStr">
        <is>
          <t>2026-07-23T04:41:21.883620Z</t>
        </is>
      </c>
      <c r="C64" s="24" t="inlineStr">
        <is>
          <t>2026-07-24T08:00:00Z</t>
        </is>
      </c>
      <c r="D64" s="24" t="inlineStr">
        <is>
          <t>59323</t>
        </is>
      </c>
      <c r="E64" s="24" t="inlineStr">
        <is>
          <t>CS2</t>
        </is>
      </c>
      <c r="F64" s="24" t="inlineStr">
        <is>
          <t>Eternal Fire</t>
        </is>
      </c>
      <c r="G64" s="24" t="inlineStr">
        <is>
          <t>1WIN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117</v>
      </c>
      <c r="M64" s="27" t="n">
        <v>2.17</v>
      </c>
      <c r="N64" s="28" t="n">
        <v>0.460829</v>
      </c>
      <c r="O64" s="28" t="n">
        <v>0.5965279999999999</v>
      </c>
      <c r="P64" s="28" t="n"/>
      <c r="Q64" s="28" t="n">
        <v>0.135699</v>
      </c>
      <c r="R64" s="26" t="n">
        <v>100</v>
      </c>
      <c r="S64" s="29" t="n">
        <v>0</v>
      </c>
      <c r="T64" s="24" t="inlineStr">
        <is>
          <t>cs2-tiered-elo-v3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0.4600 (market_slug=aec-cs2-1win-ef-2026-07-24).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NO_CALL_LARGE_DISAGREEMENT_REVIEW</t>
        </is>
      </c>
      <c r="AP64" s="24" t="inlineStr">
        <is>
          <t>Eternal Fire</t>
        </is>
      </c>
      <c r="AQ64" s="24" t="inlineStr">
        <is>
          <t>Eternal Fire</t>
        </is>
      </c>
      <c r="AR64" s="24" t="inlineStr">
        <is>
          <t>Eternal Fire</t>
        </is>
      </c>
      <c r="AS64" s="24" t="inlineStr">
        <is>
          <t>1WIN</t>
        </is>
      </c>
      <c r="AT64" s="24" t="inlineStr">
        <is>
          <t>1WIN</t>
        </is>
      </c>
      <c r="AU64" s="24" t="inlineStr">
        <is>
          <t>1WIN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48424b79d75fc1173c9c465d95feb6fc041a2ccfbc64455058b3f74905ce28d5</t>
        </is>
      </c>
      <c r="BB64" s="24" t="inlineStr">
        <is>
          <t>neutral_elo</t>
        </is>
      </c>
      <c r="BC64" s="24" t="inlineStr">
        <is>
          <t>cs2-tiered-elo-v3</t>
        </is>
      </c>
      <c r="BD64" s="24" t="inlineStr">
        <is>
          <t>48424b79d75fc1173c9c465d95feb6fc041a2ccfbc64455058b3f74905ce28d5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cs2-tiered-elo-v3</t>
        </is>
      </c>
      <c r="BH64" s="24" t="inlineStr">
        <is>
          <t>2026-07-23T04:41:12.278854Z</t>
        </is>
      </c>
      <c r="BI64" s="24" t="inlineStr">
        <is>
          <t>["same_event","same_team_same_day","same_league_same_day"]</t>
        </is>
      </c>
      <c r="BJ64" s="25" t="n"/>
      <c r="BK64" s="26" t="n">
        <v>117</v>
      </c>
      <c r="BL64" s="27" t="n">
        <v>2.17</v>
      </c>
      <c r="BM64" s="28" t="n">
        <v>0.460829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</row>
    <row r="65" ht="36" customHeight="1">
      <c r="A65" s="24" t="inlineStr">
        <is>
          <t>ecab2d0241b447af</t>
        </is>
      </c>
      <c r="B65" s="24" t="inlineStr">
        <is>
          <t>2026-07-23T04:41:21.883620Z</t>
        </is>
      </c>
      <c r="C65" s="24" t="inlineStr">
        <is>
          <t>2026-07-24T10:00:00Z</t>
        </is>
      </c>
      <c r="D65" s="24" t="inlineStr">
        <is>
          <t>58248</t>
        </is>
      </c>
      <c r="E65" s="24" t="inlineStr">
        <is>
          <t>CS2</t>
        </is>
      </c>
      <c r="F65" s="24" t="inlineStr">
        <is>
          <t>3DMAX</t>
        </is>
      </c>
      <c r="G65" s="24" t="inlineStr">
        <is>
          <t>magic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-138</v>
      </c>
      <c r="M65" s="27" t="n">
        <v>1.724638</v>
      </c>
      <c r="N65" s="28" t="n">
        <v>0.579832</v>
      </c>
      <c r="O65" s="28" t="n">
        <v>0.624985</v>
      </c>
      <c r="P65" s="28" t="n"/>
      <c r="Q65" s="28" t="n">
        <v>0.045153</v>
      </c>
      <c r="R65" s="26" t="n">
        <v>43</v>
      </c>
      <c r="S65" s="29" t="n">
        <v>0</v>
      </c>
      <c r="T65" s="24" t="inlineStr">
        <is>
          <t>cs2-tiered-elo-v3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0.5800 (market_slug=aec-cs2-mgc-3dmax-2026-07-24).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3DMAX</t>
        </is>
      </c>
      <c r="AQ65" s="24" t="inlineStr">
        <is>
          <t>3DMAX</t>
        </is>
      </c>
      <c r="AR65" s="24" t="inlineStr">
        <is>
          <t>3DMAX</t>
        </is>
      </c>
      <c r="AS65" s="24" t="inlineStr">
        <is>
          <t>magic</t>
        </is>
      </c>
      <c r="AT65" s="24" t="inlineStr">
        <is>
          <t>magic</t>
        </is>
      </c>
      <c r="AU65" s="24" t="inlineStr">
        <is>
          <t>magic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48424b79d75fc1173c9c465d95feb6fc041a2ccfbc64455058b3f74905ce28d5</t>
        </is>
      </c>
      <c r="BB65" s="24" t="inlineStr">
        <is>
          <t>neutral_elo</t>
        </is>
      </c>
      <c r="BC65" s="24" t="inlineStr">
        <is>
          <t>cs2-tiered-elo-v3</t>
        </is>
      </c>
      <c r="BD65" s="24" t="inlineStr">
        <is>
          <t>48424b79d75fc1173c9c465d95feb6fc041a2ccfbc64455058b3f74905ce28d5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cs2-tiered-elo-v3</t>
        </is>
      </c>
      <c r="BH65" s="24" t="inlineStr">
        <is>
          <t>2026-07-23T04:41:15.468825Z</t>
        </is>
      </c>
      <c r="BI65" s="24" t="inlineStr">
        <is>
          <t>["same_event","same_team_same_day","same_league_same_day"]</t>
        </is>
      </c>
      <c r="BJ65" s="25" t="n"/>
      <c r="BK65" s="26" t="n">
        <v>-138</v>
      </c>
      <c r="BL65" s="27" t="n">
        <v>1.724638</v>
      </c>
      <c r="BM65" s="28" t="n">
        <v>0.579832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</row>
    <row r="66" ht="36" customHeight="1">
      <c r="A66" s="24" t="inlineStr">
        <is>
          <t>8d23c1ab28f6441d</t>
        </is>
      </c>
      <c r="B66" s="24" t="inlineStr">
        <is>
          <t>2026-07-23T04:41:21.883620Z</t>
        </is>
      </c>
      <c r="C66" s="24" t="inlineStr">
        <is>
          <t>2026-07-24T12:30:00Z</t>
        </is>
      </c>
      <c r="D66" s="24" t="inlineStr">
        <is>
          <t>58309</t>
        </is>
      </c>
      <c r="E66" s="24" t="inlineStr">
        <is>
          <t>CS2</t>
        </is>
      </c>
      <c r="F66" s="24" t="inlineStr">
        <is>
          <t>TheMongolz</t>
        </is>
      </c>
      <c r="G66" s="24" t="inlineStr">
        <is>
          <t>Heroic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144</v>
      </c>
      <c r="M66" s="27" t="n">
        <v>2.44</v>
      </c>
      <c r="N66" s="28" t="n">
        <v>0.409836</v>
      </c>
      <c r="O66" s="28" t="n">
        <v>0.633024</v>
      </c>
      <c r="P66" s="28" t="n"/>
      <c r="Q66" s="28" t="n">
        <v>0.223188</v>
      </c>
      <c r="R66" s="26" t="n">
        <v>100</v>
      </c>
      <c r="S66" s="29" t="n">
        <v>0</v>
      </c>
      <c r="T66" s="24" t="inlineStr">
        <is>
          <t>cs2-tiered-elo-v3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0.4100 (market_slug=aec-cs2-hero-mglz-2026-07-24).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NO_CALL_LARGE_DISAGREEMENT_REVIEW</t>
        </is>
      </c>
      <c r="AP66" s="24" t="inlineStr">
        <is>
          <t>TheMongolz</t>
        </is>
      </c>
      <c r="AQ66" s="24" t="inlineStr">
        <is>
          <t>TheMongolz</t>
        </is>
      </c>
      <c r="AR66" s="24" t="inlineStr">
        <is>
          <t>TheMongolz</t>
        </is>
      </c>
      <c r="AS66" s="24" t="inlineStr">
        <is>
          <t>Heroic</t>
        </is>
      </c>
      <c r="AT66" s="24" t="inlineStr">
        <is>
          <t>Heroic</t>
        </is>
      </c>
      <c r="AU66" s="24" t="inlineStr">
        <is>
          <t>Heroic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48424b79d75fc1173c9c465d95feb6fc041a2ccfbc64455058b3f74905ce28d5</t>
        </is>
      </c>
      <c r="BB66" s="24" t="inlineStr">
        <is>
          <t>neutral_elo</t>
        </is>
      </c>
      <c r="BC66" s="24" t="inlineStr">
        <is>
          <t>cs2-tiered-elo-v3</t>
        </is>
      </c>
      <c r="BD66" s="24" t="inlineStr">
        <is>
          <t>48424b79d75fc1173c9c465d95feb6fc041a2ccfbc64455058b3f74905ce28d5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cs2-tiered-elo-v3</t>
        </is>
      </c>
      <c r="BH66" s="24" t="inlineStr">
        <is>
          <t>2026-07-23T04:41:17.820240Z</t>
        </is>
      </c>
      <c r="BI66" s="24" t="inlineStr">
        <is>
          <t>["same_event","same_team_same_day","same_league_same_day"]</t>
        </is>
      </c>
      <c r="BJ66" s="25" t="n"/>
      <c r="BK66" s="26" t="n">
        <v>144</v>
      </c>
      <c r="BL66" s="27" t="n">
        <v>2.44</v>
      </c>
      <c r="BM66" s="28" t="n">
        <v>0.409836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</row>
    <row r="67" ht="36" customHeight="1">
      <c r="A67" s="24" t="inlineStr">
        <is>
          <t>7f0ecd47d965496c</t>
        </is>
      </c>
      <c r="B67" s="24" t="inlineStr">
        <is>
          <t>2026-07-23T04:42:33.527992Z</t>
        </is>
      </c>
      <c r="C67" s="24" t="inlineStr">
        <is>
          <t>2026-07-23T13:00:00Z</t>
        </is>
      </c>
      <c r="D67" s="24" t="inlineStr">
        <is>
          <t>56888</t>
        </is>
      </c>
      <c r="E67" s="24" t="inlineStr">
        <is>
          <t>DOTA2</t>
        </is>
      </c>
      <c r="F67" s="24" t="inlineStr">
        <is>
          <t>Inner Circle x Insanity</t>
        </is>
      </c>
      <c r="G67" s="24" t="inlineStr">
        <is>
          <t>Team Jenz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186</v>
      </c>
      <c r="M67" s="27" t="n">
        <v>2.86</v>
      </c>
      <c r="N67" s="28" t="n">
        <v>0.34965</v>
      </c>
      <c r="O67" s="28" t="n">
        <v>0.5</v>
      </c>
      <c r="P67" s="28" t="n"/>
      <c r="Q67" s="28" t="n">
        <v>0.15035</v>
      </c>
      <c r="R67" s="26" t="n">
        <v>100</v>
      </c>
      <c r="S67" s="29" t="n">
        <v>0</v>
      </c>
      <c r="T67" s="24" t="inlineStr">
        <is>
          <t>dota2-tiered-elo-v3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Neutral Elo baseline; executable ask 0.3500 (market_slug=aec-dota2-tje-icxi-2026-07-23).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NO_CALL_LARGE_DISAGREEMENT_REVIEW</t>
        </is>
      </c>
      <c r="AP67" s="24" t="inlineStr">
        <is>
          <t>Inner Circle x Insanity</t>
        </is>
      </c>
      <c r="AQ67" s="24" t="inlineStr">
        <is>
          <t>Inner Circle x Insanity</t>
        </is>
      </c>
      <c r="AR67" s="24" t="inlineStr">
        <is>
          <t>Inner Circle x Insanity</t>
        </is>
      </c>
      <c r="AS67" s="24" t="inlineStr">
        <is>
          <t>Team Jenz</t>
        </is>
      </c>
      <c r="AT67" s="24" t="inlineStr">
        <is>
          <t>Team Jenz</t>
        </is>
      </c>
      <c r="AU67" s="24" t="inlineStr">
        <is>
          <t>Team Jenz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a799fd6b531f6a50433d392237bace95036714f80bb3516384271ef275ed7763</t>
        </is>
      </c>
      <c r="BB67" s="24" t="inlineStr">
        <is>
          <t>neutral_elo</t>
        </is>
      </c>
      <c r="BC67" s="24" t="inlineStr">
        <is>
          <t>dota2-tiered-elo-v3</t>
        </is>
      </c>
      <c r="BD67" s="24" t="inlineStr">
        <is>
          <t>a799fd6b531f6a50433d392237bace95036714f80bb3516384271ef275ed7763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dota2-tiered-elo-v3</t>
        </is>
      </c>
      <c r="BH67" s="24" t="inlineStr">
        <is>
          <t>2026-07-23T04:41:49.063867Z</t>
        </is>
      </c>
      <c r="BI67" s="24" t="inlineStr">
        <is>
          <t>["same_event","same_team_same_day","same_league_same_day"]</t>
        </is>
      </c>
      <c r="BJ67" s="25" t="n"/>
      <c r="BK67" s="26" t="n">
        <v>186</v>
      </c>
      <c r="BL67" s="27" t="n">
        <v>2.86</v>
      </c>
      <c r="BM67" s="28" t="n">
        <v>0.34965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</row>
    <row r="68" ht="36" customHeight="1">
      <c r="A68" s="24" t="inlineStr">
        <is>
          <t>81c72878cf4f4512</t>
        </is>
      </c>
      <c r="B68" s="24" t="inlineStr">
        <is>
          <t>2026-07-23T04:42:55.454847Z</t>
        </is>
      </c>
      <c r="C68" s="24" t="inlineStr">
        <is>
          <t>2026-07-23T08:00:00Z</t>
        </is>
      </c>
      <c r="D68" s="24" t="inlineStr">
        <is>
          <t>56787</t>
        </is>
      </c>
      <c r="E68" s="24" t="inlineStr">
        <is>
          <t>VALORANT</t>
        </is>
      </c>
      <c r="F68" s="24" t="inlineStr">
        <is>
          <t>FULL SENSE</t>
        </is>
      </c>
      <c r="G68" s="24" t="inlineStr">
        <is>
          <t>Global Esports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117</v>
      </c>
      <c r="M68" s="27" t="n">
        <v>2.17</v>
      </c>
      <c r="N68" s="28" t="n">
        <v>0.460829</v>
      </c>
      <c r="O68" s="28" t="n">
        <v>0.5</v>
      </c>
      <c r="P68" s="28" t="n"/>
      <c r="Q68" s="28" t="n">
        <v>0.039171</v>
      </c>
      <c r="R68" s="26" t="n">
        <v>40</v>
      </c>
      <c r="S68" s="29" t="n">
        <v>0</v>
      </c>
      <c r="T68" s="24" t="inlineStr">
        <is>
          <t>valorant-tiered-elo-v3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Neutral Elo baseline; executable ask 0.4600 (market_slug=aec-valorant-ge-fs-2026-07-23).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FULL SENSE</t>
        </is>
      </c>
      <c r="AQ68" s="24" t="inlineStr">
        <is>
          <t>FULL SENSE</t>
        </is>
      </c>
      <c r="AR68" s="24" t="inlineStr">
        <is>
          <t>FULL SENSE</t>
        </is>
      </c>
      <c r="AS68" s="24" t="inlineStr">
        <is>
          <t>Global Esports</t>
        </is>
      </c>
      <c r="AT68" s="24" t="inlineStr">
        <is>
          <t>Global Esports</t>
        </is>
      </c>
      <c r="AU68" s="24" t="inlineStr">
        <is>
          <t>Global Esports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df5a226c64918a54c70b8af3e0cd4abb6c4f42b67acb5547da319458502b0ed4</t>
        </is>
      </c>
      <c r="BB68" s="24" t="inlineStr">
        <is>
          <t>neutral_elo</t>
        </is>
      </c>
      <c r="BC68" s="24" t="inlineStr">
        <is>
          <t>valorant-tiered-elo-v3</t>
        </is>
      </c>
      <c r="BD68" s="24" t="inlineStr">
        <is>
          <t>df5a226c64918a54c70b8af3e0cd4abb6c4f42b67acb5547da319458502b0ed4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valorant-tiered-elo-v3</t>
        </is>
      </c>
      <c r="BH68" s="24" t="inlineStr">
        <is>
          <t>2026-07-23T04:42:40.025689Z</t>
        </is>
      </c>
      <c r="BI68" s="24" t="inlineStr">
        <is>
          <t>["same_event","same_team_same_day","same_league_same_day"]</t>
        </is>
      </c>
      <c r="BJ68" s="25" t="n"/>
      <c r="BK68" s="26" t="n">
        <v>117</v>
      </c>
      <c r="BL68" s="27" t="n">
        <v>2.17</v>
      </c>
      <c r="BM68" s="28" t="n">
        <v>0.460829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</row>
    <row r="69" ht="36" customHeight="1">
      <c r="A69" s="24" t="inlineStr">
        <is>
          <t>cc539f6a80a24884</t>
        </is>
      </c>
      <c r="B69" s="24" t="inlineStr">
        <is>
          <t>2026-07-23T04:42:55.454847Z</t>
        </is>
      </c>
      <c r="C69" s="24" t="inlineStr">
        <is>
          <t>2026-07-23T15:00:00Z</t>
        </is>
      </c>
      <c r="D69" s="24" t="inlineStr">
        <is>
          <t>56966</t>
        </is>
      </c>
      <c r="E69" s="24" t="inlineStr">
        <is>
          <t>VALORANT</t>
        </is>
      </c>
      <c r="F69" s="24" t="inlineStr">
        <is>
          <t>Team Heretics</t>
        </is>
      </c>
      <c r="G69" s="24" t="inlineStr">
        <is>
          <t>Eternal Fire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144</v>
      </c>
      <c r="M69" s="27" t="n">
        <v>2.44</v>
      </c>
      <c r="N69" s="28" t="n">
        <v>0.409836</v>
      </c>
      <c r="O69" s="28" t="n">
        <v>0.5</v>
      </c>
      <c r="P69" s="28" t="n"/>
      <c r="Q69" s="28" t="n">
        <v>0.09016399999999999</v>
      </c>
      <c r="R69" s="26" t="n">
        <v>65</v>
      </c>
      <c r="S69" s="29" t="n">
        <v>0</v>
      </c>
      <c r="T69" s="24" t="inlineStr">
        <is>
          <t>valorant-tiered-elo-v3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Neutral Elo baseline; executable ask 0.4100 (market_slug=aec-valorant-ef-th-2026-07-23).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NO_CALL_EXPOSURE_LIMIT</t>
        </is>
      </c>
      <c r="AP69" s="24" t="inlineStr">
        <is>
          <t>Team Heretics</t>
        </is>
      </c>
      <c r="AQ69" s="24" t="inlineStr">
        <is>
          <t>Team Heretics</t>
        </is>
      </c>
      <c r="AR69" s="24" t="inlineStr">
        <is>
          <t>Team Heretics</t>
        </is>
      </c>
      <c r="AS69" s="24" t="inlineStr">
        <is>
          <t>Eternal Fire</t>
        </is>
      </c>
      <c r="AT69" s="24" t="inlineStr">
        <is>
          <t>Eternal Fire</t>
        </is>
      </c>
      <c r="AU69" s="24" t="inlineStr">
        <is>
          <t>Eternal Fire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df5a226c64918a54c70b8af3e0cd4abb6c4f42b67acb5547da319458502b0ed4</t>
        </is>
      </c>
      <c r="BB69" s="24" t="inlineStr">
        <is>
          <t>neutral_elo</t>
        </is>
      </c>
      <c r="BC69" s="24" t="inlineStr">
        <is>
          <t>valorant-tiered-elo-v3</t>
        </is>
      </c>
      <c r="BD69" s="24" t="inlineStr">
        <is>
          <t>df5a226c64918a54c70b8af3e0cd4abb6c4f42b67acb5547da319458502b0ed4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valorant-tiered-elo-v3</t>
        </is>
      </c>
      <c r="BH69" s="24" t="inlineStr">
        <is>
          <t>2026-07-23T04:42:44.870279Z</t>
        </is>
      </c>
      <c r="BI69" s="24" t="inlineStr">
        <is>
          <t>["same_event","same_team_same_day","same_league_same_day"]</t>
        </is>
      </c>
      <c r="BJ69" s="25" t="n"/>
      <c r="BK69" s="26" t="n">
        <v>144</v>
      </c>
      <c r="BL69" s="27" t="n">
        <v>2.44</v>
      </c>
      <c r="BM69" s="28" t="n">
        <v>0.409836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</row>
    <row r="70" ht="36" customHeight="1">
      <c r="A70" s="24" t="inlineStr">
        <is>
          <t>bf6f5b5d70d14835</t>
        </is>
      </c>
      <c r="B70" s="24" t="inlineStr">
        <is>
          <t>2026-07-23T04:42:55.454847Z</t>
        </is>
      </c>
      <c r="C70" s="24" t="inlineStr">
        <is>
          <t>2026-07-23T18:00:00Z</t>
        </is>
      </c>
      <c r="D70" s="24" t="inlineStr">
        <is>
          <t>57153</t>
        </is>
      </c>
      <c r="E70" s="24" t="inlineStr">
        <is>
          <t>VALORANT</t>
        </is>
      </c>
      <c r="F70" s="24" t="inlineStr">
        <is>
          <t>Natus Vincere</t>
        </is>
      </c>
      <c r="G70" s="24" t="inlineStr">
        <is>
          <t>Gentle Mates</t>
        </is>
      </c>
      <c r="H70" s="24" t="inlineStr">
        <is>
          <t>moneyline</t>
        </is>
      </c>
      <c r="I70" s="24" t="inlineStr">
        <is>
          <t>away</t>
        </is>
      </c>
      <c r="J70" s="25" t="n"/>
      <c r="K70" s="24" t="inlineStr">
        <is>
          <t>polymarket_us</t>
        </is>
      </c>
      <c r="L70" s="26" t="n">
        <v>-113</v>
      </c>
      <c r="M70" s="27" t="n">
        <v>1.884956</v>
      </c>
      <c r="N70" s="28" t="n">
        <v>0.530516</v>
      </c>
      <c r="O70" s="28" t="n">
        <v>0.681625</v>
      </c>
      <c r="P70" s="28" t="n"/>
      <c r="Q70" s="28" t="n">
        <v>0.151109</v>
      </c>
      <c r="R70" s="26" t="n">
        <v>100</v>
      </c>
      <c r="S70" s="29" t="n">
        <v>0</v>
      </c>
      <c r="T70" s="24" t="inlineStr">
        <is>
          <t>valorant-tiered-elo-v3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Neutral Elo baseline; executable ask 0.5300 (market_slug=aec-valorant-gm-navi-2026-07-23).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NO_CALL_LARGE_DISAGREEMENT_REVIEW</t>
        </is>
      </c>
      <c r="AP70" s="24" t="inlineStr">
        <is>
          <t>Natus Vincere</t>
        </is>
      </c>
      <c r="AQ70" s="24" t="inlineStr">
        <is>
          <t>Natus Vincere</t>
        </is>
      </c>
      <c r="AR70" s="24" t="inlineStr">
        <is>
          <t>Natus Vincere</t>
        </is>
      </c>
      <c r="AS70" s="24" t="inlineStr">
        <is>
          <t>Gentle Mates</t>
        </is>
      </c>
      <c r="AT70" s="24" t="inlineStr">
        <is>
          <t>Gentle Mates</t>
        </is>
      </c>
      <c r="AU70" s="24" t="inlineStr">
        <is>
          <t>Gentle Mates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df5a226c64918a54c70b8af3e0cd4abb6c4f42b67acb5547da319458502b0ed4</t>
        </is>
      </c>
      <c r="BB70" s="24" t="inlineStr">
        <is>
          <t>neutral_elo</t>
        </is>
      </c>
      <c r="BC70" s="24" t="inlineStr">
        <is>
          <t>valorant-tiered-elo-v3</t>
        </is>
      </c>
      <c r="BD70" s="24" t="inlineStr">
        <is>
          <t>df5a226c64918a54c70b8af3e0cd4abb6c4f42b67acb5547da319458502b0ed4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valorant-tiered-elo-v3</t>
        </is>
      </c>
      <c r="BH70" s="24" t="inlineStr">
        <is>
          <t>2026-07-23T04:42:47.214916Z</t>
        </is>
      </c>
      <c r="BI70" s="24" t="inlineStr">
        <is>
          <t>["same_event","same_team_same_day","same_league_same_day"]</t>
        </is>
      </c>
      <c r="BJ70" s="25" t="n"/>
      <c r="BK70" s="26" t="n">
        <v>-113</v>
      </c>
      <c r="BL70" s="27" t="n">
        <v>1.884956</v>
      </c>
      <c r="BM70" s="28" t="n">
        <v>0.530516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</row>
    <row r="71" ht="36" customHeight="1">
      <c r="A71" s="24" t="inlineStr">
        <is>
          <t>02588d0c371d4c33</t>
        </is>
      </c>
      <c r="B71" s="24" t="inlineStr">
        <is>
          <t>2026-07-23T04:42:55.454847Z</t>
        </is>
      </c>
      <c r="C71" s="24" t="inlineStr">
        <is>
          <t>2026-07-24T09:00:00Z</t>
        </is>
      </c>
      <c r="D71" s="24" t="inlineStr">
        <is>
          <t>58553</t>
        </is>
      </c>
      <c r="E71" s="24" t="inlineStr">
        <is>
          <t>VALORANT</t>
        </is>
      </c>
      <c r="F71" s="24" t="inlineStr">
        <is>
          <t>TEC Esports</t>
        </is>
      </c>
      <c r="G71" s="24" t="inlineStr">
        <is>
          <t>Trace Esports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117</v>
      </c>
      <c r="M71" s="27" t="n">
        <v>2.17</v>
      </c>
      <c r="N71" s="28" t="n">
        <v>0.460829</v>
      </c>
      <c r="O71" s="28" t="n">
        <v>0.5</v>
      </c>
      <c r="P71" s="28" t="n"/>
      <c r="Q71" s="28" t="n">
        <v>0.039171</v>
      </c>
      <c r="R71" s="26" t="n">
        <v>40</v>
      </c>
      <c r="S71" s="29" t="n">
        <v>0</v>
      </c>
      <c r="T71" s="24" t="inlineStr">
        <is>
          <t>valorant-tiered-elo-v3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Neutral Elo baseline; executable ask 0.4600 (market_slug=aec-valorant-te-tec-2026-07-24).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TEC Esports</t>
        </is>
      </c>
      <c r="AQ71" s="24" t="inlineStr">
        <is>
          <t>TEC Esports</t>
        </is>
      </c>
      <c r="AR71" s="24" t="inlineStr">
        <is>
          <t>TEC Esports</t>
        </is>
      </c>
      <c r="AS71" s="24" t="inlineStr">
        <is>
          <t>Trace Esports</t>
        </is>
      </c>
      <c r="AT71" s="24" t="inlineStr">
        <is>
          <t>Trace Esports</t>
        </is>
      </c>
      <c r="AU71" s="24" t="inlineStr">
        <is>
          <t>Trace Esports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df5a226c64918a54c70b8af3e0cd4abb6c4f42b67acb5547da319458502b0ed4</t>
        </is>
      </c>
      <c r="BB71" s="24" t="inlineStr">
        <is>
          <t>neutral_elo</t>
        </is>
      </c>
      <c r="BC71" s="24" t="inlineStr">
        <is>
          <t>valorant-tiered-elo-v3</t>
        </is>
      </c>
      <c r="BD71" s="24" t="inlineStr">
        <is>
          <t>df5a226c64918a54c70b8af3e0cd4abb6c4f42b67acb5547da319458502b0ed4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valorant-tiered-elo-v3</t>
        </is>
      </c>
      <c r="BH71" s="24" t="inlineStr">
        <is>
          <t>2026-07-23T04:42:50.479904Z</t>
        </is>
      </c>
      <c r="BI71" s="24" t="inlineStr">
        <is>
          <t>["same_event","same_team_same_day","same_league_same_day"]</t>
        </is>
      </c>
      <c r="BJ71" s="25" t="n"/>
      <c r="BK71" s="26" t="n">
        <v>117</v>
      </c>
      <c r="BL71" s="27" t="n">
        <v>2.17</v>
      </c>
      <c r="BM71" s="28" t="n">
        <v>0.460829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</row>
    <row r="72" ht="36" customHeight="1">
      <c r="A72" s="24" t="inlineStr">
        <is>
          <t>f98c8a87365a4b47</t>
        </is>
      </c>
      <c r="B72" s="24" t="inlineStr">
        <is>
          <t>2026-07-23T04:42:55.454847Z</t>
        </is>
      </c>
      <c r="C72" s="24" t="inlineStr">
        <is>
          <t>2026-07-24T15:00:00Z</t>
        </is>
      </c>
      <c r="D72" s="24" t="inlineStr">
        <is>
          <t>58399</t>
        </is>
      </c>
      <c r="E72" s="24" t="inlineStr">
        <is>
          <t>VALORANT</t>
        </is>
      </c>
      <c r="F72" s="24" t="inlineStr">
        <is>
          <t>BBL Esports</t>
        </is>
      </c>
      <c r="G72" s="24" t="inlineStr">
        <is>
          <t>FUT Esports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144</v>
      </c>
      <c r="M72" s="27" t="n">
        <v>2.44</v>
      </c>
      <c r="N72" s="28" t="n">
        <v>0.409836</v>
      </c>
      <c r="O72" s="28" t="n">
        <v>0.5</v>
      </c>
      <c r="P72" s="28" t="n"/>
      <c r="Q72" s="28" t="n">
        <v>0.09016399999999999</v>
      </c>
      <c r="R72" s="26" t="n">
        <v>65</v>
      </c>
      <c r="S72" s="29" t="n">
        <v>0</v>
      </c>
      <c r="T72" s="24" t="inlineStr">
        <is>
          <t>valorant-tiered-elo-v3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Neutral Elo baseline; executable ask 0.4100 (market_slug=aec-valorant-fut-bbl-2026-07-24).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NO_CALL_EXPOSURE_LIMIT</t>
        </is>
      </c>
      <c r="AP72" s="24" t="inlineStr">
        <is>
          <t>BBL Esports</t>
        </is>
      </c>
      <c r="AQ72" s="24" t="inlineStr">
        <is>
          <t>BBL Esports</t>
        </is>
      </c>
      <c r="AR72" s="24" t="inlineStr">
        <is>
          <t>BBL Esports</t>
        </is>
      </c>
      <c r="AS72" s="24" t="inlineStr">
        <is>
          <t>FUT Esports</t>
        </is>
      </c>
      <c r="AT72" s="24" t="inlineStr">
        <is>
          <t>FUT Esports</t>
        </is>
      </c>
      <c r="AU72" s="24" t="inlineStr">
        <is>
          <t>FUT Esports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df5a226c64918a54c70b8af3e0cd4abb6c4f42b67acb5547da319458502b0ed4</t>
        </is>
      </c>
      <c r="BB72" s="24" t="inlineStr">
        <is>
          <t>neutral_elo</t>
        </is>
      </c>
      <c r="BC72" s="24" t="inlineStr">
        <is>
          <t>valorant-tiered-elo-v3</t>
        </is>
      </c>
      <c r="BD72" s="24" t="inlineStr">
        <is>
          <t>df5a226c64918a54c70b8af3e0cd4abb6c4f42b67acb5547da319458502b0ed4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valorant-tiered-elo-v3</t>
        </is>
      </c>
      <c r="BH72" s="24" t="inlineStr">
        <is>
          <t>2026-07-23T04:42:52.160851Z</t>
        </is>
      </c>
      <c r="BI72" s="24" t="inlineStr">
        <is>
          <t>["same_event","same_team_same_day","same_league_same_day"]</t>
        </is>
      </c>
      <c r="BJ72" s="25" t="n"/>
      <c r="BK72" s="26" t="n">
        <v>144</v>
      </c>
      <c r="BL72" s="27" t="n">
        <v>2.44</v>
      </c>
      <c r="BM72" s="28" t="n">
        <v>0.409836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</row>
    <row r="73" ht="36" customHeight="1">
      <c r="A73" s="24" t="inlineStr">
        <is>
          <t>77ed557b30a64677</t>
        </is>
      </c>
      <c r="B73" s="24" t="inlineStr">
        <is>
          <t>2026-07-23T04:42:55.454847Z</t>
        </is>
      </c>
      <c r="C73" s="24" t="inlineStr">
        <is>
          <t>2026-07-24T18:00:00Z</t>
        </is>
      </c>
      <c r="D73" s="24" t="inlineStr">
        <is>
          <t>58554</t>
        </is>
      </c>
      <c r="E73" s="24" t="inlineStr">
        <is>
          <t>VALORANT</t>
        </is>
      </c>
      <c r="F73" s="24" t="inlineStr">
        <is>
          <t>Fnatic</t>
        </is>
      </c>
      <c r="G73" s="24" t="inlineStr">
        <is>
          <t>Team Liquid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138</v>
      </c>
      <c r="M73" s="27" t="n">
        <v>2.38</v>
      </c>
      <c r="N73" s="28" t="n">
        <v>0.420168</v>
      </c>
      <c r="O73" s="28" t="n">
        <v>0.696373</v>
      </c>
      <c r="P73" s="28" t="n"/>
      <c r="Q73" s="28" t="n">
        <v>0.276205</v>
      </c>
      <c r="R73" s="26" t="n">
        <v>100</v>
      </c>
      <c r="S73" s="29" t="n">
        <v>0</v>
      </c>
      <c r="T73" s="24" t="inlineStr">
        <is>
          <t>valorant-tiered-elo-v3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Neutral Elo baseline; executable ask 0.4200 (market_slug=aec-valorant-tl-fnc-2026-07-24).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NO_CALL_LARGE_DISAGREEMENT_REVIEW</t>
        </is>
      </c>
      <c r="AP73" s="24" t="inlineStr">
        <is>
          <t>Fnatic</t>
        </is>
      </c>
      <c r="AQ73" s="24" t="inlineStr">
        <is>
          <t>Fnatic</t>
        </is>
      </c>
      <c r="AR73" s="24" t="inlineStr">
        <is>
          <t>Fnatic</t>
        </is>
      </c>
      <c r="AS73" s="24" t="inlineStr">
        <is>
          <t>Team Liquid</t>
        </is>
      </c>
      <c r="AT73" s="24" t="inlineStr">
        <is>
          <t>Team Liquid</t>
        </is>
      </c>
      <c r="AU73" s="24" t="inlineStr">
        <is>
          <t>Team Liquid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df5a226c64918a54c70b8af3e0cd4abb6c4f42b67acb5547da319458502b0ed4</t>
        </is>
      </c>
      <c r="BB73" s="24" t="inlineStr">
        <is>
          <t>neutral_elo</t>
        </is>
      </c>
      <c r="BC73" s="24" t="inlineStr">
        <is>
          <t>valorant-tiered-elo-v3</t>
        </is>
      </c>
      <c r="BD73" s="24" t="inlineStr">
        <is>
          <t>df5a226c64918a54c70b8af3e0cd4abb6c4f42b67acb5547da319458502b0ed4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valorant-tiered-elo-v3</t>
        </is>
      </c>
      <c r="BH73" s="24" t="inlineStr">
        <is>
          <t>2026-07-23T04:42:52.967408Z</t>
        </is>
      </c>
      <c r="BI73" s="24" t="inlineStr">
        <is>
          <t>["same_event","same_team_same_day","same_league_same_day"]</t>
        </is>
      </c>
      <c r="BJ73" s="25" t="n"/>
      <c r="BK73" s="26" t="n">
        <v>138</v>
      </c>
      <c r="BL73" s="27" t="n">
        <v>2.38</v>
      </c>
      <c r="BM73" s="28" t="n">
        <v>0.420168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</row>
    <row r="74" ht="18" customHeight="1">
      <c r="A74" s="24" t="inlineStr">
        <is>
          <t>45729c873fa64cfb</t>
        </is>
      </c>
      <c r="B74" s="24" t="inlineStr">
        <is>
          <t>2026-07-22T22:42:56Z</t>
        </is>
      </c>
      <c r="C74" s="24" t="inlineStr">
        <is>
          <t>2026-07-18T01:40Z</t>
        </is>
      </c>
      <c r="D74" s="24" t="inlineStr">
        <is>
          <t>401816155</t>
        </is>
      </c>
      <c r="E74" s="24" t="inlineStr">
        <is>
          <t>MLB</t>
        </is>
      </c>
      <c r="F74" s="24" t="inlineStr">
        <is>
          <t>Washington Nationals</t>
        </is>
      </c>
      <c r="G74" s="24" t="inlineStr">
        <is>
          <t>Athletics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-110</v>
      </c>
      <c r="M74" s="27" t="n">
        <v>1.909091</v>
      </c>
      <c r="N74" s="28" t="n">
        <v>0.52381</v>
      </c>
      <c r="O74" s="28" t="n">
        <v>0.595782</v>
      </c>
      <c r="P74" s="28" t="n">
        <v>0.05</v>
      </c>
      <c r="Q74" s="28" t="n">
        <v>0.071973</v>
      </c>
      <c r="R74" s="26" t="n">
        <v>56</v>
      </c>
      <c r="S74" s="29" t="n">
        <v>1.5</v>
      </c>
      <c r="T74" s="24" t="inlineStr">
        <is>
          <t>mlb-elo-trend-lr-v5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15</v>
      </c>
      <c r="Y74" s="25" t="n"/>
      <c r="Z74" s="26" t="n">
        <v>-110</v>
      </c>
      <c r="AA74" s="28" t="n">
        <v>0.523834</v>
      </c>
      <c r="AB74" s="28" t="n"/>
      <c r="AC74" s="30" t="n">
        <v>1.3635</v>
      </c>
      <c r="AD74" s="24" t="inlineStr">
        <is>
          <t>2026-07-22T23:44:22Z</t>
        </is>
      </c>
      <c r="AE74" s="31" t="n"/>
      <c r="AF74" s="31" t="n"/>
      <c r="AG74" s="24" t="n"/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QUALIFIED_RETROACTIVE</t>
        </is>
      </c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8a12d027cf1d2c206cb369c47da80e014f8ac4dfc414ffee96ae34656c46fef5</t>
        </is>
      </c>
      <c r="BB74" s="24" t="inlineStr">
        <is>
          <t>identity</t>
        </is>
      </c>
      <c r="BC74" s="24" t="inlineStr">
        <is>
          <t>identity-v1</t>
        </is>
      </c>
      <c r="BD74" s="24" t="n"/>
      <c r="BE74" s="24" t="inlineStr">
        <is>
          <t>1</t>
        </is>
      </c>
      <c r="BF74" s="24" t="inlineStr">
        <is>
          <t>1</t>
        </is>
      </c>
      <c r="BG74" s="24" t="n"/>
      <c r="BH74" s="24" t="inlineStr">
        <is>
          <t>2026-07-22T22:42:56Z</t>
        </is>
      </c>
      <c r="BI74" s="24" t="n"/>
      <c r="BJ74" s="25" t="n"/>
      <c r="BK74" s="26" t="n">
        <v>-110</v>
      </c>
      <c r="BL74" s="27" t="n">
        <v>1.909</v>
      </c>
      <c r="BM74" s="28" t="n">
        <v>0.523834</v>
      </c>
      <c r="BN74" s="28" t="n">
        <v>0.523834</v>
      </c>
      <c r="BO74" s="28" t="n">
        <v>0.523834</v>
      </c>
      <c r="BP74" s="25" t="n"/>
      <c r="BQ74" s="27" t="n">
        <v>1.909</v>
      </c>
      <c r="BR74" s="28" t="n"/>
      <c r="BS74" s="28" t="n"/>
      <c r="BT74" s="28" t="n"/>
      <c r="BU74" s="25" t="n"/>
      <c r="BV74" s="29" t="n">
        <v>0.5</v>
      </c>
      <c r="BW74" s="24" t="n"/>
      <c r="BX74" s="30" t="n"/>
      <c r="BY74" s="27" t="n"/>
      <c r="BZ74" s="24" t="n"/>
      <c r="CA74" s="31" t="n"/>
      <c r="CB74" s="24" t="n"/>
      <c r="CC74" s="24" t="inlineStr">
        <is>
          <t>0.510455</t>
        </is>
      </c>
      <c r="CD74" s="24" t="inlineStr">
        <is>
          <t>-1.688456</t>
        </is>
      </c>
      <c r="CE74" s="24" t="inlineStr">
        <is>
          <t>0.98</t>
        </is>
      </c>
      <c r="CF74" s="24" t="inlineStr">
        <is>
          <t>1.0</t>
        </is>
      </c>
      <c r="CG74" s="24" t="inlineStr">
        <is>
          <t>2.4</t>
        </is>
      </c>
      <c r="CH74" s="24" t="n"/>
      <c r="CI74" s="24" t="n"/>
      <c r="CJ74" s="24" t="n"/>
      <c r="CK74" s="24" t="n"/>
      <c r="CL74" s="24" t="n"/>
      <c r="CM74" s="24" t="n"/>
    </row>
    <row r="75" ht="18" customHeight="1">
      <c r="A75" s="24" t="inlineStr">
        <is>
          <t>282ea2aa392544a6</t>
        </is>
      </c>
      <c r="B75" s="24" t="inlineStr">
        <is>
          <t>2026-07-22T22:42:56Z</t>
        </is>
      </c>
      <c r="C75" s="24" t="inlineStr">
        <is>
          <t>2026-07-18T19:07Z</t>
        </is>
      </c>
      <c r="D75" s="24" t="inlineStr">
        <is>
          <t>401816156</t>
        </is>
      </c>
      <c r="E75" s="24" t="inlineStr">
        <is>
          <t>MLB</t>
        </is>
      </c>
      <c r="F75" s="24" t="inlineStr">
        <is>
          <t>Chicago White Sox</t>
        </is>
      </c>
      <c r="G75" s="24" t="inlineStr">
        <is>
          <t>Toronto Blue Jays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-110</v>
      </c>
      <c r="M75" s="27" t="n">
        <v>1.909091</v>
      </c>
      <c r="N75" s="28" t="n">
        <v>0.52381</v>
      </c>
      <c r="O75" s="28" t="n">
        <v>0.619498</v>
      </c>
      <c r="P75" s="28" t="n">
        <v>0.05</v>
      </c>
      <c r="Q75" s="28" t="n">
        <v>0.095688</v>
      </c>
      <c r="R75" s="26" t="n">
        <v>68</v>
      </c>
      <c r="S75" s="29" t="n">
        <v>1.75</v>
      </c>
      <c r="T75" s="24" t="inlineStr">
        <is>
          <t>mlb-elo-trend-lr-v5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-110</v>
      </c>
      <c r="AA75" s="28" t="n">
        <v>0.523834</v>
      </c>
      <c r="AB75" s="28" t="n"/>
      <c r="AC75" s="30" t="n">
        <v>1.5908</v>
      </c>
      <c r="AD75" s="24" t="inlineStr">
        <is>
          <t>2026-07-22T23:44:22Z</t>
        </is>
      </c>
      <c r="AE75" s="31" t="n"/>
      <c r="AF75" s="31" t="n"/>
      <c r="AG75" s="24" t="n"/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8a12d027cf1d2c206cb369c47da80e014f8ac4dfc414ffee96ae34656c46fef5</t>
        </is>
      </c>
      <c r="BB75" s="24" t="inlineStr">
        <is>
          <t>identity</t>
        </is>
      </c>
      <c r="BC75" s="24" t="inlineStr">
        <is>
          <t>identity-v1</t>
        </is>
      </c>
      <c r="BD75" s="24" t="n"/>
      <c r="BE75" s="24" t="inlineStr">
        <is>
          <t>1</t>
        </is>
      </c>
      <c r="BF75" s="24" t="inlineStr">
        <is>
          <t>1</t>
        </is>
      </c>
      <c r="BG75" s="24" t="n"/>
      <c r="BH75" s="24" t="inlineStr">
        <is>
          <t>2026-07-22T22:42:56Z</t>
        </is>
      </c>
      <c r="BI75" s="24" t="n"/>
      <c r="BJ75" s="25" t="n"/>
      <c r="BK75" s="26" t="n">
        <v>-110</v>
      </c>
      <c r="BL75" s="27" t="n">
        <v>1.909</v>
      </c>
      <c r="BM75" s="28" t="n">
        <v>0.523834</v>
      </c>
      <c r="BN75" s="28" t="n">
        <v>0.523834</v>
      </c>
      <c r="BO75" s="28" t="n">
        <v>0.523834</v>
      </c>
      <c r="BP75" s="25" t="n"/>
      <c r="BQ75" s="27" t="n">
        <v>1.909</v>
      </c>
      <c r="BR75" s="28" t="n"/>
      <c r="BS75" s="28" t="n"/>
      <c r="BT75" s="28" t="n"/>
      <c r="BU75" s="25" t="n"/>
      <c r="BV75" s="29" t="n">
        <v>0.95</v>
      </c>
      <c r="BW75" s="24" t="n"/>
      <c r="BX75" s="30" t="n"/>
      <c r="BY75" s="27" t="n"/>
      <c r="BZ75" s="24" t="n"/>
      <c r="CA75" s="31" t="n"/>
      <c r="CB75" s="24" t="n"/>
      <c r="CC75" s="24" t="inlineStr">
        <is>
          <t>0.550556</t>
        </is>
      </c>
      <c r="CD75" s="24" t="inlineStr">
        <is>
          <t>-0.394811</t>
        </is>
      </c>
      <c r="CE75" s="24" t="inlineStr">
        <is>
          <t>1.0</t>
        </is>
      </c>
      <c r="CF75" s="24" t="inlineStr">
        <is>
          <t>1.0</t>
        </is>
      </c>
      <c r="CG75" s="24" t="inlineStr">
        <is>
          <t>4.0</t>
        </is>
      </c>
      <c r="CH75" s="24" t="n"/>
      <c r="CI75" s="24" t="n"/>
      <c r="CJ75" s="24" t="n"/>
      <c r="CK75" s="24" t="n"/>
      <c r="CL75" s="24" t="n"/>
      <c r="CM75" s="24" t="n"/>
    </row>
    <row r="76" ht="18" customHeight="1">
      <c r="A76" s="24" t="inlineStr">
        <is>
          <t>37ac9106f3c4406f</t>
        </is>
      </c>
      <c r="B76" s="24" t="inlineStr">
        <is>
          <t>2026-07-22T22:42:56Z</t>
        </is>
      </c>
      <c r="C76" s="24" t="inlineStr">
        <is>
          <t>2026-07-18T20:10Z</t>
        </is>
      </c>
      <c r="D76" s="24" t="inlineStr">
        <is>
          <t>401816162</t>
        </is>
      </c>
      <c r="E76" s="24" t="inlineStr">
        <is>
          <t>MLB</t>
        </is>
      </c>
      <c r="F76" s="24" t="inlineStr">
        <is>
          <t>Baltimore Orioles</t>
        </is>
      </c>
      <c r="G76" s="24" t="inlineStr">
        <is>
          <t>Houston Astros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-110</v>
      </c>
      <c r="M76" s="27" t="n">
        <v>1.909091</v>
      </c>
      <c r="N76" s="28" t="n">
        <v>0.52381</v>
      </c>
      <c r="O76" s="28" t="n">
        <v>0.581151</v>
      </c>
      <c r="P76" s="28" t="n">
        <v>0.05</v>
      </c>
      <c r="Q76" s="28" t="n">
        <v>0.057342</v>
      </c>
      <c r="R76" s="26" t="n">
        <v>49</v>
      </c>
      <c r="S76" s="29" t="n">
        <v>1.25</v>
      </c>
      <c r="T76" s="24" t="inlineStr">
        <is>
          <t>mlb-elo-trend-lr-v5</t>
        </is>
      </c>
      <c r="U76" s="24" t="inlineStr">
        <is>
          <t>settled</t>
        </is>
      </c>
      <c r="V76" s="24" t="inlineStr">
        <is>
          <t>loss</t>
        </is>
      </c>
      <c r="W76" s="26" t="n">
        <v>4</v>
      </c>
      <c r="X76" s="26" t="n">
        <v>2</v>
      </c>
      <c r="Y76" s="25" t="n"/>
      <c r="Z76" s="26" t="n">
        <v>-110</v>
      </c>
      <c r="AA76" s="28" t="n">
        <v>0.523834</v>
      </c>
      <c r="AB76" s="28" t="n"/>
      <c r="AC76" s="30" t="n">
        <v>-1.25</v>
      </c>
      <c r="AD76" s="24" t="inlineStr">
        <is>
          <t>2026-07-22T23:44:22Z</t>
        </is>
      </c>
      <c r="AE76" s="31" t="n"/>
      <c r="AF76" s="31" t="n"/>
      <c r="AG76" s="24" t="n"/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8a12d027cf1d2c206cb369c47da80e014f8ac4dfc414ffee96ae34656c46fef5</t>
        </is>
      </c>
      <c r="BB76" s="24" t="inlineStr">
        <is>
          <t>identity</t>
        </is>
      </c>
      <c r="BC76" s="24" t="inlineStr">
        <is>
          <t>identity-v1</t>
        </is>
      </c>
      <c r="BD76" s="24" t="n"/>
      <c r="BE76" s="24" t="inlineStr">
        <is>
          <t>1</t>
        </is>
      </c>
      <c r="BF76" s="24" t="inlineStr">
        <is>
          <t>1</t>
        </is>
      </c>
      <c r="BG76" s="24" t="n"/>
      <c r="BH76" s="24" t="inlineStr">
        <is>
          <t>2026-07-22T22:42:56Z</t>
        </is>
      </c>
      <c r="BI76" s="24" t="n"/>
      <c r="BJ76" s="25" t="n"/>
      <c r="BK76" s="26" t="n">
        <v>-110</v>
      </c>
      <c r="BL76" s="27" t="n">
        <v>1.909</v>
      </c>
      <c r="BM76" s="28" t="n">
        <v>0.523834</v>
      </c>
      <c r="BN76" s="28" t="n">
        <v>0.523834</v>
      </c>
      <c r="BO76" s="28" t="n">
        <v>0.523834</v>
      </c>
      <c r="BP76" s="25" t="n"/>
      <c r="BQ76" s="27" t="n">
        <v>1.909</v>
      </c>
      <c r="BR76" s="28" t="n"/>
      <c r="BS76" s="28" t="n"/>
      <c r="BT76" s="28" t="n"/>
      <c r="BU76" s="25" t="n"/>
      <c r="BV76" s="29" t="n">
        <v>0.5</v>
      </c>
      <c r="BW76" s="24" t="n"/>
      <c r="BX76" s="30" t="n"/>
      <c r="BY76" s="27" t="n"/>
      <c r="BZ76" s="24" t="n"/>
      <c r="CA76" s="31" t="n"/>
      <c r="CB76" s="24" t="n"/>
      <c r="CC76" s="24" t="inlineStr">
        <is>
          <t>0.519162</t>
        </is>
      </c>
      <c r="CD76" s="24" t="inlineStr">
        <is>
          <t>-0.217918</t>
        </is>
      </c>
      <c r="CE76" s="24" t="inlineStr">
        <is>
          <t>1.0</t>
        </is>
      </c>
      <c r="CF76" s="24" t="inlineStr">
        <is>
          <t>1.0</t>
        </is>
      </c>
      <c r="CG76" s="24" t="inlineStr">
        <is>
          <t>3.4</t>
        </is>
      </c>
      <c r="CH76" s="24" t="n"/>
      <c r="CI76" s="24" t="n"/>
      <c r="CJ76" s="24" t="n"/>
      <c r="CK76" s="24" t="n"/>
      <c r="CL76" s="24" t="n"/>
      <c r="CM76" s="24" t="n"/>
    </row>
    <row r="77" ht="18" customHeight="1">
      <c r="A77" s="24" t="inlineStr">
        <is>
          <t>05ebd1c015874fbf</t>
        </is>
      </c>
      <c r="B77" s="24" t="inlineStr">
        <is>
          <t>2026-07-22T22:42:56Z</t>
        </is>
      </c>
      <c r="C77" s="24" t="inlineStr">
        <is>
          <t>2026-07-19T02:05Z</t>
        </is>
      </c>
      <c r="D77" s="24" t="inlineStr">
        <is>
          <t>401816170</t>
        </is>
      </c>
      <c r="E77" s="24" t="inlineStr">
        <is>
          <t>MLB</t>
        </is>
      </c>
      <c r="F77" s="24" t="inlineStr">
        <is>
          <t>Washington Nationals</t>
        </is>
      </c>
      <c r="G77" s="24" t="inlineStr">
        <is>
          <t>Athletics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-110</v>
      </c>
      <c r="M77" s="27" t="n">
        <v>1.909091</v>
      </c>
      <c r="N77" s="28" t="n">
        <v>0.52381</v>
      </c>
      <c r="O77" s="28" t="n">
        <v>0.686028</v>
      </c>
      <c r="P77" s="28" t="n">
        <v>0.05</v>
      </c>
      <c r="Q77" s="28" t="n">
        <v>0.162218</v>
      </c>
      <c r="R77" s="26" t="n">
        <v>100</v>
      </c>
      <c r="S77" s="29" t="n">
        <v>2</v>
      </c>
      <c r="T77" s="24" t="inlineStr">
        <is>
          <t>mlb-elo-trend-lr-v5</t>
        </is>
      </c>
      <c r="U77" s="24" t="inlineStr">
        <is>
          <t>settled</t>
        </is>
      </c>
      <c r="V77" s="24" t="inlineStr">
        <is>
          <t>win</t>
        </is>
      </c>
      <c r="W77" s="26" t="n">
        <v>1</v>
      </c>
      <c r="X77" s="26" t="n">
        <v>15</v>
      </c>
      <c r="Y77" s="25" t="n"/>
      <c r="Z77" s="26" t="n"/>
      <c r="AA77" s="28" t="n"/>
      <c r="AB77" s="28" t="n"/>
      <c r="AC77" s="30" t="n">
        <v>1.818</v>
      </c>
      <c r="AD77" s="24" t="inlineStr">
        <is>
          <t>2026-07-22T23:40:14.758560Z</t>
        </is>
      </c>
      <c r="AE77" s="31" t="n"/>
      <c r="AF77" s="31" t="n"/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8a12d027cf1d2c206cb369c47da80e014f8ac4dfc414ffee96ae34656c46fef5</t>
        </is>
      </c>
      <c r="BB77" s="24" t="inlineStr">
        <is>
          <t>identity</t>
        </is>
      </c>
      <c r="BC77" s="24" t="inlineStr">
        <is>
          <t>identity-v1</t>
        </is>
      </c>
      <c r="BD77" s="24" t="n"/>
      <c r="BE77" s="24" t="inlineStr">
        <is>
          <t>1</t>
        </is>
      </c>
      <c r="BF77" s="24" t="inlineStr">
        <is>
          <t>1</t>
        </is>
      </c>
      <c r="BG77" s="24" t="n"/>
      <c r="BH77" s="24" t="inlineStr">
        <is>
          <t>2026-07-22T22:42:56Z</t>
        </is>
      </c>
      <c r="BI77" s="24" t="n"/>
      <c r="BJ77" s="25" t="n"/>
      <c r="BK77" s="26" t="n">
        <v>-110</v>
      </c>
      <c r="BL77" s="27" t="n">
        <v>1.909</v>
      </c>
      <c r="BM77" s="28" t="n">
        <v>0.523834</v>
      </c>
      <c r="BN77" s="28" t="n">
        <v>0.523834</v>
      </c>
      <c r="BO77" s="28" t="n">
        <v>0.523834</v>
      </c>
      <c r="BP77" s="25" t="n"/>
      <c r="BQ77" s="27" t="n"/>
      <c r="BR77" s="28" t="n"/>
      <c r="BS77" s="28" t="n"/>
      <c r="BT77" s="28" t="n"/>
      <c r="BU77" s="25" t="n"/>
      <c r="BV77" s="29" t="n">
        <v>0.87</v>
      </c>
      <c r="BW77" s="24" t="n"/>
      <c r="BX77" s="30" t="n"/>
      <c r="BY77" s="27" t="n"/>
      <c r="BZ77" s="24" t="n"/>
      <c r="CA77" s="31" t="n"/>
      <c r="CB77" s="24" t="n"/>
      <c r="CC77" s="24" t="inlineStr">
        <is>
          <t>0.492793</t>
        </is>
      </c>
      <c r="CD77" s="24" t="inlineStr">
        <is>
          <t>-3.898252</t>
        </is>
      </c>
      <c r="CE77" s="24" t="inlineStr">
        <is>
          <t>0.98</t>
        </is>
      </c>
      <c r="CF77" s="24" t="inlineStr">
        <is>
          <t>1.0</t>
        </is>
      </c>
      <c r="CG77" s="24" t="inlineStr">
        <is>
          <t>6.2</t>
        </is>
      </c>
      <c r="CH77" s="24" t="n"/>
      <c r="CI77" s="24" t="n"/>
      <c r="CJ77" s="24" t="n"/>
      <c r="CK77" s="24" t="n"/>
      <c r="CL77" s="24" t="n"/>
      <c r="CM77" s="24" t="n"/>
    </row>
    <row r="78" ht="18" customHeight="1">
      <c r="A78" s="24" t="inlineStr">
        <is>
          <t>3d36f9ab09ac4b54</t>
        </is>
      </c>
      <c r="B78" s="24" t="inlineStr">
        <is>
          <t>2026-07-22T22:42:56Z</t>
        </is>
      </c>
      <c r="C78" s="24" t="inlineStr">
        <is>
          <t>2026-07-19T16:15Z</t>
        </is>
      </c>
      <c r="D78" s="24" t="inlineStr">
        <is>
          <t>401816171</t>
        </is>
      </c>
      <c r="E78" s="24" t="inlineStr">
        <is>
          <t>MLB</t>
        </is>
      </c>
      <c r="F78" s="24" t="inlineStr">
        <is>
          <t>Chicago White Sox</t>
        </is>
      </c>
      <c r="G78" s="24" t="inlineStr">
        <is>
          <t>Toronto Blue Jays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-110</v>
      </c>
      <c r="M78" s="27" t="n">
        <v>1.909091</v>
      </c>
      <c r="N78" s="28" t="n">
        <v>0.52381</v>
      </c>
      <c r="O78" s="28" t="n">
        <v>0.617167</v>
      </c>
      <c r="P78" s="28" t="n">
        <v>0.05</v>
      </c>
      <c r="Q78" s="28" t="n">
        <v>0.093357</v>
      </c>
      <c r="R78" s="26" t="n">
        <v>67</v>
      </c>
      <c r="S78" s="29" t="n">
        <v>1.75</v>
      </c>
      <c r="T78" s="24" t="inlineStr">
        <is>
          <t>mlb-elo-trend-lr-v5</t>
        </is>
      </c>
      <c r="U78" s="24" t="inlineStr">
        <is>
          <t>settled</t>
        </is>
      </c>
      <c r="V78" s="24" t="inlineStr">
        <is>
          <t>loss</t>
        </is>
      </c>
      <c r="W78" s="26" t="n">
        <v>3</v>
      </c>
      <c r="X78" s="26" t="n">
        <v>0</v>
      </c>
      <c r="Y78" s="25" t="n"/>
      <c r="Z78" s="26" t="n"/>
      <c r="AA78" s="28" t="n"/>
      <c r="AB78" s="28" t="n"/>
      <c r="AC78" s="30" t="n">
        <v>-1.75</v>
      </c>
      <c r="AD78" s="24" t="inlineStr">
        <is>
          <t>2026-07-22T23:40:15.987791Z</t>
        </is>
      </c>
      <c r="AE78" s="31" t="n"/>
      <c r="AF78" s="31" t="n"/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8a12d027cf1d2c206cb369c47da80e014f8ac4dfc414ffee96ae34656c46fef5</t>
        </is>
      </c>
      <c r="BB78" s="24" t="inlineStr">
        <is>
          <t>identity</t>
        </is>
      </c>
      <c r="BC78" s="24" t="inlineStr">
        <is>
          <t>identity-v1</t>
        </is>
      </c>
      <c r="BD78" s="24" t="n"/>
      <c r="BE78" s="24" t="inlineStr">
        <is>
          <t>1</t>
        </is>
      </c>
      <c r="BF78" s="24" t="inlineStr">
        <is>
          <t>1</t>
        </is>
      </c>
      <c r="BG78" s="24" t="n"/>
      <c r="BH78" s="24" t="inlineStr">
        <is>
          <t>2026-07-22T22:42:56Z</t>
        </is>
      </c>
      <c r="BI78" s="24" t="n"/>
      <c r="BJ78" s="25" t="n"/>
      <c r="BK78" s="26" t="n">
        <v>-110</v>
      </c>
      <c r="BL78" s="27" t="n">
        <v>1.909</v>
      </c>
      <c r="BM78" s="28" t="n">
        <v>0.523834</v>
      </c>
      <c r="BN78" s="28" t="n">
        <v>0.523834</v>
      </c>
      <c r="BO78" s="28" t="n">
        <v>0.523834</v>
      </c>
      <c r="BP78" s="25" t="n"/>
      <c r="BQ78" s="27" t="n"/>
      <c r="BR78" s="28" t="n"/>
      <c r="BS78" s="28" t="n"/>
      <c r="BT78" s="28" t="n"/>
      <c r="BU78" s="25" t="n"/>
      <c r="BV78" s="29" t="n">
        <v>0.97</v>
      </c>
      <c r="BW78" s="24" t="n"/>
      <c r="BX78" s="30" t="n"/>
      <c r="BY78" s="27" t="n"/>
      <c r="BZ78" s="24" t="n"/>
      <c r="CA78" s="31" t="n"/>
      <c r="CB78" s="24" t="n"/>
      <c r="CC78" s="24" t="inlineStr">
        <is>
          <t>0.554047</t>
        </is>
      </c>
      <c r="CD78" s="24" t="inlineStr">
        <is>
          <t>-0.015246</t>
        </is>
      </c>
      <c r="CE78" s="24" t="inlineStr">
        <is>
          <t>1.0</t>
        </is>
      </c>
      <c r="CF78" s="24" t="inlineStr">
        <is>
          <t>1.0</t>
        </is>
      </c>
      <c r="CG78" s="24" t="inlineStr">
        <is>
          <t>4.2</t>
        </is>
      </c>
      <c r="CH78" s="24" t="n"/>
      <c r="CI78" s="24" t="n"/>
      <c r="CJ78" s="24" t="n"/>
      <c r="CK78" s="24" t="n"/>
      <c r="CL78" s="24" t="n"/>
      <c r="CM78" s="24" t="n"/>
    </row>
    <row r="79" ht="18" customHeight="1">
      <c r="A79" s="24" t="inlineStr">
        <is>
          <t>10458264b05f47d5</t>
        </is>
      </c>
      <c r="B79" s="24" t="inlineStr">
        <is>
          <t>2026-07-22T22:42:56Z</t>
        </is>
      </c>
      <c r="C79" s="24" t="inlineStr">
        <is>
          <t>2026-07-19T20:05Z</t>
        </is>
      </c>
      <c r="D79" s="24" t="inlineStr">
        <is>
          <t>401816185</t>
        </is>
      </c>
      <c r="E79" s="24" t="inlineStr">
        <is>
          <t>MLB</t>
        </is>
      </c>
      <c r="F79" s="24" t="inlineStr">
        <is>
          <t>Washington Nationals</t>
        </is>
      </c>
      <c r="G79" s="24" t="inlineStr">
        <is>
          <t>Athletics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-110</v>
      </c>
      <c r="M79" s="27" t="n">
        <v>1.909091</v>
      </c>
      <c r="N79" s="28" t="n">
        <v>0.52381</v>
      </c>
      <c r="O79" s="28" t="n">
        <v>0.583901</v>
      </c>
      <c r="P79" s="28" t="n">
        <v>0.05</v>
      </c>
      <c r="Q79" s="28" t="n">
        <v>0.060091</v>
      </c>
      <c r="R79" s="26" t="n">
        <v>50</v>
      </c>
      <c r="S79" s="29" t="n">
        <v>1.25</v>
      </c>
      <c r="T79" s="24" t="inlineStr">
        <is>
          <t>mlb-elo-trend-lr-v5</t>
        </is>
      </c>
      <c r="U79" s="24" t="inlineStr">
        <is>
          <t>settled</t>
        </is>
      </c>
      <c r="V79" s="24" t="inlineStr">
        <is>
          <t>loss</t>
        </is>
      </c>
      <c r="W79" s="26" t="n">
        <v>5</v>
      </c>
      <c r="X79" s="26" t="n">
        <v>2</v>
      </c>
      <c r="Y79" s="25" t="n"/>
      <c r="Z79" s="26" t="n">
        <v>-110</v>
      </c>
      <c r="AA79" s="28" t="n">
        <v>0.523834</v>
      </c>
      <c r="AB79" s="28" t="n"/>
      <c r="AC79" s="30" t="n">
        <v>-1.25</v>
      </c>
      <c r="AD79" s="24" t="inlineStr">
        <is>
          <t>2026-07-22T23:44:22Z</t>
        </is>
      </c>
      <c r="AE79" s="31" t="n"/>
      <c r="AF79" s="31" t="n"/>
      <c r="AG79" s="24" t="n"/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n"/>
      <c r="AQ79" s="24" t="n"/>
      <c r="AR79" s="24" t="n"/>
      <c r="AS79" s="24" t="n"/>
      <c r="AT79" s="24" t="n"/>
      <c r="AU79" s="24" t="n"/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8a12d027cf1d2c206cb369c47da80e014f8ac4dfc414ffee96ae34656c46fef5</t>
        </is>
      </c>
      <c r="BB79" s="24" t="inlineStr">
        <is>
          <t>identity</t>
        </is>
      </c>
      <c r="BC79" s="24" t="inlineStr">
        <is>
          <t>identity-v1</t>
        </is>
      </c>
      <c r="BD79" s="24" t="n"/>
      <c r="BE79" s="24" t="inlineStr">
        <is>
          <t>1</t>
        </is>
      </c>
      <c r="BF79" s="24" t="inlineStr">
        <is>
          <t>1</t>
        </is>
      </c>
      <c r="BG79" s="24" t="n"/>
      <c r="BH79" s="24" t="inlineStr">
        <is>
          <t>2026-07-22T22:42:56Z</t>
        </is>
      </c>
      <c r="BI79" s="24" t="n"/>
      <c r="BJ79" s="25" t="n"/>
      <c r="BK79" s="26" t="n">
        <v>-110</v>
      </c>
      <c r="BL79" s="27" t="n">
        <v>1.909</v>
      </c>
      <c r="BM79" s="28" t="n">
        <v>0.523834</v>
      </c>
      <c r="BN79" s="28" t="n">
        <v>0.523834</v>
      </c>
      <c r="BO79" s="28" t="n">
        <v>0.523834</v>
      </c>
      <c r="BP79" s="25" t="n"/>
      <c r="BQ79" s="27" t="n">
        <v>1.909</v>
      </c>
      <c r="BR79" s="28" t="n"/>
      <c r="BS79" s="28" t="n"/>
      <c r="BT79" s="28" t="n"/>
      <c r="BU79" s="25" t="n"/>
      <c r="BV79" s="29" t="n">
        <v>0.5</v>
      </c>
      <c r="BW79" s="24" t="n"/>
      <c r="BX79" s="30" t="n"/>
      <c r="BY79" s="27" t="n"/>
      <c r="BZ79" s="24" t="n"/>
      <c r="CA79" s="31" t="n"/>
      <c r="CB79" s="24" t="n"/>
      <c r="CC79" s="24" t="inlineStr">
        <is>
          <t>0.508642</t>
        </is>
      </c>
      <c r="CD79" s="24" t="inlineStr">
        <is>
          <t>-0.783088</t>
        </is>
      </c>
      <c r="CE79" s="24" t="inlineStr">
        <is>
          <t>0.98</t>
        </is>
      </c>
      <c r="CF79" s="24" t="inlineStr">
        <is>
          <t>1.0</t>
        </is>
      </c>
      <c r="CG79" s="24" t="inlineStr">
        <is>
          <t>3.0</t>
        </is>
      </c>
      <c r="CH79" s="24" t="n"/>
      <c r="CI79" s="24" t="n"/>
      <c r="CJ79" s="24" t="n"/>
      <c r="CK79" s="24" t="n"/>
      <c r="CL79" s="24" t="n"/>
      <c r="CM79" s="24" t="n"/>
    </row>
    <row r="80" ht="18" customHeight="1">
      <c r="A80" s="24" t="inlineStr">
        <is>
          <t>7dc982a529364398</t>
        </is>
      </c>
      <c r="B80" s="24" t="inlineStr">
        <is>
          <t>2026-07-22T22:42:56Z</t>
        </is>
      </c>
      <c r="C80" s="24" t="inlineStr">
        <is>
          <t>2026-07-20T23:40Z</t>
        </is>
      </c>
      <c r="D80" s="24" t="inlineStr">
        <is>
          <t>401816196</t>
        </is>
      </c>
      <c r="E80" s="24" t="inlineStr">
        <is>
          <t>MLB</t>
        </is>
      </c>
      <c r="F80" s="24" t="inlineStr">
        <is>
          <t>San Francisco Giants</t>
        </is>
      </c>
      <c r="G80" s="24" t="inlineStr">
        <is>
          <t>Kansas City Royals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-110</v>
      </c>
      <c r="M80" s="27" t="n">
        <v>1.909091</v>
      </c>
      <c r="N80" s="28" t="n">
        <v>0.52381</v>
      </c>
      <c r="O80" s="28" t="n">
        <v>0.595328</v>
      </c>
      <c r="P80" s="28" t="n">
        <v>0.05</v>
      </c>
      <c r="Q80" s="28" t="n">
        <v>0.071518</v>
      </c>
      <c r="R80" s="26" t="n">
        <v>56</v>
      </c>
      <c r="S80" s="29" t="n">
        <v>1.5</v>
      </c>
      <c r="T80" s="24" t="inlineStr">
        <is>
          <t>mlb-elo-trend-lr-v5</t>
        </is>
      </c>
      <c r="U80" s="24" t="inlineStr">
        <is>
          <t>settled</t>
        </is>
      </c>
      <c r="V80" s="24" t="inlineStr">
        <is>
          <t>win</t>
        </is>
      </c>
      <c r="W80" s="26" t="n">
        <v>3</v>
      </c>
      <c r="X80" s="26" t="n">
        <v>4</v>
      </c>
      <c r="Y80" s="25" t="n"/>
      <c r="Z80" s="26" t="n">
        <v>-110</v>
      </c>
      <c r="AA80" s="28" t="n">
        <v>0.523834</v>
      </c>
      <c r="AB80" s="28" t="n"/>
      <c r="AC80" s="30" t="n">
        <v>1.3635</v>
      </c>
      <c r="AD80" s="24" t="inlineStr">
        <is>
          <t>2026-07-22T23:44:22Z</t>
        </is>
      </c>
      <c r="AE80" s="31" t="n"/>
      <c r="AF80" s="31" t="n"/>
      <c r="AG80" s="24" t="n"/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8a12d027cf1d2c206cb369c47da80e014f8ac4dfc414ffee96ae34656c46fef5</t>
        </is>
      </c>
      <c r="BB80" s="24" t="inlineStr">
        <is>
          <t>identity</t>
        </is>
      </c>
      <c r="BC80" s="24" t="inlineStr">
        <is>
          <t>identity-v1</t>
        </is>
      </c>
      <c r="BD80" s="24" t="n"/>
      <c r="BE80" s="24" t="inlineStr">
        <is>
          <t>1</t>
        </is>
      </c>
      <c r="BF80" s="24" t="inlineStr">
        <is>
          <t>1</t>
        </is>
      </c>
      <c r="BG80" s="24" t="n"/>
      <c r="BH80" s="24" t="inlineStr">
        <is>
          <t>2026-07-22T22:42:56Z</t>
        </is>
      </c>
      <c r="BI80" s="24" t="n"/>
      <c r="BJ80" s="25" t="n"/>
      <c r="BK80" s="26" t="n">
        <v>-110</v>
      </c>
      <c r="BL80" s="27" t="n">
        <v>1.909</v>
      </c>
      <c r="BM80" s="28" t="n">
        <v>0.523834</v>
      </c>
      <c r="BN80" s="28" t="n">
        <v>0.523834</v>
      </c>
      <c r="BO80" s="28" t="n">
        <v>0.523834</v>
      </c>
      <c r="BP80" s="25" t="n"/>
      <c r="BQ80" s="27" t="n">
        <v>1.909</v>
      </c>
      <c r="BR80" s="28" t="n"/>
      <c r="BS80" s="28" t="n"/>
      <c r="BT80" s="28" t="n"/>
      <c r="BU80" s="25" t="n"/>
      <c r="BV80" s="29" t="n">
        <v>0.5</v>
      </c>
      <c r="BW80" s="24" t="n"/>
      <c r="BX80" s="30" t="n"/>
      <c r="BY80" s="27" t="n"/>
      <c r="BZ80" s="24" t="n"/>
      <c r="CA80" s="31" t="n"/>
      <c r="CB80" s="24" t="n"/>
      <c r="CC80" s="24" t="inlineStr">
        <is>
          <t>0.516421</t>
        </is>
      </c>
      <c r="CD80" s="24" t="inlineStr">
        <is>
          <t>0.102087</t>
        </is>
      </c>
      <c r="CE80" s="24" t="inlineStr">
        <is>
          <t>1.03</t>
        </is>
      </c>
      <c r="CF80" s="24" t="inlineStr">
        <is>
          <t>1.0111</t>
        </is>
      </c>
      <c r="CG80" s="24" t="inlineStr">
        <is>
          <t>5.4</t>
        </is>
      </c>
      <c r="CH80" s="24" t="n"/>
      <c r="CI80" s="24" t="n"/>
      <c r="CJ80" s="24" t="n"/>
      <c r="CK80" s="24" t="n"/>
      <c r="CL80" s="24" t="n"/>
      <c r="CM80" s="24" t="n"/>
    </row>
    <row r="81" ht="18" customHeight="1">
      <c r="A81" s="24" t="inlineStr">
        <is>
          <t>b1c503bf376848b6</t>
        </is>
      </c>
      <c r="B81" s="24" t="inlineStr">
        <is>
          <t>2026-07-22T22:42:56Z</t>
        </is>
      </c>
      <c r="C81" s="24" t="inlineStr">
        <is>
          <t>2026-07-21T00:05Z</t>
        </is>
      </c>
      <c r="D81" s="24" t="inlineStr">
        <is>
          <t>401816192</t>
        </is>
      </c>
      <c r="E81" s="24" t="inlineStr">
        <is>
          <t>MLB</t>
        </is>
      </c>
      <c r="F81" s="24" t="inlineStr">
        <is>
          <t>Chicago White Sox</t>
        </is>
      </c>
      <c r="G81" s="24" t="inlineStr">
        <is>
          <t>Texas Rangers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-110</v>
      </c>
      <c r="M81" s="27" t="n">
        <v>1.909091</v>
      </c>
      <c r="N81" s="28" t="n">
        <v>0.52381</v>
      </c>
      <c r="O81" s="28" t="n">
        <v>0.6185310000000001</v>
      </c>
      <c r="P81" s="28" t="n">
        <v>0.05</v>
      </c>
      <c r="Q81" s="28" t="n">
        <v>0.094722</v>
      </c>
      <c r="R81" s="26" t="n">
        <v>67</v>
      </c>
      <c r="S81" s="29" t="n">
        <v>1.75</v>
      </c>
      <c r="T81" s="24" t="inlineStr">
        <is>
          <t>mlb-elo-trend-lr-v5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10</v>
      </c>
      <c r="Y81" s="25" t="n"/>
      <c r="Z81" s="26" t="n">
        <v>-110</v>
      </c>
      <c r="AA81" s="28" t="n">
        <v>0.523834</v>
      </c>
      <c r="AB81" s="28" t="n"/>
      <c r="AC81" s="30" t="n">
        <v>1.5908</v>
      </c>
      <c r="AD81" s="24" t="inlineStr">
        <is>
          <t>2026-07-22T23:44:22Z</t>
        </is>
      </c>
      <c r="AE81" s="31" t="n"/>
      <c r="AF81" s="31" t="n"/>
      <c r="AG81" s="24" t="n"/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8a12d027cf1d2c206cb369c47da80e014f8ac4dfc414ffee96ae34656c46fef5</t>
        </is>
      </c>
      <c r="BB81" s="24" t="inlineStr">
        <is>
          <t>identity</t>
        </is>
      </c>
      <c r="BC81" s="24" t="inlineStr">
        <is>
          <t>identity-v1</t>
        </is>
      </c>
      <c r="BD81" s="24" t="n"/>
      <c r="BE81" s="24" t="inlineStr">
        <is>
          <t>1</t>
        </is>
      </c>
      <c r="BF81" s="24" t="inlineStr">
        <is>
          <t>1</t>
        </is>
      </c>
      <c r="BG81" s="24" t="n"/>
      <c r="BH81" s="24" t="inlineStr">
        <is>
          <t>2026-07-22T22:42:56Z</t>
        </is>
      </c>
      <c r="BI81" s="24" t="n"/>
      <c r="BJ81" s="25" t="n"/>
      <c r="BK81" s="26" t="n">
        <v>-110</v>
      </c>
      <c r="BL81" s="27" t="n">
        <v>1.909</v>
      </c>
      <c r="BM81" s="28" t="n">
        <v>0.523834</v>
      </c>
      <c r="BN81" s="28" t="n">
        <v>0.523834</v>
      </c>
      <c r="BO81" s="28" t="n">
        <v>0.523834</v>
      </c>
      <c r="BP81" s="25" t="n"/>
      <c r="BQ81" s="27" t="n">
        <v>1.909</v>
      </c>
      <c r="BR81" s="28" t="n"/>
      <c r="BS81" s="28" t="n"/>
      <c r="BT81" s="28" t="n"/>
      <c r="BU81" s="25" t="n"/>
      <c r="BV81" s="29" t="n">
        <v>0.59</v>
      </c>
      <c r="BW81" s="24" t="n"/>
      <c r="BX81" s="30" t="n"/>
      <c r="BY81" s="27" t="n"/>
      <c r="BZ81" s="24" t="n"/>
      <c r="CA81" s="31" t="n"/>
      <c r="CB81" s="24" t="n"/>
      <c r="CC81" s="24" t="inlineStr">
        <is>
          <t>0.524777</t>
        </is>
      </c>
      <c r="CD81" s="24" t="inlineStr">
        <is>
          <t>0.938429</t>
        </is>
      </c>
      <c r="CE81" s="24" t="inlineStr">
        <is>
          <t>1.02</t>
        </is>
      </c>
      <c r="CF81" s="24" t="inlineStr">
        <is>
          <t>1.0</t>
        </is>
      </c>
      <c r="CG81" s="24" t="inlineStr">
        <is>
          <t>7.4</t>
        </is>
      </c>
      <c r="CH81" s="24" t="n"/>
      <c r="CI81" s="24" t="n"/>
      <c r="CJ81" s="24" t="n"/>
      <c r="CK81" s="24" t="n"/>
      <c r="CL81" s="24" t="n"/>
      <c r="CM81" s="24" t="n"/>
    </row>
    <row r="82" ht="18" customHeight="1">
      <c r="A82" s="24" t="inlineStr">
        <is>
          <t>0ff10ba8507a4354</t>
        </is>
      </c>
      <c r="B82" s="24" t="inlineStr">
        <is>
          <t>2026-07-22T22:42:56Z</t>
        </is>
      </c>
      <c r="C82" s="24" t="inlineStr">
        <is>
          <t>2026-07-21T23:40Z</t>
        </is>
      </c>
      <c r="D82" s="24" t="inlineStr">
        <is>
          <t>401816211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Kansas City Royals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-110</v>
      </c>
      <c r="M82" s="27" t="n">
        <v>1.909091</v>
      </c>
      <c r="N82" s="28" t="n">
        <v>0.52381</v>
      </c>
      <c r="O82" s="28" t="n">
        <v>0.581277</v>
      </c>
      <c r="P82" s="28" t="n">
        <v>0.05</v>
      </c>
      <c r="Q82" s="28" t="n">
        <v>0.057467</v>
      </c>
      <c r="R82" s="26" t="n">
        <v>49</v>
      </c>
      <c r="S82" s="29" t="n">
        <v>1.25</v>
      </c>
      <c r="T82" s="24" t="inlineStr">
        <is>
          <t>mlb-elo-trend-lr-v5</t>
        </is>
      </c>
      <c r="U82" s="24" t="inlineStr">
        <is>
          <t>settled</t>
        </is>
      </c>
      <c r="V82" s="24" t="inlineStr">
        <is>
          <t>win</t>
        </is>
      </c>
      <c r="W82" s="26" t="n">
        <v>2</v>
      </c>
      <c r="X82" s="26" t="n">
        <v>3</v>
      </c>
      <c r="Y82" s="25" t="n"/>
      <c r="Z82" s="26" t="n">
        <v>-110</v>
      </c>
      <c r="AA82" s="28" t="n">
        <v>0.523834</v>
      </c>
      <c r="AB82" s="28" t="n"/>
      <c r="AC82" s="30" t="n">
        <v>1.1362</v>
      </c>
      <c r="AD82" s="24" t="inlineStr">
        <is>
          <t>2026-07-22T23:44:22Z</t>
        </is>
      </c>
      <c r="AE82" s="31" t="n"/>
      <c r="AF82" s="31" t="n"/>
      <c r="AG82" s="24" t="n"/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8a12d027cf1d2c206cb369c47da80e014f8ac4dfc414ffee96ae34656c46fef5</t>
        </is>
      </c>
      <c r="BB82" s="24" t="inlineStr">
        <is>
          <t>identity</t>
        </is>
      </c>
      <c r="BC82" s="24" t="inlineStr">
        <is>
          <t>identity-v1</t>
        </is>
      </c>
      <c r="BD82" s="24" t="n"/>
      <c r="BE82" s="24" t="inlineStr">
        <is>
          <t>1</t>
        </is>
      </c>
      <c r="BF82" s="24" t="inlineStr">
        <is>
          <t>1</t>
        </is>
      </c>
      <c r="BG82" s="24" t="n"/>
      <c r="BH82" s="24" t="inlineStr">
        <is>
          <t>2026-07-22T22:42:56Z</t>
        </is>
      </c>
      <c r="BI82" s="24" t="n"/>
      <c r="BJ82" s="25" t="n"/>
      <c r="BK82" s="26" t="n">
        <v>-110</v>
      </c>
      <c r="BL82" s="27" t="n">
        <v>1.909</v>
      </c>
      <c r="BM82" s="28" t="n">
        <v>0.523834</v>
      </c>
      <c r="BN82" s="28" t="n">
        <v>0.523834</v>
      </c>
      <c r="BO82" s="28" t="n">
        <v>0.523834</v>
      </c>
      <c r="BP82" s="25" t="n"/>
      <c r="BQ82" s="27" t="n">
        <v>1.909</v>
      </c>
      <c r="BR82" s="28" t="n"/>
      <c r="BS82" s="28" t="n"/>
      <c r="BT82" s="28" t="n"/>
      <c r="BU82" s="25" t="n"/>
      <c r="BV82" s="29" t="n">
        <v>0.5</v>
      </c>
      <c r="BW82" s="24" t="n"/>
      <c r="BX82" s="30" t="n"/>
      <c r="BY82" s="27" t="n"/>
      <c r="BZ82" s="24" t="n"/>
      <c r="CA82" s="31" t="n"/>
      <c r="CB82" s="24" t="n"/>
      <c r="CC82" s="24" t="inlineStr">
        <is>
          <t>0.520255</t>
        </is>
      </c>
      <c r="CD82" s="24" t="inlineStr">
        <is>
          <t>0.154719</t>
        </is>
      </c>
      <c r="CE82" s="24" t="inlineStr">
        <is>
          <t>1.03</t>
        </is>
      </c>
      <c r="CF82" s="24" t="inlineStr">
        <is>
          <t>1.0111</t>
        </is>
      </c>
      <c r="CG82" s="24" t="inlineStr">
        <is>
          <t>4.4</t>
        </is>
      </c>
      <c r="CH82" s="24" t="n"/>
      <c r="CI82" s="24" t="n"/>
      <c r="CJ82" s="24" t="n"/>
      <c r="CK82" s="24" t="n"/>
      <c r="CL82" s="24" t="n"/>
      <c r="CM82" s="24" t="n"/>
    </row>
    <row r="83" ht="18" customHeight="1">
      <c r="A83" s="24" t="inlineStr">
        <is>
          <t>f43802bcd96a416d</t>
        </is>
      </c>
      <c r="B83" s="24" t="inlineStr">
        <is>
          <t>2026-07-22T22:42:56Z</t>
        </is>
      </c>
      <c r="C83" s="24" t="inlineStr">
        <is>
          <t>2026-07-22T18:10Z</t>
        </is>
      </c>
      <c r="D83" s="24" t="inlineStr">
        <is>
          <t>401816226</t>
        </is>
      </c>
      <c r="E83" s="24" t="inlineStr">
        <is>
          <t>MLB</t>
        </is>
      </c>
      <c r="F83" s="24" t="inlineStr">
        <is>
          <t>San Francisco Giants</t>
        </is>
      </c>
      <c r="G83" s="24" t="inlineStr">
        <is>
          <t>Kansas City Royals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-110</v>
      </c>
      <c r="M83" s="27" t="n">
        <v>1.909091</v>
      </c>
      <c r="N83" s="28" t="n">
        <v>0.52381</v>
      </c>
      <c r="O83" s="28" t="n">
        <v>0.581277</v>
      </c>
      <c r="P83" s="28" t="n">
        <v>0.05</v>
      </c>
      <c r="Q83" s="28" t="n">
        <v>0.057467</v>
      </c>
      <c r="R83" s="26" t="n">
        <v>49</v>
      </c>
      <c r="S83" s="29" t="n">
        <v>1.25</v>
      </c>
      <c r="T83" s="24" t="inlineStr">
        <is>
          <t>mlb-elo-trend-lr-v5</t>
        </is>
      </c>
      <c r="U83" s="24" t="inlineStr">
        <is>
          <t>settled</t>
        </is>
      </c>
      <c r="V83" s="24" t="inlineStr">
        <is>
          <t>win</t>
        </is>
      </c>
      <c r="W83" s="26" t="n">
        <v>4</v>
      </c>
      <c r="X83" s="26" t="n">
        <v>5</v>
      </c>
      <c r="Y83" s="25" t="n"/>
      <c r="Z83" s="26" t="n"/>
      <c r="AA83" s="28" t="n"/>
      <c r="AB83" s="28" t="n"/>
      <c r="AC83" s="30" t="n">
        <v>1.1362</v>
      </c>
      <c r="AD83" s="24" t="inlineStr">
        <is>
          <t>2026-07-23T04:43:15.189950Z</t>
        </is>
      </c>
      <c r="AE83" s="31" t="n"/>
      <c r="AF83" s="31" t="n"/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8a12d027cf1d2c206cb369c47da80e014f8ac4dfc414ffee96ae34656c46fef5</t>
        </is>
      </c>
      <c r="BB83" s="24" t="inlineStr">
        <is>
          <t>identity</t>
        </is>
      </c>
      <c r="BC83" s="24" t="inlineStr">
        <is>
          <t>identity-v1</t>
        </is>
      </c>
      <c r="BD83" s="24" t="n"/>
      <c r="BE83" s="24" t="inlineStr">
        <is>
          <t>1</t>
        </is>
      </c>
      <c r="BF83" s="24" t="inlineStr">
        <is>
          <t>1</t>
        </is>
      </c>
      <c r="BG83" s="24" t="n"/>
      <c r="BH83" s="24" t="inlineStr">
        <is>
          <t>2026-07-22T22:42:56Z</t>
        </is>
      </c>
      <c r="BI83" s="24" t="n"/>
      <c r="BJ83" s="25" t="n"/>
      <c r="BK83" s="26" t="n">
        <v>-110</v>
      </c>
      <c r="BL83" s="27" t="n">
        <v>1.909</v>
      </c>
      <c r="BM83" s="28" t="n">
        <v>0.523834</v>
      </c>
      <c r="BN83" s="28" t="n">
        <v>0.523834</v>
      </c>
      <c r="BO83" s="28" t="n">
        <v>0.523834</v>
      </c>
      <c r="BP83" s="25" t="n"/>
      <c r="BQ83" s="27" t="n"/>
      <c r="BR83" s="28" t="n"/>
      <c r="BS83" s="28" t="n"/>
      <c r="BT83" s="28" t="n"/>
      <c r="BU83" s="25" t="n"/>
      <c r="BV83" s="29" t="n">
        <v>0.5</v>
      </c>
      <c r="BW83" s="24" t="n"/>
      <c r="BX83" s="30" t="n"/>
      <c r="BY83" s="27" t="n"/>
      <c r="BZ83" s="24" t="n"/>
      <c r="CA83" s="31" t="n"/>
      <c r="CB83" s="24" t="n"/>
      <c r="CC83" s="24" t="inlineStr">
        <is>
          <t>0.520255</t>
        </is>
      </c>
      <c r="CD83" s="24" t="inlineStr">
        <is>
          <t>0.154719</t>
        </is>
      </c>
      <c r="CE83" s="24" t="inlineStr">
        <is>
          <t>1.03</t>
        </is>
      </c>
      <c r="CF83" s="24" t="inlineStr">
        <is>
          <t>1.0111</t>
        </is>
      </c>
      <c r="CG83" s="24" t="inlineStr">
        <is>
          <t>4.4</t>
        </is>
      </c>
      <c r="CH83" s="24" t="n"/>
      <c r="CI83" s="24" t="n"/>
      <c r="CJ83" s="24" t="n"/>
      <c r="CK83" s="24" t="n"/>
      <c r="CL83" s="24" t="n"/>
      <c r="CM8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2026-07-23T07:05:37Z</dcterms:created>
  <dcterms:modified xsi:type="dcterms:W3CDTF">2026-07-23T07:05:37Z</dcterms:modified>
</cp:coreProperties>
</file>