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43" headerRowCount="1">
  <autoFilter ref="A1:CA43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COUNTA('Picks'!$A$2:$A$43)</f>
        <v/>
      </c>
      <c r="C4" s="6">
        <f>COUNTIF('Picks'!$U$2:$U$43,"open")</f>
        <v/>
      </c>
      <c r="E4" s="6">
        <f>COUNTIF('Picks'!$U$2:$U$43,"settled")</f>
        <v/>
      </c>
      <c r="G4" s="6">
        <f>IF(COUNTIFS('Picks'!$U$2:$U$43,"settled",'Picks'!$V$2:$V$43,"win")+COUNTIFS('Picks'!$U$2:$U$43,"settled",'Picks'!$V$2:$V$43,"loss")&gt;=$L$2,"Ready","Insufficient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COUNTIF('Picks'!$BX$2:$BX$43,"&gt;0")</f>
        <v/>
      </c>
      <c r="C7" s="6">
        <f>COUNTIFS('Picks'!$BX$2:$BX$43,"&gt;0",'Picks'!$V$2:$V$43,"win")&amp;"-"&amp;COUNTIFS('Picks'!$BX$2:$BX$43,"&gt;0",'Picks'!$V$2:$V$43,"loss")</f>
        <v/>
      </c>
      <c r="E7" s="7">
        <f>IFERROR(COUNTIFS('Picks'!$BX$2:$BX$43,"&gt;0",'Picks'!$V$2:$V$43,"win")/(COUNTIFS('Picks'!$BX$2:$BX$43,"&gt;0",'Picks'!$V$2:$V$43,"win")+COUNTIFS('Picks'!$BX$2:$BX$43,"&gt;0",'Picks'!$V$2:$V$43,"loss")),0)</f>
        <v/>
      </c>
      <c r="G7" s="7">
        <f>IFERROR(SUM('Picks'!$BY$2:$BY$43)/SUM('Picks'!$BX$2:$BX$43),0)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SUM('Picks'!$BY$2:$BY$43)</f>
        <v/>
      </c>
      <c r="C10" s="9">
        <f>IFERROR(AVERAGEIF('Picks'!$AB$2:$AB$43,"&lt;&gt;",'Picks'!$AB$2:$AB$43),0)</f>
        <v/>
      </c>
      <c r="E10" s="6">
        <f>COUNTIFS('Picks'!$AM$2:$AM$43,"QUALIFIED_SHADOW_CALL",'Picks'!$U$2:$U$43,"settled")</f>
        <v/>
      </c>
      <c r="G10" s="8">
        <f>SUMIFS('Picks'!$AC$2:$AC$43,'Picks'!$AM$2:$AM$43,"QUALIFIED_SHADOW_CALL")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COUNTIFS('Picks'!$H$2:$H$43,$A14,'Picks'!$U$2:$U$43,"settled")</f>
        <v/>
      </c>
      <c r="C14" s="13">
        <f>COUNTIFS('Picks'!$H$2:$H$43,$A14,'Picks'!$U$2:$U$43,"settled",'Picks'!$V$2:$V$43,"win")</f>
        <v/>
      </c>
      <c r="D14" s="13">
        <f>COUNTIFS('Picks'!$H$2:$H$43,$A14,'Picks'!$U$2:$U$43,"settled",'Picks'!$V$2:$V$43,"loss")</f>
        <v/>
      </c>
      <c r="E14" s="14">
        <f>IFERROR(C14/(C14+D14),0)</f>
        <v/>
      </c>
      <c r="F14" s="15">
        <f>SUMIFS('Picks'!$BY$2:$BY$43,'Picks'!$H$2:$H$43,$A14)</f>
        <v/>
      </c>
      <c r="G14" s="16">
        <f>IFERROR(AVERAGEIFS('Picks'!$AB$2:$AB$43,'Picks'!$H$2:$H$43,$A14,'Picks'!$U$2:$U$43,"settled"),0)</f>
        <v/>
      </c>
    </row>
    <row r="15">
      <c r="A15" s="17" t="inlineStr">
        <is>
          <t>spread</t>
        </is>
      </c>
      <c r="B15" s="18">
        <f>COUNTIFS('Picks'!$H$2:$H$43,$A15,'Picks'!$U$2:$U$43,"settled")</f>
        <v/>
      </c>
      <c r="C15" s="18">
        <f>COUNTIFS('Picks'!$H$2:$H$43,$A15,'Picks'!$U$2:$U$43,"settled",'Picks'!$V$2:$V$43,"win")</f>
        <v/>
      </c>
      <c r="D15" s="18">
        <f>COUNTIFS('Picks'!$H$2:$H$43,$A15,'Picks'!$U$2:$U$43,"settled",'Picks'!$V$2:$V$43,"loss")</f>
        <v/>
      </c>
      <c r="E15" s="19">
        <f>IFERROR(C15/(C15+D15),0)</f>
        <v/>
      </c>
      <c r="F15" s="20">
        <f>SUMIFS('Picks'!$BY$2:$BY$43,'Picks'!$H$2:$H$43,$A15)</f>
        <v/>
      </c>
      <c r="G15" s="21">
        <f>IFERROR(AVERAGEIFS('Picks'!$AB$2:$AB$43,'Picks'!$H$2:$H$43,$A15,'Picks'!$U$2:$U$43,"settled"),0)</f>
        <v/>
      </c>
    </row>
    <row r="16">
      <c r="A16" s="12" t="inlineStr">
        <is>
          <t>total</t>
        </is>
      </c>
      <c r="B16" s="13">
        <f>COUNTIFS('Picks'!$H$2:$H$43,$A16,'Picks'!$U$2:$U$43,"settled")</f>
        <v/>
      </c>
      <c r="C16" s="13">
        <f>COUNTIFS('Picks'!$H$2:$H$43,$A16,'Picks'!$U$2:$U$43,"settled",'Picks'!$V$2:$V$43,"win")</f>
        <v/>
      </c>
      <c r="D16" s="13">
        <f>COUNTIFS('Picks'!$H$2:$H$43,$A16,'Picks'!$U$2:$U$43,"settled",'Picks'!$V$2:$V$43,"loss")</f>
        <v/>
      </c>
      <c r="E16" s="14">
        <f>IFERROR(C16/(C16+D16),0)</f>
        <v/>
      </c>
      <c r="F16" s="15">
        <f>SUMIFS('Picks'!$BY$2:$BY$43,'Picks'!$H$2:$H$43,$A16)</f>
        <v/>
      </c>
      <c r="G16" s="16">
        <f>IFERROR(AVERAGEIFS('Picks'!$AB$2:$AB$43,'Picks'!$H$2:$H$43,$A16,'Picks'!$U$2:$U$43,"settled"),0)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ad621924660a4d49</t>
        </is>
      </c>
      <c r="B32" s="24" t="inlineStr">
        <is>
          <t>2026-07-20T15:44:08.951770Z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113</v>
      </c>
      <c r="M32" s="27" t="n">
        <v>2.13</v>
      </c>
      <c r="N32" s="28" t="n">
        <v>0.469484</v>
      </c>
      <c r="O32" s="28" t="n">
        <v>0.5726869999999999</v>
      </c>
      <c r="P32" s="28" t="n"/>
      <c r="Q32" s="28" t="n">
        <v>0.103203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0.5500; executable ask 0.4700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2026-07-20T15:40:37.473344Z</t>
        </is>
      </c>
      <c r="BI32" s="24" t="inlineStr">
        <is>
          <t>["same_event","same_team_same_day","same_league_same_day"]</t>
        </is>
      </c>
      <c r="BJ32" s="25" t="n"/>
      <c r="BK32" s="26" t="n">
        <v>113</v>
      </c>
      <c r="BL32" s="27" t="n">
        <v>2.13</v>
      </c>
      <c r="BM32" s="28" t="n">
        <v>0.469484</v>
      </c>
      <c r="BN32" s="28" t="n">
        <v>0.467662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a72d0dab60924d62</t>
        </is>
      </c>
      <c r="B33" s="24" t="inlineStr">
        <is>
          <t>2026-07-20T15:44:08.951770Z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-108</v>
      </c>
      <c r="M33" s="27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2026-07-20T15:40:38.983839Z</t>
        </is>
      </c>
      <c r="BI33" s="24" t="inlineStr">
        <is>
          <t>["same_event","same_team_same_day","same_league_same_day"]</t>
        </is>
      </c>
      <c r="BJ33" s="25" t="n"/>
      <c r="BK33" s="26" t="n">
        <v>-108</v>
      </c>
      <c r="BL33" s="27" t="n">
        <v>1.925926</v>
      </c>
      <c r="BM33" s="28" t="n">
        <v>0.519231</v>
      </c>
      <c r="BN33" s="28" t="n">
        <v>0.517413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f96e5bd1ebcc4c62</t>
        </is>
      </c>
      <c r="B34" s="24" t="inlineStr">
        <is>
          <t>2026-07-20T15:44:08.951770Z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-108</v>
      </c>
      <c r="M34" s="27" t="n">
        <v>1.925926</v>
      </c>
      <c r="N34" s="28" t="n">
        <v>0.519231</v>
      </c>
      <c r="O34" s="28" t="n">
        <v>0.566967</v>
      </c>
      <c r="P34" s="28" t="n"/>
      <c r="Q34" s="28" t="n">
        <v>0.047736</v>
      </c>
      <c r="R34" s="26" t="n">
        <v>44</v>
      </c>
      <c r="S34" s="29" t="n">
        <v>1.25</v>
      </c>
      <c r="T34" s="24" t="inlineStr">
        <is>
          <t>mlb-elo-trend-lr-v4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0.5500; executable ask 0.5200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2026-07-20T15:40:51.564498Z</t>
        </is>
      </c>
      <c r="BI34" s="24" t="inlineStr">
        <is>
          <t>["same_event","same_team_same_day","same_league_same_day"]</t>
        </is>
      </c>
      <c r="BJ34" s="25" t="n"/>
      <c r="BK34" s="26" t="n">
        <v>-108</v>
      </c>
      <c r="BL34" s="27" t="n">
        <v>1.925926</v>
      </c>
      <c r="BM34" s="28" t="n">
        <v>0.519231</v>
      </c>
      <c r="BN34" s="28" t="n">
        <v>0.5148509999999999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147749d13cbd4451</t>
        </is>
      </c>
      <c r="B35" s="24" t="inlineStr">
        <is>
          <t>2026-07-20T15:44:12.511288Z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0.688998</v>
      </c>
      <c r="P35" s="28" t="n"/>
      <c r="Q35" s="28" t="n">
        <v>0.288998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c20bbb99f1fff741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2026-07-20T15:41:03.863692Z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>
        <v>0.39604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8a8477c2b92442e1</t>
        </is>
      </c>
      <c r="B36" s="24" t="inlineStr">
        <is>
          <t>2026-07-20T16:18:24.995882Z</t>
        </is>
      </c>
      <c r="C36" s="24" t="inlineStr">
        <is>
          <t>2026-07-20T20:00:00Z</t>
        </is>
      </c>
      <c r="D36" s="24" t="inlineStr">
        <is>
          <t>54491</t>
        </is>
      </c>
      <c r="E36" s="24" t="inlineStr">
        <is>
          <t>LOL</t>
        </is>
      </c>
      <c r="F36" s="24" t="inlineStr">
        <is>
          <t>KaBuM! Ilha das Lendas</t>
        </is>
      </c>
      <c r="G36" s="24" t="inlineStr">
        <is>
          <t>Vivo Keyd Stars Academy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144</v>
      </c>
      <c r="M36" s="27" t="n">
        <v>2.44</v>
      </c>
      <c r="N36" s="28" t="n">
        <v>0.409836</v>
      </c>
      <c r="O36" s="28" t="n">
        <v>0.555003</v>
      </c>
      <c r="P36" s="28" t="n"/>
      <c r="Q36" s="28" t="n">
        <v>0.145003</v>
      </c>
      <c r="R36" s="26" t="n">
        <v>100</v>
      </c>
      <c r="S36" s="29" t="n">
        <v>1</v>
      </c>
      <c r="T36" s="24" t="inlineStr">
        <is>
          <t>lol-neutral-series-elo-v1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0.4100 (aec-lol-vksa-kbm-2026-07-20).</t>
        </is>
      </c>
      <c r="AF36" s="31" t="inlineStr">
        <is>
          <t>Research baseline; zero-unit shadow until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KaBuM! Ilha das Lendas</t>
        </is>
      </c>
      <c r="AQ36" s="24" t="inlineStr">
        <is>
          <t>KaBuM! Ilha das Lendas</t>
        </is>
      </c>
      <c r="AR36" s="24" t="inlineStr">
        <is>
          <t>KaBuM! Ilha das Lendas</t>
        </is>
      </c>
      <c r="AS36" s="24" t="inlineStr">
        <is>
          <t>Vivo Keyd Stars Academy</t>
        </is>
      </c>
      <c r="AT36" s="24" t="inlineStr">
        <is>
          <t>Vivo Keyd Stars Academy</t>
        </is>
      </c>
      <c r="AU36" s="24" t="inlineStr">
        <is>
          <t>Vivo Keyd Stars Academy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1f56359bf30bb6d51629a345226e3008ebfe73210551f6db9f5ce09f656ffdd6</t>
        </is>
      </c>
      <c r="BB36" s="24" t="inlineStr">
        <is>
          <t>neutral_elo</t>
        </is>
      </c>
      <c r="BC36" s="24" t="inlineStr">
        <is>
          <t>lol-neutral-series-elo-v1</t>
        </is>
      </c>
      <c r="BD36" s="24" t="inlineStr">
        <is>
          <t>1f56359bf30bb6d51629a345226e3008ebfe73210551f6db9f5ce09f656ffdd6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unknown</t>
        </is>
      </c>
      <c r="BH36" s="24" t="inlineStr">
        <is>
          <t>2026-07-20T16:18:24.995882Z</t>
        </is>
      </c>
      <c r="BI36" s="24" t="inlineStr">
        <is>
          <t>["same_event","same_team_same_day","same_league_same_day"]</t>
        </is>
      </c>
      <c r="BJ36" s="25" t="n"/>
      <c r="BK36" s="26" t="n">
        <v>144</v>
      </c>
      <c r="BL36" s="27" t="n">
        <v>2.44</v>
      </c>
      <c r="BM36" s="28" t="n">
        <v>0.409836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dc63682b755a4fc5</t>
        </is>
      </c>
      <c r="B37" s="24" t="inlineStr">
        <is>
          <t>2026-07-20T16:18:25.123725Z</t>
        </is>
      </c>
      <c r="C37" s="24" t="inlineStr">
        <is>
          <t>2026-07-20T21:00:00Z</t>
        </is>
      </c>
      <c r="D37" s="24" t="inlineStr">
        <is>
          <t>54670</t>
        </is>
      </c>
      <c r="E37" s="24" t="inlineStr">
        <is>
          <t>LOL</t>
        </is>
      </c>
      <c r="F37" s="24" t="inlineStr">
        <is>
          <t>INTZ e-Sports</t>
        </is>
      </c>
      <c r="G37" s="24" t="inlineStr">
        <is>
          <t>7REX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0.567918</v>
      </c>
      <c r="P37" s="28" t="n"/>
      <c r="Q37" s="28" t="n">
        <v>0.217918</v>
      </c>
      <c r="R37" s="26" t="n">
        <v>100</v>
      </c>
      <c r="S37" s="29" t="n">
        <v>1.25</v>
      </c>
      <c r="T37" s="24" t="inlineStr">
        <is>
          <t>lol-neutral-series-elo-v1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0.3500 (aec-lol-itz-7rex-2026-07-20).</t>
        </is>
      </c>
      <c r="AF37" s="31" t="inlineStr">
        <is>
          <t>Research baseline; zero-unit shadow until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INTZ e-Sports</t>
        </is>
      </c>
      <c r="AQ37" s="24" t="inlineStr">
        <is>
          <t>INTZ e-Sports</t>
        </is>
      </c>
      <c r="AR37" s="24" t="inlineStr">
        <is>
          <t>INTZ e-Sports</t>
        </is>
      </c>
      <c r="AS37" s="24" t="inlineStr">
        <is>
          <t>7REX</t>
        </is>
      </c>
      <c r="AT37" s="24" t="inlineStr">
        <is>
          <t>7REX</t>
        </is>
      </c>
      <c r="AU37" s="24" t="inlineStr">
        <is>
          <t>7REX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1f56359bf30bb6d51629a345226e3008ebfe73210551f6db9f5ce09f656ffdd6</t>
        </is>
      </c>
      <c r="BB37" s="24" t="inlineStr">
        <is>
          <t>neutral_elo</t>
        </is>
      </c>
      <c r="BC37" s="24" t="inlineStr">
        <is>
          <t>lol-neutral-series-elo-v1</t>
        </is>
      </c>
      <c r="BD37" s="24" t="inlineStr">
        <is>
          <t>1f56359bf30bb6d51629a345226e3008ebfe73210551f6db9f5ce09f656ffdd6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unknown</t>
        </is>
      </c>
      <c r="BH37" s="24" t="inlineStr">
        <is>
          <t>2026-07-20T16:18:25.123725Z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36b26e06b0c0460a</t>
        </is>
      </c>
      <c r="B38" s="24" t="inlineStr">
        <is>
          <t>2026-07-20T16:18:25.218065Z</t>
        </is>
      </c>
      <c r="C38" s="24" t="inlineStr">
        <is>
          <t>2026-07-20T22:00:00Z</t>
        </is>
      </c>
      <c r="D38" s="24" t="inlineStr">
        <is>
          <t>54693</t>
        </is>
      </c>
      <c r="E38" s="24" t="inlineStr">
        <is>
          <t>LOL</t>
        </is>
      </c>
      <c r="F38" s="24" t="inlineStr">
        <is>
          <t>Ei Nerd Esports</t>
        </is>
      </c>
      <c r="G38" s="24" t="inlineStr">
        <is>
          <t>RED Academy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300</v>
      </c>
      <c r="M38" s="27" t="n">
        <v>4</v>
      </c>
      <c r="N38" s="28" t="n">
        <v>0.25</v>
      </c>
      <c r="O38" s="28" t="n">
        <v>0.674654</v>
      </c>
      <c r="P38" s="28" t="n"/>
      <c r="Q38" s="28" t="n">
        <v>0.424654</v>
      </c>
      <c r="R38" s="26" t="n">
        <v>100</v>
      </c>
      <c r="S38" s="29" t="n">
        <v>2</v>
      </c>
      <c r="T38" s="24" t="inlineStr">
        <is>
          <t>lol-neutral-series-elo-v1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0.2500 (aec-lol-reda-nerd-2026-07-20).</t>
        </is>
      </c>
      <c r="AF38" s="31" t="inlineStr">
        <is>
          <t>Research baseline; zero-unit shadow until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Ei Nerd Esports</t>
        </is>
      </c>
      <c r="AQ38" s="24" t="inlineStr">
        <is>
          <t>Ei Nerd Esports</t>
        </is>
      </c>
      <c r="AR38" s="24" t="inlineStr">
        <is>
          <t>Ei Nerd Esports</t>
        </is>
      </c>
      <c r="AS38" s="24" t="inlineStr">
        <is>
          <t>RED Academy</t>
        </is>
      </c>
      <c r="AT38" s="24" t="inlineStr">
        <is>
          <t>RED Academy</t>
        </is>
      </c>
      <c r="AU38" s="24" t="inlineStr">
        <is>
          <t>RED Academy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1f56359bf30bb6d51629a345226e3008ebfe73210551f6db9f5ce09f656ffdd6</t>
        </is>
      </c>
      <c r="BB38" s="24" t="inlineStr">
        <is>
          <t>neutral_elo</t>
        </is>
      </c>
      <c r="BC38" s="24" t="inlineStr">
        <is>
          <t>lol-neutral-series-elo-v1</t>
        </is>
      </c>
      <c r="BD38" s="24" t="inlineStr">
        <is>
          <t>1f56359bf30bb6d51629a345226e3008ebfe73210551f6db9f5ce09f656ffdd6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unknown</t>
        </is>
      </c>
      <c r="BH38" s="24" t="inlineStr">
        <is>
          <t>2026-07-20T16:18:25.218065Z</t>
        </is>
      </c>
      <c r="BI38" s="24" t="inlineStr">
        <is>
          <t>["same_event","same_team_same_day","same_league_same_day"]</t>
        </is>
      </c>
      <c r="BJ38" s="25" t="n"/>
      <c r="BK38" s="26" t="n">
        <v>300</v>
      </c>
      <c r="BL38" s="27" t="n">
        <v>4</v>
      </c>
      <c r="BM38" s="28" t="n">
        <v>0.25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a72da5dc37704076</t>
        </is>
      </c>
      <c r="B39" s="24" t="inlineStr">
        <is>
          <t>2026-07-20T16:18:25.312075Z</t>
        </is>
      </c>
      <c r="C39" s="24" t="inlineStr">
        <is>
          <t>2026-07-21T00:00:00Z</t>
        </is>
      </c>
      <c r="D39" s="24" t="inlineStr">
        <is>
          <t>54745</t>
        </is>
      </c>
      <c r="E39" s="24" t="inlineStr">
        <is>
          <t>LOL</t>
        </is>
      </c>
      <c r="F39" s="24" t="inlineStr">
        <is>
          <t>Estral Esports</t>
        </is>
      </c>
      <c r="G39" s="24" t="inlineStr">
        <is>
          <t>paiN Gaming Academy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245</v>
      </c>
      <c r="M39" s="27" t="n">
        <v>3.45</v>
      </c>
      <c r="N39" s="28" t="n">
        <v>0.289855</v>
      </c>
      <c r="O39" s="28" t="n">
        <v>0.586418</v>
      </c>
      <c r="P39" s="28" t="n"/>
      <c r="Q39" s="28" t="n">
        <v>0.296418</v>
      </c>
      <c r="R39" s="26" t="n">
        <v>100</v>
      </c>
      <c r="S39" s="29" t="n">
        <v>1.25</v>
      </c>
      <c r="T39" s="24" t="inlineStr">
        <is>
          <t>lol-neutral-series-elo-v1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0.2900 (aec-lol-est-pnga-2026-07-21).</t>
        </is>
      </c>
      <c r="AF39" s="31" t="inlineStr">
        <is>
          <t>Research baseline; zero-unit shadow until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Estral Esports</t>
        </is>
      </c>
      <c r="AQ39" s="24" t="inlineStr">
        <is>
          <t>Estral Esports</t>
        </is>
      </c>
      <c r="AR39" s="24" t="inlineStr">
        <is>
          <t>Estral Esports</t>
        </is>
      </c>
      <c r="AS39" s="24" t="inlineStr">
        <is>
          <t>paiN Gaming Academy</t>
        </is>
      </c>
      <c r="AT39" s="24" t="inlineStr">
        <is>
          <t>paiN Gaming Academy</t>
        </is>
      </c>
      <c r="AU39" s="24" t="inlineStr">
        <is>
          <t>paiN Gaming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1f56359bf30bb6d51629a345226e3008ebfe73210551f6db9f5ce09f656ffdd6</t>
        </is>
      </c>
      <c r="BB39" s="24" t="inlineStr">
        <is>
          <t>neutral_elo</t>
        </is>
      </c>
      <c r="BC39" s="24" t="inlineStr">
        <is>
          <t>lol-neutral-series-elo-v1</t>
        </is>
      </c>
      <c r="BD39" s="24" t="inlineStr">
        <is>
          <t>1f56359bf30bb6d51629a345226e3008ebfe73210551f6db9f5ce09f656ffdd6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unknown</t>
        </is>
      </c>
      <c r="BH39" s="24" t="inlineStr">
        <is>
          <t>2026-07-20T16:18:25.312075Z</t>
        </is>
      </c>
      <c r="BI39" s="24" t="inlineStr">
        <is>
          <t>["same_event","same_team_same_day","same_league_same_day"]</t>
        </is>
      </c>
      <c r="BJ39" s="25" t="n"/>
      <c r="BK39" s="26" t="n">
        <v>245</v>
      </c>
      <c r="BL39" s="27" t="n">
        <v>3.45</v>
      </c>
      <c r="BM39" s="28" t="n">
        <v>0.289855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66a67a653fb14bd2</t>
        </is>
      </c>
      <c r="B40" s="24" t="inlineStr">
        <is>
          <t>2026-07-20T16:26:22.811500Z</t>
        </is>
      </c>
      <c r="C40" s="24" t="inlineStr">
        <is>
          <t>2026-07-20T17:00:00Z</t>
        </is>
      </c>
      <c r="D40" s="24" t="inlineStr">
        <is>
          <t>56113</t>
        </is>
      </c>
      <c r="E40" s="24" t="inlineStr">
        <is>
          <t>CS2</t>
        </is>
      </c>
      <c r="F40" s="24" t="inlineStr">
        <is>
          <t>Inner Circle Academy</t>
        </is>
      </c>
      <c r="G40" s="24" t="inlineStr">
        <is>
          <t>Endless Journey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0.652434</v>
      </c>
      <c r="P40" s="28" t="n"/>
      <c r="Q40" s="28" t="n">
        <v>0.122434</v>
      </c>
      <c r="R40" s="26" t="n">
        <v>100</v>
      </c>
      <c r="S40" s="29" t="n">
        <v>2</v>
      </c>
      <c r="T40" s="24" t="inlineStr">
        <is>
          <t>cs2-neutral-series-elo-v1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0.5300 (aec-cs2-ica-ej-2026-07-20).</t>
        </is>
      </c>
      <c r="AF40" s="31" t="inlineStr">
        <is>
          <t>Research baseline; zero-unit shadow until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Inner Circle Academy</t>
        </is>
      </c>
      <c r="AQ40" s="24" t="inlineStr">
        <is>
          <t>Inner Circle Academy</t>
        </is>
      </c>
      <c r="AR40" s="24" t="inlineStr">
        <is>
          <t>Inner Circle Academy</t>
        </is>
      </c>
      <c r="AS40" s="24" t="inlineStr">
        <is>
          <t>Endless Journey</t>
        </is>
      </c>
      <c r="AT40" s="24" t="inlineStr">
        <is>
          <t>Endless Journey</t>
        </is>
      </c>
      <c r="AU40" s="24" t="inlineStr">
        <is>
          <t>Endless Journey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40df7f7b9128e86cfbc485914f5801a00963b62604711b733b60f782ba9e258b</t>
        </is>
      </c>
      <c r="BB40" s="24" t="inlineStr">
        <is>
          <t>neutral_elo</t>
        </is>
      </c>
      <c r="BC40" s="24" t="inlineStr">
        <is>
          <t>cs2-neutral-series-elo-v1</t>
        </is>
      </c>
      <c r="BD40" s="24" t="inlineStr">
        <is>
          <t>40df7f7b9128e86cfbc485914f5801a00963b62604711b733b60f782ba9e258b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unknown</t>
        </is>
      </c>
      <c r="BH40" s="24" t="inlineStr">
        <is>
          <t>2026-07-20T16:26:22.811500Z</t>
        </is>
      </c>
      <c r="BI40" s="24" t="inlineStr">
        <is>
          <t>["same_event","same_team_same_day","same_league_same_day"]</t>
        </is>
      </c>
      <c r="BJ40" s="25" t="n"/>
      <c r="BK40" s="26" t="n">
        <v>-113</v>
      </c>
      <c r="BL40" s="27" t="n">
        <v>1.884956</v>
      </c>
      <c r="BM40" s="28" t="n">
        <v>0.530516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a75a7af91f614c77</t>
        </is>
      </c>
      <c r="B41" s="24" t="inlineStr">
        <is>
          <t>2026-07-20T16:26:22.946543Z</t>
        </is>
      </c>
      <c r="C41" s="24" t="inlineStr">
        <is>
          <t>2026-07-20T19:00:00Z</t>
        </is>
      </c>
      <c r="D41" s="24" t="inlineStr">
        <is>
          <t>56757</t>
        </is>
      </c>
      <c r="E41" s="24" t="inlineStr">
        <is>
          <t>CS2</t>
        </is>
      </c>
      <c r="F41" s="24" t="inlineStr">
        <is>
          <t>MAGICOS</t>
        </is>
      </c>
      <c r="G41" s="24" t="inlineStr">
        <is>
          <t>Blitzkrieg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669</v>
      </c>
      <c r="M41" s="27" t="n">
        <v>7.69</v>
      </c>
      <c r="N41" s="28" t="n">
        <v>0.130039</v>
      </c>
      <c r="O41" s="28" t="n">
        <v>0.598244</v>
      </c>
      <c r="P41" s="28" t="n"/>
      <c r="Q41" s="28" t="n">
        <v>0.468244</v>
      </c>
      <c r="R41" s="26" t="n">
        <v>100</v>
      </c>
      <c r="S41" s="29" t="n">
        <v>1.5</v>
      </c>
      <c r="T41" s="24" t="inlineStr">
        <is>
          <t>cs2-neutral-series-elo-v1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0.1300 (aec-cs2-mag-bk-2026-07-20).</t>
        </is>
      </c>
      <c r="AF41" s="31" t="inlineStr">
        <is>
          <t>Research baseline; zero-unit shadow until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MAGICOS</t>
        </is>
      </c>
      <c r="AQ41" s="24" t="inlineStr">
        <is>
          <t>MAGICOS</t>
        </is>
      </c>
      <c r="AR41" s="24" t="inlineStr">
        <is>
          <t>MAGICOS</t>
        </is>
      </c>
      <c r="AS41" s="24" t="inlineStr">
        <is>
          <t>Blitzkrieg</t>
        </is>
      </c>
      <c r="AT41" s="24" t="inlineStr">
        <is>
          <t>Blitzkrieg</t>
        </is>
      </c>
      <c r="AU41" s="24" t="inlineStr">
        <is>
          <t>Blitzkrieg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40df7f7b9128e86cfbc485914f5801a00963b62604711b733b60f782ba9e258b</t>
        </is>
      </c>
      <c r="BB41" s="24" t="inlineStr">
        <is>
          <t>neutral_elo</t>
        </is>
      </c>
      <c r="BC41" s="24" t="inlineStr">
        <is>
          <t>cs2-neutral-series-elo-v1</t>
        </is>
      </c>
      <c r="BD41" s="24" t="inlineStr">
        <is>
          <t>40df7f7b9128e86cfbc485914f5801a00963b62604711b733b60f782ba9e258b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unknown</t>
        </is>
      </c>
      <c r="BH41" s="24" t="inlineStr">
        <is>
          <t>2026-07-20T16:26:22.946543Z</t>
        </is>
      </c>
      <c r="BI41" s="24" t="inlineStr">
        <is>
          <t>["same_event","same_team_same_day","same_league_same_day"]</t>
        </is>
      </c>
      <c r="BJ41" s="25" t="n"/>
      <c r="BK41" s="26" t="n">
        <v>669</v>
      </c>
      <c r="BL41" s="27" t="n">
        <v>7.69</v>
      </c>
      <c r="BM41" s="28" t="n">
        <v>0.130039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8a3b3559571c4133</t>
        </is>
      </c>
      <c r="B42" s="24" t="inlineStr">
        <is>
          <t>2026-07-20T16:26:23.050406Z</t>
        </is>
      </c>
      <c r="C42" s="24" t="inlineStr">
        <is>
          <t>2026-07-20T19:00:00Z</t>
        </is>
      </c>
      <c r="D42" s="24" t="inlineStr">
        <is>
          <t>54667</t>
        </is>
      </c>
      <c r="E42" s="24" t="inlineStr">
        <is>
          <t>CS2</t>
        </is>
      </c>
      <c r="F42" s="24" t="inlineStr">
        <is>
          <t>paiN Academy</t>
        </is>
      </c>
      <c r="G42" s="24" t="inlineStr">
        <is>
          <t>HATERS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335</v>
      </c>
      <c r="M42" s="27" t="n">
        <v>4.35</v>
      </c>
      <c r="N42" s="28" t="n">
        <v>0.229885</v>
      </c>
      <c r="O42" s="28" t="n">
        <v>0.558097</v>
      </c>
      <c r="P42" s="28" t="n"/>
      <c r="Q42" s="28" t="n">
        <v>0.328097</v>
      </c>
      <c r="R42" s="26" t="n">
        <v>100</v>
      </c>
      <c r="S42" s="29" t="n">
        <v>1</v>
      </c>
      <c r="T42" s="24" t="inlineStr">
        <is>
          <t>cs2-neutral-series-elo-v1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0.2300 (aec-cs2-hat-paina-2026-07-20).</t>
        </is>
      </c>
      <c r="AF42" s="31" t="inlineStr">
        <is>
          <t>Research baseline; zero-unit shadow until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paiN Academy</t>
        </is>
      </c>
      <c r="AQ42" s="24" t="inlineStr">
        <is>
          <t>paiN Academy</t>
        </is>
      </c>
      <c r="AR42" s="24" t="inlineStr">
        <is>
          <t>paiN Academy</t>
        </is>
      </c>
      <c r="AS42" s="24" t="inlineStr">
        <is>
          <t>HATERS</t>
        </is>
      </c>
      <c r="AT42" s="24" t="inlineStr">
        <is>
          <t>HATERS</t>
        </is>
      </c>
      <c r="AU42" s="24" t="inlineStr">
        <is>
          <t>HATERS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40df7f7b9128e86cfbc485914f5801a00963b62604711b733b60f782ba9e258b</t>
        </is>
      </c>
      <c r="BB42" s="24" t="inlineStr">
        <is>
          <t>neutral_elo</t>
        </is>
      </c>
      <c r="BC42" s="24" t="inlineStr">
        <is>
          <t>cs2-neutral-series-elo-v1</t>
        </is>
      </c>
      <c r="BD42" s="24" t="inlineStr">
        <is>
          <t>40df7f7b9128e86cfbc485914f5801a00963b62604711b733b60f782ba9e258b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unknown</t>
        </is>
      </c>
      <c r="BH42" s="24" t="inlineStr">
        <is>
          <t>2026-07-20T16:26:23.050406Z</t>
        </is>
      </c>
      <c r="BI42" s="24" t="inlineStr">
        <is>
          <t>["same_event","same_team_same_day","same_league_same_day"]</t>
        </is>
      </c>
      <c r="BJ42" s="25" t="n"/>
      <c r="BK42" s="26" t="n">
        <v>335</v>
      </c>
      <c r="BL42" s="27" t="n">
        <v>4.35</v>
      </c>
      <c r="BM42" s="28" t="n">
        <v>0.229885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5417c8a3e89a4c9f</t>
        </is>
      </c>
      <c r="B43" s="24" t="inlineStr">
        <is>
          <t>2026-07-20T16:26:23.154839Z</t>
        </is>
      </c>
      <c r="C43" s="24" t="inlineStr">
        <is>
          <t>2026-07-20T21:00:00Z</t>
        </is>
      </c>
      <c r="D43" s="24" t="inlineStr">
        <is>
          <t>54672</t>
        </is>
      </c>
      <c r="E43" s="24" t="inlineStr">
        <is>
          <t>CS2</t>
        </is>
      </c>
      <c r="F43" s="24" t="inlineStr">
        <is>
          <t>METANOIA WOLVES</t>
        </is>
      </c>
      <c r="G43" s="24" t="inlineStr">
        <is>
          <t>RED Canids Academy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0.885084</v>
      </c>
      <c r="P43" s="28" t="n"/>
      <c r="Q43" s="28" t="n">
        <v>0.295084</v>
      </c>
      <c r="R43" s="26" t="n">
        <v>100</v>
      </c>
      <c r="S43" s="29" t="n">
        <v>2</v>
      </c>
      <c r="T43" s="24" t="inlineStr">
        <is>
          <t>cs2-neutral-series-elo-v1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0.5900 (aec-cs2-reda-mw-2026-07-20).</t>
        </is>
      </c>
      <c r="AF43" s="31" t="inlineStr">
        <is>
          <t>Research baseline; zero-unit shadow until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METANOIA WOLVES</t>
        </is>
      </c>
      <c r="AQ43" s="24" t="inlineStr">
        <is>
          <t>METANOIA WOLVES</t>
        </is>
      </c>
      <c r="AR43" s="24" t="inlineStr">
        <is>
          <t>METANOIA WOLVES</t>
        </is>
      </c>
      <c r="AS43" s="24" t="inlineStr">
        <is>
          <t>RED Canids Academy</t>
        </is>
      </c>
      <c r="AT43" s="24" t="inlineStr">
        <is>
          <t>RED Canids Academy</t>
        </is>
      </c>
      <c r="AU43" s="24" t="inlineStr">
        <is>
          <t>RED Canids Academy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40df7f7b9128e86cfbc485914f5801a00963b62604711b733b60f782ba9e258b</t>
        </is>
      </c>
      <c r="BB43" s="24" t="inlineStr">
        <is>
          <t>neutral_elo</t>
        </is>
      </c>
      <c r="BC43" s="24" t="inlineStr">
        <is>
          <t>cs2-neutral-series-elo-v1</t>
        </is>
      </c>
      <c r="BD43" s="24" t="inlineStr">
        <is>
          <t>40df7f7b9128e86cfbc485914f5801a00963b62604711b733b60f782ba9e258b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unknown</t>
        </is>
      </c>
      <c r="BH43" s="24" t="inlineStr">
        <is>
          <t>2026-07-20T16:26:23.154839Z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2026-07-20T16:26:23Z</dcterms:created>
  <dcterms:modified xsi:type="dcterms:W3CDTF">2026-07-20T16:26:23Z</dcterms:modified>
</cp:coreProperties>
</file>