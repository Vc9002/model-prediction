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10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  <font>
      <b val="1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0" fontId="9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COUNTA('Picks'!$A$2:$A$351)</f>
        <v/>
      </c>
      <c r="C4" s="6">
        <f>COUNTIF('Picks'!$U$2:$U$351,"open")</f>
        <v/>
      </c>
      <c r="E4" s="6">
        <f>COUNTIF('Picks'!$U$2:$U$351,"settled")</f>
        <v/>
      </c>
      <c r="G4" s="6">
        <f>IF(COUNTIFS('Picks'!$U$2:$U$351,"settled",'Picks'!$V$2:$V$351,"win")+COUNTIFS('Picks'!$U$2:$U$351,"settled",'Picks'!$V$2:$V$351,"loss")&gt;=$L$2,"Ready","Insufficient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COUNTIF('Picks'!$BX$2:$BX$351,"&gt;0")</f>
        <v/>
      </c>
      <c r="C7" s="6">
        <f>COUNTIFS('Picks'!$BX$2:$BX$351,"&gt;0",'Picks'!$V$2:$V$351,"win")&amp;"-"&amp;COUNTIFS('Picks'!$BX$2:$BX$351,"&gt;0",'Picks'!$V$2:$V$351,"loss")</f>
        <v/>
      </c>
      <c r="E7" s="32">
        <f>IFERROR(COUNTIFS('Picks'!$BX$2:$BX$351,"&gt;0",'Picks'!$V$2:$V$351,"win")/(COUNTIFS('Picks'!$BX$2:$BX$351,"&gt;0",'Picks'!$V$2:$V$351,"win")+COUNTIFS('Picks'!$BX$2:$BX$351,"&gt;0",'Picks'!$V$2:$V$351,"loss")),0)</f>
        <v/>
      </c>
      <c r="G7" s="32">
        <f>IFERROR(SUM('Picks'!$BY$2:$BY$351)/SUM('Picks'!$BX$2:$BX$351),0)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SUM('Picks'!$BY$2:$BY$351)</f>
        <v/>
      </c>
      <c r="C10" s="9">
        <f>IFERROR(AVERAGEIF('Picks'!$AB$2:$AB$351,"&lt;&gt;",'Picks'!$AB$2:$AB$351),0)</f>
        <v/>
      </c>
      <c r="E10" s="6">
        <f>COUNTIFS('Picks'!$AM$2:$AM$351,"QUALIFIED_SHADOW_CALL",'Picks'!$U$2:$U$351,"settled")</f>
        <v/>
      </c>
      <c r="G10" s="33">
        <f>SUMIFS('Picks'!$AC$2:$AC$351,'Picks'!$AM$2:$AM$351,"QUALIFIED_SHADOW_CALL")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COUNTIFS('Picks'!$H$2:$H$351,$A14,'Picks'!$U$2:$U$351,"settled")</f>
        <v/>
      </c>
      <c r="C14" s="13">
        <f>COUNTIFS('Picks'!$H$2:$H$351,$A14,'Picks'!$U$2:$U$351,"settled",'Picks'!$V$2:$V$351,"win")</f>
        <v/>
      </c>
      <c r="D14" s="13">
        <f>COUNTIFS('Picks'!$H$2:$H$351,$A14,'Picks'!$U$2:$U$351,"settled",'Picks'!$V$2:$V$351,"loss")</f>
        <v/>
      </c>
      <c r="E14" s="34">
        <f>IFERROR(C14/(C14+D14),0)</f>
        <v/>
      </c>
      <c r="F14" s="35">
        <f>SUMIFS('Picks'!$BY$2:$BY$351,'Picks'!$H$2:$H$351,$A14)</f>
        <v/>
      </c>
      <c r="G14" s="16">
        <f>IFERROR(AVERAGEIFS('Picks'!$AB$2:$AB$351,'Picks'!$H$2:$H$351,$A14,'Picks'!$U$2:$U$351,"settled"),0)</f>
        <v/>
      </c>
    </row>
    <row r="15">
      <c r="A15" s="17" t="inlineStr">
        <is>
          <t>spread</t>
        </is>
      </c>
      <c r="B15" s="18">
        <f>COUNTIFS('Picks'!$H$2:$H$351,$A15,'Picks'!$U$2:$U$351,"settled")</f>
        <v/>
      </c>
      <c r="C15" s="18">
        <f>COUNTIFS('Picks'!$H$2:$H$351,$A15,'Picks'!$U$2:$U$351,"settled",'Picks'!$V$2:$V$351,"win")</f>
        <v/>
      </c>
      <c r="D15" s="18">
        <f>COUNTIFS('Picks'!$H$2:$H$351,$A15,'Picks'!$U$2:$U$351,"settled",'Picks'!$V$2:$V$351,"loss")</f>
        <v/>
      </c>
      <c r="E15" s="36">
        <f>IFERROR(C15/(C15+D15),0)</f>
        <v/>
      </c>
      <c r="F15" s="37">
        <f>SUMIFS('Picks'!$BY$2:$BY$351,'Picks'!$H$2:$H$351,$A15)</f>
        <v/>
      </c>
      <c r="G15" s="21">
        <f>IFERROR(AVERAGEIFS('Picks'!$AB$2:$AB$351,'Picks'!$H$2:$H$351,$A15,'Picks'!$U$2:$U$351,"settled"),0)</f>
        <v/>
      </c>
    </row>
    <row r="16">
      <c r="A16" s="12" t="inlineStr">
        <is>
          <t>total</t>
        </is>
      </c>
      <c r="B16" s="13">
        <f>COUNTIFS('Picks'!$H$2:$H$351,$A16,'Picks'!$U$2:$U$351,"settled")</f>
        <v/>
      </c>
      <c r="C16" s="13">
        <f>COUNTIFS('Picks'!$H$2:$H$351,$A16,'Picks'!$U$2:$U$351,"settled",'Picks'!$V$2:$V$351,"win")</f>
        <v/>
      </c>
      <c r="D16" s="13">
        <f>COUNTIFS('Picks'!$H$2:$H$351,$A16,'Picks'!$U$2:$U$351,"settled",'Picks'!$V$2:$V$351,"loss")</f>
        <v/>
      </c>
      <c r="E16" s="34">
        <f>IFERROR(C16/(C16+D16),0)</f>
        <v/>
      </c>
      <c r="F16" s="35">
        <f>SUMIFS('Picks'!$BY$2:$BY$351,'Picks'!$H$2:$H$351,$A16)</f>
        <v/>
      </c>
      <c r="G16" s="16">
        <f>IFERROR(AVERAGEIFS('Picks'!$AB$2:$AB$351,'Picks'!$H$2:$H$351,$A16,'Picks'!$U$2:$U$351,"settled"),0)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Q104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pick_id</t>
        </is>
      </c>
      <c r="B1" s="38" t="inlineStr">
        <is>
          <t>created_at_utc</t>
        </is>
      </c>
      <c r="C1" s="38" t="inlineStr">
        <is>
          <t>event_start_utc</t>
        </is>
      </c>
      <c r="D1" s="38" t="inlineStr">
        <is>
          <t>event_id</t>
        </is>
      </c>
      <c r="E1" s="38" t="inlineStr">
        <is>
          <t>league</t>
        </is>
      </c>
      <c r="F1" s="38" t="inlineStr">
        <is>
          <t>away_team</t>
        </is>
      </c>
      <c r="G1" s="38" t="inlineStr">
        <is>
          <t>home_team</t>
        </is>
      </c>
      <c r="H1" s="38" t="inlineStr">
        <is>
          <t>market_type</t>
        </is>
      </c>
      <c r="I1" s="38" t="inlineStr">
        <is>
          <t>selection</t>
        </is>
      </c>
      <c r="J1" s="38" t="inlineStr">
        <is>
          <t>line</t>
        </is>
      </c>
      <c r="K1" s="38" t="inlineStr">
        <is>
          <t>sportsbook</t>
        </is>
      </c>
      <c r="L1" s="38" t="inlineStr">
        <is>
          <t>american_odds</t>
        </is>
      </c>
      <c r="M1" s="38" t="inlineStr">
        <is>
          <t>decimal_odds</t>
        </is>
      </c>
      <c r="N1" s="38" t="inlineStr">
        <is>
          <t>market_implied_probability</t>
        </is>
      </c>
      <c r="O1" s="38" t="inlineStr">
        <is>
          <t>model_probability</t>
        </is>
      </c>
      <c r="P1" s="38" t="inlineStr">
        <is>
          <t>model_uncertainty</t>
        </is>
      </c>
      <c r="Q1" s="38" t="inlineStr">
        <is>
          <t>edge</t>
        </is>
      </c>
      <c r="R1" s="38" t="inlineStr">
        <is>
          <t>confidence_score</t>
        </is>
      </c>
      <c r="S1" s="38" t="inlineStr">
        <is>
          <t>units</t>
        </is>
      </c>
      <c r="T1" s="38" t="inlineStr">
        <is>
          <t>model_version</t>
        </is>
      </c>
      <c r="U1" s="38" t="inlineStr">
        <is>
          <t>status</t>
        </is>
      </c>
      <c r="V1" s="38" t="inlineStr">
        <is>
          <t>result</t>
        </is>
      </c>
      <c r="W1" s="38" t="inlineStr">
        <is>
          <t>away_score</t>
        </is>
      </c>
      <c r="X1" s="38" t="inlineStr">
        <is>
          <t>home_score</t>
        </is>
      </c>
      <c r="Y1" s="38" t="inlineStr">
        <is>
          <t>closing_line</t>
        </is>
      </c>
      <c r="Z1" s="38" t="inlineStr">
        <is>
          <t>closing_american_odds</t>
        </is>
      </c>
      <c r="AA1" s="38" t="inlineStr">
        <is>
          <t>closing_implied_probability</t>
        </is>
      </c>
      <c r="AB1" s="38" t="inlineStr">
        <is>
          <t>probability_clv</t>
        </is>
      </c>
      <c r="AC1" s="38" t="inlineStr">
        <is>
          <t>pnl_units</t>
        </is>
      </c>
      <c r="AD1" s="38" t="inlineStr">
        <is>
          <t>settled_at_utc</t>
        </is>
      </c>
      <c r="AE1" s="38" t="inlineStr">
        <is>
          <t>rationale</t>
        </is>
      </c>
      <c r="AF1" s="38" t="inlineStr">
        <is>
          <t>risks</t>
        </is>
      </c>
      <c r="AG1" s="38" t="inlineStr">
        <is>
          <t>review_status</t>
        </is>
      </c>
      <c r="AH1" s="38" t="inlineStr">
        <is>
          <t>loss_classification</t>
        </is>
      </c>
      <c r="AI1" s="38" t="inlineStr">
        <is>
          <t>loss_cause</t>
        </is>
      </c>
      <c r="AJ1" s="38" t="inlineStr">
        <is>
          <t>corrective_action</t>
        </is>
      </c>
      <c r="AK1" s="38" t="inlineStr">
        <is>
          <t>call_type</t>
        </is>
      </c>
      <c r="AL1" s="38" t="inlineStr">
        <is>
          <t>ledger_schema_version</t>
        </is>
      </c>
      <c r="AM1" s="38" t="inlineStr">
        <is>
          <t>record_type</t>
        </is>
      </c>
      <c r="AN1" s="38" t="inlineStr">
        <is>
          <t>decision</t>
        </is>
      </c>
      <c r="AO1" s="38" t="inlineStr">
        <is>
          <t>reason_code</t>
        </is>
      </c>
      <c r="AP1" s="38" t="inlineStr">
        <is>
          <t>canonical_away_team_id</t>
        </is>
      </c>
      <c r="AQ1" s="38" t="inlineStr">
        <is>
          <t>canonical_away_team_name</t>
        </is>
      </c>
      <c r="AR1" s="38" t="inlineStr">
        <is>
          <t>original_away_team</t>
        </is>
      </c>
      <c r="AS1" s="38" t="inlineStr">
        <is>
          <t>canonical_home_team_id</t>
        </is>
      </c>
      <c r="AT1" s="38" t="inlineStr">
        <is>
          <t>canonical_home_team_name</t>
        </is>
      </c>
      <c r="AU1" s="38" t="inlineStr">
        <is>
          <t>original_home_team</t>
        </is>
      </c>
      <c r="AV1" s="38" t="inlineStr">
        <is>
          <t>banned_team_id</t>
        </is>
      </c>
      <c r="AW1" s="38" t="inlineStr">
        <is>
          <t>banned_team_name</t>
        </is>
      </c>
      <c r="AX1" s="38" t="inlineStr">
        <is>
          <t>model_origin</t>
        </is>
      </c>
      <c r="AY1" s="38" t="inlineStr">
        <is>
          <t>baseline_identifier</t>
        </is>
      </c>
      <c r="AZ1" s="38" t="inlineStr">
        <is>
          <t>model_state_at_decision</t>
        </is>
      </c>
      <c r="BA1" s="38" t="inlineStr">
        <is>
          <t>model_artifact_hash</t>
        </is>
      </c>
      <c r="BB1" s="38" t="inlineStr">
        <is>
          <t>calibration_method</t>
        </is>
      </c>
      <c r="BC1" s="38" t="inlineStr">
        <is>
          <t>calibration_version</t>
        </is>
      </c>
      <c r="BD1" s="38" t="inlineStr">
        <is>
          <t>calibration_artifact_hash</t>
        </is>
      </c>
      <c r="BE1" s="38" t="inlineStr">
        <is>
          <t>feature_schema_version</t>
        </is>
      </c>
      <c r="BF1" s="38" t="inlineStr">
        <is>
          <t>entity_map_version</t>
        </is>
      </c>
      <c r="BG1" s="38" t="inlineStr">
        <is>
          <t>code_revision</t>
        </is>
      </c>
      <c r="BH1" s="38" t="inlineStr">
        <is>
          <t>observed_at_utc</t>
        </is>
      </c>
      <c r="BI1" s="38" t="inlineStr">
        <is>
          <t>correlation_tags</t>
        </is>
      </c>
      <c r="BJ1" s="38" t="inlineStr">
        <is>
          <t>decision_line</t>
        </is>
      </c>
      <c r="BK1" s="38" t="inlineStr">
        <is>
          <t>decision_american_odds</t>
        </is>
      </c>
      <c r="BL1" s="38" t="inlineStr">
        <is>
          <t>decision_decimal_odds</t>
        </is>
      </c>
      <c r="BM1" s="38" t="inlineStr">
        <is>
          <t>decision_raw_implied_probability</t>
        </is>
      </c>
      <c r="BN1" s="38" t="inlineStr">
        <is>
          <t>decision_no_vig_probability</t>
        </is>
      </c>
      <c r="BO1" s="38" t="inlineStr">
        <is>
          <t>decision_consensus_probability</t>
        </is>
      </c>
      <c r="BP1" s="38" t="inlineStr">
        <is>
          <t>decision_consensus_line</t>
        </is>
      </c>
      <c r="BQ1" s="38" t="inlineStr">
        <is>
          <t>closing_decimal_odds</t>
        </is>
      </c>
      <c r="BR1" s="38" t="inlineStr">
        <is>
          <t>closing_raw_implied_probability</t>
        </is>
      </c>
      <c r="BS1" s="38" t="inlineStr">
        <is>
          <t>closing_no_vig_probability</t>
        </is>
      </c>
      <c r="BT1" s="38" t="inlineStr">
        <is>
          <t>closing_consensus_probability</t>
        </is>
      </c>
      <c r="BU1" s="38" t="inlineStr">
        <is>
          <t>closing_consensus_line</t>
        </is>
      </c>
      <c r="BV1" s="38" t="inlineStr">
        <is>
          <t>legacy_units</t>
        </is>
      </c>
      <c r="BW1" s="38" t="inlineStr">
        <is>
          <t>void_reason</t>
        </is>
      </c>
      <c r="BX1" s="38" t="inlineStr">
        <is>
          <t>research_score_units</t>
        </is>
      </c>
      <c r="BY1" s="38" t="inlineStr">
        <is>
          <t>research_pnl_units</t>
        </is>
      </c>
      <c r="BZ1" s="38" t="inlineStr">
        <is>
          <t>research_scored_at_utc</t>
        </is>
      </c>
      <c r="CA1" s="38" t="inlineStr">
        <is>
          <t>research_scoring_note</t>
        </is>
      </c>
      <c r="CB1" s="38" t="inlineStr">
        <is>
          <t>migrated_from_version</t>
        </is>
      </c>
      <c r="CC1" s="38" t="inlineStr">
        <is>
          <t>elo_probability</t>
        </is>
      </c>
      <c r="CD1" s="38" t="inlineStr">
        <is>
          <t>trend_gap</t>
        </is>
      </c>
      <c r="CE1" s="38" t="inlineStr">
        <is>
          <t>park_factor</t>
        </is>
      </c>
      <c r="CF1" s="38" t="inlineStr">
        <is>
          <t>weather_factor</t>
        </is>
      </c>
      <c r="CG1" s="38" t="inlineStr">
        <is>
          <t>pitcher_era_gap</t>
        </is>
      </c>
      <c r="CH1" s="38" t="inlineStr">
        <is>
          <t>probable_starter_era_gap</t>
        </is>
      </c>
      <c r="CI1" s="38" t="inlineStr">
        <is>
          <t>unavailable_features</t>
        </is>
      </c>
      <c r="CJ1" s="38" t="inlineStr">
        <is>
          <t>defensive_trend_gap</t>
        </is>
      </c>
      <c r="CK1" s="38" t="inlineStr">
        <is>
          <t>neutral_elo_rating_difference</t>
        </is>
      </c>
      <c r="CL1" s="38" t="inlineStr">
        <is>
          <t>rest_disparity</t>
        </is>
      </c>
      <c r="CM1" s="38" t="inlineStr">
        <is>
          <t>back_to_back_gap</t>
        </is>
      </c>
      <c r="CN1" s="38" t="inlineStr">
        <is>
          <t>games_last_7_gap</t>
        </is>
      </c>
      <c r="CO1" s="38" t="inlineStr">
        <is>
          <t>schedule_missingness</t>
        </is>
      </c>
      <c r="CP1" s="38" t="inlineStr">
        <is>
          <t>market_residual_probability</t>
        </is>
      </c>
      <c r="CQ1" s="38" t="inlineStr">
        <is>
          <t>trade_candidate</t>
        </is>
      </c>
    </row>
    <row r="2">
      <c r="A2" t="inlineStr">
        <is>
          <t>4afbde32316849b6</t>
        </is>
      </c>
      <c r="B2" t="inlineStr">
        <is>
          <t>2026-07-29T17:43:50.913671Z</t>
        </is>
      </c>
      <c r="C2" t="inlineStr">
        <is>
          <t>2026-07-29T20:00:00-0400</t>
        </is>
      </c>
      <c r="D2" t="inlineStr">
        <is>
          <t>401857097</t>
        </is>
      </c>
      <c r="E2" t="inlineStr">
        <is>
          <t>WNBA</t>
        </is>
      </c>
      <c r="F2" t="inlineStr">
        <is>
          <t>Atlanta Dream</t>
        </is>
      </c>
      <c r="G2" t="inlineStr">
        <is>
          <t>Dallas Wings</t>
        </is>
      </c>
      <c r="H2" t="inlineStr">
        <is>
          <t>moneyline</t>
        </is>
      </c>
      <c r="I2" t="inlineStr">
        <is>
          <t>home</t>
        </is>
      </c>
      <c r="J2" t="inlineStr"/>
      <c r="K2" t="inlineStr">
        <is>
          <t>polymarket_us</t>
        </is>
      </c>
      <c r="L2" t="n">
        <v>108</v>
      </c>
      <c r="M2" t="n">
        <v>2.08</v>
      </c>
      <c r="N2" t="n">
        <v>0.480769</v>
      </c>
      <c r="O2" t="n">
        <v>0.66476</v>
      </c>
      <c r="P2" t="inlineStr"/>
      <c r="Q2" t="n">
        <v>0.183991</v>
      </c>
      <c r="R2" t="n">
        <v>100</v>
      </c>
      <c r="S2" t="n">
        <v>2</v>
      </c>
      <c r="T2" t="inlineStr">
        <is>
          <t>wnba-elo-trend-lr-v4</t>
        </is>
      </c>
      <c r="U2" t="inlineStr">
        <is>
          <t>settled</t>
        </is>
      </c>
      <c r="V2" t="inlineStr">
        <is>
          <t>loss</t>
        </is>
      </c>
      <c r="W2" t="n">
        <v>82</v>
      </c>
      <c r="X2" t="n">
        <v>81</v>
      </c>
      <c r="Y2" t="inlineStr"/>
      <c r="Z2" t="inlineStr"/>
      <c r="AA2" t="inlineStr"/>
      <c r="AB2" t="inlineStr"/>
      <c r="AC2" t="n">
        <v>-2</v>
      </c>
      <c r="AD2" t="inlineStr">
        <is>
          <t>2026-07-30T04:11:46.750577Z</t>
        </is>
      </c>
      <c r="AE2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t="inlineStr">
        <is>
          <t>Learned model; shadow-qualified via operator override.</t>
        </is>
      </c>
      <c r="AG2" t="inlineStr">
        <is>
          <t>review_required</t>
        </is>
      </c>
      <c r="AH2" t="inlineStr"/>
      <c r="AI2" t="inlineStr"/>
      <c r="AJ2" t="inlineStr"/>
      <c r="AK2" t="inlineStr">
        <is>
          <t>model_qualified</t>
        </is>
      </c>
      <c r="AL2" t="n">
        <v>3</v>
      </c>
      <c r="AM2" t="inlineStr">
        <is>
          <t>QUALIFIED_SHADOW_CALL</t>
        </is>
      </c>
      <c r="AN2" t="inlineStr">
        <is>
          <t>CALL</t>
        </is>
      </c>
      <c r="AO2" t="inlineStr">
        <is>
          <t>QUALIFIED</t>
        </is>
      </c>
      <c r="AP2" t="inlineStr">
        <is>
          <t>wnba-atl</t>
        </is>
      </c>
      <c r="AQ2" t="inlineStr">
        <is>
          <t>Atlanta Dream</t>
        </is>
      </c>
      <c r="AR2" t="inlineStr">
        <is>
          <t>Atlanta Dream</t>
        </is>
      </c>
      <c r="AS2" t="inlineStr">
        <is>
          <t>wnba-dal</t>
        </is>
      </c>
      <c r="AT2" t="inlineStr">
        <is>
          <t>Dallas Wings</t>
        </is>
      </c>
      <c r="AU2" t="inlineStr">
        <is>
          <t>Dallas Wings</t>
        </is>
      </c>
      <c r="AV2" t="inlineStr"/>
      <c r="AW2" t="inlineStr"/>
      <c r="AX2" t="inlineStr">
        <is>
          <t>statistical_model</t>
        </is>
      </c>
      <c r="AY2" t="inlineStr"/>
      <c r="AZ2" t="inlineStr">
        <is>
          <t>shadow_qualified</t>
        </is>
      </c>
      <c r="BA2" t="inlineStr">
        <is>
          <t>7afd5274214b58b7efd7f7febc7be3ab33b92351cda5cc6403c0a39faea0cc8c</t>
        </is>
      </c>
      <c r="BB2" t="inlineStr">
        <is>
          <t>learned_lr</t>
        </is>
      </c>
      <c r="BC2" t="inlineStr">
        <is>
          <t>wnba-elo-trend-lr-v4</t>
        </is>
      </c>
      <c r="BD2" t="inlineStr">
        <is>
          <t>7afd5274214b58b7efd7f7febc7be3ab33b92351cda5cc6403c0a39faea0cc8c</t>
        </is>
      </c>
      <c r="BE2" t="inlineStr">
        <is>
          <t>f25936b561e6d355</t>
        </is>
      </c>
      <c r="BF2" t="n">
        <v>1</v>
      </c>
      <c r="BG2" t="inlineStr">
        <is>
          <t>wnba-elo-trend-lr-v4</t>
        </is>
      </c>
      <c r="BH2" t="inlineStr">
        <is>
          <t>2026-07-29T17:43:12.551208Z</t>
        </is>
      </c>
      <c r="BI2" t="inlineStr">
        <is>
          <t>["same_event","same_team_same_day","same_league_same_day"]</t>
        </is>
      </c>
      <c r="BJ2" t="inlineStr"/>
      <c r="BK2" t="n">
        <v>108</v>
      </c>
      <c r="BL2" t="n">
        <v>2.08</v>
      </c>
      <c r="BM2" t="n">
        <v>0.480769</v>
      </c>
      <c r="BN2" t="n">
        <v>0.475248</v>
      </c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n">
        <v>0.7229749194</v>
      </c>
      <c r="CD2" t="n">
        <v>-2.425932</v>
      </c>
      <c r="CE2" t="inlineStr"/>
      <c r="CF2" t="inlineStr"/>
      <c r="CG2" t="inlineStr"/>
      <c r="CH2" t="inlineStr"/>
      <c r="CI2" t="inlineStr">
        <is>
          <t>wnba_availability_source_conflict</t>
        </is>
      </c>
      <c r="CJ2" t="inlineStr"/>
      <c r="CK2" t="inlineStr"/>
      <c r="CL2" t="inlineStr"/>
      <c r="CM2" t="inlineStr"/>
      <c r="CN2" t="inlineStr"/>
      <c r="CO2" t="inlineStr"/>
      <c r="CP2" t="inlineStr"/>
      <c r="CQ2" t="inlineStr"/>
    </row>
    <row r="3">
      <c r="A3" t="inlineStr">
        <is>
          <t>0591969d590f4c4c</t>
        </is>
      </c>
      <c r="B3" t="inlineStr">
        <is>
          <t>2026-07-29T17:43:50.913671Z</t>
        </is>
      </c>
      <c r="C3" t="inlineStr">
        <is>
          <t>2026-07-29T22:00:00-0400</t>
        </is>
      </c>
      <c r="D3" t="inlineStr">
        <is>
          <t>401857098</t>
        </is>
      </c>
      <c r="E3" t="inlineStr">
        <is>
          <t>WNBA</t>
        </is>
      </c>
      <c r="F3" t="inlineStr">
        <is>
          <t>Golden State Valkyries</t>
        </is>
      </c>
      <c r="G3" t="inlineStr">
        <is>
          <t>Phoenix Mercury</t>
        </is>
      </c>
      <c r="H3" t="inlineStr">
        <is>
          <t>moneyline</t>
        </is>
      </c>
      <c r="I3" t="inlineStr">
        <is>
          <t>away</t>
        </is>
      </c>
      <c r="J3" t="inlineStr"/>
      <c r="K3" t="inlineStr">
        <is>
          <t>polymarket_us</t>
        </is>
      </c>
      <c r="L3" t="n">
        <v>-156</v>
      </c>
      <c r="M3" t="n">
        <v>1.641026</v>
      </c>
      <c r="N3" t="n">
        <v>0.609375</v>
      </c>
      <c r="O3" t="n">
        <v>0.7219989999999999</v>
      </c>
      <c r="P3" t="inlineStr"/>
      <c r="Q3" t="n">
        <v>0.112624</v>
      </c>
      <c r="R3" t="n">
        <v>79</v>
      </c>
      <c r="S3" t="n">
        <v>2</v>
      </c>
      <c r="T3" t="inlineStr">
        <is>
          <t>wnba-elo-trend-lr-v4</t>
        </is>
      </c>
      <c r="U3" t="inlineStr">
        <is>
          <t>settled</t>
        </is>
      </c>
      <c r="V3" t="inlineStr">
        <is>
          <t>loss</t>
        </is>
      </c>
      <c r="W3" t="n">
        <v>89</v>
      </c>
      <c r="X3" t="n">
        <v>91</v>
      </c>
      <c r="Y3" t="inlineStr"/>
      <c r="Z3" t="inlineStr"/>
      <c r="AA3" t="inlineStr"/>
      <c r="AB3" t="inlineStr"/>
      <c r="AC3" t="n">
        <v>-2</v>
      </c>
      <c r="AD3" t="inlineStr">
        <is>
          <t>2026-07-30T05:40:55.703565Z</t>
        </is>
      </c>
      <c r="AE3" t="inlineStr">
        <is>
          <t>Learned LR call at threshold 0.5001; executable ask 0.6100 (aec-wnba-gsv-phx-2026-07-29).</t>
        </is>
      </c>
      <c r="AF3" t="inlineStr">
        <is>
          <t>Learned model; shadow-qualified via operator override.</t>
        </is>
      </c>
      <c r="AG3" t="inlineStr">
        <is>
          <t>review_required</t>
        </is>
      </c>
      <c r="AH3" t="inlineStr"/>
      <c r="AI3" t="inlineStr"/>
      <c r="AJ3" t="inlineStr"/>
      <c r="AK3" t="inlineStr">
        <is>
          <t>model_qualified</t>
        </is>
      </c>
      <c r="AL3" t="n">
        <v>3</v>
      </c>
      <c r="AM3" t="inlineStr">
        <is>
          <t>QUALIFIED_SHADOW_CALL</t>
        </is>
      </c>
      <c r="AN3" t="inlineStr">
        <is>
          <t>CALL</t>
        </is>
      </c>
      <c r="AO3" t="inlineStr">
        <is>
          <t>QUALIFIED</t>
        </is>
      </c>
      <c r="AP3" t="inlineStr">
        <is>
          <t>wnba-gsv</t>
        </is>
      </c>
      <c r="AQ3" t="inlineStr">
        <is>
          <t>Golden State Valkyries</t>
        </is>
      </c>
      <c r="AR3" t="inlineStr">
        <is>
          <t>Golden State Valkyries</t>
        </is>
      </c>
      <c r="AS3" t="inlineStr">
        <is>
          <t>wnba-phx</t>
        </is>
      </c>
      <c r="AT3" t="inlineStr">
        <is>
          <t>Phoenix Mercury</t>
        </is>
      </c>
      <c r="AU3" t="inlineStr">
        <is>
          <t>Phoenix Mercury</t>
        </is>
      </c>
      <c r="AV3" t="inlineStr"/>
      <c r="AW3" t="inlineStr"/>
      <c r="AX3" t="inlineStr">
        <is>
          <t>statistical_model</t>
        </is>
      </c>
      <c r="AY3" t="inlineStr"/>
      <c r="AZ3" t="inlineStr">
        <is>
          <t>shadow_qualified</t>
        </is>
      </c>
      <c r="BA3" t="inlineStr">
        <is>
          <t>7afd5274214b58b7efd7f7febc7be3ab33b92351cda5cc6403c0a39faea0cc8c</t>
        </is>
      </c>
      <c r="BB3" t="inlineStr">
        <is>
          <t>learned_lr</t>
        </is>
      </c>
      <c r="BC3" t="inlineStr">
        <is>
          <t>wnba-elo-trend-lr-v4</t>
        </is>
      </c>
      <c r="BD3" t="inlineStr">
        <is>
          <t>7afd5274214b58b7efd7f7febc7be3ab33b92351cda5cc6403c0a39faea0cc8c</t>
        </is>
      </c>
      <c r="BE3" t="inlineStr">
        <is>
          <t>5ba5847b783e4237</t>
        </is>
      </c>
      <c r="BF3" t="n">
        <v>1</v>
      </c>
      <c r="BG3" t="inlineStr">
        <is>
          <t>wnba-elo-trend-lr-v4</t>
        </is>
      </c>
      <c r="BH3" t="inlineStr">
        <is>
          <t>2026-07-29T17:43:13.575889Z</t>
        </is>
      </c>
      <c r="BI3" t="inlineStr">
        <is>
          <t>["same_event","same_team_same_day","same_league_same_day"]</t>
        </is>
      </c>
      <c r="BJ3" t="inlineStr"/>
      <c r="BK3" t="n">
        <v>-156</v>
      </c>
      <c r="BL3" t="n">
        <v>1.641026</v>
      </c>
      <c r="BM3" t="n">
        <v>0.609375</v>
      </c>
      <c r="BN3" t="n">
        <v>0.6039600000000001</v>
      </c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n">
        <v>0.1902656067</v>
      </c>
      <c r="CD3" t="n">
        <v>-0.399848</v>
      </c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</row>
    <row r="4">
      <c r="A4" t="inlineStr">
        <is>
          <t>37906b81d00f4f9b</t>
        </is>
      </c>
      <c r="B4" t="inlineStr">
        <is>
          <t>2026-07-30T16:02:41.811013Z</t>
        </is>
      </c>
      <c r="C4" t="inlineStr">
        <is>
          <t>2026-07-30T12:10:00-0400</t>
        </is>
      </c>
      <c r="D4" t="inlineStr">
        <is>
          <t>401816324</t>
        </is>
      </c>
      <c r="E4" t="inlineStr">
        <is>
          <t>MLB</t>
        </is>
      </c>
      <c r="F4" t="inlineStr">
        <is>
          <t>Texas Rangers</t>
        </is>
      </c>
      <c r="G4" t="inlineStr">
        <is>
          <t>Tampa Bay Rays</t>
        </is>
      </c>
      <c r="H4" t="inlineStr">
        <is>
          <t>moneyline</t>
        </is>
      </c>
      <c r="I4" t="inlineStr">
        <is>
          <t>home</t>
        </is>
      </c>
      <c r="J4" t="inlineStr"/>
      <c r="K4" t="inlineStr">
        <is>
          <t>polymarket_us</t>
        </is>
      </c>
      <c r="L4" t="n">
        <v>-160</v>
      </c>
      <c r="M4" t="n">
        <v>1.625</v>
      </c>
      <c r="N4" t="n">
        <v>0.615385</v>
      </c>
      <c r="O4" t="n">
        <v>0.560375</v>
      </c>
      <c r="P4" t="inlineStr"/>
      <c r="Q4" t="n">
        <v>-0.05501</v>
      </c>
      <c r="R4" t="n">
        <v>0</v>
      </c>
      <c r="S4" t="n">
        <v>1</v>
      </c>
      <c r="T4" t="inlineStr">
        <is>
          <t>mlb-elo-trend-lr-v7</t>
        </is>
      </c>
      <c r="U4" t="inlineStr">
        <is>
          <t>settled</t>
        </is>
      </c>
      <c r="V4" t="inlineStr">
        <is>
          <t>win</t>
        </is>
      </c>
      <c r="W4" t="n">
        <v>2</v>
      </c>
      <c r="X4" t="n">
        <v>3</v>
      </c>
      <c r="Y4" t="inlineStr"/>
      <c r="Z4" t="n">
        <v>-160</v>
      </c>
      <c r="AA4" t="n">
        <v>0.615</v>
      </c>
      <c r="AB4" t="n">
        <v>-0.000385</v>
      </c>
      <c r="AC4" t="n">
        <v>0.625</v>
      </c>
      <c r="AD4" t="inlineStr">
        <is>
          <t>2026-07-30T21:05:52.075136Z</t>
        </is>
      </c>
      <c r="AE4" t="inlineStr">
        <is>
          <t>Learned LR call at threshold 0.6242; executable ask 0.6150 (aec-mlb-tex-tb-2026-07-30); model edge vs ask -0.0546.</t>
        </is>
      </c>
      <c r="AF4" t="inlineStr">
        <is>
          <t>Learned model; shadow-qualified via operator override.</t>
        </is>
      </c>
      <c r="AG4" t="inlineStr">
        <is>
          <t>not_applicable</t>
        </is>
      </c>
      <c r="AH4" t="inlineStr"/>
      <c r="AI4" t="inlineStr"/>
      <c r="AJ4" t="inlineStr"/>
      <c r="AK4" t="inlineStr">
        <is>
          <t>model_qualified</t>
        </is>
      </c>
      <c r="AL4" t="n">
        <v>3</v>
      </c>
      <c r="AM4" t="inlineStr">
        <is>
          <t>QUALIFIED_SHADOW_CALL</t>
        </is>
      </c>
      <c r="AN4" t="inlineStr">
        <is>
          <t>CALL</t>
        </is>
      </c>
      <c r="AO4" t="inlineStr">
        <is>
          <t>QUALIFIED</t>
        </is>
      </c>
      <c r="AP4" t="inlineStr">
        <is>
          <t>mlb-tex</t>
        </is>
      </c>
      <c r="AQ4" t="inlineStr">
        <is>
          <t>Texas Rangers</t>
        </is>
      </c>
      <c r="AR4" t="inlineStr">
        <is>
          <t>Texas Rangers</t>
        </is>
      </c>
      <c r="AS4" t="inlineStr">
        <is>
          <t>mlb-tb</t>
        </is>
      </c>
      <c r="AT4" t="inlineStr">
        <is>
          <t>Tampa Bay Rays</t>
        </is>
      </c>
      <c r="AU4" t="inlineStr">
        <is>
          <t>Tampa Bay Rays</t>
        </is>
      </c>
      <c r="AV4" t="inlineStr"/>
      <c r="AW4" t="inlineStr"/>
      <c r="AX4" t="inlineStr">
        <is>
          <t>statistical_model</t>
        </is>
      </c>
      <c r="AY4" t="inlineStr"/>
      <c r="AZ4" t="inlineStr">
        <is>
          <t>shadow_qualified</t>
        </is>
      </c>
      <c r="BA4" t="inlineStr">
        <is>
          <t>464eef695bfbbdaa819ec6f5e4c5bd1068ed20b92915fb2677220ae91e20d8b6</t>
        </is>
      </c>
      <c r="BB4" t="inlineStr">
        <is>
          <t>learned_lr</t>
        </is>
      </c>
      <c r="BC4" t="inlineStr">
        <is>
          <t>mlb-elo-trend-lr-v7</t>
        </is>
      </c>
      <c r="BD4" t="inlineStr">
        <is>
          <t>464eef695bfbbdaa819ec6f5e4c5bd1068ed20b92915fb2677220ae91e20d8b6</t>
        </is>
      </c>
      <c r="BE4" t="inlineStr">
        <is>
          <t>2e5c467578e391cd</t>
        </is>
      </c>
      <c r="BF4" t="n">
        <v>1</v>
      </c>
      <c r="BG4" t="inlineStr">
        <is>
          <t>mlb-elo-trend-lr-v7</t>
        </is>
      </c>
      <c r="BH4" t="inlineStr">
        <is>
          <t>2026-07-30T16:01:48.107244Z</t>
        </is>
      </c>
      <c r="BI4" t="inlineStr">
        <is>
          <t>["same_event","same_team_same_day","same_league_same_day"]</t>
        </is>
      </c>
      <c r="BJ4" t="inlineStr"/>
      <c r="BK4" t="n">
        <v>-160</v>
      </c>
      <c r="BL4" t="n">
        <v>1.625</v>
      </c>
      <c r="BM4" t="n">
        <v>0.615385</v>
      </c>
      <c r="BN4" t="n">
        <v>0.61194</v>
      </c>
      <c r="BO4" t="inlineStr"/>
      <c r="BP4" t="inlineStr"/>
      <c r="BQ4" t="n">
        <v>1.625</v>
      </c>
      <c r="BR4" t="n">
        <v>0.615</v>
      </c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n">
        <v>0.5786000288000001</v>
      </c>
      <c r="CD4" t="n">
        <v>0.008586</v>
      </c>
      <c r="CE4" t="n">
        <v>0.965</v>
      </c>
      <c r="CF4" t="n">
        <v>1</v>
      </c>
      <c r="CG4" t="n">
        <v>-1.6</v>
      </c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</row>
    <row r="5">
      <c r="A5" t="inlineStr">
        <is>
          <t>02e98aee0daf4e0f</t>
        </is>
      </c>
      <c r="B5" t="inlineStr">
        <is>
          <t>2026-07-30T17:36:17.628396Z</t>
        </is>
      </c>
      <c r="C5" t="inlineStr">
        <is>
          <t>2026-07-30T13:40:00-0400</t>
        </is>
      </c>
      <c r="D5" t="inlineStr">
        <is>
          <t>401816327</t>
        </is>
      </c>
      <c r="E5" t="inlineStr">
        <is>
          <t>MLB</t>
        </is>
      </c>
      <c r="F5" t="inlineStr">
        <is>
          <t>Kansas City Royals</t>
        </is>
      </c>
      <c r="G5" t="inlineStr">
        <is>
          <t>Minnesota Twins</t>
        </is>
      </c>
      <c r="H5" t="inlineStr">
        <is>
          <t>moneyline</t>
        </is>
      </c>
      <c r="I5" t="inlineStr">
        <is>
          <t>home</t>
        </is>
      </c>
      <c r="J5" t="inlineStr"/>
      <c r="K5" t="inlineStr">
        <is>
          <t>polymarket_us</t>
        </is>
      </c>
      <c r="L5" t="n">
        <v>-127</v>
      </c>
      <c r="M5" t="n">
        <v>1.787402</v>
      </c>
      <c r="N5" t="n">
        <v>0.5594710000000001</v>
      </c>
      <c r="O5" t="n">
        <v>0.529687</v>
      </c>
      <c r="P5" t="inlineStr"/>
      <c r="Q5" t="n">
        <v>-0.029784</v>
      </c>
      <c r="R5" t="n">
        <v>6</v>
      </c>
      <c r="S5" t="n">
        <v>0.75</v>
      </c>
      <c r="T5" t="inlineStr">
        <is>
          <t>mlb-elo-trend-lr-v7</t>
        </is>
      </c>
      <c r="U5" t="inlineStr">
        <is>
          <t>settled</t>
        </is>
      </c>
      <c r="V5" t="inlineStr">
        <is>
          <t>win</t>
        </is>
      </c>
      <c r="W5" t="n">
        <v>3</v>
      </c>
      <c r="X5" t="n">
        <v>4</v>
      </c>
      <c r="Y5" t="inlineStr"/>
      <c r="Z5" t="n">
        <v>-127</v>
      </c>
      <c r="AA5" t="n">
        <v>0.5600000000000001</v>
      </c>
      <c r="AB5" t="n">
        <v>0.000529</v>
      </c>
      <c r="AC5" t="n">
        <v>0.5906</v>
      </c>
      <c r="AD5" t="inlineStr">
        <is>
          <t>2026-07-30T21:05:52.179286Z</t>
        </is>
      </c>
      <c r="AE5" t="inlineStr">
        <is>
          <t>Learned LR call at threshold 0.6242; executable ask 0.5600 (aec-mlb-kc-min-2026-07-30); model edge vs ask -0.0303.</t>
        </is>
      </c>
      <c r="AF5" t="inlineStr">
        <is>
          <t>Learned model; shadow-qualified via operator override.</t>
        </is>
      </c>
      <c r="AG5" t="inlineStr">
        <is>
          <t>not_applicable</t>
        </is>
      </c>
      <c r="AH5" t="inlineStr"/>
      <c r="AI5" t="inlineStr"/>
      <c r="AJ5" t="inlineStr"/>
      <c r="AK5" t="inlineStr">
        <is>
          <t>model_qualified</t>
        </is>
      </c>
      <c r="AL5" t="n">
        <v>3</v>
      </c>
      <c r="AM5" t="inlineStr">
        <is>
          <t>QUALIFIED_SHADOW_CALL</t>
        </is>
      </c>
      <c r="AN5" t="inlineStr">
        <is>
          <t>CALL</t>
        </is>
      </c>
      <c r="AO5" t="inlineStr">
        <is>
          <t>QUALIFIED</t>
        </is>
      </c>
      <c r="AP5" t="inlineStr">
        <is>
          <t>mlb-kc</t>
        </is>
      </c>
      <c r="AQ5" t="inlineStr">
        <is>
          <t>Kansas City Royals</t>
        </is>
      </c>
      <c r="AR5" t="inlineStr">
        <is>
          <t>Kansas City Royals</t>
        </is>
      </c>
      <c r="AS5" t="inlineStr">
        <is>
          <t>mlb-min</t>
        </is>
      </c>
      <c r="AT5" t="inlineStr">
        <is>
          <t>Minnesota Twins</t>
        </is>
      </c>
      <c r="AU5" t="inlineStr">
        <is>
          <t>Minnesota Twins</t>
        </is>
      </c>
      <c r="AV5" t="inlineStr"/>
      <c r="AW5" t="inlineStr"/>
      <c r="AX5" t="inlineStr">
        <is>
          <t>statistical_model</t>
        </is>
      </c>
      <c r="AY5" t="inlineStr"/>
      <c r="AZ5" t="inlineStr">
        <is>
          <t>shadow_qualified</t>
        </is>
      </c>
      <c r="BA5" t="inlineStr">
        <is>
          <t>464eef695bfbbdaa819ec6f5e4c5bd1068ed20b92915fb2677220ae91e20d8b6</t>
        </is>
      </c>
      <c r="BB5" t="inlineStr">
        <is>
          <t>learned_lr</t>
        </is>
      </c>
      <c r="BC5" t="inlineStr">
        <is>
          <t>mlb-elo-trend-lr-v7</t>
        </is>
      </c>
      <c r="BD5" t="inlineStr">
        <is>
          <t>464eef695bfbbdaa819ec6f5e4c5bd1068ed20b92915fb2677220ae91e20d8b6</t>
        </is>
      </c>
      <c r="BE5" t="inlineStr">
        <is>
          <t>00a066c80876c81d</t>
        </is>
      </c>
      <c r="BF5" t="n">
        <v>1</v>
      </c>
      <c r="BG5" t="inlineStr">
        <is>
          <t>mlb-elo-trend-lr-v7</t>
        </is>
      </c>
      <c r="BH5" t="inlineStr">
        <is>
          <t>2026-07-30T17:35:31.601278Z</t>
        </is>
      </c>
      <c r="BI5" t="inlineStr">
        <is>
          <t>["same_event","same_team_same_day","same_league_same_day"]</t>
        </is>
      </c>
      <c r="BJ5" t="inlineStr"/>
      <c r="BK5" t="n">
        <v>-127</v>
      </c>
      <c r="BL5" t="n">
        <v>1.787402</v>
      </c>
      <c r="BM5" t="n">
        <v>0.5594710000000001</v>
      </c>
      <c r="BN5" t="n">
        <v>0.557214</v>
      </c>
      <c r="BO5" t="inlineStr"/>
      <c r="BP5" t="inlineStr"/>
      <c r="BQ5" t="n">
        <v>1.787402</v>
      </c>
      <c r="BR5" t="n">
        <v>0.5600000000000001</v>
      </c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n">
        <v>0.5433979589</v>
      </c>
      <c r="CD5" t="n">
        <v>-0.186414</v>
      </c>
      <c r="CE5" t="n">
        <v>1.037</v>
      </c>
      <c r="CF5" t="n">
        <v>1.018</v>
      </c>
      <c r="CG5" t="n">
        <v>1.8</v>
      </c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</row>
    <row r="6">
      <c r="A6" t="inlineStr">
        <is>
          <t>25ae7962eef34068</t>
        </is>
      </c>
      <c r="B6" t="inlineStr">
        <is>
          <t>2026-07-30T17:36:17.628396Z</t>
        </is>
      </c>
      <c r="C6" t="inlineStr">
        <is>
          <t>2026-07-30T14:10:00-0400</t>
        </is>
      </c>
      <c r="D6" t="inlineStr">
        <is>
          <t>401816328</t>
        </is>
      </c>
      <c r="E6" t="inlineStr">
        <is>
          <t>MLB</t>
        </is>
      </c>
      <c r="F6" t="inlineStr">
        <is>
          <t>New York Yankees</t>
        </is>
      </c>
      <c r="G6" t="inlineStr">
        <is>
          <t>Chicago White Sox</t>
        </is>
      </c>
      <c r="H6" t="inlineStr">
        <is>
          <t>moneyline</t>
        </is>
      </c>
      <c r="I6" t="inlineStr">
        <is>
          <t>home</t>
        </is>
      </c>
      <c r="J6" t="inlineStr"/>
      <c r="K6" t="inlineStr">
        <is>
          <t>polymarket_us</t>
        </is>
      </c>
      <c r="L6" t="n">
        <v>-108</v>
      </c>
      <c r="M6" t="n">
        <v>1.925926</v>
      </c>
      <c r="N6" t="n">
        <v>0.519231</v>
      </c>
      <c r="O6" t="n">
        <v>0.507087</v>
      </c>
      <c r="P6" t="inlineStr"/>
      <c r="Q6" t="n">
        <v>-0.012144</v>
      </c>
      <c r="R6" t="n">
        <v>15</v>
      </c>
      <c r="S6" t="n">
        <v>0.5</v>
      </c>
      <c r="T6" t="inlineStr">
        <is>
          <t>mlb-elo-trend-lr-v7</t>
        </is>
      </c>
      <c r="U6" t="inlineStr">
        <is>
          <t>settled</t>
        </is>
      </c>
      <c r="V6" t="inlineStr">
        <is>
          <t>win</t>
        </is>
      </c>
      <c r="W6" t="n">
        <v>1</v>
      </c>
      <c r="X6" t="n">
        <v>2</v>
      </c>
      <c r="Y6" t="inlineStr"/>
      <c r="Z6" t="n">
        <v>-108</v>
      </c>
      <c r="AA6" t="n">
        <v>0.52</v>
      </c>
      <c r="AB6" t="n">
        <v>0.000769</v>
      </c>
      <c r="AC6" t="n">
        <v>0.463</v>
      </c>
      <c r="AD6" t="inlineStr">
        <is>
          <t>2026-07-31T00:54:57.207794Z</t>
        </is>
      </c>
      <c r="AE6" t="inlineStr">
        <is>
          <t>Learned LR call at threshold 0.6242; executable ask 0.5200 (aec-mlb-nyy-cws-2026-07-30); model edge vs ask -0.0129.</t>
        </is>
      </c>
      <c r="AF6" t="inlineStr">
        <is>
          <t>Learned model; shadow-qualified via operator override.</t>
        </is>
      </c>
      <c r="AG6" t="inlineStr">
        <is>
          <t>not_applicable</t>
        </is>
      </c>
      <c r="AH6" t="inlineStr"/>
      <c r="AI6" t="inlineStr"/>
      <c r="AJ6" t="inlineStr"/>
      <c r="AK6" t="inlineStr">
        <is>
          <t>model_qualified</t>
        </is>
      </c>
      <c r="AL6" t="n">
        <v>3</v>
      </c>
      <c r="AM6" t="inlineStr">
        <is>
          <t>QUALIFIED_SHADOW_CALL</t>
        </is>
      </c>
      <c r="AN6" t="inlineStr">
        <is>
          <t>CALL</t>
        </is>
      </c>
      <c r="AO6" t="inlineStr">
        <is>
          <t>QUALIFIED</t>
        </is>
      </c>
      <c r="AP6" t="inlineStr">
        <is>
          <t>mlb-nyy</t>
        </is>
      </c>
      <c r="AQ6" t="inlineStr">
        <is>
          <t>New York Yankees</t>
        </is>
      </c>
      <c r="AR6" t="inlineStr">
        <is>
          <t>New York Yankees</t>
        </is>
      </c>
      <c r="AS6" t="inlineStr">
        <is>
          <t>mlb-cws</t>
        </is>
      </c>
      <c r="AT6" t="inlineStr">
        <is>
          <t>Chicago White Sox</t>
        </is>
      </c>
      <c r="AU6" t="inlineStr">
        <is>
          <t>Chicago White Sox</t>
        </is>
      </c>
      <c r="AV6" t="inlineStr"/>
      <c r="AW6" t="inlineStr"/>
      <c r="AX6" t="inlineStr">
        <is>
          <t>statistical_model</t>
        </is>
      </c>
      <c r="AY6" t="inlineStr"/>
      <c r="AZ6" t="inlineStr">
        <is>
          <t>shadow_qualified</t>
        </is>
      </c>
      <c r="BA6" t="inlineStr">
        <is>
          <t>464eef695bfbbdaa819ec6f5e4c5bd1068ed20b92915fb2677220ae91e20d8b6</t>
        </is>
      </c>
      <c r="BB6" t="inlineStr">
        <is>
          <t>learned_lr</t>
        </is>
      </c>
      <c r="BC6" t="inlineStr">
        <is>
          <t>mlb-elo-trend-lr-v7</t>
        </is>
      </c>
      <c r="BD6" t="inlineStr">
        <is>
          <t>464eef695bfbbdaa819ec6f5e4c5bd1068ed20b92915fb2677220ae91e20d8b6</t>
        </is>
      </c>
      <c r="BE6" t="inlineStr">
        <is>
          <t>2ecf6de0bc0b4429</t>
        </is>
      </c>
      <c r="BF6" t="n">
        <v>1</v>
      </c>
      <c r="BG6" t="inlineStr">
        <is>
          <t>mlb-elo-trend-lr-v7</t>
        </is>
      </c>
      <c r="BH6" t="inlineStr">
        <is>
          <t>2026-07-30T17:35:32.550865Z</t>
        </is>
      </c>
      <c r="BI6" t="inlineStr">
        <is>
          <t>["same_event","same_team_same_day","same_league_same_day"]</t>
        </is>
      </c>
      <c r="BJ6" t="inlineStr"/>
      <c r="BK6" t="n">
        <v>-108</v>
      </c>
      <c r="BL6" t="n">
        <v>1.925926</v>
      </c>
      <c r="BM6" t="n">
        <v>0.519231</v>
      </c>
      <c r="BN6" t="n">
        <v>0.517413</v>
      </c>
      <c r="BO6" t="inlineStr"/>
      <c r="BP6" t="inlineStr"/>
      <c r="BQ6" t="n">
        <v>1.925926</v>
      </c>
      <c r="BR6" t="n">
        <v>0.52</v>
      </c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n">
        <v>0.4790915827</v>
      </c>
      <c r="CD6" t="n">
        <v>0.689899</v>
      </c>
      <c r="CE6" t="n">
        <v>0.9370000000000001</v>
      </c>
      <c r="CF6" t="n">
        <v>1.0009</v>
      </c>
      <c r="CG6" t="n">
        <v>1</v>
      </c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</row>
    <row r="7">
      <c r="A7" t="inlineStr">
        <is>
          <t>2e5f13579a20403a</t>
        </is>
      </c>
      <c r="B7" t="inlineStr">
        <is>
          <t>2026-07-30T17:36:17.628396Z</t>
        </is>
      </c>
      <c r="C7" t="inlineStr">
        <is>
          <t>2026-07-30T14:15:00-0400</t>
        </is>
      </c>
      <c r="D7" t="inlineStr">
        <is>
          <t>401816326</t>
        </is>
      </c>
      <c r="E7" t="inlineStr">
        <is>
          <t>MLB</t>
        </is>
      </c>
      <c r="F7" t="inlineStr">
        <is>
          <t>Chicago Cubs</t>
        </is>
      </c>
      <c r="G7" t="inlineStr">
        <is>
          <t>St. Louis Cardinals</t>
        </is>
      </c>
      <c r="H7" t="inlineStr">
        <is>
          <t>moneyline</t>
        </is>
      </c>
      <c r="I7" t="inlineStr">
        <is>
          <t>away</t>
        </is>
      </c>
      <c r="J7" t="inlineStr"/>
      <c r="K7" t="inlineStr">
        <is>
          <t>polymarket_us</t>
        </is>
      </c>
      <c r="L7" t="n">
        <v>102</v>
      </c>
      <c r="M7" t="n">
        <v>2.02</v>
      </c>
      <c r="N7" t="n">
        <v>0.49505</v>
      </c>
      <c r="O7" t="n">
        <v>0.503115</v>
      </c>
      <c r="P7" t="inlineStr"/>
      <c r="Q7" t="n">
        <v>0.008064999999999999</v>
      </c>
      <c r="R7" t="n">
        <v>25</v>
      </c>
      <c r="S7" t="n">
        <v>0.5</v>
      </c>
      <c r="T7" t="inlineStr">
        <is>
          <t>mlb-elo-trend-lr-v7</t>
        </is>
      </c>
      <c r="U7" t="inlineStr">
        <is>
          <t>settled</t>
        </is>
      </c>
      <c r="V7" t="inlineStr">
        <is>
          <t>win</t>
        </is>
      </c>
      <c r="W7" t="n">
        <v>4</v>
      </c>
      <c r="X7" t="n">
        <v>2</v>
      </c>
      <c r="Y7" t="inlineStr"/>
      <c r="Z7" t="n">
        <v>102</v>
      </c>
      <c r="AA7" t="n">
        <v>0.495</v>
      </c>
      <c r="AB7" t="n">
        <v>-5e-05</v>
      </c>
      <c r="AC7" t="n">
        <v>0.51</v>
      </c>
      <c r="AD7" t="inlineStr">
        <is>
          <t>2026-07-31T00:54:57.316549Z</t>
        </is>
      </c>
      <c r="AE7" t="inlineStr">
        <is>
          <t>Learned LR call at threshold 0.6242; executable ask 0.4950 (aec-mlb-chc-stl-2026-07-30); model edge vs ask +0.0081.</t>
        </is>
      </c>
      <c r="AF7" t="inlineStr">
        <is>
          <t>Learned model; shadow-qualified via operator override.</t>
        </is>
      </c>
      <c r="AG7" t="inlineStr">
        <is>
          <t>not_applicable</t>
        </is>
      </c>
      <c r="AH7" t="inlineStr"/>
      <c r="AI7" t="inlineStr"/>
      <c r="AJ7" t="inlineStr"/>
      <c r="AK7" t="inlineStr">
        <is>
          <t>model_qualified</t>
        </is>
      </c>
      <c r="AL7" t="n">
        <v>3</v>
      </c>
      <c r="AM7" t="inlineStr">
        <is>
          <t>QUALIFIED_SHADOW_CALL</t>
        </is>
      </c>
      <c r="AN7" t="inlineStr">
        <is>
          <t>CALL</t>
        </is>
      </c>
      <c r="AO7" t="inlineStr">
        <is>
          <t>QUALIFIED</t>
        </is>
      </c>
      <c r="AP7" t="inlineStr">
        <is>
          <t>mlb-chc</t>
        </is>
      </c>
      <c r="AQ7" t="inlineStr">
        <is>
          <t>Chicago Cubs</t>
        </is>
      </c>
      <c r="AR7" t="inlineStr">
        <is>
          <t>Chicago Cubs</t>
        </is>
      </c>
      <c r="AS7" t="inlineStr">
        <is>
          <t>mlb-stl</t>
        </is>
      </c>
      <c r="AT7" t="inlineStr">
        <is>
          <t>St. Louis Cardinals</t>
        </is>
      </c>
      <c r="AU7" t="inlineStr">
        <is>
          <t>St. Louis Cardinals</t>
        </is>
      </c>
      <c r="AV7" t="inlineStr"/>
      <c r="AW7" t="inlineStr"/>
      <c r="AX7" t="inlineStr">
        <is>
          <t>statistical_model</t>
        </is>
      </c>
      <c r="AY7" t="inlineStr"/>
      <c r="AZ7" t="inlineStr">
        <is>
          <t>shadow_qualified</t>
        </is>
      </c>
      <c r="BA7" t="inlineStr">
        <is>
          <t>464eef695bfbbdaa819ec6f5e4c5bd1068ed20b92915fb2677220ae91e20d8b6</t>
        </is>
      </c>
      <c r="BB7" t="inlineStr">
        <is>
          <t>learned_lr</t>
        </is>
      </c>
      <c r="BC7" t="inlineStr">
        <is>
          <t>mlb-elo-trend-lr-v7</t>
        </is>
      </c>
      <c r="BD7" t="inlineStr">
        <is>
          <t>464eef695bfbbdaa819ec6f5e4c5bd1068ed20b92915fb2677220ae91e20d8b6</t>
        </is>
      </c>
      <c r="BE7" t="inlineStr">
        <is>
          <t>34f50d6e3a3b635c</t>
        </is>
      </c>
      <c r="BF7" t="n">
        <v>1</v>
      </c>
      <c r="BG7" t="inlineStr">
        <is>
          <t>mlb-elo-trend-lr-v7</t>
        </is>
      </c>
      <c r="BH7" t="inlineStr">
        <is>
          <t>2026-07-30T17:35:33.545496Z</t>
        </is>
      </c>
      <c r="BI7" t="inlineStr">
        <is>
          <t>["same_event","same_team_same_day","same_league_same_day"]</t>
        </is>
      </c>
      <c r="BJ7" t="inlineStr"/>
      <c r="BK7" t="n">
        <v>102</v>
      </c>
      <c r="BL7" t="n">
        <v>2.02</v>
      </c>
      <c r="BM7" t="n">
        <v>0.49505</v>
      </c>
      <c r="BN7" t="n">
        <v>0.492537</v>
      </c>
      <c r="BO7" t="inlineStr"/>
      <c r="BP7" t="inlineStr"/>
      <c r="BQ7" t="n">
        <v>2.02</v>
      </c>
      <c r="BR7" t="n">
        <v>0.495</v>
      </c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n">
        <v>0.4477582072</v>
      </c>
      <c r="CD7" t="n">
        <v>-1.388842</v>
      </c>
      <c r="CE7" t="n">
        <v>0.946</v>
      </c>
      <c r="CF7" t="n">
        <v>1.0125</v>
      </c>
      <c r="CG7" t="n">
        <v>2</v>
      </c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</row>
    <row r="8">
      <c r="A8" t="inlineStr">
        <is>
          <t>744b52ceb7314514</t>
        </is>
      </c>
      <c r="B8" t="inlineStr">
        <is>
          <t>2026-07-30T21:07:38.996144Z</t>
        </is>
      </c>
      <c r="C8" t="inlineStr">
        <is>
          <t>2026-07-30T20:00:00-0400</t>
        </is>
      </c>
      <c r="D8" t="inlineStr">
        <is>
          <t>401857099</t>
        </is>
      </c>
      <c r="E8" t="inlineStr">
        <is>
          <t>WNBA</t>
        </is>
      </c>
      <c r="F8" t="inlineStr">
        <is>
          <t>Minnesota Lynx</t>
        </is>
      </c>
      <c r="G8" t="inlineStr">
        <is>
          <t>Toronto Tempo</t>
        </is>
      </c>
      <c r="H8" t="inlineStr">
        <is>
          <t>moneyline</t>
        </is>
      </c>
      <c r="I8" t="inlineStr">
        <is>
          <t>away</t>
        </is>
      </c>
      <c r="J8" t="inlineStr"/>
      <c r="K8" t="inlineStr">
        <is>
          <t>polymarket_us</t>
        </is>
      </c>
      <c r="L8" t="n">
        <v>-614</v>
      </c>
      <c r="M8" t="n">
        <v>1.162866</v>
      </c>
      <c r="N8" t="n">
        <v>0.859944</v>
      </c>
      <c r="O8" t="n">
        <v>0.750119</v>
      </c>
      <c r="P8" t="inlineStr"/>
      <c r="Q8" t="n">
        <v>-0.109825</v>
      </c>
      <c r="R8" t="n">
        <v>0</v>
      </c>
      <c r="S8" t="n">
        <v>2</v>
      </c>
      <c r="T8" t="inlineStr">
        <is>
          <t>wnba-elo-trend-lr-v4</t>
        </is>
      </c>
      <c r="U8" t="inlineStr">
        <is>
          <t>settled</t>
        </is>
      </c>
      <c r="V8" t="inlineStr">
        <is>
          <t>win</t>
        </is>
      </c>
      <c r="W8" t="n">
        <v>104</v>
      </c>
      <c r="X8" t="n">
        <v>72</v>
      </c>
      <c r="Y8" t="inlineStr"/>
      <c r="Z8" t="inlineStr"/>
      <c r="AA8" t="inlineStr"/>
      <c r="AB8" t="inlineStr"/>
      <c r="AC8" t="n">
        <v>0.3257</v>
      </c>
      <c r="AD8" t="inlineStr">
        <is>
          <t>2026-07-31T04:29:17.777628Z</t>
        </is>
      </c>
      <c r="AE8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8" t="inlineStr">
        <is>
          <t>Learned model; shadow-qualified via operator override.</t>
        </is>
      </c>
      <c r="AG8" t="inlineStr">
        <is>
          <t>not_applicable</t>
        </is>
      </c>
      <c r="AH8" t="inlineStr"/>
      <c r="AI8" t="inlineStr"/>
      <c r="AJ8" t="inlineStr"/>
      <c r="AK8" t="inlineStr">
        <is>
          <t>model_qualified</t>
        </is>
      </c>
      <c r="AL8" t="n">
        <v>3</v>
      </c>
      <c r="AM8" t="inlineStr">
        <is>
          <t>QUALIFIED_SHADOW_CALL</t>
        </is>
      </c>
      <c r="AN8" t="inlineStr">
        <is>
          <t>CALL</t>
        </is>
      </c>
      <c r="AO8" t="inlineStr">
        <is>
          <t>QUALIFIED</t>
        </is>
      </c>
      <c r="AP8" t="inlineStr">
        <is>
          <t>wnba-min</t>
        </is>
      </c>
      <c r="AQ8" t="inlineStr">
        <is>
          <t>Minnesota Lynx</t>
        </is>
      </c>
      <c r="AR8" t="inlineStr">
        <is>
          <t>Minnesota Lynx</t>
        </is>
      </c>
      <c r="AS8" t="inlineStr">
        <is>
          <t>wnba-tor</t>
        </is>
      </c>
      <c r="AT8" t="inlineStr">
        <is>
          <t>Toronto Tempo</t>
        </is>
      </c>
      <c r="AU8" t="inlineStr">
        <is>
          <t>Toronto Tempo</t>
        </is>
      </c>
      <c r="AV8" t="inlineStr"/>
      <c r="AW8" t="inlineStr"/>
      <c r="AX8" t="inlineStr">
        <is>
          <t>statistical_model</t>
        </is>
      </c>
      <c r="AY8" t="inlineStr"/>
      <c r="AZ8" t="inlineStr">
        <is>
          <t>shadow_qualified</t>
        </is>
      </c>
      <c r="BA8" t="inlineStr">
        <is>
          <t>7afd5274214b58b7efd7f7febc7be3ab33b92351cda5cc6403c0a39faea0cc8c</t>
        </is>
      </c>
      <c r="BB8" t="inlineStr">
        <is>
          <t>learned_lr</t>
        </is>
      </c>
      <c r="BC8" t="inlineStr">
        <is>
          <t>wnba-elo-trend-lr-v4</t>
        </is>
      </c>
      <c r="BD8" t="inlineStr">
        <is>
          <t>7afd5274214b58b7efd7f7febc7be3ab33b92351cda5cc6403c0a39faea0cc8c</t>
        </is>
      </c>
      <c r="BE8" t="inlineStr">
        <is>
          <t>a8d16f9be486f04d</t>
        </is>
      </c>
      <c r="BF8" t="n">
        <v>1</v>
      </c>
      <c r="BG8" t="inlineStr">
        <is>
          <t>wnba-elo-trend-lr-v4</t>
        </is>
      </c>
      <c r="BH8" t="inlineStr">
        <is>
          <t>2026-07-30T21:07:16.651071Z</t>
        </is>
      </c>
      <c r="BI8" t="inlineStr">
        <is>
          <t>["same_event","same_team_same_day","same_league_same_day"]</t>
        </is>
      </c>
      <c r="BJ8" t="inlineStr"/>
      <c r="BK8" t="n">
        <v>-614</v>
      </c>
      <c r="BL8" t="n">
        <v>1.162866</v>
      </c>
      <c r="BM8" t="n">
        <v>0.859944</v>
      </c>
      <c r="BN8" t="n">
        <v>0.851485</v>
      </c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n">
        <v>0.1447442732</v>
      </c>
      <c r="CD8" t="n">
        <v>-5.213719</v>
      </c>
      <c r="CE8" t="inlineStr"/>
      <c r="CF8" t="inlineStr"/>
      <c r="CG8" t="inlineStr"/>
      <c r="CH8" t="inlineStr"/>
      <c r="CI8" t="inlineStr">
        <is>
          <t>wnba_availability_source_conflict</t>
        </is>
      </c>
      <c r="CJ8" t="inlineStr"/>
      <c r="CK8" t="inlineStr"/>
      <c r="CL8" t="inlineStr"/>
      <c r="CM8" t="inlineStr"/>
      <c r="CN8" t="inlineStr"/>
      <c r="CO8" t="inlineStr"/>
      <c r="CP8" t="inlineStr"/>
      <c r="CQ8" t="inlineStr"/>
    </row>
    <row r="9">
      <c r="A9" t="inlineStr">
        <is>
          <t>a4fd557587d84dcb</t>
        </is>
      </c>
      <c r="B9" t="inlineStr">
        <is>
          <t>2026-07-30T21:07:38.996144Z</t>
        </is>
      </c>
      <c r="C9" t="inlineStr">
        <is>
          <t>2026-07-30T20:00:00-0400</t>
        </is>
      </c>
      <c r="D9" t="inlineStr">
        <is>
          <t>401857100</t>
        </is>
      </c>
      <c r="E9" t="inlineStr">
        <is>
          <t>WNBA</t>
        </is>
      </c>
      <c r="F9" t="inlineStr">
        <is>
          <t>Connecticut Sun</t>
        </is>
      </c>
      <c r="G9" t="inlineStr">
        <is>
          <t>Chicago Sky</t>
        </is>
      </c>
      <c r="H9" t="inlineStr">
        <is>
          <t>moneyline</t>
        </is>
      </c>
      <c r="I9" t="inlineStr">
        <is>
          <t>home</t>
        </is>
      </c>
      <c r="J9" t="inlineStr"/>
      <c r="K9" t="inlineStr">
        <is>
          <t>polymarket_us</t>
        </is>
      </c>
      <c r="L9" t="n">
        <v>-194</v>
      </c>
      <c r="M9" t="n">
        <v>1.515464</v>
      </c>
      <c r="N9" t="n">
        <v>0.659864</v>
      </c>
      <c r="O9" t="n">
        <v>0.670401</v>
      </c>
      <c r="P9" t="inlineStr"/>
      <c r="Q9" t="n">
        <v>0.010537</v>
      </c>
      <c r="R9" t="n">
        <v>28</v>
      </c>
      <c r="S9" t="n">
        <v>2</v>
      </c>
      <c r="T9" t="inlineStr">
        <is>
          <t>wnba-elo-trend-lr-v4</t>
        </is>
      </c>
      <c r="U9" t="inlineStr">
        <is>
          <t>settled</t>
        </is>
      </c>
      <c r="V9" t="inlineStr">
        <is>
          <t>win</t>
        </is>
      </c>
      <c r="W9" t="n">
        <v>88</v>
      </c>
      <c r="X9" t="n">
        <v>94</v>
      </c>
      <c r="Y9" t="inlineStr"/>
      <c r="Z9" t="inlineStr"/>
      <c r="AA9" t="inlineStr"/>
      <c r="AB9" t="inlineStr"/>
      <c r="AC9" t="n">
        <v>1.0309</v>
      </c>
      <c r="AD9" t="inlineStr">
        <is>
          <t>2026-07-31T04:29:17.882357Z</t>
        </is>
      </c>
      <c r="AE9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9" t="inlineStr">
        <is>
          <t>Learned model; shadow-qualified via operator override.</t>
        </is>
      </c>
      <c r="AG9" t="inlineStr">
        <is>
          <t>not_applicable</t>
        </is>
      </c>
      <c r="AH9" t="inlineStr"/>
      <c r="AI9" t="inlineStr"/>
      <c r="AJ9" t="inlineStr"/>
      <c r="AK9" t="inlineStr">
        <is>
          <t>model_qualified</t>
        </is>
      </c>
      <c r="AL9" t="n">
        <v>3</v>
      </c>
      <c r="AM9" t="inlineStr">
        <is>
          <t>QUALIFIED_SHADOW_CALL</t>
        </is>
      </c>
      <c r="AN9" t="inlineStr">
        <is>
          <t>CALL</t>
        </is>
      </c>
      <c r="AO9" t="inlineStr">
        <is>
          <t>QUALIFIED</t>
        </is>
      </c>
      <c r="AP9" t="inlineStr">
        <is>
          <t>wnba-con</t>
        </is>
      </c>
      <c r="AQ9" t="inlineStr">
        <is>
          <t>Connecticut Sun</t>
        </is>
      </c>
      <c r="AR9" t="inlineStr">
        <is>
          <t>Connecticut Sun</t>
        </is>
      </c>
      <c r="AS9" t="inlineStr">
        <is>
          <t>wnba-chi</t>
        </is>
      </c>
      <c r="AT9" t="inlineStr">
        <is>
          <t>Chicago Sky</t>
        </is>
      </c>
      <c r="AU9" t="inlineStr">
        <is>
          <t>Chicago Sky</t>
        </is>
      </c>
      <c r="AV9" t="inlineStr"/>
      <c r="AW9" t="inlineStr"/>
      <c r="AX9" t="inlineStr">
        <is>
          <t>statistical_model</t>
        </is>
      </c>
      <c r="AY9" t="inlineStr"/>
      <c r="AZ9" t="inlineStr">
        <is>
          <t>shadow_qualified</t>
        </is>
      </c>
      <c r="BA9" t="inlineStr">
        <is>
          <t>7afd5274214b58b7efd7f7febc7be3ab33b92351cda5cc6403c0a39faea0cc8c</t>
        </is>
      </c>
      <c r="BB9" t="inlineStr">
        <is>
          <t>learned_lr</t>
        </is>
      </c>
      <c r="BC9" t="inlineStr">
        <is>
          <t>wnba-elo-trend-lr-v4</t>
        </is>
      </c>
      <c r="BD9" t="inlineStr">
        <is>
          <t>7afd5274214b58b7efd7f7febc7be3ab33b92351cda5cc6403c0a39faea0cc8c</t>
        </is>
      </c>
      <c r="BE9" t="inlineStr">
        <is>
          <t>de1d675da66b275e</t>
        </is>
      </c>
      <c r="BF9" t="n">
        <v>1</v>
      </c>
      <c r="BG9" t="inlineStr">
        <is>
          <t>wnba-elo-trend-lr-v4</t>
        </is>
      </c>
      <c r="BH9" t="inlineStr">
        <is>
          <t>2026-07-30T21:07:18.309580Z</t>
        </is>
      </c>
      <c r="BI9" t="inlineStr">
        <is>
          <t>["same_event","same_team_same_day","same_league_same_day"]</t>
        </is>
      </c>
      <c r="BJ9" t="inlineStr"/>
      <c r="BK9" t="n">
        <v>-194</v>
      </c>
      <c r="BL9" t="n">
        <v>1.515464</v>
      </c>
      <c r="BM9" t="n">
        <v>0.659864</v>
      </c>
      <c r="BN9" t="n">
        <v>0.653465</v>
      </c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n">
        <v>0.6616868073</v>
      </c>
      <c r="CD9" t="n">
        <v>5.467445</v>
      </c>
      <c r="CE9" t="inlineStr"/>
      <c r="CF9" t="inlineStr"/>
      <c r="CG9" t="inlineStr"/>
      <c r="CH9" t="inlineStr"/>
      <c r="CI9" t="inlineStr">
        <is>
          <t>wnba_availability_source_conflict</t>
        </is>
      </c>
      <c r="CJ9" t="inlineStr"/>
      <c r="CK9" t="inlineStr"/>
      <c r="CL9" t="inlineStr"/>
      <c r="CM9" t="inlineStr"/>
      <c r="CN9" t="inlineStr"/>
      <c r="CO9" t="inlineStr"/>
      <c r="CP9" t="inlineStr"/>
      <c r="CQ9" t="inlineStr"/>
    </row>
    <row r="10">
      <c r="A10" t="inlineStr">
        <is>
          <t>8defc7d566f441e1</t>
        </is>
      </c>
      <c r="B10" t="inlineStr">
        <is>
          <t>2026-07-30T21:07:38.996144Z</t>
        </is>
      </c>
      <c r="C10" t="inlineStr">
        <is>
          <t>2026-07-30T19:00:00-0400</t>
        </is>
      </c>
      <c r="D10" t="inlineStr">
        <is>
          <t>401816325</t>
        </is>
      </c>
      <c r="E10" t="inlineStr">
        <is>
          <t>MLB</t>
        </is>
      </c>
      <c r="F10" t="inlineStr">
        <is>
          <t>Washington Nationals</t>
        </is>
      </c>
      <c r="G10" t="inlineStr">
        <is>
          <t>Atlanta Braves</t>
        </is>
      </c>
      <c r="H10" t="inlineStr">
        <is>
          <t>moneyline</t>
        </is>
      </c>
      <c r="I10" t="inlineStr">
        <is>
          <t>home</t>
        </is>
      </c>
      <c r="J10" t="inlineStr"/>
      <c r="K10" t="inlineStr">
        <is>
          <t>polymarket_us</t>
        </is>
      </c>
      <c r="L10" t="n">
        <v>-144</v>
      </c>
      <c r="M10" t="n">
        <v>1.694444</v>
      </c>
      <c r="N10" t="n">
        <v>0.590164</v>
      </c>
      <c r="O10" t="n">
        <v>0.612872</v>
      </c>
      <c r="P10" t="inlineStr"/>
      <c r="Q10" t="n">
        <v>0.022708</v>
      </c>
      <c r="R10" t="n">
        <v>33</v>
      </c>
      <c r="S10" t="n">
        <v>1.75</v>
      </c>
      <c r="T10" t="inlineStr">
        <is>
          <t>mlb-elo-trend-lr-v7</t>
        </is>
      </c>
      <c r="U10" t="inlineStr">
        <is>
          <t>settled</t>
        </is>
      </c>
      <c r="V10" t="inlineStr">
        <is>
          <t>win</t>
        </is>
      </c>
      <c r="W10" t="n">
        <v>4</v>
      </c>
      <c r="X10" t="n">
        <v>5</v>
      </c>
      <c r="Y10" t="inlineStr"/>
      <c r="Z10" t="n">
        <v>-144</v>
      </c>
      <c r="AA10" t="n">
        <v>0.59</v>
      </c>
      <c r="AB10" t="n">
        <v>-0.000164</v>
      </c>
      <c r="AC10" t="n">
        <v>1.2153</v>
      </c>
      <c r="AD10" t="inlineStr">
        <is>
          <t>2026-07-31T04:29:18.337563Z</t>
        </is>
      </c>
      <c r="AE10" t="inlineStr">
        <is>
          <t>Learned LR call at threshold 0.6242; executable ask 0.5900 (aec-mlb-wsh-atl-2026-07-30); model edge vs ask +0.0229.</t>
        </is>
      </c>
      <c r="AF10" t="inlineStr">
        <is>
          <t>Learned model; shadow-qualified via operator override.</t>
        </is>
      </c>
      <c r="AG10" t="inlineStr">
        <is>
          <t>not_applicable</t>
        </is>
      </c>
      <c r="AH10" t="inlineStr"/>
      <c r="AI10" t="inlineStr"/>
      <c r="AJ10" t="inlineStr"/>
      <c r="AK10" t="inlineStr">
        <is>
          <t>model_qualified</t>
        </is>
      </c>
      <c r="AL10" t="n">
        <v>3</v>
      </c>
      <c r="AM10" t="inlineStr">
        <is>
          <t>QUALIFIED_SHADOW_CALL</t>
        </is>
      </c>
      <c r="AN10" t="inlineStr">
        <is>
          <t>CALL</t>
        </is>
      </c>
      <c r="AO10" t="inlineStr">
        <is>
          <t>QUALIFIED</t>
        </is>
      </c>
      <c r="AP10" t="inlineStr">
        <is>
          <t>mlb-wsh</t>
        </is>
      </c>
      <c r="AQ10" t="inlineStr">
        <is>
          <t>Washington Nationals</t>
        </is>
      </c>
      <c r="AR10" t="inlineStr">
        <is>
          <t>Washington Nationals</t>
        </is>
      </c>
      <c r="AS10" t="inlineStr">
        <is>
          <t>mlb-atl</t>
        </is>
      </c>
      <c r="AT10" t="inlineStr">
        <is>
          <t>Atlanta Braves</t>
        </is>
      </c>
      <c r="AU10" t="inlineStr">
        <is>
          <t>Atlanta Braves</t>
        </is>
      </c>
      <c r="AV10" t="inlineStr"/>
      <c r="AW10" t="inlineStr"/>
      <c r="AX10" t="inlineStr">
        <is>
          <t>statistical_model</t>
        </is>
      </c>
      <c r="AY10" t="inlineStr"/>
      <c r="AZ10" t="inlineStr">
        <is>
          <t>shadow_qualified</t>
        </is>
      </c>
      <c r="BA10" t="inlineStr">
        <is>
          <t>464eef695bfbbdaa819ec6f5e4c5bd1068ed20b92915fb2677220ae91e20d8b6</t>
        </is>
      </c>
      <c r="BB10" t="inlineStr">
        <is>
          <t>learned_lr</t>
        </is>
      </c>
      <c r="BC10" t="inlineStr">
        <is>
          <t>mlb-elo-trend-lr-v7</t>
        </is>
      </c>
      <c r="BD10" t="inlineStr">
        <is>
          <t>464eef695bfbbdaa819ec6f5e4c5bd1068ed20b92915fb2677220ae91e20d8b6</t>
        </is>
      </c>
      <c r="BE10" t="inlineStr">
        <is>
          <t>2ad0bbfc4a5ff39d</t>
        </is>
      </c>
      <c r="BF10" t="n">
        <v>1</v>
      </c>
      <c r="BG10" t="inlineStr">
        <is>
          <t>mlb-elo-trend-lr-v7</t>
        </is>
      </c>
      <c r="BH10" t="inlineStr">
        <is>
          <t>2026-07-30T21:07:13.074633Z</t>
        </is>
      </c>
      <c r="BI10" t="inlineStr">
        <is>
          <t>["same_event","same_team_same_day","same_league_same_day"]</t>
        </is>
      </c>
      <c r="BJ10" t="inlineStr"/>
      <c r="BK10" t="n">
        <v>-144</v>
      </c>
      <c r="BL10" t="n">
        <v>1.694444</v>
      </c>
      <c r="BM10" t="n">
        <v>0.590164</v>
      </c>
      <c r="BN10" t="n">
        <v>0.5870649999999999</v>
      </c>
      <c r="BO10" t="inlineStr"/>
      <c r="BP10" t="inlineStr"/>
      <c r="BQ10" t="n">
        <v>1.694444</v>
      </c>
      <c r="BR10" t="n">
        <v>0.59</v>
      </c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n">
        <v>0.6174839141</v>
      </c>
      <c r="CD10" t="n">
        <v>-0.449351</v>
      </c>
      <c r="CE10" t="n">
        <v>0.929</v>
      </c>
      <c r="CF10" t="n">
        <v>1.0174</v>
      </c>
      <c r="CG10" t="n">
        <v>0.2</v>
      </c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</row>
    <row r="11">
      <c r="A11" t="inlineStr">
        <is>
          <t>7398a78f988e40bc</t>
        </is>
      </c>
      <c r="B11" t="inlineStr">
        <is>
          <t>2026-07-30T21:07:38.996144Z</t>
        </is>
      </c>
      <c r="C11" t="inlineStr">
        <is>
          <t>2026-07-30T19:10:00-0400</t>
        </is>
      </c>
      <c r="D11" t="inlineStr">
        <is>
          <t>401816322</t>
        </is>
      </c>
      <c r="E11" t="inlineStr">
        <is>
          <t>MLB</t>
        </is>
      </c>
      <c r="F11" t="inlineStr">
        <is>
          <t>Miami Marlins</t>
        </is>
      </c>
      <c r="G11" t="inlineStr">
        <is>
          <t>New York Mets</t>
        </is>
      </c>
      <c r="H11" t="inlineStr">
        <is>
          <t>moneyline</t>
        </is>
      </c>
      <c r="I11" t="inlineStr">
        <is>
          <t>home</t>
        </is>
      </c>
      <c r="J11" t="inlineStr"/>
      <c r="K11" t="inlineStr">
        <is>
          <t>polymarket_us</t>
        </is>
      </c>
      <c r="L11" t="n">
        <v>-117</v>
      </c>
      <c r="M11" t="n">
        <v>1.854701</v>
      </c>
      <c r="N11" t="n">
        <v>0.539171</v>
      </c>
      <c r="O11" t="n">
        <v>0.5134919999999999</v>
      </c>
      <c r="P11" t="inlineStr"/>
      <c r="Q11" t="n">
        <v>-0.025679</v>
      </c>
      <c r="R11" t="n">
        <v>8</v>
      </c>
      <c r="S11" t="n">
        <v>0.75</v>
      </c>
      <c r="T11" t="inlineStr">
        <is>
          <t>mlb-elo-trend-lr-v7</t>
        </is>
      </c>
      <c r="U11" t="inlineStr">
        <is>
          <t>settled</t>
        </is>
      </c>
      <c r="V11" t="inlineStr">
        <is>
          <t>win</t>
        </is>
      </c>
      <c r="W11" t="n">
        <v>2</v>
      </c>
      <c r="X11" t="n">
        <v>4</v>
      </c>
      <c r="Y11" t="inlineStr"/>
      <c r="Z11" t="n">
        <v>-117</v>
      </c>
      <c r="AA11" t="n">
        <v>0.54</v>
      </c>
      <c r="AB11" t="n">
        <v>0.000829</v>
      </c>
      <c r="AC11" t="n">
        <v>0.641</v>
      </c>
      <c r="AD11" t="inlineStr">
        <is>
          <t>2026-07-31T04:29:18.434367Z</t>
        </is>
      </c>
      <c r="AE11" t="inlineStr">
        <is>
          <t>Learned LR call at threshold 0.6242; executable ask 0.5400 (aec-mlb-mia-nym-2026-07-30); model edge vs ask -0.0265.</t>
        </is>
      </c>
      <c r="AF11" t="inlineStr">
        <is>
          <t>Learned model; shadow-qualified via operator override.</t>
        </is>
      </c>
      <c r="AG11" t="inlineStr">
        <is>
          <t>not_applicable</t>
        </is>
      </c>
      <c r="AH11" t="inlineStr"/>
      <c r="AI11" t="inlineStr"/>
      <c r="AJ11" t="inlineStr"/>
      <c r="AK11" t="inlineStr">
        <is>
          <t>model_qualified</t>
        </is>
      </c>
      <c r="AL11" t="n">
        <v>3</v>
      </c>
      <c r="AM11" t="inlineStr">
        <is>
          <t>QUALIFIED_SHADOW_CALL</t>
        </is>
      </c>
      <c r="AN11" t="inlineStr">
        <is>
          <t>CALL</t>
        </is>
      </c>
      <c r="AO11" t="inlineStr">
        <is>
          <t>QUALIFIED</t>
        </is>
      </c>
      <c r="AP11" t="inlineStr">
        <is>
          <t>mlb-mia</t>
        </is>
      </c>
      <c r="AQ11" t="inlineStr">
        <is>
          <t>Miami Marlins</t>
        </is>
      </c>
      <c r="AR11" t="inlineStr">
        <is>
          <t>Miami Marlins</t>
        </is>
      </c>
      <c r="AS11" t="inlineStr">
        <is>
          <t>mlb-nym</t>
        </is>
      </c>
      <c r="AT11" t="inlineStr">
        <is>
          <t>New York Mets</t>
        </is>
      </c>
      <c r="AU11" t="inlineStr">
        <is>
          <t>New York Mets</t>
        </is>
      </c>
      <c r="AV11" t="inlineStr"/>
      <c r="AW11" t="inlineStr"/>
      <c r="AX11" t="inlineStr">
        <is>
          <t>statistical_model</t>
        </is>
      </c>
      <c r="AY11" t="inlineStr"/>
      <c r="AZ11" t="inlineStr">
        <is>
          <t>shadow_qualified</t>
        </is>
      </c>
      <c r="BA11" t="inlineStr">
        <is>
          <t>464eef695bfbbdaa819ec6f5e4c5bd1068ed20b92915fb2677220ae91e20d8b6</t>
        </is>
      </c>
      <c r="BB11" t="inlineStr">
        <is>
          <t>learned_lr</t>
        </is>
      </c>
      <c r="BC11" t="inlineStr">
        <is>
          <t>mlb-elo-trend-lr-v7</t>
        </is>
      </c>
      <c r="BD11" t="inlineStr">
        <is>
          <t>464eef695bfbbdaa819ec6f5e4c5bd1068ed20b92915fb2677220ae91e20d8b6</t>
        </is>
      </c>
      <c r="BE11" t="inlineStr">
        <is>
          <t>e514206d77553482</t>
        </is>
      </c>
      <c r="BF11" t="n">
        <v>1</v>
      </c>
      <c r="BG11" t="inlineStr">
        <is>
          <t>mlb-elo-trend-lr-v7</t>
        </is>
      </c>
      <c r="BH11" t="inlineStr">
        <is>
          <t>2026-07-30T21:07:11.963447Z</t>
        </is>
      </c>
      <c r="BI11" t="inlineStr">
        <is>
          <t>["same_event","same_team_same_day","same_league_same_day"]</t>
        </is>
      </c>
      <c r="BJ11" t="inlineStr"/>
      <c r="BK11" t="n">
        <v>-117</v>
      </c>
      <c r="BL11" t="n">
        <v>1.854701</v>
      </c>
      <c r="BM11" t="n">
        <v>0.539171</v>
      </c>
      <c r="BN11" t="n">
        <v>0.537313</v>
      </c>
      <c r="BO11" t="inlineStr"/>
      <c r="BP11" t="inlineStr"/>
      <c r="BQ11" t="n">
        <v>1.854701</v>
      </c>
      <c r="BR11" t="n">
        <v>0.54</v>
      </c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n">
        <v>0.5051537166</v>
      </c>
      <c r="CD11" t="n">
        <v>0.008278000000000001</v>
      </c>
      <c r="CE11" t="n">
        <v>0.978</v>
      </c>
      <c r="CF11" t="n">
        <v>1.0054</v>
      </c>
      <c r="CG11" t="n">
        <v>-1.8</v>
      </c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</row>
    <row r="12">
      <c r="A12" t="inlineStr">
        <is>
          <t>3effe9d1ef114db5</t>
        </is>
      </c>
      <c r="B12" t="inlineStr">
        <is>
          <t>2026-07-30T21:07:38.996144Z</t>
        </is>
      </c>
      <c r="C12" t="inlineStr">
        <is>
          <t>2026-07-30T19:10:00-0400</t>
        </is>
      </c>
      <c r="D12" t="inlineStr">
        <is>
          <t>401816323</t>
        </is>
      </c>
      <c r="E12" t="inlineStr">
        <is>
          <t>MLB</t>
        </is>
      </c>
      <c r="F12" t="inlineStr">
        <is>
          <t>Pittsburgh Pirates</t>
        </is>
      </c>
      <c r="G12" t="inlineStr">
        <is>
          <t>Cincinnati Reds</t>
        </is>
      </c>
      <c r="H12" t="inlineStr">
        <is>
          <t>moneyline</t>
        </is>
      </c>
      <c r="I12" t="inlineStr">
        <is>
          <t>away</t>
        </is>
      </c>
      <c r="J12" t="inlineStr"/>
      <c r="K12" t="inlineStr">
        <is>
          <t>polymarket_us</t>
        </is>
      </c>
      <c r="L12" t="n">
        <v>-111</v>
      </c>
      <c r="M12" t="n">
        <v>1.900901</v>
      </c>
      <c r="N12" t="n">
        <v>0.526066</v>
      </c>
      <c r="O12" t="n">
        <v>0.520916</v>
      </c>
      <c r="P12" t="inlineStr"/>
      <c r="Q12" t="n">
        <v>-0.00515</v>
      </c>
      <c r="R12" t="n">
        <v>19</v>
      </c>
      <c r="S12" t="n">
        <v>0.75</v>
      </c>
      <c r="T12" t="inlineStr">
        <is>
          <t>mlb-elo-trend-lr-v7</t>
        </is>
      </c>
      <c r="U12" t="inlineStr">
        <is>
          <t>settled</t>
        </is>
      </c>
      <c r="V12" t="inlineStr">
        <is>
          <t>loss</t>
        </is>
      </c>
      <c r="W12" t="n">
        <v>2</v>
      </c>
      <c r="X12" t="n">
        <v>3</v>
      </c>
      <c r="Y12" t="inlineStr"/>
      <c r="Z12" t="n">
        <v>-111</v>
      </c>
      <c r="AA12" t="n">
        <v>0.525</v>
      </c>
      <c r="AB12" t="n">
        <v>-0.001066</v>
      </c>
      <c r="AC12" t="n">
        <v>-0.75</v>
      </c>
      <c r="AD12" t="inlineStr">
        <is>
          <t>2026-07-31T04:29:18.531088Z</t>
        </is>
      </c>
      <c r="AE12" t="inlineStr">
        <is>
          <t>Learned LR call at threshold 0.6242; executable ask 0.5250 (aec-mlb-pit-cin-2026-07-30); model edge vs ask -0.0041.</t>
        </is>
      </c>
      <c r="AF12" t="inlineStr">
        <is>
          <t>Learned model; shadow-qualified via operator override.</t>
        </is>
      </c>
      <c r="AG12" t="inlineStr">
        <is>
          <t>review_required</t>
        </is>
      </c>
      <c r="AH12" t="inlineStr"/>
      <c r="AI12" t="inlineStr"/>
      <c r="AJ12" t="inlineStr"/>
      <c r="AK12" t="inlineStr">
        <is>
          <t>model_qualified</t>
        </is>
      </c>
      <c r="AL12" t="n">
        <v>3</v>
      </c>
      <c r="AM12" t="inlineStr">
        <is>
          <t>QUALIFIED_SHADOW_CALL</t>
        </is>
      </c>
      <c r="AN12" t="inlineStr">
        <is>
          <t>CALL</t>
        </is>
      </c>
      <c r="AO12" t="inlineStr">
        <is>
          <t>QUALIFIED</t>
        </is>
      </c>
      <c r="AP12" t="inlineStr">
        <is>
          <t>mlb-pit</t>
        </is>
      </c>
      <c r="AQ12" t="inlineStr">
        <is>
          <t>Pittsburgh Pirates</t>
        </is>
      </c>
      <c r="AR12" t="inlineStr">
        <is>
          <t>Pittsburgh Pirates</t>
        </is>
      </c>
      <c r="AS12" t="inlineStr">
        <is>
          <t>mlb-cin</t>
        </is>
      </c>
      <c r="AT12" t="inlineStr">
        <is>
          <t>Cincinnati Reds</t>
        </is>
      </c>
      <c r="AU12" t="inlineStr">
        <is>
          <t>Cincinnati Reds</t>
        </is>
      </c>
      <c r="AV12" t="inlineStr"/>
      <c r="AW12" t="inlineStr"/>
      <c r="AX12" t="inlineStr">
        <is>
          <t>statistical_model</t>
        </is>
      </c>
      <c r="AY12" t="inlineStr"/>
      <c r="AZ12" t="inlineStr">
        <is>
          <t>shadow_qualified</t>
        </is>
      </c>
      <c r="BA12" t="inlineStr">
        <is>
          <t>464eef695bfbbdaa819ec6f5e4c5bd1068ed20b92915fb2677220ae91e20d8b6</t>
        </is>
      </c>
      <c r="BB12" t="inlineStr">
        <is>
          <t>learned_lr</t>
        </is>
      </c>
      <c r="BC12" t="inlineStr">
        <is>
          <t>mlb-elo-trend-lr-v7</t>
        </is>
      </c>
      <c r="BD12" t="inlineStr">
        <is>
          <t>464eef695bfbbdaa819ec6f5e4c5bd1068ed20b92915fb2677220ae91e20d8b6</t>
        </is>
      </c>
      <c r="BE12" t="inlineStr">
        <is>
          <t>b3d67de7b6d26958</t>
        </is>
      </c>
      <c r="BF12" t="n">
        <v>1</v>
      </c>
      <c r="BG12" t="inlineStr">
        <is>
          <t>mlb-elo-trend-lr-v7</t>
        </is>
      </c>
      <c r="BH12" t="inlineStr">
        <is>
          <t>2026-07-30T21:07:11.035351Z</t>
        </is>
      </c>
      <c r="BI12" t="inlineStr">
        <is>
          <t>["same_event","same_team_same_day","same_league_same_day"]</t>
        </is>
      </c>
      <c r="BJ12" t="inlineStr"/>
      <c r="BK12" t="n">
        <v>-111</v>
      </c>
      <c r="BL12" t="n">
        <v>1.900901</v>
      </c>
      <c r="BM12" t="n">
        <v>0.526066</v>
      </c>
      <c r="BN12" t="n">
        <v>0.522388</v>
      </c>
      <c r="BO12" t="inlineStr"/>
      <c r="BP12" t="inlineStr"/>
      <c r="BQ12" t="n">
        <v>1.900901</v>
      </c>
      <c r="BR12" t="n">
        <v>0.525</v>
      </c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n">
        <v>0.4889165025</v>
      </c>
      <c r="CD12" t="n">
        <v>0.498942</v>
      </c>
      <c r="CE12" t="n">
        <v>1.036</v>
      </c>
      <c r="CF12" t="n">
        <v>1.0086</v>
      </c>
      <c r="CG12" t="n">
        <v>-1.2</v>
      </c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</row>
    <row r="13">
      <c r="A13" t="inlineStr">
        <is>
          <t>429571844f70423e</t>
        </is>
      </c>
      <c r="B13" t="inlineStr">
        <is>
          <t>2026-07-31T00:56:17.350684Z</t>
        </is>
      </c>
      <c r="C13" t="inlineStr">
        <is>
          <t>2026-07-30T22:00:00-0400</t>
        </is>
      </c>
      <c r="D13" t="inlineStr">
        <is>
          <t>401857101</t>
        </is>
      </c>
      <c r="E13" t="inlineStr">
        <is>
          <t>WNBA</t>
        </is>
      </c>
      <c r="F13" t="inlineStr">
        <is>
          <t>New York Liberty</t>
        </is>
      </c>
      <c r="G13" t="inlineStr">
        <is>
          <t>Las Vegas Aces</t>
        </is>
      </c>
      <c r="H13" t="inlineStr">
        <is>
          <t>moneyline</t>
        </is>
      </c>
      <c r="I13" t="inlineStr">
        <is>
          <t>home</t>
        </is>
      </c>
      <c r="J13" t="inlineStr"/>
      <c r="K13" t="inlineStr">
        <is>
          <t>polymarket_us</t>
        </is>
      </c>
      <c r="L13" t="n">
        <v>-178</v>
      </c>
      <c r="M13" t="n">
        <v>1.561798</v>
      </c>
      <c r="N13" t="n">
        <v>0.640288</v>
      </c>
      <c r="O13" t="n">
        <v>0.615328</v>
      </c>
      <c r="P13" t="inlineStr"/>
      <c r="Q13" t="n">
        <v>-0.02496</v>
      </c>
      <c r="R13" t="n">
        <v>11</v>
      </c>
      <c r="S13" t="n">
        <v>1.75</v>
      </c>
      <c r="T13" t="inlineStr">
        <is>
          <t>wnba-elo-trend-lr-v4</t>
        </is>
      </c>
      <c r="U13" t="inlineStr">
        <is>
          <t>settled</t>
        </is>
      </c>
      <c r="V13" t="inlineStr">
        <is>
          <t>win</t>
        </is>
      </c>
      <c r="W13" t="n">
        <v>99</v>
      </c>
      <c r="X13" t="n">
        <v>104</v>
      </c>
      <c r="Y13" t="inlineStr"/>
      <c r="Z13" t="inlineStr"/>
      <c r="AA13" t="inlineStr"/>
      <c r="AB13" t="inlineStr"/>
      <c r="AC13" t="n">
        <v>0.9831</v>
      </c>
      <c r="AD13" t="inlineStr">
        <is>
          <t>2026-07-31T04:29:18.625735Z</t>
        </is>
      </c>
      <c r="AE13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13" t="inlineStr">
        <is>
          <t>Learned model; shadow-qualified via operator override.</t>
        </is>
      </c>
      <c r="AG13" t="inlineStr">
        <is>
          <t>not_applicable</t>
        </is>
      </c>
      <c r="AH13" t="inlineStr"/>
      <c r="AI13" t="inlineStr"/>
      <c r="AJ13" t="inlineStr"/>
      <c r="AK13" t="inlineStr">
        <is>
          <t>model_qualified</t>
        </is>
      </c>
      <c r="AL13" t="n">
        <v>3</v>
      </c>
      <c r="AM13" t="inlineStr">
        <is>
          <t>QUALIFIED_SHADOW_CALL</t>
        </is>
      </c>
      <c r="AN13" t="inlineStr">
        <is>
          <t>CALL</t>
        </is>
      </c>
      <c r="AO13" t="inlineStr">
        <is>
          <t>QUALIFIED</t>
        </is>
      </c>
      <c r="AP13" t="inlineStr">
        <is>
          <t>wnba-nyl</t>
        </is>
      </c>
      <c r="AQ13" t="inlineStr">
        <is>
          <t>New York Liberty</t>
        </is>
      </c>
      <c r="AR13" t="inlineStr">
        <is>
          <t>New York Liberty</t>
        </is>
      </c>
      <c r="AS13" t="inlineStr">
        <is>
          <t>wnba-lva</t>
        </is>
      </c>
      <c r="AT13" t="inlineStr">
        <is>
          <t>Las Vegas Aces</t>
        </is>
      </c>
      <c r="AU13" t="inlineStr">
        <is>
          <t>Las Vegas Aces</t>
        </is>
      </c>
      <c r="AV13" t="inlineStr"/>
      <c r="AW13" t="inlineStr"/>
      <c r="AX13" t="inlineStr">
        <is>
          <t>statistical_model</t>
        </is>
      </c>
      <c r="AY13" t="inlineStr"/>
      <c r="AZ13" t="inlineStr">
        <is>
          <t>shadow_qualified</t>
        </is>
      </c>
      <c r="BA13" t="inlineStr">
        <is>
          <t>7afd5274214b58b7efd7f7febc7be3ab33b92351cda5cc6403c0a39faea0cc8c</t>
        </is>
      </c>
      <c r="BB13" t="inlineStr">
        <is>
          <t>learned_lr</t>
        </is>
      </c>
      <c r="BC13" t="inlineStr">
        <is>
          <t>wnba-elo-trend-lr-v4</t>
        </is>
      </c>
      <c r="BD13" t="inlineStr">
        <is>
          <t>7afd5274214b58b7efd7f7febc7be3ab33b92351cda5cc6403c0a39faea0cc8c</t>
        </is>
      </c>
      <c r="BE13" t="inlineStr">
        <is>
          <t>181554924d3d25f6</t>
        </is>
      </c>
      <c r="BF13" t="n">
        <v>1</v>
      </c>
      <c r="BG13" t="inlineStr">
        <is>
          <t>wnba-elo-trend-lr-v4</t>
        </is>
      </c>
      <c r="BH13" t="inlineStr">
        <is>
          <t>2026-07-31T00:56:07.048062Z</t>
        </is>
      </c>
      <c r="BI13" t="inlineStr">
        <is>
          <t>["same_event","same_team_same_day","same_league_same_day"]</t>
        </is>
      </c>
      <c r="BJ13" t="inlineStr"/>
      <c r="BK13" t="n">
        <v>-178</v>
      </c>
      <c r="BL13" t="n">
        <v>1.561798</v>
      </c>
      <c r="BM13" t="n">
        <v>0.640288</v>
      </c>
      <c r="BN13" t="n">
        <v>0.633663</v>
      </c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n">
        <v>0.6511069872</v>
      </c>
      <c r="CD13" t="n">
        <v>-4.276653</v>
      </c>
      <c r="CE13" t="inlineStr"/>
      <c r="CF13" t="inlineStr"/>
      <c r="CG13" t="inlineStr"/>
      <c r="CH13" t="inlineStr"/>
      <c r="CI13" t="inlineStr">
        <is>
          <t>wnba_availability_source_conflict</t>
        </is>
      </c>
      <c r="CJ13" t="inlineStr"/>
      <c r="CK13" t="inlineStr"/>
      <c r="CL13" t="inlineStr"/>
      <c r="CM13" t="inlineStr"/>
      <c r="CN13" t="inlineStr"/>
      <c r="CO13" t="inlineStr"/>
      <c r="CP13" t="inlineStr"/>
      <c r="CQ13" t="inlineStr"/>
    </row>
    <row r="14">
      <c r="A14" t="inlineStr">
        <is>
          <t>65d96ecbbb034c8e</t>
        </is>
      </c>
      <c r="B14" t="inlineStr">
        <is>
          <t>2026-07-31T00:56:17.350684Z</t>
        </is>
      </c>
      <c r="C14" t="inlineStr">
        <is>
          <t>2026-07-30T21:40:00-0400</t>
        </is>
      </c>
      <c r="D14" t="inlineStr">
        <is>
          <t>401816329</t>
        </is>
      </c>
      <c r="E14" t="inlineStr">
        <is>
          <t>MLB</t>
        </is>
      </c>
      <c r="F14" t="inlineStr">
        <is>
          <t>Boston Red Sox</t>
        </is>
      </c>
      <c r="G14" t="inlineStr">
        <is>
          <t>Athletics</t>
        </is>
      </c>
      <c r="H14" t="inlineStr">
        <is>
          <t>moneyline</t>
        </is>
      </c>
      <c r="I14" t="inlineStr">
        <is>
          <t>away</t>
        </is>
      </c>
      <c r="J14" t="inlineStr"/>
      <c r="K14" t="inlineStr">
        <is>
          <t>polymarket_us</t>
        </is>
      </c>
      <c r="L14" t="n">
        <v>-178</v>
      </c>
      <c r="M14" t="n">
        <v>1.561798</v>
      </c>
      <c r="N14" t="n">
        <v>0.640288</v>
      </c>
      <c r="O14" t="n">
        <v>0.598658</v>
      </c>
      <c r="P14" t="inlineStr"/>
      <c r="Q14" t="n">
        <v>-0.04163</v>
      </c>
      <c r="R14" t="n">
        <v>1</v>
      </c>
      <c r="S14" t="n">
        <v>1.5</v>
      </c>
      <c r="T14" t="inlineStr">
        <is>
          <t>mlb-elo-trend-lr-v7</t>
        </is>
      </c>
      <c r="U14" t="inlineStr">
        <is>
          <t>settled</t>
        </is>
      </c>
      <c r="V14" t="inlineStr">
        <is>
          <t>win</t>
        </is>
      </c>
      <c r="W14" t="n">
        <v>5</v>
      </c>
      <c r="X14" t="n">
        <v>4</v>
      </c>
      <c r="Y14" t="inlineStr"/>
      <c r="Z14" t="n">
        <v>-178</v>
      </c>
      <c r="AA14" t="n">
        <v>0.64</v>
      </c>
      <c r="AB14" t="n">
        <v>-0.000288</v>
      </c>
      <c r="AC14" t="n">
        <v>0.8427</v>
      </c>
      <c r="AD14" t="inlineStr">
        <is>
          <t>2026-07-31T04:29:18.726417Z</t>
        </is>
      </c>
      <c r="AE14" t="inlineStr">
        <is>
          <t>Learned LR call at threshold 0.6242; executable ask 0.6400 (aec-mlb-bos-ath-2026-07-30); model edge vs ask -0.0413.</t>
        </is>
      </c>
      <c r="AF14" t="inlineStr">
        <is>
          <t>Learned model; shadow-qualified via operator override.</t>
        </is>
      </c>
      <c r="AG14" t="inlineStr">
        <is>
          <t>not_applicable</t>
        </is>
      </c>
      <c r="AH14" t="inlineStr"/>
      <c r="AI14" t="inlineStr"/>
      <c r="AJ14" t="inlineStr"/>
      <c r="AK14" t="inlineStr">
        <is>
          <t>model_qualified</t>
        </is>
      </c>
      <c r="AL14" t="n">
        <v>3</v>
      </c>
      <c r="AM14" t="inlineStr">
        <is>
          <t>QUALIFIED_SHADOW_CALL</t>
        </is>
      </c>
      <c r="AN14" t="inlineStr">
        <is>
          <t>CALL</t>
        </is>
      </c>
      <c r="AO14" t="inlineStr">
        <is>
          <t>QUALIFIED</t>
        </is>
      </c>
      <c r="AP14" t="inlineStr">
        <is>
          <t>mlb-bos</t>
        </is>
      </c>
      <c r="AQ14" t="inlineStr">
        <is>
          <t>Boston Red Sox</t>
        </is>
      </c>
      <c r="AR14" t="inlineStr">
        <is>
          <t>Boston Red Sox</t>
        </is>
      </c>
      <c r="AS14" t="inlineStr">
        <is>
          <t>mlb-ath</t>
        </is>
      </c>
      <c r="AT14" t="inlineStr">
        <is>
          <t>Athletics</t>
        </is>
      </c>
      <c r="AU14" t="inlineStr">
        <is>
          <t>Athletics</t>
        </is>
      </c>
      <c r="AV14" t="inlineStr"/>
      <c r="AW14" t="inlineStr"/>
      <c r="AX14" t="inlineStr">
        <is>
          <t>statistical_model</t>
        </is>
      </c>
      <c r="AY14" t="inlineStr"/>
      <c r="AZ14" t="inlineStr">
        <is>
          <t>shadow_qualified</t>
        </is>
      </c>
      <c r="BA14" t="inlineStr">
        <is>
          <t>464eef695bfbbdaa819ec6f5e4c5bd1068ed20b92915fb2677220ae91e20d8b6</t>
        </is>
      </c>
      <c r="BB14" t="inlineStr">
        <is>
          <t>learned_lr</t>
        </is>
      </c>
      <c r="BC14" t="inlineStr">
        <is>
          <t>mlb-elo-trend-lr-v7</t>
        </is>
      </c>
      <c r="BD14" t="inlineStr">
        <is>
          <t>464eef695bfbbdaa819ec6f5e4c5bd1068ed20b92915fb2677220ae91e20d8b6</t>
        </is>
      </c>
      <c r="BE14" t="inlineStr">
        <is>
          <t>3f3c29dbbe5296b9</t>
        </is>
      </c>
      <c r="BF14" t="n">
        <v>1</v>
      </c>
      <c r="BG14" t="inlineStr">
        <is>
          <t>mlb-elo-trend-lr-v7</t>
        </is>
      </c>
      <c r="BH14" t="inlineStr">
        <is>
          <t>2026-07-31T00:56:01.505308Z</t>
        </is>
      </c>
      <c r="BI14" t="inlineStr">
        <is>
          <t>["same_event","same_team_same_day","same_league_same_day"]</t>
        </is>
      </c>
      <c r="BJ14" t="inlineStr"/>
      <c r="BK14" t="n">
        <v>-178</v>
      </c>
      <c r="BL14" t="n">
        <v>1.561798</v>
      </c>
      <c r="BM14" t="n">
        <v>0.640288</v>
      </c>
      <c r="BN14" t="n">
        <v>0.636816</v>
      </c>
      <c r="BO14" t="inlineStr"/>
      <c r="BP14" t="inlineStr"/>
      <c r="BQ14" t="n">
        <v>1.561798</v>
      </c>
      <c r="BR14" t="n">
        <v>0.64</v>
      </c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n">
        <v>0.3783729617</v>
      </c>
      <c r="CD14" t="n">
        <v>-0.254128</v>
      </c>
      <c r="CE14" t="n">
        <v>1.153</v>
      </c>
      <c r="CF14" t="n">
        <v>1</v>
      </c>
      <c r="CG14" t="n">
        <v>1.8</v>
      </c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</row>
    <row r="15">
      <c r="A15" t="inlineStr">
        <is>
          <t>d0285face10c45c4</t>
        </is>
      </c>
      <c r="B15" t="inlineStr">
        <is>
          <t>2026-07-31T00:56:17.350684Z</t>
        </is>
      </c>
      <c r="C15" t="inlineStr">
        <is>
          <t>2026-07-30T21:40:00-0400</t>
        </is>
      </c>
      <c r="D15" t="inlineStr">
        <is>
          <t>401816331</t>
        </is>
      </c>
      <c r="E15" t="inlineStr">
        <is>
          <t>MLB</t>
        </is>
      </c>
      <c r="F15" t="inlineStr">
        <is>
          <t>San Francisco Giants</t>
        </is>
      </c>
      <c r="G15" t="inlineStr">
        <is>
          <t>San Diego Padres</t>
        </is>
      </c>
      <c r="H15" t="inlineStr">
        <is>
          <t>moneyline</t>
        </is>
      </c>
      <c r="I15" t="inlineStr">
        <is>
          <t>home</t>
        </is>
      </c>
      <c r="J15" t="inlineStr"/>
      <c r="K15" t="inlineStr">
        <is>
          <t>polymarket_us</t>
        </is>
      </c>
      <c r="L15" t="n">
        <v>-153</v>
      </c>
      <c r="M15" t="n">
        <v>1.653595</v>
      </c>
      <c r="N15" t="n">
        <v>0.604743</v>
      </c>
      <c r="O15" t="n">
        <v>0.594482</v>
      </c>
      <c r="P15" t="inlineStr"/>
      <c r="Q15" t="n">
        <v>-0.010261</v>
      </c>
      <c r="R15" t="n">
        <v>16</v>
      </c>
      <c r="S15" t="n">
        <v>1.5</v>
      </c>
      <c r="T15" t="inlineStr">
        <is>
          <t>mlb-elo-trend-lr-v7</t>
        </is>
      </c>
      <c r="U15" t="inlineStr">
        <is>
          <t>settled</t>
        </is>
      </c>
      <c r="V15" t="inlineStr">
        <is>
          <t>loss</t>
        </is>
      </c>
      <c r="W15" t="n">
        <v>4</v>
      </c>
      <c r="X15" t="n">
        <v>1</v>
      </c>
      <c r="Y15" t="inlineStr"/>
      <c r="Z15" t="n">
        <v>-153</v>
      </c>
      <c r="AA15" t="n">
        <v>0.605</v>
      </c>
      <c r="AB15" t="n">
        <v>0.000257</v>
      </c>
      <c r="AC15" t="n">
        <v>-1.5</v>
      </c>
      <c r="AD15" t="inlineStr">
        <is>
          <t>2026-07-31T06:33:19.619630Z</t>
        </is>
      </c>
      <c r="AE15" t="inlineStr">
        <is>
          <t>Learned LR call at threshold 0.6242; executable ask 0.6050 (aec-mlb-sf-sd-2026-07-30); model edge vs ask -0.0105.</t>
        </is>
      </c>
      <c r="AF15" t="inlineStr">
        <is>
          <t>Learned model; shadow-qualified via operator override.</t>
        </is>
      </c>
      <c r="AG15" t="inlineStr">
        <is>
          <t>review_required</t>
        </is>
      </c>
      <c r="AH15" t="inlineStr"/>
      <c r="AI15" t="inlineStr"/>
      <c r="AJ15" t="inlineStr"/>
      <c r="AK15" t="inlineStr">
        <is>
          <t>model_qualified</t>
        </is>
      </c>
      <c r="AL15" t="n">
        <v>3</v>
      </c>
      <c r="AM15" t="inlineStr">
        <is>
          <t>QUALIFIED_SHADOW_CALL</t>
        </is>
      </c>
      <c r="AN15" t="inlineStr">
        <is>
          <t>CALL</t>
        </is>
      </c>
      <c r="AO15" t="inlineStr">
        <is>
          <t>QUALIFIED</t>
        </is>
      </c>
      <c r="AP15" t="inlineStr">
        <is>
          <t>mlb-sf</t>
        </is>
      </c>
      <c r="AQ15" t="inlineStr">
        <is>
          <t>San Francisco Giants</t>
        </is>
      </c>
      <c r="AR15" t="inlineStr">
        <is>
          <t>San Francisco Giants</t>
        </is>
      </c>
      <c r="AS15" t="inlineStr">
        <is>
          <t>mlb-sd</t>
        </is>
      </c>
      <c r="AT15" t="inlineStr">
        <is>
          <t>San Diego Padres</t>
        </is>
      </c>
      <c r="AU15" t="inlineStr">
        <is>
          <t>San Diego Padres</t>
        </is>
      </c>
      <c r="AV15" t="inlineStr"/>
      <c r="AW15" t="inlineStr"/>
      <c r="AX15" t="inlineStr">
        <is>
          <t>statistical_model</t>
        </is>
      </c>
      <c r="AY15" t="inlineStr"/>
      <c r="AZ15" t="inlineStr">
        <is>
          <t>shadow_qualified</t>
        </is>
      </c>
      <c r="BA15" t="inlineStr">
        <is>
          <t>464eef695bfbbdaa819ec6f5e4c5bd1068ed20b92915fb2677220ae91e20d8b6</t>
        </is>
      </c>
      <c r="BB15" t="inlineStr">
        <is>
          <t>learned_lr</t>
        </is>
      </c>
      <c r="BC15" t="inlineStr">
        <is>
          <t>mlb-elo-trend-lr-v7</t>
        </is>
      </c>
      <c r="BD15" t="inlineStr">
        <is>
          <t>464eef695bfbbdaa819ec6f5e4c5bd1068ed20b92915fb2677220ae91e20d8b6</t>
        </is>
      </c>
      <c r="BE15" t="inlineStr">
        <is>
          <t>cd99d61acebf3df3</t>
        </is>
      </c>
      <c r="BF15" t="n">
        <v>1</v>
      </c>
      <c r="BG15" t="inlineStr">
        <is>
          <t>mlb-elo-trend-lr-v7</t>
        </is>
      </c>
      <c r="BH15" t="inlineStr">
        <is>
          <t>2026-07-31T00:56:02.562469Z</t>
        </is>
      </c>
      <c r="BI15" t="inlineStr">
        <is>
          <t>["same_event","same_team_same_day","same_league_same_day"]</t>
        </is>
      </c>
      <c r="BJ15" t="inlineStr"/>
      <c r="BK15" t="n">
        <v>-153</v>
      </c>
      <c r="BL15" t="n">
        <v>1.653595</v>
      </c>
      <c r="BM15" t="n">
        <v>0.604743</v>
      </c>
      <c r="BN15" t="n">
        <v>0.60199</v>
      </c>
      <c r="BO15" t="inlineStr"/>
      <c r="BP15" t="inlineStr"/>
      <c r="BQ15" t="n">
        <v>1.653595</v>
      </c>
      <c r="BR15" t="n">
        <v>0.605</v>
      </c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n">
        <v>0.5827558821</v>
      </c>
      <c r="CD15" t="n">
        <v>-1.602098</v>
      </c>
      <c r="CE15" t="n">
        <v>0.945</v>
      </c>
      <c r="CF15" t="n">
        <v>1.0064</v>
      </c>
      <c r="CG15" t="n">
        <v>-0.2</v>
      </c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</row>
    <row r="16">
      <c r="A16" t="inlineStr">
        <is>
          <t>900f83cbf1b24916</t>
        </is>
      </c>
      <c r="B16" t="inlineStr">
        <is>
          <t>2026-07-31T00:56:17.350684Z</t>
        </is>
      </c>
      <c r="C16" t="inlineStr">
        <is>
          <t>2026-07-30T22:10:00-0400</t>
        </is>
      </c>
      <c r="D16" t="inlineStr">
        <is>
          <t>401816330</t>
        </is>
      </c>
      <c r="E16" t="inlineStr">
        <is>
          <t>MLB</t>
        </is>
      </c>
      <c r="F16" t="inlineStr">
        <is>
          <t>Seattle Mariners</t>
        </is>
      </c>
      <c r="G16" t="inlineStr">
        <is>
          <t>Los Angeles Dodgers</t>
        </is>
      </c>
      <c r="H16" t="inlineStr">
        <is>
          <t>moneyline</t>
        </is>
      </c>
      <c r="I16" t="inlineStr">
        <is>
          <t>home</t>
        </is>
      </c>
      <c r="J16" t="inlineStr"/>
      <c r="K16" t="inlineStr">
        <is>
          <t>polymarket_us</t>
        </is>
      </c>
      <c r="L16" t="n">
        <v>-141</v>
      </c>
      <c r="M16" t="n">
        <v>1.70922</v>
      </c>
      <c r="N16" t="n">
        <v>0.585062</v>
      </c>
      <c r="O16" t="n">
        <v>0.594031</v>
      </c>
      <c r="P16" t="inlineStr"/>
      <c r="Q16" t="n">
        <v>0.008969</v>
      </c>
      <c r="R16" t="n">
        <v>26</v>
      </c>
      <c r="S16" t="n">
        <v>1.5</v>
      </c>
      <c r="T16" t="inlineStr">
        <is>
          <t>mlb-elo-trend-lr-v7</t>
        </is>
      </c>
      <c r="U16" t="inlineStr">
        <is>
          <t>settled</t>
        </is>
      </c>
      <c r="V16" t="inlineStr">
        <is>
          <t>win</t>
        </is>
      </c>
      <c r="W16" t="n">
        <v>2</v>
      </c>
      <c r="X16" t="n">
        <v>6</v>
      </c>
      <c r="Y16" t="inlineStr"/>
      <c r="Z16" t="n">
        <v>-141</v>
      </c>
      <c r="AA16" t="n">
        <v>0.585</v>
      </c>
      <c r="AB16" t="n">
        <v>-6.2e-05</v>
      </c>
      <c r="AC16" t="n">
        <v>1.0638</v>
      </c>
      <c r="AD16" t="inlineStr">
        <is>
          <t>2026-07-31T06:33:19.889431Z</t>
        </is>
      </c>
      <c r="AE16" t="inlineStr">
        <is>
          <t>Learned LR call at threshold 0.6242; executable ask 0.5850 (aec-mlb-sea-lad-2026-07-30); model edge vs ask +0.0090.</t>
        </is>
      </c>
      <c r="AF16" t="inlineStr">
        <is>
          <t>Learned model; shadow-qualified via operator override.</t>
        </is>
      </c>
      <c r="AG16" t="inlineStr">
        <is>
          <t>not_applicable</t>
        </is>
      </c>
      <c r="AH16" t="inlineStr"/>
      <c r="AI16" t="inlineStr"/>
      <c r="AJ16" t="inlineStr"/>
      <c r="AK16" t="inlineStr">
        <is>
          <t>model_qualified</t>
        </is>
      </c>
      <c r="AL16" t="n">
        <v>3</v>
      </c>
      <c r="AM16" t="inlineStr">
        <is>
          <t>QUALIFIED_SHADOW_CALL</t>
        </is>
      </c>
      <c r="AN16" t="inlineStr">
        <is>
          <t>CALL</t>
        </is>
      </c>
      <c r="AO16" t="inlineStr">
        <is>
          <t>QUALIFIED</t>
        </is>
      </c>
      <c r="AP16" t="inlineStr">
        <is>
          <t>mlb-sea</t>
        </is>
      </c>
      <c r="AQ16" t="inlineStr">
        <is>
          <t>Seattle Mariners</t>
        </is>
      </c>
      <c r="AR16" t="inlineStr">
        <is>
          <t>Seattle Mariners</t>
        </is>
      </c>
      <c r="AS16" t="inlineStr">
        <is>
          <t>mlb-lad</t>
        </is>
      </c>
      <c r="AT16" t="inlineStr">
        <is>
          <t>Los Angeles Dodgers</t>
        </is>
      </c>
      <c r="AU16" t="inlineStr">
        <is>
          <t>Los Angeles Dodgers</t>
        </is>
      </c>
      <c r="AV16" t="inlineStr"/>
      <c r="AW16" t="inlineStr"/>
      <c r="AX16" t="inlineStr">
        <is>
          <t>statistical_model</t>
        </is>
      </c>
      <c r="AY16" t="inlineStr"/>
      <c r="AZ16" t="inlineStr">
        <is>
          <t>shadow_qualified</t>
        </is>
      </c>
      <c r="BA16" t="inlineStr">
        <is>
          <t>464eef695bfbbdaa819ec6f5e4c5bd1068ed20b92915fb2677220ae91e20d8b6</t>
        </is>
      </c>
      <c r="BB16" t="inlineStr">
        <is>
          <t>learned_lr</t>
        </is>
      </c>
      <c r="BC16" t="inlineStr">
        <is>
          <t>mlb-elo-trend-lr-v7</t>
        </is>
      </c>
      <c r="BD16" t="inlineStr">
        <is>
          <t>464eef695bfbbdaa819ec6f5e4c5bd1068ed20b92915fb2677220ae91e20d8b6</t>
        </is>
      </c>
      <c r="BE16" t="inlineStr">
        <is>
          <t>50a6605683799b36</t>
        </is>
      </c>
      <c r="BF16" t="n">
        <v>1</v>
      </c>
      <c r="BG16" t="inlineStr">
        <is>
          <t>mlb-elo-trend-lr-v7</t>
        </is>
      </c>
      <c r="BH16" t="inlineStr">
        <is>
          <t>2026-07-31T00:56:03.538198Z</t>
        </is>
      </c>
      <c r="BI16" t="inlineStr">
        <is>
          <t>["same_event","same_team_same_day","same_league_same_day"]</t>
        </is>
      </c>
      <c r="BJ16" t="inlineStr"/>
      <c r="BK16" t="n">
        <v>-141</v>
      </c>
      <c r="BL16" t="n">
        <v>1.70922</v>
      </c>
      <c r="BM16" t="n">
        <v>0.585062</v>
      </c>
      <c r="BN16" t="n">
        <v>0.58209</v>
      </c>
      <c r="BO16" t="inlineStr"/>
      <c r="BP16" t="inlineStr"/>
      <c r="BQ16" t="n">
        <v>1.70922</v>
      </c>
      <c r="BR16" t="n">
        <v>0.585</v>
      </c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n">
        <v>0.6206920571</v>
      </c>
      <c r="CD16" t="n">
        <v>-0.391563</v>
      </c>
      <c r="CE16" t="n">
        <v>1.026</v>
      </c>
      <c r="CF16" t="n">
        <v>1.0117</v>
      </c>
      <c r="CG16" t="n">
        <v>-0.4</v>
      </c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</row>
    <row r="17">
      <c r="A17" t="inlineStr">
        <is>
          <t>a3ad33bbbacf4164</t>
        </is>
      </c>
      <c r="B17" t="inlineStr">
        <is>
          <t>2026-07-31T16:46:24.073866Z</t>
        </is>
      </c>
      <c r="C17" t="inlineStr">
        <is>
          <t>2026-07-31T14:20:00-0400</t>
        </is>
      </c>
      <c r="D17" t="inlineStr">
        <is>
          <t>401816339</t>
        </is>
      </c>
      <c r="E17" t="inlineStr">
        <is>
          <t>MLB</t>
        </is>
      </c>
      <c r="F17" t="inlineStr">
        <is>
          <t>New York Yankees</t>
        </is>
      </c>
      <c r="G17" t="inlineStr">
        <is>
          <t>Chicago Cubs</t>
        </is>
      </c>
      <c r="H17" t="inlineStr">
        <is>
          <t>moneyline</t>
        </is>
      </c>
      <c r="I17" t="inlineStr">
        <is>
          <t>home</t>
        </is>
      </c>
      <c r="J17" t="inlineStr"/>
      <c r="K17" t="inlineStr">
        <is>
          <t>polymarket_us</t>
        </is>
      </c>
      <c r="L17" t="n">
        <v>-147</v>
      </c>
      <c r="M17" t="n">
        <v>1.680272</v>
      </c>
      <c r="N17" t="n">
        <v>0.5951419999999999</v>
      </c>
      <c r="O17" t="n">
        <v>0.543986</v>
      </c>
      <c r="P17" t="inlineStr"/>
      <c r="Q17" t="n">
        <v>-0.051156</v>
      </c>
      <c r="R17" t="n">
        <v>0</v>
      </c>
      <c r="S17" t="n">
        <v>1</v>
      </c>
      <c r="T17" t="inlineStr">
        <is>
          <t>mlb-elo-trend-lr-v7</t>
        </is>
      </c>
      <c r="U17" t="inlineStr">
        <is>
          <t>settled</t>
        </is>
      </c>
      <c r="V17" t="inlineStr">
        <is>
          <t>loss</t>
        </is>
      </c>
      <c r="W17" t="n">
        <v>2</v>
      </c>
      <c r="X17" t="n">
        <v>0</v>
      </c>
      <c r="Y17" t="inlineStr"/>
      <c r="Z17" t="n">
        <v>-147</v>
      </c>
      <c r="AA17" t="n">
        <v>0.595</v>
      </c>
      <c r="AB17" t="n">
        <v>-0.000142</v>
      </c>
      <c r="AC17" t="n">
        <v>-1</v>
      </c>
      <c r="AD17" t="inlineStr">
        <is>
          <t>2026-07-31T21:03:18.607660Z</t>
        </is>
      </c>
      <c r="AE17" t="inlineStr">
        <is>
          <t>Learned LR call at threshold 0.6242; executable ask 0.5950 (aec-mlb-nyy-chc-2026-07-31); model edge vs ask -0.0510.</t>
        </is>
      </c>
      <c r="AF17" t="inlineStr">
        <is>
          <t>Learned model; shadow-qualified via operator override.</t>
        </is>
      </c>
      <c r="AG17" t="inlineStr">
        <is>
          <t>review_required</t>
        </is>
      </c>
      <c r="AH17" t="inlineStr"/>
      <c r="AI17" t="inlineStr"/>
      <c r="AJ17" t="inlineStr"/>
      <c r="AK17" t="inlineStr">
        <is>
          <t>model_qualified</t>
        </is>
      </c>
      <c r="AL17" t="n">
        <v>3</v>
      </c>
      <c r="AM17" t="inlineStr">
        <is>
          <t>QUALIFIED_SHADOW_CALL</t>
        </is>
      </c>
      <c r="AN17" t="inlineStr">
        <is>
          <t>CALL</t>
        </is>
      </c>
      <c r="AO17" t="inlineStr">
        <is>
          <t>QUALIFIED</t>
        </is>
      </c>
      <c r="AP17" t="inlineStr">
        <is>
          <t>mlb-nyy</t>
        </is>
      </c>
      <c r="AQ17" t="inlineStr">
        <is>
          <t>New York Yankees</t>
        </is>
      </c>
      <c r="AR17" t="inlineStr">
        <is>
          <t>New York Yankees</t>
        </is>
      </c>
      <c r="AS17" t="inlineStr">
        <is>
          <t>mlb-chc</t>
        </is>
      </c>
      <c r="AT17" t="inlineStr">
        <is>
          <t>Chicago Cubs</t>
        </is>
      </c>
      <c r="AU17" t="inlineStr">
        <is>
          <t>Chicago Cubs</t>
        </is>
      </c>
      <c r="AV17" t="inlineStr"/>
      <c r="AW17" t="inlineStr"/>
      <c r="AX17" t="inlineStr">
        <is>
          <t>statistical_model</t>
        </is>
      </c>
      <c r="AY17" t="inlineStr"/>
      <c r="AZ17" t="inlineStr">
        <is>
          <t>shadow_qualified</t>
        </is>
      </c>
      <c r="BA17" t="inlineStr">
        <is>
          <t>464eef695bfbbdaa819ec6f5e4c5bd1068ed20b92915fb2677220ae91e20d8b6</t>
        </is>
      </c>
      <c r="BB17" t="inlineStr">
        <is>
          <t>learned_lr</t>
        </is>
      </c>
      <c r="BC17" t="inlineStr">
        <is>
          <t>mlb-elo-trend-lr-v7</t>
        </is>
      </c>
      <c r="BD17" t="inlineStr">
        <is>
          <t>464eef695bfbbdaa819ec6f5e4c5bd1068ed20b92915fb2677220ae91e20d8b6</t>
        </is>
      </c>
      <c r="BE17" t="inlineStr">
        <is>
          <t>e8343472130f370f</t>
        </is>
      </c>
      <c r="BF17" t="n">
        <v>1</v>
      </c>
      <c r="BG17" t="inlineStr">
        <is>
          <t>mlb-elo-trend-lr-v7</t>
        </is>
      </c>
      <c r="BH17" t="inlineStr">
        <is>
          <t>2026-07-31T16:45:32.204120Z</t>
        </is>
      </c>
      <c r="BI17" t="inlineStr">
        <is>
          <t>["same_event","same_team_same_day","same_league_same_day"]</t>
        </is>
      </c>
      <c r="BJ17" t="inlineStr"/>
      <c r="BK17" t="n">
        <v>-147</v>
      </c>
      <c r="BL17" t="n">
        <v>1.680272</v>
      </c>
      <c r="BM17" t="n">
        <v>0.5951419999999999</v>
      </c>
      <c r="BN17" t="n">
        <v>0.59204</v>
      </c>
      <c r="BO17" t="inlineStr"/>
      <c r="BP17" t="inlineStr"/>
      <c r="BQ17" t="n">
        <v>1.680272</v>
      </c>
      <c r="BR17" t="n">
        <v>0.595</v>
      </c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n">
        <v>0.5477638437</v>
      </c>
      <c r="CD17" t="n">
        <v>0.6277</v>
      </c>
      <c r="CE17" t="n">
        <v>0.986</v>
      </c>
      <c r="CF17" t="n">
        <v>1.014</v>
      </c>
      <c r="CG17" t="n">
        <v>-1.6</v>
      </c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</row>
    <row r="18">
      <c r="A18" t="inlineStr">
        <is>
          <t>7511f4b8eba14436</t>
        </is>
      </c>
      <c r="B18" t="inlineStr">
        <is>
          <t>2026-07-31T21:05:22.115641Z</t>
        </is>
      </c>
      <c r="C18" t="inlineStr">
        <is>
          <t>2026-07-31T18:10:00-0400</t>
        </is>
      </c>
      <c r="D18" t="inlineStr">
        <is>
          <t>401816336</t>
        </is>
      </c>
      <c r="E18" t="inlineStr">
        <is>
          <t>MLB</t>
        </is>
      </c>
      <c r="F18" t="inlineStr">
        <is>
          <t>Pittsburgh Pirates</t>
        </is>
      </c>
      <c r="G18" t="inlineStr">
        <is>
          <t>Cincinnati Reds</t>
        </is>
      </c>
      <c r="H18" t="inlineStr">
        <is>
          <t>moneyline</t>
        </is>
      </c>
      <c r="I18" t="inlineStr">
        <is>
          <t>away</t>
        </is>
      </c>
      <c r="J18" t="inlineStr"/>
      <c r="K18" t="inlineStr">
        <is>
          <t>polymarket_us</t>
        </is>
      </c>
      <c r="L18" t="n">
        <v>-117</v>
      </c>
      <c r="M18" t="n">
        <v>1.854701</v>
      </c>
      <c r="N18" t="n">
        <v>0.539171</v>
      </c>
      <c r="O18" t="n">
        <v>0.519691</v>
      </c>
      <c r="P18" t="inlineStr"/>
      <c r="Q18" t="n">
        <v>-0.01948</v>
      </c>
      <c r="R18" t="n">
        <v>11</v>
      </c>
      <c r="S18" t="n">
        <v>1</v>
      </c>
      <c r="T18" t="inlineStr">
        <is>
          <t>mlb-elo-trend-lr-v7</t>
        </is>
      </c>
      <c r="U18" t="inlineStr">
        <is>
          <t>settled</t>
        </is>
      </c>
      <c r="V18" t="inlineStr">
        <is>
          <t>loss</t>
        </is>
      </c>
      <c r="W18" t="n">
        <v>7</v>
      </c>
      <c r="X18" t="n">
        <v>8</v>
      </c>
      <c r="Y18" t="inlineStr"/>
      <c r="Z18" t="n">
        <v>-117</v>
      </c>
      <c r="AA18" t="n">
        <v>0.54</v>
      </c>
      <c r="AB18" t="n">
        <v>0.000829</v>
      </c>
      <c r="AC18" t="n">
        <v>-1</v>
      </c>
      <c r="AD18" t="inlineStr">
        <is>
          <t>2026-08-01T02:59:56.515873Z</t>
        </is>
      </c>
      <c r="AE18" t="inlineStr">
        <is>
          <t>Learned LR call at threshold 0.6242; executable ask 0.5400 (aec-mlb-pit-cin-2026-07-31); model edge vs ask -0.0203.</t>
        </is>
      </c>
      <c r="AF18" t="inlineStr">
        <is>
          <t>Learned model; shadow-qualified via operator override.</t>
        </is>
      </c>
      <c r="AG18" t="inlineStr">
        <is>
          <t>review_required</t>
        </is>
      </c>
      <c r="AH18" t="inlineStr"/>
      <c r="AI18" t="inlineStr"/>
      <c r="AJ18" t="inlineStr"/>
      <c r="AK18" t="inlineStr">
        <is>
          <t>model_qualified</t>
        </is>
      </c>
      <c r="AL18" t="n">
        <v>3</v>
      </c>
      <c r="AM18" t="inlineStr">
        <is>
          <t>QUALIFIED_SHADOW_CALL</t>
        </is>
      </c>
      <c r="AN18" t="inlineStr">
        <is>
          <t>CALL</t>
        </is>
      </c>
      <c r="AO18" t="inlineStr">
        <is>
          <t>QUALIFIED</t>
        </is>
      </c>
      <c r="AP18" t="inlineStr">
        <is>
          <t>mlb-pit</t>
        </is>
      </c>
      <c r="AQ18" t="inlineStr">
        <is>
          <t>Pittsburgh Pirates</t>
        </is>
      </c>
      <c r="AR18" t="inlineStr">
        <is>
          <t>Pittsburgh Pirates</t>
        </is>
      </c>
      <c r="AS18" t="inlineStr">
        <is>
          <t>mlb-cin</t>
        </is>
      </c>
      <c r="AT18" t="inlineStr">
        <is>
          <t>Cincinnati Reds</t>
        </is>
      </c>
      <c r="AU18" t="inlineStr">
        <is>
          <t>Cincinnati Reds</t>
        </is>
      </c>
      <c r="AV18" t="inlineStr"/>
      <c r="AW18" t="inlineStr"/>
      <c r="AX18" t="inlineStr">
        <is>
          <t>statistical_model</t>
        </is>
      </c>
      <c r="AY18" t="inlineStr"/>
      <c r="AZ18" t="inlineStr">
        <is>
          <t>shadow_qualified</t>
        </is>
      </c>
      <c r="BA18" t="inlineStr">
        <is>
          <t>464eef695bfbbdaa819ec6f5e4c5bd1068ed20b92915fb2677220ae91e20d8b6</t>
        </is>
      </c>
      <c r="BB18" t="inlineStr">
        <is>
          <t>learned_lr</t>
        </is>
      </c>
      <c r="BC18" t="inlineStr">
        <is>
          <t>mlb-elo-trend-lr-v7</t>
        </is>
      </c>
      <c r="BD18" t="inlineStr">
        <is>
          <t>464eef695bfbbdaa819ec6f5e4c5bd1068ed20b92915fb2677220ae91e20d8b6</t>
        </is>
      </c>
      <c r="BE18" t="inlineStr">
        <is>
          <t>87db1c842ab8959c</t>
        </is>
      </c>
      <c r="BF18" t="n">
        <v>1</v>
      </c>
      <c r="BG18" t="inlineStr">
        <is>
          <t>mlb-elo-trend-lr-v7</t>
        </is>
      </c>
      <c r="BH18" t="inlineStr">
        <is>
          <t>2026-07-31T21:04:14.582367Z</t>
        </is>
      </c>
      <c r="BI18" t="inlineStr">
        <is>
          <t>["same_event","same_team_same_day","same_league_same_day"]</t>
        </is>
      </c>
      <c r="BJ18" t="inlineStr"/>
      <c r="BK18" t="n">
        <v>-117</v>
      </c>
      <c r="BL18" t="n">
        <v>1.854701</v>
      </c>
      <c r="BM18" t="n">
        <v>0.539171</v>
      </c>
      <c r="BN18" t="n">
        <v>0.537313</v>
      </c>
      <c r="BO18" t="inlineStr"/>
      <c r="BP18" t="inlineStr"/>
      <c r="BQ18" t="n">
        <v>1.854701</v>
      </c>
      <c r="BR18" t="n">
        <v>0.54</v>
      </c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n">
        <v>0.4930079966</v>
      </c>
      <c r="CD18" t="n">
        <v>0.7893520000000001</v>
      </c>
      <c r="CE18" t="n">
        <v>1.036</v>
      </c>
      <c r="CF18" t="n">
        <v>1.0173</v>
      </c>
      <c r="CG18" t="n">
        <v>-1.2</v>
      </c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</row>
    <row r="19">
      <c r="A19" t="inlineStr">
        <is>
          <t>18511f34209b4f46</t>
        </is>
      </c>
      <c r="B19" t="inlineStr">
        <is>
          <t>2026-07-31T21:05:22.115641Z</t>
        </is>
      </c>
      <c r="C19" t="inlineStr">
        <is>
          <t>2026-07-31T19:05:00-0400</t>
        </is>
      </c>
      <c r="D19" t="inlineStr">
        <is>
          <t>401816335</t>
        </is>
      </c>
      <c r="E19" t="inlineStr">
        <is>
          <t>MLB</t>
        </is>
      </c>
      <c r="F19" t="inlineStr">
        <is>
          <t>Philadelphia Phillies</t>
        </is>
      </c>
      <c r="G19" t="inlineStr">
        <is>
          <t>Baltimore Orioles</t>
        </is>
      </c>
      <c r="H19" t="inlineStr">
        <is>
          <t>moneyline</t>
        </is>
      </c>
      <c r="I19" t="inlineStr">
        <is>
          <t>away</t>
        </is>
      </c>
      <c r="J19" t="inlineStr"/>
      <c r="K19" t="inlineStr">
        <is>
          <t>polymarket_us</t>
        </is>
      </c>
      <c r="L19" t="n">
        <v>106</v>
      </c>
      <c r="M19" t="n">
        <v>2.06</v>
      </c>
      <c r="N19" t="n">
        <v>0.485437</v>
      </c>
      <c r="O19" t="n">
        <v>0.509459</v>
      </c>
      <c r="P19" t="inlineStr"/>
      <c r="Q19" t="n">
        <v>0.024022</v>
      </c>
      <c r="R19" t="n">
        <v>33</v>
      </c>
      <c r="S19" t="n">
        <v>1</v>
      </c>
      <c r="T19" t="inlineStr">
        <is>
          <t>mlb-elo-trend-lr-v7</t>
        </is>
      </c>
      <c r="U19" t="inlineStr">
        <is>
          <t>settled</t>
        </is>
      </c>
      <c r="V19" t="inlineStr">
        <is>
          <t>loss</t>
        </is>
      </c>
      <c r="W19" t="n">
        <v>4</v>
      </c>
      <c r="X19" t="n">
        <v>6</v>
      </c>
      <c r="Y19" t="inlineStr"/>
      <c r="Z19" t="n">
        <v>106</v>
      </c>
      <c r="AA19" t="n">
        <v>0.485</v>
      </c>
      <c r="AB19" t="n">
        <v>-0.000437</v>
      </c>
      <c r="AC19" t="n">
        <v>-1</v>
      </c>
      <c r="AD19" t="inlineStr">
        <is>
          <t>2026-08-01T02:59:56.695557Z</t>
        </is>
      </c>
      <c r="AE19" t="inlineStr">
        <is>
          <t>Learned LR call at threshold 0.6242; executable ask 0.4850 (aec-mlb-phi-bal-2026-07-31); model edge vs ask +0.0245.</t>
        </is>
      </c>
      <c r="AF19" t="inlineStr">
        <is>
          <t>Learned model; shadow-qualified via operator override.</t>
        </is>
      </c>
      <c r="AG19" t="inlineStr">
        <is>
          <t>review_required</t>
        </is>
      </c>
      <c r="AH19" t="inlineStr"/>
      <c r="AI19" t="inlineStr"/>
      <c r="AJ19" t="inlineStr"/>
      <c r="AK19" t="inlineStr">
        <is>
          <t>model_qualified</t>
        </is>
      </c>
      <c r="AL19" t="n">
        <v>3</v>
      </c>
      <c r="AM19" t="inlineStr">
        <is>
          <t>QUALIFIED_SHADOW_CALL</t>
        </is>
      </c>
      <c r="AN19" t="inlineStr">
        <is>
          <t>CALL</t>
        </is>
      </c>
      <c r="AO19" t="inlineStr">
        <is>
          <t>QUALIFIED</t>
        </is>
      </c>
      <c r="AP19" t="inlineStr">
        <is>
          <t>mlb-phi</t>
        </is>
      </c>
      <c r="AQ19" t="inlineStr">
        <is>
          <t>Philadelphia Phillies</t>
        </is>
      </c>
      <c r="AR19" t="inlineStr">
        <is>
          <t>Philadelphia Phillies</t>
        </is>
      </c>
      <c r="AS19" t="inlineStr">
        <is>
          <t>mlb-bal</t>
        </is>
      </c>
      <c r="AT19" t="inlineStr">
        <is>
          <t>Baltimore Orioles</t>
        </is>
      </c>
      <c r="AU19" t="inlineStr">
        <is>
          <t>Baltimore Orioles</t>
        </is>
      </c>
      <c r="AV19" t="inlineStr"/>
      <c r="AW19" t="inlineStr"/>
      <c r="AX19" t="inlineStr">
        <is>
          <t>statistical_model</t>
        </is>
      </c>
      <c r="AY19" t="inlineStr"/>
      <c r="AZ19" t="inlineStr">
        <is>
          <t>shadow_qualified</t>
        </is>
      </c>
      <c r="BA19" t="inlineStr">
        <is>
          <t>464eef695bfbbdaa819ec6f5e4c5bd1068ed20b92915fb2677220ae91e20d8b6</t>
        </is>
      </c>
      <c r="BB19" t="inlineStr">
        <is>
          <t>learned_lr</t>
        </is>
      </c>
      <c r="BC19" t="inlineStr">
        <is>
          <t>mlb-elo-trend-lr-v7</t>
        </is>
      </c>
      <c r="BD19" t="inlineStr">
        <is>
          <t>464eef695bfbbdaa819ec6f5e4c5bd1068ed20b92915fb2677220ae91e20d8b6</t>
        </is>
      </c>
      <c r="BE19" t="inlineStr">
        <is>
          <t>1b69a14f3893f0c1</t>
        </is>
      </c>
      <c r="BF19" t="n">
        <v>1</v>
      </c>
      <c r="BG19" t="inlineStr">
        <is>
          <t>mlb-elo-trend-lr-v7</t>
        </is>
      </c>
      <c r="BH19" t="inlineStr">
        <is>
          <t>2026-07-31T21:04:15.613897Z</t>
        </is>
      </c>
      <c r="BI19" t="inlineStr">
        <is>
          <t>["same_event","same_team_same_day","same_league_same_day"]</t>
        </is>
      </c>
      <c r="BJ19" t="inlineStr"/>
      <c r="BK19" t="n">
        <v>106</v>
      </c>
      <c r="BL19" t="n">
        <v>2.06</v>
      </c>
      <c r="BM19" t="n">
        <v>0.485437</v>
      </c>
      <c r="BN19" t="n">
        <v>0.482587</v>
      </c>
      <c r="BO19" t="inlineStr"/>
      <c r="BP19" t="inlineStr"/>
      <c r="BQ19" t="n">
        <v>2.06</v>
      </c>
      <c r="BR19" t="n">
        <v>0.485</v>
      </c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n">
        <v>0.4867559615</v>
      </c>
      <c r="CD19" t="n">
        <v>0.736702</v>
      </c>
      <c r="CE19" t="n">
        <v>1.03</v>
      </c>
      <c r="CF19" t="n">
        <v>1.0165</v>
      </c>
      <c r="CG19" t="n">
        <v>3.2</v>
      </c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</row>
    <row r="20">
      <c r="A20" t="inlineStr">
        <is>
          <t>65f9af1bb6f84870</t>
        </is>
      </c>
      <c r="B20" t="inlineStr">
        <is>
          <t>2026-07-31T21:05:22.115641Z</t>
        </is>
      </c>
      <c r="C20" t="inlineStr">
        <is>
          <t>2026-07-31T19:07:00-0400</t>
        </is>
      </c>
      <c r="D20" t="inlineStr">
        <is>
          <t>401816337</t>
        </is>
      </c>
      <c r="E20" t="inlineStr">
        <is>
          <t>MLB</t>
        </is>
      </c>
      <c r="F20" t="inlineStr">
        <is>
          <t>St. Louis Cardinals</t>
        </is>
      </c>
      <c r="G20" t="inlineStr">
        <is>
          <t>Toronto Blue Jays</t>
        </is>
      </c>
      <c r="H20" t="inlineStr">
        <is>
          <t>moneyline</t>
        </is>
      </c>
      <c r="I20" t="inlineStr">
        <is>
          <t>home</t>
        </is>
      </c>
      <c r="J20" t="inlineStr"/>
      <c r="K20" t="inlineStr">
        <is>
          <t>polymarket_us</t>
        </is>
      </c>
      <c r="L20" t="n">
        <v>-170</v>
      </c>
      <c r="M20" t="n">
        <v>1.588235</v>
      </c>
      <c r="N20" t="n">
        <v>0.62963</v>
      </c>
      <c r="O20" t="n">
        <v>0.5350549999999999</v>
      </c>
      <c r="P20" t="inlineStr"/>
      <c r="Q20" t="n">
        <v>-0.09457500000000001</v>
      </c>
      <c r="R20" t="n">
        <v>0</v>
      </c>
      <c r="S20" t="n">
        <v>1</v>
      </c>
      <c r="T20" t="inlineStr">
        <is>
          <t>mlb-elo-trend-lr-v7</t>
        </is>
      </c>
      <c r="U20" t="inlineStr">
        <is>
          <t>settled</t>
        </is>
      </c>
      <c r="V20" t="inlineStr">
        <is>
          <t>win</t>
        </is>
      </c>
      <c r="W20" t="n">
        <v>1</v>
      </c>
      <c r="X20" t="n">
        <v>3</v>
      </c>
      <c r="Y20" t="inlineStr"/>
      <c r="Z20" t="n">
        <v>-170</v>
      </c>
      <c r="AA20" t="n">
        <v>0.63</v>
      </c>
      <c r="AB20" t="n">
        <v>0.00037</v>
      </c>
      <c r="AC20" t="n">
        <v>0.5881999999999999</v>
      </c>
      <c r="AD20" t="inlineStr">
        <is>
          <t>2026-08-01T02:59:56.851630Z</t>
        </is>
      </c>
      <c r="AE20" t="inlineStr">
        <is>
          <t>Learned LR call at threshold 0.6242; executable ask 0.6300 (aec-mlb-stl-tor-2026-07-31); model edge vs ask -0.0949.</t>
        </is>
      </c>
      <c r="AF20" t="inlineStr">
        <is>
          <t>Learned model; shadow-qualified via operator override.</t>
        </is>
      </c>
      <c r="AG20" t="inlineStr">
        <is>
          <t>not_applicable</t>
        </is>
      </c>
      <c r="AH20" t="inlineStr"/>
      <c r="AI20" t="inlineStr"/>
      <c r="AJ20" t="inlineStr"/>
      <c r="AK20" t="inlineStr">
        <is>
          <t>model_qualified</t>
        </is>
      </c>
      <c r="AL20" t="n">
        <v>3</v>
      </c>
      <c r="AM20" t="inlineStr">
        <is>
          <t>QUALIFIED_SHADOW_CALL</t>
        </is>
      </c>
      <c r="AN20" t="inlineStr">
        <is>
          <t>CALL</t>
        </is>
      </c>
      <c r="AO20" t="inlineStr">
        <is>
          <t>QUALIFIED</t>
        </is>
      </c>
      <c r="AP20" t="inlineStr">
        <is>
          <t>mlb-stl</t>
        </is>
      </c>
      <c r="AQ20" t="inlineStr">
        <is>
          <t>St. Louis Cardinals</t>
        </is>
      </c>
      <c r="AR20" t="inlineStr">
        <is>
          <t>St. Louis Cardinals</t>
        </is>
      </c>
      <c r="AS20" t="inlineStr">
        <is>
          <t>mlb-tor</t>
        </is>
      </c>
      <c r="AT20" t="inlineStr">
        <is>
          <t>Toronto Blue Jays</t>
        </is>
      </c>
      <c r="AU20" t="inlineStr">
        <is>
          <t>Toronto Blue Jays</t>
        </is>
      </c>
      <c r="AV20" t="inlineStr"/>
      <c r="AW20" t="inlineStr"/>
      <c r="AX20" t="inlineStr">
        <is>
          <t>statistical_model</t>
        </is>
      </c>
      <c r="AY20" t="inlineStr"/>
      <c r="AZ20" t="inlineStr">
        <is>
          <t>shadow_qualified</t>
        </is>
      </c>
      <c r="BA20" t="inlineStr">
        <is>
          <t>464eef695bfbbdaa819ec6f5e4c5bd1068ed20b92915fb2677220ae91e20d8b6</t>
        </is>
      </c>
      <c r="BB20" t="inlineStr">
        <is>
          <t>learned_lr</t>
        </is>
      </c>
      <c r="BC20" t="inlineStr">
        <is>
          <t>mlb-elo-trend-lr-v7</t>
        </is>
      </c>
      <c r="BD20" t="inlineStr">
        <is>
          <t>464eef695bfbbdaa819ec6f5e4c5bd1068ed20b92915fb2677220ae91e20d8b6</t>
        </is>
      </c>
      <c r="BE20" t="inlineStr">
        <is>
          <t>d656c6c15db18eba</t>
        </is>
      </c>
      <c r="BF20" t="n">
        <v>1</v>
      </c>
      <c r="BG20" t="inlineStr">
        <is>
          <t>mlb-elo-trend-lr-v7</t>
        </is>
      </c>
      <c r="BH20" t="inlineStr">
        <is>
          <t>2026-07-31T21:04:16.588388Z</t>
        </is>
      </c>
      <c r="BI20" t="inlineStr">
        <is>
          <t>["same_event","same_team_same_day","same_league_same_day"]</t>
        </is>
      </c>
      <c r="BJ20" t="inlineStr"/>
      <c r="BK20" t="n">
        <v>-170</v>
      </c>
      <c r="BL20" t="n">
        <v>1.588235</v>
      </c>
      <c r="BM20" t="n">
        <v>0.62963</v>
      </c>
      <c r="BN20" t="n">
        <v>0.626866</v>
      </c>
      <c r="BO20" t="inlineStr"/>
      <c r="BP20" t="inlineStr"/>
      <c r="BQ20" t="n">
        <v>1.588235</v>
      </c>
      <c r="BR20" t="n">
        <v>0.63</v>
      </c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n">
        <v>0.5524208033</v>
      </c>
      <c r="CD20" t="n">
        <v>0.784126</v>
      </c>
      <c r="CE20" t="n">
        <v>1.019</v>
      </c>
      <c r="CF20" t="n">
        <v>1</v>
      </c>
      <c r="CG20" t="n">
        <v>-0.8</v>
      </c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</row>
    <row r="21">
      <c r="A21" t="inlineStr">
        <is>
          <t>830a7f0146484ece</t>
        </is>
      </c>
      <c r="B21" t="inlineStr">
        <is>
          <t>2026-07-31T21:05:22.115641Z</t>
        </is>
      </c>
      <c r="C21" t="inlineStr">
        <is>
          <t>2026-07-31T19:10:00-0400</t>
        </is>
      </c>
      <c r="D21" t="inlineStr">
        <is>
          <t>401816332</t>
        </is>
      </c>
      <c r="E21" t="inlineStr">
        <is>
          <t>MLB</t>
        </is>
      </c>
      <c r="F21" t="inlineStr">
        <is>
          <t>Arizona Diamondbacks</t>
        </is>
      </c>
      <c r="G21" t="inlineStr">
        <is>
          <t>Cleveland Guardians</t>
        </is>
      </c>
      <c r="H21" t="inlineStr">
        <is>
          <t>moneyline</t>
        </is>
      </c>
      <c r="I21" t="inlineStr">
        <is>
          <t>home</t>
        </is>
      </c>
      <c r="J21" t="inlineStr"/>
      <c r="K21" t="inlineStr">
        <is>
          <t>polymarket_us</t>
        </is>
      </c>
      <c r="L21" t="n">
        <v>-130</v>
      </c>
      <c r="M21" t="n">
        <v>1.769231</v>
      </c>
      <c r="N21" t="n">
        <v>0.565217</v>
      </c>
      <c r="O21" t="n">
        <v>0.544258</v>
      </c>
      <c r="P21" t="inlineStr"/>
      <c r="Q21" t="n">
        <v>-0.020959</v>
      </c>
      <c r="R21" t="n">
        <v>11</v>
      </c>
      <c r="S21" t="n">
        <v>1</v>
      </c>
      <c r="T21" t="inlineStr">
        <is>
          <t>mlb-elo-trend-lr-v7</t>
        </is>
      </c>
      <c r="U21" t="inlineStr">
        <is>
          <t>settled</t>
        </is>
      </c>
      <c r="V21" t="inlineStr">
        <is>
          <t>loss</t>
        </is>
      </c>
      <c r="W21" t="n">
        <v>4</v>
      </c>
      <c r="X21" t="n">
        <v>1</v>
      </c>
      <c r="Y21" t="inlineStr"/>
      <c r="Z21" t="n">
        <v>-130</v>
      </c>
      <c r="AA21" t="n">
        <v>0.5649999999999999</v>
      </c>
      <c r="AB21" t="n">
        <v>-0.000217</v>
      </c>
      <c r="AC21" t="n">
        <v>-1</v>
      </c>
      <c r="AD21" t="inlineStr">
        <is>
          <t>2026-08-01T02:59:57.004177Z</t>
        </is>
      </c>
      <c r="AE21" t="inlineStr">
        <is>
          <t>Learned LR call at threshold 0.6242; executable ask 0.5650 (aec-mlb-az-cle-2026-07-31); model edge vs ask -0.0207.</t>
        </is>
      </c>
      <c r="AF21" t="inlineStr">
        <is>
          <t>Learned model; shadow-qualified via operator override.</t>
        </is>
      </c>
      <c r="AG21" t="inlineStr">
        <is>
          <t>review_required</t>
        </is>
      </c>
      <c r="AH21" t="inlineStr"/>
      <c r="AI21" t="inlineStr"/>
      <c r="AJ21" t="inlineStr"/>
      <c r="AK21" t="inlineStr">
        <is>
          <t>model_qualified</t>
        </is>
      </c>
      <c r="AL21" t="n">
        <v>3</v>
      </c>
      <c r="AM21" t="inlineStr">
        <is>
          <t>QUALIFIED_SHADOW_CALL</t>
        </is>
      </c>
      <c r="AN21" t="inlineStr">
        <is>
          <t>CALL</t>
        </is>
      </c>
      <c r="AO21" t="inlineStr">
        <is>
          <t>QUALIFIED</t>
        </is>
      </c>
      <c r="AP21" t="inlineStr">
        <is>
          <t>mlb-ari</t>
        </is>
      </c>
      <c r="AQ21" t="inlineStr">
        <is>
          <t>Arizona Diamondbacks</t>
        </is>
      </c>
      <c r="AR21" t="inlineStr">
        <is>
          <t>Arizona Diamondbacks</t>
        </is>
      </c>
      <c r="AS21" t="inlineStr">
        <is>
          <t>mlb-cle</t>
        </is>
      </c>
      <c r="AT21" t="inlineStr">
        <is>
          <t>Cleveland Guardians</t>
        </is>
      </c>
      <c r="AU21" t="inlineStr">
        <is>
          <t>Cleveland Guardians</t>
        </is>
      </c>
      <c r="AV21" t="inlineStr"/>
      <c r="AW21" t="inlineStr"/>
      <c r="AX21" t="inlineStr">
        <is>
          <t>statistical_model</t>
        </is>
      </c>
      <c r="AY21" t="inlineStr"/>
      <c r="AZ21" t="inlineStr">
        <is>
          <t>shadow_qualified</t>
        </is>
      </c>
      <c r="BA21" t="inlineStr">
        <is>
          <t>464eef695bfbbdaa819ec6f5e4c5bd1068ed20b92915fb2677220ae91e20d8b6</t>
        </is>
      </c>
      <c r="BB21" t="inlineStr">
        <is>
          <t>learned_lr</t>
        </is>
      </c>
      <c r="BC21" t="inlineStr">
        <is>
          <t>mlb-elo-trend-lr-v7</t>
        </is>
      </c>
      <c r="BD21" t="inlineStr">
        <is>
          <t>464eef695bfbbdaa819ec6f5e4c5bd1068ed20b92915fb2677220ae91e20d8b6</t>
        </is>
      </c>
      <c r="BE21" t="inlineStr">
        <is>
          <t>c05f3921fd3daa13</t>
        </is>
      </c>
      <c r="BF21" t="n">
        <v>1</v>
      </c>
      <c r="BG21" t="inlineStr">
        <is>
          <t>mlb-elo-trend-lr-v7</t>
        </is>
      </c>
      <c r="BH21" t="inlineStr">
        <is>
          <t>2026-07-31T21:04:18.706060Z</t>
        </is>
      </c>
      <c r="BI21" t="inlineStr">
        <is>
          <t>["same_event","same_team_same_day","same_league_same_day"]</t>
        </is>
      </c>
      <c r="BJ21" t="inlineStr"/>
      <c r="BK21" t="n">
        <v>-130</v>
      </c>
      <c r="BL21" t="n">
        <v>1.769231</v>
      </c>
      <c r="BM21" t="n">
        <v>0.565217</v>
      </c>
      <c r="BN21" t="n">
        <v>0.562189</v>
      </c>
      <c r="BO21" t="inlineStr"/>
      <c r="BP21" t="inlineStr"/>
      <c r="BQ21" t="n">
        <v>1.769231</v>
      </c>
      <c r="BR21" t="n">
        <v>0.5649999999999999</v>
      </c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n">
        <v>0.5330748271</v>
      </c>
      <c r="CD21" t="n">
        <v>-0.52933</v>
      </c>
      <c r="CE21" t="n">
        <v>0.966</v>
      </c>
      <c r="CF21" t="n">
        <v>1.01</v>
      </c>
      <c r="CG21" t="n">
        <v>-0.4</v>
      </c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</row>
    <row r="22">
      <c r="A22" t="inlineStr">
        <is>
          <t>f5a258d873954db7</t>
        </is>
      </c>
      <c r="B22" t="inlineStr">
        <is>
          <t>2026-07-31T21:05:22.115641Z</t>
        </is>
      </c>
      <c r="C22" t="inlineStr">
        <is>
          <t>2026-07-31T19:10:00-0400</t>
        </is>
      </c>
      <c r="D22" t="inlineStr">
        <is>
          <t>401816333</t>
        </is>
      </c>
      <c r="E22" t="inlineStr">
        <is>
          <t>MLB</t>
        </is>
      </c>
      <c r="F22" t="inlineStr">
        <is>
          <t>Chicago White Sox</t>
        </is>
      </c>
      <c r="G22" t="inlineStr">
        <is>
          <t>Tampa Bay Rays</t>
        </is>
      </c>
      <c r="H22" t="inlineStr">
        <is>
          <t>moneyline</t>
        </is>
      </c>
      <c r="I22" t="inlineStr">
        <is>
          <t>home</t>
        </is>
      </c>
      <c r="J22" t="inlineStr"/>
      <c r="K22" t="inlineStr">
        <is>
          <t>polymarket_us</t>
        </is>
      </c>
      <c r="L22" t="n">
        <v>-127</v>
      </c>
      <c r="M22" t="n">
        <v>1.787402</v>
      </c>
      <c r="N22" t="n">
        <v>0.5594710000000001</v>
      </c>
      <c r="O22" t="n">
        <v>0.559082</v>
      </c>
      <c r="P22" t="inlineStr"/>
      <c r="Q22" t="n">
        <v>-0.000389</v>
      </c>
      <c r="R22" t="n">
        <v>21</v>
      </c>
      <c r="S22" t="n">
        <v>1</v>
      </c>
      <c r="T22" t="inlineStr">
        <is>
          <t>mlb-elo-trend-lr-v7</t>
        </is>
      </c>
      <c r="U22" t="inlineStr">
        <is>
          <t>settled</t>
        </is>
      </c>
      <c r="V22" t="inlineStr">
        <is>
          <t>loss</t>
        </is>
      </c>
      <c r="W22" t="n">
        <v>6</v>
      </c>
      <c r="X22" t="n">
        <v>1</v>
      </c>
      <c r="Y22" t="inlineStr"/>
      <c r="Z22" t="n">
        <v>-127</v>
      </c>
      <c r="AA22" t="n">
        <v>0.5600000000000001</v>
      </c>
      <c r="AB22" t="n">
        <v>0.000529</v>
      </c>
      <c r="AC22" t="n">
        <v>-1</v>
      </c>
      <c r="AD22" t="inlineStr">
        <is>
          <t>2026-08-01T02:59:57.156071Z</t>
        </is>
      </c>
      <c r="AE22" t="inlineStr">
        <is>
          <t>Learned LR call at threshold 0.6242; executable ask 0.5600 (aec-mlb-cws-tb-2026-07-31); model edge vs ask -0.0009.</t>
        </is>
      </c>
      <c r="AF22" t="inlineStr">
        <is>
          <t>Learned model; shadow-qualified via operator override.</t>
        </is>
      </c>
      <c r="AG22" t="inlineStr">
        <is>
          <t>review_required</t>
        </is>
      </c>
      <c r="AH22" t="inlineStr"/>
      <c r="AI22" t="inlineStr"/>
      <c r="AJ22" t="inlineStr"/>
      <c r="AK22" t="inlineStr">
        <is>
          <t>model_qualified</t>
        </is>
      </c>
      <c r="AL22" t="n">
        <v>3</v>
      </c>
      <c r="AM22" t="inlineStr">
        <is>
          <t>QUALIFIED_SHADOW_CALL</t>
        </is>
      </c>
      <c r="AN22" t="inlineStr">
        <is>
          <t>CALL</t>
        </is>
      </c>
      <c r="AO22" t="inlineStr">
        <is>
          <t>QUALIFIED</t>
        </is>
      </c>
      <c r="AP22" t="inlineStr">
        <is>
          <t>mlb-cws</t>
        </is>
      </c>
      <c r="AQ22" t="inlineStr">
        <is>
          <t>Chicago White Sox</t>
        </is>
      </c>
      <c r="AR22" t="inlineStr">
        <is>
          <t>Chicago White Sox</t>
        </is>
      </c>
      <c r="AS22" t="inlineStr">
        <is>
          <t>mlb-tb</t>
        </is>
      </c>
      <c r="AT22" t="inlineStr">
        <is>
          <t>Tampa Bay Rays</t>
        </is>
      </c>
      <c r="AU22" t="inlineStr">
        <is>
          <t>Tampa Bay Rays</t>
        </is>
      </c>
      <c r="AV22" t="inlineStr"/>
      <c r="AW22" t="inlineStr"/>
      <c r="AX22" t="inlineStr">
        <is>
          <t>statistical_model</t>
        </is>
      </c>
      <c r="AY22" t="inlineStr"/>
      <c r="AZ22" t="inlineStr">
        <is>
          <t>shadow_qualified</t>
        </is>
      </c>
      <c r="BA22" t="inlineStr">
        <is>
          <t>464eef695bfbbdaa819ec6f5e4c5bd1068ed20b92915fb2677220ae91e20d8b6</t>
        </is>
      </c>
      <c r="BB22" t="inlineStr">
        <is>
          <t>learned_lr</t>
        </is>
      </c>
      <c r="BC22" t="inlineStr">
        <is>
          <t>mlb-elo-trend-lr-v7</t>
        </is>
      </c>
      <c r="BD22" t="inlineStr">
        <is>
          <t>464eef695bfbbdaa819ec6f5e4c5bd1068ed20b92915fb2677220ae91e20d8b6</t>
        </is>
      </c>
      <c r="BE22" t="inlineStr">
        <is>
          <t>a9ebd0a8f01e6140</t>
        </is>
      </c>
      <c r="BF22" t="n">
        <v>1</v>
      </c>
      <c r="BG22" t="inlineStr">
        <is>
          <t>mlb-elo-trend-lr-v7</t>
        </is>
      </c>
      <c r="BH22" t="inlineStr">
        <is>
          <t>2026-07-31T21:04:17.593587Z</t>
        </is>
      </c>
      <c r="BI22" t="inlineStr">
        <is>
          <t>["same_event","same_team_same_day","same_league_same_day"]</t>
        </is>
      </c>
      <c r="BJ22" t="inlineStr"/>
      <c r="BK22" t="n">
        <v>-127</v>
      </c>
      <c r="BL22" t="n">
        <v>1.787402</v>
      </c>
      <c r="BM22" t="n">
        <v>0.5594710000000001</v>
      </c>
      <c r="BN22" t="n">
        <v>0.557214</v>
      </c>
      <c r="BO22" t="inlineStr"/>
      <c r="BP22" t="inlineStr"/>
      <c r="BQ22" t="n">
        <v>1.787402</v>
      </c>
      <c r="BR22" t="n">
        <v>0.5600000000000001</v>
      </c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n">
        <v>0.5584762442</v>
      </c>
      <c r="CD22" t="n">
        <v>-0.438979</v>
      </c>
      <c r="CE22" t="n">
        <v>0.965</v>
      </c>
      <c r="CF22" t="n">
        <v>1</v>
      </c>
      <c r="CG22" t="n">
        <v>-2.4</v>
      </c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</row>
    <row r="23">
      <c r="A23" t="inlineStr">
        <is>
          <t>7f3cd71981a74e45</t>
        </is>
      </c>
      <c r="B23" t="inlineStr">
        <is>
          <t>2026-07-31T21:05:22.115641Z</t>
        </is>
      </c>
      <c r="C23" t="inlineStr">
        <is>
          <t>2026-07-31T19:10:00-0400</t>
        </is>
      </c>
      <c r="D23" t="inlineStr">
        <is>
          <t>401816334</t>
        </is>
      </c>
      <c r="E23" t="inlineStr">
        <is>
          <t>MLB</t>
        </is>
      </c>
      <c r="F23" t="inlineStr">
        <is>
          <t>Miami Marlins</t>
        </is>
      </c>
      <c r="G23" t="inlineStr">
        <is>
          <t>New York Mets</t>
        </is>
      </c>
      <c r="H23" t="inlineStr">
        <is>
          <t>moneyline</t>
        </is>
      </c>
      <c r="I23" t="inlineStr">
        <is>
          <t>home</t>
        </is>
      </c>
      <c r="J23" t="inlineStr"/>
      <c r="K23" t="inlineStr">
        <is>
          <t>polymarket_us</t>
        </is>
      </c>
      <c r="L23" t="n">
        <v>-111</v>
      </c>
      <c r="M23" t="n">
        <v>1.900901</v>
      </c>
      <c r="N23" t="n">
        <v>0.526066</v>
      </c>
      <c r="O23" t="n">
        <v>0.515053</v>
      </c>
      <c r="P23" t="inlineStr"/>
      <c r="Q23" t="n">
        <v>-0.011013</v>
      </c>
      <c r="R23" t="n">
        <v>16</v>
      </c>
      <c r="S23" t="n">
        <v>1</v>
      </c>
      <c r="T23" t="inlineStr">
        <is>
          <t>mlb-elo-trend-lr-v7</t>
        </is>
      </c>
      <c r="U23" t="inlineStr">
        <is>
          <t>settled</t>
        </is>
      </c>
      <c r="V23" t="inlineStr">
        <is>
          <t>loss</t>
        </is>
      </c>
      <c r="W23" t="n">
        <v>5</v>
      </c>
      <c r="X23" t="n">
        <v>2</v>
      </c>
      <c r="Y23" t="inlineStr"/>
      <c r="Z23" t="n">
        <v>-111</v>
      </c>
      <c r="AA23" t="n">
        <v>0.525</v>
      </c>
      <c r="AB23" t="n">
        <v>-0.001066</v>
      </c>
      <c r="AC23" t="n">
        <v>-1</v>
      </c>
      <c r="AD23" t="inlineStr">
        <is>
          <t>2026-08-01T02:59:57.309166Z</t>
        </is>
      </c>
      <c r="AE23" t="inlineStr">
        <is>
          <t>Learned LR call at threshold 0.6242; executable ask 0.5250 (aec-mlb-mia-nym-2026-07-31); model edge vs ask -0.0099.</t>
        </is>
      </c>
      <c r="AF23" t="inlineStr">
        <is>
          <t>Learned model; shadow-qualified via operator override.</t>
        </is>
      </c>
      <c r="AG23" t="inlineStr">
        <is>
          <t>review_required</t>
        </is>
      </c>
      <c r="AH23" t="inlineStr"/>
      <c r="AI23" t="inlineStr"/>
      <c r="AJ23" t="inlineStr"/>
      <c r="AK23" t="inlineStr">
        <is>
          <t>model_qualified</t>
        </is>
      </c>
      <c r="AL23" t="n">
        <v>3</v>
      </c>
      <c r="AM23" t="inlineStr">
        <is>
          <t>QUALIFIED_SHADOW_CALL</t>
        </is>
      </c>
      <c r="AN23" t="inlineStr">
        <is>
          <t>CALL</t>
        </is>
      </c>
      <c r="AO23" t="inlineStr">
        <is>
          <t>QUALIFIED</t>
        </is>
      </c>
      <c r="AP23" t="inlineStr">
        <is>
          <t>mlb-mia</t>
        </is>
      </c>
      <c r="AQ23" t="inlineStr">
        <is>
          <t>Miami Marlins</t>
        </is>
      </c>
      <c r="AR23" t="inlineStr">
        <is>
          <t>Miami Marlins</t>
        </is>
      </c>
      <c r="AS23" t="inlineStr">
        <is>
          <t>mlb-nym</t>
        </is>
      </c>
      <c r="AT23" t="inlineStr">
        <is>
          <t>New York Mets</t>
        </is>
      </c>
      <c r="AU23" t="inlineStr">
        <is>
          <t>New York Mets</t>
        </is>
      </c>
      <c r="AV23" t="inlineStr"/>
      <c r="AW23" t="inlineStr"/>
      <c r="AX23" t="inlineStr">
        <is>
          <t>statistical_model</t>
        </is>
      </c>
      <c r="AY23" t="inlineStr"/>
      <c r="AZ23" t="inlineStr">
        <is>
          <t>shadow_qualified</t>
        </is>
      </c>
      <c r="BA23" t="inlineStr">
        <is>
          <t>464eef695bfbbdaa819ec6f5e4c5bd1068ed20b92915fb2677220ae91e20d8b6</t>
        </is>
      </c>
      <c r="BB23" t="inlineStr">
        <is>
          <t>learned_lr</t>
        </is>
      </c>
      <c r="BC23" t="inlineStr">
        <is>
          <t>mlb-elo-trend-lr-v7</t>
        </is>
      </c>
      <c r="BD23" t="inlineStr">
        <is>
          <t>464eef695bfbbdaa819ec6f5e4c5bd1068ed20b92915fb2677220ae91e20d8b6</t>
        </is>
      </c>
      <c r="BE23" t="inlineStr">
        <is>
          <t>7d687c1d1c8fffaf</t>
        </is>
      </c>
      <c r="BF23" t="n">
        <v>1</v>
      </c>
      <c r="BG23" t="inlineStr">
        <is>
          <t>mlb-elo-trend-lr-v7</t>
        </is>
      </c>
      <c r="BH23" t="inlineStr">
        <is>
          <t>2026-07-31T21:04:19.683836Z</t>
        </is>
      </c>
      <c r="BI23" t="inlineStr">
        <is>
          <t>["same_event","same_team_same_day","same_league_same_day"]</t>
        </is>
      </c>
      <c r="BJ23" t="inlineStr"/>
      <c r="BK23" t="n">
        <v>-111</v>
      </c>
      <c r="BL23" t="n">
        <v>1.900901</v>
      </c>
      <c r="BM23" t="n">
        <v>0.526066</v>
      </c>
      <c r="BN23" t="n">
        <v>0.522388</v>
      </c>
      <c r="BO23" t="inlineStr"/>
      <c r="BP23" t="inlineStr"/>
      <c r="BQ23" t="n">
        <v>1.900901</v>
      </c>
      <c r="BR23" t="n">
        <v>0.525</v>
      </c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n">
        <v>0.5114006859</v>
      </c>
      <c r="CD23" t="n">
        <v>0.280262</v>
      </c>
      <c r="CE23" t="n">
        <v>0.978</v>
      </c>
      <c r="CF23" t="n">
        <v>1.0066</v>
      </c>
      <c r="CG23" t="n">
        <v>-2.2</v>
      </c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</row>
    <row r="24">
      <c r="A24" t="inlineStr">
        <is>
          <t>501f096aa2fd47ba</t>
        </is>
      </c>
      <c r="B24" t="inlineStr">
        <is>
          <t>2026-07-31T21:05:22.115641Z</t>
        </is>
      </c>
      <c r="C24" t="inlineStr">
        <is>
          <t>2026-07-31T19:15:00-0400</t>
        </is>
      </c>
      <c r="D24" t="inlineStr">
        <is>
          <t>401816338</t>
        </is>
      </c>
      <c r="E24" t="inlineStr">
        <is>
          <t>MLB</t>
        </is>
      </c>
      <c r="F24" t="inlineStr">
        <is>
          <t>Washington Nationals</t>
        </is>
      </c>
      <c r="G24" t="inlineStr">
        <is>
          <t>Atlanta Braves</t>
        </is>
      </c>
      <c r="H24" t="inlineStr">
        <is>
          <t>moneyline</t>
        </is>
      </c>
      <c r="I24" t="inlineStr">
        <is>
          <t>home</t>
        </is>
      </c>
      <c r="J24" t="inlineStr"/>
      <c r="K24" t="inlineStr">
        <is>
          <t>polymarket_us</t>
        </is>
      </c>
      <c r="L24" t="n">
        <v>-111</v>
      </c>
      <c r="M24" t="n">
        <v>1.900901</v>
      </c>
      <c r="N24" t="n">
        <v>0.526066</v>
      </c>
      <c r="O24" t="n">
        <v>0.610339</v>
      </c>
      <c r="P24" t="inlineStr"/>
      <c r="Q24" t="n">
        <v>0.084273</v>
      </c>
      <c r="R24" t="n">
        <v>64</v>
      </c>
      <c r="S24" t="n">
        <v>1.5</v>
      </c>
      <c r="T24" t="inlineStr">
        <is>
          <t>mlb-elo-trend-lr-v7</t>
        </is>
      </c>
      <c r="U24" t="inlineStr">
        <is>
          <t>settled</t>
        </is>
      </c>
      <c r="V24" t="inlineStr">
        <is>
          <t>win</t>
        </is>
      </c>
      <c r="W24" t="n">
        <v>2</v>
      </c>
      <c r="X24" t="n">
        <v>6</v>
      </c>
      <c r="Y24" t="inlineStr"/>
      <c r="Z24" t="n">
        <v>-111</v>
      </c>
      <c r="AA24" t="n">
        <v>0.525</v>
      </c>
      <c r="AB24" t="n">
        <v>-0.001066</v>
      </c>
      <c r="AC24" t="n">
        <v>1.3514</v>
      </c>
      <c r="AD24" t="inlineStr">
        <is>
          <t>2026-08-01T02:59:57.461710Z</t>
        </is>
      </c>
      <c r="AE24" t="inlineStr">
        <is>
          <t>Learned LR call at threshold 0.6242; executable ask 0.5250 (aec-mlb-wsh-atl-2026-07-31); model edge vs ask +0.0853.</t>
        </is>
      </c>
      <c r="AF24" t="inlineStr">
        <is>
          <t>Learned model; shadow-qualified via operator override.</t>
        </is>
      </c>
      <c r="AG24" t="inlineStr">
        <is>
          <t>not_applicable</t>
        </is>
      </c>
      <c r="AH24" t="inlineStr"/>
      <c r="AI24" t="inlineStr"/>
      <c r="AJ24" t="inlineStr"/>
      <c r="AK24" t="inlineStr">
        <is>
          <t>model_qualified</t>
        </is>
      </c>
      <c r="AL24" t="n">
        <v>3</v>
      </c>
      <c r="AM24" t="inlineStr">
        <is>
          <t>QUALIFIED_SHADOW_CALL</t>
        </is>
      </c>
      <c r="AN24" t="inlineStr">
        <is>
          <t>CALL</t>
        </is>
      </c>
      <c r="AO24" t="inlineStr">
        <is>
          <t>QUALIFIED</t>
        </is>
      </c>
      <c r="AP24" t="inlineStr">
        <is>
          <t>mlb-wsh</t>
        </is>
      </c>
      <c r="AQ24" t="inlineStr">
        <is>
          <t>Washington Nationals</t>
        </is>
      </c>
      <c r="AR24" t="inlineStr">
        <is>
          <t>Washington Nationals</t>
        </is>
      </c>
      <c r="AS24" t="inlineStr">
        <is>
          <t>mlb-atl</t>
        </is>
      </c>
      <c r="AT24" t="inlineStr">
        <is>
          <t>Atlanta Braves</t>
        </is>
      </c>
      <c r="AU24" t="inlineStr">
        <is>
          <t>Atlanta Braves</t>
        </is>
      </c>
      <c r="AV24" t="inlineStr"/>
      <c r="AW24" t="inlineStr"/>
      <c r="AX24" t="inlineStr">
        <is>
          <t>statistical_model</t>
        </is>
      </c>
      <c r="AY24" t="inlineStr"/>
      <c r="AZ24" t="inlineStr">
        <is>
          <t>shadow_qualified</t>
        </is>
      </c>
      <c r="BA24" t="inlineStr">
        <is>
          <t>464eef695bfbbdaa819ec6f5e4c5bd1068ed20b92915fb2677220ae91e20d8b6</t>
        </is>
      </c>
      <c r="BB24" t="inlineStr">
        <is>
          <t>learned_lr</t>
        </is>
      </c>
      <c r="BC24" t="inlineStr">
        <is>
          <t>mlb-elo-trend-lr-v7</t>
        </is>
      </c>
      <c r="BD24" t="inlineStr">
        <is>
          <t>464eef695bfbbdaa819ec6f5e4c5bd1068ed20b92915fb2677220ae91e20d8b6</t>
        </is>
      </c>
      <c r="BE24" t="inlineStr">
        <is>
          <t>7862677c79c1ab1a</t>
        </is>
      </c>
      <c r="BF24" t="n">
        <v>1</v>
      </c>
      <c r="BG24" t="inlineStr">
        <is>
          <t>mlb-elo-trend-lr-v7</t>
        </is>
      </c>
      <c r="BH24" t="inlineStr">
        <is>
          <t>2026-07-31T21:04:20.645809Z</t>
        </is>
      </c>
      <c r="BI24" t="inlineStr">
        <is>
          <t>["same_event","same_team_same_day","same_league_same_day"]</t>
        </is>
      </c>
      <c r="BJ24" t="inlineStr"/>
      <c r="BK24" t="n">
        <v>-111</v>
      </c>
      <c r="BL24" t="n">
        <v>1.900901</v>
      </c>
      <c r="BM24" t="n">
        <v>0.526066</v>
      </c>
      <c r="BN24" t="n">
        <v>0.522388</v>
      </c>
      <c r="BO24" t="inlineStr"/>
      <c r="BP24" t="inlineStr"/>
      <c r="BQ24" t="n">
        <v>1.900901</v>
      </c>
      <c r="BR24" t="n">
        <v>0.525</v>
      </c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n">
        <v>0.6202589708</v>
      </c>
      <c r="CD24" t="n">
        <v>-0.247606</v>
      </c>
      <c r="CE24" t="n">
        <v>0.929</v>
      </c>
      <c r="CF24" t="n">
        <v>1.0189</v>
      </c>
      <c r="CG24" t="n">
        <v>-0.6</v>
      </c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</row>
    <row r="25">
      <c r="A25" t="inlineStr">
        <is>
          <t>18e5ba2aaf884ddf</t>
        </is>
      </c>
      <c r="B25" t="inlineStr">
        <is>
          <t>2026-07-31T23:29:42.171549Z</t>
        </is>
      </c>
      <c r="C25" t="inlineStr">
        <is>
          <t>2026-07-31T19:30:00-0400</t>
        </is>
      </c>
      <c r="D25" t="inlineStr">
        <is>
          <t>401857102</t>
        </is>
      </c>
      <c r="E25" t="inlineStr">
        <is>
          <t>WNBA</t>
        </is>
      </c>
      <c r="F25" t="inlineStr">
        <is>
          <t>Seattle Storm</t>
        </is>
      </c>
      <c r="G25" t="inlineStr">
        <is>
          <t>Atlanta Dream</t>
        </is>
      </c>
      <c r="H25" t="inlineStr">
        <is>
          <t>moneyline</t>
        </is>
      </c>
      <c r="I25" t="inlineStr">
        <is>
          <t>home</t>
        </is>
      </c>
      <c r="J25" t="inlineStr"/>
      <c r="K25" t="inlineStr">
        <is>
          <t>polymarket_us</t>
        </is>
      </c>
      <c r="L25" t="n">
        <v>-525</v>
      </c>
      <c r="M25" t="n">
        <v>1.190476</v>
      </c>
      <c r="N25" t="n">
        <v>0.84</v>
      </c>
      <c r="O25" t="n">
        <v>0.737046</v>
      </c>
      <c r="P25" t="inlineStr"/>
      <c r="Q25" t="n">
        <v>-0.102954</v>
      </c>
      <c r="R25" t="n">
        <v>0</v>
      </c>
      <c r="S25" t="n">
        <v>2</v>
      </c>
      <c r="T25" t="inlineStr">
        <is>
          <t>wnba-elo-trend-lr-v4</t>
        </is>
      </c>
      <c r="U25" t="inlineStr">
        <is>
          <t>settled</t>
        </is>
      </c>
      <c r="V25" t="inlineStr">
        <is>
          <t>win</t>
        </is>
      </c>
      <c r="W25" t="n">
        <v>89</v>
      </c>
      <c r="X25" t="n">
        <v>98</v>
      </c>
      <c r="Y25" t="inlineStr"/>
      <c r="Z25" t="inlineStr"/>
      <c r="AA25" t="inlineStr"/>
      <c r="AB25" t="inlineStr"/>
      <c r="AC25" t="n">
        <v>0.381</v>
      </c>
      <c r="AD25" t="inlineStr">
        <is>
          <t>2026-08-01T02:59:57.929008Z</t>
        </is>
      </c>
      <c r="AE25" t="inlineStr">
        <is>
          <t>Learned LR call at threshold 0.5001; executable ask 0.8400 (aec-wnba-sea-atl-2026-07-31); model edge vs ask -0.1030.</t>
        </is>
      </c>
      <c r="AF25" t="inlineStr">
        <is>
          <t>Learned model; shadow-qualified via operator override.</t>
        </is>
      </c>
      <c r="AG25" t="inlineStr">
        <is>
          <t>not_applicable</t>
        </is>
      </c>
      <c r="AH25" t="inlineStr"/>
      <c r="AI25" t="inlineStr"/>
      <c r="AJ25" t="inlineStr"/>
      <c r="AK25" t="inlineStr">
        <is>
          <t>model_qualified</t>
        </is>
      </c>
      <c r="AL25" t="n">
        <v>3</v>
      </c>
      <c r="AM25" t="inlineStr">
        <is>
          <t>QUALIFIED_SHADOW_CALL</t>
        </is>
      </c>
      <c r="AN25" t="inlineStr">
        <is>
          <t>CALL</t>
        </is>
      </c>
      <c r="AO25" t="inlineStr">
        <is>
          <t>QUALIFIED</t>
        </is>
      </c>
      <c r="AP25" t="inlineStr">
        <is>
          <t>wnba-sea</t>
        </is>
      </c>
      <c r="AQ25" t="inlineStr">
        <is>
          <t>Seattle Storm</t>
        </is>
      </c>
      <c r="AR25" t="inlineStr">
        <is>
          <t>Seattle Storm</t>
        </is>
      </c>
      <c r="AS25" t="inlineStr">
        <is>
          <t>wnba-atl</t>
        </is>
      </c>
      <c r="AT25" t="inlineStr">
        <is>
          <t>Atlanta Dream</t>
        </is>
      </c>
      <c r="AU25" t="inlineStr">
        <is>
          <t>Atlanta Dream</t>
        </is>
      </c>
      <c r="AV25" t="inlineStr"/>
      <c r="AW25" t="inlineStr"/>
      <c r="AX25" t="inlineStr">
        <is>
          <t>statistical_model</t>
        </is>
      </c>
      <c r="AY25" t="inlineStr"/>
      <c r="AZ25" t="inlineStr">
        <is>
          <t>shadow_qualified</t>
        </is>
      </c>
      <c r="BA25" t="inlineStr">
        <is>
          <t>7afd5274214b58b7efd7f7febc7be3ab33b92351cda5cc6403c0a39faea0cc8c</t>
        </is>
      </c>
      <c r="BB25" t="inlineStr">
        <is>
          <t>learned_lr</t>
        </is>
      </c>
      <c r="BC25" t="inlineStr">
        <is>
          <t>wnba-elo-trend-lr-v4</t>
        </is>
      </c>
      <c r="BD25" t="inlineStr">
        <is>
          <t>7afd5274214b58b7efd7f7febc7be3ab33b92351cda5cc6403c0a39faea0cc8c</t>
        </is>
      </c>
      <c r="BE25" t="inlineStr">
        <is>
          <t>8fdca19bc32f576a</t>
        </is>
      </c>
      <c r="BF25" t="n">
        <v>1</v>
      </c>
      <c r="BG25" t="inlineStr">
        <is>
          <t>wnba-elo-trend-lr-v4</t>
        </is>
      </c>
      <c r="BH25" t="inlineStr">
        <is>
          <t>2026-07-31T23:29:25.425390Z</t>
        </is>
      </c>
      <c r="BI25" t="inlineStr">
        <is>
          <t>["same_event","same_team_same_day","same_league_same_day"]</t>
        </is>
      </c>
      <c r="BJ25" t="inlineStr"/>
      <c r="BK25" t="n">
        <v>-525</v>
      </c>
      <c r="BL25" t="n">
        <v>1.190476</v>
      </c>
      <c r="BM25" t="n">
        <v>0.84</v>
      </c>
      <c r="BN25" t="n">
        <v>0.831683</v>
      </c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n">
        <v>0.8213196189999999</v>
      </c>
      <c r="CD25" t="n">
        <v>-5.618671</v>
      </c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</row>
    <row r="26">
      <c r="A26" t="inlineStr">
        <is>
          <t>06a3a214f14c43bf</t>
        </is>
      </c>
      <c r="B26" t="inlineStr">
        <is>
          <t>2026-07-31T23:29:42.171549Z</t>
        </is>
      </c>
      <c r="C26" t="inlineStr">
        <is>
          <t>2026-07-31T19:30:00-0400</t>
        </is>
      </c>
      <c r="D26" t="inlineStr">
        <is>
          <t>401857103</t>
        </is>
      </c>
      <c r="E26" t="inlineStr">
        <is>
          <t>WNBA</t>
        </is>
      </c>
      <c r="F26" t="inlineStr">
        <is>
          <t>Dallas Wings</t>
        </is>
      </c>
      <c r="G26" t="inlineStr">
        <is>
          <t>Washington Mystics</t>
        </is>
      </c>
      <c r="H26" t="inlineStr">
        <is>
          <t>moneyline</t>
        </is>
      </c>
      <c r="I26" t="inlineStr">
        <is>
          <t>away</t>
        </is>
      </c>
      <c r="J26" t="inlineStr"/>
      <c r="K26" t="inlineStr">
        <is>
          <t>polymarket_us</t>
        </is>
      </c>
      <c r="L26" t="n">
        <v>-150</v>
      </c>
      <c r="M26" t="n">
        <v>1.666667</v>
      </c>
      <c r="N26" t="n">
        <v>0.6</v>
      </c>
      <c r="O26" t="n">
        <v>0.575648</v>
      </c>
      <c r="P26" t="inlineStr"/>
      <c r="Q26" t="n">
        <v>-0.024352</v>
      </c>
      <c r="R26" t="n">
        <v>11</v>
      </c>
      <c r="S26" t="n">
        <v>1.25</v>
      </c>
      <c r="T26" t="inlineStr">
        <is>
          <t>wnba-elo-trend-lr-v4</t>
        </is>
      </c>
      <c r="U26" t="inlineStr">
        <is>
          <t>settled</t>
        </is>
      </c>
      <c r="V26" t="inlineStr">
        <is>
          <t>loss</t>
        </is>
      </c>
      <c r="W26" t="n">
        <v>75</v>
      </c>
      <c r="X26" t="n">
        <v>81</v>
      </c>
      <c r="Y26" t="inlineStr"/>
      <c r="Z26" t="inlineStr"/>
      <c r="AA26" t="inlineStr"/>
      <c r="AB26" t="inlineStr"/>
      <c r="AC26" t="n">
        <v>-1.25</v>
      </c>
      <c r="AD26" t="inlineStr">
        <is>
          <t>2026-08-01T02:59:58.085221Z</t>
        </is>
      </c>
      <c r="AE26" t="inlineStr">
        <is>
          <t>Learned LR call at threshold 0.5001; executable ask 0.6000 (aec-wnba-dal-wsh-2026-07-31); model edge vs ask -0.0244.</t>
        </is>
      </c>
      <c r="AF26" t="inlineStr">
        <is>
          <t>Learned model; shadow-qualified via operator override.</t>
        </is>
      </c>
      <c r="AG26" t="inlineStr">
        <is>
          <t>review_required</t>
        </is>
      </c>
      <c r="AH26" t="inlineStr"/>
      <c r="AI26" t="inlineStr"/>
      <c r="AJ26" t="inlineStr"/>
      <c r="AK26" t="inlineStr">
        <is>
          <t>model_qualified</t>
        </is>
      </c>
      <c r="AL26" t="n">
        <v>3</v>
      </c>
      <c r="AM26" t="inlineStr">
        <is>
          <t>QUALIFIED_SHADOW_CALL</t>
        </is>
      </c>
      <c r="AN26" t="inlineStr">
        <is>
          <t>CALL</t>
        </is>
      </c>
      <c r="AO26" t="inlineStr">
        <is>
          <t>QUALIFIED</t>
        </is>
      </c>
      <c r="AP26" t="inlineStr">
        <is>
          <t>wnba-dal</t>
        </is>
      </c>
      <c r="AQ26" t="inlineStr">
        <is>
          <t>Dallas Wings</t>
        </is>
      </c>
      <c r="AR26" t="inlineStr">
        <is>
          <t>Dallas Wings</t>
        </is>
      </c>
      <c r="AS26" t="inlineStr">
        <is>
          <t>wnba-was</t>
        </is>
      </c>
      <c r="AT26" t="inlineStr">
        <is>
          <t>Washington Mystics</t>
        </is>
      </c>
      <c r="AU26" t="inlineStr">
        <is>
          <t>Washington Mystics</t>
        </is>
      </c>
      <c r="AV26" t="inlineStr"/>
      <c r="AW26" t="inlineStr"/>
      <c r="AX26" t="inlineStr">
        <is>
          <t>statistical_model</t>
        </is>
      </c>
      <c r="AY26" t="inlineStr"/>
      <c r="AZ26" t="inlineStr">
        <is>
          <t>shadow_qualified</t>
        </is>
      </c>
      <c r="BA26" t="inlineStr">
        <is>
          <t>7afd5274214b58b7efd7f7febc7be3ab33b92351cda5cc6403c0a39faea0cc8c</t>
        </is>
      </c>
      <c r="BB26" t="inlineStr">
        <is>
          <t>learned_lr</t>
        </is>
      </c>
      <c r="BC26" t="inlineStr">
        <is>
          <t>wnba-elo-trend-lr-v4</t>
        </is>
      </c>
      <c r="BD26" t="inlineStr">
        <is>
          <t>7afd5274214b58b7efd7f7febc7be3ab33b92351cda5cc6403c0a39faea0cc8c</t>
        </is>
      </c>
      <c r="BE26" t="inlineStr">
        <is>
          <t>0f848d940ea26816</t>
        </is>
      </c>
      <c r="BF26" t="n">
        <v>1</v>
      </c>
      <c r="BG26" t="inlineStr">
        <is>
          <t>wnba-elo-trend-lr-v4</t>
        </is>
      </c>
      <c r="BH26" t="inlineStr">
        <is>
          <t>2026-07-31T23:29:26.294036Z</t>
        </is>
      </c>
      <c r="BI26" t="inlineStr">
        <is>
          <t>["same_event","same_team_same_day","same_league_same_day"]</t>
        </is>
      </c>
      <c r="BJ26" t="inlineStr"/>
      <c r="BK26" t="n">
        <v>-150</v>
      </c>
      <c r="BL26" t="n">
        <v>1.666667</v>
      </c>
      <c r="BM26" t="n">
        <v>0.6</v>
      </c>
      <c r="BN26" t="n">
        <v>0.594059</v>
      </c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n">
        <v>0.4036949453</v>
      </c>
      <c r="CD26" t="n">
        <v>-0.615194</v>
      </c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</row>
    <row r="27">
      <c r="A27" t="inlineStr">
        <is>
          <t>0bea4ee624e94da7</t>
        </is>
      </c>
      <c r="B27" t="inlineStr">
        <is>
          <t>2026-07-31T23:29:42.171549Z</t>
        </is>
      </c>
      <c r="C27" t="inlineStr">
        <is>
          <t>2026-07-31T22:00:00-0400</t>
        </is>
      </c>
      <c r="D27" t="inlineStr">
        <is>
          <t>401857104</t>
        </is>
      </c>
      <c r="E27" t="inlineStr">
        <is>
          <t>WNBA</t>
        </is>
      </c>
      <c r="F27" t="inlineStr">
        <is>
          <t>Indiana Fever</t>
        </is>
      </c>
      <c r="G27" t="inlineStr">
        <is>
          <t>Portland Fire</t>
        </is>
      </c>
      <c r="H27" t="inlineStr">
        <is>
          <t>moneyline</t>
        </is>
      </c>
      <c r="I27" t="inlineStr">
        <is>
          <t>away</t>
        </is>
      </c>
      <c r="J27" t="inlineStr"/>
      <c r="K27" t="inlineStr">
        <is>
          <t>polymarket_us</t>
        </is>
      </c>
      <c r="L27" t="n">
        <v>-300</v>
      </c>
      <c r="M27" t="n">
        <v>1.333333</v>
      </c>
      <c r="N27" t="n">
        <v>0.75</v>
      </c>
      <c r="O27" t="n">
        <v>0.650826</v>
      </c>
      <c r="P27" t="inlineStr"/>
      <c r="Q27" t="n">
        <v>-0.099174</v>
      </c>
      <c r="R27" t="n">
        <v>0</v>
      </c>
      <c r="S27" t="n">
        <v>1.75</v>
      </c>
      <c r="T27" t="inlineStr">
        <is>
          <t>wnba-elo-trend-lr-v4</t>
        </is>
      </c>
      <c r="U27" t="inlineStr">
        <is>
          <t>settled</t>
        </is>
      </c>
      <c r="V27" t="inlineStr">
        <is>
          <t>win</t>
        </is>
      </c>
      <c r="W27" t="n">
        <v>112</v>
      </c>
      <c r="X27" t="n">
        <v>98</v>
      </c>
      <c r="Y27" t="inlineStr"/>
      <c r="Z27" t="inlineStr"/>
      <c r="AA27" t="inlineStr"/>
      <c r="AB27" t="inlineStr"/>
      <c r="AC27" t="n">
        <v>0.5833</v>
      </c>
      <c r="AD27" t="inlineStr">
        <is>
          <t>2026-08-01T05:33:36.879084Z</t>
        </is>
      </c>
      <c r="AE27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27" t="inlineStr">
        <is>
          <t>Learned model; shadow-qualified via operator override.</t>
        </is>
      </c>
      <c r="AG27" t="inlineStr">
        <is>
          <t>not_applicable</t>
        </is>
      </c>
      <c r="AH27" t="inlineStr"/>
      <c r="AI27" t="inlineStr"/>
      <c r="AJ27" t="inlineStr"/>
      <c r="AK27" t="inlineStr">
        <is>
          <t>model_qualified</t>
        </is>
      </c>
      <c r="AL27" t="n">
        <v>3</v>
      </c>
      <c r="AM27" t="inlineStr">
        <is>
          <t>QUALIFIED_SHADOW_CALL</t>
        </is>
      </c>
      <c r="AN27" t="inlineStr">
        <is>
          <t>CALL</t>
        </is>
      </c>
      <c r="AO27" t="inlineStr">
        <is>
          <t>QUALIFIED</t>
        </is>
      </c>
      <c r="AP27" t="inlineStr">
        <is>
          <t>wnba-ind</t>
        </is>
      </c>
      <c r="AQ27" t="inlineStr">
        <is>
          <t>Indiana Fever</t>
        </is>
      </c>
      <c r="AR27" t="inlineStr">
        <is>
          <t>Indiana Fever</t>
        </is>
      </c>
      <c r="AS27" t="inlineStr">
        <is>
          <t>wnba-por</t>
        </is>
      </c>
      <c r="AT27" t="inlineStr">
        <is>
          <t>Portland Fire</t>
        </is>
      </c>
      <c r="AU27" t="inlineStr">
        <is>
          <t>Portland Fire</t>
        </is>
      </c>
      <c r="AV27" t="inlineStr"/>
      <c r="AW27" t="inlineStr"/>
      <c r="AX27" t="inlineStr">
        <is>
          <t>statistical_model</t>
        </is>
      </c>
      <c r="AY27" t="inlineStr"/>
      <c r="AZ27" t="inlineStr">
        <is>
          <t>shadow_qualified</t>
        </is>
      </c>
      <c r="BA27" t="inlineStr">
        <is>
          <t>7afd5274214b58b7efd7f7febc7be3ab33b92351cda5cc6403c0a39faea0cc8c</t>
        </is>
      </c>
      <c r="BB27" t="inlineStr">
        <is>
          <t>learned_lr</t>
        </is>
      </c>
      <c r="BC27" t="inlineStr">
        <is>
          <t>wnba-elo-trend-lr-v4</t>
        </is>
      </c>
      <c r="BD27" t="inlineStr">
        <is>
          <t>7afd5274214b58b7efd7f7febc7be3ab33b92351cda5cc6403c0a39faea0cc8c</t>
        </is>
      </c>
      <c r="BE27" t="inlineStr">
        <is>
          <t>bcb9c02760c21728</t>
        </is>
      </c>
      <c r="BF27" t="n">
        <v>1</v>
      </c>
      <c r="BG27" t="inlineStr">
        <is>
          <t>wnba-elo-trend-lr-v4</t>
        </is>
      </c>
      <c r="BH27" t="inlineStr">
        <is>
          <t>2026-07-31T23:29:27.325378Z</t>
        </is>
      </c>
      <c r="BI27" t="inlineStr">
        <is>
          <t>["same_event","same_team_same_day","same_league_same_day"]</t>
        </is>
      </c>
      <c r="BJ27" t="inlineStr"/>
      <c r="BK27" t="n">
        <v>-300</v>
      </c>
      <c r="BL27" t="n">
        <v>1.333333</v>
      </c>
      <c r="BM27" t="n">
        <v>0.75</v>
      </c>
      <c r="BN27" t="n">
        <v>0.742574</v>
      </c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n">
        <v>0.2910587699</v>
      </c>
      <c r="CD27" t="n">
        <v>-7.416658</v>
      </c>
      <c r="CE27" t="inlineStr"/>
      <c r="CF27" t="inlineStr"/>
      <c r="CG27" t="inlineStr"/>
      <c r="CH27" t="inlineStr"/>
      <c r="CI27" t="inlineStr">
        <is>
          <t>wnba_availability_source_conflict</t>
        </is>
      </c>
      <c r="CJ27" t="inlineStr"/>
      <c r="CK27" t="inlineStr"/>
      <c r="CL27" t="inlineStr"/>
      <c r="CM27" t="inlineStr"/>
      <c r="CN27" t="inlineStr"/>
      <c r="CO27" t="inlineStr"/>
      <c r="CP27" t="inlineStr"/>
      <c r="CQ27" t="inlineStr"/>
    </row>
    <row r="28">
      <c r="A28" t="inlineStr">
        <is>
          <t>85acd0343c0c4821</t>
        </is>
      </c>
      <c r="B28" t="inlineStr">
        <is>
          <t>2026-07-31T23:29:42.171549Z</t>
        </is>
      </c>
      <c r="C28" t="inlineStr">
        <is>
          <t>2026-07-31T20:15:00-0400</t>
        </is>
      </c>
      <c r="D28" t="inlineStr">
        <is>
          <t>401816340</t>
        </is>
      </c>
      <c r="E28" t="inlineStr">
        <is>
          <t>MLB</t>
        </is>
      </c>
      <c r="F28" t="inlineStr">
        <is>
          <t>Texas Rangers</t>
        </is>
      </c>
      <c r="G28" t="inlineStr">
        <is>
          <t>Houston Astros</t>
        </is>
      </c>
      <c r="H28" t="inlineStr">
        <is>
          <t>moneyline</t>
        </is>
      </c>
      <c r="I28" t="inlineStr">
        <is>
          <t>home</t>
        </is>
      </c>
      <c r="J28" t="inlineStr"/>
      <c r="K28" t="inlineStr">
        <is>
          <t>polymarket_us</t>
        </is>
      </c>
      <c r="L28" t="n">
        <v>-117</v>
      </c>
      <c r="M28" t="n">
        <v>1.854701</v>
      </c>
      <c r="N28" t="n">
        <v>0.539171</v>
      </c>
      <c r="O28" t="n">
        <v>0.548061</v>
      </c>
      <c r="P28" t="inlineStr"/>
      <c r="Q28" t="n">
        <v>0.00889</v>
      </c>
      <c r="R28" t="n">
        <v>25</v>
      </c>
      <c r="S28" t="n">
        <v>1</v>
      </c>
      <c r="T28" t="inlineStr">
        <is>
          <t>mlb-elo-trend-lr-v7</t>
        </is>
      </c>
      <c r="U28" t="inlineStr">
        <is>
          <t>settled</t>
        </is>
      </c>
      <c r="V28" t="inlineStr">
        <is>
          <t>win</t>
        </is>
      </c>
      <c r="W28" t="n">
        <v>2</v>
      </c>
      <c r="X28" t="n">
        <v>11</v>
      </c>
      <c r="Y28" t="inlineStr"/>
      <c r="Z28" t="n">
        <v>-117</v>
      </c>
      <c r="AA28" t="n">
        <v>0.54</v>
      </c>
      <c r="AB28" t="n">
        <v>0.000829</v>
      </c>
      <c r="AC28" t="n">
        <v>0.8547</v>
      </c>
      <c r="AD28" t="inlineStr">
        <is>
          <t>2026-08-01T05:33:37.468716Z</t>
        </is>
      </c>
      <c r="AE28" t="inlineStr">
        <is>
          <t>Learned LR call at threshold 0.6242; executable ask 0.5400 (aec-mlb-tex-hou-2026-07-31); model edge vs ask +0.0081.</t>
        </is>
      </c>
      <c r="AF28" t="inlineStr">
        <is>
          <t>Learned model; shadow-qualified via operator override.</t>
        </is>
      </c>
      <c r="AG28" t="inlineStr">
        <is>
          <t>not_applicable</t>
        </is>
      </c>
      <c r="AH28" t="inlineStr"/>
      <c r="AI28" t="inlineStr"/>
      <c r="AJ28" t="inlineStr"/>
      <c r="AK28" t="inlineStr">
        <is>
          <t>model_qualified</t>
        </is>
      </c>
      <c r="AL28" t="n">
        <v>3</v>
      </c>
      <c r="AM28" t="inlineStr">
        <is>
          <t>QUALIFIED_SHADOW_CALL</t>
        </is>
      </c>
      <c r="AN28" t="inlineStr">
        <is>
          <t>CALL</t>
        </is>
      </c>
      <c r="AO28" t="inlineStr">
        <is>
          <t>QUALIFIED</t>
        </is>
      </c>
      <c r="AP28" t="inlineStr">
        <is>
          <t>mlb-tex</t>
        </is>
      </c>
      <c r="AQ28" t="inlineStr">
        <is>
          <t>Texas Rangers</t>
        </is>
      </c>
      <c r="AR28" t="inlineStr">
        <is>
          <t>Texas Rangers</t>
        </is>
      </c>
      <c r="AS28" t="inlineStr">
        <is>
          <t>mlb-hou</t>
        </is>
      </c>
      <c r="AT28" t="inlineStr">
        <is>
          <t>Houston Astros</t>
        </is>
      </c>
      <c r="AU28" t="inlineStr">
        <is>
          <t>Houston Astros</t>
        </is>
      </c>
      <c r="AV28" t="inlineStr"/>
      <c r="AW28" t="inlineStr"/>
      <c r="AX28" t="inlineStr">
        <is>
          <t>statistical_model</t>
        </is>
      </c>
      <c r="AY28" t="inlineStr"/>
      <c r="AZ28" t="inlineStr">
        <is>
          <t>shadow_qualified</t>
        </is>
      </c>
      <c r="BA28" t="inlineStr">
        <is>
          <t>464eef695bfbbdaa819ec6f5e4c5bd1068ed20b92915fb2677220ae91e20d8b6</t>
        </is>
      </c>
      <c r="BB28" t="inlineStr">
        <is>
          <t>learned_lr</t>
        </is>
      </c>
      <c r="BC28" t="inlineStr">
        <is>
          <t>mlb-elo-trend-lr-v7</t>
        </is>
      </c>
      <c r="BD28" t="inlineStr">
        <is>
          <t>464eef695bfbbdaa819ec6f5e4c5bd1068ed20b92915fb2677220ae91e20d8b6</t>
        </is>
      </c>
      <c r="BE28" t="inlineStr">
        <is>
          <t>524a0fd0934624ad</t>
        </is>
      </c>
      <c r="BF28" t="n">
        <v>1</v>
      </c>
      <c r="BG28" t="inlineStr">
        <is>
          <t>mlb-elo-trend-lr-v7</t>
        </is>
      </c>
      <c r="BH28" t="inlineStr">
        <is>
          <t>2026-07-31T23:29:18.070151Z</t>
        </is>
      </c>
      <c r="BI28" t="inlineStr">
        <is>
          <t>["same_event","same_team_same_day","same_league_same_day"]</t>
        </is>
      </c>
      <c r="BJ28" t="inlineStr"/>
      <c r="BK28" t="n">
        <v>-117</v>
      </c>
      <c r="BL28" t="n">
        <v>1.854701</v>
      </c>
      <c r="BM28" t="n">
        <v>0.539171</v>
      </c>
      <c r="BN28" t="n">
        <v>0.537313</v>
      </c>
      <c r="BO28" t="inlineStr"/>
      <c r="BP28" t="inlineStr"/>
      <c r="BQ28" t="n">
        <v>1.854701</v>
      </c>
      <c r="BR28" t="n">
        <v>0.54</v>
      </c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n">
        <v>0.5417596979</v>
      </c>
      <c r="CD28" t="n">
        <v>0.96412</v>
      </c>
      <c r="CE28" t="n">
        <v>0.956</v>
      </c>
      <c r="CF28" t="n">
        <v>1</v>
      </c>
      <c r="CG28" t="n">
        <v>2.2</v>
      </c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</row>
    <row r="29">
      <c r="A29" t="inlineStr">
        <is>
          <t>d639ec75665d4cd4</t>
        </is>
      </c>
      <c r="B29" t="inlineStr">
        <is>
          <t>2026-07-31T23:29:42.171549Z</t>
        </is>
      </c>
      <c r="C29" t="inlineStr">
        <is>
          <t>2026-07-31T20:40:00-0400</t>
        </is>
      </c>
      <c r="D29" t="inlineStr">
        <is>
          <t>401816341</t>
        </is>
      </c>
      <c r="E29" t="inlineStr">
        <is>
          <t>MLB</t>
        </is>
      </c>
      <c r="F29" t="inlineStr">
        <is>
          <t>Kansas City Royals</t>
        </is>
      </c>
      <c r="G29" t="inlineStr">
        <is>
          <t>Colorado Rockies</t>
        </is>
      </c>
      <c r="H29" t="inlineStr">
        <is>
          <t>moneyline</t>
        </is>
      </c>
      <c r="I29" t="inlineStr">
        <is>
          <t>away</t>
        </is>
      </c>
      <c r="J29" t="inlineStr"/>
      <c r="K29" t="inlineStr">
        <is>
          <t>polymarket_us</t>
        </is>
      </c>
      <c r="L29" t="n">
        <v>-104</v>
      </c>
      <c r="M29" t="n">
        <v>1.961538</v>
      </c>
      <c r="N29" t="n">
        <v>0.509804</v>
      </c>
      <c r="O29" t="n">
        <v>0.5955</v>
      </c>
      <c r="P29" t="inlineStr"/>
      <c r="Q29" t="n">
        <v>0.08569599999999999</v>
      </c>
      <c r="R29" t="n">
        <v>64</v>
      </c>
      <c r="S29" t="n">
        <v>1.25</v>
      </c>
      <c r="T29" t="inlineStr">
        <is>
          <t>mlb-elo-trend-lr-v7</t>
        </is>
      </c>
      <c r="U29" t="inlineStr">
        <is>
          <t>settled</t>
        </is>
      </c>
      <c r="V29" t="inlineStr">
        <is>
          <t>loss</t>
        </is>
      </c>
      <c r="W29" t="n">
        <v>1</v>
      </c>
      <c r="X29" t="n">
        <v>3</v>
      </c>
      <c r="Y29" t="inlineStr"/>
      <c r="Z29" t="n">
        <v>-104</v>
      </c>
      <c r="AA29" t="n">
        <v>0.51</v>
      </c>
      <c r="AB29" t="n">
        <v>0.000196</v>
      </c>
      <c r="AC29" t="n">
        <v>-1.25</v>
      </c>
      <c r="AD29" t="inlineStr">
        <is>
          <t>2026-08-01T05:33:37.627258Z</t>
        </is>
      </c>
      <c r="AE29" t="inlineStr">
        <is>
          <t>Learned LR call at threshold 0.6242; executable ask 0.5100 (aec-mlb-kc-col-2026-07-31); model edge vs ask +0.0855.</t>
        </is>
      </c>
      <c r="AF29" t="inlineStr">
        <is>
          <t>Learned model; shadow-qualified via operator override.</t>
        </is>
      </c>
      <c r="AG29" t="inlineStr">
        <is>
          <t>review_required</t>
        </is>
      </c>
      <c r="AH29" t="inlineStr"/>
      <c r="AI29" t="inlineStr"/>
      <c r="AJ29" t="inlineStr"/>
      <c r="AK29" t="inlineStr">
        <is>
          <t>model_qualified</t>
        </is>
      </c>
      <c r="AL29" t="n">
        <v>3</v>
      </c>
      <c r="AM29" t="inlineStr">
        <is>
          <t>QUALIFIED_SHADOW_CALL</t>
        </is>
      </c>
      <c r="AN29" t="inlineStr">
        <is>
          <t>CALL</t>
        </is>
      </c>
      <c r="AO29" t="inlineStr">
        <is>
          <t>QUALIFIED</t>
        </is>
      </c>
      <c r="AP29" t="inlineStr">
        <is>
          <t>mlb-kc</t>
        </is>
      </c>
      <c r="AQ29" t="inlineStr">
        <is>
          <t>Kansas City Royals</t>
        </is>
      </c>
      <c r="AR29" t="inlineStr">
        <is>
          <t>Kansas City Royals</t>
        </is>
      </c>
      <c r="AS29" t="inlineStr">
        <is>
          <t>mlb-col</t>
        </is>
      </c>
      <c r="AT29" t="inlineStr">
        <is>
          <t>Colorado Rockies</t>
        </is>
      </c>
      <c r="AU29" t="inlineStr">
        <is>
          <t>Colorado Rockies</t>
        </is>
      </c>
      <c r="AV29" t="inlineStr"/>
      <c r="AW29" t="inlineStr"/>
      <c r="AX29" t="inlineStr">
        <is>
          <t>statistical_model</t>
        </is>
      </c>
      <c r="AY29" t="inlineStr"/>
      <c r="AZ29" t="inlineStr">
        <is>
          <t>shadow_qualified</t>
        </is>
      </c>
      <c r="BA29" t="inlineStr">
        <is>
          <t>464eef695bfbbdaa819ec6f5e4c5bd1068ed20b92915fb2677220ae91e20d8b6</t>
        </is>
      </c>
      <c r="BB29" t="inlineStr">
        <is>
          <t>learned_lr</t>
        </is>
      </c>
      <c r="BC29" t="inlineStr">
        <is>
          <t>mlb-elo-trend-lr-v7</t>
        </is>
      </c>
      <c r="BD29" t="inlineStr">
        <is>
          <t>464eef695bfbbdaa819ec6f5e4c5bd1068ed20b92915fb2677220ae91e20d8b6</t>
        </is>
      </c>
      <c r="BE29" t="inlineStr">
        <is>
          <t>923d07b1b3b0c2bd</t>
        </is>
      </c>
      <c r="BF29" t="n">
        <v>1</v>
      </c>
      <c r="BG29" t="inlineStr">
        <is>
          <t>mlb-elo-trend-lr-v7</t>
        </is>
      </c>
      <c r="BH29" t="inlineStr">
        <is>
          <t>2026-07-31T23:29:19.286255Z</t>
        </is>
      </c>
      <c r="BI29" t="inlineStr">
        <is>
          <t>["same_event","same_team_same_day","same_league_same_day"]</t>
        </is>
      </c>
      <c r="BJ29" t="inlineStr"/>
      <c r="BK29" t="n">
        <v>-104</v>
      </c>
      <c r="BL29" t="n">
        <v>1.961538</v>
      </c>
      <c r="BM29" t="n">
        <v>0.509804</v>
      </c>
      <c r="BN29" t="n">
        <v>0.507463</v>
      </c>
      <c r="BO29" t="inlineStr"/>
      <c r="BP29" t="inlineStr"/>
      <c r="BQ29" t="n">
        <v>1.961538</v>
      </c>
      <c r="BR29" t="n">
        <v>0.51</v>
      </c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n">
        <v>0.4263386442</v>
      </c>
      <c r="CD29" t="n">
        <v>-0.09250899999999999</v>
      </c>
      <c r="CE29" t="n">
        <v>1.193</v>
      </c>
      <c r="CF29" t="n">
        <v>1.0177</v>
      </c>
      <c r="CG29" t="n">
        <v>3.8</v>
      </c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</row>
    <row r="30">
      <c r="A30" t="inlineStr">
        <is>
          <t>7a55bfe00e684792</t>
        </is>
      </c>
      <c r="B30" t="inlineStr">
        <is>
          <t>2026-07-31T23:29:42.171549Z</t>
        </is>
      </c>
      <c r="C30" t="inlineStr">
        <is>
          <t>2026-07-31T21:38:00-0400</t>
        </is>
      </c>
      <c r="D30" t="inlineStr">
        <is>
          <t>401816344</t>
        </is>
      </c>
      <c r="E30" t="inlineStr">
        <is>
          <t>MLB</t>
        </is>
      </c>
      <c r="F30" t="inlineStr">
        <is>
          <t>Milwaukee Brewers</t>
        </is>
      </c>
      <c r="G30" t="inlineStr">
        <is>
          <t>Los Angeles Angels</t>
        </is>
      </c>
      <c r="H30" t="inlineStr">
        <is>
          <t>moneyline</t>
        </is>
      </c>
      <c r="I30" t="inlineStr">
        <is>
          <t>away</t>
        </is>
      </c>
      <c r="J30" t="inlineStr"/>
      <c r="K30" t="inlineStr">
        <is>
          <t>polymarket_us</t>
        </is>
      </c>
      <c r="L30" t="n">
        <v>-156</v>
      </c>
      <c r="M30" t="n">
        <v>1.641026</v>
      </c>
      <c r="N30" t="n">
        <v>0.609375</v>
      </c>
      <c r="O30" t="n">
        <v>0.623039</v>
      </c>
      <c r="P30" t="inlineStr"/>
      <c r="Q30" t="n">
        <v>0.013664</v>
      </c>
      <c r="R30" t="n">
        <v>28</v>
      </c>
      <c r="S30" t="n">
        <v>1.5</v>
      </c>
      <c r="T30" t="inlineStr">
        <is>
          <t>mlb-elo-trend-lr-v7</t>
        </is>
      </c>
      <c r="U30" t="inlineStr">
        <is>
          <t>settled</t>
        </is>
      </c>
      <c r="V30" t="inlineStr">
        <is>
          <t>win</t>
        </is>
      </c>
      <c r="W30" t="n">
        <v>6</v>
      </c>
      <c r="X30" t="n">
        <v>2</v>
      </c>
      <c r="Y30" t="inlineStr"/>
      <c r="Z30" t="n">
        <v>-156</v>
      </c>
      <c r="AA30" t="n">
        <v>0.61</v>
      </c>
      <c r="AB30" t="n">
        <v>0.000625</v>
      </c>
      <c r="AC30" t="n">
        <v>0.9615</v>
      </c>
      <c r="AD30" t="inlineStr">
        <is>
          <t>2026-08-01T05:33:37.785411Z</t>
        </is>
      </c>
      <c r="AE30" t="inlineStr">
        <is>
          <t>Learned LR call at threshold 0.6242; executable ask 0.6100 (aec-mlb-mil-laa-2026-07-31); model edge vs ask +0.0130.</t>
        </is>
      </c>
      <c r="AF30" t="inlineStr">
        <is>
          <t>Learned model; shadow-qualified via operator override.</t>
        </is>
      </c>
      <c r="AG30" t="inlineStr">
        <is>
          <t>not_applicable</t>
        </is>
      </c>
      <c r="AH30" t="inlineStr"/>
      <c r="AI30" t="inlineStr"/>
      <c r="AJ30" t="inlineStr"/>
      <c r="AK30" t="inlineStr">
        <is>
          <t>model_qualified</t>
        </is>
      </c>
      <c r="AL30" t="n">
        <v>3</v>
      </c>
      <c r="AM30" t="inlineStr">
        <is>
          <t>QUALIFIED_SHADOW_CALL</t>
        </is>
      </c>
      <c r="AN30" t="inlineStr">
        <is>
          <t>CALL</t>
        </is>
      </c>
      <c r="AO30" t="inlineStr">
        <is>
          <t>QUALIFIED</t>
        </is>
      </c>
      <c r="AP30" t="inlineStr">
        <is>
          <t>mlb-mil</t>
        </is>
      </c>
      <c r="AQ30" t="inlineStr">
        <is>
          <t>Milwaukee Brewers</t>
        </is>
      </c>
      <c r="AR30" t="inlineStr">
        <is>
          <t>Milwaukee Brewers</t>
        </is>
      </c>
      <c r="AS30" t="inlineStr">
        <is>
          <t>mlb-laa</t>
        </is>
      </c>
      <c r="AT30" t="inlineStr">
        <is>
          <t>Los Angeles Angels</t>
        </is>
      </c>
      <c r="AU30" t="inlineStr">
        <is>
          <t>Los Angeles Angels</t>
        </is>
      </c>
      <c r="AV30" t="inlineStr"/>
      <c r="AW30" t="inlineStr"/>
      <c r="AX30" t="inlineStr">
        <is>
          <t>statistical_model</t>
        </is>
      </c>
      <c r="AY30" t="inlineStr"/>
      <c r="AZ30" t="inlineStr">
        <is>
          <t>shadow_qualified</t>
        </is>
      </c>
      <c r="BA30" t="inlineStr">
        <is>
          <t>464eef695bfbbdaa819ec6f5e4c5bd1068ed20b92915fb2677220ae91e20d8b6</t>
        </is>
      </c>
      <c r="BB30" t="inlineStr">
        <is>
          <t>learned_lr</t>
        </is>
      </c>
      <c r="BC30" t="inlineStr">
        <is>
          <t>mlb-elo-trend-lr-v7</t>
        </is>
      </c>
      <c r="BD30" t="inlineStr">
        <is>
          <t>464eef695bfbbdaa819ec6f5e4c5bd1068ed20b92915fb2677220ae91e20d8b6</t>
        </is>
      </c>
      <c r="BE30" t="inlineStr">
        <is>
          <t>536a32a342b89fa6</t>
        </is>
      </c>
      <c r="BF30" t="n">
        <v>1</v>
      </c>
      <c r="BG30" t="inlineStr">
        <is>
          <t>mlb-elo-trend-lr-v7</t>
        </is>
      </c>
      <c r="BH30" t="inlineStr">
        <is>
          <t>2026-07-31T23:29:19.944430Z</t>
        </is>
      </c>
      <c r="BI30" t="inlineStr">
        <is>
          <t>["same_event","same_team_same_day","same_league_same_day"]</t>
        </is>
      </c>
      <c r="BJ30" t="inlineStr"/>
      <c r="BK30" t="n">
        <v>-156</v>
      </c>
      <c r="BL30" t="n">
        <v>1.641026</v>
      </c>
      <c r="BM30" t="n">
        <v>0.609375</v>
      </c>
      <c r="BN30" t="n">
        <v>0.606965</v>
      </c>
      <c r="BO30" t="inlineStr"/>
      <c r="BP30" t="inlineStr"/>
      <c r="BQ30" t="n">
        <v>1.641026</v>
      </c>
      <c r="BR30" t="n">
        <v>0.61</v>
      </c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n">
        <v>0.3355785191</v>
      </c>
      <c r="CD30" t="n">
        <v>-0.284241</v>
      </c>
      <c r="CE30" t="n">
        <v>1.01</v>
      </c>
      <c r="CF30" t="n">
        <v>1.0122</v>
      </c>
      <c r="CG30" t="n">
        <v>-0.4</v>
      </c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</row>
    <row r="31">
      <c r="A31" t="inlineStr">
        <is>
          <t>a233d41d3a6a4baf</t>
        </is>
      </c>
      <c r="B31" t="inlineStr">
        <is>
          <t>2026-07-31T23:29:42.171549Z</t>
        </is>
      </c>
      <c r="C31" t="inlineStr">
        <is>
          <t>2026-07-31T21:40:00-0400</t>
        </is>
      </c>
      <c r="D31" t="inlineStr">
        <is>
          <t>401816343</t>
        </is>
      </c>
      <c r="E31" t="inlineStr">
        <is>
          <t>MLB</t>
        </is>
      </c>
      <c r="F31" t="inlineStr">
        <is>
          <t>Detroit Tigers</t>
        </is>
      </c>
      <c r="G31" t="inlineStr">
        <is>
          <t>Athletics</t>
        </is>
      </c>
      <c r="H31" t="inlineStr">
        <is>
          <t>moneyline</t>
        </is>
      </c>
      <c r="I31" t="inlineStr">
        <is>
          <t>away</t>
        </is>
      </c>
      <c r="J31" t="inlineStr"/>
      <c r="K31" t="inlineStr">
        <is>
          <t>polymarket_us</t>
        </is>
      </c>
      <c r="L31" t="n">
        <v>-130</v>
      </c>
      <c r="M31" t="n">
        <v>1.769231</v>
      </c>
      <c r="N31" t="n">
        <v>0.565217</v>
      </c>
      <c r="O31" t="n">
        <v>0.557314</v>
      </c>
      <c r="P31" t="inlineStr"/>
      <c r="Q31" t="n">
        <v>-0.007903</v>
      </c>
      <c r="R31" t="n">
        <v>18</v>
      </c>
      <c r="S31" t="n">
        <v>1</v>
      </c>
      <c r="T31" t="inlineStr">
        <is>
          <t>mlb-elo-trend-lr-v7</t>
        </is>
      </c>
      <c r="U31" t="inlineStr">
        <is>
          <t>settled</t>
        </is>
      </c>
      <c r="V31" t="inlineStr">
        <is>
          <t>win</t>
        </is>
      </c>
      <c r="W31" t="n">
        <v>13</v>
      </c>
      <c r="X31" t="n">
        <v>1</v>
      </c>
      <c r="Y31" t="inlineStr"/>
      <c r="Z31" t="n">
        <v>-130</v>
      </c>
      <c r="AA31" t="n">
        <v>0.5649999999999999</v>
      </c>
      <c r="AB31" t="n">
        <v>-0.000217</v>
      </c>
      <c r="AC31" t="n">
        <v>0.7692</v>
      </c>
      <c r="AD31" t="inlineStr">
        <is>
          <t>2026-08-01T05:33:37.940053Z</t>
        </is>
      </c>
      <c r="AE31" t="inlineStr">
        <is>
          <t>Learned LR call at threshold 0.6242; executable ask 0.5650 (aec-mlb-det-ath-2026-07-31); model edge vs ask -0.0077.</t>
        </is>
      </c>
      <c r="AF31" t="inlineStr">
        <is>
          <t>Learned model; shadow-qualified via operator override.</t>
        </is>
      </c>
      <c r="AG31" t="inlineStr">
        <is>
          <t>not_applicable</t>
        </is>
      </c>
      <c r="AH31" t="inlineStr"/>
      <c r="AI31" t="inlineStr"/>
      <c r="AJ31" t="inlineStr"/>
      <c r="AK31" t="inlineStr">
        <is>
          <t>model_qualified</t>
        </is>
      </c>
      <c r="AL31" t="n">
        <v>3</v>
      </c>
      <c r="AM31" t="inlineStr">
        <is>
          <t>QUALIFIED_SHADOW_CALL</t>
        </is>
      </c>
      <c r="AN31" t="inlineStr">
        <is>
          <t>CALL</t>
        </is>
      </c>
      <c r="AO31" t="inlineStr">
        <is>
          <t>QUALIFIED</t>
        </is>
      </c>
      <c r="AP31" t="inlineStr">
        <is>
          <t>mlb-det</t>
        </is>
      </c>
      <c r="AQ31" t="inlineStr">
        <is>
          <t>Detroit Tigers</t>
        </is>
      </c>
      <c r="AR31" t="inlineStr">
        <is>
          <t>Detroit Tigers</t>
        </is>
      </c>
      <c r="AS31" t="inlineStr">
        <is>
          <t>mlb-ath</t>
        </is>
      </c>
      <c r="AT31" t="inlineStr">
        <is>
          <t>Athletics</t>
        </is>
      </c>
      <c r="AU31" t="inlineStr">
        <is>
          <t>Athletics</t>
        </is>
      </c>
      <c r="AV31" t="inlineStr"/>
      <c r="AW31" t="inlineStr"/>
      <c r="AX31" t="inlineStr">
        <is>
          <t>statistical_model</t>
        </is>
      </c>
      <c r="AY31" t="inlineStr"/>
      <c r="AZ31" t="inlineStr">
        <is>
          <t>shadow_qualified</t>
        </is>
      </c>
      <c r="BA31" t="inlineStr">
        <is>
          <t>464eef695bfbbdaa819ec6f5e4c5bd1068ed20b92915fb2677220ae91e20d8b6</t>
        </is>
      </c>
      <c r="BB31" t="inlineStr">
        <is>
          <t>learned_lr</t>
        </is>
      </c>
      <c r="BC31" t="inlineStr">
        <is>
          <t>mlb-elo-trend-lr-v7</t>
        </is>
      </c>
      <c r="BD31" t="inlineStr">
        <is>
          <t>464eef695bfbbdaa819ec6f5e4c5bd1068ed20b92915fb2677220ae91e20d8b6</t>
        </is>
      </c>
      <c r="BE31" t="inlineStr">
        <is>
          <t>eaf96e9b22f1492f</t>
        </is>
      </c>
      <c r="BF31" t="n">
        <v>1</v>
      </c>
      <c r="BG31" t="inlineStr">
        <is>
          <t>mlb-elo-trend-lr-v7</t>
        </is>
      </c>
      <c r="BH31" t="inlineStr">
        <is>
          <t>2026-07-31T23:29:20.970194Z</t>
        </is>
      </c>
      <c r="BI31" t="inlineStr">
        <is>
          <t>["same_event","same_team_same_day","same_league_same_day"]</t>
        </is>
      </c>
      <c r="BJ31" t="inlineStr"/>
      <c r="BK31" t="n">
        <v>-130</v>
      </c>
      <c r="BL31" t="n">
        <v>1.769231</v>
      </c>
      <c r="BM31" t="n">
        <v>0.565217</v>
      </c>
      <c r="BN31" t="n">
        <v>0.562189</v>
      </c>
      <c r="BO31" t="inlineStr"/>
      <c r="BP31" t="inlineStr"/>
      <c r="BQ31" t="n">
        <v>1.769231</v>
      </c>
      <c r="BR31" t="n">
        <v>0.5649999999999999</v>
      </c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n">
        <v>0.4303979443</v>
      </c>
      <c r="CD31" t="n">
        <v>-2.346854</v>
      </c>
      <c r="CE31" t="n">
        <v>1.153</v>
      </c>
      <c r="CF31" t="n">
        <v>1.0239</v>
      </c>
      <c r="CG31" t="n">
        <v>0.6</v>
      </c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</row>
    <row r="32">
      <c r="A32" t="inlineStr">
        <is>
          <t>0ef1057c870b44ab</t>
        </is>
      </c>
      <c r="B32" t="inlineStr">
        <is>
          <t>2026-07-31T23:29:42.171549Z</t>
        </is>
      </c>
      <c r="C32" t="inlineStr">
        <is>
          <t>2026-07-31T21:45:00-0400</t>
        </is>
      </c>
      <c r="D32" t="inlineStr">
        <is>
          <t>401816346</t>
        </is>
      </c>
      <c r="E32" t="inlineStr">
        <is>
          <t>MLB</t>
        </is>
      </c>
      <c r="F32" t="inlineStr">
        <is>
          <t>San Francisco Giants</t>
        </is>
      </c>
      <c r="G32" t="inlineStr">
        <is>
          <t>San Diego Padres</t>
        </is>
      </c>
      <c r="H32" t="inlineStr">
        <is>
          <t>moneyline</t>
        </is>
      </c>
      <c r="I32" t="inlineStr">
        <is>
          <t>home</t>
        </is>
      </c>
      <c r="J32" t="inlineStr"/>
      <c r="K32" t="inlineStr">
        <is>
          <t>polymarket_us</t>
        </is>
      </c>
      <c r="L32" t="n">
        <v>-138</v>
      </c>
      <c r="M32" t="n">
        <v>1.724638</v>
      </c>
      <c r="N32" t="n">
        <v>0.579832</v>
      </c>
      <c r="O32" t="n">
        <v>0.594553</v>
      </c>
      <c r="P32" t="inlineStr"/>
      <c r="Q32" t="n">
        <v>0.014721</v>
      </c>
      <c r="R32" t="n">
        <v>29</v>
      </c>
      <c r="S32" t="n">
        <v>1.25</v>
      </c>
      <c r="T32" t="inlineStr">
        <is>
          <t>mlb-elo-trend-lr-v7</t>
        </is>
      </c>
      <c r="U32" t="inlineStr">
        <is>
          <t>settled</t>
        </is>
      </c>
      <c r="V32" t="inlineStr">
        <is>
          <t>win</t>
        </is>
      </c>
      <c r="W32" t="n">
        <v>0</v>
      </c>
      <c r="X32" t="n">
        <v>7</v>
      </c>
      <c r="Y32" t="inlineStr"/>
      <c r="Z32" t="n">
        <v>-138</v>
      </c>
      <c r="AA32" t="n">
        <v>0.58</v>
      </c>
      <c r="AB32" t="n">
        <v>0.000168</v>
      </c>
      <c r="AC32" t="n">
        <v>0.9058</v>
      </c>
      <c r="AD32" t="inlineStr">
        <is>
          <t>2026-08-01T05:33:38.097690Z</t>
        </is>
      </c>
      <c r="AE32" t="inlineStr">
        <is>
          <t>Learned LR call at threshold 0.6242; executable ask 0.5800 (aec-mlb-sf-sd-2026-07-31); model edge vs ask +0.0146.</t>
        </is>
      </c>
      <c r="AF32" t="inlineStr">
        <is>
          <t>Learned model; shadow-qualified via operator override.</t>
        </is>
      </c>
      <c r="AG32" t="inlineStr">
        <is>
          <t>not_applicable</t>
        </is>
      </c>
      <c r="AH32" t="inlineStr"/>
      <c r="AI32" t="inlineStr"/>
      <c r="AJ32" t="inlineStr"/>
      <c r="AK32" t="inlineStr">
        <is>
          <t>model_qualified</t>
        </is>
      </c>
      <c r="AL32" t="n">
        <v>3</v>
      </c>
      <c r="AM32" t="inlineStr">
        <is>
          <t>QUALIFIED_SHADOW_CALL</t>
        </is>
      </c>
      <c r="AN32" t="inlineStr">
        <is>
          <t>CALL</t>
        </is>
      </c>
      <c r="AO32" t="inlineStr">
        <is>
          <t>QUALIFIED</t>
        </is>
      </c>
      <c r="AP32" t="inlineStr">
        <is>
          <t>mlb-sf</t>
        </is>
      </c>
      <c r="AQ32" t="inlineStr">
        <is>
          <t>San Francisco Giants</t>
        </is>
      </c>
      <c r="AR32" t="inlineStr">
        <is>
          <t>San Francisco Giants</t>
        </is>
      </c>
      <c r="AS32" t="inlineStr">
        <is>
          <t>mlb-sd</t>
        </is>
      </c>
      <c r="AT32" t="inlineStr">
        <is>
          <t>San Diego Padres</t>
        </is>
      </c>
      <c r="AU32" t="inlineStr">
        <is>
          <t>San Diego Padres</t>
        </is>
      </c>
      <c r="AV32" t="inlineStr"/>
      <c r="AW32" t="inlineStr"/>
      <c r="AX32" t="inlineStr">
        <is>
          <t>statistical_model</t>
        </is>
      </c>
      <c r="AY32" t="inlineStr"/>
      <c r="AZ32" t="inlineStr">
        <is>
          <t>shadow_qualified</t>
        </is>
      </c>
      <c r="BA32" t="inlineStr">
        <is>
          <t>464eef695bfbbdaa819ec6f5e4c5bd1068ed20b92915fb2677220ae91e20d8b6</t>
        </is>
      </c>
      <c r="BB32" t="inlineStr">
        <is>
          <t>learned_lr</t>
        </is>
      </c>
      <c r="BC32" t="inlineStr">
        <is>
          <t>mlb-elo-trend-lr-v7</t>
        </is>
      </c>
      <c r="BD32" t="inlineStr">
        <is>
          <t>464eef695bfbbdaa819ec6f5e4c5bd1068ed20b92915fb2677220ae91e20d8b6</t>
        </is>
      </c>
      <c r="BE32" t="inlineStr">
        <is>
          <t>9df16cb5c93b6892</t>
        </is>
      </c>
      <c r="BF32" t="n">
        <v>1</v>
      </c>
      <c r="BG32" t="inlineStr">
        <is>
          <t>mlb-elo-trend-lr-v7</t>
        </is>
      </c>
      <c r="BH32" t="inlineStr">
        <is>
          <t>2026-07-31T23:29:22.107755Z</t>
        </is>
      </c>
      <c r="BI32" t="inlineStr">
        <is>
          <t>["same_event","same_team_same_day","same_league_same_day"]</t>
        </is>
      </c>
      <c r="BJ32" t="inlineStr"/>
      <c r="BK32" t="n">
        <v>-138</v>
      </c>
      <c r="BL32" t="n">
        <v>1.724638</v>
      </c>
      <c r="BM32" t="n">
        <v>0.579832</v>
      </c>
      <c r="BN32" t="n">
        <v>0.577114</v>
      </c>
      <c r="BO32" t="inlineStr"/>
      <c r="BP32" t="inlineStr"/>
      <c r="BQ32" t="n">
        <v>1.724638</v>
      </c>
      <c r="BR32" t="n">
        <v>0.58</v>
      </c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n">
        <v>0.5827558821</v>
      </c>
      <c r="CD32" t="n">
        <v>-1.601104</v>
      </c>
      <c r="CE32" t="n">
        <v>0.945</v>
      </c>
      <c r="CF32" t="n">
        <v>1.0049</v>
      </c>
      <c r="CG32" t="n">
        <v>-0.2</v>
      </c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</row>
    <row r="33">
      <c r="A33" t="inlineStr">
        <is>
          <t>cdd8222bf68c48e0</t>
        </is>
      </c>
      <c r="B33" t="inlineStr">
        <is>
          <t>2026-07-31T23:29:42.171549Z</t>
        </is>
      </c>
      <c r="C33" t="inlineStr">
        <is>
          <t>2026-07-31T22:10:00-0400</t>
        </is>
      </c>
      <c r="D33" t="inlineStr">
        <is>
          <t>401816342</t>
        </is>
      </c>
      <c r="E33" t="inlineStr">
        <is>
          <t>MLB</t>
        </is>
      </c>
      <c r="F33" t="inlineStr">
        <is>
          <t>Boston Red Sox</t>
        </is>
      </c>
      <c r="G33" t="inlineStr">
        <is>
          <t>Los Angeles Dodgers</t>
        </is>
      </c>
      <c r="H33" t="inlineStr">
        <is>
          <t>moneyline</t>
        </is>
      </c>
      <c r="I33" t="inlineStr">
        <is>
          <t>home</t>
        </is>
      </c>
      <c r="J33" t="inlineStr"/>
      <c r="K33" t="inlineStr">
        <is>
          <t>polymarket_us</t>
        </is>
      </c>
      <c r="L33" t="n">
        <v>-125</v>
      </c>
      <c r="M33" t="n">
        <v>1.8</v>
      </c>
      <c r="N33" t="n">
        <v>0.555556</v>
      </c>
      <c r="O33" t="n">
        <v>0.564527</v>
      </c>
      <c r="P33" t="inlineStr"/>
      <c r="Q33" t="n">
        <v>0.008971</v>
      </c>
      <c r="R33" t="n">
        <v>26</v>
      </c>
      <c r="S33" t="n">
        <v>1</v>
      </c>
      <c r="T33" t="inlineStr">
        <is>
          <t>mlb-elo-trend-lr-v7</t>
        </is>
      </c>
      <c r="U33" t="inlineStr">
        <is>
          <t>settled</t>
        </is>
      </c>
      <c r="V33" t="inlineStr">
        <is>
          <t>loss</t>
        </is>
      </c>
      <c r="W33" t="n">
        <v>9</v>
      </c>
      <c r="X33" t="n">
        <v>4</v>
      </c>
      <c r="Y33" t="inlineStr"/>
      <c r="Z33" t="n">
        <v>-125</v>
      </c>
      <c r="AA33" t="n">
        <v>0.555</v>
      </c>
      <c r="AB33" t="n">
        <v>-0.000556</v>
      </c>
      <c r="AC33" t="n">
        <v>-1</v>
      </c>
      <c r="AD33" t="inlineStr">
        <is>
          <t>2026-08-01T05:33:38.254661Z</t>
        </is>
      </c>
      <c r="AE33" t="inlineStr">
        <is>
          <t>Learned LR call at threshold 0.6242; executable ask 0.5550 (aec-mlb-bos-lad-2026-07-31); model edge vs ask +0.0095.</t>
        </is>
      </c>
      <c r="AF33" t="inlineStr">
        <is>
          <t>Learned model; shadow-qualified via operator override.</t>
        </is>
      </c>
      <c r="AG33" t="inlineStr">
        <is>
          <t>review_required</t>
        </is>
      </c>
      <c r="AH33" t="inlineStr"/>
      <c r="AI33" t="inlineStr"/>
      <c r="AJ33" t="inlineStr"/>
      <c r="AK33" t="inlineStr">
        <is>
          <t>model_qualified</t>
        </is>
      </c>
      <c r="AL33" t="n">
        <v>3</v>
      </c>
      <c r="AM33" t="inlineStr">
        <is>
          <t>QUALIFIED_SHADOW_CALL</t>
        </is>
      </c>
      <c r="AN33" t="inlineStr">
        <is>
          <t>CALL</t>
        </is>
      </c>
      <c r="AO33" t="inlineStr">
        <is>
          <t>QUALIFIED</t>
        </is>
      </c>
      <c r="AP33" t="inlineStr">
        <is>
          <t>mlb-bos</t>
        </is>
      </c>
      <c r="AQ33" t="inlineStr">
        <is>
          <t>Boston Red Sox</t>
        </is>
      </c>
      <c r="AR33" t="inlineStr">
        <is>
          <t>Boston Red Sox</t>
        </is>
      </c>
      <c r="AS33" t="inlineStr">
        <is>
          <t>mlb-lad</t>
        </is>
      </c>
      <c r="AT33" t="inlineStr">
        <is>
          <t>Los Angeles Dodgers</t>
        </is>
      </c>
      <c r="AU33" t="inlineStr">
        <is>
          <t>Los Angeles Dodgers</t>
        </is>
      </c>
      <c r="AV33" t="inlineStr"/>
      <c r="AW33" t="inlineStr"/>
      <c r="AX33" t="inlineStr">
        <is>
          <t>statistical_model</t>
        </is>
      </c>
      <c r="AY33" t="inlineStr"/>
      <c r="AZ33" t="inlineStr">
        <is>
          <t>shadow_qualified</t>
        </is>
      </c>
      <c r="BA33" t="inlineStr">
        <is>
          <t>464eef695bfbbdaa819ec6f5e4c5bd1068ed20b92915fb2677220ae91e20d8b6</t>
        </is>
      </c>
      <c r="BB33" t="inlineStr">
        <is>
          <t>learned_lr</t>
        </is>
      </c>
      <c r="BC33" t="inlineStr">
        <is>
          <t>mlb-elo-trend-lr-v7</t>
        </is>
      </c>
      <c r="BD33" t="inlineStr">
        <is>
          <t>464eef695bfbbdaa819ec6f5e4c5bd1068ed20b92915fb2677220ae91e20d8b6</t>
        </is>
      </c>
      <c r="BE33" t="inlineStr">
        <is>
          <t>eadca7460f5bd810</t>
        </is>
      </c>
      <c r="BF33" t="n">
        <v>1</v>
      </c>
      <c r="BG33" t="inlineStr">
        <is>
          <t>mlb-elo-trend-lr-v7</t>
        </is>
      </c>
      <c r="BH33" t="inlineStr">
        <is>
          <t>2026-07-31T23:29:23.984993Z</t>
        </is>
      </c>
      <c r="BI33" t="inlineStr">
        <is>
          <t>["same_event","same_team_same_day","same_league_same_day"]</t>
        </is>
      </c>
      <c r="BJ33" t="inlineStr"/>
      <c r="BK33" t="n">
        <v>-125</v>
      </c>
      <c r="BL33" t="n">
        <v>1.8</v>
      </c>
      <c r="BM33" t="n">
        <v>0.555556</v>
      </c>
      <c r="BN33" t="n">
        <v>0.552239</v>
      </c>
      <c r="BO33" t="inlineStr"/>
      <c r="BP33" t="inlineStr"/>
      <c r="BQ33" t="n">
        <v>1.8</v>
      </c>
      <c r="BR33" t="n">
        <v>0.555</v>
      </c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n">
        <v>0.5626775445</v>
      </c>
      <c r="CD33" t="n">
        <v>0.365039</v>
      </c>
      <c r="CE33" t="n">
        <v>1.026</v>
      </c>
      <c r="CF33" t="n">
        <v>1.0057</v>
      </c>
      <c r="CG33" t="n">
        <v>2.2</v>
      </c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</row>
    <row r="34">
      <c r="A34" t="inlineStr">
        <is>
          <t>3238fa920c2d4210</t>
        </is>
      </c>
      <c r="B34" t="inlineStr">
        <is>
          <t>2026-07-31T23:29:42.171549Z</t>
        </is>
      </c>
      <c r="C34" t="inlineStr">
        <is>
          <t>2026-07-31T22:10:00-0400</t>
        </is>
      </c>
      <c r="D34" t="inlineStr">
        <is>
          <t>401816345</t>
        </is>
      </c>
      <c r="E34" t="inlineStr">
        <is>
          <t>MLB</t>
        </is>
      </c>
      <c r="F34" t="inlineStr">
        <is>
          <t>Minnesota Twins</t>
        </is>
      </c>
      <c r="G34" t="inlineStr">
        <is>
          <t>Seattle Mariners</t>
        </is>
      </c>
      <c r="H34" t="inlineStr">
        <is>
          <t>moneyline</t>
        </is>
      </c>
      <c r="I34" t="inlineStr">
        <is>
          <t>home</t>
        </is>
      </c>
      <c r="J34" t="inlineStr"/>
      <c r="K34" t="inlineStr">
        <is>
          <t>polymarket_us</t>
        </is>
      </c>
      <c r="L34" t="n">
        <v>-156</v>
      </c>
      <c r="M34" t="n">
        <v>1.641026</v>
      </c>
      <c r="N34" t="n">
        <v>0.609375</v>
      </c>
      <c r="O34" t="n">
        <v>0.5951070000000001</v>
      </c>
      <c r="P34" t="inlineStr"/>
      <c r="Q34" t="n">
        <v>-0.014268</v>
      </c>
      <c r="R34" t="n">
        <v>14</v>
      </c>
      <c r="S34" t="n">
        <v>1.25</v>
      </c>
      <c r="T34" t="inlineStr">
        <is>
          <t>mlb-elo-trend-lr-v7</t>
        </is>
      </c>
      <c r="U34" t="inlineStr">
        <is>
          <t>settled</t>
        </is>
      </c>
      <c r="V34" t="inlineStr">
        <is>
          <t>loss</t>
        </is>
      </c>
      <c r="W34" t="n">
        <v>5</v>
      </c>
      <c r="X34" t="n">
        <v>3</v>
      </c>
      <c r="Y34" t="inlineStr"/>
      <c r="Z34" t="n">
        <v>-156</v>
      </c>
      <c r="AA34" t="n">
        <v>0.61</v>
      </c>
      <c r="AB34" t="n">
        <v>0.000625</v>
      </c>
      <c r="AC34" t="n">
        <v>-1.25</v>
      </c>
      <c r="AD34" t="inlineStr">
        <is>
          <t>2026-08-01T05:33:38.427797Z</t>
        </is>
      </c>
      <c r="AE34" t="inlineStr">
        <is>
          <t>Learned LR call at threshold 0.6242; executable ask 0.6100 (aec-mlb-min-sea-2026-07-31); model edge vs ask -0.0149.</t>
        </is>
      </c>
      <c r="AF34" t="inlineStr">
        <is>
          <t>Learned model; shadow-qualified via operator override.</t>
        </is>
      </c>
      <c r="AG34" t="inlineStr">
        <is>
          <t>review_required</t>
        </is>
      </c>
      <c r="AH34" t="inlineStr"/>
      <c r="AI34" t="inlineStr"/>
      <c r="AJ34" t="inlineStr"/>
      <c r="AK34" t="inlineStr">
        <is>
          <t>model_qualified</t>
        </is>
      </c>
      <c r="AL34" t="n">
        <v>3</v>
      </c>
      <c r="AM34" t="inlineStr">
        <is>
          <t>QUALIFIED_SHADOW_CALL</t>
        </is>
      </c>
      <c r="AN34" t="inlineStr">
        <is>
          <t>CALL</t>
        </is>
      </c>
      <c r="AO34" t="inlineStr">
        <is>
          <t>QUALIFIED</t>
        </is>
      </c>
      <c r="AP34" t="inlineStr">
        <is>
          <t>mlb-min</t>
        </is>
      </c>
      <c r="AQ34" t="inlineStr">
        <is>
          <t>Minnesota Twins</t>
        </is>
      </c>
      <c r="AR34" t="inlineStr">
        <is>
          <t>Minnesota Twins</t>
        </is>
      </c>
      <c r="AS34" t="inlineStr">
        <is>
          <t>mlb-sea</t>
        </is>
      </c>
      <c r="AT34" t="inlineStr">
        <is>
          <t>Seattle Mariners</t>
        </is>
      </c>
      <c r="AU34" t="inlineStr">
        <is>
          <t>Seattle Mariners</t>
        </is>
      </c>
      <c r="AV34" t="inlineStr"/>
      <c r="AW34" t="inlineStr"/>
      <c r="AX34" t="inlineStr">
        <is>
          <t>statistical_model</t>
        </is>
      </c>
      <c r="AY34" t="inlineStr"/>
      <c r="AZ34" t="inlineStr">
        <is>
          <t>shadow_qualified</t>
        </is>
      </c>
      <c r="BA34" t="inlineStr">
        <is>
          <t>464eef695bfbbdaa819ec6f5e4c5bd1068ed20b92915fb2677220ae91e20d8b6</t>
        </is>
      </c>
      <c r="BB34" t="inlineStr">
        <is>
          <t>learned_lr</t>
        </is>
      </c>
      <c r="BC34" t="inlineStr">
        <is>
          <t>mlb-elo-trend-lr-v7</t>
        </is>
      </c>
      <c r="BD34" t="inlineStr">
        <is>
          <t>464eef695bfbbdaa819ec6f5e4c5bd1068ed20b92915fb2677220ae91e20d8b6</t>
        </is>
      </c>
      <c r="BE34" t="inlineStr">
        <is>
          <t>883ee144c0c8e904</t>
        </is>
      </c>
      <c r="BF34" t="n">
        <v>1</v>
      </c>
      <c r="BG34" t="inlineStr">
        <is>
          <t>mlb-elo-trend-lr-v7</t>
        </is>
      </c>
      <c r="BH34" t="inlineStr">
        <is>
          <t>2026-07-31T23:29:23.070250Z</t>
        </is>
      </c>
      <c r="BI34" t="inlineStr">
        <is>
          <t>["same_event","same_team_same_day","same_league_same_day"]</t>
        </is>
      </c>
      <c r="BJ34" t="inlineStr"/>
      <c r="BK34" t="n">
        <v>-156</v>
      </c>
      <c r="BL34" t="n">
        <v>1.641026</v>
      </c>
      <c r="BM34" t="n">
        <v>0.609375</v>
      </c>
      <c r="BN34" t="n">
        <v>0.606965</v>
      </c>
      <c r="BO34" t="inlineStr"/>
      <c r="BP34" t="inlineStr"/>
      <c r="BQ34" t="n">
        <v>1.641026</v>
      </c>
      <c r="BR34" t="n">
        <v>0.61</v>
      </c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n">
        <v>0.5861386615</v>
      </c>
      <c r="CD34" t="n">
        <v>1.241555</v>
      </c>
      <c r="CE34" t="n">
        <v>0.9360000000000001</v>
      </c>
      <c r="CF34" t="n">
        <v>1</v>
      </c>
      <c r="CG34" t="n">
        <v>1.4</v>
      </c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</row>
    <row r="35">
      <c r="A35" t="inlineStr">
        <is>
          <t>2c06cda7ea4b4a18</t>
        </is>
      </c>
      <c r="B35" t="inlineStr">
        <is>
          <t>2026-08-01T16:50:21.394933Z</t>
        </is>
      </c>
      <c r="C35" t="inlineStr">
        <is>
          <t>2026-08-01T13:00:00-0400</t>
        </is>
      </c>
      <c r="D35" t="inlineStr">
        <is>
          <t>401857105</t>
        </is>
      </c>
      <c r="E35" t="inlineStr">
        <is>
          <t>WNBA</t>
        </is>
      </c>
      <c r="F35" t="inlineStr">
        <is>
          <t>Las Vegas Aces</t>
        </is>
      </c>
      <c r="G35" t="inlineStr">
        <is>
          <t>Chicago Sky</t>
        </is>
      </c>
      <c r="H35" t="inlineStr">
        <is>
          <t>moneyline</t>
        </is>
      </c>
      <c r="I35" t="inlineStr">
        <is>
          <t>away</t>
        </is>
      </c>
      <c r="J35" t="inlineStr"/>
      <c r="K35" t="inlineStr">
        <is>
          <t>polymarket_us</t>
        </is>
      </c>
      <c r="L35" t="n">
        <v>-245</v>
      </c>
      <c r="M35" t="n">
        <v>1.408163</v>
      </c>
      <c r="N35" t="n">
        <v>0.710145</v>
      </c>
      <c r="O35" t="n">
        <v>0.646163</v>
      </c>
      <c r="P35" t="inlineStr"/>
      <c r="Q35" t="n">
        <v>-0.063982</v>
      </c>
      <c r="R35" t="n">
        <v>0</v>
      </c>
      <c r="S35" t="n">
        <v>1.75</v>
      </c>
      <c r="T35" t="inlineStr">
        <is>
          <t>wnba-elo-trend-lr-v4</t>
        </is>
      </c>
      <c r="U35" t="inlineStr">
        <is>
          <t>settled</t>
        </is>
      </c>
      <c r="V35" t="inlineStr">
        <is>
          <t>loss</t>
        </is>
      </c>
      <c r="W35" t="n">
        <v>83</v>
      </c>
      <c r="X35" t="n">
        <v>84</v>
      </c>
      <c r="Y35" t="inlineStr"/>
      <c r="Z35" t="inlineStr"/>
      <c r="AA35" t="inlineStr"/>
      <c r="AB35" t="inlineStr"/>
      <c r="AC35" t="n">
        <v>-1.75</v>
      </c>
      <c r="AD35" t="inlineStr">
        <is>
          <t>2026-08-01T20:13:03.864714Z</t>
        </is>
      </c>
      <c r="AE35" t="inlineStr">
        <is>
          <t>Learned LR call at threshold 0.5001; executable ask 0.7100 (aec-wnba-lv-chi-2026-08-01); model edge vs ask -0.0638.</t>
        </is>
      </c>
      <c r="AF35" t="inlineStr">
        <is>
          <t>Learned model; shadow-qualified via operator override.</t>
        </is>
      </c>
      <c r="AG35" t="inlineStr">
        <is>
          <t>review_required</t>
        </is>
      </c>
      <c r="AH35" t="inlineStr"/>
      <c r="AI35" t="inlineStr"/>
      <c r="AJ35" t="inlineStr"/>
      <c r="AK35" t="inlineStr">
        <is>
          <t>model_qualified</t>
        </is>
      </c>
      <c r="AL35" t="n">
        <v>3</v>
      </c>
      <c r="AM35" t="inlineStr">
        <is>
          <t>QUALIFIED_SHADOW_CALL</t>
        </is>
      </c>
      <c r="AN35" t="inlineStr">
        <is>
          <t>CALL</t>
        </is>
      </c>
      <c r="AO35" t="inlineStr">
        <is>
          <t>QUALIFIED</t>
        </is>
      </c>
      <c r="AP35" t="inlineStr">
        <is>
          <t>wnba-lva</t>
        </is>
      </c>
      <c r="AQ35" t="inlineStr">
        <is>
          <t>Las Vegas Aces</t>
        </is>
      </c>
      <c r="AR35" t="inlineStr">
        <is>
          <t>Las Vegas Aces</t>
        </is>
      </c>
      <c r="AS35" t="inlineStr">
        <is>
          <t>wnba-chi</t>
        </is>
      </c>
      <c r="AT35" t="inlineStr">
        <is>
          <t>Chicago Sky</t>
        </is>
      </c>
      <c r="AU35" t="inlineStr">
        <is>
          <t>Chicago Sky</t>
        </is>
      </c>
      <c r="AV35" t="inlineStr"/>
      <c r="AW35" t="inlineStr"/>
      <c r="AX35" t="inlineStr">
        <is>
          <t>statistical_model</t>
        </is>
      </c>
      <c r="AY35" t="inlineStr"/>
      <c r="AZ35" t="inlineStr">
        <is>
          <t>shadow_qualified</t>
        </is>
      </c>
      <c r="BA35" t="inlineStr">
        <is>
          <t>7afd5274214b58b7efd7f7febc7be3ab33b92351cda5cc6403c0a39faea0cc8c</t>
        </is>
      </c>
      <c r="BB35" t="inlineStr">
        <is>
          <t>learned_lr</t>
        </is>
      </c>
      <c r="BC35" t="inlineStr">
        <is>
          <t>wnba-elo-trend-lr-v4</t>
        </is>
      </c>
      <c r="BD35" t="inlineStr">
        <is>
          <t>7afd5274214b58b7efd7f7febc7be3ab33b92351cda5cc6403c0a39faea0cc8c</t>
        </is>
      </c>
      <c r="BE35" t="inlineStr">
        <is>
          <t>51a2c72f2e141b8b</t>
        </is>
      </c>
      <c r="BF35" t="n">
        <v>1</v>
      </c>
      <c r="BG35" t="inlineStr">
        <is>
          <t>wnba-elo-trend-lr-v4</t>
        </is>
      </c>
      <c r="BH35" t="inlineStr">
        <is>
          <t>2026-08-01T16:49:04.221920Z</t>
        </is>
      </c>
      <c r="BI35" t="inlineStr">
        <is>
          <t>["same_event","same_team_same_day","same_league_same_day"]</t>
        </is>
      </c>
      <c r="BJ35" t="inlineStr"/>
      <c r="BK35" t="n">
        <v>-245</v>
      </c>
      <c r="BL35" t="n">
        <v>1.408163</v>
      </c>
      <c r="BM35" t="n">
        <v>0.710145</v>
      </c>
      <c r="BN35" t="n">
        <v>0.70297</v>
      </c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n">
        <v>0.317202935</v>
      </c>
      <c r="CD35" t="n">
        <v>4.001837</v>
      </c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</row>
    <row r="36">
      <c r="A36" t="inlineStr">
        <is>
          <t>b5171488f8674c06</t>
        </is>
      </c>
      <c r="B36" t="inlineStr">
        <is>
          <t>2026-08-01T18:37:44.379324Z</t>
        </is>
      </c>
      <c r="C36" t="inlineStr">
        <is>
          <t>2026-08-01T15:00:00-0400</t>
        </is>
      </c>
      <c r="D36" t="inlineStr">
        <is>
          <t>401857106</t>
        </is>
      </c>
      <c r="E36" t="inlineStr">
        <is>
          <t>WNBA</t>
        </is>
      </c>
      <c r="F36" t="inlineStr">
        <is>
          <t>New York Liberty</t>
        </is>
      </c>
      <c r="G36" t="inlineStr">
        <is>
          <t>Phoenix Mercury</t>
        </is>
      </c>
      <c r="H36" t="inlineStr">
        <is>
          <t>moneyline</t>
        </is>
      </c>
      <c r="I36" t="inlineStr">
        <is>
          <t>away</t>
        </is>
      </c>
      <c r="J36" t="inlineStr"/>
      <c r="K36" t="inlineStr">
        <is>
          <t>polymarket_us</t>
        </is>
      </c>
      <c r="L36" t="n">
        <v>-144</v>
      </c>
      <c r="M36" t="n">
        <v>1.694444</v>
      </c>
      <c r="N36" t="n">
        <v>0.590164</v>
      </c>
      <c r="O36" t="n">
        <v>0.568764</v>
      </c>
      <c r="P36" t="inlineStr"/>
      <c r="Q36" t="n">
        <v>-0.0214</v>
      </c>
      <c r="R36" t="n">
        <v>12</v>
      </c>
      <c r="S36" t="n">
        <v>1.25</v>
      </c>
      <c r="T36" t="inlineStr">
        <is>
          <t>wnba-elo-trend-lr-v4</t>
        </is>
      </c>
      <c r="U36" t="inlineStr">
        <is>
          <t>settled</t>
        </is>
      </c>
      <c r="V36" t="inlineStr">
        <is>
          <t>win</t>
        </is>
      </c>
      <c r="W36" t="n">
        <v>94</v>
      </c>
      <c r="X36" t="n">
        <v>92</v>
      </c>
      <c r="Y36" t="inlineStr"/>
      <c r="Z36" t="inlineStr"/>
      <c r="AA36" t="inlineStr"/>
      <c r="AB36" t="inlineStr"/>
      <c r="AC36" t="n">
        <v>0.8681</v>
      </c>
      <c r="AD36" t="inlineStr">
        <is>
          <t>2026-08-01T21:25:16.611294Z</t>
        </is>
      </c>
      <c r="AE36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36" t="inlineStr">
        <is>
          <t>Learned model; shadow-qualified via operator override.</t>
        </is>
      </c>
      <c r="AG36" t="inlineStr">
        <is>
          <t>not_applicable</t>
        </is>
      </c>
      <c r="AH36" t="inlineStr"/>
      <c r="AI36" t="inlineStr"/>
      <c r="AJ36" t="inlineStr"/>
      <c r="AK36" t="inlineStr">
        <is>
          <t>model_qualified</t>
        </is>
      </c>
      <c r="AL36" t="n">
        <v>3</v>
      </c>
      <c r="AM36" t="inlineStr">
        <is>
          <t>QUALIFIED_SHADOW_CALL</t>
        </is>
      </c>
      <c r="AN36" t="inlineStr">
        <is>
          <t>CALL</t>
        </is>
      </c>
      <c r="AO36" t="inlineStr">
        <is>
          <t>QUALIFIED</t>
        </is>
      </c>
      <c r="AP36" t="inlineStr">
        <is>
          <t>wnba-nyl</t>
        </is>
      </c>
      <c r="AQ36" t="inlineStr">
        <is>
          <t>New York Liberty</t>
        </is>
      </c>
      <c r="AR36" t="inlineStr">
        <is>
          <t>New York Liberty</t>
        </is>
      </c>
      <c r="AS36" t="inlineStr">
        <is>
          <t>wnba-phx</t>
        </is>
      </c>
      <c r="AT36" t="inlineStr">
        <is>
          <t>Phoenix Mercury</t>
        </is>
      </c>
      <c r="AU36" t="inlineStr">
        <is>
          <t>Phoenix Mercury</t>
        </is>
      </c>
      <c r="AV36" t="inlineStr"/>
      <c r="AW36" t="inlineStr"/>
      <c r="AX36" t="inlineStr">
        <is>
          <t>statistical_model</t>
        </is>
      </c>
      <c r="AY36" t="inlineStr"/>
      <c r="AZ36" t="inlineStr">
        <is>
          <t>shadow_qualified</t>
        </is>
      </c>
      <c r="BA36" t="inlineStr">
        <is>
          <t>7afd5274214b58b7efd7f7febc7be3ab33b92351cda5cc6403c0a39faea0cc8c</t>
        </is>
      </c>
      <c r="BB36" t="inlineStr">
        <is>
          <t>learned_lr</t>
        </is>
      </c>
      <c r="BC36" t="inlineStr">
        <is>
          <t>wnba-elo-trend-lr-v4</t>
        </is>
      </c>
      <c r="BD36" t="inlineStr">
        <is>
          <t>7afd5274214b58b7efd7f7febc7be3ab33b92351cda5cc6403c0a39faea0cc8c</t>
        </is>
      </c>
      <c r="BE36" t="inlineStr">
        <is>
          <t>bbef9e1b90cf700b</t>
        </is>
      </c>
      <c r="BF36" t="n">
        <v>1</v>
      </c>
      <c r="BG36" t="inlineStr">
        <is>
          <t>wnba-elo-trend-lr-v4</t>
        </is>
      </c>
      <c r="BH36" t="inlineStr">
        <is>
          <t>2026-08-01T18:36:36.294824Z</t>
        </is>
      </c>
      <c r="BI36" t="inlineStr">
        <is>
          <t>["same_event","same_team_same_day","same_league_same_day"]</t>
        </is>
      </c>
      <c r="BJ36" t="inlineStr"/>
      <c r="BK36" t="n">
        <v>-144</v>
      </c>
      <c r="BL36" t="n">
        <v>1.694444</v>
      </c>
      <c r="BM36" t="n">
        <v>0.590164</v>
      </c>
      <c r="BN36" t="n">
        <v>0.584158</v>
      </c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n">
        <v>0.4080094464</v>
      </c>
      <c r="CD36" t="n">
        <v>-5.162465</v>
      </c>
      <c r="CE36" t="inlineStr"/>
      <c r="CF36" t="inlineStr"/>
      <c r="CG36" t="inlineStr"/>
      <c r="CH36" t="inlineStr"/>
      <c r="CI36" t="inlineStr">
        <is>
          <t>NO_CALL_AVAILABILITY_PLAYER_UNMAPPED</t>
        </is>
      </c>
      <c r="CJ36" t="inlineStr"/>
      <c r="CK36" t="inlineStr"/>
      <c r="CL36" t="inlineStr"/>
      <c r="CM36" t="inlineStr"/>
      <c r="CN36" t="inlineStr"/>
      <c r="CO36" t="inlineStr"/>
      <c r="CP36" t="inlineStr"/>
      <c r="CQ36" t="inlineStr"/>
    </row>
    <row r="37">
      <c r="A37" t="inlineStr">
        <is>
          <t>d8dca2d1a2cf408b</t>
        </is>
      </c>
      <c r="B37" t="inlineStr">
        <is>
          <t>2026-08-01T18:37:44.379324Z</t>
        </is>
      </c>
      <c r="C37" t="inlineStr">
        <is>
          <t>2026-08-01T15:07:00-0400</t>
        </is>
      </c>
      <c r="D37" t="inlineStr">
        <is>
          <t>401816352</t>
        </is>
      </c>
      <c r="E37" t="inlineStr">
        <is>
          <t>MLB</t>
        </is>
      </c>
      <c r="F37" t="inlineStr">
        <is>
          <t>St. Louis Cardinals</t>
        </is>
      </c>
      <c r="G37" t="inlineStr">
        <is>
          <t>Toronto Blue Jays</t>
        </is>
      </c>
      <c r="H37" t="inlineStr">
        <is>
          <t>moneyline</t>
        </is>
      </c>
      <c r="I37" t="inlineStr">
        <is>
          <t>home</t>
        </is>
      </c>
      <c r="J37" t="inlineStr"/>
      <c r="K37" t="inlineStr">
        <is>
          <t>polymarket_us</t>
        </is>
      </c>
      <c r="L37" t="n">
        <v>-153</v>
      </c>
      <c r="M37" t="n">
        <v>1.653595</v>
      </c>
      <c r="N37" t="n">
        <v>0.604743</v>
      </c>
      <c r="O37" t="n">
        <v>0.5354640000000001</v>
      </c>
      <c r="P37" t="inlineStr"/>
      <c r="Q37" t="n">
        <v>-0.06927899999999999</v>
      </c>
      <c r="R37" t="n">
        <v>0</v>
      </c>
      <c r="S37" t="n">
        <v>1</v>
      </c>
      <c r="T37" t="inlineStr">
        <is>
          <t>mlb-elo-trend-lr-v7</t>
        </is>
      </c>
      <c r="U37" t="inlineStr">
        <is>
          <t>settled</t>
        </is>
      </c>
      <c r="V37" t="inlineStr">
        <is>
          <t>win</t>
        </is>
      </c>
      <c r="W37" t="n">
        <v>1</v>
      </c>
      <c r="X37" t="n">
        <v>5</v>
      </c>
      <c r="Y37" t="inlineStr"/>
      <c r="Z37" t="n">
        <v>-153</v>
      </c>
      <c r="AA37" t="n">
        <v>0.605</v>
      </c>
      <c r="AB37" t="n">
        <v>0.000257</v>
      </c>
      <c r="AC37" t="n">
        <v>0.6536</v>
      </c>
      <c r="AD37" t="inlineStr">
        <is>
          <t>2026-08-01T23:50:49.952095Z</t>
        </is>
      </c>
      <c r="AE37" t="inlineStr">
        <is>
          <t>Learned LR call at threshold 0.6242; executable ask 0.6050 (aec-mlb-stl-tor-2026-08-01); model edge vs ask -0.0695.</t>
        </is>
      </c>
      <c r="AF37" t="inlineStr">
        <is>
          <t>Learned model; shadow-qualified via operator override.</t>
        </is>
      </c>
      <c r="AG37" t="inlineStr">
        <is>
          <t>not_applicable</t>
        </is>
      </c>
      <c r="AH37" t="inlineStr"/>
      <c r="AI37" t="inlineStr"/>
      <c r="AJ37" t="inlineStr"/>
      <c r="AK37" t="inlineStr">
        <is>
          <t>model_qualified</t>
        </is>
      </c>
      <c r="AL37" t="n">
        <v>3</v>
      </c>
      <c r="AM37" t="inlineStr">
        <is>
          <t>QUALIFIED_SHADOW_CALL</t>
        </is>
      </c>
      <c r="AN37" t="inlineStr">
        <is>
          <t>CALL</t>
        </is>
      </c>
      <c r="AO37" t="inlineStr">
        <is>
          <t>QUALIFIED</t>
        </is>
      </c>
      <c r="AP37" t="inlineStr">
        <is>
          <t>mlb-stl</t>
        </is>
      </c>
      <c r="AQ37" t="inlineStr">
        <is>
          <t>St. Louis Cardinals</t>
        </is>
      </c>
      <c r="AR37" t="inlineStr">
        <is>
          <t>St. Louis Cardinals</t>
        </is>
      </c>
      <c r="AS37" t="inlineStr">
        <is>
          <t>mlb-tor</t>
        </is>
      </c>
      <c r="AT37" t="inlineStr">
        <is>
          <t>Toronto Blue Jays</t>
        </is>
      </c>
      <c r="AU37" t="inlineStr">
        <is>
          <t>Toronto Blue Jays</t>
        </is>
      </c>
      <c r="AV37" t="inlineStr"/>
      <c r="AW37" t="inlineStr"/>
      <c r="AX37" t="inlineStr">
        <is>
          <t>statistical_model</t>
        </is>
      </c>
      <c r="AY37" t="inlineStr"/>
      <c r="AZ37" t="inlineStr">
        <is>
          <t>shadow_qualified</t>
        </is>
      </c>
      <c r="BA37" t="inlineStr">
        <is>
          <t>464eef695bfbbdaa819ec6f5e4c5bd1068ed20b92915fb2677220ae91e20d8b6</t>
        </is>
      </c>
      <c r="BB37" t="inlineStr">
        <is>
          <t>learned_lr</t>
        </is>
      </c>
      <c r="BC37" t="inlineStr">
        <is>
          <t>mlb-elo-trend-lr-v7</t>
        </is>
      </c>
      <c r="BD37" t="inlineStr">
        <is>
          <t>464eef695bfbbdaa819ec6f5e4c5bd1068ed20b92915fb2677220ae91e20d8b6</t>
        </is>
      </c>
      <c r="BE37" t="inlineStr">
        <is>
          <t>a0f0dfbb182ff37a</t>
        </is>
      </c>
      <c r="BF37" t="n">
        <v>1</v>
      </c>
      <c r="BG37" t="inlineStr">
        <is>
          <t>mlb-elo-trend-lr-v7</t>
        </is>
      </c>
      <c r="BH37" t="inlineStr">
        <is>
          <t>2026-08-01T18:36:19.970556Z</t>
        </is>
      </c>
      <c r="BI37" t="inlineStr">
        <is>
          <t>["same_event","same_team_same_day","same_league_same_day"]</t>
        </is>
      </c>
      <c r="BJ37" t="inlineStr"/>
      <c r="BK37" t="n">
        <v>-153</v>
      </c>
      <c r="BL37" t="n">
        <v>1.653595</v>
      </c>
      <c r="BM37" t="n">
        <v>0.604743</v>
      </c>
      <c r="BN37" t="n">
        <v>0.60199</v>
      </c>
      <c r="BO37" t="inlineStr"/>
      <c r="BP37" t="inlineStr"/>
      <c r="BQ37" t="n">
        <v>1.653595</v>
      </c>
      <c r="BR37" t="n">
        <v>0.605</v>
      </c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n">
        <v>0.5579214953</v>
      </c>
      <c r="CD37" t="n">
        <v>0.999429</v>
      </c>
      <c r="CE37" t="n">
        <v>1.019</v>
      </c>
      <c r="CF37" t="n">
        <v>1</v>
      </c>
      <c r="CG37" t="n">
        <v>-1.4</v>
      </c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</row>
    <row r="38">
      <c r="A38" t="inlineStr">
        <is>
          <t>3733b3b83f2a46ea</t>
        </is>
      </c>
      <c r="B38" t="inlineStr">
        <is>
          <t>2026-08-01T18:37:44.379324Z</t>
        </is>
      </c>
      <c r="C38" t="inlineStr">
        <is>
          <t>2026-08-01T16:10:00-0400</t>
        </is>
      </c>
      <c r="D38" t="inlineStr">
        <is>
          <t>401816348</t>
        </is>
      </c>
      <c r="E38" t="inlineStr">
        <is>
          <t>MLB</t>
        </is>
      </c>
      <c r="F38" t="inlineStr">
        <is>
          <t>Chicago White Sox</t>
        </is>
      </c>
      <c r="G38" t="inlineStr">
        <is>
          <t>Tampa Bay Rays</t>
        </is>
      </c>
      <c r="H38" t="inlineStr">
        <is>
          <t>moneyline</t>
        </is>
      </c>
      <c r="I38" t="inlineStr">
        <is>
          <t>home</t>
        </is>
      </c>
      <c r="J38" t="inlineStr"/>
      <c r="K38" t="inlineStr">
        <is>
          <t>polymarket_us</t>
        </is>
      </c>
      <c r="L38" t="n">
        <v>-156</v>
      </c>
      <c r="M38" t="n">
        <v>1.641026</v>
      </c>
      <c r="N38" t="n">
        <v>0.609375</v>
      </c>
      <c r="O38" t="n">
        <v>0.558419</v>
      </c>
      <c r="P38" t="inlineStr"/>
      <c r="Q38" t="n">
        <v>-0.050956</v>
      </c>
      <c r="R38" t="n">
        <v>0</v>
      </c>
      <c r="S38" t="n">
        <v>1</v>
      </c>
      <c r="T38" t="inlineStr">
        <is>
          <t>mlb-elo-trend-lr-v7</t>
        </is>
      </c>
      <c r="U38" t="inlineStr">
        <is>
          <t>settled</t>
        </is>
      </c>
      <c r="V38" t="inlineStr">
        <is>
          <t>win</t>
        </is>
      </c>
      <c r="W38" t="n">
        <v>0</v>
      </c>
      <c r="X38" t="n">
        <v>1</v>
      </c>
      <c r="Y38" t="inlineStr"/>
      <c r="Z38" t="n">
        <v>-156</v>
      </c>
      <c r="AA38" t="n">
        <v>0.61</v>
      </c>
      <c r="AB38" t="n">
        <v>0.000625</v>
      </c>
      <c r="AC38" t="n">
        <v>0.641</v>
      </c>
      <c r="AD38" t="inlineStr">
        <is>
          <t>2026-08-01T23:50:50.265868Z</t>
        </is>
      </c>
      <c r="AE38" t="inlineStr">
        <is>
          <t>Learned LR call at threshold 0.6242; executable ask 0.6100 (aec-mlb-cws-tb-2026-08-01); model edge vs ask -0.0516.</t>
        </is>
      </c>
      <c r="AF38" t="inlineStr">
        <is>
          <t>Learned model; shadow-qualified via operator override.</t>
        </is>
      </c>
      <c r="AG38" t="inlineStr">
        <is>
          <t>not_applicable</t>
        </is>
      </c>
      <c r="AH38" t="inlineStr"/>
      <c r="AI38" t="inlineStr"/>
      <c r="AJ38" t="inlineStr"/>
      <c r="AK38" t="inlineStr">
        <is>
          <t>model_qualified</t>
        </is>
      </c>
      <c r="AL38" t="n">
        <v>3</v>
      </c>
      <c r="AM38" t="inlineStr">
        <is>
          <t>QUALIFIED_SHADOW_CALL</t>
        </is>
      </c>
      <c r="AN38" t="inlineStr">
        <is>
          <t>CALL</t>
        </is>
      </c>
      <c r="AO38" t="inlineStr">
        <is>
          <t>QUALIFIED</t>
        </is>
      </c>
      <c r="AP38" t="inlineStr">
        <is>
          <t>mlb-cws</t>
        </is>
      </c>
      <c r="AQ38" t="inlineStr">
        <is>
          <t>Chicago White Sox</t>
        </is>
      </c>
      <c r="AR38" t="inlineStr">
        <is>
          <t>Chicago White Sox</t>
        </is>
      </c>
      <c r="AS38" t="inlineStr">
        <is>
          <t>mlb-tb</t>
        </is>
      </c>
      <c r="AT38" t="inlineStr">
        <is>
          <t>Tampa Bay Rays</t>
        </is>
      </c>
      <c r="AU38" t="inlineStr">
        <is>
          <t>Tampa Bay Rays</t>
        </is>
      </c>
      <c r="AV38" t="inlineStr"/>
      <c r="AW38" t="inlineStr"/>
      <c r="AX38" t="inlineStr">
        <is>
          <t>statistical_model</t>
        </is>
      </c>
      <c r="AY38" t="inlineStr"/>
      <c r="AZ38" t="inlineStr">
        <is>
          <t>shadow_qualified</t>
        </is>
      </c>
      <c r="BA38" t="inlineStr">
        <is>
          <t>464eef695bfbbdaa819ec6f5e4c5bd1068ed20b92915fb2677220ae91e20d8b6</t>
        </is>
      </c>
      <c r="BB38" t="inlineStr">
        <is>
          <t>learned_lr</t>
        </is>
      </c>
      <c r="BC38" t="inlineStr">
        <is>
          <t>mlb-elo-trend-lr-v7</t>
        </is>
      </c>
      <c r="BD38" t="inlineStr">
        <is>
          <t>464eef695bfbbdaa819ec6f5e4c5bd1068ed20b92915fb2677220ae91e20d8b6</t>
        </is>
      </c>
      <c r="BE38" t="inlineStr">
        <is>
          <t>ad676df45ee6e775</t>
        </is>
      </c>
      <c r="BF38" t="n">
        <v>1</v>
      </c>
      <c r="BG38" t="inlineStr">
        <is>
          <t>mlb-elo-trend-lr-v7</t>
        </is>
      </c>
      <c r="BH38" t="inlineStr">
        <is>
          <t>2026-08-01T18:36:22.182386Z</t>
        </is>
      </c>
      <c r="BI38" t="inlineStr">
        <is>
          <t>["same_event","same_team_same_day","same_league_same_day"]</t>
        </is>
      </c>
      <c r="BJ38" t="inlineStr"/>
      <c r="BK38" t="n">
        <v>-156</v>
      </c>
      <c r="BL38" t="n">
        <v>1.641026</v>
      </c>
      <c r="BM38" t="n">
        <v>0.609375</v>
      </c>
      <c r="BN38" t="n">
        <v>0.606965</v>
      </c>
      <c r="BO38" t="inlineStr"/>
      <c r="BP38" t="inlineStr"/>
      <c r="BQ38" t="n">
        <v>1.641026</v>
      </c>
      <c r="BR38" t="n">
        <v>0.61</v>
      </c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n">
        <v>0.5468687943</v>
      </c>
      <c r="CD38" t="n">
        <v>-1.164825</v>
      </c>
      <c r="CE38" t="n">
        <v>0.965</v>
      </c>
      <c r="CF38" t="n">
        <v>1</v>
      </c>
      <c r="CG38" t="n">
        <v>-1.4</v>
      </c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</row>
    <row r="39">
      <c r="A39" t="inlineStr">
        <is>
          <t>d359621e3ac04e50</t>
        </is>
      </c>
      <c r="B39" t="inlineStr">
        <is>
          <t>2026-08-01T18:37:44.379324Z</t>
        </is>
      </c>
      <c r="C39" t="inlineStr">
        <is>
          <t>2026-08-01T16:10:00-0400</t>
        </is>
      </c>
      <c r="D39" t="inlineStr">
        <is>
          <t>401816349</t>
        </is>
      </c>
      <c r="E39" t="inlineStr">
        <is>
          <t>MLB</t>
        </is>
      </c>
      <c r="F39" t="inlineStr">
        <is>
          <t>Miami Marlins</t>
        </is>
      </c>
      <c r="G39" t="inlineStr">
        <is>
          <t>New York Mets</t>
        </is>
      </c>
      <c r="H39" t="inlineStr">
        <is>
          <t>moneyline</t>
        </is>
      </c>
      <c r="I39" t="inlineStr">
        <is>
          <t>home</t>
        </is>
      </c>
      <c r="J39" t="inlineStr"/>
      <c r="K39" t="inlineStr">
        <is>
          <t>polymarket_us</t>
        </is>
      </c>
      <c r="L39" t="n">
        <v>-122</v>
      </c>
      <c r="M39" t="n">
        <v>1.819672</v>
      </c>
      <c r="N39" t="n">
        <v>0.54955</v>
      </c>
      <c r="O39" t="n">
        <v>0.515788</v>
      </c>
      <c r="P39" t="inlineStr"/>
      <c r="Q39" t="n">
        <v>-0.033762</v>
      </c>
      <c r="R39" t="n">
        <v>4</v>
      </c>
      <c r="S39" t="n">
        <v>1</v>
      </c>
      <c r="T39" t="inlineStr">
        <is>
          <t>mlb-elo-trend-lr-v7</t>
        </is>
      </c>
      <c r="U39" t="inlineStr">
        <is>
          <t>settled</t>
        </is>
      </c>
      <c r="V39" t="inlineStr">
        <is>
          <t>loss</t>
        </is>
      </c>
      <c r="W39" t="n">
        <v>6</v>
      </c>
      <c r="X39" t="n">
        <v>2</v>
      </c>
      <c r="Y39" t="inlineStr"/>
      <c r="Z39" t="n">
        <v>-122</v>
      </c>
      <c r="AA39" t="n">
        <v>0.55</v>
      </c>
      <c r="AB39" t="n">
        <v>0.00045</v>
      </c>
      <c r="AC39" t="n">
        <v>-1</v>
      </c>
      <c r="AD39" t="inlineStr">
        <is>
          <t>2026-08-01T23:50:50.594318Z</t>
        </is>
      </c>
      <c r="AE39" t="inlineStr">
        <is>
          <t>Learned LR call at threshold 0.6242; executable ask 0.5500 (aec-mlb-mia-nym-2026-08-01); model edge vs ask -0.0342.</t>
        </is>
      </c>
      <c r="AF39" t="inlineStr">
        <is>
          <t>Learned model; shadow-qualified via operator override.</t>
        </is>
      </c>
      <c r="AG39" t="inlineStr">
        <is>
          <t>review_required</t>
        </is>
      </c>
      <c r="AH39" t="inlineStr"/>
      <c r="AI39" t="inlineStr"/>
      <c r="AJ39" t="inlineStr"/>
      <c r="AK39" t="inlineStr">
        <is>
          <t>model_qualified</t>
        </is>
      </c>
      <c r="AL39" t="n">
        <v>3</v>
      </c>
      <c r="AM39" t="inlineStr">
        <is>
          <t>QUALIFIED_SHADOW_CALL</t>
        </is>
      </c>
      <c r="AN39" t="inlineStr">
        <is>
          <t>CALL</t>
        </is>
      </c>
      <c r="AO39" t="inlineStr">
        <is>
          <t>QUALIFIED</t>
        </is>
      </c>
      <c r="AP39" t="inlineStr">
        <is>
          <t>mlb-mia</t>
        </is>
      </c>
      <c r="AQ39" t="inlineStr">
        <is>
          <t>Miami Marlins</t>
        </is>
      </c>
      <c r="AR39" t="inlineStr">
        <is>
          <t>Miami Marlins</t>
        </is>
      </c>
      <c r="AS39" t="inlineStr">
        <is>
          <t>mlb-nym</t>
        </is>
      </c>
      <c r="AT39" t="inlineStr">
        <is>
          <t>New York Mets</t>
        </is>
      </c>
      <c r="AU39" t="inlineStr">
        <is>
          <t>New York Mets</t>
        </is>
      </c>
      <c r="AV39" t="inlineStr"/>
      <c r="AW39" t="inlineStr"/>
      <c r="AX39" t="inlineStr">
        <is>
          <t>statistical_model</t>
        </is>
      </c>
      <c r="AY39" t="inlineStr"/>
      <c r="AZ39" t="inlineStr">
        <is>
          <t>shadow_qualified</t>
        </is>
      </c>
      <c r="BA39" t="inlineStr">
        <is>
          <t>464eef695bfbbdaa819ec6f5e4c5bd1068ed20b92915fb2677220ae91e20d8b6</t>
        </is>
      </c>
      <c r="BB39" t="inlineStr">
        <is>
          <t>learned_lr</t>
        </is>
      </c>
      <c r="BC39" t="inlineStr">
        <is>
          <t>mlb-elo-trend-lr-v7</t>
        </is>
      </c>
      <c r="BD39" t="inlineStr">
        <is>
          <t>464eef695bfbbdaa819ec6f5e4c5bd1068ed20b92915fb2677220ae91e20d8b6</t>
        </is>
      </c>
      <c r="BE39" t="inlineStr">
        <is>
          <t>8e71ffd6fce569a4</t>
        </is>
      </c>
      <c r="BF39" t="n">
        <v>1</v>
      </c>
      <c r="BG39" t="inlineStr">
        <is>
          <t>mlb-elo-trend-lr-v7</t>
        </is>
      </c>
      <c r="BH39" t="inlineStr">
        <is>
          <t>2026-08-01T18:36:23.073759Z</t>
        </is>
      </c>
      <c r="BI39" t="inlineStr">
        <is>
          <t>["same_event","same_team_same_day","same_league_same_day"]</t>
        </is>
      </c>
      <c r="BJ39" t="inlineStr"/>
      <c r="BK39" t="n">
        <v>-122</v>
      </c>
      <c r="BL39" t="n">
        <v>1.819672</v>
      </c>
      <c r="BM39" t="n">
        <v>0.54955</v>
      </c>
      <c r="BN39" t="n">
        <v>0.547264</v>
      </c>
      <c r="BO39" t="inlineStr"/>
      <c r="BP39" t="inlineStr"/>
      <c r="BQ39" t="n">
        <v>1.819672</v>
      </c>
      <c r="BR39" t="n">
        <v>0.55</v>
      </c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n">
        <v>0.5032110055</v>
      </c>
      <c r="CD39" t="n">
        <v>-0.346453</v>
      </c>
      <c r="CE39" t="n">
        <v>0.978</v>
      </c>
      <c r="CF39" t="n">
        <v>1.0209</v>
      </c>
      <c r="CG39" t="n">
        <v>-1.2</v>
      </c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</row>
    <row r="40">
      <c r="A40" t="inlineStr">
        <is>
          <t>e93d790244fd4c9f</t>
        </is>
      </c>
      <c r="B40" t="inlineStr">
        <is>
          <t>2026-08-01T18:37:44.379324Z</t>
        </is>
      </c>
      <c r="C40" t="inlineStr">
        <is>
          <t>2026-08-01T16:10:00-0400</t>
        </is>
      </c>
      <c r="D40" t="inlineStr">
        <is>
          <t>401816360</t>
        </is>
      </c>
      <c r="E40" t="inlineStr">
        <is>
          <t>MLB</t>
        </is>
      </c>
      <c r="F40" t="inlineStr">
        <is>
          <t>Minnesota Twins</t>
        </is>
      </c>
      <c r="G40" t="inlineStr">
        <is>
          <t>Seattle Mariners</t>
        </is>
      </c>
      <c r="H40" t="inlineStr">
        <is>
          <t>moneyline</t>
        </is>
      </c>
      <c r="I40" t="inlineStr">
        <is>
          <t>home</t>
        </is>
      </c>
      <c r="J40" t="inlineStr"/>
      <c r="K40" t="inlineStr">
        <is>
          <t>polymarket_us</t>
        </is>
      </c>
      <c r="L40" t="n">
        <v>-156</v>
      </c>
      <c r="M40" t="n">
        <v>1.641026</v>
      </c>
      <c r="N40" t="n">
        <v>0.609375</v>
      </c>
      <c r="O40" t="n">
        <v>0.591702</v>
      </c>
      <c r="P40" t="inlineStr"/>
      <c r="Q40" t="n">
        <v>-0.017673</v>
      </c>
      <c r="R40" t="n">
        <v>12</v>
      </c>
      <c r="S40" t="n">
        <v>1.25</v>
      </c>
      <c r="T40" t="inlineStr">
        <is>
          <t>mlb-elo-trend-lr-v7</t>
        </is>
      </c>
      <c r="U40" t="inlineStr">
        <is>
          <t>settled</t>
        </is>
      </c>
      <c r="V40" t="inlineStr">
        <is>
          <t>win</t>
        </is>
      </c>
      <c r="W40" t="n">
        <v>3</v>
      </c>
      <c r="X40" t="n">
        <v>4</v>
      </c>
      <c r="Y40" t="inlineStr"/>
      <c r="Z40" t="n">
        <v>-156</v>
      </c>
      <c r="AA40" t="n">
        <v>0.61</v>
      </c>
      <c r="AB40" t="n">
        <v>0.000625</v>
      </c>
      <c r="AC40" t="n">
        <v>0.8013</v>
      </c>
      <c r="AD40" t="inlineStr">
        <is>
          <t>2026-08-01T23:50:50.937598Z</t>
        </is>
      </c>
      <c r="AE40" t="inlineStr">
        <is>
          <t>Learned LR call at threshold 0.6242; executable ask 0.6100 (aec-mlb-min-sea-2026-08-01); model edge vs ask -0.0183.</t>
        </is>
      </c>
      <c r="AF40" t="inlineStr">
        <is>
          <t>Learned model; shadow-qualified via operator override.</t>
        </is>
      </c>
      <c r="AG40" t="inlineStr">
        <is>
          <t>not_applicable</t>
        </is>
      </c>
      <c r="AH40" t="inlineStr"/>
      <c r="AI40" t="inlineStr"/>
      <c r="AJ40" t="inlineStr"/>
      <c r="AK40" t="inlineStr">
        <is>
          <t>model_qualified</t>
        </is>
      </c>
      <c r="AL40" t="n">
        <v>3</v>
      </c>
      <c r="AM40" t="inlineStr">
        <is>
          <t>QUALIFIED_SHADOW_CALL</t>
        </is>
      </c>
      <c r="AN40" t="inlineStr">
        <is>
          <t>CALL</t>
        </is>
      </c>
      <c r="AO40" t="inlineStr">
        <is>
          <t>QUALIFIED</t>
        </is>
      </c>
      <c r="AP40" t="inlineStr">
        <is>
          <t>mlb-min</t>
        </is>
      </c>
      <c r="AQ40" t="inlineStr">
        <is>
          <t>Minnesota Twins</t>
        </is>
      </c>
      <c r="AR40" t="inlineStr">
        <is>
          <t>Minnesota Twins</t>
        </is>
      </c>
      <c r="AS40" t="inlineStr">
        <is>
          <t>mlb-sea</t>
        </is>
      </c>
      <c r="AT40" t="inlineStr">
        <is>
          <t>Seattle Mariners</t>
        </is>
      </c>
      <c r="AU40" t="inlineStr">
        <is>
          <t>Seattle Mariners</t>
        </is>
      </c>
      <c r="AV40" t="inlineStr"/>
      <c r="AW40" t="inlineStr"/>
      <c r="AX40" t="inlineStr">
        <is>
          <t>statistical_model</t>
        </is>
      </c>
      <c r="AY40" t="inlineStr"/>
      <c r="AZ40" t="inlineStr">
        <is>
          <t>shadow_qualified</t>
        </is>
      </c>
      <c r="BA40" t="inlineStr">
        <is>
          <t>464eef695bfbbdaa819ec6f5e4c5bd1068ed20b92915fb2677220ae91e20d8b6</t>
        </is>
      </c>
      <c r="BB40" t="inlineStr">
        <is>
          <t>learned_lr</t>
        </is>
      </c>
      <c r="BC40" t="inlineStr">
        <is>
          <t>mlb-elo-trend-lr-v7</t>
        </is>
      </c>
      <c r="BD40" t="inlineStr">
        <is>
          <t>464eef695bfbbdaa819ec6f5e4c5bd1068ed20b92915fb2677220ae91e20d8b6</t>
        </is>
      </c>
      <c r="BE40" t="inlineStr">
        <is>
          <t>53175a4c13f251cb</t>
        </is>
      </c>
      <c r="BF40" t="n">
        <v>1</v>
      </c>
      <c r="BG40" t="inlineStr">
        <is>
          <t>mlb-elo-trend-lr-v7</t>
        </is>
      </c>
      <c r="BH40" t="inlineStr">
        <is>
          <t>2026-08-01T18:36:21.090185Z</t>
        </is>
      </c>
      <c r="BI40" t="inlineStr">
        <is>
          <t>["same_event","same_team_same_day","same_league_same_day"]</t>
        </is>
      </c>
      <c r="BJ40" t="inlineStr"/>
      <c r="BK40" t="n">
        <v>-156</v>
      </c>
      <c r="BL40" t="n">
        <v>1.641026</v>
      </c>
      <c r="BM40" t="n">
        <v>0.609375</v>
      </c>
      <c r="BN40" t="n">
        <v>0.606965</v>
      </c>
      <c r="BO40" t="inlineStr"/>
      <c r="BP40" t="inlineStr"/>
      <c r="BQ40" t="n">
        <v>1.641026</v>
      </c>
      <c r="BR40" t="n">
        <v>0.61</v>
      </c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n">
        <v>0.578722894</v>
      </c>
      <c r="CD40" t="n">
        <v>0.628201</v>
      </c>
      <c r="CE40" t="n">
        <v>0.9360000000000001</v>
      </c>
      <c r="CF40" t="n">
        <v>1</v>
      </c>
      <c r="CG40" t="n">
        <v>1.2</v>
      </c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</row>
    <row r="41">
      <c r="A41" t="inlineStr">
        <is>
          <t>a2d10e10ef314293</t>
        </is>
      </c>
      <c r="B41" t="inlineStr">
        <is>
          <t>2026-08-01T20:15:07.885436Z</t>
        </is>
      </c>
      <c r="C41" t="inlineStr">
        <is>
          <t>2026-08-01T18:40:00-0400</t>
        </is>
      </c>
      <c r="D41" t="inlineStr">
        <is>
          <t>401816351</t>
        </is>
      </c>
      <c r="E41" t="inlineStr">
        <is>
          <t>MLB</t>
        </is>
      </c>
      <c r="F41" t="inlineStr">
        <is>
          <t>Pittsburgh Pirates</t>
        </is>
      </c>
      <c r="G41" t="inlineStr">
        <is>
          <t>Cincinnati Reds</t>
        </is>
      </c>
      <c r="H41" t="inlineStr">
        <is>
          <t>moneyline</t>
        </is>
      </c>
      <c r="I41" t="inlineStr">
        <is>
          <t>away</t>
        </is>
      </c>
      <c r="J41" t="inlineStr"/>
      <c r="K41" t="inlineStr">
        <is>
          <t>polymarket_us</t>
        </is>
      </c>
      <c r="L41" t="n">
        <v>-113</v>
      </c>
      <c r="M41" t="n">
        <v>1.884956</v>
      </c>
      <c r="N41" t="n">
        <v>0.530516</v>
      </c>
      <c r="O41" t="n">
        <v>0.514401</v>
      </c>
      <c r="P41" t="inlineStr"/>
      <c r="Q41" t="n">
        <v>-0.016115</v>
      </c>
      <c r="R41" t="n">
        <v>14</v>
      </c>
      <c r="S41" t="n">
        <v>1</v>
      </c>
      <c r="T41" t="inlineStr">
        <is>
          <t>mlb-elo-trend-lr-v7</t>
        </is>
      </c>
      <c r="U41" t="inlineStr">
        <is>
          <t>settled</t>
        </is>
      </c>
      <c r="V41" t="inlineStr">
        <is>
          <t>win</t>
        </is>
      </c>
      <c r="W41" t="n">
        <v>4</v>
      </c>
      <c r="X41" t="n">
        <v>1</v>
      </c>
      <c r="Y41" t="inlineStr"/>
      <c r="Z41" t="n">
        <v>-113</v>
      </c>
      <c r="AA41" t="n">
        <v>0.53</v>
      </c>
      <c r="AB41" t="n">
        <v>-0.000516</v>
      </c>
      <c r="AC41" t="n">
        <v>0.885</v>
      </c>
      <c r="AD41" t="inlineStr">
        <is>
          <t>2026-08-02T03:25:50.753961Z</t>
        </is>
      </c>
      <c r="AE41" t="inlineStr">
        <is>
          <t>Learned LR call at threshold 0.6242; executable ask 0.5300 (aec-mlb-pit-cin-2026-08-01); model edge vs ask -0.0156.</t>
        </is>
      </c>
      <c r="AF41" t="inlineStr">
        <is>
          <t>Learned model; shadow-qualified via operator override.</t>
        </is>
      </c>
      <c r="AG41" t="inlineStr">
        <is>
          <t>not_applicable</t>
        </is>
      </c>
      <c r="AH41" t="inlineStr"/>
      <c r="AI41" t="inlineStr"/>
      <c r="AJ41" t="inlineStr"/>
      <c r="AK41" t="inlineStr">
        <is>
          <t>model_qualified</t>
        </is>
      </c>
      <c r="AL41" t="n">
        <v>3</v>
      </c>
      <c r="AM41" t="inlineStr">
        <is>
          <t>QUALIFIED_SHADOW_CALL</t>
        </is>
      </c>
      <c r="AN41" t="inlineStr">
        <is>
          <t>CALL</t>
        </is>
      </c>
      <c r="AO41" t="inlineStr">
        <is>
          <t>QUALIFIED</t>
        </is>
      </c>
      <c r="AP41" t="inlineStr">
        <is>
          <t>mlb-pit</t>
        </is>
      </c>
      <c r="AQ41" t="inlineStr">
        <is>
          <t>Pittsburgh Pirates</t>
        </is>
      </c>
      <c r="AR41" t="inlineStr">
        <is>
          <t>Pittsburgh Pirates</t>
        </is>
      </c>
      <c r="AS41" t="inlineStr">
        <is>
          <t>mlb-cin</t>
        </is>
      </c>
      <c r="AT41" t="inlineStr">
        <is>
          <t>Cincinnati Reds</t>
        </is>
      </c>
      <c r="AU41" t="inlineStr">
        <is>
          <t>Cincinnati Reds</t>
        </is>
      </c>
      <c r="AV41" t="inlineStr"/>
      <c r="AW41" t="inlineStr"/>
      <c r="AX41" t="inlineStr">
        <is>
          <t>statistical_model</t>
        </is>
      </c>
      <c r="AY41" t="inlineStr"/>
      <c r="AZ41" t="inlineStr">
        <is>
          <t>shadow_qualified</t>
        </is>
      </c>
      <c r="BA41" t="inlineStr">
        <is>
          <t>464eef695bfbbdaa819ec6f5e4c5bd1068ed20b92915fb2677220ae91e20d8b6</t>
        </is>
      </c>
      <c r="BB41" t="inlineStr">
        <is>
          <t>learned_lr</t>
        </is>
      </c>
      <c r="BC41" t="inlineStr">
        <is>
          <t>mlb-elo-trend-lr-v7</t>
        </is>
      </c>
      <c r="BD41" t="inlineStr">
        <is>
          <t>464eef695bfbbdaa819ec6f5e4c5bd1068ed20b92915fb2677220ae91e20d8b6</t>
        </is>
      </c>
      <c r="BE41" t="inlineStr">
        <is>
          <t>8c1940db78503612</t>
        </is>
      </c>
      <c r="BF41" t="n">
        <v>1</v>
      </c>
      <c r="BG41" t="inlineStr">
        <is>
          <t>mlb-elo-trend-lr-v7</t>
        </is>
      </c>
      <c r="BH41" t="inlineStr">
        <is>
          <t>2026-08-01T20:14:06.422794Z</t>
        </is>
      </c>
      <c r="BI41" t="inlineStr">
        <is>
          <t>["same_event","same_team_same_day","same_league_same_day"]</t>
        </is>
      </c>
      <c r="BJ41" t="inlineStr"/>
      <c r="BK41" t="n">
        <v>-113</v>
      </c>
      <c r="BL41" t="n">
        <v>1.884956</v>
      </c>
      <c r="BM41" t="n">
        <v>0.530516</v>
      </c>
      <c r="BN41" t="n">
        <v>0.527363</v>
      </c>
      <c r="BO41" t="inlineStr"/>
      <c r="BP41" t="inlineStr"/>
      <c r="BQ41" t="n">
        <v>1.884956</v>
      </c>
      <c r="BR41" t="n">
        <v>0.53</v>
      </c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n">
        <v>0.4970624032</v>
      </c>
      <c r="CD41" t="n">
        <v>1.00651</v>
      </c>
      <c r="CE41" t="n">
        <v>1.036</v>
      </c>
      <c r="CF41" t="n">
        <v>1.0084</v>
      </c>
      <c r="CG41" t="n">
        <v>-0.6</v>
      </c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</row>
    <row r="42">
      <c r="A42" t="inlineStr">
        <is>
          <t>93a9574919fd44a4</t>
        </is>
      </c>
      <c r="B42" t="inlineStr">
        <is>
          <t>2026-08-01T20:15:07.885436Z</t>
        </is>
      </c>
      <c r="C42" t="inlineStr">
        <is>
          <t>2026-08-01T19:05:00-0400</t>
        </is>
      </c>
      <c r="D42" t="inlineStr">
        <is>
          <t>401816350</t>
        </is>
      </c>
      <c r="E42" t="inlineStr">
        <is>
          <t>MLB</t>
        </is>
      </c>
      <c r="F42" t="inlineStr">
        <is>
          <t>Philadelphia Phillies</t>
        </is>
      </c>
      <c r="G42" t="inlineStr">
        <is>
          <t>Baltimore Orioles</t>
        </is>
      </c>
      <c r="H42" t="inlineStr">
        <is>
          <t>moneyline</t>
        </is>
      </c>
      <c r="I42" t="inlineStr">
        <is>
          <t>away</t>
        </is>
      </c>
      <c r="J42" t="inlineStr"/>
      <c r="K42" t="inlineStr">
        <is>
          <t>polymarket_us</t>
        </is>
      </c>
      <c r="L42" t="n">
        <v>-138</v>
      </c>
      <c r="M42" t="n">
        <v>1.724638</v>
      </c>
      <c r="N42" t="n">
        <v>0.579832</v>
      </c>
      <c r="O42" t="n">
        <v>0.513137</v>
      </c>
      <c r="P42" t="inlineStr"/>
      <c r="Q42" t="n">
        <v>-0.066695</v>
      </c>
      <c r="R42" t="n">
        <v>0</v>
      </c>
      <c r="S42" t="n">
        <v>1</v>
      </c>
      <c r="T42" t="inlineStr">
        <is>
          <t>mlb-elo-trend-lr-v7</t>
        </is>
      </c>
      <c r="U42" t="inlineStr">
        <is>
          <t>settled</t>
        </is>
      </c>
      <c r="V42" t="inlineStr">
        <is>
          <t>win</t>
        </is>
      </c>
      <c r="W42" t="n">
        <v>5</v>
      </c>
      <c r="X42" t="n">
        <v>0</v>
      </c>
      <c r="Y42" t="inlineStr"/>
      <c r="Z42" t="n">
        <v>-138</v>
      </c>
      <c r="AA42" t="n">
        <v>0.58</v>
      </c>
      <c r="AB42" t="n">
        <v>0.000168</v>
      </c>
      <c r="AC42" t="n">
        <v>0.7246</v>
      </c>
      <c r="AD42" t="inlineStr">
        <is>
          <t>2026-08-02T03:25:50.974932Z</t>
        </is>
      </c>
      <c r="AE42" t="inlineStr">
        <is>
          <t>Learned LR call at threshold 0.6242; executable ask 0.5800 (aec-mlb-phi-bal-2026-08-01); model edge vs ask -0.0669.</t>
        </is>
      </c>
      <c r="AF42" t="inlineStr">
        <is>
          <t>Learned model; shadow-qualified via operator override.</t>
        </is>
      </c>
      <c r="AG42" t="inlineStr">
        <is>
          <t>not_applicable</t>
        </is>
      </c>
      <c r="AH42" t="inlineStr"/>
      <c r="AI42" t="inlineStr"/>
      <c r="AJ42" t="inlineStr"/>
      <c r="AK42" t="inlineStr">
        <is>
          <t>model_qualified</t>
        </is>
      </c>
      <c r="AL42" t="n">
        <v>3</v>
      </c>
      <c r="AM42" t="inlineStr">
        <is>
          <t>QUALIFIED_SHADOW_CALL</t>
        </is>
      </c>
      <c r="AN42" t="inlineStr">
        <is>
          <t>CALL</t>
        </is>
      </c>
      <c r="AO42" t="inlineStr">
        <is>
          <t>QUALIFIED</t>
        </is>
      </c>
      <c r="AP42" t="inlineStr">
        <is>
          <t>mlb-phi</t>
        </is>
      </c>
      <c r="AQ42" t="inlineStr">
        <is>
          <t>Philadelphia Phillies</t>
        </is>
      </c>
      <c r="AR42" t="inlineStr">
        <is>
          <t>Philadelphia Phillies</t>
        </is>
      </c>
      <c r="AS42" t="inlineStr">
        <is>
          <t>mlb-bal</t>
        </is>
      </c>
      <c r="AT42" t="inlineStr">
        <is>
          <t>Baltimore Orioles</t>
        </is>
      </c>
      <c r="AU42" t="inlineStr">
        <is>
          <t>Baltimore Orioles</t>
        </is>
      </c>
      <c r="AV42" t="inlineStr"/>
      <c r="AW42" t="inlineStr"/>
      <c r="AX42" t="inlineStr">
        <is>
          <t>statistical_model</t>
        </is>
      </c>
      <c r="AY42" t="inlineStr"/>
      <c r="AZ42" t="inlineStr">
        <is>
          <t>shadow_qualified</t>
        </is>
      </c>
      <c r="BA42" t="inlineStr">
        <is>
          <t>464eef695bfbbdaa819ec6f5e4c5bd1068ed20b92915fb2677220ae91e20d8b6</t>
        </is>
      </c>
      <c r="BB42" t="inlineStr">
        <is>
          <t>learned_lr</t>
        </is>
      </c>
      <c r="BC42" t="inlineStr">
        <is>
          <t>mlb-elo-trend-lr-v7</t>
        </is>
      </c>
      <c r="BD42" t="inlineStr">
        <is>
          <t>464eef695bfbbdaa819ec6f5e4c5bd1068ed20b92915fb2677220ae91e20d8b6</t>
        </is>
      </c>
      <c r="BE42" t="inlineStr">
        <is>
          <t>d586eb6336d4b039</t>
        </is>
      </c>
      <c r="BF42" t="n">
        <v>1</v>
      </c>
      <c r="BG42" t="inlineStr">
        <is>
          <t>mlb-elo-trend-lr-v7</t>
        </is>
      </c>
      <c r="BH42" t="inlineStr">
        <is>
          <t>2026-08-01T20:14:07.264311Z</t>
        </is>
      </c>
      <c r="BI42" t="inlineStr">
        <is>
          <t>["same_event","same_team_same_day","same_league_same_day"]</t>
        </is>
      </c>
      <c r="BJ42" t="inlineStr"/>
      <c r="BK42" t="n">
        <v>-138</v>
      </c>
      <c r="BL42" t="n">
        <v>1.724638</v>
      </c>
      <c r="BM42" t="n">
        <v>0.579832</v>
      </c>
      <c r="BN42" t="n">
        <v>0.577114</v>
      </c>
      <c r="BO42" t="inlineStr"/>
      <c r="BP42" t="inlineStr"/>
      <c r="BQ42" t="n">
        <v>1.724638</v>
      </c>
      <c r="BR42" t="n">
        <v>0.58</v>
      </c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n">
        <v>0.4932721792</v>
      </c>
      <c r="CD42" t="n">
        <v>1.020825</v>
      </c>
      <c r="CE42" t="n">
        <v>1.03</v>
      </c>
      <c r="CF42" t="n">
        <v>1.0145</v>
      </c>
      <c r="CG42" t="n">
        <v>1.6</v>
      </c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</row>
    <row r="43">
      <c r="A43" t="inlineStr">
        <is>
          <t>19fa9a9b39094e9e</t>
        </is>
      </c>
      <c r="B43" t="inlineStr">
        <is>
          <t>2026-08-01T20:15:07.885436Z</t>
        </is>
      </c>
      <c r="C43" t="inlineStr">
        <is>
          <t>2026-08-01T19:10:00-0400</t>
        </is>
      </c>
      <c r="D43" t="inlineStr">
        <is>
          <t>401816355</t>
        </is>
      </c>
      <c r="E43" t="inlineStr">
        <is>
          <t>MLB</t>
        </is>
      </c>
      <c r="F43" t="inlineStr">
        <is>
          <t>Texas Rangers</t>
        </is>
      </c>
      <c r="G43" t="inlineStr">
        <is>
          <t>Houston Astros</t>
        </is>
      </c>
      <c r="H43" t="inlineStr">
        <is>
          <t>moneyline</t>
        </is>
      </c>
      <c r="I43" t="inlineStr">
        <is>
          <t>home</t>
        </is>
      </c>
      <c r="J43" t="inlineStr"/>
      <c r="K43" t="inlineStr">
        <is>
          <t>polymarket_us</t>
        </is>
      </c>
      <c r="L43" t="n">
        <v>115</v>
      </c>
      <c r="M43" t="n">
        <v>2.15</v>
      </c>
      <c r="N43" t="n">
        <v>0.465116</v>
      </c>
      <c r="O43" t="n">
        <v>0.542652</v>
      </c>
      <c r="P43" t="inlineStr"/>
      <c r="Q43" t="n">
        <v>0.07753599999999999</v>
      </c>
      <c r="R43" t="n">
        <v>60</v>
      </c>
      <c r="S43" t="n">
        <v>1</v>
      </c>
      <c r="T43" t="inlineStr">
        <is>
          <t>mlb-elo-trend-lr-v7</t>
        </is>
      </c>
      <c r="U43" t="inlineStr">
        <is>
          <t>settled</t>
        </is>
      </c>
      <c r="V43" t="inlineStr">
        <is>
          <t>win</t>
        </is>
      </c>
      <c r="W43" t="n">
        <v>4</v>
      </c>
      <c r="X43" t="n">
        <v>5</v>
      </c>
      <c r="Y43" t="inlineStr"/>
      <c r="Z43" t="n">
        <v>115</v>
      </c>
      <c r="AA43" t="n">
        <v>0.465</v>
      </c>
      <c r="AB43" t="n">
        <v>-0.000116</v>
      </c>
      <c r="AC43" t="n">
        <v>1.15</v>
      </c>
      <c r="AD43" t="inlineStr">
        <is>
          <t>2026-08-02T03:25:51.181324Z</t>
        </is>
      </c>
      <c r="AE43" t="inlineStr">
        <is>
          <t>Learned LR call at threshold 0.6242; executable ask 0.4650 (aec-mlb-tex-hou-2026-08-01); model edge vs ask +0.0777.</t>
        </is>
      </c>
      <c r="AF43" t="inlineStr">
        <is>
          <t>Learned model; shadow-qualified via operator override.</t>
        </is>
      </c>
      <c r="AG43" t="inlineStr">
        <is>
          <t>not_applicable</t>
        </is>
      </c>
      <c r="AH43" t="inlineStr"/>
      <c r="AI43" t="inlineStr"/>
      <c r="AJ43" t="inlineStr"/>
      <c r="AK43" t="inlineStr">
        <is>
          <t>model_qualified</t>
        </is>
      </c>
      <c r="AL43" t="n">
        <v>3</v>
      </c>
      <c r="AM43" t="inlineStr">
        <is>
          <t>QUALIFIED_SHADOW_CALL</t>
        </is>
      </c>
      <c r="AN43" t="inlineStr">
        <is>
          <t>CALL</t>
        </is>
      </c>
      <c r="AO43" t="inlineStr">
        <is>
          <t>QUALIFIED</t>
        </is>
      </c>
      <c r="AP43" t="inlineStr">
        <is>
          <t>mlb-tex</t>
        </is>
      </c>
      <c r="AQ43" t="inlineStr">
        <is>
          <t>Texas Rangers</t>
        </is>
      </c>
      <c r="AR43" t="inlineStr">
        <is>
          <t>Texas Rangers</t>
        </is>
      </c>
      <c r="AS43" t="inlineStr">
        <is>
          <t>mlb-hou</t>
        </is>
      </c>
      <c r="AT43" t="inlineStr">
        <is>
          <t>Houston Astros</t>
        </is>
      </c>
      <c r="AU43" t="inlineStr">
        <is>
          <t>Houston Astros</t>
        </is>
      </c>
      <c r="AV43" t="inlineStr"/>
      <c r="AW43" t="inlineStr"/>
      <c r="AX43" t="inlineStr">
        <is>
          <t>statistical_model</t>
        </is>
      </c>
      <c r="AY43" t="inlineStr"/>
      <c r="AZ43" t="inlineStr">
        <is>
          <t>shadow_qualified</t>
        </is>
      </c>
      <c r="BA43" t="inlineStr">
        <is>
          <t>464eef695bfbbdaa819ec6f5e4c5bd1068ed20b92915fb2677220ae91e20d8b6</t>
        </is>
      </c>
      <c r="BB43" t="inlineStr">
        <is>
          <t>learned_lr</t>
        </is>
      </c>
      <c r="BC43" t="inlineStr">
        <is>
          <t>mlb-elo-trend-lr-v7</t>
        </is>
      </c>
      <c r="BD43" t="inlineStr">
        <is>
          <t>464eef695bfbbdaa819ec6f5e4c5bd1068ed20b92915fb2677220ae91e20d8b6</t>
        </is>
      </c>
      <c r="BE43" t="inlineStr">
        <is>
          <t>f2965fa6c6fef7a3</t>
        </is>
      </c>
      <c r="BF43" t="n">
        <v>1</v>
      </c>
      <c r="BG43" t="inlineStr">
        <is>
          <t>mlb-elo-trend-lr-v7</t>
        </is>
      </c>
      <c r="BH43" t="inlineStr">
        <is>
          <t>2026-08-01T20:14:08.292559Z</t>
        </is>
      </c>
      <c r="BI43" t="inlineStr">
        <is>
          <t>["same_event","same_team_same_day","same_league_same_day"]</t>
        </is>
      </c>
      <c r="BJ43" t="inlineStr"/>
      <c r="BK43" t="n">
        <v>115</v>
      </c>
      <c r="BL43" t="n">
        <v>2.15</v>
      </c>
      <c r="BM43" t="n">
        <v>0.465116</v>
      </c>
      <c r="BN43" t="n">
        <v>0.462687</v>
      </c>
      <c r="BO43" t="inlineStr"/>
      <c r="BP43" t="inlineStr"/>
      <c r="BQ43" t="n">
        <v>2.15</v>
      </c>
      <c r="BR43" t="n">
        <v>0.465</v>
      </c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n">
        <v>0.5536392121</v>
      </c>
      <c r="CD43" t="n">
        <v>2.366358</v>
      </c>
      <c r="CE43" t="n">
        <v>0.956</v>
      </c>
      <c r="CF43" t="n">
        <v>1</v>
      </c>
      <c r="CG43" t="n">
        <v>0.6</v>
      </c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</row>
    <row r="44">
      <c r="A44" t="inlineStr">
        <is>
          <t>6b68d638d5cb4f2f</t>
        </is>
      </c>
      <c r="B44" t="inlineStr">
        <is>
          <t>2026-08-01T20:15:07.885436Z</t>
        </is>
      </c>
      <c r="C44" t="inlineStr">
        <is>
          <t>2026-08-01T19:15:00-0400</t>
        </is>
      </c>
      <c r="D44" t="inlineStr">
        <is>
          <t>401816347</t>
        </is>
      </c>
      <c r="E44" t="inlineStr">
        <is>
          <t>MLB</t>
        </is>
      </c>
      <c r="F44" t="inlineStr">
        <is>
          <t>Arizona Diamondbacks</t>
        </is>
      </c>
      <c r="G44" t="inlineStr">
        <is>
          <t>Cleveland Guardians</t>
        </is>
      </c>
      <c r="H44" t="inlineStr">
        <is>
          <t>moneyline</t>
        </is>
      </c>
      <c r="I44" t="inlineStr">
        <is>
          <t>home</t>
        </is>
      </c>
      <c r="J44" t="inlineStr"/>
      <c r="K44" t="inlineStr">
        <is>
          <t>polymarket_us</t>
        </is>
      </c>
      <c r="L44" t="n">
        <v>-163</v>
      </c>
      <c r="M44" t="n">
        <v>1.613497</v>
      </c>
      <c r="N44" t="n">
        <v>0.619772</v>
      </c>
      <c r="O44" t="n">
        <v>0.534072</v>
      </c>
      <c r="P44" t="inlineStr"/>
      <c r="Q44" t="n">
        <v>-0.0857</v>
      </c>
      <c r="R44" t="n">
        <v>0</v>
      </c>
      <c r="S44" t="n">
        <v>1</v>
      </c>
      <c r="T44" t="inlineStr">
        <is>
          <t>mlb-elo-trend-lr-v7</t>
        </is>
      </c>
      <c r="U44" t="inlineStr">
        <is>
          <t>settled</t>
        </is>
      </c>
      <c r="V44" t="inlineStr">
        <is>
          <t>loss</t>
        </is>
      </c>
      <c r="W44" t="n">
        <v>12</v>
      </c>
      <c r="X44" t="n">
        <v>8</v>
      </c>
      <c r="Y44" t="inlineStr"/>
      <c r="Z44" t="n">
        <v>-163</v>
      </c>
      <c r="AA44" t="n">
        <v>0.62</v>
      </c>
      <c r="AB44" t="n">
        <v>0.000228</v>
      </c>
      <c r="AC44" t="n">
        <v>-1</v>
      </c>
      <c r="AD44" t="inlineStr">
        <is>
          <t>2026-08-02T03:25:51.386170Z</t>
        </is>
      </c>
      <c r="AE44" t="inlineStr">
        <is>
          <t>Learned LR call at threshold 0.6242; executable ask 0.6200 (aec-mlb-az-cle-2026-08-01); model edge vs ask -0.0859.</t>
        </is>
      </c>
      <c r="AF44" t="inlineStr">
        <is>
          <t>Learned model; shadow-qualified via operator override.</t>
        </is>
      </c>
      <c r="AG44" t="inlineStr">
        <is>
          <t>review_required</t>
        </is>
      </c>
      <c r="AH44" t="inlineStr"/>
      <c r="AI44" t="inlineStr"/>
      <c r="AJ44" t="inlineStr"/>
      <c r="AK44" t="inlineStr">
        <is>
          <t>model_qualified</t>
        </is>
      </c>
      <c r="AL44" t="n">
        <v>3</v>
      </c>
      <c r="AM44" t="inlineStr">
        <is>
          <t>QUALIFIED_SHADOW_CALL</t>
        </is>
      </c>
      <c r="AN44" t="inlineStr">
        <is>
          <t>CALL</t>
        </is>
      </c>
      <c r="AO44" t="inlineStr">
        <is>
          <t>QUALIFIED</t>
        </is>
      </c>
      <c r="AP44" t="inlineStr">
        <is>
          <t>mlb-ari</t>
        </is>
      </c>
      <c r="AQ44" t="inlineStr">
        <is>
          <t>Arizona Diamondbacks</t>
        </is>
      </c>
      <c r="AR44" t="inlineStr">
        <is>
          <t>Arizona Diamondbacks</t>
        </is>
      </c>
      <c r="AS44" t="inlineStr">
        <is>
          <t>mlb-cle</t>
        </is>
      </c>
      <c r="AT44" t="inlineStr">
        <is>
          <t>Cleveland Guardians</t>
        </is>
      </c>
      <c r="AU44" t="inlineStr">
        <is>
          <t>Cleveland Guardians</t>
        </is>
      </c>
      <c r="AV44" t="inlineStr"/>
      <c r="AW44" t="inlineStr"/>
      <c r="AX44" t="inlineStr">
        <is>
          <t>statistical_model</t>
        </is>
      </c>
      <c r="AY44" t="inlineStr"/>
      <c r="AZ44" t="inlineStr">
        <is>
          <t>shadow_qualified</t>
        </is>
      </c>
      <c r="BA44" t="inlineStr">
        <is>
          <t>464eef695bfbbdaa819ec6f5e4c5bd1068ed20b92915fb2677220ae91e20d8b6</t>
        </is>
      </c>
      <c r="BB44" t="inlineStr">
        <is>
          <t>learned_lr</t>
        </is>
      </c>
      <c r="BC44" t="inlineStr">
        <is>
          <t>mlb-elo-trend-lr-v7</t>
        </is>
      </c>
      <c r="BD44" t="inlineStr">
        <is>
          <t>464eef695bfbbdaa819ec6f5e4c5bd1068ed20b92915fb2677220ae91e20d8b6</t>
        </is>
      </c>
      <c r="BE44" t="inlineStr">
        <is>
          <t>5291b1c09a366ec8</t>
        </is>
      </c>
      <c r="BF44" t="n">
        <v>1</v>
      </c>
      <c r="BG44" t="inlineStr">
        <is>
          <t>mlb-elo-trend-lr-v7</t>
        </is>
      </c>
      <c r="BH44" t="inlineStr">
        <is>
          <t>2026-08-01T20:14:10.378899Z</t>
        </is>
      </c>
      <c r="BI44" t="inlineStr">
        <is>
          <t>["same_event","same_team_same_day","same_league_same_day"]</t>
        </is>
      </c>
      <c r="BJ44" t="inlineStr"/>
      <c r="BK44" t="n">
        <v>-163</v>
      </c>
      <c r="BL44" t="n">
        <v>1.613497</v>
      </c>
      <c r="BM44" t="n">
        <v>0.619772</v>
      </c>
      <c r="BN44" t="n">
        <v>0.616915</v>
      </c>
      <c r="BO44" t="inlineStr"/>
      <c r="BP44" t="inlineStr"/>
      <c r="BQ44" t="n">
        <v>1.613497</v>
      </c>
      <c r="BR44" t="n">
        <v>0.62</v>
      </c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n">
        <v>0.5245055588999999</v>
      </c>
      <c r="CD44" t="n">
        <v>-0.916106</v>
      </c>
      <c r="CE44" t="n">
        <v>0.966</v>
      </c>
      <c r="CF44" t="n">
        <v>1.0098</v>
      </c>
      <c r="CG44" t="n">
        <v>-1.6</v>
      </c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</row>
    <row r="45">
      <c r="A45" t="inlineStr">
        <is>
          <t>130ce91c33e8404d</t>
        </is>
      </c>
      <c r="B45" t="inlineStr">
        <is>
          <t>2026-08-01T20:15:07.885436Z</t>
        </is>
      </c>
      <c r="C45" t="inlineStr">
        <is>
          <t>2026-08-01T19:15:00-0400</t>
        </is>
      </c>
      <c r="D45" t="inlineStr">
        <is>
          <t>401816353</t>
        </is>
      </c>
      <c r="E45" t="inlineStr">
        <is>
          <t>MLB</t>
        </is>
      </c>
      <c r="F45" t="inlineStr">
        <is>
          <t>Washington Nationals</t>
        </is>
      </c>
      <c r="G45" t="inlineStr">
        <is>
          <t>Atlanta Braves</t>
        </is>
      </c>
      <c r="H45" t="inlineStr">
        <is>
          <t>moneyline</t>
        </is>
      </c>
      <c r="I45" t="inlineStr">
        <is>
          <t>home</t>
        </is>
      </c>
      <c r="J45" t="inlineStr"/>
      <c r="K45" t="inlineStr">
        <is>
          <t>polymarket_us</t>
        </is>
      </c>
      <c r="L45" t="n">
        <v>-160</v>
      </c>
      <c r="M45" t="n">
        <v>1.625</v>
      </c>
      <c r="N45" t="n">
        <v>0.615385</v>
      </c>
      <c r="O45" t="n">
        <v>0.6128</v>
      </c>
      <c r="P45" t="inlineStr"/>
      <c r="Q45" t="n">
        <v>-0.002585</v>
      </c>
      <c r="R45" t="n">
        <v>20</v>
      </c>
      <c r="S45" t="n">
        <v>1.5</v>
      </c>
      <c r="T45" t="inlineStr">
        <is>
          <t>mlb-elo-trend-lr-v7</t>
        </is>
      </c>
      <c r="U45" t="inlineStr">
        <is>
          <t>settled</t>
        </is>
      </c>
      <c r="V45" t="inlineStr">
        <is>
          <t>win</t>
        </is>
      </c>
      <c r="W45" t="n">
        <v>3</v>
      </c>
      <c r="X45" t="n">
        <v>8</v>
      </c>
      <c r="Y45" t="inlineStr"/>
      <c r="Z45" t="n">
        <v>-160</v>
      </c>
      <c r="AA45" t="n">
        <v>0.615</v>
      </c>
      <c r="AB45" t="n">
        <v>-0.000385</v>
      </c>
      <c r="AC45" t="n">
        <v>0.9375</v>
      </c>
      <c r="AD45" t="inlineStr">
        <is>
          <t>2026-08-02T03:25:51.589404Z</t>
        </is>
      </c>
      <c r="AE45" t="inlineStr">
        <is>
          <t>Learned LR call at threshold 0.6242; executable ask 0.6150 (aec-mlb-wsh-atl-2026-08-01); model edge vs ask -0.0022.</t>
        </is>
      </c>
      <c r="AF45" t="inlineStr">
        <is>
          <t>Learned model; shadow-qualified via operator override.</t>
        </is>
      </c>
      <c r="AG45" t="inlineStr">
        <is>
          <t>not_applicable</t>
        </is>
      </c>
      <c r="AH45" t="inlineStr"/>
      <c r="AI45" t="inlineStr"/>
      <c r="AJ45" t="inlineStr"/>
      <c r="AK45" t="inlineStr">
        <is>
          <t>model_qualified</t>
        </is>
      </c>
      <c r="AL45" t="n">
        <v>3</v>
      </c>
      <c r="AM45" t="inlineStr">
        <is>
          <t>QUALIFIED_SHADOW_CALL</t>
        </is>
      </c>
      <c r="AN45" t="inlineStr">
        <is>
          <t>CALL</t>
        </is>
      </c>
      <c r="AO45" t="inlineStr">
        <is>
          <t>QUALIFIED</t>
        </is>
      </c>
      <c r="AP45" t="inlineStr">
        <is>
          <t>mlb-wsh</t>
        </is>
      </c>
      <c r="AQ45" t="inlineStr">
        <is>
          <t>Washington Nationals</t>
        </is>
      </c>
      <c r="AR45" t="inlineStr">
        <is>
          <t>Washington Nationals</t>
        </is>
      </c>
      <c r="AS45" t="inlineStr">
        <is>
          <t>mlb-atl</t>
        </is>
      </c>
      <c r="AT45" t="inlineStr">
        <is>
          <t>Atlanta Braves</t>
        </is>
      </c>
      <c r="AU45" t="inlineStr">
        <is>
          <t>Atlanta Braves</t>
        </is>
      </c>
      <c r="AV45" t="inlineStr"/>
      <c r="AW45" t="inlineStr"/>
      <c r="AX45" t="inlineStr">
        <is>
          <t>statistical_model</t>
        </is>
      </c>
      <c r="AY45" t="inlineStr"/>
      <c r="AZ45" t="inlineStr">
        <is>
          <t>shadow_qualified</t>
        </is>
      </c>
      <c r="BA45" t="inlineStr">
        <is>
          <t>464eef695bfbbdaa819ec6f5e4c5bd1068ed20b92915fb2677220ae91e20d8b6</t>
        </is>
      </c>
      <c r="BB45" t="inlineStr">
        <is>
          <t>learned_lr</t>
        </is>
      </c>
      <c r="BC45" t="inlineStr">
        <is>
          <t>mlb-elo-trend-lr-v7</t>
        </is>
      </c>
      <c r="BD45" t="inlineStr">
        <is>
          <t>464eef695bfbbdaa819ec6f5e4c5bd1068ed20b92915fb2677220ae91e20d8b6</t>
        </is>
      </c>
      <c r="BE45" t="inlineStr">
        <is>
          <t>d766ec0b9c7d91f2</t>
        </is>
      </c>
      <c r="BF45" t="n">
        <v>1</v>
      </c>
      <c r="BG45" t="inlineStr">
        <is>
          <t>mlb-elo-trend-lr-v7</t>
        </is>
      </c>
      <c r="BH45" t="inlineStr">
        <is>
          <t>2026-08-01T20:14:11.394186Z</t>
        </is>
      </c>
      <c r="BI45" t="inlineStr">
        <is>
          <t>["same_event","same_team_same_day","same_league_same_day"]</t>
        </is>
      </c>
      <c r="BJ45" t="inlineStr"/>
      <c r="BK45" t="n">
        <v>-160</v>
      </c>
      <c r="BL45" t="n">
        <v>1.625</v>
      </c>
      <c r="BM45" t="n">
        <v>0.615385</v>
      </c>
      <c r="BN45" t="n">
        <v>0.61194</v>
      </c>
      <c r="BO45" t="inlineStr"/>
      <c r="BP45" t="inlineStr"/>
      <c r="BQ45" t="n">
        <v>1.625</v>
      </c>
      <c r="BR45" t="n">
        <v>0.615</v>
      </c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n">
        <v>0.6266199013</v>
      </c>
      <c r="CD45" t="n">
        <v>0.430565</v>
      </c>
      <c r="CE45" t="n">
        <v>0.929</v>
      </c>
      <c r="CF45" t="n">
        <v>1.0145</v>
      </c>
      <c r="CG45" t="n">
        <v>-0.4</v>
      </c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</row>
    <row r="46">
      <c r="A46" t="inlineStr">
        <is>
          <t>ea9d201ce688471d</t>
        </is>
      </c>
      <c r="B46" t="inlineStr">
        <is>
          <t>2026-08-01T20:15:07.885436Z</t>
        </is>
      </c>
      <c r="C46" t="inlineStr">
        <is>
          <t>2026-08-01T19:15:00-0400</t>
        </is>
      </c>
      <c r="D46" t="inlineStr">
        <is>
          <t>401816354</t>
        </is>
      </c>
      <c r="E46" t="inlineStr">
        <is>
          <t>MLB</t>
        </is>
      </c>
      <c r="F46" t="inlineStr">
        <is>
          <t>New York Yankees</t>
        </is>
      </c>
      <c r="G46" t="inlineStr">
        <is>
          <t>Chicago Cubs</t>
        </is>
      </c>
      <c r="H46" t="inlineStr">
        <is>
          <t>moneyline</t>
        </is>
      </c>
      <c r="I46" t="inlineStr">
        <is>
          <t>home</t>
        </is>
      </c>
      <c r="J46" t="inlineStr"/>
      <c r="K46" t="inlineStr">
        <is>
          <t>polymarket_us</t>
        </is>
      </c>
      <c r="L46" t="n">
        <v>-111</v>
      </c>
      <c r="M46" t="n">
        <v>1.900901</v>
      </c>
      <c r="N46" t="n">
        <v>0.526066</v>
      </c>
      <c r="O46" t="n">
        <v>0.546777</v>
      </c>
      <c r="P46" t="inlineStr"/>
      <c r="Q46" t="n">
        <v>0.020711</v>
      </c>
      <c r="R46" t="n">
        <v>32</v>
      </c>
      <c r="S46" t="n">
        <v>1</v>
      </c>
      <c r="T46" t="inlineStr">
        <is>
          <t>mlb-elo-trend-lr-v7</t>
        </is>
      </c>
      <c r="U46" t="inlineStr">
        <is>
          <t>settled</t>
        </is>
      </c>
      <c r="V46" t="inlineStr">
        <is>
          <t>win</t>
        </is>
      </c>
      <c r="W46" t="n">
        <v>2</v>
      </c>
      <c r="X46" t="n">
        <v>5</v>
      </c>
      <c r="Y46" t="inlineStr"/>
      <c r="Z46" t="n">
        <v>-111</v>
      </c>
      <c r="AA46" t="n">
        <v>0.525</v>
      </c>
      <c r="AB46" t="n">
        <v>-0.001066</v>
      </c>
      <c r="AC46" t="n">
        <v>0.9009</v>
      </c>
      <c r="AD46" t="inlineStr">
        <is>
          <t>2026-08-02T03:25:51.794957Z</t>
        </is>
      </c>
      <c r="AE46" t="inlineStr">
        <is>
          <t>Learned LR call at threshold 0.6242; executable ask 0.5250 (aec-mlb-nyy-chc-2026-08-01); model edge vs ask +0.0218.</t>
        </is>
      </c>
      <c r="AF46" t="inlineStr">
        <is>
          <t>Learned model; shadow-qualified via operator override.</t>
        </is>
      </c>
      <c r="AG46" t="inlineStr">
        <is>
          <t>not_applicable</t>
        </is>
      </c>
      <c r="AH46" t="inlineStr"/>
      <c r="AI46" t="inlineStr"/>
      <c r="AJ46" t="inlineStr"/>
      <c r="AK46" t="inlineStr">
        <is>
          <t>model_qualified</t>
        </is>
      </c>
      <c r="AL46" t="n">
        <v>3</v>
      </c>
      <c r="AM46" t="inlineStr">
        <is>
          <t>QUALIFIED_SHADOW_CALL</t>
        </is>
      </c>
      <c r="AN46" t="inlineStr">
        <is>
          <t>CALL</t>
        </is>
      </c>
      <c r="AO46" t="inlineStr">
        <is>
          <t>QUALIFIED</t>
        </is>
      </c>
      <c r="AP46" t="inlineStr">
        <is>
          <t>mlb-nyy</t>
        </is>
      </c>
      <c r="AQ46" t="inlineStr">
        <is>
          <t>New York Yankees</t>
        </is>
      </c>
      <c r="AR46" t="inlineStr">
        <is>
          <t>New York Yankees</t>
        </is>
      </c>
      <c r="AS46" t="inlineStr">
        <is>
          <t>mlb-chc</t>
        </is>
      </c>
      <c r="AT46" t="inlineStr">
        <is>
          <t>Chicago Cubs</t>
        </is>
      </c>
      <c r="AU46" t="inlineStr">
        <is>
          <t>Chicago Cubs</t>
        </is>
      </c>
      <c r="AV46" t="inlineStr"/>
      <c r="AW46" t="inlineStr"/>
      <c r="AX46" t="inlineStr">
        <is>
          <t>statistical_model</t>
        </is>
      </c>
      <c r="AY46" t="inlineStr"/>
      <c r="AZ46" t="inlineStr">
        <is>
          <t>shadow_qualified</t>
        </is>
      </c>
      <c r="BA46" t="inlineStr">
        <is>
          <t>464eef695bfbbdaa819ec6f5e4c5bd1068ed20b92915fb2677220ae91e20d8b6</t>
        </is>
      </c>
      <c r="BB46" t="inlineStr">
        <is>
          <t>learned_lr</t>
        </is>
      </c>
      <c r="BC46" t="inlineStr">
        <is>
          <t>mlb-elo-trend-lr-v7</t>
        </is>
      </c>
      <c r="BD46" t="inlineStr">
        <is>
          <t>464eef695bfbbdaa819ec6f5e4c5bd1068ed20b92915fb2677220ae91e20d8b6</t>
        </is>
      </c>
      <c r="BE46" t="inlineStr">
        <is>
          <t>7cb47d99adfeb29c</t>
        </is>
      </c>
      <c r="BF46" t="n">
        <v>1</v>
      </c>
      <c r="BG46" t="inlineStr">
        <is>
          <t>mlb-elo-trend-lr-v7</t>
        </is>
      </c>
      <c r="BH46" t="inlineStr">
        <is>
          <t>2026-08-01T20:14:09.257400Z</t>
        </is>
      </c>
      <c r="BI46" t="inlineStr">
        <is>
          <t>["same_event","same_team_same_day","same_league_same_day"]</t>
        </is>
      </c>
      <c r="BJ46" t="inlineStr"/>
      <c r="BK46" t="n">
        <v>-111</v>
      </c>
      <c r="BL46" t="n">
        <v>1.900901</v>
      </c>
      <c r="BM46" t="n">
        <v>0.526066</v>
      </c>
      <c r="BN46" t="n">
        <v>0.522388</v>
      </c>
      <c r="BO46" t="inlineStr"/>
      <c r="BP46" t="inlineStr"/>
      <c r="BQ46" t="n">
        <v>1.900901</v>
      </c>
      <c r="BR46" t="n">
        <v>0.525</v>
      </c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n">
        <v>0.5407844181</v>
      </c>
      <c r="CD46" t="n">
        <v>-0.04604</v>
      </c>
      <c r="CE46" t="n">
        <v>0.986</v>
      </c>
      <c r="CF46" t="n">
        <v>1.0117</v>
      </c>
      <c r="CG46" t="n">
        <v>-0.6</v>
      </c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</row>
    <row r="47">
      <c r="A47" t="inlineStr">
        <is>
          <t>e69af07774254511</t>
        </is>
      </c>
      <c r="B47" t="inlineStr">
        <is>
          <t>2026-08-01T23:52:21.502342Z</t>
        </is>
      </c>
      <c r="C47" t="inlineStr">
        <is>
          <t>2026-08-01T20:10:00-0400</t>
        </is>
      </c>
      <c r="D47" t="inlineStr">
        <is>
          <t>401816356</t>
        </is>
      </c>
      <c r="E47" t="inlineStr">
        <is>
          <t>MLB</t>
        </is>
      </c>
      <c r="F47" t="inlineStr">
        <is>
          <t>Kansas City Royals</t>
        </is>
      </c>
      <c r="G47" t="inlineStr">
        <is>
          <t>Colorado Rockies</t>
        </is>
      </c>
      <c r="H47" t="inlineStr">
        <is>
          <t>moneyline</t>
        </is>
      </c>
      <c r="I47" t="inlineStr">
        <is>
          <t>away</t>
        </is>
      </c>
      <c r="J47" t="inlineStr"/>
      <c r="K47" t="inlineStr">
        <is>
          <t>polymarket_us</t>
        </is>
      </c>
      <c r="L47" t="n">
        <v>115</v>
      </c>
      <c r="M47" t="n">
        <v>2.15</v>
      </c>
      <c r="N47" t="n">
        <v>0.465116</v>
      </c>
      <c r="O47" t="n">
        <v>0.59943</v>
      </c>
      <c r="P47" t="inlineStr"/>
      <c r="Q47" t="n">
        <v>0.134314</v>
      </c>
      <c r="R47" t="n">
        <v>88</v>
      </c>
      <c r="S47" t="n">
        <v>1.25</v>
      </c>
      <c r="T47" t="inlineStr">
        <is>
          <t>mlb-elo-trend-lr-v7</t>
        </is>
      </c>
      <c r="U47" t="inlineStr">
        <is>
          <t>settled</t>
        </is>
      </c>
      <c r="V47" t="inlineStr">
        <is>
          <t>loss</t>
        </is>
      </c>
      <c r="W47" t="n">
        <v>6</v>
      </c>
      <c r="X47" t="n">
        <v>12</v>
      </c>
      <c r="Y47" t="inlineStr"/>
      <c r="Z47" t="n">
        <v>115</v>
      </c>
      <c r="AA47" t="n">
        <v>0.465</v>
      </c>
      <c r="AB47" t="n">
        <v>-0.000116</v>
      </c>
      <c r="AC47" t="n">
        <v>-1.25</v>
      </c>
      <c r="AD47" t="inlineStr">
        <is>
          <t>2026-08-02T03:25:52.027477Z</t>
        </is>
      </c>
      <c r="AE47" t="inlineStr">
        <is>
          <t>Learned LR call at threshold 0.6242; executable ask 0.4650 (aec-mlb-kc-col-2026-08-01); model edge vs ask +0.1344.</t>
        </is>
      </c>
      <c r="AF47" t="inlineStr">
        <is>
          <t>Learned model; shadow-qualified via operator override.</t>
        </is>
      </c>
      <c r="AG47" t="inlineStr">
        <is>
          <t>review_required</t>
        </is>
      </c>
      <c r="AH47" t="inlineStr"/>
      <c r="AI47" t="inlineStr"/>
      <c r="AJ47" t="inlineStr"/>
      <c r="AK47" t="inlineStr">
        <is>
          <t>model_qualified</t>
        </is>
      </c>
      <c r="AL47" t="n">
        <v>3</v>
      </c>
      <c r="AM47" t="inlineStr">
        <is>
          <t>QUALIFIED_SHADOW_CALL</t>
        </is>
      </c>
      <c r="AN47" t="inlineStr">
        <is>
          <t>CALL</t>
        </is>
      </c>
      <c r="AO47" t="inlineStr">
        <is>
          <t>QUALIFIED</t>
        </is>
      </c>
      <c r="AP47" t="inlineStr">
        <is>
          <t>mlb-kc</t>
        </is>
      </c>
      <c r="AQ47" t="inlineStr">
        <is>
          <t>Kansas City Royals</t>
        </is>
      </c>
      <c r="AR47" t="inlineStr">
        <is>
          <t>Kansas City Royals</t>
        </is>
      </c>
      <c r="AS47" t="inlineStr">
        <is>
          <t>mlb-col</t>
        </is>
      </c>
      <c r="AT47" t="inlineStr">
        <is>
          <t>Colorado Rockies</t>
        </is>
      </c>
      <c r="AU47" t="inlineStr">
        <is>
          <t>Colorado Rockies</t>
        </is>
      </c>
      <c r="AV47" t="inlineStr"/>
      <c r="AW47" t="inlineStr"/>
      <c r="AX47" t="inlineStr">
        <is>
          <t>statistical_model</t>
        </is>
      </c>
      <c r="AY47" t="inlineStr"/>
      <c r="AZ47" t="inlineStr">
        <is>
          <t>shadow_qualified</t>
        </is>
      </c>
      <c r="BA47" t="inlineStr">
        <is>
          <t>464eef695bfbbdaa819ec6f5e4c5bd1068ed20b92915fb2677220ae91e20d8b6</t>
        </is>
      </c>
      <c r="BB47" t="inlineStr">
        <is>
          <t>learned_lr</t>
        </is>
      </c>
      <c r="BC47" t="inlineStr">
        <is>
          <t>mlb-elo-trend-lr-v7</t>
        </is>
      </c>
      <c r="BD47" t="inlineStr">
        <is>
          <t>464eef695bfbbdaa819ec6f5e4c5bd1068ed20b92915fb2677220ae91e20d8b6</t>
        </is>
      </c>
      <c r="BE47" t="inlineStr">
        <is>
          <t>f816e731583b605d</t>
        </is>
      </c>
      <c r="BF47" t="n">
        <v>1</v>
      </c>
      <c r="BG47" t="inlineStr">
        <is>
          <t>mlb-elo-trend-lr-v7</t>
        </is>
      </c>
      <c r="BH47" t="inlineStr">
        <is>
          <t>2026-08-01T23:51:47.419062Z</t>
        </is>
      </c>
      <c r="BI47" t="inlineStr">
        <is>
          <t>["same_event","same_team_same_day","same_league_same_day"]</t>
        </is>
      </c>
      <c r="BJ47" t="inlineStr"/>
      <c r="BK47" t="n">
        <v>115</v>
      </c>
      <c r="BL47" t="n">
        <v>2.15</v>
      </c>
      <c r="BM47" t="n">
        <v>0.465116</v>
      </c>
      <c r="BN47" t="n">
        <v>0.462687</v>
      </c>
      <c r="BO47" t="inlineStr"/>
      <c r="BP47" t="inlineStr"/>
      <c r="BQ47" t="n">
        <v>2.15</v>
      </c>
      <c r="BR47" t="n">
        <v>0.465</v>
      </c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n">
        <v>0.4336227344</v>
      </c>
      <c r="CD47" t="n">
        <v>0.282629</v>
      </c>
      <c r="CE47" t="n">
        <v>1.193</v>
      </c>
      <c r="CF47" t="n">
        <v>1.0257</v>
      </c>
      <c r="CG47" t="n">
        <v>2.2</v>
      </c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</row>
    <row r="48">
      <c r="A48" t="inlineStr">
        <is>
          <t>110b32c82d2d4e77</t>
        </is>
      </c>
      <c r="B48" t="inlineStr">
        <is>
          <t>2026-08-01T23:52:21.502342Z</t>
        </is>
      </c>
      <c r="C48" t="inlineStr">
        <is>
          <t>2026-08-01T20:40:00-0400</t>
        </is>
      </c>
      <c r="D48" t="inlineStr">
        <is>
          <t>401816361</t>
        </is>
      </c>
      <c r="E48" t="inlineStr">
        <is>
          <t>MLB</t>
        </is>
      </c>
      <c r="F48" t="inlineStr">
        <is>
          <t>San Francisco Giants</t>
        </is>
      </c>
      <c r="G48" t="inlineStr">
        <is>
          <t>San Diego Padres</t>
        </is>
      </c>
      <c r="H48" t="inlineStr">
        <is>
          <t>moneyline</t>
        </is>
      </c>
      <c r="I48" t="inlineStr">
        <is>
          <t>home</t>
        </is>
      </c>
      <c r="J48" t="inlineStr"/>
      <c r="K48" t="inlineStr">
        <is>
          <t>polymarket_us</t>
        </is>
      </c>
      <c r="L48" t="n">
        <v>-141</v>
      </c>
      <c r="M48" t="n">
        <v>1.70922</v>
      </c>
      <c r="N48" t="n">
        <v>0.585062</v>
      </c>
      <c r="O48" t="n">
        <v>0.586302</v>
      </c>
      <c r="P48" t="inlineStr"/>
      <c r="Q48" t="n">
        <v>0.00124</v>
      </c>
      <c r="R48" t="n">
        <v>22</v>
      </c>
      <c r="S48" t="n">
        <v>1.25</v>
      </c>
      <c r="T48" t="inlineStr">
        <is>
          <t>mlb-elo-trend-lr-v7</t>
        </is>
      </c>
      <c r="U48" t="inlineStr">
        <is>
          <t>settled</t>
        </is>
      </c>
      <c r="V48" t="inlineStr">
        <is>
          <t>win</t>
        </is>
      </c>
      <c r="W48" t="n">
        <v>5</v>
      </c>
      <c r="X48" t="n">
        <v>6</v>
      </c>
      <c r="Y48" t="inlineStr"/>
      <c r="Z48" t="n">
        <v>-141</v>
      </c>
      <c r="AA48" t="n">
        <v>0.585</v>
      </c>
      <c r="AB48" t="n">
        <v>-6.2e-05</v>
      </c>
      <c r="AC48" t="n">
        <v>0.8865</v>
      </c>
      <c r="AD48" t="inlineStr">
        <is>
          <t>2026-08-02T04:26:10.615469Z</t>
        </is>
      </c>
      <c r="AE48" t="inlineStr">
        <is>
          <t>Learned LR call at threshold 0.6242; executable ask 0.5850 (aec-mlb-sf-sd-2026-08-01); model edge vs ask +0.0013.</t>
        </is>
      </c>
      <c r="AF48" t="inlineStr">
        <is>
          <t>Learned model; shadow-qualified via operator override.</t>
        </is>
      </c>
      <c r="AG48" t="inlineStr">
        <is>
          <t>not_applicable</t>
        </is>
      </c>
      <c r="AH48" t="inlineStr"/>
      <c r="AI48" t="inlineStr"/>
      <c r="AJ48" t="inlineStr"/>
      <c r="AK48" t="inlineStr">
        <is>
          <t>model_qualified</t>
        </is>
      </c>
      <c r="AL48" t="n">
        <v>3</v>
      </c>
      <c r="AM48" t="inlineStr">
        <is>
          <t>QUALIFIED_SHADOW_CALL</t>
        </is>
      </c>
      <c r="AN48" t="inlineStr">
        <is>
          <t>CALL</t>
        </is>
      </c>
      <c r="AO48" t="inlineStr">
        <is>
          <t>QUALIFIED</t>
        </is>
      </c>
      <c r="AP48" t="inlineStr">
        <is>
          <t>mlb-sf</t>
        </is>
      </c>
      <c r="AQ48" t="inlineStr">
        <is>
          <t>San Francisco Giants</t>
        </is>
      </c>
      <c r="AR48" t="inlineStr">
        <is>
          <t>San Francisco Giants</t>
        </is>
      </c>
      <c r="AS48" t="inlineStr">
        <is>
          <t>mlb-sd</t>
        </is>
      </c>
      <c r="AT48" t="inlineStr">
        <is>
          <t>San Diego Padres</t>
        </is>
      </c>
      <c r="AU48" t="inlineStr">
        <is>
          <t>San Diego Padres</t>
        </is>
      </c>
      <c r="AV48" t="inlineStr"/>
      <c r="AW48" t="inlineStr"/>
      <c r="AX48" t="inlineStr">
        <is>
          <t>statistical_model</t>
        </is>
      </c>
      <c r="AY48" t="inlineStr"/>
      <c r="AZ48" t="inlineStr">
        <is>
          <t>shadow_qualified</t>
        </is>
      </c>
      <c r="BA48" t="inlineStr">
        <is>
          <t>464eef695bfbbdaa819ec6f5e4c5bd1068ed20b92915fb2677220ae91e20d8b6</t>
        </is>
      </c>
      <c r="BB48" t="inlineStr">
        <is>
          <t>learned_lr</t>
        </is>
      </c>
      <c r="BC48" t="inlineStr">
        <is>
          <t>mlb-elo-trend-lr-v7</t>
        </is>
      </c>
      <c r="BD48" t="inlineStr">
        <is>
          <t>464eef695bfbbdaa819ec6f5e4c5bd1068ed20b92915fb2677220ae91e20d8b6</t>
        </is>
      </c>
      <c r="BE48" t="inlineStr">
        <is>
          <t>3254957dc6cbdcf2</t>
        </is>
      </c>
      <c r="BF48" t="n">
        <v>1</v>
      </c>
      <c r="BG48" t="inlineStr">
        <is>
          <t>mlb-elo-trend-lr-v7</t>
        </is>
      </c>
      <c r="BH48" t="inlineStr">
        <is>
          <t>2026-08-01T23:51:48.315062Z</t>
        </is>
      </c>
      <c r="BI48" t="inlineStr">
        <is>
          <t>["same_event","same_team_same_day","same_league_same_day"]</t>
        </is>
      </c>
      <c r="BJ48" t="inlineStr"/>
      <c r="BK48" t="n">
        <v>-141</v>
      </c>
      <c r="BL48" t="n">
        <v>1.70922</v>
      </c>
      <c r="BM48" t="n">
        <v>0.585062</v>
      </c>
      <c r="BN48" t="n">
        <v>0.58209</v>
      </c>
      <c r="BO48" t="inlineStr"/>
      <c r="BP48" t="inlineStr"/>
      <c r="BQ48" t="n">
        <v>1.70922</v>
      </c>
      <c r="BR48" t="n">
        <v>0.585</v>
      </c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n">
        <v>0.5921899564000001</v>
      </c>
      <c r="CD48" t="n">
        <v>-0.027918</v>
      </c>
      <c r="CE48" t="n">
        <v>0.945</v>
      </c>
      <c r="CF48" t="n">
        <v>1.0097</v>
      </c>
      <c r="CG48" t="n">
        <v>-1.8</v>
      </c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</row>
    <row r="49">
      <c r="A49" t="inlineStr">
        <is>
          <t>ee4a790a0e694b6d</t>
        </is>
      </c>
      <c r="B49" t="inlineStr">
        <is>
          <t>2026-08-01T23:52:21.502342Z</t>
        </is>
      </c>
      <c r="C49" t="inlineStr">
        <is>
          <t>2026-08-01T21:10:00-0400</t>
        </is>
      </c>
      <c r="D49" t="inlineStr">
        <is>
          <t>401816357</t>
        </is>
      </c>
      <c r="E49" t="inlineStr">
        <is>
          <t>MLB</t>
        </is>
      </c>
      <c r="F49" t="inlineStr">
        <is>
          <t>Boston Red Sox</t>
        </is>
      </c>
      <c r="G49" t="inlineStr">
        <is>
          <t>Los Angeles Dodgers</t>
        </is>
      </c>
      <c r="H49" t="inlineStr">
        <is>
          <t>moneyline</t>
        </is>
      </c>
      <c r="I49" t="inlineStr">
        <is>
          <t>home</t>
        </is>
      </c>
      <c r="J49" t="inlineStr"/>
      <c r="K49" t="inlineStr">
        <is>
          <t>polymarket_us</t>
        </is>
      </c>
      <c r="L49" t="n">
        <v>-167</v>
      </c>
      <c r="M49" t="n">
        <v>1.598802</v>
      </c>
      <c r="N49" t="n">
        <v>0.625468</v>
      </c>
      <c r="O49" t="n">
        <v>0.561639</v>
      </c>
      <c r="P49" t="inlineStr"/>
      <c r="Q49" t="n">
        <v>-0.063829</v>
      </c>
      <c r="R49" t="n">
        <v>0</v>
      </c>
      <c r="S49" t="n">
        <v>1</v>
      </c>
      <c r="T49" t="inlineStr">
        <is>
          <t>mlb-elo-trend-lr-v7</t>
        </is>
      </c>
      <c r="U49" t="inlineStr">
        <is>
          <t>settled</t>
        </is>
      </c>
      <c r="V49" t="inlineStr">
        <is>
          <t>loss</t>
        </is>
      </c>
      <c r="W49" t="n">
        <v>3</v>
      </c>
      <c r="X49" t="n">
        <v>2</v>
      </c>
      <c r="Y49" t="inlineStr"/>
      <c r="Z49" t="n">
        <v>-167</v>
      </c>
      <c r="AA49" t="n">
        <v>0.625</v>
      </c>
      <c r="AB49" t="n">
        <v>-0.000468</v>
      </c>
      <c r="AC49" t="n">
        <v>-1</v>
      </c>
      <c r="AD49" t="inlineStr">
        <is>
          <t>2026-08-02T03:25:52.287634Z</t>
        </is>
      </c>
      <c r="AE49" t="inlineStr">
        <is>
          <t>Learned LR call at threshold 0.6242; executable ask 0.6250 (aec-mlb-bos-lad-2026-08-01); model edge vs ask -0.0634.</t>
        </is>
      </c>
      <c r="AF49" t="inlineStr">
        <is>
          <t>Learned model; shadow-qualified via operator override.</t>
        </is>
      </c>
      <c r="AG49" t="inlineStr">
        <is>
          <t>review_required</t>
        </is>
      </c>
      <c r="AH49" t="inlineStr"/>
      <c r="AI49" t="inlineStr"/>
      <c r="AJ49" t="inlineStr"/>
      <c r="AK49" t="inlineStr">
        <is>
          <t>model_qualified</t>
        </is>
      </c>
      <c r="AL49" t="n">
        <v>3</v>
      </c>
      <c r="AM49" t="inlineStr">
        <is>
          <t>QUALIFIED_SHADOW_CALL</t>
        </is>
      </c>
      <c r="AN49" t="inlineStr">
        <is>
          <t>CALL</t>
        </is>
      </c>
      <c r="AO49" t="inlineStr">
        <is>
          <t>QUALIFIED</t>
        </is>
      </c>
      <c r="AP49" t="inlineStr">
        <is>
          <t>mlb-bos</t>
        </is>
      </c>
      <c r="AQ49" t="inlineStr">
        <is>
          <t>Boston Red Sox</t>
        </is>
      </c>
      <c r="AR49" t="inlineStr">
        <is>
          <t>Boston Red Sox</t>
        </is>
      </c>
      <c r="AS49" t="inlineStr">
        <is>
          <t>mlb-lad</t>
        </is>
      </c>
      <c r="AT49" t="inlineStr">
        <is>
          <t>Los Angeles Dodgers</t>
        </is>
      </c>
      <c r="AU49" t="inlineStr">
        <is>
          <t>Los Angeles Dodgers</t>
        </is>
      </c>
      <c r="AV49" t="inlineStr"/>
      <c r="AW49" t="inlineStr"/>
      <c r="AX49" t="inlineStr">
        <is>
          <t>statistical_model</t>
        </is>
      </c>
      <c r="AY49" t="inlineStr"/>
      <c r="AZ49" t="inlineStr">
        <is>
          <t>shadow_qualified</t>
        </is>
      </c>
      <c r="BA49" t="inlineStr">
        <is>
          <t>464eef695bfbbdaa819ec6f5e4c5bd1068ed20b92915fb2677220ae91e20d8b6</t>
        </is>
      </c>
      <c r="BB49" t="inlineStr">
        <is>
          <t>learned_lr</t>
        </is>
      </c>
      <c r="BC49" t="inlineStr">
        <is>
          <t>mlb-elo-trend-lr-v7</t>
        </is>
      </c>
      <c r="BD49" t="inlineStr">
        <is>
          <t>464eef695bfbbdaa819ec6f5e4c5bd1068ed20b92915fb2677220ae91e20d8b6</t>
        </is>
      </c>
      <c r="BE49" t="inlineStr">
        <is>
          <t>066806f0bd99b27f</t>
        </is>
      </c>
      <c r="BF49" t="n">
        <v>1</v>
      </c>
      <c r="BG49" t="inlineStr">
        <is>
          <t>mlb-elo-trend-lr-v7</t>
        </is>
      </c>
      <c r="BH49" t="inlineStr">
        <is>
          <t>2026-08-01T23:51:49.237000Z</t>
        </is>
      </c>
      <c r="BI49" t="inlineStr">
        <is>
          <t>["same_event","same_team_same_day","same_league_same_day"]</t>
        </is>
      </c>
      <c r="BJ49" t="inlineStr"/>
      <c r="BK49" t="n">
        <v>-167</v>
      </c>
      <c r="BL49" t="n">
        <v>1.598802</v>
      </c>
      <c r="BM49" t="n">
        <v>0.625468</v>
      </c>
      <c r="BN49" t="n">
        <v>0.621891</v>
      </c>
      <c r="BO49" t="inlineStr"/>
      <c r="BP49" t="inlineStr"/>
      <c r="BQ49" t="n">
        <v>1.598802</v>
      </c>
      <c r="BR49" t="n">
        <v>0.625</v>
      </c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n">
        <v>0.5509882979</v>
      </c>
      <c r="CD49" t="n">
        <v>-0.724816</v>
      </c>
      <c r="CE49" t="n">
        <v>1.026</v>
      </c>
      <c r="CF49" t="n">
        <v>1.0134</v>
      </c>
      <c r="CG49" t="n">
        <v>2.4</v>
      </c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</row>
    <row r="50">
      <c r="A50" t="inlineStr">
        <is>
          <t>9e2f461bc2024e7b</t>
        </is>
      </c>
      <c r="B50" t="inlineStr">
        <is>
          <t>2026-08-01T23:52:21.502342Z</t>
        </is>
      </c>
      <c r="C50" t="inlineStr">
        <is>
          <t>2026-08-01T21:38:00-0400</t>
        </is>
      </c>
      <c r="D50" t="inlineStr">
        <is>
          <t>401816359</t>
        </is>
      </c>
      <c r="E50" t="inlineStr">
        <is>
          <t>MLB</t>
        </is>
      </c>
      <c r="F50" t="inlineStr">
        <is>
          <t>Milwaukee Brewers</t>
        </is>
      </c>
      <c r="G50" t="inlineStr">
        <is>
          <t>Los Angeles Angels</t>
        </is>
      </c>
      <c r="H50" t="inlineStr">
        <is>
          <t>moneyline</t>
        </is>
      </c>
      <c r="I50" t="inlineStr">
        <is>
          <t>away</t>
        </is>
      </c>
      <c r="J50" t="inlineStr"/>
      <c r="K50" t="inlineStr">
        <is>
          <t>polymarket_us</t>
        </is>
      </c>
      <c r="L50" t="n">
        <v>-138</v>
      </c>
      <c r="M50" t="n">
        <v>1.724638</v>
      </c>
      <c r="N50" t="n">
        <v>0.579832</v>
      </c>
      <c r="O50" t="n">
        <v>0.623445</v>
      </c>
      <c r="P50" t="inlineStr"/>
      <c r="Q50" t="n">
        <v>0.043613</v>
      </c>
      <c r="R50" t="n">
        <v>43</v>
      </c>
      <c r="S50" t="n">
        <v>1.5</v>
      </c>
      <c r="T50" t="inlineStr">
        <is>
          <t>mlb-elo-trend-lr-v7</t>
        </is>
      </c>
      <c r="U50" t="inlineStr">
        <is>
          <t>settled</t>
        </is>
      </c>
      <c r="V50" t="inlineStr">
        <is>
          <t>win</t>
        </is>
      </c>
      <c r="W50" t="n">
        <v>3</v>
      </c>
      <c r="X50" t="n">
        <v>1</v>
      </c>
      <c r="Y50" t="inlineStr"/>
      <c r="Z50" t="n">
        <v>-138</v>
      </c>
      <c r="AA50" t="n">
        <v>0.58</v>
      </c>
      <c r="AB50" t="n">
        <v>0.000168</v>
      </c>
      <c r="AC50" t="n">
        <v>1.087</v>
      </c>
      <c r="AD50" t="inlineStr">
        <is>
          <t>2026-08-02T04:26:10.875174Z</t>
        </is>
      </c>
      <c r="AE50" t="inlineStr">
        <is>
          <t>Learned LR call at threshold 0.6242; executable ask 0.5800 (aec-mlb-mil-laa-2026-08-01); model edge vs ask +0.0434.</t>
        </is>
      </c>
      <c r="AF50" t="inlineStr">
        <is>
          <t>Learned model; shadow-qualified via operator override.</t>
        </is>
      </c>
      <c r="AG50" t="inlineStr">
        <is>
          <t>not_applicable</t>
        </is>
      </c>
      <c r="AH50" t="inlineStr"/>
      <c r="AI50" t="inlineStr"/>
      <c r="AJ50" t="inlineStr"/>
      <c r="AK50" t="inlineStr">
        <is>
          <t>model_qualified</t>
        </is>
      </c>
      <c r="AL50" t="n">
        <v>3</v>
      </c>
      <c r="AM50" t="inlineStr">
        <is>
          <t>QUALIFIED_SHADOW_CALL</t>
        </is>
      </c>
      <c r="AN50" t="inlineStr">
        <is>
          <t>CALL</t>
        </is>
      </c>
      <c r="AO50" t="inlineStr">
        <is>
          <t>QUALIFIED</t>
        </is>
      </c>
      <c r="AP50" t="inlineStr">
        <is>
          <t>mlb-mil</t>
        </is>
      </c>
      <c r="AQ50" t="inlineStr">
        <is>
          <t>Milwaukee Brewers</t>
        </is>
      </c>
      <c r="AR50" t="inlineStr">
        <is>
          <t>Milwaukee Brewers</t>
        </is>
      </c>
      <c r="AS50" t="inlineStr">
        <is>
          <t>mlb-laa</t>
        </is>
      </c>
      <c r="AT50" t="inlineStr">
        <is>
          <t>Los Angeles Angels</t>
        </is>
      </c>
      <c r="AU50" t="inlineStr">
        <is>
          <t>Los Angeles Angels</t>
        </is>
      </c>
      <c r="AV50" t="inlineStr"/>
      <c r="AW50" t="inlineStr"/>
      <c r="AX50" t="inlineStr">
        <is>
          <t>statistical_model</t>
        </is>
      </c>
      <c r="AY50" t="inlineStr"/>
      <c r="AZ50" t="inlineStr">
        <is>
          <t>shadow_qualified</t>
        </is>
      </c>
      <c r="BA50" t="inlineStr">
        <is>
          <t>464eef695bfbbdaa819ec6f5e4c5bd1068ed20b92915fb2677220ae91e20d8b6</t>
        </is>
      </c>
      <c r="BB50" t="inlineStr">
        <is>
          <t>learned_lr</t>
        </is>
      </c>
      <c r="BC50" t="inlineStr">
        <is>
          <t>mlb-elo-trend-lr-v7</t>
        </is>
      </c>
      <c r="BD50" t="inlineStr">
        <is>
          <t>464eef695bfbbdaa819ec6f5e4c5bd1068ed20b92915fb2677220ae91e20d8b6</t>
        </is>
      </c>
      <c r="BE50" t="inlineStr">
        <is>
          <t>bf9d0c69dcbae233</t>
        </is>
      </c>
      <c r="BF50" t="n">
        <v>1</v>
      </c>
      <c r="BG50" t="inlineStr">
        <is>
          <t>mlb-elo-trend-lr-v7</t>
        </is>
      </c>
      <c r="BH50" t="inlineStr">
        <is>
          <t>2026-08-01T23:51:49.966869Z</t>
        </is>
      </c>
      <c r="BI50" t="inlineStr">
        <is>
          <t>["same_event","same_team_same_day","same_league_same_day"]</t>
        </is>
      </c>
      <c r="BJ50" t="inlineStr"/>
      <c r="BK50" t="n">
        <v>-138</v>
      </c>
      <c r="BL50" t="n">
        <v>1.724638</v>
      </c>
      <c r="BM50" t="n">
        <v>0.579832</v>
      </c>
      <c r="BN50" t="n">
        <v>0.577114</v>
      </c>
      <c r="BO50" t="inlineStr"/>
      <c r="BP50" t="inlineStr"/>
      <c r="BQ50" t="n">
        <v>1.724638</v>
      </c>
      <c r="BR50" t="n">
        <v>0.58</v>
      </c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n">
        <v>0.3303372609</v>
      </c>
      <c r="CD50" t="n">
        <v>-0.606627</v>
      </c>
      <c r="CE50" t="n">
        <v>1.01</v>
      </c>
      <c r="CF50" t="n">
        <v>1.0096</v>
      </c>
      <c r="CG50" t="n">
        <v>0</v>
      </c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</row>
    <row r="51">
      <c r="A51" t="inlineStr">
        <is>
          <t>3e5e3fb8430b484c</t>
        </is>
      </c>
      <c r="B51" t="inlineStr">
        <is>
          <t>2026-08-01T23:52:21.502342Z</t>
        </is>
      </c>
      <c r="C51" t="inlineStr">
        <is>
          <t>2026-08-01T21:40:00-0400</t>
        </is>
      </c>
      <c r="D51" t="inlineStr">
        <is>
          <t>401816358</t>
        </is>
      </c>
      <c r="E51" t="inlineStr">
        <is>
          <t>MLB</t>
        </is>
      </c>
      <c r="F51" t="inlineStr">
        <is>
          <t>Detroit Tigers</t>
        </is>
      </c>
      <c r="G51" t="inlineStr">
        <is>
          <t>Athletics</t>
        </is>
      </c>
      <c r="H51" t="inlineStr">
        <is>
          <t>moneyline</t>
        </is>
      </c>
      <c r="I51" t="inlineStr">
        <is>
          <t>away</t>
        </is>
      </c>
      <c r="J51" t="inlineStr"/>
      <c r="K51" t="inlineStr">
        <is>
          <t>polymarket_us</t>
        </is>
      </c>
      <c r="L51" t="n">
        <v>-163</v>
      </c>
      <c r="M51" t="n">
        <v>1.613497</v>
      </c>
      <c r="N51" t="n">
        <v>0.619772</v>
      </c>
      <c r="O51" t="n">
        <v>0.55925</v>
      </c>
      <c r="P51" t="inlineStr"/>
      <c r="Q51" t="n">
        <v>-0.060522</v>
      </c>
      <c r="R51" t="n">
        <v>0</v>
      </c>
      <c r="S51" t="n">
        <v>1</v>
      </c>
      <c r="T51" t="inlineStr">
        <is>
          <t>mlb-elo-trend-lr-v7</t>
        </is>
      </c>
      <c r="U51" t="inlineStr">
        <is>
          <t>settled</t>
        </is>
      </c>
      <c r="V51" t="inlineStr">
        <is>
          <t>win</t>
        </is>
      </c>
      <c r="W51" t="n">
        <v>8</v>
      </c>
      <c r="X51" t="n">
        <v>6</v>
      </c>
      <c r="Y51" t="inlineStr"/>
      <c r="Z51" t="n">
        <v>-163</v>
      </c>
      <c r="AA51" t="n">
        <v>0.62</v>
      </c>
      <c r="AB51" t="n">
        <v>0.000228</v>
      </c>
      <c r="AC51" t="n">
        <v>0.6135</v>
      </c>
      <c r="AD51" t="inlineStr">
        <is>
          <t>2026-08-02T05:39:15.100278Z</t>
        </is>
      </c>
      <c r="AE51" t="inlineStr">
        <is>
          <t>Learned LR call at threshold 0.6242; executable ask 0.6200 (aec-mlb-det-ath-2026-08-01); model edge vs ask -0.0607.</t>
        </is>
      </c>
      <c r="AF51" t="inlineStr">
        <is>
          <t>Learned model; shadow-qualified via operator override.</t>
        </is>
      </c>
      <c r="AG51" t="inlineStr">
        <is>
          <t>not_applicable</t>
        </is>
      </c>
      <c r="AH51" t="inlineStr"/>
      <c r="AI51" t="inlineStr"/>
      <c r="AJ51" t="inlineStr"/>
      <c r="AK51" t="inlineStr">
        <is>
          <t>model_qualified</t>
        </is>
      </c>
      <c r="AL51" t="n">
        <v>3</v>
      </c>
      <c r="AM51" t="inlineStr">
        <is>
          <t>QUALIFIED_SHADOW_CALL</t>
        </is>
      </c>
      <c r="AN51" t="inlineStr">
        <is>
          <t>CALL</t>
        </is>
      </c>
      <c r="AO51" t="inlineStr">
        <is>
          <t>QUALIFIED</t>
        </is>
      </c>
      <c r="AP51" t="inlineStr">
        <is>
          <t>mlb-det</t>
        </is>
      </c>
      <c r="AQ51" t="inlineStr">
        <is>
          <t>Detroit Tigers</t>
        </is>
      </c>
      <c r="AR51" t="inlineStr">
        <is>
          <t>Detroit Tigers</t>
        </is>
      </c>
      <c r="AS51" t="inlineStr">
        <is>
          <t>mlb-ath</t>
        </is>
      </c>
      <c r="AT51" t="inlineStr">
        <is>
          <t>Athletics</t>
        </is>
      </c>
      <c r="AU51" t="inlineStr">
        <is>
          <t>Athletics</t>
        </is>
      </c>
      <c r="AV51" t="inlineStr"/>
      <c r="AW51" t="inlineStr"/>
      <c r="AX51" t="inlineStr">
        <is>
          <t>statistical_model</t>
        </is>
      </c>
      <c r="AY51" t="inlineStr"/>
      <c r="AZ51" t="inlineStr">
        <is>
          <t>shadow_qualified</t>
        </is>
      </c>
      <c r="BA51" t="inlineStr">
        <is>
          <t>464eef695bfbbdaa819ec6f5e4c5bd1068ed20b92915fb2677220ae91e20d8b6</t>
        </is>
      </c>
      <c r="BB51" t="inlineStr">
        <is>
          <t>learned_lr</t>
        </is>
      </c>
      <c r="BC51" t="inlineStr">
        <is>
          <t>mlb-elo-trend-lr-v7</t>
        </is>
      </c>
      <c r="BD51" t="inlineStr">
        <is>
          <t>464eef695bfbbdaa819ec6f5e4c5bd1068ed20b92915fb2677220ae91e20d8b6</t>
        </is>
      </c>
      <c r="BE51" t="inlineStr">
        <is>
          <t>c336d1fbc170b694</t>
        </is>
      </c>
      <c r="BF51" t="n">
        <v>1</v>
      </c>
      <c r="BG51" t="inlineStr">
        <is>
          <t>mlb-elo-trend-lr-v7</t>
        </is>
      </c>
      <c r="BH51" t="inlineStr">
        <is>
          <t>2026-08-01T23:51:51.085087Z</t>
        </is>
      </c>
      <c r="BI51" t="inlineStr">
        <is>
          <t>["same_event","same_team_same_day","same_league_same_day"]</t>
        </is>
      </c>
      <c r="BJ51" t="inlineStr"/>
      <c r="BK51" t="n">
        <v>-163</v>
      </c>
      <c r="BL51" t="n">
        <v>1.613497</v>
      </c>
      <c r="BM51" t="n">
        <v>0.619772</v>
      </c>
      <c r="BN51" t="n">
        <v>0.616915</v>
      </c>
      <c r="BO51" t="inlineStr"/>
      <c r="BP51" t="inlineStr"/>
      <c r="BQ51" t="n">
        <v>1.613497</v>
      </c>
      <c r="BR51" t="n">
        <v>0.62</v>
      </c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n">
        <v>0.4182489247</v>
      </c>
      <c r="CD51" t="n">
        <v>-3.451557</v>
      </c>
      <c r="CE51" t="n">
        <v>1.153</v>
      </c>
      <c r="CF51" t="n">
        <v>1.0254</v>
      </c>
      <c r="CG51" t="n">
        <v>1</v>
      </c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</row>
    <row r="52">
      <c r="A52" t="inlineStr">
        <is>
          <t>5a671d3d6aa743bd</t>
        </is>
      </c>
      <c r="B52" t="inlineStr">
        <is>
          <t>2026-08-02T12:28:25.454250Z</t>
        </is>
      </c>
      <c r="C52" t="inlineStr">
        <is>
          <t>2026-08-02T13:00Z</t>
        </is>
      </c>
      <c r="D52" t="inlineStr">
        <is>
          <t>401886551</t>
        </is>
      </c>
      <c r="E52" t="inlineStr">
        <is>
          <t>SOCCER</t>
        </is>
      </c>
      <c r="F52" t="inlineStr">
        <is>
          <t>Atalanta</t>
        </is>
      </c>
      <c r="G52" t="inlineStr">
        <is>
          <t>Feyenoord Rotterdam</t>
        </is>
      </c>
      <c r="H52" t="inlineStr">
        <is>
          <t>moneyline</t>
        </is>
      </c>
      <c r="I52" t="inlineStr">
        <is>
          <t>home</t>
        </is>
      </c>
      <c r="J52" t="inlineStr"/>
      <c r="K52" t="inlineStr">
        <is>
          <t>polymarket_us</t>
        </is>
      </c>
      <c r="L52" t="n">
        <v>194</v>
      </c>
      <c r="M52" t="n">
        <v>2.94</v>
      </c>
      <c r="N52" t="n">
        <v>0.340136</v>
      </c>
      <c r="O52" t="n">
        <v>0.575359</v>
      </c>
      <c r="P52" t="n">
        <v>0.04</v>
      </c>
      <c r="Q52" t="n">
        <v>0.235223</v>
      </c>
      <c r="R52" t="n">
        <v>100</v>
      </c>
      <c r="S52" t="n">
        <v>1.25</v>
      </c>
      <c r="T52" t="inlineStr">
        <is>
          <t>soccer-poisson-dc-v1</t>
        </is>
      </c>
      <c r="U52" t="inlineStr">
        <is>
          <t>settled</t>
        </is>
      </c>
      <c r="V52" t="inlineStr">
        <is>
          <t>win</t>
        </is>
      </c>
      <c r="W52" t="n">
        <v>1</v>
      </c>
      <c r="X52" t="n">
        <v>2</v>
      </c>
      <c r="Y52" t="inlineStr"/>
      <c r="Z52" t="inlineStr"/>
      <c r="AA52" t="inlineStr"/>
      <c r="AB52" t="inlineStr"/>
      <c r="AC52" t="n">
        <v>2.425</v>
      </c>
      <c r="AD52" t="inlineStr">
        <is>
          <t>2026-08-02T15:52:33.778676Z</t>
        </is>
      </c>
      <c r="AE52" t="inlineStr">
        <is>
          <t>Poisson-DC rates 1.92 (home) / 1.01 (away) from EWMA attack/defense strengths. Executable ask 0.3400 (atc-clbf-fey-ata-2026-08-02-fey).</t>
        </is>
      </c>
      <c r="AF52" t="inlineStr">
        <is>
          <t>Research-only soccer score model; draw-aware, but not yet locked-holdout qualified.</t>
        </is>
      </c>
      <c r="AG52" t="inlineStr">
        <is>
          <t>not_applicable</t>
        </is>
      </c>
      <c r="AH52" t="inlineStr"/>
      <c r="AI52" t="inlineStr"/>
      <c r="AJ52" t="inlineStr"/>
      <c r="AK52" t="inlineStr">
        <is>
          <t>model_qualified</t>
        </is>
      </c>
      <c r="AL52" t="n">
        <v>3</v>
      </c>
      <c r="AM52" t="inlineStr">
        <is>
          <t>QUALIFIED_SHADOW_CALL</t>
        </is>
      </c>
      <c r="AN52" t="inlineStr">
        <is>
          <t>CALL</t>
        </is>
      </c>
      <c r="AO52" t="inlineStr">
        <is>
          <t>QUALIFIED</t>
        </is>
      </c>
      <c r="AP52" t="inlineStr">
        <is>
          <t>Atalanta</t>
        </is>
      </c>
      <c r="AQ52" t="inlineStr">
        <is>
          <t>Atalanta</t>
        </is>
      </c>
      <c r="AR52" t="inlineStr">
        <is>
          <t>Atalanta</t>
        </is>
      </c>
      <c r="AS52" t="inlineStr">
        <is>
          <t>Feyenoord Rotterdam</t>
        </is>
      </c>
      <c r="AT52" t="inlineStr">
        <is>
          <t>Feyenoord Rotterdam</t>
        </is>
      </c>
      <c r="AU52" t="inlineStr">
        <is>
          <t>Feyenoord Rotterdam</t>
        </is>
      </c>
      <c r="AV52" t="inlineStr"/>
      <c r="AW52" t="inlineStr"/>
      <c r="AX52" t="inlineStr">
        <is>
          <t>statistical_model</t>
        </is>
      </c>
      <c r="AY52" t="inlineStr"/>
      <c r="AZ52" t="inlineStr">
        <is>
          <t>shadow_qualified</t>
        </is>
      </c>
      <c r="BA52" t="inlineStr">
        <is>
          <t>34d1568aad0ff11b5db35f118324684f93281e1c21fa7b80be7a4a4e2cb4bb03</t>
        </is>
      </c>
      <c r="BB52" t="inlineStr">
        <is>
          <t>poisson_dixon_coles</t>
        </is>
      </c>
      <c r="BC52" t="inlineStr">
        <is>
          <t>soccer-poisson-dc-v1</t>
        </is>
      </c>
      <c r="BD52" t="inlineStr">
        <is>
          <t>34d1568aad0ff11b5db35f118324684f93281e1c21fa7b80be7a4a4e2cb4bb03</t>
        </is>
      </c>
      <c r="BE52" t="inlineStr">
        <is>
          <t>soccer-poisson-dc-v1</t>
        </is>
      </c>
      <c r="BF52" t="n">
        <v>1</v>
      </c>
      <c r="BG52" t="inlineStr">
        <is>
          <t>34d1568aad0ff11b5db35f118324684f93281e1c21fa7b80be7a4a4e2cb4bb03</t>
        </is>
      </c>
      <c r="BH52" t="inlineStr">
        <is>
          <t>2026-08-02T12:25:27.610137Z</t>
        </is>
      </c>
      <c r="BI52" t="inlineStr">
        <is>
          <t>["same_event","same_team_same_day","same_league_same_day"]</t>
        </is>
      </c>
      <c r="BJ52" t="inlineStr"/>
      <c r="BK52" t="n">
        <v>194</v>
      </c>
      <c r="BL52" t="n">
        <v>2.94</v>
      </c>
      <c r="BM52" t="n">
        <v>0.340136</v>
      </c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</row>
    <row r="53">
      <c r="A53" t="inlineStr">
        <is>
          <t>f34743eccf0143a3</t>
        </is>
      </c>
      <c r="B53" t="inlineStr">
        <is>
          <t>2026-08-02T16:48:43.908788Z</t>
        </is>
      </c>
      <c r="C53" t="inlineStr">
        <is>
          <t>2026-08-02T13:00:00-0400</t>
        </is>
      </c>
      <c r="D53" t="inlineStr">
        <is>
          <t>401857107</t>
        </is>
      </c>
      <c r="E53" t="inlineStr">
        <is>
          <t>WNBA</t>
        </is>
      </c>
      <c r="F53" t="inlineStr">
        <is>
          <t>Indiana Fever</t>
        </is>
      </c>
      <c r="G53" t="inlineStr">
        <is>
          <t>Minnesota Lynx</t>
        </is>
      </c>
      <c r="H53" t="inlineStr">
        <is>
          <t>moneyline</t>
        </is>
      </c>
      <c r="I53" t="inlineStr">
        <is>
          <t>home</t>
        </is>
      </c>
      <c r="J53" t="inlineStr"/>
      <c r="K53" t="inlineStr">
        <is>
          <t>polymarket_us</t>
        </is>
      </c>
      <c r="L53" t="n">
        <v>-186</v>
      </c>
      <c r="M53" t="n">
        <v>1.537634</v>
      </c>
      <c r="N53" t="n">
        <v>0.65035</v>
      </c>
      <c r="O53" t="n">
        <v>0.643489</v>
      </c>
      <c r="P53" t="inlineStr"/>
      <c r="Q53" t="n">
        <v>-0.006861</v>
      </c>
      <c r="R53" t="n">
        <v>20</v>
      </c>
      <c r="S53" t="n">
        <v>1.5</v>
      </c>
      <c r="T53" t="inlineStr">
        <is>
          <t>wnba-elo-trend-lr-v4</t>
        </is>
      </c>
      <c r="U53" t="inlineStr">
        <is>
          <t>open</t>
        </is>
      </c>
      <c r="V53" t="inlineStr"/>
      <c r="W53" t="inlineStr"/>
      <c r="X53" t="inlineStr"/>
      <c r="Y53" t="inlineStr"/>
      <c r="Z53" t="inlineStr"/>
      <c r="AA53" t="inlineStr"/>
      <c r="AB53" t="inlineStr"/>
      <c r="AC53" t="inlineStr"/>
      <c r="AD53" t="inlineStr"/>
      <c r="AE53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53" t="inlineStr">
        <is>
          <t>Learned model; shadow-qualified via operator override.</t>
        </is>
      </c>
      <c r="AG53" t="inlineStr">
        <is>
          <t>not_applicable</t>
        </is>
      </c>
      <c r="AH53" t="inlineStr"/>
      <c r="AI53" t="inlineStr"/>
      <c r="AJ53" t="inlineStr"/>
      <c r="AK53" t="inlineStr">
        <is>
          <t>model_qualified</t>
        </is>
      </c>
      <c r="AL53" t="n">
        <v>3</v>
      </c>
      <c r="AM53" t="inlineStr">
        <is>
          <t>QUALIFIED_SHADOW_CALL</t>
        </is>
      </c>
      <c r="AN53" t="inlineStr">
        <is>
          <t>CALL</t>
        </is>
      </c>
      <c r="AO53" t="inlineStr">
        <is>
          <t>QUALIFIED</t>
        </is>
      </c>
      <c r="AP53" t="inlineStr">
        <is>
          <t>wnba-ind</t>
        </is>
      </c>
      <c r="AQ53" t="inlineStr">
        <is>
          <t>Indiana Fever</t>
        </is>
      </c>
      <c r="AR53" t="inlineStr">
        <is>
          <t>Indiana Fever</t>
        </is>
      </c>
      <c r="AS53" t="inlineStr">
        <is>
          <t>wnba-min</t>
        </is>
      </c>
      <c r="AT53" t="inlineStr">
        <is>
          <t>Minnesota Lynx</t>
        </is>
      </c>
      <c r="AU53" t="inlineStr">
        <is>
          <t>Minnesota Lynx</t>
        </is>
      </c>
      <c r="AV53" t="inlineStr"/>
      <c r="AW53" t="inlineStr"/>
      <c r="AX53" t="inlineStr">
        <is>
          <t>statistical_model</t>
        </is>
      </c>
      <c r="AY53" t="inlineStr"/>
      <c r="AZ53" t="inlineStr">
        <is>
          <t>shadow_qualified</t>
        </is>
      </c>
      <c r="BA53" t="inlineStr">
        <is>
          <t>7afd5274214b58b7efd7f7febc7be3ab33b92351cda5cc6403c0a39faea0cc8c</t>
        </is>
      </c>
      <c r="BB53" t="inlineStr">
        <is>
          <t>learned_lr</t>
        </is>
      </c>
      <c r="BC53" t="inlineStr">
        <is>
          <t>wnba-elo-trend-lr-v4</t>
        </is>
      </c>
      <c r="BD53" t="inlineStr">
        <is>
          <t>7afd5274214b58b7efd7f7febc7be3ab33b92351cda5cc6403c0a39faea0cc8c</t>
        </is>
      </c>
      <c r="BE53" t="inlineStr">
        <is>
          <t>cb6d856341c7efe7</t>
        </is>
      </c>
      <c r="BF53" t="n">
        <v>1</v>
      </c>
      <c r="BG53" t="inlineStr">
        <is>
          <t>wnba-elo-trend-lr-v4</t>
        </is>
      </c>
      <c r="BH53" t="inlineStr">
        <is>
          <t>2026-08-02T16:47:30.539614Z</t>
        </is>
      </c>
      <c r="BI53" t="inlineStr">
        <is>
          <t>["same_event","same_team_same_day","same_league_same_day"]</t>
        </is>
      </c>
      <c r="BJ53" t="inlineStr"/>
      <c r="BK53" t="n">
        <v>-186</v>
      </c>
      <c r="BL53" t="n">
        <v>1.537634</v>
      </c>
      <c r="BM53" t="n">
        <v>0.65035</v>
      </c>
      <c r="BN53" t="n">
        <v>0.643564</v>
      </c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n">
        <v>0.6810434571</v>
      </c>
      <c r="CD53" t="n">
        <v>-4.330577</v>
      </c>
      <c r="CE53" t="inlineStr"/>
      <c r="CF53" t="inlineStr"/>
      <c r="CG53" t="inlineStr"/>
      <c r="CH53" t="inlineStr"/>
      <c r="CI53" t="inlineStr">
        <is>
          <t>NO_CALL_AVAILABILITY_PLAYER_UNMAPPED</t>
        </is>
      </c>
      <c r="CJ53" t="inlineStr"/>
      <c r="CK53" t="inlineStr"/>
      <c r="CL53" t="inlineStr"/>
      <c r="CM53" t="inlineStr"/>
      <c r="CN53" t="inlineStr"/>
      <c r="CO53" t="inlineStr"/>
      <c r="CP53" t="n">
        <v>0.643489</v>
      </c>
      <c r="CQ53" t="inlineStr">
        <is>
          <t>0</t>
        </is>
      </c>
    </row>
    <row r="54">
      <c r="A54" t="inlineStr">
        <is>
          <t>f7b150997a264103</t>
        </is>
      </c>
      <c r="B54" t="inlineStr">
        <is>
          <t>2026-08-02T12:28:25.454250Z</t>
        </is>
      </c>
      <c r="C54" t="inlineStr">
        <is>
          <t>2026-08-02T13:00Z</t>
        </is>
      </c>
      <c r="D54" t="inlineStr">
        <is>
          <t>401886551</t>
        </is>
      </c>
      <c r="E54" t="inlineStr">
        <is>
          <t>SOCCER</t>
        </is>
      </c>
      <c r="F54" t="inlineStr">
        <is>
          <t>Atalanta</t>
        </is>
      </c>
      <c r="G54" t="inlineStr">
        <is>
          <t>Feyenoord Rotterdam</t>
        </is>
      </c>
      <c r="H54" t="inlineStr">
        <is>
          <t>moneyline</t>
        </is>
      </c>
      <c r="I54" t="inlineStr">
        <is>
          <t>home</t>
        </is>
      </c>
      <c r="J54" t="inlineStr"/>
      <c r="K54" t="inlineStr">
        <is>
          <t>polymarket_us</t>
        </is>
      </c>
      <c r="L54" t="n">
        <v>194</v>
      </c>
      <c r="M54" t="n">
        <v>2.94</v>
      </c>
      <c r="N54" t="n">
        <v>0.340136</v>
      </c>
      <c r="O54" t="n">
        <v>0.575359</v>
      </c>
      <c r="P54" t="n">
        <v>0.04</v>
      </c>
      <c r="Q54" t="n">
        <v>0.235223</v>
      </c>
      <c r="R54" t="n">
        <v>100</v>
      </c>
      <c r="S54" t="n">
        <v>1.25</v>
      </c>
      <c r="T54" t="inlineStr">
        <is>
          <t>soccer-poisson-dc-v1</t>
        </is>
      </c>
      <c r="U54" t="inlineStr">
        <is>
          <t>settled</t>
        </is>
      </c>
      <c r="V54" t="inlineStr">
        <is>
          <t>win</t>
        </is>
      </c>
      <c r="W54" t="n">
        <v>1</v>
      </c>
      <c r="X54" t="n">
        <v>2</v>
      </c>
      <c r="Y54" t="inlineStr"/>
      <c r="Z54" t="inlineStr"/>
      <c r="AA54" t="inlineStr"/>
      <c r="AB54" t="inlineStr"/>
      <c r="AC54" t="n">
        <v>2.425</v>
      </c>
      <c r="AD54" t="inlineStr">
        <is>
          <t>2026-08-02T15:52:40.668054Z</t>
        </is>
      </c>
      <c r="AE54" t="inlineStr">
        <is>
          <t>Poisson-DC rates 1.92 (home) / 1.01 (away) from EWMA attack/defense strengths. Executable ask 0.3400 (atc-clbf-fey-ata-2026-08-02-fey).</t>
        </is>
      </c>
      <c r="AF54" t="inlineStr">
        <is>
          <t>Research-only soccer score model; draw-aware, but not yet locked-holdout qualified.</t>
        </is>
      </c>
      <c r="AG54" t="inlineStr">
        <is>
          <t>not_applicable</t>
        </is>
      </c>
      <c r="AH54" t="inlineStr"/>
      <c r="AI54" t="inlineStr"/>
      <c r="AJ54" t="inlineStr"/>
      <c r="AK54" t="inlineStr">
        <is>
          <t>model_qualified</t>
        </is>
      </c>
      <c r="AL54" t="n">
        <v>3</v>
      </c>
      <c r="AM54" t="inlineStr">
        <is>
          <t>QUALIFIED_SHADOW_CALL</t>
        </is>
      </c>
      <c r="AN54" t="inlineStr">
        <is>
          <t>CALL</t>
        </is>
      </c>
      <c r="AO54" t="inlineStr">
        <is>
          <t>QUALIFIED</t>
        </is>
      </c>
      <c r="AP54" t="inlineStr">
        <is>
          <t>Atalanta</t>
        </is>
      </c>
      <c r="AQ54" t="inlineStr">
        <is>
          <t>Atalanta</t>
        </is>
      </c>
      <c r="AR54" t="inlineStr">
        <is>
          <t>Atalanta</t>
        </is>
      </c>
      <c r="AS54" t="inlineStr">
        <is>
          <t>Feyenoord Rotterdam</t>
        </is>
      </c>
      <c r="AT54" t="inlineStr">
        <is>
          <t>Feyenoord Rotterdam</t>
        </is>
      </c>
      <c r="AU54" t="inlineStr">
        <is>
          <t>Feyenoord Rotterdam</t>
        </is>
      </c>
      <c r="AV54" t="inlineStr"/>
      <c r="AW54" t="inlineStr"/>
      <c r="AX54" t="inlineStr">
        <is>
          <t>statistical_model</t>
        </is>
      </c>
      <c r="AY54" t="inlineStr"/>
      <c r="AZ54" t="inlineStr">
        <is>
          <t>shadow_qualified</t>
        </is>
      </c>
      <c r="BA54" t="inlineStr">
        <is>
          <t>34d1568aad0ff11b5db35f118324684f93281e1c21fa7b80be7a4a4e2cb4bb03</t>
        </is>
      </c>
      <c r="BB54" t="inlineStr">
        <is>
          <t>poisson_dixon_coles</t>
        </is>
      </c>
      <c r="BC54" t="inlineStr">
        <is>
          <t>soccer-poisson-dc-v1</t>
        </is>
      </c>
      <c r="BD54" t="inlineStr">
        <is>
          <t>34d1568aad0ff11b5db35f118324684f93281e1c21fa7b80be7a4a4e2cb4bb03</t>
        </is>
      </c>
      <c r="BE54" t="inlineStr">
        <is>
          <t>soccer-poisson-dc-v1</t>
        </is>
      </c>
      <c r="BF54" t="n">
        <v>1</v>
      </c>
      <c r="BG54" t="inlineStr">
        <is>
          <t>34d1568aad0ff11b5db35f118324684f93281e1c21fa7b80be7a4a4e2cb4bb03</t>
        </is>
      </c>
      <c r="BH54" t="inlineStr">
        <is>
          <t>2026-08-02T12:25:27.610137Z</t>
        </is>
      </c>
      <c r="BI54" t="inlineStr">
        <is>
          <t>["same_event","same_team_same_day","same_league_same_day"]</t>
        </is>
      </c>
      <c r="BJ54" t="inlineStr"/>
      <c r="BK54" t="n">
        <v>194</v>
      </c>
      <c r="BL54" t="n">
        <v>2.94</v>
      </c>
      <c r="BM54" t="n">
        <v>0.340136</v>
      </c>
      <c r="BN54" t="inlineStr"/>
      <c r="BO54" t="inlineStr"/>
      <c r="BP54" t="inlineStr"/>
      <c r="BQ54" t="inlineStr"/>
      <c r="BR54" t="inlineStr"/>
      <c r="BS54" t="inlineStr"/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</row>
    <row r="55">
      <c r="A55" t="inlineStr">
        <is>
          <t>b93cfe1d302c48e3</t>
        </is>
      </c>
      <c r="B55" t="inlineStr">
        <is>
          <t>2026-08-02T12:28:25.454250Z</t>
        </is>
      </c>
      <c r="C55" t="inlineStr">
        <is>
          <t>2026-08-02T13:00Z</t>
        </is>
      </c>
      <c r="D55" t="inlineStr">
        <is>
          <t>401886551</t>
        </is>
      </c>
      <c r="E55" t="inlineStr">
        <is>
          <t>SOCCER</t>
        </is>
      </c>
      <c r="F55" t="inlineStr">
        <is>
          <t>Atalanta</t>
        </is>
      </c>
      <c r="G55" t="inlineStr">
        <is>
          <t>Feyenoord Rotterdam</t>
        </is>
      </c>
      <c r="H55" t="inlineStr">
        <is>
          <t>moneyline</t>
        </is>
      </c>
      <c r="I55" t="inlineStr">
        <is>
          <t>home</t>
        </is>
      </c>
      <c r="J55" t="inlineStr"/>
      <c r="K55" t="inlineStr">
        <is>
          <t>polymarket_us</t>
        </is>
      </c>
      <c r="L55" t="n">
        <v>194</v>
      </c>
      <c r="M55" t="n">
        <v>2.94</v>
      </c>
      <c r="N55" t="n">
        <v>0.340136</v>
      </c>
      <c r="O55" t="n">
        <v>0.575359</v>
      </c>
      <c r="P55" t="n">
        <v>0.04</v>
      </c>
      <c r="Q55" t="n">
        <v>0.235223</v>
      </c>
      <c r="R55" t="n">
        <v>100</v>
      </c>
      <c r="S55" t="n">
        <v>1.25</v>
      </c>
      <c r="T55" t="inlineStr">
        <is>
          <t>soccer-poisson-dc-v1</t>
        </is>
      </c>
      <c r="U55" t="inlineStr">
        <is>
          <t>settled</t>
        </is>
      </c>
      <c r="V55" t="inlineStr">
        <is>
          <t>win</t>
        </is>
      </c>
      <c r="W55" t="n">
        <v>1</v>
      </c>
      <c r="X55" t="n">
        <v>2</v>
      </c>
      <c r="Y55" t="inlineStr"/>
      <c r="Z55" t="inlineStr"/>
      <c r="AA55" t="inlineStr"/>
      <c r="AB55" t="inlineStr"/>
      <c r="AC55" t="n">
        <v>2.425</v>
      </c>
      <c r="AD55" t="inlineStr">
        <is>
          <t>2026-08-02T15:53:28.234366Z</t>
        </is>
      </c>
      <c r="AE55" t="inlineStr">
        <is>
          <t>Poisson-DC rates 1.92 (home) / 1.01 (away) from EWMA attack/defense strengths. Executable ask 0.3400 (atc-clbf-fey-ata-2026-08-02-fey).</t>
        </is>
      </c>
      <c r="AF55" t="inlineStr">
        <is>
          <t>Research-only soccer score model; draw-aware, but not yet locked-holdout qualified.</t>
        </is>
      </c>
      <c r="AG55" t="inlineStr">
        <is>
          <t>not_applicable</t>
        </is>
      </c>
      <c r="AH55" t="inlineStr"/>
      <c r="AI55" t="inlineStr"/>
      <c r="AJ55" t="inlineStr"/>
      <c r="AK55" t="inlineStr">
        <is>
          <t>model_qualified</t>
        </is>
      </c>
      <c r="AL55" t="n">
        <v>3</v>
      </c>
      <c r="AM55" t="inlineStr">
        <is>
          <t>QUALIFIED_SHADOW_CALL</t>
        </is>
      </c>
      <c r="AN55" t="inlineStr">
        <is>
          <t>CALL</t>
        </is>
      </c>
      <c r="AO55" t="inlineStr">
        <is>
          <t>QUALIFIED</t>
        </is>
      </c>
      <c r="AP55" t="inlineStr">
        <is>
          <t>Atalanta</t>
        </is>
      </c>
      <c r="AQ55" t="inlineStr">
        <is>
          <t>Atalanta</t>
        </is>
      </c>
      <c r="AR55" t="inlineStr">
        <is>
          <t>Atalanta</t>
        </is>
      </c>
      <c r="AS55" t="inlineStr">
        <is>
          <t>Feyenoord Rotterdam</t>
        </is>
      </c>
      <c r="AT55" t="inlineStr">
        <is>
          <t>Feyenoord Rotterdam</t>
        </is>
      </c>
      <c r="AU55" t="inlineStr">
        <is>
          <t>Feyenoord Rotterdam</t>
        </is>
      </c>
      <c r="AV55" t="inlineStr"/>
      <c r="AW55" t="inlineStr"/>
      <c r="AX55" t="inlineStr">
        <is>
          <t>statistical_model</t>
        </is>
      </c>
      <c r="AY55" t="inlineStr"/>
      <c r="AZ55" t="inlineStr">
        <is>
          <t>shadow_qualified</t>
        </is>
      </c>
      <c r="BA55" t="inlineStr">
        <is>
          <t>34d1568aad0ff11b5db35f118324684f93281e1c21fa7b80be7a4a4e2cb4bb03</t>
        </is>
      </c>
      <c r="BB55" t="inlineStr">
        <is>
          <t>poisson_dixon_coles</t>
        </is>
      </c>
      <c r="BC55" t="inlineStr">
        <is>
          <t>soccer-poisson-dc-v1</t>
        </is>
      </c>
      <c r="BD55" t="inlineStr">
        <is>
          <t>34d1568aad0ff11b5db35f118324684f93281e1c21fa7b80be7a4a4e2cb4bb03</t>
        </is>
      </c>
      <c r="BE55" t="inlineStr">
        <is>
          <t>soccer-poisson-dc-v1</t>
        </is>
      </c>
      <c r="BF55" t="n">
        <v>1</v>
      </c>
      <c r="BG55" t="inlineStr">
        <is>
          <t>34d1568aad0ff11b5db35f118324684f93281e1c21fa7b80be7a4a4e2cb4bb03</t>
        </is>
      </c>
      <c r="BH55" t="inlineStr">
        <is>
          <t>2026-08-02T12:25:27.610137Z</t>
        </is>
      </c>
      <c r="BI55" t="inlineStr">
        <is>
          <t>["same_event","same_team_same_day","same_league_same_day"]</t>
        </is>
      </c>
      <c r="BJ55" t="inlineStr"/>
      <c r="BK55" t="n">
        <v>194</v>
      </c>
      <c r="BL55" t="n">
        <v>2.94</v>
      </c>
      <c r="BM55" t="n">
        <v>0.340136</v>
      </c>
      <c r="BN55" t="inlineStr"/>
      <c r="BO55" t="inlineStr"/>
      <c r="BP55" t="inlineStr"/>
      <c r="BQ55" t="inlineStr"/>
      <c r="BR55" t="inlineStr"/>
      <c r="BS55" t="inlineStr"/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</row>
    <row r="56">
      <c r="A56" t="inlineStr">
        <is>
          <t>2ccf46ab0ab040ed</t>
        </is>
      </c>
      <c r="B56" t="inlineStr">
        <is>
          <t>2026-08-02T15:50:00.179683Z</t>
        </is>
      </c>
      <c r="C56" t="inlineStr">
        <is>
          <t>2026-08-02T16:00Z</t>
        </is>
      </c>
      <c r="D56" t="inlineStr">
        <is>
          <t>888-2026:179014</t>
        </is>
      </c>
      <c r="E56" t="inlineStr">
        <is>
          <t>TENNIS</t>
        </is>
      </c>
      <c r="F56" t="inlineStr">
        <is>
          <t>Alexandra Eala</t>
        </is>
      </c>
      <c r="G56" t="inlineStr">
        <is>
          <t>Jessica Pegula</t>
        </is>
      </c>
      <c r="H56" t="inlineStr">
        <is>
          <t>moneyline</t>
        </is>
      </c>
      <c r="I56" t="inlineStr">
        <is>
          <t>home</t>
        </is>
      </c>
      <c r="J56" t="inlineStr"/>
      <c r="K56" t="inlineStr">
        <is>
          <t>polymarket_us</t>
        </is>
      </c>
      <c r="L56" t="n">
        <v>-144</v>
      </c>
      <c r="M56" t="n">
        <v>1.694444</v>
      </c>
      <c r="N56" t="n">
        <v>0.590164</v>
      </c>
      <c r="O56" t="n">
        <v>0.821797</v>
      </c>
      <c r="P56" t="n">
        <v>0.05</v>
      </c>
      <c r="Q56" t="n">
        <v>0.231633</v>
      </c>
      <c r="R56" t="n">
        <v>100</v>
      </c>
      <c r="S56" t="n">
        <v>2</v>
      </c>
      <c r="T56" t="inlineStr">
        <is>
          <t>tennis-surface-elo-v1</t>
        </is>
      </c>
      <c r="U56" t="inlineStr">
        <is>
          <t>open</t>
        </is>
      </c>
      <c r="V56" t="inlineStr"/>
      <c r="W56" t="inlineStr"/>
      <c r="X56" t="inlineStr"/>
      <c r="Y56" t="inlineStr"/>
      <c r="Z56" t="inlineStr"/>
      <c r="AA56" t="inlineStr"/>
      <c r="AB56" t="inlineStr"/>
      <c r="AC56" t="inlineStr"/>
      <c r="AD56" t="inlineStr"/>
      <c r="AE56" t="inlineStr">
        <is>
          <t>Surface-blended Elo on Hard: Alexandra Eala p=0.178 vs Jessica Pegula. Executable ask 0.5900 (aec-wta-jespeg-aleeal-2026-08-02).</t>
        </is>
      </c>
      <c r="AF56" t="inlineStr">
        <is>
          <t>Research-only surface-blended Elo model; singles only, WTA-only market coverage, not yet locked-holdout qualified.</t>
        </is>
      </c>
      <c r="AG56" t="inlineStr">
        <is>
          <t>not_applicable</t>
        </is>
      </c>
      <c r="AH56" t="inlineStr"/>
      <c r="AI56" t="inlineStr"/>
      <c r="AJ56" t="inlineStr"/>
      <c r="AK56" t="inlineStr">
        <is>
          <t>model_qualified</t>
        </is>
      </c>
      <c r="AL56" t="n">
        <v>3</v>
      </c>
      <c r="AM56" t="inlineStr">
        <is>
          <t>QUALIFIED_SHADOW_CALL</t>
        </is>
      </c>
      <c r="AN56" t="inlineStr">
        <is>
          <t>CALL</t>
        </is>
      </c>
      <c r="AO56" t="inlineStr">
        <is>
          <t>QUALIFIED</t>
        </is>
      </c>
      <c r="AP56" t="inlineStr">
        <is>
          <t>Alexandra Eala</t>
        </is>
      </c>
      <c r="AQ56" t="inlineStr">
        <is>
          <t>Alexandra Eala</t>
        </is>
      </c>
      <c r="AR56" t="inlineStr">
        <is>
          <t>Alexandra Eala</t>
        </is>
      </c>
      <c r="AS56" t="inlineStr">
        <is>
          <t>Jessica Pegula</t>
        </is>
      </c>
      <c r="AT56" t="inlineStr">
        <is>
          <t>Jessica Pegula</t>
        </is>
      </c>
      <c r="AU56" t="inlineStr">
        <is>
          <t>Jessica Pegula</t>
        </is>
      </c>
      <c r="AV56" t="inlineStr"/>
      <c r="AW56" t="inlineStr"/>
      <c r="AX56" t="inlineStr">
        <is>
          <t>statistical_model</t>
        </is>
      </c>
      <c r="AY56" t="inlineStr"/>
      <c r="AZ56" t="inlineStr">
        <is>
          <t>research</t>
        </is>
      </c>
      <c r="BA56" t="inlineStr">
        <is>
          <t>999faa03e2fa83bdf40e3760cb8645b4c314e4cc37c2050b8320d6582c4d8167</t>
        </is>
      </c>
      <c r="BB56" t="inlineStr">
        <is>
          <t>surface_blended_elo</t>
        </is>
      </c>
      <c r="BC56" t="inlineStr">
        <is>
          <t>tennis-surface-elo-v1</t>
        </is>
      </c>
      <c r="BD56" t="inlineStr">
        <is>
          <t>999faa03e2fa83bdf40e3760cb8645b4c314e4cc37c2050b8320d6582c4d8167</t>
        </is>
      </c>
      <c r="BE56" t="inlineStr">
        <is>
          <t>tennis-surface-elo-v1</t>
        </is>
      </c>
      <c r="BF56" t="n">
        <v>1</v>
      </c>
      <c r="BG56" t="inlineStr">
        <is>
          <t>999faa03e2fa83bdf40e3760cb8645b4c314e4cc37c2050b8320d6582c4d8167</t>
        </is>
      </c>
      <c r="BH56" t="inlineStr">
        <is>
          <t>2026-08-02T15:46:52.794231Z</t>
        </is>
      </c>
      <c r="BI56" t="inlineStr">
        <is>
          <t>["same_event","same_team_same_day","same_league_same_day"]</t>
        </is>
      </c>
      <c r="BJ56" t="inlineStr"/>
      <c r="BK56" t="n">
        <v>-144</v>
      </c>
      <c r="BL56" t="n">
        <v>1.694444</v>
      </c>
      <c r="BM56" t="n">
        <v>0.590164</v>
      </c>
      <c r="BN56" t="inlineStr"/>
      <c r="BO56" t="inlineStr"/>
      <c r="BP56" t="inlineStr"/>
      <c r="BQ56" t="inlineStr"/>
      <c r="BR56" t="inlineStr"/>
      <c r="BS56" t="inlineStr"/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>
        <is>
          <t>1</t>
        </is>
      </c>
    </row>
    <row r="57">
      <c r="A57" t="inlineStr">
        <is>
          <t>c0be5e3051b54f4b</t>
        </is>
      </c>
      <c r="B57" t="inlineStr">
        <is>
          <t>2026-08-02T17:27:52.928541Z</t>
        </is>
      </c>
      <c r="C57" t="inlineStr">
        <is>
          <t>2026-08-02T15:30:00-0400</t>
        </is>
      </c>
      <c r="D57" t="inlineStr">
        <is>
          <t>401857108</t>
        </is>
      </c>
      <c r="E57" t="inlineStr">
        <is>
          <t>WNBA</t>
        </is>
      </c>
      <c r="F57" t="inlineStr">
        <is>
          <t>Los Angeles Sparks</t>
        </is>
      </c>
      <c r="G57" t="inlineStr">
        <is>
          <t>Portland Fire</t>
        </is>
      </c>
      <c r="H57" t="inlineStr">
        <is>
          <t>moneyline</t>
        </is>
      </c>
      <c r="I57" t="inlineStr">
        <is>
          <t>home</t>
        </is>
      </c>
      <c r="J57" t="inlineStr"/>
      <c r="K57" t="inlineStr">
        <is>
          <t>polymarket_us</t>
        </is>
      </c>
      <c r="L57" t="n">
        <v>100</v>
      </c>
      <c r="M57" t="n">
        <v>2</v>
      </c>
      <c r="N57" t="n">
        <v>0.5</v>
      </c>
      <c r="O57" t="n">
        <v>0.57112</v>
      </c>
      <c r="P57" t="inlineStr"/>
      <c r="Q57" t="n">
        <v>0.07112</v>
      </c>
      <c r="R57" t="n">
        <v>58</v>
      </c>
      <c r="S57" t="n">
        <v>1.25</v>
      </c>
      <c r="T57" t="inlineStr">
        <is>
          <t>wnba-elo-trend-lr-v4</t>
        </is>
      </c>
      <c r="U57" t="inlineStr">
        <is>
          <t>open</t>
        </is>
      </c>
      <c r="V57" t="inlineStr"/>
      <c r="W57" t="inlineStr"/>
      <c r="X57" t="inlineStr"/>
      <c r="Y57" t="inlineStr"/>
      <c r="Z57" t="inlineStr"/>
      <c r="AA57" t="inlineStr"/>
      <c r="AB57" t="inlineStr"/>
      <c r="AC57" t="inlineStr"/>
      <c r="AD57" t="inlineStr"/>
      <c r="AE57" t="inlineStr">
        <is>
          <t>Learned LR call at threshold 0.5001; executable ask 0.5000 (aec-wnba-la-por-2026-08-02); model edge vs ask +0.0711. NOTE: NO_CALL_AVAILABILITY_PLAYER_UNMAPPED unavailable for this game — defaulted to neutral, other features used normally.</t>
        </is>
      </c>
      <c r="AF57" t="inlineStr">
        <is>
          <t>Learned model; shadow-qualified via operator override.</t>
        </is>
      </c>
      <c r="AG57" t="inlineStr">
        <is>
          <t>not_applicable</t>
        </is>
      </c>
      <c r="AH57" t="inlineStr"/>
      <c r="AI57" t="inlineStr"/>
      <c r="AJ57" t="inlineStr"/>
      <c r="AK57" t="inlineStr">
        <is>
          <t>model_qualified</t>
        </is>
      </c>
      <c r="AL57" t="n">
        <v>3</v>
      </c>
      <c r="AM57" t="inlineStr">
        <is>
          <t>QUALIFIED_SHADOW_CALL</t>
        </is>
      </c>
      <c r="AN57" t="inlineStr">
        <is>
          <t>CALL</t>
        </is>
      </c>
      <c r="AO57" t="inlineStr">
        <is>
          <t>QUALIFIED</t>
        </is>
      </c>
      <c r="AP57" t="inlineStr">
        <is>
          <t>wnba-las</t>
        </is>
      </c>
      <c r="AQ57" t="inlineStr">
        <is>
          <t>Los Angeles Sparks</t>
        </is>
      </c>
      <c r="AR57" t="inlineStr">
        <is>
          <t>Los Angeles Sparks</t>
        </is>
      </c>
      <c r="AS57" t="inlineStr">
        <is>
          <t>wnba-por</t>
        </is>
      </c>
      <c r="AT57" t="inlineStr">
        <is>
          <t>Portland Fire</t>
        </is>
      </c>
      <c r="AU57" t="inlineStr">
        <is>
          <t>Portland Fire</t>
        </is>
      </c>
      <c r="AV57" t="inlineStr"/>
      <c r="AW57" t="inlineStr"/>
      <c r="AX57" t="inlineStr">
        <is>
          <t>statistical_model</t>
        </is>
      </c>
      <c r="AY57" t="inlineStr"/>
      <c r="AZ57" t="inlineStr">
        <is>
          <t>shadow_qualified</t>
        </is>
      </c>
      <c r="BA57" t="inlineStr">
        <is>
          <t>7afd5274214b58b7efd7f7febc7be3ab33b92351cda5cc6403c0a39faea0cc8c</t>
        </is>
      </c>
      <c r="BB57" t="inlineStr">
        <is>
          <t>learned_lr</t>
        </is>
      </c>
      <c r="BC57" t="inlineStr">
        <is>
          <t>wnba-elo-trend-lr-v4</t>
        </is>
      </c>
      <c r="BD57" t="inlineStr">
        <is>
          <t>7afd5274214b58b7efd7f7febc7be3ab33b92351cda5cc6403c0a39faea0cc8c</t>
        </is>
      </c>
      <c r="BE57" t="inlineStr">
        <is>
          <t>58d7c01d51192db8</t>
        </is>
      </c>
      <c r="BF57" t="n">
        <v>1</v>
      </c>
      <c r="BG57" t="inlineStr">
        <is>
          <t>wnba-elo-trend-lr-v4</t>
        </is>
      </c>
      <c r="BH57" t="inlineStr">
        <is>
          <t>2026-08-02T17:26:34.707643Z</t>
        </is>
      </c>
      <c r="BI57" t="inlineStr">
        <is>
          <t>["same_event","same_team_same_day","same_league_same_day"]</t>
        </is>
      </c>
      <c r="BJ57" t="inlineStr"/>
      <c r="BK57" t="n">
        <v>100</v>
      </c>
      <c r="BL57" t="n">
        <v>2</v>
      </c>
      <c r="BM57" t="n">
        <v>0.5</v>
      </c>
      <c r="BN57" t="n">
        <v>0.49505</v>
      </c>
      <c r="BO57" t="inlineStr"/>
      <c r="BP57" t="inlineStr"/>
      <c r="BQ57" t="inlineStr"/>
      <c r="BR57" t="inlineStr"/>
      <c r="BS57" t="inlineStr"/>
      <c r="BT57" t="inlineStr"/>
      <c r="BU57" t="inlineStr"/>
      <c r="BV57" t="inlineStr"/>
      <c r="BW57" t="inlineStr"/>
      <c r="BX57" t="inlineStr"/>
      <c r="BY57" t="inlineStr"/>
      <c r="BZ57" t="inlineStr"/>
      <c r="CA57" t="inlineStr"/>
      <c r="CB57" t="inlineStr"/>
      <c r="CC57" t="n">
        <v>0.5937045717</v>
      </c>
      <c r="CD57" t="n">
        <v>-1.420483</v>
      </c>
      <c r="CE57" t="inlineStr"/>
      <c r="CF57" t="inlineStr"/>
      <c r="CG57" t="inlineStr"/>
      <c r="CH57" t="inlineStr"/>
      <c r="CI57" t="inlineStr">
        <is>
          <t>NO_CALL_AVAILABILITY_PLAYER_UNMAPPED</t>
        </is>
      </c>
      <c r="CJ57" t="inlineStr"/>
      <c r="CK57" t="inlineStr"/>
      <c r="CL57" t="inlineStr"/>
      <c r="CM57" t="inlineStr"/>
      <c r="CN57" t="inlineStr"/>
      <c r="CO57" t="inlineStr"/>
      <c r="CP57" t="n">
        <v>0.57112</v>
      </c>
      <c r="CQ57" t="inlineStr">
        <is>
          <t>True</t>
        </is>
      </c>
    </row>
    <row r="58">
      <c r="A58" t="inlineStr">
        <is>
          <t>0c5aa809fb8945ea</t>
        </is>
      </c>
      <c r="B58" t="inlineStr">
        <is>
          <t>2026-08-02T17:27:52.928541Z</t>
        </is>
      </c>
      <c r="C58" t="inlineStr">
        <is>
          <t>2026-08-02T19:00:00-0400</t>
        </is>
      </c>
      <c r="D58" t="inlineStr">
        <is>
          <t>401857109</t>
        </is>
      </c>
      <c r="E58" t="inlineStr">
        <is>
          <t>WNBA</t>
        </is>
      </c>
      <c r="F58" t="inlineStr">
        <is>
          <t>Connecticut Sun</t>
        </is>
      </c>
      <c r="G58" t="inlineStr">
        <is>
          <t>Dallas Wings</t>
        </is>
      </c>
      <c r="H58" t="inlineStr">
        <is>
          <t>moneyline</t>
        </is>
      </c>
      <c r="I58" t="inlineStr">
        <is>
          <t>home</t>
        </is>
      </c>
      <c r="J58" t="inlineStr"/>
      <c r="K58" t="inlineStr">
        <is>
          <t>polymarket_us</t>
        </is>
      </c>
      <c r="L58" t="n">
        <v>-525</v>
      </c>
      <c r="M58" t="n">
        <v>1.190476</v>
      </c>
      <c r="N58" t="n">
        <v>0.84</v>
      </c>
      <c r="O58" t="n">
        <v>0.758559</v>
      </c>
      <c r="P58" t="inlineStr"/>
      <c r="Q58" t="n">
        <v>-0.081441</v>
      </c>
      <c r="R58" t="n">
        <v>0</v>
      </c>
      <c r="S58" t="n">
        <v>2</v>
      </c>
      <c r="T58" t="inlineStr">
        <is>
          <t>wnba-elo-trend-lr-v4</t>
        </is>
      </c>
      <c r="U58" t="inlineStr">
        <is>
          <t>open</t>
        </is>
      </c>
      <c r="V58" t="inlineStr"/>
      <c r="W58" t="inlineStr"/>
      <c r="X58" t="inlineStr"/>
      <c r="Y58" t="inlineStr"/>
      <c r="Z58" t="inlineStr"/>
      <c r="AA58" t="inlineStr"/>
      <c r="AB58" t="inlineStr"/>
      <c r="AC58" t="inlineStr"/>
      <c r="AD58" t="inlineStr"/>
      <c r="AE58" t="inlineStr">
        <is>
          <t>Learned LR call at threshold 0.5001; executable ask 0.8400 (aec-wnba-conn-dal-2026-08-02); model edge vs ask -0.0814. NOTE: NO_CALL_AVAILABILITY_PLAYER_UNMAPPED unavailable for this game — defaulted to neutral, other features used normally.</t>
        </is>
      </c>
      <c r="AF58" t="inlineStr">
        <is>
          <t>Learned model; shadow-qualified via operator override.</t>
        </is>
      </c>
      <c r="AG58" t="inlineStr">
        <is>
          <t>not_applicable</t>
        </is>
      </c>
      <c r="AH58" t="inlineStr"/>
      <c r="AI58" t="inlineStr"/>
      <c r="AJ58" t="inlineStr"/>
      <c r="AK58" t="inlineStr">
        <is>
          <t>model_qualified</t>
        </is>
      </c>
      <c r="AL58" t="n">
        <v>3</v>
      </c>
      <c r="AM58" t="inlineStr">
        <is>
          <t>QUALIFIED_SHADOW_CALL</t>
        </is>
      </c>
      <c r="AN58" t="inlineStr">
        <is>
          <t>CALL</t>
        </is>
      </c>
      <c r="AO58" t="inlineStr">
        <is>
          <t>QUALIFIED</t>
        </is>
      </c>
      <c r="AP58" t="inlineStr">
        <is>
          <t>wnba-con</t>
        </is>
      </c>
      <c r="AQ58" t="inlineStr">
        <is>
          <t>Connecticut Sun</t>
        </is>
      </c>
      <c r="AR58" t="inlineStr">
        <is>
          <t>Connecticut Sun</t>
        </is>
      </c>
      <c r="AS58" t="inlineStr">
        <is>
          <t>wnba-dal</t>
        </is>
      </c>
      <c r="AT58" t="inlineStr">
        <is>
          <t>Dallas Wings</t>
        </is>
      </c>
      <c r="AU58" t="inlineStr">
        <is>
          <t>Dallas Wings</t>
        </is>
      </c>
      <c r="AV58" t="inlineStr"/>
      <c r="AW58" t="inlineStr"/>
      <c r="AX58" t="inlineStr">
        <is>
          <t>statistical_model</t>
        </is>
      </c>
      <c r="AY58" t="inlineStr"/>
      <c r="AZ58" t="inlineStr">
        <is>
          <t>shadow_qualified</t>
        </is>
      </c>
      <c r="BA58" t="inlineStr">
        <is>
          <t>7afd5274214b58b7efd7f7febc7be3ab33b92351cda5cc6403c0a39faea0cc8c</t>
        </is>
      </c>
      <c r="BB58" t="inlineStr">
        <is>
          <t>learned_lr</t>
        </is>
      </c>
      <c r="BC58" t="inlineStr">
        <is>
          <t>wnba-elo-trend-lr-v4</t>
        </is>
      </c>
      <c r="BD58" t="inlineStr">
        <is>
          <t>7afd5274214b58b7efd7f7febc7be3ab33b92351cda5cc6403c0a39faea0cc8c</t>
        </is>
      </c>
      <c r="BE58" t="inlineStr">
        <is>
          <t>9c0c7cfe02317de7</t>
        </is>
      </c>
      <c r="BF58" t="n">
        <v>1</v>
      </c>
      <c r="BG58" t="inlineStr">
        <is>
          <t>wnba-elo-trend-lr-v4</t>
        </is>
      </c>
      <c r="BH58" t="inlineStr">
        <is>
          <t>2026-08-02T17:26:36.238277Z</t>
        </is>
      </c>
      <c r="BI58" t="inlineStr">
        <is>
          <t>["same_event","same_team_same_day","same_league_same_day"]</t>
        </is>
      </c>
      <c r="BJ58" t="inlineStr"/>
      <c r="BK58" t="n">
        <v>-525</v>
      </c>
      <c r="BL58" t="n">
        <v>1.190476</v>
      </c>
      <c r="BM58" t="n">
        <v>0.84</v>
      </c>
      <c r="BN58" t="n">
        <v>0.831683</v>
      </c>
      <c r="BO58" t="inlineStr"/>
      <c r="BP58" t="inlineStr"/>
      <c r="BQ58" t="inlineStr"/>
      <c r="BR58" t="inlineStr"/>
      <c r="BS58" t="inlineStr"/>
      <c r="BT58" t="inlineStr"/>
      <c r="BU58" t="inlineStr"/>
      <c r="BV58" t="inlineStr"/>
      <c r="BW58" t="inlineStr"/>
      <c r="BX58" t="inlineStr"/>
      <c r="BY58" t="inlineStr"/>
      <c r="BZ58" t="inlineStr"/>
      <c r="CA58" t="inlineStr"/>
      <c r="CB58" t="inlineStr"/>
      <c r="CC58" t="n">
        <v>0.8648169599</v>
      </c>
      <c r="CD58" t="n">
        <v>-2.14749</v>
      </c>
      <c r="CE58" t="inlineStr"/>
      <c r="CF58" t="inlineStr"/>
      <c r="CG58" t="inlineStr"/>
      <c r="CH58" t="inlineStr"/>
      <c r="CI58" t="inlineStr">
        <is>
          <t>NO_CALL_AVAILABILITY_PLAYER_UNMAPPED</t>
        </is>
      </c>
      <c r="CJ58" t="inlineStr"/>
      <c r="CK58" t="inlineStr"/>
      <c r="CL58" t="inlineStr"/>
      <c r="CM58" t="inlineStr"/>
      <c r="CN58" t="inlineStr"/>
      <c r="CO58" t="inlineStr"/>
      <c r="CP58" t="n">
        <v>0.758559</v>
      </c>
      <c r="CQ58" t="inlineStr">
        <is>
          <t>False</t>
        </is>
      </c>
    </row>
    <row r="59">
      <c r="A59" t="inlineStr">
        <is>
          <t>8136329b00634b49</t>
        </is>
      </c>
      <c r="B59" t="inlineStr">
        <is>
          <t>2026-08-02T17:27:52.928541Z</t>
        </is>
      </c>
      <c r="C59" t="inlineStr">
        <is>
          <t>2026-08-02T20:30:00-0400</t>
        </is>
      </c>
      <c r="D59" t="inlineStr">
        <is>
          <t>401857110</t>
        </is>
      </c>
      <c r="E59" t="inlineStr">
        <is>
          <t>WNBA</t>
        </is>
      </c>
      <c r="F59" t="inlineStr">
        <is>
          <t>Toronto Tempo</t>
        </is>
      </c>
      <c r="G59" t="inlineStr">
        <is>
          <t>Golden State Valkyries</t>
        </is>
      </c>
      <c r="H59" t="inlineStr">
        <is>
          <t>moneyline</t>
        </is>
      </c>
      <c r="I59" t="inlineStr">
        <is>
          <t>home</t>
        </is>
      </c>
      <c r="J59" t="inlineStr"/>
      <c r="K59" t="inlineStr">
        <is>
          <t>polymarket_us</t>
        </is>
      </c>
      <c r="L59" t="n">
        <v>-669</v>
      </c>
      <c r="M59" t="n">
        <v>1.149477</v>
      </c>
      <c r="N59" t="n">
        <v>0.869961</v>
      </c>
      <c r="O59" t="n">
        <v>0.772803</v>
      </c>
      <c r="P59" t="inlineStr"/>
      <c r="Q59" t="n">
        <v>-0.09715799999999999</v>
      </c>
      <c r="R59" t="n">
        <v>0</v>
      </c>
      <c r="S59" t="n">
        <v>2</v>
      </c>
      <c r="T59" t="inlineStr">
        <is>
          <t>wnba-elo-trend-lr-v4</t>
        </is>
      </c>
      <c r="U59" t="inlineStr">
        <is>
          <t>open</t>
        </is>
      </c>
      <c r="V59" t="inlineStr"/>
      <c r="W59" t="inlineStr"/>
      <c r="X59" t="inlineStr"/>
      <c r="Y59" t="inlineStr"/>
      <c r="Z59" t="inlineStr"/>
      <c r="AA59" t="inlineStr"/>
      <c r="AB59" t="inlineStr"/>
      <c r="AC59" t="inlineStr"/>
      <c r="AD59" t="inlineStr"/>
      <c r="AE59" t="inlineStr">
        <is>
          <t>Learned LR call at threshold 0.5001; executable ask 0.8700 (aec-wnba-tor-gsv-2026-08-02); model edge vs ask -0.0972. NOTE: NO_CALL_AVAILABILITY_PLAYER_UNMAPPED unavailable for this game — defaulted to neutral, other features used normally.</t>
        </is>
      </c>
      <c r="AF59" t="inlineStr">
        <is>
          <t>Learned model; shadow-qualified via operator override.</t>
        </is>
      </c>
      <c r="AG59" t="inlineStr">
        <is>
          <t>not_applicable</t>
        </is>
      </c>
      <c r="AH59" t="inlineStr"/>
      <c r="AI59" t="inlineStr"/>
      <c r="AJ59" t="inlineStr"/>
      <c r="AK59" t="inlineStr">
        <is>
          <t>model_qualified</t>
        </is>
      </c>
      <c r="AL59" t="n">
        <v>3</v>
      </c>
      <c r="AM59" t="inlineStr">
        <is>
          <t>QUALIFIED_SHADOW_CALL</t>
        </is>
      </c>
      <c r="AN59" t="inlineStr">
        <is>
          <t>CALL</t>
        </is>
      </c>
      <c r="AO59" t="inlineStr">
        <is>
          <t>QUALIFIED</t>
        </is>
      </c>
      <c r="AP59" t="inlineStr">
        <is>
          <t>wnba-tor</t>
        </is>
      </c>
      <c r="AQ59" t="inlineStr">
        <is>
          <t>Toronto Tempo</t>
        </is>
      </c>
      <c r="AR59" t="inlineStr">
        <is>
          <t>Toronto Tempo</t>
        </is>
      </c>
      <c r="AS59" t="inlineStr">
        <is>
          <t>wnba-gsv</t>
        </is>
      </c>
      <c r="AT59" t="inlineStr">
        <is>
          <t>Golden State Valkyries</t>
        </is>
      </c>
      <c r="AU59" t="inlineStr">
        <is>
          <t>Golden State Valkyries</t>
        </is>
      </c>
      <c r="AV59" t="inlineStr"/>
      <c r="AW59" t="inlineStr"/>
      <c r="AX59" t="inlineStr">
        <is>
          <t>statistical_model</t>
        </is>
      </c>
      <c r="AY59" t="inlineStr"/>
      <c r="AZ59" t="inlineStr">
        <is>
          <t>shadow_qualified</t>
        </is>
      </c>
      <c r="BA59" t="inlineStr">
        <is>
          <t>7afd5274214b58b7efd7f7febc7be3ab33b92351cda5cc6403c0a39faea0cc8c</t>
        </is>
      </c>
      <c r="BB59" t="inlineStr">
        <is>
          <t>learned_lr</t>
        </is>
      </c>
      <c r="BC59" t="inlineStr">
        <is>
          <t>wnba-elo-trend-lr-v4</t>
        </is>
      </c>
      <c r="BD59" t="inlineStr">
        <is>
          <t>7afd5274214b58b7efd7f7febc7be3ab33b92351cda5cc6403c0a39faea0cc8c</t>
        </is>
      </c>
      <c r="BE59" t="inlineStr">
        <is>
          <t>c1ef9fc1d2a3714a</t>
        </is>
      </c>
      <c r="BF59" t="n">
        <v>1</v>
      </c>
      <c r="BG59" t="inlineStr">
        <is>
          <t>wnba-elo-trend-lr-v4</t>
        </is>
      </c>
      <c r="BH59" t="inlineStr">
        <is>
          <t>2026-08-02T17:26:37.254199Z</t>
        </is>
      </c>
      <c r="BI59" t="inlineStr">
        <is>
          <t>["same_event","same_team_same_day","same_league_same_day"]</t>
        </is>
      </c>
      <c r="BJ59" t="inlineStr"/>
      <c r="BK59" t="n">
        <v>-669</v>
      </c>
      <c r="BL59" t="n">
        <v>1.149477</v>
      </c>
      <c r="BM59" t="n">
        <v>0.869961</v>
      </c>
      <c r="BN59" t="n">
        <v>0.861386</v>
      </c>
      <c r="BO59" t="inlineStr"/>
      <c r="BP59" t="inlineStr"/>
      <c r="BQ59" t="inlineStr"/>
      <c r="BR59" t="inlineStr"/>
      <c r="BS59" t="inlineStr"/>
      <c r="BT59" t="inlineStr"/>
      <c r="BU59" t="inlineStr"/>
      <c r="BV59" t="inlineStr"/>
      <c r="BW59" t="inlineStr"/>
      <c r="BX59" t="inlineStr"/>
      <c r="BY59" t="inlineStr"/>
      <c r="BZ59" t="inlineStr"/>
      <c r="CA59" t="inlineStr"/>
      <c r="CB59" t="inlineStr"/>
      <c r="CC59" t="n">
        <v>0.8973864278</v>
      </c>
      <c r="CD59" t="n">
        <v>2.248193</v>
      </c>
      <c r="CE59" t="inlineStr"/>
      <c r="CF59" t="inlineStr"/>
      <c r="CG59" t="inlineStr"/>
      <c r="CH59" t="inlineStr"/>
      <c r="CI59" t="inlineStr">
        <is>
          <t>NO_CALL_AVAILABILITY_PLAYER_UNMAPPED</t>
        </is>
      </c>
      <c r="CJ59" t="inlineStr"/>
      <c r="CK59" t="inlineStr"/>
      <c r="CL59" t="inlineStr"/>
      <c r="CM59" t="inlineStr"/>
      <c r="CN59" t="inlineStr"/>
      <c r="CO59" t="inlineStr"/>
      <c r="CP59" t="n">
        <v>0.772803</v>
      </c>
      <c r="CQ59" t="inlineStr">
        <is>
          <t>False</t>
        </is>
      </c>
    </row>
    <row r="60">
      <c r="A60" t="inlineStr">
        <is>
          <t>29c08a4207594d27</t>
        </is>
      </c>
      <c r="B60" t="inlineStr">
        <is>
          <t>2026-08-02T17:27:52.928541Z</t>
        </is>
      </c>
      <c r="C60" t="inlineStr">
        <is>
          <t>2026-08-02T13:35:00-0400</t>
        </is>
      </c>
      <c r="D60" t="inlineStr">
        <is>
          <t>401816365</t>
        </is>
      </c>
      <c r="E60" t="inlineStr">
        <is>
          <t>MLB</t>
        </is>
      </c>
      <c r="F60" t="inlineStr">
        <is>
          <t>Philadelphia Phillies</t>
        </is>
      </c>
      <c r="G60" t="inlineStr">
        <is>
          <t>Baltimore Orioles</t>
        </is>
      </c>
      <c r="H60" t="inlineStr">
        <is>
          <t>moneyline</t>
        </is>
      </c>
      <c r="I60" t="inlineStr">
        <is>
          <t>away</t>
        </is>
      </c>
      <c r="J60" t="inlineStr"/>
      <c r="K60" t="inlineStr">
        <is>
          <t>polymarket_us</t>
        </is>
      </c>
      <c r="L60" t="n">
        <v>-130</v>
      </c>
      <c r="M60" t="n">
        <v>1.769231</v>
      </c>
      <c r="N60" t="n">
        <v>0.565217</v>
      </c>
      <c r="O60" t="n">
        <v>0.510159</v>
      </c>
      <c r="P60" t="inlineStr"/>
      <c r="Q60" t="n">
        <v>-0.055058</v>
      </c>
      <c r="R60" t="n">
        <v>0</v>
      </c>
      <c r="S60" t="n">
        <v>1</v>
      </c>
      <c r="T60" t="inlineStr">
        <is>
          <t>mlb-elo-trend-lr-v7</t>
        </is>
      </c>
      <c r="U60" t="inlineStr">
        <is>
          <t>open</t>
        </is>
      </c>
      <c r="V60" t="inlineStr"/>
      <c r="W60" t="inlineStr"/>
      <c r="X60" t="inlineStr"/>
      <c r="Y60" t="inlineStr"/>
      <c r="Z60" t="inlineStr"/>
      <c r="AA60" t="inlineStr"/>
      <c r="AB60" t="inlineStr"/>
      <c r="AC60" t="inlineStr"/>
      <c r="AD60" t="inlineStr"/>
      <c r="AE60" t="inlineStr">
        <is>
          <t>Learned LR call at threshold 0.6242; executable ask 0.5650 (aec-mlb-phi-bal-2026-08-02); model edge vs ask -0.0548.</t>
        </is>
      </c>
      <c r="AF60" t="inlineStr">
        <is>
          <t>Learned model; shadow-qualified via operator override.</t>
        </is>
      </c>
      <c r="AG60" t="inlineStr">
        <is>
          <t>not_applicable</t>
        </is>
      </c>
      <c r="AH60" t="inlineStr"/>
      <c r="AI60" t="inlineStr"/>
      <c r="AJ60" t="inlineStr"/>
      <c r="AK60" t="inlineStr">
        <is>
          <t>model_qualified</t>
        </is>
      </c>
      <c r="AL60" t="n">
        <v>3</v>
      </c>
      <c r="AM60" t="inlineStr">
        <is>
          <t>QUALIFIED_SHADOW_CALL</t>
        </is>
      </c>
      <c r="AN60" t="inlineStr">
        <is>
          <t>CALL</t>
        </is>
      </c>
      <c r="AO60" t="inlineStr">
        <is>
          <t>QUALIFIED</t>
        </is>
      </c>
      <c r="AP60" t="inlineStr">
        <is>
          <t>mlb-phi</t>
        </is>
      </c>
      <c r="AQ60" t="inlineStr">
        <is>
          <t>Philadelphia Phillies</t>
        </is>
      </c>
      <c r="AR60" t="inlineStr">
        <is>
          <t>Philadelphia Phillies</t>
        </is>
      </c>
      <c r="AS60" t="inlineStr">
        <is>
          <t>mlb-bal</t>
        </is>
      </c>
      <c r="AT60" t="inlineStr">
        <is>
          <t>Baltimore Orioles</t>
        </is>
      </c>
      <c r="AU60" t="inlineStr">
        <is>
          <t>Baltimore Orioles</t>
        </is>
      </c>
      <c r="AV60" t="inlineStr"/>
      <c r="AW60" t="inlineStr"/>
      <c r="AX60" t="inlineStr">
        <is>
          <t>statistical_model</t>
        </is>
      </c>
      <c r="AY60" t="inlineStr"/>
      <c r="AZ60" t="inlineStr">
        <is>
          <t>shadow_qualified</t>
        </is>
      </c>
      <c r="BA60" t="inlineStr">
        <is>
          <t>464eef695bfbbdaa819ec6f5e4c5bd1068ed20b92915fb2677220ae91e20d8b6</t>
        </is>
      </c>
      <c r="BB60" t="inlineStr">
        <is>
          <t>learned_lr</t>
        </is>
      </c>
      <c r="BC60" t="inlineStr">
        <is>
          <t>mlb-elo-trend-lr-v7</t>
        </is>
      </c>
      <c r="BD60" t="inlineStr">
        <is>
          <t>464eef695bfbbdaa819ec6f5e4c5bd1068ed20b92915fb2677220ae91e20d8b6</t>
        </is>
      </c>
      <c r="BE60" t="inlineStr">
        <is>
          <t>49479e987644e024</t>
        </is>
      </c>
      <c r="BF60" t="n">
        <v>1</v>
      </c>
      <c r="BG60" t="inlineStr">
        <is>
          <t>mlb-elo-trend-lr-v7</t>
        </is>
      </c>
      <c r="BH60" t="inlineStr">
        <is>
          <t>2026-08-02T17:26:18.691417Z</t>
        </is>
      </c>
      <c r="BI60" t="inlineStr">
        <is>
          <t>["same_event","same_team_same_day","same_league_same_day"]</t>
        </is>
      </c>
      <c r="BJ60" t="inlineStr"/>
      <c r="BK60" t="n">
        <v>-130</v>
      </c>
      <c r="BL60" t="n">
        <v>1.769231</v>
      </c>
      <c r="BM60" t="n">
        <v>0.565217</v>
      </c>
      <c r="BN60" t="n">
        <v>0.562189</v>
      </c>
      <c r="BO60" t="inlineStr"/>
      <c r="BP60" t="inlineStr"/>
      <c r="BQ60" t="inlineStr"/>
      <c r="BR60" t="inlineStr"/>
      <c r="BS60" t="inlineStr"/>
      <c r="BT60" t="inlineStr"/>
      <c r="BU60" t="inlineStr"/>
      <c r="BV60" t="inlineStr"/>
      <c r="BW60" t="inlineStr"/>
      <c r="BX60" t="inlineStr"/>
      <c r="BY60" t="inlineStr"/>
      <c r="BZ60" t="inlineStr"/>
      <c r="CA60" t="inlineStr"/>
      <c r="CB60" t="inlineStr"/>
      <c r="CC60" t="n">
        <v>0.4831243511</v>
      </c>
      <c r="CD60" t="n">
        <v>-0.050102</v>
      </c>
      <c r="CE60" t="n">
        <v>1.03</v>
      </c>
      <c r="CF60" t="n">
        <v>1.019</v>
      </c>
      <c r="CG60" t="n">
        <v>2.8</v>
      </c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n">
        <v>0.510159</v>
      </c>
      <c r="CQ60" t="inlineStr">
        <is>
          <t>False</t>
        </is>
      </c>
    </row>
    <row r="61">
      <c r="A61" t="inlineStr">
        <is>
          <t>e3f80e8d56b34ff6</t>
        </is>
      </c>
      <c r="B61" t="inlineStr">
        <is>
          <t>2026-08-02T17:27:52.928541Z</t>
        </is>
      </c>
      <c r="C61" t="inlineStr">
        <is>
          <t>2026-08-02T13:35:00-0400</t>
        </is>
      </c>
      <c r="D61" t="inlineStr">
        <is>
          <t>401816368</t>
        </is>
      </c>
      <c r="E61" t="inlineStr">
        <is>
          <t>MLB</t>
        </is>
      </c>
      <c r="F61" t="inlineStr">
        <is>
          <t>Washington Nationals</t>
        </is>
      </c>
      <c r="G61" t="inlineStr">
        <is>
          <t>Atlanta Braves</t>
        </is>
      </c>
      <c r="H61" t="inlineStr">
        <is>
          <t>moneyline</t>
        </is>
      </c>
      <c r="I61" t="inlineStr">
        <is>
          <t>home</t>
        </is>
      </c>
      <c r="J61" t="inlineStr"/>
      <c r="K61" t="inlineStr">
        <is>
          <t>polymarket_us</t>
        </is>
      </c>
      <c r="L61" t="n">
        <v>-122</v>
      </c>
      <c r="M61" t="n">
        <v>1.819672</v>
      </c>
      <c r="N61" t="n">
        <v>0.54955</v>
      </c>
      <c r="O61" t="n">
        <v>0.600464</v>
      </c>
      <c r="P61" t="inlineStr"/>
      <c r="Q61" t="n">
        <v>0.050914</v>
      </c>
      <c r="R61" t="n">
        <v>47</v>
      </c>
      <c r="S61" t="n">
        <v>1.25</v>
      </c>
      <c r="T61" t="inlineStr">
        <is>
          <t>mlb-elo-trend-lr-v7</t>
        </is>
      </c>
      <c r="U61" t="inlineStr">
        <is>
          <t>open</t>
        </is>
      </c>
      <c r="V61" t="inlineStr"/>
      <c r="W61" t="inlineStr"/>
      <c r="X61" t="inlineStr"/>
      <c r="Y61" t="inlineStr"/>
      <c r="Z61" t="inlineStr"/>
      <c r="AA61" t="inlineStr"/>
      <c r="AB61" t="inlineStr"/>
      <c r="AC61" t="inlineStr"/>
      <c r="AD61" t="inlineStr"/>
      <c r="AE61" t="inlineStr">
        <is>
          <t>Learned LR call at threshold 0.6242; executable ask 0.5500 (aec-mlb-wsh-atl-2026-08-02); model edge vs ask +0.0505.</t>
        </is>
      </c>
      <c r="AF61" t="inlineStr">
        <is>
          <t>Learned model; shadow-qualified via operator override.</t>
        </is>
      </c>
      <c r="AG61" t="inlineStr">
        <is>
          <t>not_applicable</t>
        </is>
      </c>
      <c r="AH61" t="inlineStr"/>
      <c r="AI61" t="inlineStr"/>
      <c r="AJ61" t="inlineStr"/>
      <c r="AK61" t="inlineStr">
        <is>
          <t>model_qualified</t>
        </is>
      </c>
      <c r="AL61" t="n">
        <v>3</v>
      </c>
      <c r="AM61" t="inlineStr">
        <is>
          <t>QUALIFIED_SHADOW_CALL</t>
        </is>
      </c>
      <c r="AN61" t="inlineStr">
        <is>
          <t>CALL</t>
        </is>
      </c>
      <c r="AO61" t="inlineStr">
        <is>
          <t>QUALIFIED</t>
        </is>
      </c>
      <c r="AP61" t="inlineStr">
        <is>
          <t>mlb-wsh</t>
        </is>
      </c>
      <c r="AQ61" t="inlineStr">
        <is>
          <t>Washington Nationals</t>
        </is>
      </c>
      <c r="AR61" t="inlineStr">
        <is>
          <t>Washington Nationals</t>
        </is>
      </c>
      <c r="AS61" t="inlineStr">
        <is>
          <t>mlb-atl</t>
        </is>
      </c>
      <c r="AT61" t="inlineStr">
        <is>
          <t>Atlanta Braves</t>
        </is>
      </c>
      <c r="AU61" t="inlineStr">
        <is>
          <t>Atlanta Braves</t>
        </is>
      </c>
      <c r="AV61" t="inlineStr"/>
      <c r="AW61" t="inlineStr"/>
      <c r="AX61" t="inlineStr">
        <is>
          <t>statistical_model</t>
        </is>
      </c>
      <c r="AY61" t="inlineStr"/>
      <c r="AZ61" t="inlineStr">
        <is>
          <t>shadow_qualified</t>
        </is>
      </c>
      <c r="BA61" t="inlineStr">
        <is>
          <t>464eef695bfbbdaa819ec6f5e4c5bd1068ed20b92915fb2677220ae91e20d8b6</t>
        </is>
      </c>
      <c r="BB61" t="inlineStr">
        <is>
          <t>learned_lr</t>
        </is>
      </c>
      <c r="BC61" t="inlineStr">
        <is>
          <t>mlb-elo-trend-lr-v7</t>
        </is>
      </c>
      <c r="BD61" t="inlineStr">
        <is>
          <t>464eef695bfbbdaa819ec6f5e4c5bd1068ed20b92915fb2677220ae91e20d8b6</t>
        </is>
      </c>
      <c r="BE61" t="inlineStr">
        <is>
          <t>73dc550984f25411</t>
        </is>
      </c>
      <c r="BF61" t="n">
        <v>1</v>
      </c>
      <c r="BG61" t="inlineStr">
        <is>
          <t>mlb-elo-trend-lr-v7</t>
        </is>
      </c>
      <c r="BH61" t="inlineStr">
        <is>
          <t>2026-08-02T17:26:19.692469Z</t>
        </is>
      </c>
      <c r="BI61" t="inlineStr">
        <is>
          <t>["same_event","same_team_same_day","same_league_same_day"]</t>
        </is>
      </c>
      <c r="BJ61" t="inlineStr"/>
      <c r="BK61" t="n">
        <v>-122</v>
      </c>
      <c r="BL61" t="n">
        <v>1.819672</v>
      </c>
      <c r="BM61" t="n">
        <v>0.54955</v>
      </c>
      <c r="BN61" t="n">
        <v>0.547264</v>
      </c>
      <c r="BO61" t="inlineStr"/>
      <c r="BP61" t="inlineStr"/>
      <c r="BQ61" t="inlineStr"/>
      <c r="BR61" t="inlineStr"/>
      <c r="BS61" t="inlineStr"/>
      <c r="BT61" t="inlineStr"/>
      <c r="BU61" t="inlineStr"/>
      <c r="BV61" t="inlineStr"/>
      <c r="BW61" t="inlineStr"/>
      <c r="BX61" t="inlineStr"/>
      <c r="BY61" t="inlineStr"/>
      <c r="BZ61" t="inlineStr"/>
      <c r="CA61" t="inlineStr"/>
      <c r="CB61" t="inlineStr"/>
      <c r="CC61" t="n">
        <v>0.6335187094</v>
      </c>
      <c r="CD61" t="n">
        <v>1.061773</v>
      </c>
      <c r="CE61" t="n">
        <v>0.929</v>
      </c>
      <c r="CF61" t="n">
        <v>1.0183</v>
      </c>
      <c r="CG61" t="n">
        <v>-3.6</v>
      </c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n">
        <v>0.600464</v>
      </c>
      <c r="CQ61" t="inlineStr">
        <is>
          <t>True</t>
        </is>
      </c>
    </row>
    <row r="62">
      <c r="A62" t="inlineStr">
        <is>
          <t>90687a4fb41d48bb</t>
        </is>
      </c>
      <c r="B62" t="inlineStr">
        <is>
          <t>2026-08-02T17:27:52.928541Z</t>
        </is>
      </c>
      <c r="C62" t="inlineStr">
        <is>
          <t>2026-08-02T13:37:00-0400</t>
        </is>
      </c>
      <c r="D62" t="inlineStr">
        <is>
          <t>401816367</t>
        </is>
      </c>
      <c r="E62" t="inlineStr">
        <is>
          <t>MLB</t>
        </is>
      </c>
      <c r="F62" t="inlineStr">
        <is>
          <t>St. Louis Cardinals</t>
        </is>
      </c>
      <c r="G62" t="inlineStr">
        <is>
          <t>Toronto Blue Jays</t>
        </is>
      </c>
      <c r="H62" t="inlineStr">
        <is>
          <t>moneyline</t>
        </is>
      </c>
      <c r="I62" t="inlineStr">
        <is>
          <t>home</t>
        </is>
      </c>
      <c r="J62" t="inlineStr"/>
      <c r="K62" t="inlineStr">
        <is>
          <t>polymarket_us</t>
        </is>
      </c>
      <c r="L62" t="n">
        <v>-120</v>
      </c>
      <c r="M62" t="n">
        <v>1.833333</v>
      </c>
      <c r="N62" t="n">
        <v>0.545455</v>
      </c>
      <c r="O62" t="n">
        <v>0.536276</v>
      </c>
      <c r="P62" t="inlineStr"/>
      <c r="Q62" t="n">
        <v>-0.009179</v>
      </c>
      <c r="R62" t="n">
        <v>17</v>
      </c>
      <c r="S62" t="n">
        <v>1</v>
      </c>
      <c r="T62" t="inlineStr">
        <is>
          <t>mlb-elo-trend-lr-v7</t>
        </is>
      </c>
      <c r="U62" t="inlineStr">
        <is>
          <t>open</t>
        </is>
      </c>
      <c r="V62" t="inlineStr"/>
      <c r="W62" t="inlineStr"/>
      <c r="X62" t="inlineStr"/>
      <c r="Y62" t="inlineStr"/>
      <c r="Z62" t="inlineStr"/>
      <c r="AA62" t="inlineStr"/>
      <c r="AB62" t="inlineStr"/>
      <c r="AC62" t="inlineStr"/>
      <c r="AD62" t="inlineStr"/>
      <c r="AE62" t="inlineStr">
        <is>
          <t>Learned LR call at threshold 0.6242; executable ask 0.5450 (aec-mlb-stl-tor-2026-08-02); model edge vs ask -0.0087.</t>
        </is>
      </c>
      <c r="AF62" t="inlineStr">
        <is>
          <t>Learned model; shadow-qualified via operator override.</t>
        </is>
      </c>
      <c r="AG62" t="inlineStr">
        <is>
          <t>not_applicable</t>
        </is>
      </c>
      <c r="AH62" t="inlineStr"/>
      <c r="AI62" t="inlineStr"/>
      <c r="AJ62" t="inlineStr"/>
      <c r="AK62" t="inlineStr">
        <is>
          <t>model_qualified</t>
        </is>
      </c>
      <c r="AL62" t="n">
        <v>3</v>
      </c>
      <c r="AM62" t="inlineStr">
        <is>
          <t>QUALIFIED_SHADOW_CALL</t>
        </is>
      </c>
      <c r="AN62" t="inlineStr">
        <is>
          <t>CALL</t>
        </is>
      </c>
      <c r="AO62" t="inlineStr">
        <is>
          <t>QUALIFIED</t>
        </is>
      </c>
      <c r="AP62" t="inlineStr">
        <is>
          <t>mlb-stl</t>
        </is>
      </c>
      <c r="AQ62" t="inlineStr">
        <is>
          <t>St. Louis Cardinals</t>
        </is>
      </c>
      <c r="AR62" t="inlineStr">
        <is>
          <t>St. Louis Cardinals</t>
        </is>
      </c>
      <c r="AS62" t="inlineStr">
        <is>
          <t>mlb-tor</t>
        </is>
      </c>
      <c r="AT62" t="inlineStr">
        <is>
          <t>Toronto Blue Jays</t>
        </is>
      </c>
      <c r="AU62" t="inlineStr">
        <is>
          <t>Toronto Blue Jays</t>
        </is>
      </c>
      <c r="AV62" t="inlineStr"/>
      <c r="AW62" t="inlineStr"/>
      <c r="AX62" t="inlineStr">
        <is>
          <t>statistical_model</t>
        </is>
      </c>
      <c r="AY62" t="inlineStr"/>
      <c r="AZ62" t="inlineStr">
        <is>
          <t>shadow_qualified</t>
        </is>
      </c>
      <c r="BA62" t="inlineStr">
        <is>
          <t>464eef695bfbbdaa819ec6f5e4c5bd1068ed20b92915fb2677220ae91e20d8b6</t>
        </is>
      </c>
      <c r="BB62" t="inlineStr">
        <is>
          <t>learned_lr</t>
        </is>
      </c>
      <c r="BC62" t="inlineStr">
        <is>
          <t>mlb-elo-trend-lr-v7</t>
        </is>
      </c>
      <c r="BD62" t="inlineStr">
        <is>
          <t>464eef695bfbbdaa819ec6f5e4c5bd1068ed20b92915fb2677220ae91e20d8b6</t>
        </is>
      </c>
      <c r="BE62" t="inlineStr">
        <is>
          <t>429c13d4c562f5e8</t>
        </is>
      </c>
      <c r="BF62" t="n">
        <v>1</v>
      </c>
      <c r="BG62" t="inlineStr">
        <is>
          <t>mlb-elo-trend-lr-v7</t>
        </is>
      </c>
      <c r="BH62" t="inlineStr">
        <is>
          <t>2026-08-02T17:26:20.623512Z</t>
        </is>
      </c>
      <c r="BI62" t="inlineStr">
        <is>
          <t>["same_event","same_team_same_day","same_league_same_day"]</t>
        </is>
      </c>
      <c r="BJ62" t="inlineStr"/>
      <c r="BK62" t="n">
        <v>-120</v>
      </c>
      <c r="BL62" t="n">
        <v>1.833333</v>
      </c>
      <c r="BM62" t="n">
        <v>0.545455</v>
      </c>
      <c r="BN62" t="n">
        <v>0.542289</v>
      </c>
      <c r="BO62" t="inlineStr"/>
      <c r="BP62" t="inlineStr"/>
      <c r="BQ62" t="inlineStr"/>
      <c r="BR62" t="inlineStr"/>
      <c r="BS62" t="inlineStr"/>
      <c r="BT62" t="inlineStr"/>
      <c r="BU62" t="inlineStr"/>
      <c r="BV62" t="inlineStr"/>
      <c r="BW62" t="inlineStr"/>
      <c r="BX62" t="inlineStr"/>
      <c r="BY62" t="inlineStr"/>
      <c r="BZ62" t="inlineStr"/>
      <c r="CA62" t="inlineStr"/>
      <c r="CB62" t="inlineStr"/>
      <c r="CC62" t="n">
        <v>0.5658417148</v>
      </c>
      <c r="CD62" t="n">
        <v>1.499161</v>
      </c>
      <c r="CE62" t="n">
        <v>1.019</v>
      </c>
      <c r="CF62" t="n">
        <v>1</v>
      </c>
      <c r="CG62" t="n">
        <v>-2</v>
      </c>
      <c r="CH62" t="inlineStr"/>
      <c r="CI62" t="inlineStr"/>
      <c r="CJ62" t="inlineStr"/>
      <c r="CK62" t="inlineStr"/>
      <c r="CL62" t="inlineStr"/>
      <c r="CM62" t="inlineStr"/>
      <c r="CN62" t="inlineStr"/>
      <c r="CO62" t="inlineStr"/>
      <c r="CP62" t="n">
        <v>0.536276</v>
      </c>
      <c r="CQ62" t="inlineStr">
        <is>
          <t>False</t>
        </is>
      </c>
    </row>
    <row r="63">
      <c r="A63" t="inlineStr">
        <is>
          <t>eb9b2a8651f84cf9</t>
        </is>
      </c>
      <c r="B63" t="inlineStr">
        <is>
          <t>2026-08-02T17:27:52.928541Z</t>
        </is>
      </c>
      <c r="C63" t="inlineStr">
        <is>
          <t>2026-08-02T13:40:00-0400</t>
        </is>
      </c>
      <c r="D63" t="inlineStr">
        <is>
          <t>401816362</t>
        </is>
      </c>
      <c r="E63" t="inlineStr">
        <is>
          <t>MLB</t>
        </is>
      </c>
      <c r="F63" t="inlineStr">
        <is>
          <t>Arizona Diamondbacks</t>
        </is>
      </c>
      <c r="G63" t="inlineStr">
        <is>
          <t>Cleveland Guardians</t>
        </is>
      </c>
      <c r="H63" t="inlineStr">
        <is>
          <t>moneyline</t>
        </is>
      </c>
      <c r="I63" t="inlineStr">
        <is>
          <t>home</t>
        </is>
      </c>
      <c r="J63" t="inlineStr"/>
      <c r="K63" t="inlineStr">
        <is>
          <t>polymarket_us</t>
        </is>
      </c>
      <c r="L63" t="n">
        <v>-163</v>
      </c>
      <c r="M63" t="n">
        <v>1.613497</v>
      </c>
      <c r="N63" t="n">
        <v>0.619772</v>
      </c>
      <c r="O63" t="n">
        <v>0.541975</v>
      </c>
      <c r="P63" t="inlineStr"/>
      <c r="Q63" t="n">
        <v>-0.07779700000000001</v>
      </c>
      <c r="R63" t="n">
        <v>0</v>
      </c>
      <c r="S63" t="n">
        <v>1</v>
      </c>
      <c r="T63" t="inlineStr">
        <is>
          <t>mlb-elo-trend-lr-v7</t>
        </is>
      </c>
      <c r="U63" t="inlineStr">
        <is>
          <t>open</t>
        </is>
      </c>
      <c r="V63" t="inlineStr"/>
      <c r="W63" t="inlineStr"/>
      <c r="X63" t="inlineStr"/>
      <c r="Y63" t="inlineStr"/>
      <c r="Z63" t="inlineStr"/>
      <c r="AA63" t="inlineStr"/>
      <c r="AB63" t="inlineStr"/>
      <c r="AC63" t="inlineStr"/>
      <c r="AD63" t="inlineStr"/>
      <c r="AE63" t="inlineStr">
        <is>
          <t>Learned LR call at threshold 0.6242; executable ask 0.6200 (aec-mlb-az-cle-2026-08-02); model edge vs ask -0.0780.</t>
        </is>
      </c>
      <c r="AF63" t="inlineStr">
        <is>
          <t>Learned model; shadow-qualified via operator override.</t>
        </is>
      </c>
      <c r="AG63" t="inlineStr">
        <is>
          <t>not_applicable</t>
        </is>
      </c>
      <c r="AH63" t="inlineStr"/>
      <c r="AI63" t="inlineStr"/>
      <c r="AJ63" t="inlineStr"/>
      <c r="AK63" t="inlineStr">
        <is>
          <t>model_qualified</t>
        </is>
      </c>
      <c r="AL63" t="n">
        <v>3</v>
      </c>
      <c r="AM63" t="inlineStr">
        <is>
          <t>QUALIFIED_SHADOW_CALL</t>
        </is>
      </c>
      <c r="AN63" t="inlineStr">
        <is>
          <t>CALL</t>
        </is>
      </c>
      <c r="AO63" t="inlineStr">
        <is>
          <t>QUALIFIED</t>
        </is>
      </c>
      <c r="AP63" t="inlineStr">
        <is>
          <t>mlb-ari</t>
        </is>
      </c>
      <c r="AQ63" t="inlineStr">
        <is>
          <t>Arizona Diamondbacks</t>
        </is>
      </c>
      <c r="AR63" t="inlineStr">
        <is>
          <t>Arizona Diamondbacks</t>
        </is>
      </c>
      <c r="AS63" t="inlineStr">
        <is>
          <t>mlb-cle</t>
        </is>
      </c>
      <c r="AT63" t="inlineStr">
        <is>
          <t>Cleveland Guardians</t>
        </is>
      </c>
      <c r="AU63" t="inlineStr">
        <is>
          <t>Cleveland Guardians</t>
        </is>
      </c>
      <c r="AV63" t="inlineStr"/>
      <c r="AW63" t="inlineStr"/>
      <c r="AX63" t="inlineStr">
        <is>
          <t>statistical_model</t>
        </is>
      </c>
      <c r="AY63" t="inlineStr"/>
      <c r="AZ63" t="inlineStr">
        <is>
          <t>shadow_qualified</t>
        </is>
      </c>
      <c r="BA63" t="inlineStr">
        <is>
          <t>464eef695bfbbdaa819ec6f5e4c5bd1068ed20b92915fb2677220ae91e20d8b6</t>
        </is>
      </c>
      <c r="BB63" t="inlineStr">
        <is>
          <t>learned_lr</t>
        </is>
      </c>
      <c r="BC63" t="inlineStr">
        <is>
          <t>mlb-elo-trend-lr-v7</t>
        </is>
      </c>
      <c r="BD63" t="inlineStr">
        <is>
          <t>464eef695bfbbdaa819ec6f5e4c5bd1068ed20b92915fb2677220ae91e20d8b6</t>
        </is>
      </c>
      <c r="BE63" t="inlineStr">
        <is>
          <t>3abf364aadf2cd68</t>
        </is>
      </c>
      <c r="BF63" t="n">
        <v>1</v>
      </c>
      <c r="BG63" t="inlineStr">
        <is>
          <t>mlb-elo-trend-lr-v7</t>
        </is>
      </c>
      <c r="BH63" t="inlineStr">
        <is>
          <t>2026-08-02T17:26:21.657844Z</t>
        </is>
      </c>
      <c r="BI63" t="inlineStr">
        <is>
          <t>["same_event","same_team_same_day","same_league_same_day"]</t>
        </is>
      </c>
      <c r="BJ63" t="inlineStr"/>
      <c r="BK63" t="n">
        <v>-163</v>
      </c>
      <c r="BL63" t="n">
        <v>1.613497</v>
      </c>
      <c r="BM63" t="n">
        <v>0.619772</v>
      </c>
      <c r="BN63" t="n">
        <v>0.616915</v>
      </c>
      <c r="BO63" t="inlineStr"/>
      <c r="BP63" t="inlineStr"/>
      <c r="BQ63" t="inlineStr"/>
      <c r="BR63" t="inlineStr"/>
      <c r="BS63" t="inlineStr"/>
      <c r="BT63" t="inlineStr"/>
      <c r="BU63" t="inlineStr"/>
      <c r="BV63" t="inlineStr"/>
      <c r="BW63" t="inlineStr"/>
      <c r="BX63" t="inlineStr"/>
      <c r="BY63" t="inlineStr"/>
      <c r="BZ63" t="inlineStr"/>
      <c r="CA63" t="inlineStr"/>
      <c r="CB63" t="inlineStr"/>
      <c r="CC63" t="n">
        <v>0.5147263352</v>
      </c>
      <c r="CD63" t="n">
        <v>-1.620545</v>
      </c>
      <c r="CE63" t="n">
        <v>0.966</v>
      </c>
      <c r="CF63" t="n">
        <v>1.012</v>
      </c>
      <c r="CG63" t="n">
        <v>1</v>
      </c>
      <c r="CH63" t="inlineStr"/>
      <c r="CI63" t="inlineStr"/>
      <c r="CJ63" t="inlineStr"/>
      <c r="CK63" t="inlineStr"/>
      <c r="CL63" t="inlineStr"/>
      <c r="CM63" t="inlineStr"/>
      <c r="CN63" t="inlineStr"/>
      <c r="CO63" t="inlineStr"/>
      <c r="CP63" t="n">
        <v>0.541975</v>
      </c>
      <c r="CQ63" t="inlineStr">
        <is>
          <t>False</t>
        </is>
      </c>
    </row>
    <row r="64">
      <c r="A64" t="inlineStr">
        <is>
          <t>b2817bdbc8cc44da</t>
        </is>
      </c>
      <c r="B64" t="inlineStr">
        <is>
          <t>2026-08-02T17:27:52.928541Z</t>
        </is>
      </c>
      <c r="C64" t="inlineStr">
        <is>
          <t>2026-08-02T13:40:00-0400</t>
        </is>
      </c>
      <c r="D64" t="inlineStr">
        <is>
          <t>401816363</t>
        </is>
      </c>
      <c r="E64" t="inlineStr">
        <is>
          <t>MLB</t>
        </is>
      </c>
      <c r="F64" t="inlineStr">
        <is>
          <t>Chicago White Sox</t>
        </is>
      </c>
      <c r="G64" t="inlineStr">
        <is>
          <t>Tampa Bay Rays</t>
        </is>
      </c>
      <c r="H64" t="inlineStr">
        <is>
          <t>moneyline</t>
        </is>
      </c>
      <c r="I64" t="inlineStr">
        <is>
          <t>home</t>
        </is>
      </c>
      <c r="J64" t="inlineStr"/>
      <c r="K64" t="inlineStr">
        <is>
          <t>polymarket_us</t>
        </is>
      </c>
      <c r="L64" t="n">
        <v>-138</v>
      </c>
      <c r="M64" t="n">
        <v>1.724638</v>
      </c>
      <c r="N64" t="n">
        <v>0.579832</v>
      </c>
      <c r="O64" t="n">
        <v>0.565508</v>
      </c>
      <c r="P64" t="inlineStr"/>
      <c r="Q64" t="n">
        <v>-0.014324</v>
      </c>
      <c r="R64" t="n">
        <v>14</v>
      </c>
      <c r="S64" t="n">
        <v>1</v>
      </c>
      <c r="T64" t="inlineStr">
        <is>
          <t>mlb-elo-trend-lr-v7</t>
        </is>
      </c>
      <c r="U64" t="inlineStr">
        <is>
          <t>open</t>
        </is>
      </c>
      <c r="V64" t="inlineStr"/>
      <c r="W64" t="inlineStr"/>
      <c r="X64" t="inlineStr"/>
      <c r="Y64" t="inlineStr"/>
      <c r="Z64" t="inlineStr"/>
      <c r="AA64" t="inlineStr"/>
      <c r="AB64" t="inlineStr"/>
      <c r="AC64" t="inlineStr"/>
      <c r="AD64" t="inlineStr"/>
      <c r="AE64" t="inlineStr">
        <is>
          <t>Learned LR call at threshold 0.6242; executable ask 0.5800 (aec-mlb-cws-tb-2026-08-02); model edge vs ask -0.0145.</t>
        </is>
      </c>
      <c r="AF64" t="inlineStr">
        <is>
          <t>Learned model; shadow-qualified via operator override.</t>
        </is>
      </c>
      <c r="AG64" t="inlineStr">
        <is>
          <t>not_applicable</t>
        </is>
      </c>
      <c r="AH64" t="inlineStr"/>
      <c r="AI64" t="inlineStr"/>
      <c r="AJ64" t="inlineStr"/>
      <c r="AK64" t="inlineStr">
        <is>
          <t>model_qualified</t>
        </is>
      </c>
      <c r="AL64" t="n">
        <v>3</v>
      </c>
      <c r="AM64" t="inlineStr">
        <is>
          <t>QUALIFIED_SHADOW_CALL</t>
        </is>
      </c>
      <c r="AN64" t="inlineStr">
        <is>
          <t>CALL</t>
        </is>
      </c>
      <c r="AO64" t="inlineStr">
        <is>
          <t>QUALIFIED</t>
        </is>
      </c>
      <c r="AP64" t="inlineStr">
        <is>
          <t>mlb-cws</t>
        </is>
      </c>
      <c r="AQ64" t="inlineStr">
        <is>
          <t>Chicago White Sox</t>
        </is>
      </c>
      <c r="AR64" t="inlineStr">
        <is>
          <t>Chicago White Sox</t>
        </is>
      </c>
      <c r="AS64" t="inlineStr">
        <is>
          <t>mlb-tb</t>
        </is>
      </c>
      <c r="AT64" t="inlineStr">
        <is>
          <t>Tampa Bay Rays</t>
        </is>
      </c>
      <c r="AU64" t="inlineStr">
        <is>
          <t>Tampa Bay Rays</t>
        </is>
      </c>
      <c r="AV64" t="inlineStr"/>
      <c r="AW64" t="inlineStr"/>
      <c r="AX64" t="inlineStr">
        <is>
          <t>statistical_model</t>
        </is>
      </c>
      <c r="AY64" t="inlineStr"/>
      <c r="AZ64" t="inlineStr">
        <is>
          <t>shadow_qualified</t>
        </is>
      </c>
      <c r="BA64" t="inlineStr">
        <is>
          <t>464eef695bfbbdaa819ec6f5e4c5bd1068ed20b92915fb2677220ae91e20d8b6</t>
        </is>
      </c>
      <c r="BB64" t="inlineStr">
        <is>
          <t>learned_lr</t>
        </is>
      </c>
      <c r="BC64" t="inlineStr">
        <is>
          <t>mlb-elo-trend-lr-v7</t>
        </is>
      </c>
      <c r="BD64" t="inlineStr">
        <is>
          <t>464eef695bfbbdaa819ec6f5e4c5bd1068ed20b92915fb2677220ae91e20d8b6</t>
        </is>
      </c>
      <c r="BE64" t="inlineStr">
        <is>
          <t>adafae297aed5d6c</t>
        </is>
      </c>
      <c r="BF64" t="n">
        <v>1</v>
      </c>
      <c r="BG64" t="inlineStr">
        <is>
          <t>mlb-elo-trend-lr-v7</t>
        </is>
      </c>
      <c r="BH64" t="inlineStr">
        <is>
          <t>2026-08-02T17:26:24.469147Z</t>
        </is>
      </c>
      <c r="BI64" t="inlineStr">
        <is>
          <t>["same_event","same_team_same_day","same_league_same_day"]</t>
        </is>
      </c>
      <c r="BJ64" t="inlineStr"/>
      <c r="BK64" t="n">
        <v>-138</v>
      </c>
      <c r="BL64" t="n">
        <v>1.724638</v>
      </c>
      <c r="BM64" t="n">
        <v>0.579832</v>
      </c>
      <c r="BN64" t="n">
        <v>0.577114</v>
      </c>
      <c r="BO64" t="inlineStr"/>
      <c r="BP64" t="inlineStr"/>
      <c r="BQ64" t="inlineStr"/>
      <c r="BR64" t="inlineStr"/>
      <c r="BS64" t="inlineStr"/>
      <c r="BT64" t="inlineStr"/>
      <c r="BU64" t="inlineStr"/>
      <c r="BV64" t="inlineStr"/>
      <c r="BW64" t="inlineStr"/>
      <c r="BX64" t="inlineStr"/>
      <c r="BY64" t="inlineStr"/>
      <c r="BZ64" t="inlineStr"/>
      <c r="CA64" t="inlineStr"/>
      <c r="CB64" t="inlineStr"/>
      <c r="CC64" t="n">
        <v>0.5503982216</v>
      </c>
      <c r="CD64" t="n">
        <v>-0.597101</v>
      </c>
      <c r="CE64" t="n">
        <v>0.965</v>
      </c>
      <c r="CF64" t="n">
        <v>1</v>
      </c>
      <c r="CG64" t="n">
        <v>0.2</v>
      </c>
      <c r="CH64" t="inlineStr"/>
      <c r="CI64" t="inlineStr"/>
      <c r="CJ64" t="inlineStr"/>
      <c r="CK64" t="inlineStr"/>
      <c r="CL64" t="inlineStr"/>
      <c r="CM64" t="inlineStr"/>
      <c r="CN64" t="inlineStr"/>
      <c r="CO64" t="inlineStr"/>
      <c r="CP64" t="n">
        <v>0.565508</v>
      </c>
      <c r="CQ64" t="inlineStr">
        <is>
          <t>False</t>
        </is>
      </c>
    </row>
    <row r="65">
      <c r="A65" t="inlineStr">
        <is>
          <t>fd1cd13c3c7f4148</t>
        </is>
      </c>
      <c r="B65" t="inlineStr">
        <is>
          <t>2026-08-02T17:27:52.928541Z</t>
        </is>
      </c>
      <c r="C65" t="inlineStr">
        <is>
          <t>2026-08-02T13:40:00-0400</t>
        </is>
      </c>
      <c r="D65" t="inlineStr">
        <is>
          <t>401816364</t>
        </is>
      </c>
      <c r="E65" t="inlineStr">
        <is>
          <t>MLB</t>
        </is>
      </c>
      <c r="F65" t="inlineStr">
        <is>
          <t>Miami Marlins</t>
        </is>
      </c>
      <c r="G65" t="inlineStr">
        <is>
          <t>New York Mets</t>
        </is>
      </c>
      <c r="H65" t="inlineStr">
        <is>
          <t>moneyline</t>
        </is>
      </c>
      <c r="I65" t="inlineStr">
        <is>
          <t>home</t>
        </is>
      </c>
      <c r="J65" t="inlineStr"/>
      <c r="K65" t="inlineStr">
        <is>
          <t>polymarket_us</t>
        </is>
      </c>
      <c r="L65" t="n">
        <v>108</v>
      </c>
      <c r="M65" t="n">
        <v>2.08</v>
      </c>
      <c r="N65" t="n">
        <v>0.480769</v>
      </c>
      <c r="O65" t="n">
        <v>0.519289</v>
      </c>
      <c r="P65" t="inlineStr"/>
      <c r="Q65" t="n">
        <v>0.03852</v>
      </c>
      <c r="R65" t="n">
        <v>41</v>
      </c>
      <c r="S65" t="n">
        <v>1</v>
      </c>
      <c r="T65" t="inlineStr">
        <is>
          <t>mlb-elo-trend-lr-v7</t>
        </is>
      </c>
      <c r="U65" t="inlineStr">
        <is>
          <t>open</t>
        </is>
      </c>
      <c r="V65" t="inlineStr"/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>
        <is>
          <t>Learned LR call at threshold 0.6242; executable ask 0.4800 (aec-mlb-mia-nym-2026-08-02); model edge vs ask +0.0393.</t>
        </is>
      </c>
      <c r="AF65" t="inlineStr">
        <is>
          <t>Learned model; shadow-qualified via operator override.</t>
        </is>
      </c>
      <c r="AG65" t="inlineStr">
        <is>
          <t>not_applicable</t>
        </is>
      </c>
      <c r="AH65" t="inlineStr"/>
      <c r="AI65" t="inlineStr"/>
      <c r="AJ65" t="inlineStr"/>
      <c r="AK65" t="inlineStr">
        <is>
          <t>model_qualified</t>
        </is>
      </c>
      <c r="AL65" t="n">
        <v>3</v>
      </c>
      <c r="AM65" t="inlineStr">
        <is>
          <t>QUALIFIED_SHADOW_CALL</t>
        </is>
      </c>
      <c r="AN65" t="inlineStr">
        <is>
          <t>CALL</t>
        </is>
      </c>
      <c r="AO65" t="inlineStr">
        <is>
          <t>QUALIFIED</t>
        </is>
      </c>
      <c r="AP65" t="inlineStr">
        <is>
          <t>mlb-mia</t>
        </is>
      </c>
      <c r="AQ65" t="inlineStr">
        <is>
          <t>Miami Marlins</t>
        </is>
      </c>
      <c r="AR65" t="inlineStr">
        <is>
          <t>Miami Marlins</t>
        </is>
      </c>
      <c r="AS65" t="inlineStr">
        <is>
          <t>mlb-nym</t>
        </is>
      </c>
      <c r="AT65" t="inlineStr">
        <is>
          <t>New York Mets</t>
        </is>
      </c>
      <c r="AU65" t="inlineStr">
        <is>
          <t>New York Mets</t>
        </is>
      </c>
      <c r="AV65" t="inlineStr"/>
      <c r="AW65" t="inlineStr"/>
      <c r="AX65" t="inlineStr">
        <is>
          <t>statistical_model</t>
        </is>
      </c>
      <c r="AY65" t="inlineStr"/>
      <c r="AZ65" t="inlineStr">
        <is>
          <t>shadow_qualified</t>
        </is>
      </c>
      <c r="BA65" t="inlineStr">
        <is>
          <t>464eef695bfbbdaa819ec6f5e4c5bd1068ed20b92915fb2677220ae91e20d8b6</t>
        </is>
      </c>
      <c r="BB65" t="inlineStr">
        <is>
          <t>learned_lr</t>
        </is>
      </c>
      <c r="BC65" t="inlineStr">
        <is>
          <t>mlb-elo-trend-lr-v7</t>
        </is>
      </c>
      <c r="BD65" t="inlineStr">
        <is>
          <t>464eef695bfbbdaa819ec6f5e4c5bd1068ed20b92915fb2677220ae91e20d8b6</t>
        </is>
      </c>
      <c r="BE65" t="inlineStr">
        <is>
          <t>4f285de198a5830f</t>
        </is>
      </c>
      <c r="BF65" t="n">
        <v>1</v>
      </c>
      <c r="BG65" t="inlineStr">
        <is>
          <t>mlb-elo-trend-lr-v7</t>
        </is>
      </c>
      <c r="BH65" t="inlineStr">
        <is>
          <t>2026-08-02T17:26:23.537980Z</t>
        </is>
      </c>
      <c r="BI65" t="inlineStr">
        <is>
          <t>["same_event","same_team_same_day","same_league_same_day"]</t>
        </is>
      </c>
      <c r="BJ65" t="inlineStr"/>
      <c r="BK65" t="n">
        <v>108</v>
      </c>
      <c r="BL65" t="n">
        <v>2.08</v>
      </c>
      <c r="BM65" t="n">
        <v>0.480769</v>
      </c>
      <c r="BN65" t="n">
        <v>0.477612</v>
      </c>
      <c r="BO65" t="inlineStr"/>
      <c r="BP65" t="inlineStr"/>
      <c r="BQ65" t="inlineStr"/>
      <c r="BR65" t="inlineStr"/>
      <c r="BS65" t="inlineStr"/>
      <c r="BT65" t="inlineStr"/>
      <c r="BU65" t="inlineStr"/>
      <c r="BV65" t="inlineStr"/>
      <c r="BW65" t="inlineStr"/>
      <c r="BX65" t="inlineStr"/>
      <c r="BY65" t="inlineStr"/>
      <c r="BZ65" t="inlineStr"/>
      <c r="CA65" t="inlineStr"/>
      <c r="CB65" t="inlineStr"/>
      <c r="CC65" t="n">
        <v>0.4938777222</v>
      </c>
      <c r="CD65" t="n">
        <v>-0.998113</v>
      </c>
      <c r="CE65" t="n">
        <v>0.978</v>
      </c>
      <c r="CF65" t="n">
        <v>1.0209</v>
      </c>
      <c r="CG65" t="n">
        <v>0.4</v>
      </c>
      <c r="CH65" t="inlineStr"/>
      <c r="CI65" t="inlineStr"/>
      <c r="CJ65" t="inlineStr"/>
      <c r="CK65" t="inlineStr"/>
      <c r="CL65" t="inlineStr"/>
      <c r="CM65" t="inlineStr"/>
      <c r="CN65" t="inlineStr"/>
      <c r="CO65" t="inlineStr"/>
      <c r="CP65" t="n">
        <v>0.519289</v>
      </c>
      <c r="CQ65" t="inlineStr">
        <is>
          <t>True</t>
        </is>
      </c>
    </row>
    <row r="66">
      <c r="A66" t="inlineStr">
        <is>
          <t>b7fe707df1484565</t>
        </is>
      </c>
      <c r="B66" t="inlineStr">
        <is>
          <t>2026-08-02T17:27:52.928541Z</t>
        </is>
      </c>
      <c r="C66" t="inlineStr">
        <is>
          <t>2026-08-02T13:40:00-0400</t>
        </is>
      </c>
      <c r="D66" t="inlineStr">
        <is>
          <t>401816366</t>
        </is>
      </c>
      <c r="E66" t="inlineStr">
        <is>
          <t>MLB</t>
        </is>
      </c>
      <c r="F66" t="inlineStr">
        <is>
          <t>Pittsburgh Pirates</t>
        </is>
      </c>
      <c r="G66" t="inlineStr">
        <is>
          <t>Cincinnati Reds</t>
        </is>
      </c>
      <c r="H66" t="inlineStr">
        <is>
          <t>moneyline</t>
        </is>
      </c>
      <c r="I66" t="inlineStr">
        <is>
          <t>away</t>
        </is>
      </c>
      <c r="J66" t="inlineStr"/>
      <c r="K66" t="inlineStr">
        <is>
          <t>polymarket_us</t>
        </is>
      </c>
      <c r="L66" t="n">
        <v>127</v>
      </c>
      <c r="M66" t="n">
        <v>2.27</v>
      </c>
      <c r="N66" t="n">
        <v>0.440529</v>
      </c>
      <c r="O66" t="n">
        <v>0.518519</v>
      </c>
      <c r="P66" t="inlineStr"/>
      <c r="Q66" t="n">
        <v>0.07799</v>
      </c>
      <c r="R66" t="n">
        <v>60</v>
      </c>
      <c r="S66" t="n">
        <v>1</v>
      </c>
      <c r="T66" t="inlineStr">
        <is>
          <t>mlb-elo-trend-lr-v7</t>
        </is>
      </c>
      <c r="U66" t="inlineStr">
        <is>
          <t>open</t>
        </is>
      </c>
      <c r="V66" t="inlineStr"/>
      <c r="W66" t="inlineStr"/>
      <c r="X66" t="inlineStr"/>
      <c r="Y66" t="inlineStr"/>
      <c r="Z66" t="inlineStr"/>
      <c r="AA66" t="inlineStr"/>
      <c r="AB66" t="inlineStr"/>
      <c r="AC66" t="inlineStr"/>
      <c r="AD66" t="inlineStr"/>
      <c r="AE66" t="inlineStr">
        <is>
          <t>Learned LR call at threshold 0.6242; executable ask 0.4400 (aec-mlb-pit-cin-2026-08-02); model edge vs ask +0.0785.</t>
        </is>
      </c>
      <c r="AF66" t="inlineStr">
        <is>
          <t>Learned model; shadow-qualified via operator override.</t>
        </is>
      </c>
      <c r="AG66" t="inlineStr">
        <is>
          <t>not_applicable</t>
        </is>
      </c>
      <c r="AH66" t="inlineStr"/>
      <c r="AI66" t="inlineStr"/>
      <c r="AJ66" t="inlineStr"/>
      <c r="AK66" t="inlineStr">
        <is>
          <t>model_qualified</t>
        </is>
      </c>
      <c r="AL66" t="n">
        <v>3</v>
      </c>
      <c r="AM66" t="inlineStr">
        <is>
          <t>QUALIFIED_SHADOW_CALL</t>
        </is>
      </c>
      <c r="AN66" t="inlineStr">
        <is>
          <t>CALL</t>
        </is>
      </c>
      <c r="AO66" t="inlineStr">
        <is>
          <t>QUALIFIED</t>
        </is>
      </c>
      <c r="AP66" t="inlineStr">
        <is>
          <t>mlb-pit</t>
        </is>
      </c>
      <c r="AQ66" t="inlineStr">
        <is>
          <t>Pittsburgh Pirates</t>
        </is>
      </c>
      <c r="AR66" t="inlineStr">
        <is>
          <t>Pittsburgh Pirates</t>
        </is>
      </c>
      <c r="AS66" t="inlineStr">
        <is>
          <t>mlb-cin</t>
        </is>
      </c>
      <c r="AT66" t="inlineStr">
        <is>
          <t>Cincinnati Reds</t>
        </is>
      </c>
      <c r="AU66" t="inlineStr">
        <is>
          <t>Cincinnati Reds</t>
        </is>
      </c>
      <c r="AV66" t="inlineStr"/>
      <c r="AW66" t="inlineStr"/>
      <c r="AX66" t="inlineStr">
        <is>
          <t>statistical_model</t>
        </is>
      </c>
      <c r="AY66" t="inlineStr"/>
      <c r="AZ66" t="inlineStr">
        <is>
          <t>shadow_qualified</t>
        </is>
      </c>
      <c r="BA66" t="inlineStr">
        <is>
          <t>464eef695bfbbdaa819ec6f5e4c5bd1068ed20b92915fb2677220ae91e20d8b6</t>
        </is>
      </c>
      <c r="BB66" t="inlineStr">
        <is>
          <t>learned_lr</t>
        </is>
      </c>
      <c r="BC66" t="inlineStr">
        <is>
          <t>mlb-elo-trend-lr-v7</t>
        </is>
      </c>
      <c r="BD66" t="inlineStr">
        <is>
          <t>464eef695bfbbdaa819ec6f5e4c5bd1068ed20b92915fb2677220ae91e20d8b6</t>
        </is>
      </c>
      <c r="BE66" t="inlineStr">
        <is>
          <t>2316e9a0ae11b344</t>
        </is>
      </c>
      <c r="BF66" t="n">
        <v>1</v>
      </c>
      <c r="BG66" t="inlineStr">
        <is>
          <t>mlb-elo-trend-lr-v7</t>
        </is>
      </c>
      <c r="BH66" t="inlineStr">
        <is>
          <t>2026-08-02T17:26:22.637107Z</t>
        </is>
      </c>
      <c r="BI66" t="inlineStr">
        <is>
          <t>["same_event","same_team_same_day","same_league_same_day"]</t>
        </is>
      </c>
      <c r="BJ66" t="inlineStr"/>
      <c r="BK66" t="n">
        <v>127</v>
      </c>
      <c r="BL66" t="n">
        <v>2.27</v>
      </c>
      <c r="BM66" t="n">
        <v>0.440529</v>
      </c>
      <c r="BN66" t="n">
        <v>0.437811</v>
      </c>
      <c r="BO66" t="inlineStr"/>
      <c r="BP66" t="inlineStr"/>
      <c r="BQ66" t="inlineStr"/>
      <c r="BR66" t="inlineStr"/>
      <c r="BS66" t="inlineStr"/>
      <c r="BT66" t="inlineStr"/>
      <c r="BU66" t="inlineStr"/>
      <c r="BV66" t="inlineStr"/>
      <c r="BW66" t="inlineStr"/>
      <c r="BX66" t="inlineStr"/>
      <c r="BY66" t="inlineStr"/>
      <c r="BZ66" t="inlineStr"/>
      <c r="CA66" t="inlineStr"/>
      <c r="CB66" t="inlineStr"/>
      <c r="CC66" t="n">
        <v>0.4891381657</v>
      </c>
      <c r="CD66" t="n">
        <v>0.471311</v>
      </c>
      <c r="CE66" t="n">
        <v>1.036</v>
      </c>
      <c r="CF66" t="n">
        <v>1.0043</v>
      </c>
      <c r="CG66" t="n">
        <v>-0.8</v>
      </c>
      <c r="CH66" t="inlineStr"/>
      <c r="CI66" t="inlineStr"/>
      <c r="CJ66" t="inlineStr"/>
      <c r="CK66" t="inlineStr"/>
      <c r="CL66" t="inlineStr"/>
      <c r="CM66" t="inlineStr"/>
      <c r="CN66" t="inlineStr"/>
      <c r="CO66" t="inlineStr"/>
      <c r="CP66" t="n">
        <v>0.518519</v>
      </c>
      <c r="CQ66" t="inlineStr">
        <is>
          <t>True</t>
        </is>
      </c>
    </row>
    <row r="67">
      <c r="A67" t="inlineStr">
        <is>
          <t>750135ab7b224418</t>
        </is>
      </c>
      <c r="B67" t="inlineStr">
        <is>
          <t>2026-08-02T17:27:52.928541Z</t>
        </is>
      </c>
      <c r="C67" t="inlineStr">
        <is>
          <t>2026-08-02T14:10:00-0400</t>
        </is>
      </c>
      <c r="D67" t="inlineStr">
        <is>
          <t>401816370</t>
        </is>
      </c>
      <c r="E67" t="inlineStr">
        <is>
          <t>MLB</t>
        </is>
      </c>
      <c r="F67" t="inlineStr">
        <is>
          <t>Texas Rangers</t>
        </is>
      </c>
      <c r="G67" t="inlineStr">
        <is>
          <t>Houston Astros</t>
        </is>
      </c>
      <c r="H67" t="inlineStr">
        <is>
          <t>moneyline</t>
        </is>
      </c>
      <c r="I67" t="inlineStr">
        <is>
          <t>home</t>
        </is>
      </c>
      <c r="J67" t="inlineStr"/>
      <c r="K67" t="inlineStr">
        <is>
          <t>polymarket_us</t>
        </is>
      </c>
      <c r="L67" t="n">
        <v>-127</v>
      </c>
      <c r="M67" t="n">
        <v>1.787402</v>
      </c>
      <c r="N67" t="n">
        <v>0.5594710000000001</v>
      </c>
      <c r="O67" t="n">
        <v>0.538187</v>
      </c>
      <c r="P67" t="inlineStr"/>
      <c r="Q67" t="n">
        <v>-0.021284</v>
      </c>
      <c r="R67" t="n">
        <v>10</v>
      </c>
      <c r="S67" t="n">
        <v>1</v>
      </c>
      <c r="T67" t="inlineStr">
        <is>
          <t>mlb-elo-trend-lr-v7</t>
        </is>
      </c>
      <c r="U67" t="inlineStr">
        <is>
          <t>open</t>
        </is>
      </c>
      <c r="V67" t="inlineStr"/>
      <c r="W67" t="inlineStr"/>
      <c r="X67" t="inlineStr"/>
      <c r="Y67" t="inlineStr"/>
      <c r="Z67" t="inlineStr"/>
      <c r="AA67" t="inlineStr"/>
      <c r="AB67" t="inlineStr"/>
      <c r="AC67" t="inlineStr"/>
      <c r="AD67" t="inlineStr"/>
      <c r="AE67" t="inlineStr">
        <is>
          <t>Learned LR call at threshold 0.6242; executable ask 0.5600 (aec-mlb-tex-hou-2026-08-02); model edge vs ask -0.0218.</t>
        </is>
      </c>
      <c r="AF67" t="inlineStr">
        <is>
          <t>Learned model; shadow-qualified via operator override.</t>
        </is>
      </c>
      <c r="AG67" t="inlineStr">
        <is>
          <t>not_applicable</t>
        </is>
      </c>
      <c r="AH67" t="inlineStr"/>
      <c r="AI67" t="inlineStr"/>
      <c r="AJ67" t="inlineStr"/>
      <c r="AK67" t="inlineStr">
        <is>
          <t>model_qualified</t>
        </is>
      </c>
      <c r="AL67" t="n">
        <v>3</v>
      </c>
      <c r="AM67" t="inlineStr">
        <is>
          <t>QUALIFIED_SHADOW_CALL</t>
        </is>
      </c>
      <c r="AN67" t="inlineStr">
        <is>
          <t>CALL</t>
        </is>
      </c>
      <c r="AO67" t="inlineStr">
        <is>
          <t>QUALIFIED</t>
        </is>
      </c>
      <c r="AP67" t="inlineStr">
        <is>
          <t>mlb-tex</t>
        </is>
      </c>
      <c r="AQ67" t="inlineStr">
        <is>
          <t>Texas Rangers</t>
        </is>
      </c>
      <c r="AR67" t="inlineStr">
        <is>
          <t>Texas Rangers</t>
        </is>
      </c>
      <c r="AS67" t="inlineStr">
        <is>
          <t>mlb-hou</t>
        </is>
      </c>
      <c r="AT67" t="inlineStr">
        <is>
          <t>Houston Astros</t>
        </is>
      </c>
      <c r="AU67" t="inlineStr">
        <is>
          <t>Houston Astros</t>
        </is>
      </c>
      <c r="AV67" t="inlineStr"/>
      <c r="AW67" t="inlineStr"/>
      <c r="AX67" t="inlineStr">
        <is>
          <t>statistical_model</t>
        </is>
      </c>
      <c r="AY67" t="inlineStr"/>
      <c r="AZ67" t="inlineStr">
        <is>
          <t>shadow_qualified</t>
        </is>
      </c>
      <c r="BA67" t="inlineStr">
        <is>
          <t>464eef695bfbbdaa819ec6f5e4c5bd1068ed20b92915fb2677220ae91e20d8b6</t>
        </is>
      </c>
      <c r="BB67" t="inlineStr">
        <is>
          <t>learned_lr</t>
        </is>
      </c>
      <c r="BC67" t="inlineStr">
        <is>
          <t>mlb-elo-trend-lr-v7</t>
        </is>
      </c>
      <c r="BD67" t="inlineStr">
        <is>
          <t>464eef695bfbbdaa819ec6f5e4c5bd1068ed20b92915fb2677220ae91e20d8b6</t>
        </is>
      </c>
      <c r="BE67" t="inlineStr">
        <is>
          <t>2d42dfba300c1668</t>
        </is>
      </c>
      <c r="BF67" t="n">
        <v>1</v>
      </c>
      <c r="BG67" t="inlineStr">
        <is>
          <t>mlb-elo-trend-lr-v7</t>
        </is>
      </c>
      <c r="BH67" t="inlineStr">
        <is>
          <t>2026-08-02T17:26:25.339234Z</t>
        </is>
      </c>
      <c r="BI67" t="inlineStr">
        <is>
          <t>["same_event","same_team_same_day","same_league_same_day"]</t>
        </is>
      </c>
      <c r="BJ67" t="inlineStr"/>
      <c r="BK67" t="n">
        <v>-127</v>
      </c>
      <c r="BL67" t="n">
        <v>1.787402</v>
      </c>
      <c r="BM67" t="n">
        <v>0.5594710000000001</v>
      </c>
      <c r="BN67" t="n">
        <v>0.557214</v>
      </c>
      <c r="BO67" t="inlineStr"/>
      <c r="BP67" t="inlineStr"/>
      <c r="BQ67" t="inlineStr"/>
      <c r="BR67" t="inlineStr"/>
      <c r="BS67" t="inlineStr"/>
      <c r="BT67" t="inlineStr"/>
      <c r="BU67" t="inlineStr"/>
      <c r="BV67" t="inlineStr"/>
      <c r="BW67" t="inlineStr"/>
      <c r="BX67" t="inlineStr"/>
      <c r="BY67" t="inlineStr"/>
      <c r="BZ67" t="inlineStr"/>
      <c r="CA67" t="inlineStr"/>
      <c r="CB67" t="inlineStr"/>
      <c r="CC67" t="n">
        <v>0.5570987062</v>
      </c>
      <c r="CD67" t="n">
        <v>1.976345</v>
      </c>
      <c r="CE67" t="n">
        <v>0.956</v>
      </c>
      <c r="CF67" t="n">
        <v>1</v>
      </c>
      <c r="CG67" t="n">
        <v>-1.4</v>
      </c>
      <c r="CH67" t="inlineStr"/>
      <c r="CI67" t="inlineStr"/>
      <c r="CJ67" t="inlineStr"/>
      <c r="CK67" t="inlineStr"/>
      <c r="CL67" t="inlineStr"/>
      <c r="CM67" t="inlineStr"/>
      <c r="CN67" t="inlineStr"/>
      <c r="CO67" t="inlineStr"/>
      <c r="CP67" t="n">
        <v>0.538187</v>
      </c>
      <c r="CQ67" t="inlineStr">
        <is>
          <t>False</t>
        </is>
      </c>
    </row>
    <row r="68">
      <c r="A68" t="inlineStr">
        <is>
          <t>b02cd2fe0c654310</t>
        </is>
      </c>
      <c r="B68" t="inlineStr">
        <is>
          <t>2026-08-02T17:27:52.928541Z</t>
        </is>
      </c>
      <c r="C68" t="inlineStr">
        <is>
          <t>2026-08-02T14:20:00-0400</t>
        </is>
      </c>
      <c r="D68" t="inlineStr">
        <is>
          <t>401816369</t>
        </is>
      </c>
      <c r="E68" t="inlineStr">
        <is>
          <t>MLB</t>
        </is>
      </c>
      <c r="F68" t="inlineStr">
        <is>
          <t>New York Yankees</t>
        </is>
      </c>
      <c r="G68" t="inlineStr">
        <is>
          <t>Chicago Cubs</t>
        </is>
      </c>
      <c r="H68" t="inlineStr">
        <is>
          <t>moneyline</t>
        </is>
      </c>
      <c r="I68" t="inlineStr">
        <is>
          <t>home</t>
        </is>
      </c>
      <c r="J68" t="inlineStr"/>
      <c r="K68" t="inlineStr">
        <is>
          <t>polymarket_us</t>
        </is>
      </c>
      <c r="L68" t="n">
        <v>108</v>
      </c>
      <c r="M68" t="n">
        <v>2.08</v>
      </c>
      <c r="N68" t="n">
        <v>0.480769</v>
      </c>
      <c r="O68" t="n">
        <v>0.549558</v>
      </c>
      <c r="P68" t="inlineStr"/>
      <c r="Q68" t="n">
        <v>0.068789</v>
      </c>
      <c r="R68" t="n">
        <v>56</v>
      </c>
      <c r="S68" t="n">
        <v>1</v>
      </c>
      <c r="T68" t="inlineStr">
        <is>
          <t>mlb-elo-trend-lr-v7</t>
        </is>
      </c>
      <c r="U68" t="inlineStr">
        <is>
          <t>open</t>
        </is>
      </c>
      <c r="V68" t="inlineStr"/>
      <c r="W68" t="inlineStr"/>
      <c r="X68" t="inlineStr"/>
      <c r="Y68" t="inlineStr"/>
      <c r="Z68" t="inlineStr"/>
      <c r="AA68" t="inlineStr"/>
      <c r="AB68" t="inlineStr"/>
      <c r="AC68" t="inlineStr"/>
      <c r="AD68" t="inlineStr"/>
      <c r="AE68" t="inlineStr">
        <is>
          <t>Learned LR call at threshold 0.6242; executable ask 0.4800 (aec-mlb-nyy-chc-2026-08-02); model edge vs ask +0.0696.</t>
        </is>
      </c>
      <c r="AF68" t="inlineStr">
        <is>
          <t>Learned model; shadow-qualified via operator override.</t>
        </is>
      </c>
      <c r="AG68" t="inlineStr">
        <is>
          <t>not_applicable</t>
        </is>
      </c>
      <c r="AH68" t="inlineStr"/>
      <c r="AI68" t="inlineStr"/>
      <c r="AJ68" t="inlineStr"/>
      <c r="AK68" t="inlineStr">
        <is>
          <t>model_qualified</t>
        </is>
      </c>
      <c r="AL68" t="n">
        <v>3</v>
      </c>
      <c r="AM68" t="inlineStr">
        <is>
          <t>QUALIFIED_SHADOW_CALL</t>
        </is>
      </c>
      <c r="AN68" t="inlineStr">
        <is>
          <t>CALL</t>
        </is>
      </c>
      <c r="AO68" t="inlineStr">
        <is>
          <t>QUALIFIED</t>
        </is>
      </c>
      <c r="AP68" t="inlineStr">
        <is>
          <t>mlb-nyy</t>
        </is>
      </c>
      <c r="AQ68" t="inlineStr">
        <is>
          <t>New York Yankees</t>
        </is>
      </c>
      <c r="AR68" t="inlineStr">
        <is>
          <t>New York Yankees</t>
        </is>
      </c>
      <c r="AS68" t="inlineStr">
        <is>
          <t>mlb-chc</t>
        </is>
      </c>
      <c r="AT68" t="inlineStr">
        <is>
          <t>Chicago Cubs</t>
        </is>
      </c>
      <c r="AU68" t="inlineStr">
        <is>
          <t>Chicago Cubs</t>
        </is>
      </c>
      <c r="AV68" t="inlineStr"/>
      <c r="AW68" t="inlineStr"/>
      <c r="AX68" t="inlineStr">
        <is>
          <t>statistical_model</t>
        </is>
      </c>
      <c r="AY68" t="inlineStr"/>
      <c r="AZ68" t="inlineStr">
        <is>
          <t>shadow_qualified</t>
        </is>
      </c>
      <c r="BA68" t="inlineStr">
        <is>
          <t>464eef695bfbbdaa819ec6f5e4c5bd1068ed20b92915fb2677220ae91e20d8b6</t>
        </is>
      </c>
      <c r="BB68" t="inlineStr">
        <is>
          <t>learned_lr</t>
        </is>
      </c>
      <c r="BC68" t="inlineStr">
        <is>
          <t>mlb-elo-trend-lr-v7</t>
        </is>
      </c>
      <c r="BD68" t="inlineStr">
        <is>
          <t>464eef695bfbbdaa819ec6f5e4c5bd1068ed20b92915fb2677220ae91e20d8b6</t>
        </is>
      </c>
      <c r="BE68" t="inlineStr">
        <is>
          <t>9d686f298bb896a1</t>
        </is>
      </c>
      <c r="BF68" t="n">
        <v>1</v>
      </c>
      <c r="BG68" t="inlineStr">
        <is>
          <t>mlb-elo-trend-lr-v7</t>
        </is>
      </c>
      <c r="BH68" t="inlineStr">
        <is>
          <t>2026-08-02T17:26:26.290965Z</t>
        </is>
      </c>
      <c r="BI68" t="inlineStr">
        <is>
          <t>["same_event","same_team_same_day","same_league_same_day"]</t>
        </is>
      </c>
      <c r="BJ68" t="inlineStr"/>
      <c r="BK68" t="n">
        <v>108</v>
      </c>
      <c r="BL68" t="n">
        <v>2.08</v>
      </c>
      <c r="BM68" t="n">
        <v>0.480769</v>
      </c>
      <c r="BN68" t="n">
        <v>0.477612</v>
      </c>
      <c r="BO68" t="inlineStr"/>
      <c r="BP68" t="inlineStr"/>
      <c r="BQ68" t="inlineStr"/>
      <c r="BR68" t="inlineStr"/>
      <c r="BS68" t="inlineStr"/>
      <c r="BT68" t="inlineStr"/>
      <c r="BU68" t="inlineStr"/>
      <c r="BV68" t="inlineStr"/>
      <c r="BW68" t="inlineStr"/>
      <c r="BX68" t="inlineStr"/>
      <c r="BY68" t="inlineStr"/>
      <c r="BZ68" t="inlineStr"/>
      <c r="CA68" t="inlineStr"/>
      <c r="CB68" t="inlineStr"/>
      <c r="CC68" t="n">
        <v>0.5479631024</v>
      </c>
      <c r="CD68" t="n">
        <v>0.358864</v>
      </c>
      <c r="CE68" t="n">
        <v>0.986</v>
      </c>
      <c r="CF68" t="n">
        <v>1.0075</v>
      </c>
      <c r="CG68" t="n">
        <v>-0.8</v>
      </c>
      <c r="CH68" t="inlineStr"/>
      <c r="CI68" t="inlineStr"/>
      <c r="CJ68" t="inlineStr"/>
      <c r="CK68" t="inlineStr"/>
      <c r="CL68" t="inlineStr"/>
      <c r="CM68" t="inlineStr"/>
      <c r="CN68" t="inlineStr"/>
      <c r="CO68" t="inlineStr"/>
      <c r="CP68" t="n">
        <v>0.549558</v>
      </c>
      <c r="CQ68" t="inlineStr">
        <is>
          <t>True</t>
        </is>
      </c>
    </row>
    <row r="69">
      <c r="A69" t="inlineStr">
        <is>
          <t>dbf29bdfdb514296</t>
        </is>
      </c>
      <c r="B69" t="inlineStr">
        <is>
          <t>2026-08-02T17:27:52.928541Z</t>
        </is>
      </c>
      <c r="C69" t="inlineStr">
        <is>
          <t>2026-08-02T15:10:00-0400</t>
        </is>
      </c>
      <c r="D69" t="inlineStr">
        <is>
          <t>401816371</t>
        </is>
      </c>
      <c r="E69" t="inlineStr">
        <is>
          <t>MLB</t>
        </is>
      </c>
      <c r="F69" t="inlineStr">
        <is>
          <t>Kansas City Royals</t>
        </is>
      </c>
      <c r="G69" t="inlineStr">
        <is>
          <t>Colorado Rockies</t>
        </is>
      </c>
      <c r="H69" t="inlineStr">
        <is>
          <t>moneyline</t>
        </is>
      </c>
      <c r="I69" t="inlineStr">
        <is>
          <t>away</t>
        </is>
      </c>
      <c r="J69" t="inlineStr"/>
      <c r="K69" t="inlineStr">
        <is>
          <t>polymarket_us</t>
        </is>
      </c>
      <c r="L69" t="n">
        <v>115</v>
      </c>
      <c r="M69" t="n">
        <v>2.15</v>
      </c>
      <c r="N69" t="n">
        <v>0.465116</v>
      </c>
      <c r="O69" t="n">
        <v>0.6000450000000001</v>
      </c>
      <c r="P69" t="inlineStr"/>
      <c r="Q69" t="n">
        <v>0.134929</v>
      </c>
      <c r="R69" t="n">
        <v>89</v>
      </c>
      <c r="S69" t="n">
        <v>1.25</v>
      </c>
      <c r="T69" t="inlineStr">
        <is>
          <t>mlb-elo-trend-lr-v7</t>
        </is>
      </c>
      <c r="U69" t="inlineStr">
        <is>
          <t>open</t>
        </is>
      </c>
      <c r="V69" t="inlineStr"/>
      <c r="W69" t="inlineStr"/>
      <c r="X69" t="inlineStr"/>
      <c r="Y69" t="inlineStr"/>
      <c r="Z69" t="inlineStr"/>
      <c r="AA69" t="inlineStr"/>
      <c r="AB69" t="inlineStr"/>
      <c r="AC69" t="inlineStr"/>
      <c r="AD69" t="inlineStr"/>
      <c r="AE69" t="inlineStr">
        <is>
          <t>Learned LR call at threshold 0.6242; executable ask 0.4650 (aec-mlb-kc-col-2026-08-02); model edge vs ask +0.1350.</t>
        </is>
      </c>
      <c r="AF69" t="inlineStr">
        <is>
          <t>Learned model; shadow-qualified via operator override.</t>
        </is>
      </c>
      <c r="AG69" t="inlineStr">
        <is>
          <t>not_applicable</t>
        </is>
      </c>
      <c r="AH69" t="inlineStr"/>
      <c r="AI69" t="inlineStr"/>
      <c r="AJ69" t="inlineStr"/>
      <c r="AK69" t="inlineStr">
        <is>
          <t>model_qualified</t>
        </is>
      </c>
      <c r="AL69" t="n">
        <v>3</v>
      </c>
      <c r="AM69" t="inlineStr">
        <is>
          <t>QUALIFIED_SHADOW_CALL</t>
        </is>
      </c>
      <c r="AN69" t="inlineStr">
        <is>
          <t>CALL</t>
        </is>
      </c>
      <c r="AO69" t="inlineStr">
        <is>
          <t>QUALIFIED</t>
        </is>
      </c>
      <c r="AP69" t="inlineStr">
        <is>
          <t>mlb-kc</t>
        </is>
      </c>
      <c r="AQ69" t="inlineStr">
        <is>
          <t>Kansas City Royals</t>
        </is>
      </c>
      <c r="AR69" t="inlineStr">
        <is>
          <t>Kansas City Royals</t>
        </is>
      </c>
      <c r="AS69" t="inlineStr">
        <is>
          <t>mlb-col</t>
        </is>
      </c>
      <c r="AT69" t="inlineStr">
        <is>
          <t>Colorado Rockies</t>
        </is>
      </c>
      <c r="AU69" t="inlineStr">
        <is>
          <t>Colorado Rockies</t>
        </is>
      </c>
      <c r="AV69" t="inlineStr"/>
      <c r="AW69" t="inlineStr"/>
      <c r="AX69" t="inlineStr">
        <is>
          <t>statistical_model</t>
        </is>
      </c>
      <c r="AY69" t="inlineStr"/>
      <c r="AZ69" t="inlineStr">
        <is>
          <t>shadow_qualified</t>
        </is>
      </c>
      <c r="BA69" t="inlineStr">
        <is>
          <t>464eef695bfbbdaa819ec6f5e4c5bd1068ed20b92915fb2677220ae91e20d8b6</t>
        </is>
      </c>
      <c r="BB69" t="inlineStr">
        <is>
          <t>learned_lr</t>
        </is>
      </c>
      <c r="BC69" t="inlineStr">
        <is>
          <t>mlb-elo-trend-lr-v7</t>
        </is>
      </c>
      <c r="BD69" t="inlineStr">
        <is>
          <t>464eef695bfbbdaa819ec6f5e4c5bd1068ed20b92915fb2677220ae91e20d8b6</t>
        </is>
      </c>
      <c r="BE69" t="inlineStr">
        <is>
          <t>0c0953cd7a78282a</t>
        </is>
      </c>
      <c r="BF69" t="n">
        <v>1</v>
      </c>
      <c r="BG69" t="inlineStr">
        <is>
          <t>mlb-elo-trend-lr-v7</t>
        </is>
      </c>
      <c r="BH69" t="inlineStr">
        <is>
          <t>2026-08-02T17:26:27.487624Z</t>
        </is>
      </c>
      <c r="BI69" t="inlineStr">
        <is>
          <t>["same_event","same_team_same_day","same_league_same_day"]</t>
        </is>
      </c>
      <c r="BJ69" t="inlineStr"/>
      <c r="BK69" t="n">
        <v>115</v>
      </c>
      <c r="BL69" t="n">
        <v>2.15</v>
      </c>
      <c r="BM69" t="n">
        <v>0.465116</v>
      </c>
      <c r="BN69" t="n">
        <v>0.462687</v>
      </c>
      <c r="BO69" t="inlineStr"/>
      <c r="BP69" t="inlineStr"/>
      <c r="BQ69" t="inlineStr"/>
      <c r="BR69" t="inlineStr"/>
      <c r="BS69" t="inlineStr"/>
      <c r="BT69" t="inlineStr"/>
      <c r="BU69" t="inlineStr"/>
      <c r="BV69" t="inlineStr"/>
      <c r="BW69" t="inlineStr"/>
      <c r="BX69" t="inlineStr"/>
      <c r="BY69" t="inlineStr"/>
      <c r="BZ69" t="inlineStr"/>
      <c r="CA69" t="inlineStr"/>
      <c r="CB69" t="inlineStr"/>
      <c r="CC69" t="n">
        <v>0.4463973804</v>
      </c>
      <c r="CD69" t="n">
        <v>1.55286</v>
      </c>
      <c r="CE69" t="n">
        <v>1.193</v>
      </c>
      <c r="CF69" t="n">
        <v>1.0312</v>
      </c>
      <c r="CG69" t="n">
        <v>1.4</v>
      </c>
      <c r="CH69" t="inlineStr"/>
      <c r="CI69" t="inlineStr"/>
      <c r="CJ69" t="inlineStr"/>
      <c r="CK69" t="inlineStr"/>
      <c r="CL69" t="inlineStr"/>
      <c r="CM69" t="inlineStr"/>
      <c r="CN69" t="inlineStr"/>
      <c r="CO69" t="inlineStr"/>
      <c r="CP69" t="n">
        <v>0.6000450000000001</v>
      </c>
      <c r="CQ69" t="inlineStr">
        <is>
          <t>True</t>
        </is>
      </c>
    </row>
    <row r="70">
      <c r="A70" t="inlineStr">
        <is>
          <t>8565330a7daf48e3</t>
        </is>
      </c>
      <c r="B70" t="inlineStr">
        <is>
          <t>2026-08-02T17:27:52.928541Z</t>
        </is>
      </c>
      <c r="C70" t="inlineStr">
        <is>
          <t>2026-08-02T15:15:00-0400</t>
        </is>
      </c>
      <c r="D70" t="inlineStr">
        <is>
          <t>401816374</t>
        </is>
      </c>
      <c r="E70" t="inlineStr">
        <is>
          <t>MLB</t>
        </is>
      </c>
      <c r="F70" t="inlineStr">
        <is>
          <t>Milwaukee Brewers</t>
        </is>
      </c>
      <c r="G70" t="inlineStr">
        <is>
          <t>Los Angeles Angels</t>
        </is>
      </c>
      <c r="H70" t="inlineStr">
        <is>
          <t>moneyline</t>
        </is>
      </c>
      <c r="I70" t="inlineStr">
        <is>
          <t>away</t>
        </is>
      </c>
      <c r="J70" t="inlineStr"/>
      <c r="K70" t="inlineStr">
        <is>
          <t>polymarket_us</t>
        </is>
      </c>
      <c r="L70" t="n">
        <v>-208</v>
      </c>
      <c r="M70" t="n">
        <v>1.480769</v>
      </c>
      <c r="N70" t="n">
        <v>0.675325</v>
      </c>
      <c r="O70" t="n">
        <v>0.625572</v>
      </c>
      <c r="P70" t="inlineStr"/>
      <c r="Q70" t="n">
        <v>-0.049753</v>
      </c>
      <c r="R70" t="n">
        <v>0</v>
      </c>
      <c r="S70" t="n">
        <v>1.5</v>
      </c>
      <c r="T70" t="inlineStr">
        <is>
          <t>mlb-elo-trend-lr-v7</t>
        </is>
      </c>
      <c r="U70" t="inlineStr">
        <is>
          <t>open</t>
        </is>
      </c>
      <c r="V70" t="inlineStr"/>
      <c r="W70" t="inlineStr"/>
      <c r="X70" t="inlineStr"/>
      <c r="Y70" t="inlineStr"/>
      <c r="Z70" t="inlineStr"/>
      <c r="AA70" t="inlineStr"/>
      <c r="AB70" t="inlineStr"/>
      <c r="AC70" t="inlineStr"/>
      <c r="AD70" t="inlineStr"/>
      <c r="AE70" t="inlineStr">
        <is>
          <t>Learned LR call at threshold 0.6242; executable ask 0.6750 (aec-mlb-mil-laa-2026-08-02); model edge vs ask -0.0494.</t>
        </is>
      </c>
      <c r="AF70" t="inlineStr">
        <is>
          <t>Learned model; shadow-qualified via operator override.</t>
        </is>
      </c>
      <c r="AG70" t="inlineStr">
        <is>
          <t>not_applicable</t>
        </is>
      </c>
      <c r="AH70" t="inlineStr"/>
      <c r="AI70" t="inlineStr"/>
      <c r="AJ70" t="inlineStr"/>
      <c r="AK70" t="inlineStr">
        <is>
          <t>model_qualified</t>
        </is>
      </c>
      <c r="AL70" t="n">
        <v>3</v>
      </c>
      <c r="AM70" t="inlineStr">
        <is>
          <t>QUALIFIED_SHADOW_CALL</t>
        </is>
      </c>
      <c r="AN70" t="inlineStr">
        <is>
          <t>CALL</t>
        </is>
      </c>
      <c r="AO70" t="inlineStr">
        <is>
          <t>QUALIFIED</t>
        </is>
      </c>
      <c r="AP70" t="inlineStr">
        <is>
          <t>mlb-mil</t>
        </is>
      </c>
      <c r="AQ70" t="inlineStr">
        <is>
          <t>Milwaukee Brewers</t>
        </is>
      </c>
      <c r="AR70" t="inlineStr">
        <is>
          <t>Milwaukee Brewers</t>
        </is>
      </c>
      <c r="AS70" t="inlineStr">
        <is>
          <t>mlb-laa</t>
        </is>
      </c>
      <c r="AT70" t="inlineStr">
        <is>
          <t>Los Angeles Angels</t>
        </is>
      </c>
      <c r="AU70" t="inlineStr">
        <is>
          <t>Los Angeles Angels</t>
        </is>
      </c>
      <c r="AV70" t="inlineStr"/>
      <c r="AW70" t="inlineStr"/>
      <c r="AX70" t="inlineStr">
        <is>
          <t>statistical_model</t>
        </is>
      </c>
      <c r="AY70" t="inlineStr"/>
      <c r="AZ70" t="inlineStr">
        <is>
          <t>shadow_qualified</t>
        </is>
      </c>
      <c r="BA70" t="inlineStr">
        <is>
          <t>464eef695bfbbdaa819ec6f5e4c5bd1068ed20b92915fb2677220ae91e20d8b6</t>
        </is>
      </c>
      <c r="BB70" t="inlineStr">
        <is>
          <t>learned_lr</t>
        </is>
      </c>
      <c r="BC70" t="inlineStr">
        <is>
          <t>mlb-elo-trend-lr-v7</t>
        </is>
      </c>
      <c r="BD70" t="inlineStr">
        <is>
          <t>464eef695bfbbdaa819ec6f5e4c5bd1068ed20b92915fb2677220ae91e20d8b6</t>
        </is>
      </c>
      <c r="BE70" t="inlineStr">
        <is>
          <t>ca396a4fc34ba284</t>
        </is>
      </c>
      <c r="BF70" t="n">
        <v>1</v>
      </c>
      <c r="BG70" t="inlineStr">
        <is>
          <t>mlb-elo-trend-lr-v7</t>
        </is>
      </c>
      <c r="BH70" t="inlineStr">
        <is>
          <t>2026-08-02T17:26:28.100700Z</t>
        </is>
      </c>
      <c r="BI70" t="inlineStr">
        <is>
          <t>["same_event","same_team_same_day","same_league_same_day"]</t>
        </is>
      </c>
      <c r="BJ70" t="inlineStr"/>
      <c r="BK70" t="n">
        <v>-208</v>
      </c>
      <c r="BL70" t="n">
        <v>1.480769</v>
      </c>
      <c r="BM70" t="n">
        <v>0.675325</v>
      </c>
      <c r="BN70" t="n">
        <v>0.671642</v>
      </c>
      <c r="BO70" t="inlineStr"/>
      <c r="BP70" t="inlineStr"/>
      <c r="BQ70" t="inlineStr"/>
      <c r="BR70" t="inlineStr"/>
      <c r="BS70" t="inlineStr"/>
      <c r="BT70" t="inlineStr"/>
      <c r="BU70" t="inlineStr"/>
      <c r="BV70" t="inlineStr"/>
      <c r="BW70" t="inlineStr"/>
      <c r="BX70" t="inlineStr"/>
      <c r="BY70" t="inlineStr"/>
      <c r="BZ70" t="inlineStr"/>
      <c r="CA70" t="inlineStr"/>
      <c r="CB70" t="inlineStr"/>
      <c r="CC70" t="n">
        <v>0.3268450055</v>
      </c>
      <c r="CD70" t="n">
        <v>-0.59379</v>
      </c>
      <c r="CE70" t="n">
        <v>1.01</v>
      </c>
      <c r="CF70" t="n">
        <v>1.0168</v>
      </c>
      <c r="CG70" t="n">
        <v>0.2</v>
      </c>
      <c r="CH70" t="inlineStr"/>
      <c r="CI70" t="inlineStr"/>
      <c r="CJ70" t="inlineStr"/>
      <c r="CK70" t="inlineStr"/>
      <c r="CL70" t="inlineStr"/>
      <c r="CM70" t="inlineStr"/>
      <c r="CN70" t="inlineStr"/>
      <c r="CO70" t="inlineStr"/>
      <c r="CP70" t="n">
        <v>0.625572</v>
      </c>
      <c r="CQ70" t="inlineStr">
        <is>
          <t>False</t>
        </is>
      </c>
    </row>
    <row r="71">
      <c r="A71" t="inlineStr">
        <is>
          <t>05f1352f1bcf4023</t>
        </is>
      </c>
      <c r="B71" t="inlineStr">
        <is>
          <t>2026-08-02T17:27:52.928541Z</t>
        </is>
      </c>
      <c r="C71" t="inlineStr">
        <is>
          <t>2026-08-02T16:05:00-0400</t>
        </is>
      </c>
      <c r="D71" t="inlineStr">
        <is>
          <t>401816373</t>
        </is>
      </c>
      <c r="E71" t="inlineStr">
        <is>
          <t>MLB</t>
        </is>
      </c>
      <c r="F71" t="inlineStr">
        <is>
          <t>Detroit Tigers</t>
        </is>
      </c>
      <c r="G71" t="inlineStr">
        <is>
          <t>Athletics</t>
        </is>
      </c>
      <c r="H71" t="inlineStr">
        <is>
          <t>moneyline</t>
        </is>
      </c>
      <c r="I71" t="inlineStr">
        <is>
          <t>away</t>
        </is>
      </c>
      <c r="J71" t="inlineStr"/>
      <c r="K71" t="inlineStr">
        <is>
          <t>polymarket_us</t>
        </is>
      </c>
      <c r="L71" t="n">
        <v>-113</v>
      </c>
      <c r="M71" t="n">
        <v>1.884956</v>
      </c>
      <c r="N71" t="n">
        <v>0.530516</v>
      </c>
      <c r="O71" t="n">
        <v>0.5593939999999999</v>
      </c>
      <c r="P71" t="inlineStr"/>
      <c r="Q71" t="n">
        <v>0.028878</v>
      </c>
      <c r="R71" t="n">
        <v>36</v>
      </c>
      <c r="S71" t="n">
        <v>1</v>
      </c>
      <c r="T71" t="inlineStr">
        <is>
          <t>mlb-elo-trend-lr-v7</t>
        </is>
      </c>
      <c r="U71" t="inlineStr">
        <is>
          <t>open</t>
        </is>
      </c>
      <c r="V71" t="inlineStr"/>
      <c r="W71" t="inlineStr"/>
      <c r="X71" t="inlineStr"/>
      <c r="Y71" t="inlineStr"/>
      <c r="Z71" t="inlineStr"/>
      <c r="AA71" t="inlineStr"/>
      <c r="AB71" t="inlineStr"/>
      <c r="AC71" t="inlineStr"/>
      <c r="AD71" t="inlineStr"/>
      <c r="AE71" t="inlineStr">
        <is>
          <t>Learned LR call at threshold 0.6242; executable ask 0.5300 (aec-mlb-det-ath-2026-08-02); model edge vs ask +0.0294.</t>
        </is>
      </c>
      <c r="AF71" t="inlineStr">
        <is>
          <t>Learned model; shadow-qualified via operator override.</t>
        </is>
      </c>
      <c r="AG71" t="inlineStr">
        <is>
          <t>not_applicable</t>
        </is>
      </c>
      <c r="AH71" t="inlineStr"/>
      <c r="AI71" t="inlineStr"/>
      <c r="AJ71" t="inlineStr"/>
      <c r="AK71" t="inlineStr">
        <is>
          <t>model_qualified</t>
        </is>
      </c>
      <c r="AL71" t="n">
        <v>3</v>
      </c>
      <c r="AM71" t="inlineStr">
        <is>
          <t>QUALIFIED_SHADOW_CALL</t>
        </is>
      </c>
      <c r="AN71" t="inlineStr">
        <is>
          <t>CALL</t>
        </is>
      </c>
      <c r="AO71" t="inlineStr">
        <is>
          <t>QUALIFIED</t>
        </is>
      </c>
      <c r="AP71" t="inlineStr">
        <is>
          <t>mlb-det</t>
        </is>
      </c>
      <c r="AQ71" t="inlineStr">
        <is>
          <t>Detroit Tigers</t>
        </is>
      </c>
      <c r="AR71" t="inlineStr">
        <is>
          <t>Detroit Tigers</t>
        </is>
      </c>
      <c r="AS71" t="inlineStr">
        <is>
          <t>mlb-ath</t>
        </is>
      </c>
      <c r="AT71" t="inlineStr">
        <is>
          <t>Athletics</t>
        </is>
      </c>
      <c r="AU71" t="inlineStr">
        <is>
          <t>Athletics</t>
        </is>
      </c>
      <c r="AV71" t="inlineStr"/>
      <c r="AW71" t="inlineStr"/>
      <c r="AX71" t="inlineStr">
        <is>
          <t>statistical_model</t>
        </is>
      </c>
      <c r="AY71" t="inlineStr"/>
      <c r="AZ71" t="inlineStr">
        <is>
          <t>shadow_qualified</t>
        </is>
      </c>
      <c r="BA71" t="inlineStr">
        <is>
          <t>464eef695bfbbdaa819ec6f5e4c5bd1068ed20b92915fb2677220ae91e20d8b6</t>
        </is>
      </c>
      <c r="BB71" t="inlineStr">
        <is>
          <t>learned_lr</t>
        </is>
      </c>
      <c r="BC71" t="inlineStr">
        <is>
          <t>mlb-elo-trend-lr-v7</t>
        </is>
      </c>
      <c r="BD71" t="inlineStr">
        <is>
          <t>464eef695bfbbdaa819ec6f5e4c5bd1068ed20b92915fb2677220ae91e20d8b6</t>
        </is>
      </c>
      <c r="BE71" t="inlineStr">
        <is>
          <t>23be85c1ab78fadc</t>
        </is>
      </c>
      <c r="BF71" t="n">
        <v>1</v>
      </c>
      <c r="BG71" t="inlineStr">
        <is>
          <t>mlb-elo-trend-lr-v7</t>
        </is>
      </c>
      <c r="BH71" t="inlineStr">
        <is>
          <t>2026-08-02T17:26:29.099366Z</t>
        </is>
      </c>
      <c r="BI71" t="inlineStr">
        <is>
          <t>["same_event","same_team_same_day","same_league_same_day"]</t>
        </is>
      </c>
      <c r="BJ71" t="inlineStr"/>
      <c r="BK71" t="n">
        <v>-113</v>
      </c>
      <c r="BL71" t="n">
        <v>1.884956</v>
      </c>
      <c r="BM71" t="n">
        <v>0.530516</v>
      </c>
      <c r="BN71" t="n">
        <v>0.527363</v>
      </c>
      <c r="BO71" t="inlineStr"/>
      <c r="BP71" t="inlineStr"/>
      <c r="BQ71" t="inlineStr"/>
      <c r="BR71" t="inlineStr"/>
      <c r="BS71" t="inlineStr"/>
      <c r="BT71" t="inlineStr"/>
      <c r="BU71" t="inlineStr"/>
      <c r="BV71" t="inlineStr"/>
      <c r="BW71" t="inlineStr"/>
      <c r="BX71" t="inlineStr"/>
      <c r="BY71" t="inlineStr"/>
      <c r="BZ71" t="inlineStr"/>
      <c r="CA71" t="inlineStr"/>
      <c r="CB71" t="inlineStr"/>
      <c r="CC71" t="n">
        <v>0.4182489247</v>
      </c>
      <c r="CD71" t="n">
        <v>-3.449013</v>
      </c>
      <c r="CE71" t="n">
        <v>1.153</v>
      </c>
      <c r="CF71" t="n">
        <v>1.0279</v>
      </c>
      <c r="CG71" t="n">
        <v>1</v>
      </c>
      <c r="CH71" t="inlineStr"/>
      <c r="CI71" t="inlineStr"/>
      <c r="CJ71" t="inlineStr"/>
      <c r="CK71" t="inlineStr"/>
      <c r="CL71" t="inlineStr"/>
      <c r="CM71" t="inlineStr"/>
      <c r="CN71" t="inlineStr"/>
      <c r="CO71" t="inlineStr"/>
      <c r="CP71" t="n">
        <v>0.5593939999999999</v>
      </c>
      <c r="CQ71" t="inlineStr">
        <is>
          <t>True</t>
        </is>
      </c>
    </row>
    <row r="72">
      <c r="A72" t="inlineStr">
        <is>
          <t>cd1a2c9710bd48ea</t>
        </is>
      </c>
      <c r="B72" t="inlineStr">
        <is>
          <t>2026-08-02T17:27:52.928541Z</t>
        </is>
      </c>
      <c r="C72" t="inlineStr">
        <is>
          <t>2026-08-02T16:10:00-0400</t>
        </is>
      </c>
      <c r="D72" t="inlineStr">
        <is>
          <t>401816375</t>
        </is>
      </c>
      <c r="E72" t="inlineStr">
        <is>
          <t>MLB</t>
        </is>
      </c>
      <c r="F72" t="inlineStr">
        <is>
          <t>Minnesota Twins</t>
        </is>
      </c>
      <c r="G72" t="inlineStr">
        <is>
          <t>Seattle Mariners</t>
        </is>
      </c>
      <c r="H72" t="inlineStr">
        <is>
          <t>moneyline</t>
        </is>
      </c>
      <c r="I72" t="inlineStr">
        <is>
          <t>home</t>
        </is>
      </c>
      <c r="J72" t="inlineStr"/>
      <c r="K72" t="inlineStr">
        <is>
          <t>polymarket_us</t>
        </is>
      </c>
      <c r="L72" t="n">
        <v>-127</v>
      </c>
      <c r="M72" t="n">
        <v>1.787402</v>
      </c>
      <c r="N72" t="n">
        <v>0.5594710000000001</v>
      </c>
      <c r="O72" t="n">
        <v>0.596425</v>
      </c>
      <c r="P72" t="inlineStr"/>
      <c r="Q72" t="n">
        <v>0.036954</v>
      </c>
      <c r="R72" t="n">
        <v>40</v>
      </c>
      <c r="S72" t="n">
        <v>1.25</v>
      </c>
      <c r="T72" t="inlineStr">
        <is>
          <t>mlb-elo-trend-lr-v7</t>
        </is>
      </c>
      <c r="U72" t="inlineStr">
        <is>
          <t>open</t>
        </is>
      </c>
      <c r="V72" t="inlineStr"/>
      <c r="W72" t="inlineStr"/>
      <c r="X72" t="inlineStr"/>
      <c r="Y72" t="inlineStr"/>
      <c r="Z72" t="inlineStr"/>
      <c r="AA72" t="inlineStr"/>
      <c r="AB72" t="inlineStr"/>
      <c r="AC72" t="inlineStr"/>
      <c r="AD72" t="inlineStr"/>
      <c r="AE72" t="inlineStr">
        <is>
          <t>Learned LR call at threshold 0.6242; executable ask 0.5600 (aec-mlb-min-sea-2026-08-02); model edge vs ask +0.0364.</t>
        </is>
      </c>
      <c r="AF72" t="inlineStr">
        <is>
          <t>Learned model; shadow-qualified via operator override.</t>
        </is>
      </c>
      <c r="AG72" t="inlineStr">
        <is>
          <t>not_applicable</t>
        </is>
      </c>
      <c r="AH72" t="inlineStr"/>
      <c r="AI72" t="inlineStr"/>
      <c r="AJ72" t="inlineStr"/>
      <c r="AK72" t="inlineStr">
        <is>
          <t>model_qualified</t>
        </is>
      </c>
      <c r="AL72" t="n">
        <v>3</v>
      </c>
      <c r="AM72" t="inlineStr">
        <is>
          <t>QUALIFIED_SHADOW_CALL</t>
        </is>
      </c>
      <c r="AN72" t="inlineStr">
        <is>
          <t>CALL</t>
        </is>
      </c>
      <c r="AO72" t="inlineStr">
        <is>
          <t>QUALIFIED</t>
        </is>
      </c>
      <c r="AP72" t="inlineStr">
        <is>
          <t>mlb-min</t>
        </is>
      </c>
      <c r="AQ72" t="inlineStr">
        <is>
          <t>Minnesota Twins</t>
        </is>
      </c>
      <c r="AR72" t="inlineStr">
        <is>
          <t>Minnesota Twins</t>
        </is>
      </c>
      <c r="AS72" t="inlineStr">
        <is>
          <t>mlb-sea</t>
        </is>
      </c>
      <c r="AT72" t="inlineStr">
        <is>
          <t>Seattle Mariners</t>
        </is>
      </c>
      <c r="AU72" t="inlineStr">
        <is>
          <t>Seattle Mariners</t>
        </is>
      </c>
      <c r="AV72" t="inlineStr"/>
      <c r="AW72" t="inlineStr"/>
      <c r="AX72" t="inlineStr">
        <is>
          <t>statistical_model</t>
        </is>
      </c>
      <c r="AY72" t="inlineStr"/>
      <c r="AZ72" t="inlineStr">
        <is>
          <t>shadow_qualified</t>
        </is>
      </c>
      <c r="BA72" t="inlineStr">
        <is>
          <t>464eef695bfbbdaa819ec6f5e4c5bd1068ed20b92915fb2677220ae91e20d8b6</t>
        </is>
      </c>
      <c r="BB72" t="inlineStr">
        <is>
          <t>learned_lr</t>
        </is>
      </c>
      <c r="BC72" t="inlineStr">
        <is>
          <t>mlb-elo-trend-lr-v7</t>
        </is>
      </c>
      <c r="BD72" t="inlineStr">
        <is>
          <t>464eef695bfbbdaa819ec6f5e4c5bd1068ed20b92915fb2677220ae91e20d8b6</t>
        </is>
      </c>
      <c r="BE72" t="inlineStr">
        <is>
          <t>e58bfb84888a3f7a</t>
        </is>
      </c>
      <c r="BF72" t="n">
        <v>1</v>
      </c>
      <c r="BG72" t="inlineStr">
        <is>
          <t>mlb-elo-trend-lr-v7</t>
        </is>
      </c>
      <c r="BH72" t="inlineStr">
        <is>
          <t>2026-08-02T17:26:31.009313Z</t>
        </is>
      </c>
      <c r="BI72" t="inlineStr">
        <is>
          <t>["same_event","same_team_same_day","same_league_same_day"]</t>
        </is>
      </c>
      <c r="BJ72" t="inlineStr"/>
      <c r="BK72" t="n">
        <v>-127</v>
      </c>
      <c r="BL72" t="n">
        <v>1.787402</v>
      </c>
      <c r="BM72" t="n">
        <v>0.5594710000000001</v>
      </c>
      <c r="BN72" t="n">
        <v>0.557214</v>
      </c>
      <c r="BO72" t="inlineStr"/>
      <c r="BP72" t="inlineStr"/>
      <c r="BQ72" t="inlineStr"/>
      <c r="BR72" t="inlineStr"/>
      <c r="BS72" t="inlineStr"/>
      <c r="BT72" t="inlineStr"/>
      <c r="BU72" t="inlineStr"/>
      <c r="BV72" t="inlineStr"/>
      <c r="BW72" t="inlineStr"/>
      <c r="BX72" t="inlineStr"/>
      <c r="BY72" t="inlineStr"/>
      <c r="BZ72" t="inlineStr"/>
      <c r="CA72" t="inlineStr"/>
      <c r="CB72" t="inlineStr"/>
      <c r="CC72" t="n">
        <v>0.5819178739</v>
      </c>
      <c r="CD72" t="n">
        <v>0.703281</v>
      </c>
      <c r="CE72" t="n">
        <v>0.9360000000000001</v>
      </c>
      <c r="CF72" t="n">
        <v>1</v>
      </c>
      <c r="CG72" t="n">
        <v>1.8</v>
      </c>
      <c r="CH72" t="inlineStr"/>
      <c r="CI72" t="inlineStr"/>
      <c r="CJ72" t="inlineStr"/>
      <c r="CK72" t="inlineStr"/>
      <c r="CL72" t="inlineStr"/>
      <c r="CM72" t="inlineStr"/>
      <c r="CN72" t="inlineStr"/>
      <c r="CO72" t="inlineStr"/>
      <c r="CP72" t="n">
        <v>0.596425</v>
      </c>
      <c r="CQ72" t="inlineStr">
        <is>
          <t>True</t>
        </is>
      </c>
    </row>
    <row r="73">
      <c r="A73" t="inlineStr">
        <is>
          <t>b84d85771b8946a3</t>
        </is>
      </c>
      <c r="B73" t="inlineStr">
        <is>
          <t>2026-08-02T17:27:52.928541Z</t>
        </is>
      </c>
      <c r="C73" t="inlineStr">
        <is>
          <t>2026-08-02T16:10:00-0400</t>
        </is>
      </c>
      <c r="D73" t="inlineStr">
        <is>
          <t>401816376</t>
        </is>
      </c>
      <c r="E73" t="inlineStr">
        <is>
          <t>MLB</t>
        </is>
      </c>
      <c r="F73" t="inlineStr">
        <is>
          <t>San Francisco Giants</t>
        </is>
      </c>
      <c r="G73" t="inlineStr">
        <is>
          <t>San Diego Padres</t>
        </is>
      </c>
      <c r="H73" t="inlineStr">
        <is>
          <t>moneyline</t>
        </is>
      </c>
      <c r="I73" t="inlineStr">
        <is>
          <t>home</t>
        </is>
      </c>
      <c r="J73" t="inlineStr"/>
      <c r="K73" t="inlineStr">
        <is>
          <t>polymarket_us</t>
        </is>
      </c>
      <c r="L73" t="n">
        <v>-122</v>
      </c>
      <c r="M73" t="n">
        <v>1.819672</v>
      </c>
      <c r="N73" t="n">
        <v>0.54955</v>
      </c>
      <c r="O73" t="n">
        <v>0.589154</v>
      </c>
      <c r="P73" t="inlineStr"/>
      <c r="Q73" t="n">
        <v>0.039604</v>
      </c>
      <c r="R73" t="n">
        <v>41</v>
      </c>
      <c r="S73" t="n">
        <v>1.25</v>
      </c>
      <c r="T73" t="inlineStr">
        <is>
          <t>mlb-elo-trend-lr-v7</t>
        </is>
      </c>
      <c r="U73" t="inlineStr">
        <is>
          <t>open</t>
        </is>
      </c>
      <c r="V73" t="inlineStr"/>
      <c r="W73" t="inlineStr"/>
      <c r="X73" t="inlineStr"/>
      <c r="Y73" t="inlineStr"/>
      <c r="Z73" t="inlineStr"/>
      <c r="AA73" t="inlineStr"/>
      <c r="AB73" t="inlineStr"/>
      <c r="AC73" t="inlineStr"/>
      <c r="AD73" t="inlineStr"/>
      <c r="AE73" t="inlineStr">
        <is>
          <t>Learned LR call at threshold 0.6242; executable ask 0.5500 (aec-mlb-sf-sd-2026-08-02); model edge vs ask +0.0392.</t>
        </is>
      </c>
      <c r="AF73" t="inlineStr">
        <is>
          <t>Learned model; shadow-qualified via operator override.</t>
        </is>
      </c>
      <c r="AG73" t="inlineStr">
        <is>
          <t>not_applicable</t>
        </is>
      </c>
      <c r="AH73" t="inlineStr"/>
      <c r="AI73" t="inlineStr"/>
      <c r="AJ73" t="inlineStr"/>
      <c r="AK73" t="inlineStr">
        <is>
          <t>model_qualified</t>
        </is>
      </c>
      <c r="AL73" t="n">
        <v>3</v>
      </c>
      <c r="AM73" t="inlineStr">
        <is>
          <t>QUALIFIED_SHADOW_CALL</t>
        </is>
      </c>
      <c r="AN73" t="inlineStr">
        <is>
          <t>CALL</t>
        </is>
      </c>
      <c r="AO73" t="inlineStr">
        <is>
          <t>QUALIFIED</t>
        </is>
      </c>
      <c r="AP73" t="inlineStr">
        <is>
          <t>mlb-sf</t>
        </is>
      </c>
      <c r="AQ73" t="inlineStr">
        <is>
          <t>San Francisco Giants</t>
        </is>
      </c>
      <c r="AR73" t="inlineStr">
        <is>
          <t>San Francisco Giants</t>
        </is>
      </c>
      <c r="AS73" t="inlineStr">
        <is>
          <t>mlb-sd</t>
        </is>
      </c>
      <c r="AT73" t="inlineStr">
        <is>
          <t>San Diego Padres</t>
        </is>
      </c>
      <c r="AU73" t="inlineStr">
        <is>
          <t>San Diego Padres</t>
        </is>
      </c>
      <c r="AV73" t="inlineStr"/>
      <c r="AW73" t="inlineStr"/>
      <c r="AX73" t="inlineStr">
        <is>
          <t>statistical_model</t>
        </is>
      </c>
      <c r="AY73" t="inlineStr"/>
      <c r="AZ73" t="inlineStr">
        <is>
          <t>shadow_qualified</t>
        </is>
      </c>
      <c r="BA73" t="inlineStr">
        <is>
          <t>464eef695bfbbdaa819ec6f5e4c5bd1068ed20b92915fb2677220ae91e20d8b6</t>
        </is>
      </c>
      <c r="BB73" t="inlineStr">
        <is>
          <t>learned_lr</t>
        </is>
      </c>
      <c r="BC73" t="inlineStr">
        <is>
          <t>mlb-elo-trend-lr-v7</t>
        </is>
      </c>
      <c r="BD73" t="inlineStr">
        <is>
          <t>464eef695bfbbdaa819ec6f5e4c5bd1068ed20b92915fb2677220ae91e20d8b6</t>
        </is>
      </c>
      <c r="BE73" t="inlineStr">
        <is>
          <t>be3929e3cfe65fa0</t>
        </is>
      </c>
      <c r="BF73" t="n">
        <v>1</v>
      </c>
      <c r="BG73" t="inlineStr">
        <is>
          <t>mlb-elo-trend-lr-v7</t>
        </is>
      </c>
      <c r="BH73" t="inlineStr">
        <is>
          <t>2026-08-02T17:26:30.171827Z</t>
        </is>
      </c>
      <c r="BI73" t="inlineStr">
        <is>
          <t>["same_event","same_team_same_day","same_league_same_day"]</t>
        </is>
      </c>
      <c r="BJ73" t="inlineStr"/>
      <c r="BK73" t="n">
        <v>-122</v>
      </c>
      <c r="BL73" t="n">
        <v>1.819672</v>
      </c>
      <c r="BM73" t="n">
        <v>0.54955</v>
      </c>
      <c r="BN73" t="n">
        <v>0.547264</v>
      </c>
      <c r="BO73" t="inlineStr"/>
      <c r="BP73" t="inlineStr"/>
      <c r="BQ73" t="inlineStr"/>
      <c r="BR73" t="inlineStr"/>
      <c r="BS73" t="inlineStr"/>
      <c r="BT73" t="inlineStr"/>
      <c r="BU73" t="inlineStr"/>
      <c r="BV73" t="inlineStr"/>
      <c r="BW73" t="inlineStr"/>
      <c r="BX73" t="inlineStr"/>
      <c r="BY73" t="inlineStr"/>
      <c r="BZ73" t="inlineStr"/>
      <c r="CA73" t="inlineStr"/>
      <c r="CB73" t="inlineStr"/>
      <c r="CC73" t="n">
        <v>0.5952401601</v>
      </c>
      <c r="CD73" t="n">
        <v>0.046644</v>
      </c>
      <c r="CE73" t="n">
        <v>0.945</v>
      </c>
      <c r="CF73" t="n">
        <v>1.0095</v>
      </c>
      <c r="CG73" t="n">
        <v>-1.6</v>
      </c>
      <c r="CH73" t="inlineStr"/>
      <c r="CI73" t="inlineStr"/>
      <c r="CJ73" t="inlineStr"/>
      <c r="CK73" t="inlineStr"/>
      <c r="CL73" t="inlineStr"/>
      <c r="CM73" t="inlineStr"/>
      <c r="CN73" t="inlineStr"/>
      <c r="CO73" t="inlineStr"/>
      <c r="CP73" t="n">
        <v>0.589154</v>
      </c>
      <c r="CQ73" t="inlineStr">
        <is>
          <t>True</t>
        </is>
      </c>
    </row>
    <row r="74">
      <c r="A74" t="inlineStr">
        <is>
          <t>511c60949cff42b9</t>
        </is>
      </c>
      <c r="B74" t="inlineStr">
        <is>
          <t>2026-08-02T17:27:52.928541Z</t>
        </is>
      </c>
      <c r="C74" t="inlineStr">
        <is>
          <t>2026-08-02T19:20:00-0400</t>
        </is>
      </c>
      <c r="D74" t="inlineStr">
        <is>
          <t>401816372</t>
        </is>
      </c>
      <c r="E74" t="inlineStr">
        <is>
          <t>MLB</t>
        </is>
      </c>
      <c r="F74" t="inlineStr">
        <is>
          <t>Boston Red Sox</t>
        </is>
      </c>
      <c r="G74" t="inlineStr">
        <is>
          <t>Los Angeles Dodgers</t>
        </is>
      </c>
      <c r="H74" t="inlineStr">
        <is>
          <t>moneyline</t>
        </is>
      </c>
      <c r="I74" t="inlineStr">
        <is>
          <t>home</t>
        </is>
      </c>
      <c r="J74" t="inlineStr"/>
      <c r="K74" t="inlineStr">
        <is>
          <t>polymarket_us</t>
        </is>
      </c>
      <c r="L74" t="n">
        <v>-167</v>
      </c>
      <c r="M74" t="n">
        <v>1.598802</v>
      </c>
      <c r="N74" t="n">
        <v>0.625468</v>
      </c>
      <c r="O74" t="n">
        <v>0.5594440000000001</v>
      </c>
      <c r="P74" t="inlineStr"/>
      <c r="Q74" t="n">
        <v>-0.066024</v>
      </c>
      <c r="R74" t="n">
        <v>0</v>
      </c>
      <c r="S74" t="n">
        <v>1</v>
      </c>
      <c r="T74" t="inlineStr">
        <is>
          <t>mlb-elo-trend-lr-v7</t>
        </is>
      </c>
      <c r="U74" t="inlineStr">
        <is>
          <t>open</t>
        </is>
      </c>
      <c r="V74" t="inlineStr"/>
      <c r="W74" t="inlineStr"/>
      <c r="X74" t="inlineStr"/>
      <c r="Y74" t="inlineStr"/>
      <c r="Z74" t="inlineStr"/>
      <c r="AA74" t="inlineStr"/>
      <c r="AB74" t="inlineStr"/>
      <c r="AC74" t="inlineStr"/>
      <c r="AD74" t="inlineStr"/>
      <c r="AE74" t="inlineStr">
        <is>
          <t>Learned LR call at threshold 0.6242; executable ask 0.6250 (aec-mlb-bos-lad-2026-08-02); model edge vs ask -0.0656.</t>
        </is>
      </c>
      <c r="AF74" t="inlineStr">
        <is>
          <t>Learned model; shadow-qualified via operator override.</t>
        </is>
      </c>
      <c r="AG74" t="inlineStr">
        <is>
          <t>not_applicable</t>
        </is>
      </c>
      <c r="AH74" t="inlineStr"/>
      <c r="AI74" t="inlineStr"/>
      <c r="AJ74" t="inlineStr"/>
      <c r="AK74" t="inlineStr">
        <is>
          <t>model_qualified</t>
        </is>
      </c>
      <c r="AL74" t="n">
        <v>3</v>
      </c>
      <c r="AM74" t="inlineStr">
        <is>
          <t>QUALIFIED_SHADOW_CALL</t>
        </is>
      </c>
      <c r="AN74" t="inlineStr">
        <is>
          <t>CALL</t>
        </is>
      </c>
      <c r="AO74" t="inlineStr">
        <is>
          <t>QUALIFIED</t>
        </is>
      </c>
      <c r="AP74" t="inlineStr">
        <is>
          <t>mlb-bos</t>
        </is>
      </c>
      <c r="AQ74" t="inlineStr">
        <is>
          <t>Boston Red Sox</t>
        </is>
      </c>
      <c r="AR74" t="inlineStr">
        <is>
          <t>Boston Red Sox</t>
        </is>
      </c>
      <c r="AS74" t="inlineStr">
        <is>
          <t>mlb-lad</t>
        </is>
      </c>
      <c r="AT74" t="inlineStr">
        <is>
          <t>Los Angeles Dodgers</t>
        </is>
      </c>
      <c r="AU74" t="inlineStr">
        <is>
          <t>Los Angeles Dodgers</t>
        </is>
      </c>
      <c r="AV74" t="inlineStr"/>
      <c r="AW74" t="inlineStr"/>
      <c r="AX74" t="inlineStr">
        <is>
          <t>statistical_model</t>
        </is>
      </c>
      <c r="AY74" t="inlineStr"/>
      <c r="AZ74" t="inlineStr">
        <is>
          <t>shadow_qualified</t>
        </is>
      </c>
      <c r="BA74" t="inlineStr">
        <is>
          <t>464eef695bfbbdaa819ec6f5e4c5bd1068ed20b92915fb2677220ae91e20d8b6</t>
        </is>
      </c>
      <c r="BB74" t="inlineStr">
        <is>
          <t>learned_lr</t>
        </is>
      </c>
      <c r="BC74" t="inlineStr">
        <is>
          <t>mlb-elo-trend-lr-v7</t>
        </is>
      </c>
      <c r="BD74" t="inlineStr">
        <is>
          <t>464eef695bfbbdaa819ec6f5e4c5bd1068ed20b92915fb2677220ae91e20d8b6</t>
        </is>
      </c>
      <c r="BE74" t="inlineStr">
        <is>
          <t>e66b9e523754aab2</t>
        </is>
      </c>
      <c r="BF74" t="n">
        <v>1</v>
      </c>
      <c r="BG74" t="inlineStr">
        <is>
          <t>mlb-elo-trend-lr-v7</t>
        </is>
      </c>
      <c r="BH74" t="inlineStr">
        <is>
          <t>2026-08-02T17:26:32.139048Z</t>
        </is>
      </c>
      <c r="BI74" t="inlineStr">
        <is>
          <t>["same_event","same_team_same_day","same_league_same_day"]</t>
        </is>
      </c>
      <c r="BJ74" t="inlineStr"/>
      <c r="BK74" t="n">
        <v>-167</v>
      </c>
      <c r="BL74" t="n">
        <v>1.598802</v>
      </c>
      <c r="BM74" t="n">
        <v>0.625468</v>
      </c>
      <c r="BN74" t="n">
        <v>0.621891</v>
      </c>
      <c r="BO74" t="inlineStr"/>
      <c r="BP74" t="inlineStr"/>
      <c r="BQ74" t="inlineStr"/>
      <c r="BR74" t="inlineStr"/>
      <c r="BS74" t="inlineStr"/>
      <c r="BT74" t="inlineStr"/>
      <c r="BU74" t="inlineStr"/>
      <c r="BV74" t="inlineStr"/>
      <c r="BW74" t="inlineStr"/>
      <c r="BX74" t="inlineStr"/>
      <c r="BY74" t="inlineStr"/>
      <c r="BZ74" t="inlineStr"/>
      <c r="CA74" t="inlineStr"/>
      <c r="CB74" t="inlineStr"/>
      <c r="CC74" t="n">
        <v>0.5465616607</v>
      </c>
      <c r="CD74" t="n">
        <v>-0.812713</v>
      </c>
      <c r="CE74" t="n">
        <v>1.026</v>
      </c>
      <c r="CF74" t="n">
        <v>1.016</v>
      </c>
      <c r="CG74" t="n">
        <v>2.6</v>
      </c>
      <c r="CH74" t="inlineStr"/>
      <c r="CI74" t="inlineStr"/>
      <c r="CJ74" t="inlineStr"/>
      <c r="CK74" t="inlineStr"/>
      <c r="CL74" t="inlineStr"/>
      <c r="CM74" t="inlineStr"/>
      <c r="CN74" t="inlineStr"/>
      <c r="CO74" t="inlineStr"/>
      <c r="CP74" t="n">
        <v>0.5594440000000001</v>
      </c>
      <c r="CQ74" t="inlineStr">
        <is>
          <t>False</t>
        </is>
      </c>
    </row>
    <row r="75">
      <c r="A75" t="inlineStr">
        <is>
          <t>c740af404ec64599</t>
        </is>
      </c>
      <c r="B75" t="inlineStr">
        <is>
          <t>2026-08-02T17:28:55.256054Z</t>
        </is>
      </c>
      <c r="C75" t="inlineStr">
        <is>
          <t>2026-08-02T17:35Z</t>
        </is>
      </c>
      <c r="D75" t="inlineStr">
        <is>
          <t>401816365</t>
        </is>
      </c>
      <c r="E75" t="inlineStr">
        <is>
          <t>MLB</t>
        </is>
      </c>
      <c r="F75" t="inlineStr">
        <is>
          <t>Philadelphia Phillies</t>
        </is>
      </c>
      <c r="G75" t="inlineStr">
        <is>
          <t>Baltimore Orioles</t>
        </is>
      </c>
      <c r="H75" t="inlineStr">
        <is>
          <t>spread</t>
        </is>
      </c>
      <c r="I75" t="inlineStr">
        <is>
          <t>home</t>
        </is>
      </c>
      <c r="J75" t="n">
        <v>1.5</v>
      </c>
      <c r="K75" t="inlineStr">
        <is>
          <t>polymarket_us</t>
        </is>
      </c>
      <c r="L75" t="n">
        <v>-130</v>
      </c>
      <c r="M75" t="n">
        <v>1.769231</v>
      </c>
      <c r="N75" t="n">
        <v>0.565217</v>
      </c>
      <c r="O75" t="n">
        <v>0.614868</v>
      </c>
      <c r="P75" t="n">
        <v>0.042131</v>
      </c>
      <c r="Q75" t="n">
        <v>0.049651</v>
      </c>
      <c r="R75" t="n">
        <v>51</v>
      </c>
      <c r="S75" t="n">
        <v>1.5</v>
      </c>
      <c r="T75" t="inlineStr">
        <is>
          <t>measured-edge-margin-v2</t>
        </is>
      </c>
      <c r="U75" t="inlineStr">
        <is>
          <t>open</t>
        </is>
      </c>
      <c r="V75" t="inlineStr"/>
      <c r="W75" t="inlineStr"/>
      <c r="X75" t="inlineStr"/>
      <c r="Y75" t="inlineStr"/>
      <c r="Z75" t="inlineStr"/>
      <c r="AA75" t="inlineStr"/>
      <c r="AB75" t="inlineStr"/>
      <c r="AC75" t="inlineStr"/>
      <c r="AD75" t="inlineStr"/>
      <c r="AE75" t="inlineStr">
        <is>
          <t>Measured Edge Margin: Trend Engine projected 4.52-4.52; raw selected-side p=0.6750, calibrated p=0.6149.</t>
        </is>
      </c>
      <c r="AF75" t="inlineStr">
        <is>
          <t>Research-only; lineup, bullpen, park, weather, xFIP, and wRC+ may be neutral fallbacks; market availability and BBO depth may change before first pitch.</t>
        </is>
      </c>
      <c r="AG75" t="inlineStr">
        <is>
          <t>not_applicable</t>
        </is>
      </c>
      <c r="AH75" t="inlineStr"/>
      <c r="AI75" t="inlineStr"/>
      <c r="AJ75" t="inlineStr"/>
      <c r="AK75" t="inlineStr">
        <is>
          <t>model_qualified</t>
        </is>
      </c>
      <c r="AL75" t="n">
        <v>3</v>
      </c>
      <c r="AM75" t="inlineStr">
        <is>
          <t>QUALIFIED_SHADOW_CALL</t>
        </is>
      </c>
      <c r="AN75" t="inlineStr">
        <is>
          <t>CALL</t>
        </is>
      </c>
      <c r="AO75" t="inlineStr">
        <is>
          <t>QUALIFIED</t>
        </is>
      </c>
      <c r="AP75" t="inlineStr">
        <is>
          <t>mlb-phi</t>
        </is>
      </c>
      <c r="AQ75" t="inlineStr">
        <is>
          <t>Philadelphia Phillies</t>
        </is>
      </c>
      <c r="AR75" t="inlineStr">
        <is>
          <t>Philadelphia Phillies</t>
        </is>
      </c>
      <c r="AS75" t="inlineStr">
        <is>
          <t>mlb-bal</t>
        </is>
      </c>
      <c r="AT75" t="inlineStr">
        <is>
          <t>Baltimore Orioles</t>
        </is>
      </c>
      <c r="AU75" t="inlineStr">
        <is>
          <t>Baltimore Orioles</t>
        </is>
      </c>
      <c r="AV75" t="inlineStr"/>
      <c r="AW75" t="inlineStr"/>
      <c r="AX75" t="inlineStr">
        <is>
          <t>statistical_model</t>
        </is>
      </c>
      <c r="AY75" t="inlineStr"/>
      <c r="AZ75" t="inlineStr">
        <is>
          <t>research</t>
        </is>
      </c>
      <c r="BA75" t="inlineStr">
        <is>
          <t>8360b122264b796b0fb193095cfe4506c7e064e5f3f8c0a659aec41efd08dd25</t>
        </is>
      </c>
      <c r="BB75" t="inlineStr">
        <is>
          <t>flat_probability_shrinkage_toward_half</t>
        </is>
      </c>
      <c r="BC75" t="inlineStr">
        <is>
          <t>measured-edge-margin-v2</t>
        </is>
      </c>
      <c r="BD75" t="inlineStr">
        <is>
          <t>8360b122264b796b0fb193095cfe4506c7e064e5f3f8c0a659aec41efd08dd25</t>
        </is>
      </c>
      <c r="BE75" t="inlineStr">
        <is>
          <t>v3</t>
        </is>
      </c>
      <c r="BF75" t="n">
        <v>1</v>
      </c>
      <c r="BG75" t="inlineStr">
        <is>
          <t>measured-edge-paired-v1</t>
        </is>
      </c>
      <c r="BH75" t="inlineStr">
        <is>
          <t>2026-08-02T17:28:55.256054Z</t>
        </is>
      </c>
      <c r="BI75" t="inlineStr">
        <is>
          <t>["same_event","same_team_same_day","same_league_same_day"]</t>
        </is>
      </c>
      <c r="BJ75" t="n">
        <v>1.5</v>
      </c>
      <c r="BK75" t="n">
        <v>-130</v>
      </c>
      <c r="BL75" t="n">
        <v>1.769231</v>
      </c>
      <c r="BM75" t="n">
        <v>0.565217</v>
      </c>
      <c r="BN75" t="n">
        <v>0.562189</v>
      </c>
      <c r="BO75" t="inlineStr"/>
      <c r="BP75" t="inlineStr"/>
      <c r="BQ75" t="inlineStr"/>
      <c r="BR75" t="inlineStr"/>
      <c r="BS75" t="inlineStr"/>
      <c r="BT75" t="inlineStr"/>
      <c r="BU75" t="inlineStr"/>
      <c r="BV75" t="inlineStr"/>
      <c r="BW75" t="inlineStr"/>
      <c r="BX75" t="inlineStr"/>
      <c r="BY75" t="inlineStr"/>
      <c r="BZ75" t="inlineStr"/>
      <c r="CA75" t="inlineStr"/>
      <c r="CB75" t="inlineStr"/>
      <c r="CC75" t="inlineStr"/>
      <c r="CD75" t="inlineStr"/>
      <c r="CE75" t="inlineStr"/>
      <c r="CF75" t="inlineStr"/>
      <c r="CG75" t="inlineStr"/>
      <c r="CH75" t="inlineStr"/>
      <c r="CI75" t="inlineStr"/>
      <c r="CJ75" t="inlineStr"/>
      <c r="CK75" t="inlineStr"/>
      <c r="CL75" t="inlineStr"/>
      <c r="CM75" t="inlineStr"/>
      <c r="CN75" t="inlineStr"/>
      <c r="CO75" t="inlineStr"/>
      <c r="CP75" t="inlineStr"/>
      <c r="CQ75" t="inlineStr">
        <is>
          <t>True</t>
        </is>
      </c>
    </row>
    <row r="76">
      <c r="A76" t="inlineStr">
        <is>
          <t>c9e690e0dd8f4f19</t>
        </is>
      </c>
      <c r="B76" t="inlineStr">
        <is>
          <t>2026-08-02T17:28:55.256054Z</t>
        </is>
      </c>
      <c r="C76" t="inlineStr">
        <is>
          <t>2026-08-02T17:35Z</t>
        </is>
      </c>
      <c r="D76" t="inlineStr">
        <is>
          <t>401816365</t>
        </is>
      </c>
      <c r="E76" t="inlineStr">
        <is>
          <t>MLB</t>
        </is>
      </c>
      <c r="F76" t="inlineStr">
        <is>
          <t>Philadelphia Phillies</t>
        </is>
      </c>
      <c r="G76" t="inlineStr">
        <is>
          <t>Baltimore Orioles</t>
        </is>
      </c>
      <c r="H76" t="inlineStr">
        <is>
          <t>total</t>
        </is>
      </c>
      <c r="I76" t="inlineStr">
        <is>
          <t>over</t>
        </is>
      </c>
      <c r="J76" t="n">
        <v>8.5</v>
      </c>
      <c r="K76" t="inlineStr">
        <is>
          <t>polymarket_us</t>
        </is>
      </c>
      <c r="L76" t="n">
        <v>113</v>
      </c>
      <c r="M76" t="n">
        <v>2.13</v>
      </c>
      <c r="N76" t="n">
        <v>0.469484</v>
      </c>
      <c r="O76" t="n">
        <v>0.515126</v>
      </c>
      <c r="P76" t="n">
        <v>0.042131</v>
      </c>
      <c r="Q76" t="n">
        <v>0.045642</v>
      </c>
      <c r="R76" t="n">
        <v>48</v>
      </c>
      <c r="S76" t="n">
        <v>1</v>
      </c>
      <c r="T76" t="inlineStr">
        <is>
          <t>measured-edge-totals-v2</t>
        </is>
      </c>
      <c r="U76" t="inlineStr">
        <is>
          <t>open</t>
        </is>
      </c>
      <c r="V76" t="inlineStr"/>
      <c r="W76" t="inlineStr"/>
      <c r="X76" t="inlineStr"/>
      <c r="Y76" t="inlineStr"/>
      <c r="Z76" t="inlineStr"/>
      <c r="AA76" t="inlineStr"/>
      <c r="AB76" t="inlineStr"/>
      <c r="AC76" t="inlineStr"/>
      <c r="AD76" t="inlineStr"/>
      <c r="AE76" t="inlineStr">
        <is>
          <t>Measured Edge Totals: Trend Engine projected 4.52-4.52; raw selected-side p=0.5210, calibrated p=0.5151.</t>
        </is>
      </c>
      <c r="AF76" t="inlineStr">
        <is>
          <t>Research-only; lineup, bullpen, park, weather, xFIP, and wRC+ may be neutral fallbacks; market availability and BBO depth may change before first pitch.</t>
        </is>
      </c>
      <c r="AG76" t="inlineStr">
        <is>
          <t>not_applicable</t>
        </is>
      </c>
      <c r="AH76" t="inlineStr"/>
      <c r="AI76" t="inlineStr"/>
      <c r="AJ76" t="inlineStr"/>
      <c r="AK76" t="inlineStr">
        <is>
          <t>model_qualified</t>
        </is>
      </c>
      <c r="AL76" t="n">
        <v>3</v>
      </c>
      <c r="AM76" t="inlineStr">
        <is>
          <t>QUALIFIED_SHADOW_CALL</t>
        </is>
      </c>
      <c r="AN76" t="inlineStr">
        <is>
          <t>CALL</t>
        </is>
      </c>
      <c r="AO76" t="inlineStr">
        <is>
          <t>QUALIFIED</t>
        </is>
      </c>
      <c r="AP76" t="inlineStr">
        <is>
          <t>mlb-phi</t>
        </is>
      </c>
      <c r="AQ76" t="inlineStr">
        <is>
          <t>Philadelphia Phillies</t>
        </is>
      </c>
      <c r="AR76" t="inlineStr">
        <is>
          <t>Philadelphia Phillies</t>
        </is>
      </c>
      <c r="AS76" t="inlineStr">
        <is>
          <t>mlb-bal</t>
        </is>
      </c>
      <c r="AT76" t="inlineStr">
        <is>
          <t>Baltimore Orioles</t>
        </is>
      </c>
      <c r="AU76" t="inlineStr">
        <is>
          <t>Baltimore Orioles</t>
        </is>
      </c>
      <c r="AV76" t="inlineStr"/>
      <c r="AW76" t="inlineStr"/>
      <c r="AX76" t="inlineStr">
        <is>
          <t>statistical_model</t>
        </is>
      </c>
      <c r="AY76" t="inlineStr"/>
      <c r="AZ76" t="inlineStr">
        <is>
          <t>research</t>
        </is>
      </c>
      <c r="BA76" t="inlineStr">
        <is>
          <t>433578016242b27f9c1c7132cc6b5a2bcc7dd1b0234590c12a944455a88e71bd</t>
        </is>
      </c>
      <c r="BB76" t="inlineStr">
        <is>
          <t>flat_probability_shrinkage_toward_half</t>
        </is>
      </c>
      <c r="BC76" t="inlineStr">
        <is>
          <t>measured-edge-totals-v2</t>
        </is>
      </c>
      <c r="BD76" t="inlineStr">
        <is>
          <t>433578016242b27f9c1c7132cc6b5a2bcc7dd1b0234590c12a944455a88e71bd</t>
        </is>
      </c>
      <c r="BE76" t="inlineStr">
        <is>
          <t>v3</t>
        </is>
      </c>
      <c r="BF76" t="n">
        <v>1</v>
      </c>
      <c r="BG76" t="inlineStr">
        <is>
          <t>measured-edge-paired-v1</t>
        </is>
      </c>
      <c r="BH76" t="inlineStr">
        <is>
          <t>2026-08-02T17:28:55.256054Z</t>
        </is>
      </c>
      <c r="BI76" t="inlineStr">
        <is>
          <t>["same_event","same_team_same_day","same_league_same_day"]</t>
        </is>
      </c>
      <c r="BJ76" t="n">
        <v>8.5</v>
      </c>
      <c r="BK76" t="n">
        <v>113</v>
      </c>
      <c r="BL76" t="n">
        <v>2.13</v>
      </c>
      <c r="BM76" t="n">
        <v>0.469484</v>
      </c>
      <c r="BN76" t="n">
        <v>0.467662</v>
      </c>
      <c r="BO76" t="inlineStr"/>
      <c r="BP76" t="inlineStr"/>
      <c r="BQ76" t="inlineStr"/>
      <c r="BR76" t="inlineStr"/>
      <c r="BS76" t="inlineStr"/>
      <c r="BT76" t="inlineStr"/>
      <c r="BU76" t="inlineStr"/>
      <c r="BV76" t="inlineStr"/>
      <c r="BW76" t="inlineStr"/>
      <c r="BX76" t="inlineStr"/>
      <c r="BY76" t="inlineStr"/>
      <c r="BZ76" t="inlineStr"/>
      <c r="CA76" t="inlineStr"/>
      <c r="CB76" t="inlineStr"/>
      <c r="CC76" t="inlineStr"/>
      <c r="CD76" t="inlineStr"/>
      <c r="CE76" t="inlineStr"/>
      <c r="CF76" t="inlineStr"/>
      <c r="CG76" t="inlineStr"/>
      <c r="CH76" t="inlineStr"/>
      <c r="CI76" t="inlineStr"/>
      <c r="CJ76" t="inlineStr"/>
      <c r="CK76" t="inlineStr"/>
      <c r="CL76" t="inlineStr"/>
      <c r="CM76" t="inlineStr"/>
      <c r="CN76" t="inlineStr"/>
      <c r="CO76" t="inlineStr"/>
      <c r="CP76" t="inlineStr"/>
      <c r="CQ76" t="inlineStr">
        <is>
          <t>True</t>
        </is>
      </c>
    </row>
    <row r="77">
      <c r="A77" t="inlineStr">
        <is>
          <t>1164132b25cf4b39</t>
        </is>
      </c>
      <c r="B77" t="inlineStr">
        <is>
          <t>2026-08-02T17:28:55.256054Z</t>
        </is>
      </c>
      <c r="C77" t="inlineStr">
        <is>
          <t>2026-08-02T17:35Z</t>
        </is>
      </c>
      <c r="D77" t="inlineStr">
        <is>
          <t>401816368</t>
        </is>
      </c>
      <c r="E77" t="inlineStr">
        <is>
          <t>MLB</t>
        </is>
      </c>
      <c r="F77" t="inlineStr">
        <is>
          <t>Washington Nationals</t>
        </is>
      </c>
      <c r="G77" t="inlineStr">
        <is>
          <t>Atlanta Braves</t>
        </is>
      </c>
      <c r="H77" t="inlineStr">
        <is>
          <t>spread</t>
        </is>
      </c>
      <c r="I77" t="inlineStr">
        <is>
          <t>away</t>
        </is>
      </c>
      <c r="J77" t="n">
        <v>1.5</v>
      </c>
      <c r="K77" t="inlineStr">
        <is>
          <t>polymarket_us</t>
        </is>
      </c>
      <c r="L77" t="n">
        <v>-178</v>
      </c>
      <c r="M77" t="n">
        <v>1.561798</v>
      </c>
      <c r="N77" t="n">
        <v>0.640288</v>
      </c>
      <c r="O77" t="n">
        <v>0.612965</v>
      </c>
      <c r="P77" t="n">
        <v>0.042131</v>
      </c>
      <c r="Q77" t="n">
        <v>-0.027323</v>
      </c>
      <c r="R77" t="n">
        <v>13</v>
      </c>
      <c r="S77" t="n">
        <v>1.5</v>
      </c>
      <c r="T77" t="inlineStr">
        <is>
          <t>measured-edge-margin-v2</t>
        </is>
      </c>
      <c r="U77" t="inlineStr">
        <is>
          <t>open</t>
        </is>
      </c>
      <c r="V77" t="inlineStr"/>
      <c r="W77" t="inlineStr"/>
      <c r="X77" t="inlineStr"/>
      <c r="Y77" t="inlineStr"/>
      <c r="Z77" t="inlineStr"/>
      <c r="AA77" t="inlineStr"/>
      <c r="AB77" t="inlineStr"/>
      <c r="AC77" t="inlineStr"/>
      <c r="AD77" t="inlineStr"/>
      <c r="AE77" t="inlineStr">
        <is>
          <t>Measured Edge Margin: Trend Engine projected 4.45-4.46; raw selected-side p=0.6721, calibrated p=0.6130.</t>
        </is>
      </c>
      <c r="AF77" t="inlineStr">
        <is>
          <t>Research-only; lineup, bullpen, park, weather, xFIP, and wRC+ may be neutral fallbacks; market availability and BBO depth may change before first pitch.</t>
        </is>
      </c>
      <c r="AG77" t="inlineStr">
        <is>
          <t>not_applicable</t>
        </is>
      </c>
      <c r="AH77" t="inlineStr"/>
      <c r="AI77" t="inlineStr"/>
      <c r="AJ77" t="inlineStr"/>
      <c r="AK77" t="inlineStr">
        <is>
          <t>model_qualified</t>
        </is>
      </c>
      <c r="AL77" t="n">
        <v>3</v>
      </c>
      <c r="AM77" t="inlineStr">
        <is>
          <t>QUALIFIED_SHADOW_CALL</t>
        </is>
      </c>
      <c r="AN77" t="inlineStr">
        <is>
          <t>CALL</t>
        </is>
      </c>
      <c r="AO77" t="inlineStr">
        <is>
          <t>QUALIFIED</t>
        </is>
      </c>
      <c r="AP77" t="inlineStr">
        <is>
          <t>mlb-wsh</t>
        </is>
      </c>
      <c r="AQ77" t="inlineStr">
        <is>
          <t>Washington Nationals</t>
        </is>
      </c>
      <c r="AR77" t="inlineStr">
        <is>
          <t>Washington Nationals</t>
        </is>
      </c>
      <c r="AS77" t="inlineStr">
        <is>
          <t>mlb-atl</t>
        </is>
      </c>
      <c r="AT77" t="inlineStr">
        <is>
          <t>Atlanta Braves</t>
        </is>
      </c>
      <c r="AU77" t="inlineStr">
        <is>
          <t>Atlanta Braves</t>
        </is>
      </c>
      <c r="AV77" t="inlineStr"/>
      <c r="AW77" t="inlineStr"/>
      <c r="AX77" t="inlineStr">
        <is>
          <t>statistical_model</t>
        </is>
      </c>
      <c r="AY77" t="inlineStr"/>
      <c r="AZ77" t="inlineStr">
        <is>
          <t>research</t>
        </is>
      </c>
      <c r="BA77" t="inlineStr">
        <is>
          <t>8360b122264b796b0fb193095cfe4506c7e064e5f3f8c0a659aec41efd08dd25</t>
        </is>
      </c>
      <c r="BB77" t="inlineStr">
        <is>
          <t>flat_probability_shrinkage_toward_half</t>
        </is>
      </c>
      <c r="BC77" t="inlineStr">
        <is>
          <t>measured-edge-margin-v2</t>
        </is>
      </c>
      <c r="BD77" t="inlineStr">
        <is>
          <t>8360b122264b796b0fb193095cfe4506c7e064e5f3f8c0a659aec41efd08dd25</t>
        </is>
      </c>
      <c r="BE77" t="inlineStr">
        <is>
          <t>v3</t>
        </is>
      </c>
      <c r="BF77" t="n">
        <v>1</v>
      </c>
      <c r="BG77" t="inlineStr">
        <is>
          <t>measured-edge-paired-v1</t>
        </is>
      </c>
      <c r="BH77" t="inlineStr">
        <is>
          <t>2026-08-02T17:28:55.256054Z</t>
        </is>
      </c>
      <c r="BI77" t="inlineStr">
        <is>
          <t>["same_event","same_team_same_day","same_league_same_day"]</t>
        </is>
      </c>
      <c r="BJ77" t="n">
        <v>1.5</v>
      </c>
      <c r="BK77" t="n">
        <v>-178</v>
      </c>
      <c r="BL77" t="n">
        <v>1.561798</v>
      </c>
      <c r="BM77" t="n">
        <v>0.640288</v>
      </c>
      <c r="BN77" t="n">
        <v>0.636816</v>
      </c>
      <c r="BO77" t="inlineStr"/>
      <c r="BP77" t="inlineStr"/>
      <c r="BQ77" t="inlineStr"/>
      <c r="BR77" t="inlineStr"/>
      <c r="BS77" t="inlineStr"/>
      <c r="BT77" t="inlineStr"/>
      <c r="BU77" t="inlineStr"/>
      <c r="BV77" t="inlineStr"/>
      <c r="BW77" t="inlineStr"/>
      <c r="BX77" t="inlineStr"/>
      <c r="BY77" t="inlineStr"/>
      <c r="BZ77" t="inlineStr"/>
      <c r="CA77" t="inlineStr"/>
      <c r="CB77" t="inlineStr"/>
      <c r="CC77" t="inlineStr"/>
      <c r="CD77" t="inlineStr"/>
      <c r="CE77" t="inlineStr"/>
      <c r="CF77" t="inlineStr"/>
      <c r="CG77" t="inlineStr"/>
      <c r="CH77" t="inlineStr"/>
      <c r="CI77" t="inlineStr"/>
      <c r="CJ77" t="inlineStr"/>
      <c r="CK77" t="inlineStr"/>
      <c r="CL77" t="inlineStr"/>
      <c r="CM77" t="inlineStr"/>
      <c r="CN77" t="inlineStr"/>
      <c r="CO77" t="inlineStr"/>
      <c r="CP77" t="inlineStr"/>
      <c r="CQ77" t="inlineStr">
        <is>
          <t>False</t>
        </is>
      </c>
    </row>
    <row r="78">
      <c r="A78" t="inlineStr">
        <is>
          <t>ac5cb612d538407f</t>
        </is>
      </c>
      <c r="B78" t="inlineStr">
        <is>
          <t>2026-08-02T17:28:55.256054Z</t>
        </is>
      </c>
      <c r="C78" t="inlineStr">
        <is>
          <t>2026-08-02T17:35Z</t>
        </is>
      </c>
      <c r="D78" t="inlineStr">
        <is>
          <t>401816368</t>
        </is>
      </c>
      <c r="E78" t="inlineStr">
        <is>
          <t>MLB</t>
        </is>
      </c>
      <c r="F78" t="inlineStr">
        <is>
          <t>Washington Nationals</t>
        </is>
      </c>
      <c r="G78" t="inlineStr">
        <is>
          <t>Atlanta Braves</t>
        </is>
      </c>
      <c r="H78" t="inlineStr">
        <is>
          <t>total</t>
        </is>
      </c>
      <c r="I78" t="inlineStr">
        <is>
          <t>over</t>
        </is>
      </c>
      <c r="J78" t="n">
        <v>8.5</v>
      </c>
      <c r="K78" t="inlineStr">
        <is>
          <t>polymarket_us</t>
        </is>
      </c>
      <c r="L78" t="n">
        <v>-122</v>
      </c>
      <c r="M78" t="n">
        <v>1.819672</v>
      </c>
      <c r="N78" t="n">
        <v>0.54955</v>
      </c>
      <c r="O78" t="n">
        <v>0.510393</v>
      </c>
      <c r="P78" t="n">
        <v>0.042131</v>
      </c>
      <c r="Q78" t="n">
        <v>-0.039157</v>
      </c>
      <c r="R78" t="n">
        <v>6</v>
      </c>
      <c r="S78" t="n">
        <v>1</v>
      </c>
      <c r="T78" t="inlineStr">
        <is>
          <t>measured-edge-totals-v2</t>
        </is>
      </c>
      <c r="U78" t="inlineStr">
        <is>
          <t>open</t>
        </is>
      </c>
      <c r="V78" t="inlineStr"/>
      <c r="W78" t="inlineStr"/>
      <c r="X78" t="inlineStr"/>
      <c r="Y78" t="inlineStr"/>
      <c r="Z78" t="inlineStr"/>
      <c r="AA78" t="inlineStr"/>
      <c r="AB78" t="inlineStr"/>
      <c r="AC78" t="inlineStr"/>
      <c r="AD78" t="inlineStr"/>
      <c r="AE78" t="inlineStr">
        <is>
          <t>Measured Edge Totals: Trend Engine projected 4.45-4.46; raw selected-side p=0.5071, calibrated p=0.5104.</t>
        </is>
      </c>
      <c r="AF78" t="inlineStr">
        <is>
          <t>Research-only; lineup, bullpen, park, weather, xFIP, and wRC+ may be neutral fallbacks; market availability and BBO depth may change before first pitch.</t>
        </is>
      </c>
      <c r="AG78" t="inlineStr">
        <is>
          <t>not_applicable</t>
        </is>
      </c>
      <c r="AH78" t="inlineStr"/>
      <c r="AI78" t="inlineStr"/>
      <c r="AJ78" t="inlineStr"/>
      <c r="AK78" t="inlineStr">
        <is>
          <t>model_qualified</t>
        </is>
      </c>
      <c r="AL78" t="n">
        <v>3</v>
      </c>
      <c r="AM78" t="inlineStr">
        <is>
          <t>QUALIFIED_SHADOW_CALL</t>
        </is>
      </c>
      <c r="AN78" t="inlineStr">
        <is>
          <t>CALL</t>
        </is>
      </c>
      <c r="AO78" t="inlineStr">
        <is>
          <t>QUALIFIED</t>
        </is>
      </c>
      <c r="AP78" t="inlineStr">
        <is>
          <t>mlb-wsh</t>
        </is>
      </c>
      <c r="AQ78" t="inlineStr">
        <is>
          <t>Washington Nationals</t>
        </is>
      </c>
      <c r="AR78" t="inlineStr">
        <is>
          <t>Washington Nationals</t>
        </is>
      </c>
      <c r="AS78" t="inlineStr">
        <is>
          <t>mlb-atl</t>
        </is>
      </c>
      <c r="AT78" t="inlineStr">
        <is>
          <t>Atlanta Braves</t>
        </is>
      </c>
      <c r="AU78" t="inlineStr">
        <is>
          <t>Atlanta Braves</t>
        </is>
      </c>
      <c r="AV78" t="inlineStr"/>
      <c r="AW78" t="inlineStr"/>
      <c r="AX78" t="inlineStr">
        <is>
          <t>statistical_model</t>
        </is>
      </c>
      <c r="AY78" t="inlineStr"/>
      <c r="AZ78" t="inlineStr">
        <is>
          <t>research</t>
        </is>
      </c>
      <c r="BA78" t="inlineStr">
        <is>
          <t>433578016242b27f9c1c7132cc6b5a2bcc7dd1b0234590c12a944455a88e71bd</t>
        </is>
      </c>
      <c r="BB78" t="inlineStr">
        <is>
          <t>flat_probability_shrinkage_toward_half</t>
        </is>
      </c>
      <c r="BC78" t="inlineStr">
        <is>
          <t>measured-edge-totals-v2</t>
        </is>
      </c>
      <c r="BD78" t="inlineStr">
        <is>
          <t>433578016242b27f9c1c7132cc6b5a2bcc7dd1b0234590c12a944455a88e71bd</t>
        </is>
      </c>
      <c r="BE78" t="inlineStr">
        <is>
          <t>v3</t>
        </is>
      </c>
      <c r="BF78" t="n">
        <v>1</v>
      </c>
      <c r="BG78" t="inlineStr">
        <is>
          <t>measured-edge-paired-v1</t>
        </is>
      </c>
      <c r="BH78" t="inlineStr">
        <is>
          <t>2026-08-02T17:28:55.256054Z</t>
        </is>
      </c>
      <c r="BI78" t="inlineStr">
        <is>
          <t>["same_event","same_team_same_day","same_league_same_day"]</t>
        </is>
      </c>
      <c r="BJ78" t="n">
        <v>8.5</v>
      </c>
      <c r="BK78" t="n">
        <v>-122</v>
      </c>
      <c r="BL78" t="n">
        <v>1.819672</v>
      </c>
      <c r="BM78" t="n">
        <v>0.54955</v>
      </c>
      <c r="BN78" t="n">
        <v>0.547264</v>
      </c>
      <c r="BO78" t="inlineStr"/>
      <c r="BP78" t="inlineStr"/>
      <c r="BQ78" t="inlineStr"/>
      <c r="BR78" t="inlineStr"/>
      <c r="BS78" t="inlineStr"/>
      <c r="BT78" t="inlineStr"/>
      <c r="BU78" t="inlineStr"/>
      <c r="BV78" t="inlineStr"/>
      <c r="BW78" t="inlineStr"/>
      <c r="BX78" t="inlineStr"/>
      <c r="BY78" t="inlineStr"/>
      <c r="BZ78" t="inlineStr"/>
      <c r="CA78" t="inlineStr"/>
      <c r="CB78" t="inlineStr"/>
      <c r="CC78" t="inlineStr"/>
      <c r="CD78" t="inlineStr"/>
      <c r="CE78" t="inlineStr"/>
      <c r="CF78" t="inlineStr"/>
      <c r="CG78" t="inlineStr"/>
      <c r="CH78" t="inlineStr"/>
      <c r="CI78" t="inlineStr"/>
      <c r="CJ78" t="inlineStr"/>
      <c r="CK78" t="inlineStr"/>
      <c r="CL78" t="inlineStr"/>
      <c r="CM78" t="inlineStr"/>
      <c r="CN78" t="inlineStr"/>
      <c r="CO78" t="inlineStr"/>
      <c r="CP78" t="inlineStr"/>
      <c r="CQ78" t="inlineStr">
        <is>
          <t>False</t>
        </is>
      </c>
    </row>
    <row r="79">
      <c r="A79" t="inlineStr">
        <is>
          <t>67caed1263934524</t>
        </is>
      </c>
      <c r="B79" t="inlineStr">
        <is>
          <t>2026-08-02T17:28:55.256054Z</t>
        </is>
      </c>
      <c r="C79" t="inlineStr">
        <is>
          <t>2026-08-02T17:37Z</t>
        </is>
      </c>
      <c r="D79" t="inlineStr">
        <is>
          <t>401816367</t>
        </is>
      </c>
      <c r="E79" t="inlineStr">
        <is>
          <t>MLB</t>
        </is>
      </c>
      <c r="F79" t="inlineStr">
        <is>
          <t>St. Louis Cardinals</t>
        </is>
      </c>
      <c r="G79" t="inlineStr">
        <is>
          <t>Toronto Blue Jays</t>
        </is>
      </c>
      <c r="H79" t="inlineStr">
        <is>
          <t>spread</t>
        </is>
      </c>
      <c r="I79" t="inlineStr">
        <is>
          <t>away</t>
        </is>
      </c>
      <c r="J79" t="n">
        <v>1.5</v>
      </c>
      <c r="K79" t="inlineStr">
        <is>
          <t>polymarket_us</t>
        </is>
      </c>
      <c r="L79" t="n">
        <v>-174</v>
      </c>
      <c r="M79" t="n">
        <v>1.574713</v>
      </c>
      <c r="N79" t="n">
        <v>0.635036</v>
      </c>
      <c r="O79" t="n">
        <v>0.6256930000000001</v>
      </c>
      <c r="P79" t="n">
        <v>0.05172</v>
      </c>
      <c r="Q79" t="n">
        <v>-0.009343000000000001</v>
      </c>
      <c r="R79" t="n">
        <v>16</v>
      </c>
      <c r="S79" t="n">
        <v>1.5</v>
      </c>
      <c r="T79" t="inlineStr">
        <is>
          <t>measured-edge-margin-v2</t>
        </is>
      </c>
      <c r="U79" t="inlineStr">
        <is>
          <t>open</t>
        </is>
      </c>
      <c r="V79" t="inlineStr"/>
      <c r="W79" t="inlineStr"/>
      <c r="X79" t="inlineStr"/>
      <c r="Y79" t="inlineStr"/>
      <c r="Z79" t="inlineStr"/>
      <c r="AA79" t="inlineStr"/>
      <c r="AB79" t="inlineStr"/>
      <c r="AC79" t="inlineStr"/>
      <c r="AD79" t="inlineStr"/>
      <c r="AE79" t="inlineStr">
        <is>
          <t>Measured Edge Margin: Trend Engine projected 5.24-4.85; raw selected-side p=0.6915, calibrated p=0.6257.</t>
        </is>
      </c>
      <c r="AF79" t="inlineStr">
        <is>
          <t>Research-only; lineup, bullpen, park, weather, xFIP, and wRC+ may be neutral fallbacks; market availability and BBO depth may change before first pitch.</t>
        </is>
      </c>
      <c r="AG79" t="inlineStr">
        <is>
          <t>not_applicable</t>
        </is>
      </c>
      <c r="AH79" t="inlineStr"/>
      <c r="AI79" t="inlineStr"/>
      <c r="AJ79" t="inlineStr"/>
      <c r="AK79" t="inlineStr">
        <is>
          <t>model_qualified</t>
        </is>
      </c>
      <c r="AL79" t="n">
        <v>3</v>
      </c>
      <c r="AM79" t="inlineStr">
        <is>
          <t>QUALIFIED_SHADOW_CALL</t>
        </is>
      </c>
      <c r="AN79" t="inlineStr">
        <is>
          <t>CALL</t>
        </is>
      </c>
      <c r="AO79" t="inlineStr">
        <is>
          <t>QUALIFIED</t>
        </is>
      </c>
      <c r="AP79" t="inlineStr">
        <is>
          <t>mlb-stl</t>
        </is>
      </c>
      <c r="AQ79" t="inlineStr">
        <is>
          <t>St. Louis Cardinals</t>
        </is>
      </c>
      <c r="AR79" t="inlineStr">
        <is>
          <t>St. Louis Cardinals</t>
        </is>
      </c>
      <c r="AS79" t="inlineStr">
        <is>
          <t>mlb-tor</t>
        </is>
      </c>
      <c r="AT79" t="inlineStr">
        <is>
          <t>Toronto Blue Jays</t>
        </is>
      </c>
      <c r="AU79" t="inlineStr">
        <is>
          <t>Toronto Blue Jays</t>
        </is>
      </c>
      <c r="AV79" t="inlineStr"/>
      <c r="AW79" t="inlineStr"/>
      <c r="AX79" t="inlineStr">
        <is>
          <t>statistical_model</t>
        </is>
      </c>
      <c r="AY79" t="inlineStr"/>
      <c r="AZ79" t="inlineStr">
        <is>
          <t>research</t>
        </is>
      </c>
      <c r="BA79" t="inlineStr">
        <is>
          <t>8360b122264b796b0fb193095cfe4506c7e064e5f3f8c0a659aec41efd08dd25</t>
        </is>
      </c>
      <c r="BB79" t="inlineStr">
        <is>
          <t>flat_probability_shrinkage_toward_half</t>
        </is>
      </c>
      <c r="BC79" t="inlineStr">
        <is>
          <t>measured-edge-margin-v2</t>
        </is>
      </c>
      <c r="BD79" t="inlineStr">
        <is>
          <t>8360b122264b796b0fb193095cfe4506c7e064e5f3f8c0a659aec41efd08dd25</t>
        </is>
      </c>
      <c r="BE79" t="inlineStr">
        <is>
          <t>v3</t>
        </is>
      </c>
      <c r="BF79" t="n">
        <v>1</v>
      </c>
      <c r="BG79" t="inlineStr">
        <is>
          <t>measured-edge-paired-v1</t>
        </is>
      </c>
      <c r="BH79" t="inlineStr">
        <is>
          <t>2026-08-02T17:28:55.256054Z</t>
        </is>
      </c>
      <c r="BI79" t="inlineStr">
        <is>
          <t>["same_event","same_team_same_day","same_league_same_day"]</t>
        </is>
      </c>
      <c r="BJ79" t="n">
        <v>1.5</v>
      </c>
      <c r="BK79" t="n">
        <v>-174</v>
      </c>
      <c r="BL79" t="n">
        <v>1.574713</v>
      </c>
      <c r="BM79" t="n">
        <v>0.635036</v>
      </c>
      <c r="BN79" t="n">
        <v>0.631841</v>
      </c>
      <c r="BO79" t="inlineStr"/>
      <c r="BP79" t="inlineStr"/>
      <c r="BQ79" t="inlineStr"/>
      <c r="BR79" t="inlineStr"/>
      <c r="BS79" t="inlineStr"/>
      <c r="BT79" t="inlineStr"/>
      <c r="BU79" t="inlineStr"/>
      <c r="BV79" t="inlineStr"/>
      <c r="BW79" t="inlineStr"/>
      <c r="BX79" t="inlineStr"/>
      <c r="BY79" t="inlineStr"/>
      <c r="BZ79" t="inlineStr"/>
      <c r="CA79" t="inlineStr"/>
      <c r="CB79" t="inlineStr"/>
      <c r="CC79" t="inlineStr"/>
      <c r="CD79" t="inlineStr"/>
      <c r="CE79" t="inlineStr"/>
      <c r="CF79" t="inlineStr"/>
      <c r="CG79" t="inlineStr"/>
      <c r="CH79" t="inlineStr"/>
      <c r="CI79" t="inlineStr"/>
      <c r="CJ79" t="inlineStr"/>
      <c r="CK79" t="inlineStr"/>
      <c r="CL79" t="inlineStr"/>
      <c r="CM79" t="inlineStr"/>
      <c r="CN79" t="inlineStr"/>
      <c r="CO79" t="inlineStr"/>
      <c r="CP79" t="inlineStr"/>
      <c r="CQ79" t="inlineStr">
        <is>
          <t>False</t>
        </is>
      </c>
    </row>
    <row r="80">
      <c r="A80" t="inlineStr">
        <is>
          <t>21e6aacbcab447e9</t>
        </is>
      </c>
      <c r="B80" t="inlineStr">
        <is>
          <t>2026-08-02T17:28:55.256054Z</t>
        </is>
      </c>
      <c r="C80" t="inlineStr">
        <is>
          <t>2026-08-02T17:37Z</t>
        </is>
      </c>
      <c r="D80" t="inlineStr">
        <is>
          <t>401816367</t>
        </is>
      </c>
      <c r="E80" t="inlineStr">
        <is>
          <t>MLB</t>
        </is>
      </c>
      <c r="F80" t="inlineStr">
        <is>
          <t>St. Louis Cardinals</t>
        </is>
      </c>
      <c r="G80" t="inlineStr">
        <is>
          <t>Toronto Blue Jays</t>
        </is>
      </c>
      <c r="H80" t="inlineStr">
        <is>
          <t>total</t>
        </is>
      </c>
      <c r="I80" t="inlineStr">
        <is>
          <t>over</t>
        </is>
      </c>
      <c r="J80" t="n">
        <v>8.5</v>
      </c>
      <c r="K80" t="inlineStr">
        <is>
          <t>polymarket_us</t>
        </is>
      </c>
      <c r="L80" t="n">
        <v>-106</v>
      </c>
      <c r="M80" t="n">
        <v>1.943396</v>
      </c>
      <c r="N80" t="n">
        <v>0.514563</v>
      </c>
      <c r="O80" t="n">
        <v>0.5447340000000001</v>
      </c>
      <c r="P80" t="n">
        <v>0.05172</v>
      </c>
      <c r="Q80" t="n">
        <v>0.030171</v>
      </c>
      <c r="R80" t="n">
        <v>35</v>
      </c>
      <c r="S80" t="n">
        <v>1</v>
      </c>
      <c r="T80" t="inlineStr">
        <is>
          <t>measured-edge-totals-v2</t>
        </is>
      </c>
      <c r="U80" t="inlineStr">
        <is>
          <t>open</t>
        </is>
      </c>
      <c r="V80" t="inlineStr"/>
      <c r="W80" t="inlineStr"/>
      <c r="X80" t="inlineStr"/>
      <c r="Y80" t="inlineStr"/>
      <c r="Z80" t="inlineStr"/>
      <c r="AA80" t="inlineStr"/>
      <c r="AB80" t="inlineStr"/>
      <c r="AC80" t="inlineStr"/>
      <c r="AD80" t="inlineStr"/>
      <c r="AE80" t="inlineStr">
        <is>
          <t>Measured Edge Totals: Trend Engine projected 5.24-4.85; raw selected-side p=0.6077, calibrated p=0.5447.</t>
        </is>
      </c>
      <c r="AF80" t="inlineStr">
        <is>
          <t>Research-only; lineup, bullpen, park, weather, xFIP, and wRC+ may be neutral fallbacks; market availability and BBO depth may change before first pitch.</t>
        </is>
      </c>
      <c r="AG80" t="inlineStr">
        <is>
          <t>not_applicable</t>
        </is>
      </c>
      <c r="AH80" t="inlineStr"/>
      <c r="AI80" t="inlineStr"/>
      <c r="AJ80" t="inlineStr"/>
      <c r="AK80" t="inlineStr">
        <is>
          <t>model_qualified</t>
        </is>
      </c>
      <c r="AL80" t="n">
        <v>3</v>
      </c>
      <c r="AM80" t="inlineStr">
        <is>
          <t>QUALIFIED_SHADOW_CALL</t>
        </is>
      </c>
      <c r="AN80" t="inlineStr">
        <is>
          <t>CALL</t>
        </is>
      </c>
      <c r="AO80" t="inlineStr">
        <is>
          <t>QUALIFIED</t>
        </is>
      </c>
      <c r="AP80" t="inlineStr">
        <is>
          <t>mlb-stl</t>
        </is>
      </c>
      <c r="AQ80" t="inlineStr">
        <is>
          <t>St. Louis Cardinals</t>
        </is>
      </c>
      <c r="AR80" t="inlineStr">
        <is>
          <t>St. Louis Cardinals</t>
        </is>
      </c>
      <c r="AS80" t="inlineStr">
        <is>
          <t>mlb-tor</t>
        </is>
      </c>
      <c r="AT80" t="inlineStr">
        <is>
          <t>Toronto Blue Jays</t>
        </is>
      </c>
      <c r="AU80" t="inlineStr">
        <is>
          <t>Toronto Blue Jays</t>
        </is>
      </c>
      <c r="AV80" t="inlineStr"/>
      <c r="AW80" t="inlineStr"/>
      <c r="AX80" t="inlineStr">
        <is>
          <t>statistical_model</t>
        </is>
      </c>
      <c r="AY80" t="inlineStr"/>
      <c r="AZ80" t="inlineStr">
        <is>
          <t>research</t>
        </is>
      </c>
      <c r="BA80" t="inlineStr">
        <is>
          <t>433578016242b27f9c1c7132cc6b5a2bcc7dd1b0234590c12a944455a88e71bd</t>
        </is>
      </c>
      <c r="BB80" t="inlineStr">
        <is>
          <t>flat_probability_shrinkage_toward_half</t>
        </is>
      </c>
      <c r="BC80" t="inlineStr">
        <is>
          <t>measured-edge-totals-v2</t>
        </is>
      </c>
      <c r="BD80" t="inlineStr">
        <is>
          <t>433578016242b27f9c1c7132cc6b5a2bcc7dd1b0234590c12a944455a88e71bd</t>
        </is>
      </c>
      <c r="BE80" t="inlineStr">
        <is>
          <t>v3</t>
        </is>
      </c>
      <c r="BF80" t="n">
        <v>1</v>
      </c>
      <c r="BG80" t="inlineStr">
        <is>
          <t>measured-edge-paired-v1</t>
        </is>
      </c>
      <c r="BH80" t="inlineStr">
        <is>
          <t>2026-08-02T17:28:55.256054Z</t>
        </is>
      </c>
      <c r="BI80" t="inlineStr">
        <is>
          <t>["same_event","same_team_same_day","same_league_same_day"]</t>
        </is>
      </c>
      <c r="BJ80" t="n">
        <v>8.5</v>
      </c>
      <c r="BK80" t="n">
        <v>-106</v>
      </c>
      <c r="BL80" t="n">
        <v>1.943396</v>
      </c>
      <c r="BM80" t="n">
        <v>0.514563</v>
      </c>
      <c r="BN80" t="n">
        <v>0.5124379999999999</v>
      </c>
      <c r="BO80" t="inlineStr"/>
      <c r="BP80" t="inlineStr"/>
      <c r="BQ80" t="inlineStr"/>
      <c r="BR80" t="inlineStr"/>
      <c r="BS80" t="inlineStr"/>
      <c r="BT80" t="inlineStr"/>
      <c r="BU80" t="inlineStr"/>
      <c r="BV80" t="inlineStr"/>
      <c r="BW80" t="inlineStr"/>
      <c r="BX80" t="inlineStr"/>
      <c r="BY80" t="inlineStr"/>
      <c r="BZ80" t="inlineStr"/>
      <c r="CA80" t="inlineStr"/>
      <c r="CB80" t="inlineStr"/>
      <c r="CC80" t="inlineStr"/>
      <c r="CD80" t="inlineStr"/>
      <c r="CE80" t="inlineStr"/>
      <c r="CF80" t="inlineStr"/>
      <c r="CG80" t="inlineStr"/>
      <c r="CH80" t="inlineStr"/>
      <c r="CI80" t="inlineStr"/>
      <c r="CJ80" t="inlineStr"/>
      <c r="CK80" t="inlineStr"/>
      <c r="CL80" t="inlineStr"/>
      <c r="CM80" t="inlineStr"/>
      <c r="CN80" t="inlineStr"/>
      <c r="CO80" t="inlineStr"/>
      <c r="CP80" t="inlineStr"/>
      <c r="CQ80" t="inlineStr">
        <is>
          <t>True</t>
        </is>
      </c>
    </row>
    <row r="81">
      <c r="A81" t="inlineStr">
        <is>
          <t>3f52f6b944ca48af</t>
        </is>
      </c>
      <c r="B81" t="inlineStr">
        <is>
          <t>2026-08-02T17:28:55.256054Z</t>
        </is>
      </c>
      <c r="C81" t="inlineStr">
        <is>
          <t>2026-08-02T17:40Z</t>
        </is>
      </c>
      <c r="D81" t="inlineStr">
        <is>
          <t>401816362</t>
        </is>
      </c>
      <c r="E81" t="inlineStr">
        <is>
          <t>MLB</t>
        </is>
      </c>
      <c r="F81" t="inlineStr">
        <is>
          <t>Arizona Diamondbacks</t>
        </is>
      </c>
      <c r="G81" t="inlineStr">
        <is>
          <t>Cleveland Guardians</t>
        </is>
      </c>
      <c r="H81" t="inlineStr">
        <is>
          <t>spread</t>
        </is>
      </c>
      <c r="I81" t="inlineStr">
        <is>
          <t>away</t>
        </is>
      </c>
      <c r="J81" t="n">
        <v>1.5</v>
      </c>
      <c r="K81" t="inlineStr">
        <is>
          <t>polymarket_us</t>
        </is>
      </c>
      <c r="L81" t="n">
        <v>-133</v>
      </c>
      <c r="M81" t="n">
        <v>1.75188</v>
      </c>
      <c r="N81" t="n">
        <v>0.570815</v>
      </c>
      <c r="O81" t="n">
        <v>0.60227</v>
      </c>
      <c r="P81" t="n">
        <v>0.042131</v>
      </c>
      <c r="Q81" t="n">
        <v>0.031455</v>
      </c>
      <c r="R81" t="n">
        <v>42</v>
      </c>
      <c r="S81" t="n">
        <v>1.5</v>
      </c>
      <c r="T81" t="inlineStr">
        <is>
          <t>measured-edge-margin-v2</t>
        </is>
      </c>
      <c r="U81" t="inlineStr">
        <is>
          <t>open</t>
        </is>
      </c>
      <c r="V81" t="inlineStr"/>
      <c r="W81" t="inlineStr"/>
      <c r="X81" t="inlineStr"/>
      <c r="Y81" t="inlineStr"/>
      <c r="Z81" t="inlineStr"/>
      <c r="AA81" t="inlineStr"/>
      <c r="AB81" t="inlineStr"/>
      <c r="AC81" t="inlineStr"/>
      <c r="AD81" t="inlineStr"/>
      <c r="AE81" t="inlineStr">
        <is>
          <t>Measured Edge Margin: Trend Engine projected 4.39-4.52; raw selected-side p=0.6558, calibrated p=0.6023.</t>
        </is>
      </c>
      <c r="AF81" t="inlineStr">
        <is>
          <t>Research-only; lineup, bullpen, park, weather, xFIP, and wRC+ may be neutral fallbacks; market availability and BBO depth may change before first pitch.</t>
        </is>
      </c>
      <c r="AG81" t="inlineStr">
        <is>
          <t>not_applicable</t>
        </is>
      </c>
      <c r="AH81" t="inlineStr"/>
      <c r="AI81" t="inlineStr"/>
      <c r="AJ81" t="inlineStr"/>
      <c r="AK81" t="inlineStr">
        <is>
          <t>model_qualified</t>
        </is>
      </c>
      <c r="AL81" t="n">
        <v>3</v>
      </c>
      <c r="AM81" t="inlineStr">
        <is>
          <t>QUALIFIED_SHADOW_CALL</t>
        </is>
      </c>
      <c r="AN81" t="inlineStr">
        <is>
          <t>CALL</t>
        </is>
      </c>
      <c r="AO81" t="inlineStr">
        <is>
          <t>QUALIFIED</t>
        </is>
      </c>
      <c r="AP81" t="inlineStr">
        <is>
          <t>mlb-ari</t>
        </is>
      </c>
      <c r="AQ81" t="inlineStr">
        <is>
          <t>Arizona Diamondbacks</t>
        </is>
      </c>
      <c r="AR81" t="inlineStr">
        <is>
          <t>Arizona Diamondbacks</t>
        </is>
      </c>
      <c r="AS81" t="inlineStr">
        <is>
          <t>mlb-cle</t>
        </is>
      </c>
      <c r="AT81" t="inlineStr">
        <is>
          <t>Cleveland Guardians</t>
        </is>
      </c>
      <c r="AU81" t="inlineStr">
        <is>
          <t>Cleveland Guardians</t>
        </is>
      </c>
      <c r="AV81" t="inlineStr"/>
      <c r="AW81" t="inlineStr"/>
      <c r="AX81" t="inlineStr">
        <is>
          <t>statistical_model</t>
        </is>
      </c>
      <c r="AY81" t="inlineStr"/>
      <c r="AZ81" t="inlineStr">
        <is>
          <t>research</t>
        </is>
      </c>
      <c r="BA81" t="inlineStr">
        <is>
          <t>8360b122264b796b0fb193095cfe4506c7e064e5f3f8c0a659aec41efd08dd25</t>
        </is>
      </c>
      <c r="BB81" t="inlineStr">
        <is>
          <t>flat_probability_shrinkage_toward_half</t>
        </is>
      </c>
      <c r="BC81" t="inlineStr">
        <is>
          <t>measured-edge-margin-v2</t>
        </is>
      </c>
      <c r="BD81" t="inlineStr">
        <is>
          <t>8360b122264b796b0fb193095cfe4506c7e064e5f3f8c0a659aec41efd08dd25</t>
        </is>
      </c>
      <c r="BE81" t="inlineStr">
        <is>
          <t>v3</t>
        </is>
      </c>
      <c r="BF81" t="n">
        <v>1</v>
      </c>
      <c r="BG81" t="inlineStr">
        <is>
          <t>measured-edge-paired-v1</t>
        </is>
      </c>
      <c r="BH81" t="inlineStr">
        <is>
          <t>2026-08-02T17:28:55.256054Z</t>
        </is>
      </c>
      <c r="BI81" t="inlineStr">
        <is>
          <t>["same_event","same_team_same_day","same_league_same_day"]</t>
        </is>
      </c>
      <c r="BJ81" t="n">
        <v>1.5</v>
      </c>
      <c r="BK81" t="n">
        <v>-133</v>
      </c>
      <c r="BL81" t="n">
        <v>1.75188</v>
      </c>
      <c r="BM81" t="n">
        <v>0.570815</v>
      </c>
      <c r="BN81" t="n">
        <v>0.567164</v>
      </c>
      <c r="BO81" t="inlineStr"/>
      <c r="BP81" t="inlineStr"/>
      <c r="BQ81" t="inlineStr"/>
      <c r="BR81" t="inlineStr"/>
      <c r="BS81" t="inlineStr"/>
      <c r="BT81" t="inlineStr"/>
      <c r="BU81" t="inlineStr"/>
      <c r="BV81" t="inlineStr"/>
      <c r="BW81" t="inlineStr"/>
      <c r="BX81" t="inlineStr"/>
      <c r="BY81" t="inlineStr"/>
      <c r="BZ81" t="inlineStr"/>
      <c r="CA81" t="inlineStr"/>
      <c r="CB81" t="inlineStr"/>
      <c r="CC81" t="inlineStr"/>
      <c r="CD81" t="inlineStr"/>
      <c r="CE81" t="inlineStr"/>
      <c r="CF81" t="inlineStr"/>
      <c r="CG81" t="inlineStr"/>
      <c r="CH81" t="inlineStr"/>
      <c r="CI81" t="inlineStr"/>
      <c r="CJ81" t="inlineStr"/>
      <c r="CK81" t="inlineStr"/>
      <c r="CL81" t="inlineStr"/>
      <c r="CM81" t="inlineStr"/>
      <c r="CN81" t="inlineStr"/>
      <c r="CO81" t="inlineStr"/>
      <c r="CP81" t="inlineStr"/>
      <c r="CQ81" t="inlineStr">
        <is>
          <t>True</t>
        </is>
      </c>
    </row>
    <row r="82">
      <c r="A82" t="inlineStr">
        <is>
          <t>b2f118d40591404a</t>
        </is>
      </c>
      <c r="B82" t="inlineStr">
        <is>
          <t>2026-08-02T17:28:55.256054Z</t>
        </is>
      </c>
      <c r="C82" t="inlineStr">
        <is>
          <t>2026-08-02T17:40Z</t>
        </is>
      </c>
      <c r="D82" t="inlineStr">
        <is>
          <t>401816362</t>
        </is>
      </c>
      <c r="E82" t="inlineStr">
        <is>
          <t>MLB</t>
        </is>
      </c>
      <c r="F82" t="inlineStr">
        <is>
          <t>Arizona Diamondbacks</t>
        </is>
      </c>
      <c r="G82" t="inlineStr">
        <is>
          <t>Cleveland Guardians</t>
        </is>
      </c>
      <c r="H82" t="inlineStr">
        <is>
          <t>total</t>
        </is>
      </c>
      <c r="I82" t="inlineStr">
        <is>
          <t>over</t>
        </is>
      </c>
      <c r="J82" t="n">
        <v>7.5</v>
      </c>
      <c r="K82" t="inlineStr">
        <is>
          <t>polymarket_us</t>
        </is>
      </c>
      <c r="L82" t="n">
        <v>-108</v>
      </c>
      <c r="M82" t="n">
        <v>1.925926</v>
      </c>
      <c r="N82" t="n">
        <v>0.519231</v>
      </c>
      <c r="O82" t="n">
        <v>0.53573</v>
      </c>
      <c r="P82" t="n">
        <v>0.042131</v>
      </c>
      <c r="Q82" t="n">
        <v>0.016499</v>
      </c>
      <c r="R82" t="n">
        <v>34</v>
      </c>
      <c r="S82" t="n">
        <v>1</v>
      </c>
      <c r="T82" t="inlineStr">
        <is>
          <t>measured-edge-totals-v2</t>
        </is>
      </c>
      <c r="U82" t="inlineStr">
        <is>
          <t>open</t>
        </is>
      </c>
      <c r="V82" t="inlineStr"/>
      <c r="W82" t="inlineStr"/>
      <c r="X82" t="inlineStr"/>
      <c r="Y82" t="inlineStr"/>
      <c r="Z82" t="inlineStr"/>
      <c r="AA82" t="inlineStr"/>
      <c r="AB82" t="inlineStr"/>
      <c r="AC82" t="inlineStr"/>
      <c r="AD82" t="inlineStr"/>
      <c r="AE82" t="inlineStr">
        <is>
          <t>Measured Edge Totals: Trend Engine projected 4.39-4.52; raw selected-side p=0.5813, calibrated p=0.5357.</t>
        </is>
      </c>
      <c r="AF82" t="inlineStr">
        <is>
          <t>Research-only; lineup, bullpen, park, weather, xFIP, and wRC+ may be neutral fallbacks; market availability and BBO depth may change before first pitch.</t>
        </is>
      </c>
      <c r="AG82" t="inlineStr">
        <is>
          <t>not_applicable</t>
        </is>
      </c>
      <c r="AH82" t="inlineStr"/>
      <c r="AI82" t="inlineStr"/>
      <c r="AJ82" t="inlineStr"/>
      <c r="AK82" t="inlineStr">
        <is>
          <t>model_qualified</t>
        </is>
      </c>
      <c r="AL82" t="n">
        <v>3</v>
      </c>
      <c r="AM82" t="inlineStr">
        <is>
          <t>QUALIFIED_SHADOW_CALL</t>
        </is>
      </c>
      <c r="AN82" t="inlineStr">
        <is>
          <t>CALL</t>
        </is>
      </c>
      <c r="AO82" t="inlineStr">
        <is>
          <t>QUALIFIED</t>
        </is>
      </c>
      <c r="AP82" t="inlineStr">
        <is>
          <t>mlb-ari</t>
        </is>
      </c>
      <c r="AQ82" t="inlineStr">
        <is>
          <t>Arizona Diamondbacks</t>
        </is>
      </c>
      <c r="AR82" t="inlineStr">
        <is>
          <t>Arizona Diamondbacks</t>
        </is>
      </c>
      <c r="AS82" t="inlineStr">
        <is>
          <t>mlb-cle</t>
        </is>
      </c>
      <c r="AT82" t="inlineStr">
        <is>
          <t>Cleveland Guardians</t>
        </is>
      </c>
      <c r="AU82" t="inlineStr">
        <is>
          <t>Cleveland Guardians</t>
        </is>
      </c>
      <c r="AV82" t="inlineStr"/>
      <c r="AW82" t="inlineStr"/>
      <c r="AX82" t="inlineStr">
        <is>
          <t>statistical_model</t>
        </is>
      </c>
      <c r="AY82" t="inlineStr"/>
      <c r="AZ82" t="inlineStr">
        <is>
          <t>research</t>
        </is>
      </c>
      <c r="BA82" t="inlineStr">
        <is>
          <t>433578016242b27f9c1c7132cc6b5a2bcc7dd1b0234590c12a944455a88e71bd</t>
        </is>
      </c>
      <c r="BB82" t="inlineStr">
        <is>
          <t>flat_probability_shrinkage_toward_half</t>
        </is>
      </c>
      <c r="BC82" t="inlineStr">
        <is>
          <t>measured-edge-totals-v2</t>
        </is>
      </c>
      <c r="BD82" t="inlineStr">
        <is>
          <t>433578016242b27f9c1c7132cc6b5a2bcc7dd1b0234590c12a944455a88e71bd</t>
        </is>
      </c>
      <c r="BE82" t="inlineStr">
        <is>
          <t>v3</t>
        </is>
      </c>
      <c r="BF82" t="n">
        <v>1</v>
      </c>
      <c r="BG82" t="inlineStr">
        <is>
          <t>measured-edge-paired-v1</t>
        </is>
      </c>
      <c r="BH82" t="inlineStr">
        <is>
          <t>2026-08-02T17:28:55.256054Z</t>
        </is>
      </c>
      <c r="BI82" t="inlineStr">
        <is>
          <t>["same_event","same_team_same_day","same_league_same_day"]</t>
        </is>
      </c>
      <c r="BJ82" t="n">
        <v>7.5</v>
      </c>
      <c r="BK82" t="n">
        <v>-108</v>
      </c>
      <c r="BL82" t="n">
        <v>1.925926</v>
      </c>
      <c r="BM82" t="n">
        <v>0.519231</v>
      </c>
      <c r="BN82" t="n">
        <v>0.517413</v>
      </c>
      <c r="BO82" t="inlineStr"/>
      <c r="BP82" t="inlineStr"/>
      <c r="BQ82" t="inlineStr"/>
      <c r="BR82" t="inlineStr"/>
      <c r="BS82" t="inlineStr"/>
      <c r="BT82" t="inlineStr"/>
      <c r="BU82" t="inlineStr"/>
      <c r="BV82" t="inlineStr"/>
      <c r="BW82" t="inlineStr"/>
      <c r="BX82" t="inlineStr"/>
      <c r="BY82" t="inlineStr"/>
      <c r="BZ82" t="inlineStr"/>
      <c r="CA82" t="inlineStr"/>
      <c r="CB82" t="inlineStr"/>
      <c r="CC82" t="inlineStr"/>
      <c r="CD82" t="inlineStr"/>
      <c r="CE82" t="inlineStr"/>
      <c r="CF82" t="inlineStr"/>
      <c r="CG82" t="inlineStr"/>
      <c r="CH82" t="inlineStr"/>
      <c r="CI82" t="inlineStr"/>
      <c r="CJ82" t="inlineStr"/>
      <c r="CK82" t="inlineStr"/>
      <c r="CL82" t="inlineStr"/>
      <c r="CM82" t="inlineStr"/>
      <c r="CN82" t="inlineStr"/>
      <c r="CO82" t="inlineStr"/>
      <c r="CP82" t="inlineStr"/>
      <c r="CQ82" t="inlineStr">
        <is>
          <t>True</t>
        </is>
      </c>
    </row>
    <row r="83">
      <c r="A83" t="inlineStr">
        <is>
          <t>5ca47684674349f5</t>
        </is>
      </c>
      <c r="B83" t="inlineStr">
        <is>
          <t>2026-08-02T17:28:55.256054Z</t>
        </is>
      </c>
      <c r="C83" t="inlineStr">
        <is>
          <t>2026-08-02T17:40Z</t>
        </is>
      </c>
      <c r="D83" t="inlineStr">
        <is>
          <t>401816363</t>
        </is>
      </c>
      <c r="E83" t="inlineStr">
        <is>
          <t>MLB</t>
        </is>
      </c>
      <c r="F83" t="inlineStr">
        <is>
          <t>Chicago White Sox</t>
        </is>
      </c>
      <c r="G83" t="inlineStr">
        <is>
          <t>Tampa Bay Rays</t>
        </is>
      </c>
      <c r="H83" t="inlineStr">
        <is>
          <t>spread</t>
        </is>
      </c>
      <c r="I83" t="inlineStr">
        <is>
          <t>away</t>
        </is>
      </c>
      <c r="J83" t="n">
        <v>1.5</v>
      </c>
      <c r="K83" t="inlineStr">
        <is>
          <t>polymarket_us</t>
        </is>
      </c>
      <c r="L83" t="n">
        <v>-156</v>
      </c>
      <c r="M83" t="n">
        <v>1.641026</v>
      </c>
      <c r="N83" t="n">
        <v>0.609375</v>
      </c>
      <c r="O83" t="n">
        <v>0.600072</v>
      </c>
      <c r="P83" t="n">
        <v>0.042131</v>
      </c>
      <c r="Q83" t="n">
        <v>-0.009303000000000001</v>
      </c>
      <c r="R83" t="n">
        <v>21</v>
      </c>
      <c r="S83" t="n">
        <v>1.5</v>
      </c>
      <c r="T83" t="inlineStr">
        <is>
          <t>measured-edge-margin-v2</t>
        </is>
      </c>
      <c r="U83" t="inlineStr">
        <is>
          <t>open</t>
        </is>
      </c>
      <c r="V83" t="inlineStr"/>
      <c r="W83" t="inlineStr"/>
      <c r="X83" t="inlineStr"/>
      <c r="Y83" t="inlineStr"/>
      <c r="Z83" t="inlineStr"/>
      <c r="AA83" t="inlineStr"/>
      <c r="AB83" t="inlineStr"/>
      <c r="AC83" t="inlineStr"/>
      <c r="AD83" t="inlineStr"/>
      <c r="AE83" t="inlineStr">
        <is>
          <t>Measured Edge Margin: Trend Engine projected 4.47-4.63; raw selected-side p=0.6524, calibrated p=0.6001.</t>
        </is>
      </c>
      <c r="AF83" t="inlineStr">
        <is>
          <t>Research-only; lineup, bullpen, park, weather, xFIP, and wRC+ may be neutral fallbacks; market availability and BBO depth may change before first pitch.</t>
        </is>
      </c>
      <c r="AG83" t="inlineStr">
        <is>
          <t>not_applicable</t>
        </is>
      </c>
      <c r="AH83" t="inlineStr"/>
      <c r="AI83" t="inlineStr"/>
      <c r="AJ83" t="inlineStr"/>
      <c r="AK83" t="inlineStr">
        <is>
          <t>model_qualified</t>
        </is>
      </c>
      <c r="AL83" t="n">
        <v>3</v>
      </c>
      <c r="AM83" t="inlineStr">
        <is>
          <t>QUALIFIED_SHADOW_CALL</t>
        </is>
      </c>
      <c r="AN83" t="inlineStr">
        <is>
          <t>CALL</t>
        </is>
      </c>
      <c r="AO83" t="inlineStr">
        <is>
          <t>QUALIFIED</t>
        </is>
      </c>
      <c r="AP83" t="inlineStr">
        <is>
          <t>mlb-cws</t>
        </is>
      </c>
      <c r="AQ83" t="inlineStr">
        <is>
          <t>Chicago White Sox</t>
        </is>
      </c>
      <c r="AR83" t="inlineStr">
        <is>
          <t>Chicago White Sox</t>
        </is>
      </c>
      <c r="AS83" t="inlineStr">
        <is>
          <t>mlb-tb</t>
        </is>
      </c>
      <c r="AT83" t="inlineStr">
        <is>
          <t>Tampa Bay Rays</t>
        </is>
      </c>
      <c r="AU83" t="inlineStr">
        <is>
          <t>Tampa Bay Rays</t>
        </is>
      </c>
      <c r="AV83" t="inlineStr"/>
      <c r="AW83" t="inlineStr"/>
      <c r="AX83" t="inlineStr">
        <is>
          <t>statistical_model</t>
        </is>
      </c>
      <c r="AY83" t="inlineStr"/>
      <c r="AZ83" t="inlineStr">
        <is>
          <t>research</t>
        </is>
      </c>
      <c r="BA83" t="inlineStr">
        <is>
          <t>8360b122264b796b0fb193095cfe4506c7e064e5f3f8c0a659aec41efd08dd25</t>
        </is>
      </c>
      <c r="BB83" t="inlineStr">
        <is>
          <t>flat_probability_shrinkage_toward_half</t>
        </is>
      </c>
      <c r="BC83" t="inlineStr">
        <is>
          <t>measured-edge-margin-v2</t>
        </is>
      </c>
      <c r="BD83" t="inlineStr">
        <is>
          <t>8360b122264b796b0fb193095cfe4506c7e064e5f3f8c0a659aec41efd08dd25</t>
        </is>
      </c>
      <c r="BE83" t="inlineStr">
        <is>
          <t>v3</t>
        </is>
      </c>
      <c r="BF83" t="n">
        <v>1</v>
      </c>
      <c r="BG83" t="inlineStr">
        <is>
          <t>measured-edge-paired-v1</t>
        </is>
      </c>
      <c r="BH83" t="inlineStr">
        <is>
          <t>2026-08-02T17:28:55.256054Z</t>
        </is>
      </c>
      <c r="BI83" t="inlineStr">
        <is>
          <t>["same_event","same_team_same_day","same_league_same_day"]</t>
        </is>
      </c>
      <c r="BJ83" t="n">
        <v>1.5</v>
      </c>
      <c r="BK83" t="n">
        <v>-156</v>
      </c>
      <c r="BL83" t="n">
        <v>1.641026</v>
      </c>
      <c r="BM83" t="n">
        <v>0.609375</v>
      </c>
      <c r="BN83" t="n">
        <v>0.606965</v>
      </c>
      <c r="BO83" t="inlineStr"/>
      <c r="BP83" t="inlineStr"/>
      <c r="BQ83" t="inlineStr"/>
      <c r="BR83" t="inlineStr"/>
      <c r="BS83" t="inlineStr"/>
      <c r="BT83" t="inlineStr"/>
      <c r="BU83" t="inlineStr"/>
      <c r="BV83" t="inlineStr"/>
      <c r="BW83" t="inlineStr"/>
      <c r="BX83" t="inlineStr"/>
      <c r="BY83" t="inlineStr"/>
      <c r="BZ83" t="inlineStr"/>
      <c r="CA83" t="inlineStr"/>
      <c r="CB83" t="inlineStr"/>
      <c r="CC83" t="inlineStr"/>
      <c r="CD83" t="inlineStr"/>
      <c r="CE83" t="inlineStr"/>
      <c r="CF83" t="inlineStr"/>
      <c r="CG83" t="inlineStr"/>
      <c r="CH83" t="inlineStr"/>
      <c r="CI83" t="inlineStr"/>
      <c r="CJ83" t="inlineStr"/>
      <c r="CK83" t="inlineStr"/>
      <c r="CL83" t="inlineStr"/>
      <c r="CM83" t="inlineStr"/>
      <c r="CN83" t="inlineStr"/>
      <c r="CO83" t="inlineStr"/>
      <c r="CP83" t="inlineStr"/>
      <c r="CQ83" t="inlineStr">
        <is>
          <t>False</t>
        </is>
      </c>
    </row>
    <row r="84">
      <c r="A84" t="inlineStr">
        <is>
          <t>f6122af1eada4edf</t>
        </is>
      </c>
      <c r="B84" t="inlineStr">
        <is>
          <t>2026-08-02T17:28:55.256054Z</t>
        </is>
      </c>
      <c r="C84" t="inlineStr">
        <is>
          <t>2026-08-02T17:40Z</t>
        </is>
      </c>
      <c r="D84" t="inlineStr">
        <is>
          <t>401816363</t>
        </is>
      </c>
      <c r="E84" t="inlineStr">
        <is>
          <t>MLB</t>
        </is>
      </c>
      <c r="F84" t="inlineStr">
        <is>
          <t>Chicago White Sox</t>
        </is>
      </c>
      <c r="G84" t="inlineStr">
        <is>
          <t>Tampa Bay Rays</t>
        </is>
      </c>
      <c r="H84" t="inlineStr">
        <is>
          <t>total</t>
        </is>
      </c>
      <c r="I84" t="inlineStr">
        <is>
          <t>over</t>
        </is>
      </c>
      <c r="J84" t="n">
        <v>7.5</v>
      </c>
      <c r="K84" t="inlineStr">
        <is>
          <t>polymarket_us</t>
        </is>
      </c>
      <c r="L84" t="n">
        <v>104</v>
      </c>
      <c r="M84" t="n">
        <v>2.04</v>
      </c>
      <c r="N84" t="n">
        <v>0.490196</v>
      </c>
      <c r="O84" t="n">
        <v>0.543555</v>
      </c>
      <c r="P84" t="n">
        <v>0.042131</v>
      </c>
      <c r="Q84" t="n">
        <v>0.053359</v>
      </c>
      <c r="R84" t="n">
        <v>53</v>
      </c>
      <c r="S84" t="n">
        <v>1</v>
      </c>
      <c r="T84" t="inlineStr">
        <is>
          <t>measured-edge-totals-v2</t>
        </is>
      </c>
      <c r="U84" t="inlineStr">
        <is>
          <t>open</t>
        </is>
      </c>
      <c r="V84" t="inlineStr"/>
      <c r="W84" t="inlineStr"/>
      <c r="X84" t="inlineStr"/>
      <c r="Y84" t="inlineStr"/>
      <c r="Z84" t="inlineStr"/>
      <c r="AA84" t="inlineStr"/>
      <c r="AB84" t="inlineStr"/>
      <c r="AC84" t="inlineStr"/>
      <c r="AD84" t="inlineStr"/>
      <c r="AE84" t="inlineStr">
        <is>
          <t>Measured Edge Totals: Trend Engine projected 4.47-4.63; raw selected-side p=0.6042, calibrated p=0.5436.</t>
        </is>
      </c>
      <c r="AF84" t="inlineStr">
        <is>
          <t>Research-only; lineup, bullpen, park, weather, xFIP, and wRC+ may be neutral fallbacks; market availability and BBO depth may change before first pitch.</t>
        </is>
      </c>
      <c r="AG84" t="inlineStr">
        <is>
          <t>not_applicable</t>
        </is>
      </c>
      <c r="AH84" t="inlineStr"/>
      <c r="AI84" t="inlineStr"/>
      <c r="AJ84" t="inlineStr"/>
      <c r="AK84" t="inlineStr">
        <is>
          <t>model_qualified</t>
        </is>
      </c>
      <c r="AL84" t="n">
        <v>3</v>
      </c>
      <c r="AM84" t="inlineStr">
        <is>
          <t>QUALIFIED_SHADOW_CALL</t>
        </is>
      </c>
      <c r="AN84" t="inlineStr">
        <is>
          <t>CALL</t>
        </is>
      </c>
      <c r="AO84" t="inlineStr">
        <is>
          <t>QUALIFIED</t>
        </is>
      </c>
      <c r="AP84" t="inlineStr">
        <is>
          <t>mlb-cws</t>
        </is>
      </c>
      <c r="AQ84" t="inlineStr">
        <is>
          <t>Chicago White Sox</t>
        </is>
      </c>
      <c r="AR84" t="inlineStr">
        <is>
          <t>Chicago White Sox</t>
        </is>
      </c>
      <c r="AS84" t="inlineStr">
        <is>
          <t>mlb-tb</t>
        </is>
      </c>
      <c r="AT84" t="inlineStr">
        <is>
          <t>Tampa Bay Rays</t>
        </is>
      </c>
      <c r="AU84" t="inlineStr">
        <is>
          <t>Tampa Bay Rays</t>
        </is>
      </c>
      <c r="AV84" t="inlineStr"/>
      <c r="AW84" t="inlineStr"/>
      <c r="AX84" t="inlineStr">
        <is>
          <t>statistical_model</t>
        </is>
      </c>
      <c r="AY84" t="inlineStr"/>
      <c r="AZ84" t="inlineStr">
        <is>
          <t>research</t>
        </is>
      </c>
      <c r="BA84" t="inlineStr">
        <is>
          <t>433578016242b27f9c1c7132cc6b5a2bcc7dd1b0234590c12a944455a88e71bd</t>
        </is>
      </c>
      <c r="BB84" t="inlineStr">
        <is>
          <t>flat_probability_shrinkage_toward_half</t>
        </is>
      </c>
      <c r="BC84" t="inlineStr">
        <is>
          <t>measured-edge-totals-v2</t>
        </is>
      </c>
      <c r="BD84" t="inlineStr">
        <is>
          <t>433578016242b27f9c1c7132cc6b5a2bcc7dd1b0234590c12a944455a88e71bd</t>
        </is>
      </c>
      <c r="BE84" t="inlineStr">
        <is>
          <t>v3</t>
        </is>
      </c>
      <c r="BF84" t="n">
        <v>1</v>
      </c>
      <c r="BG84" t="inlineStr">
        <is>
          <t>measured-edge-paired-v1</t>
        </is>
      </c>
      <c r="BH84" t="inlineStr">
        <is>
          <t>2026-08-02T17:28:55.256054Z</t>
        </is>
      </c>
      <c r="BI84" t="inlineStr">
        <is>
          <t>["same_event","same_team_same_day","same_league_same_day"]</t>
        </is>
      </c>
      <c r="BJ84" t="n">
        <v>7.5</v>
      </c>
      <c r="BK84" t="n">
        <v>104</v>
      </c>
      <c r="BL84" t="n">
        <v>2.04</v>
      </c>
      <c r="BM84" t="n">
        <v>0.490196</v>
      </c>
      <c r="BN84" t="n">
        <v>0.487562</v>
      </c>
      <c r="BO84" t="inlineStr"/>
      <c r="BP84" t="inlineStr"/>
      <c r="BQ84" t="inlineStr"/>
      <c r="BR84" t="inlineStr"/>
      <c r="BS84" t="inlineStr"/>
      <c r="BT84" t="inlineStr"/>
      <c r="BU84" t="inlineStr"/>
      <c r="BV84" t="inlineStr"/>
      <c r="BW84" t="inlineStr"/>
      <c r="BX84" t="inlineStr"/>
      <c r="BY84" t="inlineStr"/>
      <c r="BZ84" t="inlineStr"/>
      <c r="CA84" t="inlineStr"/>
      <c r="CB84" t="inlineStr"/>
      <c r="CC84" t="inlineStr"/>
      <c r="CD84" t="inlineStr"/>
      <c r="CE84" t="inlineStr"/>
      <c r="CF84" t="inlineStr"/>
      <c r="CG84" t="inlineStr"/>
      <c r="CH84" t="inlineStr"/>
      <c r="CI84" t="inlineStr"/>
      <c r="CJ84" t="inlineStr"/>
      <c r="CK84" t="inlineStr"/>
      <c r="CL84" t="inlineStr"/>
      <c r="CM84" t="inlineStr"/>
      <c r="CN84" t="inlineStr"/>
      <c r="CO84" t="inlineStr"/>
      <c r="CP84" t="inlineStr"/>
      <c r="CQ84" t="inlineStr">
        <is>
          <t>True</t>
        </is>
      </c>
    </row>
    <row r="85">
      <c r="A85" t="inlineStr">
        <is>
          <t>46af6c212ec8412f</t>
        </is>
      </c>
      <c r="B85" t="inlineStr">
        <is>
          <t>2026-08-02T17:28:55.256054Z</t>
        </is>
      </c>
      <c r="C85" t="inlineStr">
        <is>
          <t>2026-08-02T17:40Z</t>
        </is>
      </c>
      <c r="D85" t="inlineStr">
        <is>
          <t>401816364</t>
        </is>
      </c>
      <c r="E85" t="inlineStr">
        <is>
          <t>MLB</t>
        </is>
      </c>
      <c r="F85" t="inlineStr">
        <is>
          <t>Miami Marlins</t>
        </is>
      </c>
      <c r="G85" t="inlineStr">
        <is>
          <t>New York Mets</t>
        </is>
      </c>
      <c r="H85" t="inlineStr">
        <is>
          <t>spread</t>
        </is>
      </c>
      <c r="I85" t="inlineStr">
        <is>
          <t>home</t>
        </is>
      </c>
      <c r="J85" t="n">
        <v>1.5</v>
      </c>
      <c r="K85" t="inlineStr">
        <is>
          <t>polymarket_us</t>
        </is>
      </c>
      <c r="L85" t="n">
        <v>-150</v>
      </c>
      <c r="M85" t="n">
        <v>1.666667</v>
      </c>
      <c r="N85" t="n">
        <v>0.6</v>
      </c>
      <c r="O85" t="n">
        <v>0.608766</v>
      </c>
      <c r="P85" t="n">
        <v>0.05172</v>
      </c>
      <c r="Q85" t="n">
        <v>0.008765999999999999</v>
      </c>
      <c r="R85" t="n">
        <v>25</v>
      </c>
      <c r="S85" t="n">
        <v>1.5</v>
      </c>
      <c r="T85" t="inlineStr">
        <is>
          <t>measured-edge-margin-v2</t>
        </is>
      </c>
      <c r="U85" t="inlineStr">
        <is>
          <t>open</t>
        </is>
      </c>
      <c r="V85" t="inlineStr"/>
      <c r="W85" t="inlineStr"/>
      <c r="X85" t="inlineStr"/>
      <c r="Y85" t="inlineStr"/>
      <c r="Z85" t="inlineStr"/>
      <c r="AA85" t="inlineStr"/>
      <c r="AB85" t="inlineStr"/>
      <c r="AC85" t="inlineStr"/>
      <c r="AD85" t="inlineStr"/>
      <c r="AE85" t="inlineStr">
        <is>
          <t>Measured Edge Margin: Trend Engine projected 4.52-4.47; raw selected-side p=0.6657, calibrated p=0.6088.</t>
        </is>
      </c>
      <c r="AF85" t="inlineStr">
        <is>
          <t>Research-only; lineup, bullpen, park, weather, xFIP, and wRC+ may be neutral fallbacks; market availability and BBO depth may change before first pitch.</t>
        </is>
      </c>
      <c r="AG85" t="inlineStr">
        <is>
          <t>not_applicable</t>
        </is>
      </c>
      <c r="AH85" t="inlineStr"/>
      <c r="AI85" t="inlineStr"/>
      <c r="AJ85" t="inlineStr"/>
      <c r="AK85" t="inlineStr">
        <is>
          <t>model_qualified</t>
        </is>
      </c>
      <c r="AL85" t="n">
        <v>3</v>
      </c>
      <c r="AM85" t="inlineStr">
        <is>
          <t>QUALIFIED_SHADOW_CALL</t>
        </is>
      </c>
      <c r="AN85" t="inlineStr">
        <is>
          <t>CALL</t>
        </is>
      </c>
      <c r="AO85" t="inlineStr">
        <is>
          <t>QUALIFIED</t>
        </is>
      </c>
      <c r="AP85" t="inlineStr">
        <is>
          <t>mlb-mia</t>
        </is>
      </c>
      <c r="AQ85" t="inlineStr">
        <is>
          <t>Miami Marlins</t>
        </is>
      </c>
      <c r="AR85" t="inlineStr">
        <is>
          <t>Miami Marlins</t>
        </is>
      </c>
      <c r="AS85" t="inlineStr">
        <is>
          <t>mlb-nym</t>
        </is>
      </c>
      <c r="AT85" t="inlineStr">
        <is>
          <t>New York Mets</t>
        </is>
      </c>
      <c r="AU85" t="inlineStr">
        <is>
          <t>New York Mets</t>
        </is>
      </c>
      <c r="AV85" t="inlineStr"/>
      <c r="AW85" t="inlineStr"/>
      <c r="AX85" t="inlineStr">
        <is>
          <t>statistical_model</t>
        </is>
      </c>
      <c r="AY85" t="inlineStr"/>
      <c r="AZ85" t="inlineStr">
        <is>
          <t>research</t>
        </is>
      </c>
      <c r="BA85" t="inlineStr">
        <is>
          <t>8360b122264b796b0fb193095cfe4506c7e064e5f3f8c0a659aec41efd08dd25</t>
        </is>
      </c>
      <c r="BB85" t="inlineStr">
        <is>
          <t>flat_probability_shrinkage_toward_half</t>
        </is>
      </c>
      <c r="BC85" t="inlineStr">
        <is>
          <t>measured-edge-margin-v2</t>
        </is>
      </c>
      <c r="BD85" t="inlineStr">
        <is>
          <t>8360b122264b796b0fb193095cfe4506c7e064e5f3f8c0a659aec41efd08dd25</t>
        </is>
      </c>
      <c r="BE85" t="inlineStr">
        <is>
          <t>v3</t>
        </is>
      </c>
      <c r="BF85" t="n">
        <v>1</v>
      </c>
      <c r="BG85" t="inlineStr">
        <is>
          <t>measured-edge-paired-v1</t>
        </is>
      </c>
      <c r="BH85" t="inlineStr">
        <is>
          <t>2026-08-02T17:28:55.256054Z</t>
        </is>
      </c>
      <c r="BI85" t="inlineStr">
        <is>
          <t>["same_event","same_team_same_day","same_league_same_day"]</t>
        </is>
      </c>
      <c r="BJ85" t="n">
        <v>1.5</v>
      </c>
      <c r="BK85" t="n">
        <v>-150</v>
      </c>
      <c r="BL85" t="n">
        <v>1.666667</v>
      </c>
      <c r="BM85" t="n">
        <v>0.6</v>
      </c>
      <c r="BN85" t="n">
        <v>0.597015</v>
      </c>
      <c r="BO85" t="inlineStr"/>
      <c r="BP85" t="inlineStr"/>
      <c r="BQ85" t="inlineStr"/>
      <c r="BR85" t="inlineStr"/>
      <c r="BS85" t="inlineStr"/>
      <c r="BT85" t="inlineStr"/>
      <c r="BU85" t="inlineStr"/>
      <c r="BV85" t="inlineStr"/>
      <c r="BW85" t="inlineStr"/>
      <c r="BX85" t="inlineStr"/>
      <c r="BY85" t="inlineStr"/>
      <c r="BZ85" t="inlineStr"/>
      <c r="CA85" t="inlineStr"/>
      <c r="CB85" t="inlineStr"/>
      <c r="CC85" t="inlineStr"/>
      <c r="CD85" t="inlineStr"/>
      <c r="CE85" t="inlineStr"/>
      <c r="CF85" t="inlineStr"/>
      <c r="CG85" t="inlineStr"/>
      <c r="CH85" t="inlineStr"/>
      <c r="CI85" t="inlineStr"/>
      <c r="CJ85" t="inlineStr"/>
      <c r="CK85" t="inlineStr"/>
      <c r="CL85" t="inlineStr"/>
      <c r="CM85" t="inlineStr"/>
      <c r="CN85" t="inlineStr"/>
      <c r="CO85" t="inlineStr"/>
      <c r="CP85" t="inlineStr"/>
      <c r="CQ85" t="inlineStr">
        <is>
          <t>True</t>
        </is>
      </c>
    </row>
    <row r="86">
      <c r="A86" t="inlineStr">
        <is>
          <t>a6d08d128b1d4f35</t>
        </is>
      </c>
      <c r="B86" t="inlineStr">
        <is>
          <t>2026-08-02T17:28:55.256054Z</t>
        </is>
      </c>
      <c r="C86" t="inlineStr">
        <is>
          <t>2026-08-02T17:40Z</t>
        </is>
      </c>
      <c r="D86" t="inlineStr">
        <is>
          <t>401816364</t>
        </is>
      </c>
      <c r="E86" t="inlineStr">
        <is>
          <t>MLB</t>
        </is>
      </c>
      <c r="F86" t="inlineStr">
        <is>
          <t>Miami Marlins</t>
        </is>
      </c>
      <c r="G86" t="inlineStr">
        <is>
          <t>New York Mets</t>
        </is>
      </c>
      <c r="H86" t="inlineStr">
        <is>
          <t>total</t>
        </is>
      </c>
      <c r="I86" t="inlineStr">
        <is>
          <t>over</t>
        </is>
      </c>
      <c r="J86" t="n">
        <v>8.5</v>
      </c>
      <c r="K86" t="inlineStr">
        <is>
          <t>polymarket_us</t>
        </is>
      </c>
      <c r="L86" t="n">
        <v>-108</v>
      </c>
      <c r="M86" t="n">
        <v>1.925926</v>
      </c>
      <c r="N86" t="n">
        <v>0.519231</v>
      </c>
      <c r="O86" t="n">
        <v>0.514203</v>
      </c>
      <c r="P86" t="n">
        <v>0.05172</v>
      </c>
      <c r="Q86" t="n">
        <v>-0.005028</v>
      </c>
      <c r="R86" t="n">
        <v>17</v>
      </c>
      <c r="S86" t="n">
        <v>1</v>
      </c>
      <c r="T86" t="inlineStr">
        <is>
          <t>measured-edge-totals-v2</t>
        </is>
      </c>
      <c r="U86" t="inlineStr">
        <is>
          <t>open</t>
        </is>
      </c>
      <c r="V86" t="inlineStr"/>
      <c r="W86" t="inlineStr"/>
      <c r="X86" t="inlineStr"/>
      <c r="Y86" t="inlineStr"/>
      <c r="Z86" t="inlineStr"/>
      <c r="AA86" t="inlineStr"/>
      <c r="AB86" t="inlineStr"/>
      <c r="AC86" t="inlineStr"/>
      <c r="AD86" t="inlineStr"/>
      <c r="AE86" t="inlineStr">
        <is>
          <t>Measured Edge Totals: Trend Engine projected 4.52-4.47; raw selected-side p=0.5183, calibrated p=0.5142.</t>
        </is>
      </c>
      <c r="AF86" t="inlineStr">
        <is>
          <t>Research-only; lineup, bullpen, park, weather, xFIP, and wRC+ may be neutral fallbacks; market availability and BBO depth may change before first pitch.</t>
        </is>
      </c>
      <c r="AG86" t="inlineStr">
        <is>
          <t>not_applicable</t>
        </is>
      </c>
      <c r="AH86" t="inlineStr"/>
      <c r="AI86" t="inlineStr"/>
      <c r="AJ86" t="inlineStr"/>
      <c r="AK86" t="inlineStr">
        <is>
          <t>model_qualified</t>
        </is>
      </c>
      <c r="AL86" t="n">
        <v>3</v>
      </c>
      <c r="AM86" t="inlineStr">
        <is>
          <t>QUALIFIED_SHADOW_CALL</t>
        </is>
      </c>
      <c r="AN86" t="inlineStr">
        <is>
          <t>CALL</t>
        </is>
      </c>
      <c r="AO86" t="inlineStr">
        <is>
          <t>QUALIFIED</t>
        </is>
      </c>
      <c r="AP86" t="inlineStr">
        <is>
          <t>mlb-mia</t>
        </is>
      </c>
      <c r="AQ86" t="inlineStr">
        <is>
          <t>Miami Marlins</t>
        </is>
      </c>
      <c r="AR86" t="inlineStr">
        <is>
          <t>Miami Marlins</t>
        </is>
      </c>
      <c r="AS86" t="inlineStr">
        <is>
          <t>mlb-nym</t>
        </is>
      </c>
      <c r="AT86" t="inlineStr">
        <is>
          <t>New York Mets</t>
        </is>
      </c>
      <c r="AU86" t="inlineStr">
        <is>
          <t>New York Mets</t>
        </is>
      </c>
      <c r="AV86" t="inlineStr"/>
      <c r="AW86" t="inlineStr"/>
      <c r="AX86" t="inlineStr">
        <is>
          <t>statistical_model</t>
        </is>
      </c>
      <c r="AY86" t="inlineStr"/>
      <c r="AZ86" t="inlineStr">
        <is>
          <t>research</t>
        </is>
      </c>
      <c r="BA86" t="inlineStr">
        <is>
          <t>433578016242b27f9c1c7132cc6b5a2bcc7dd1b0234590c12a944455a88e71bd</t>
        </is>
      </c>
      <c r="BB86" t="inlineStr">
        <is>
          <t>flat_probability_shrinkage_toward_half</t>
        </is>
      </c>
      <c r="BC86" t="inlineStr">
        <is>
          <t>measured-edge-totals-v2</t>
        </is>
      </c>
      <c r="BD86" t="inlineStr">
        <is>
          <t>433578016242b27f9c1c7132cc6b5a2bcc7dd1b0234590c12a944455a88e71bd</t>
        </is>
      </c>
      <c r="BE86" t="inlineStr">
        <is>
          <t>v3</t>
        </is>
      </c>
      <c r="BF86" t="n">
        <v>1</v>
      </c>
      <c r="BG86" t="inlineStr">
        <is>
          <t>measured-edge-paired-v1</t>
        </is>
      </c>
      <c r="BH86" t="inlineStr">
        <is>
          <t>2026-08-02T17:28:55.256054Z</t>
        </is>
      </c>
      <c r="BI86" t="inlineStr">
        <is>
          <t>["same_event","same_team_same_day","same_league_same_day"]</t>
        </is>
      </c>
      <c r="BJ86" t="n">
        <v>8.5</v>
      </c>
      <c r="BK86" t="n">
        <v>-108</v>
      </c>
      <c r="BL86" t="n">
        <v>1.925926</v>
      </c>
      <c r="BM86" t="n">
        <v>0.519231</v>
      </c>
      <c r="BN86" t="n">
        <v>0.517413</v>
      </c>
      <c r="BO86" t="inlineStr"/>
      <c r="BP86" t="inlineStr"/>
      <c r="BQ86" t="inlineStr"/>
      <c r="BR86" t="inlineStr"/>
      <c r="BS86" t="inlineStr"/>
      <c r="BT86" t="inlineStr"/>
      <c r="BU86" t="inlineStr"/>
      <c r="BV86" t="inlineStr"/>
      <c r="BW86" t="inlineStr"/>
      <c r="BX86" t="inlineStr"/>
      <c r="BY86" t="inlineStr"/>
      <c r="BZ86" t="inlineStr"/>
      <c r="CA86" t="inlineStr"/>
      <c r="CB86" t="inlineStr"/>
      <c r="CC86" t="inlineStr"/>
      <c r="CD86" t="inlineStr"/>
      <c r="CE86" t="inlineStr"/>
      <c r="CF86" t="inlineStr"/>
      <c r="CG86" t="inlineStr"/>
      <c r="CH86" t="inlineStr"/>
      <c r="CI86" t="inlineStr"/>
      <c r="CJ86" t="inlineStr"/>
      <c r="CK86" t="inlineStr"/>
      <c r="CL86" t="inlineStr"/>
      <c r="CM86" t="inlineStr"/>
      <c r="CN86" t="inlineStr"/>
      <c r="CO86" t="inlineStr"/>
      <c r="CP86" t="inlineStr"/>
      <c r="CQ86" t="inlineStr">
        <is>
          <t>False</t>
        </is>
      </c>
    </row>
    <row r="87">
      <c r="A87" t="inlineStr">
        <is>
          <t>ee465365d7f24149</t>
        </is>
      </c>
      <c r="B87" t="inlineStr">
        <is>
          <t>2026-08-02T17:28:55.256054Z</t>
        </is>
      </c>
      <c r="C87" t="inlineStr">
        <is>
          <t>2026-08-02T17:40Z</t>
        </is>
      </c>
      <c r="D87" t="inlineStr">
        <is>
          <t>401816366</t>
        </is>
      </c>
      <c r="E87" t="inlineStr">
        <is>
          <t>MLB</t>
        </is>
      </c>
      <c r="F87" t="inlineStr">
        <is>
          <t>Pittsburgh Pirates</t>
        </is>
      </c>
      <c r="G87" t="inlineStr">
        <is>
          <t>Cincinnati Reds</t>
        </is>
      </c>
      <c r="H87" t="inlineStr">
        <is>
          <t>spread</t>
        </is>
      </c>
      <c r="I87" t="inlineStr">
        <is>
          <t>away</t>
        </is>
      </c>
      <c r="J87" t="n">
        <v>1.5</v>
      </c>
      <c r="K87" t="inlineStr">
        <is>
          <t>polymarket_us</t>
        </is>
      </c>
      <c r="L87" t="n">
        <v>-150</v>
      </c>
      <c r="M87" t="n">
        <v>1.666667</v>
      </c>
      <c r="N87" t="n">
        <v>0.6</v>
      </c>
      <c r="O87" t="n">
        <v>0.576584</v>
      </c>
      <c r="P87" t="n">
        <v>0.042131</v>
      </c>
      <c r="Q87" t="n">
        <v>-0.023416</v>
      </c>
      <c r="R87" t="n">
        <v>15</v>
      </c>
      <c r="S87" t="n">
        <v>1.25</v>
      </c>
      <c r="T87" t="inlineStr">
        <is>
          <t>measured-edge-margin-v2</t>
        </is>
      </c>
      <c r="U87" t="inlineStr">
        <is>
          <t>open</t>
        </is>
      </c>
      <c r="V87" t="inlineStr"/>
      <c r="W87" t="inlineStr"/>
      <c r="X87" t="inlineStr"/>
      <c r="Y87" t="inlineStr"/>
      <c r="Z87" t="inlineStr"/>
      <c r="AA87" t="inlineStr"/>
      <c r="AB87" t="inlineStr"/>
      <c r="AC87" t="inlineStr"/>
      <c r="AD87" t="inlineStr"/>
      <c r="AE87" t="inlineStr">
        <is>
          <t>Measured Edge Margin: Trend Engine projected 4.31-4.86; raw selected-side p=0.6167, calibrated p=0.5766.</t>
        </is>
      </c>
      <c r="AF87" t="inlineStr">
        <is>
          <t>Research-only; lineup, bullpen, park, weather, xFIP, and wRC+ may be neutral fallbacks; market availability and BBO depth may change before first pitch.</t>
        </is>
      </c>
      <c r="AG87" t="inlineStr">
        <is>
          <t>not_applicable</t>
        </is>
      </c>
      <c r="AH87" t="inlineStr"/>
      <c r="AI87" t="inlineStr"/>
      <c r="AJ87" t="inlineStr"/>
      <c r="AK87" t="inlineStr">
        <is>
          <t>model_qualified</t>
        </is>
      </c>
      <c r="AL87" t="n">
        <v>3</v>
      </c>
      <c r="AM87" t="inlineStr">
        <is>
          <t>QUALIFIED_SHADOW_CALL</t>
        </is>
      </c>
      <c r="AN87" t="inlineStr">
        <is>
          <t>CALL</t>
        </is>
      </c>
      <c r="AO87" t="inlineStr">
        <is>
          <t>QUALIFIED</t>
        </is>
      </c>
      <c r="AP87" t="inlineStr">
        <is>
          <t>mlb-pit</t>
        </is>
      </c>
      <c r="AQ87" t="inlineStr">
        <is>
          <t>Pittsburgh Pirates</t>
        </is>
      </c>
      <c r="AR87" t="inlineStr">
        <is>
          <t>Pittsburgh Pirates</t>
        </is>
      </c>
      <c r="AS87" t="inlineStr">
        <is>
          <t>mlb-cin</t>
        </is>
      </c>
      <c r="AT87" t="inlineStr">
        <is>
          <t>Cincinnati Reds</t>
        </is>
      </c>
      <c r="AU87" t="inlineStr">
        <is>
          <t>Cincinnati Reds</t>
        </is>
      </c>
      <c r="AV87" t="inlineStr"/>
      <c r="AW87" t="inlineStr"/>
      <c r="AX87" t="inlineStr">
        <is>
          <t>statistical_model</t>
        </is>
      </c>
      <c r="AY87" t="inlineStr"/>
      <c r="AZ87" t="inlineStr">
        <is>
          <t>research</t>
        </is>
      </c>
      <c r="BA87" t="inlineStr">
        <is>
          <t>8360b122264b796b0fb193095cfe4506c7e064e5f3f8c0a659aec41efd08dd25</t>
        </is>
      </c>
      <c r="BB87" t="inlineStr">
        <is>
          <t>flat_probability_shrinkage_toward_half</t>
        </is>
      </c>
      <c r="BC87" t="inlineStr">
        <is>
          <t>measured-edge-margin-v2</t>
        </is>
      </c>
      <c r="BD87" t="inlineStr">
        <is>
          <t>8360b122264b796b0fb193095cfe4506c7e064e5f3f8c0a659aec41efd08dd25</t>
        </is>
      </c>
      <c r="BE87" t="inlineStr">
        <is>
          <t>v3</t>
        </is>
      </c>
      <c r="BF87" t="n">
        <v>1</v>
      </c>
      <c r="BG87" t="inlineStr">
        <is>
          <t>measured-edge-paired-v1</t>
        </is>
      </c>
      <c r="BH87" t="inlineStr">
        <is>
          <t>2026-08-02T17:28:55.256054Z</t>
        </is>
      </c>
      <c r="BI87" t="inlineStr">
        <is>
          <t>["same_event","same_team_same_day","same_league_same_day"]</t>
        </is>
      </c>
      <c r="BJ87" t="n">
        <v>1.5</v>
      </c>
      <c r="BK87" t="n">
        <v>-150</v>
      </c>
      <c r="BL87" t="n">
        <v>1.666667</v>
      </c>
      <c r="BM87" t="n">
        <v>0.6</v>
      </c>
      <c r="BN87" t="n">
        <v>0.597015</v>
      </c>
      <c r="BO87" t="inlineStr"/>
      <c r="BP87" t="inlineStr"/>
      <c r="BQ87" t="inlineStr"/>
      <c r="BR87" t="inlineStr"/>
      <c r="BS87" t="inlineStr"/>
      <c r="BT87" t="inlineStr"/>
      <c r="BU87" t="inlineStr"/>
      <c r="BV87" t="inlineStr"/>
      <c r="BW87" t="inlineStr"/>
      <c r="BX87" t="inlineStr"/>
      <c r="BY87" t="inlineStr"/>
      <c r="BZ87" t="inlineStr"/>
      <c r="CA87" t="inlineStr"/>
      <c r="CB87" t="inlineStr"/>
      <c r="CC87" t="inlineStr"/>
      <c r="CD87" t="inlineStr"/>
      <c r="CE87" t="inlineStr"/>
      <c r="CF87" t="inlineStr"/>
      <c r="CG87" t="inlineStr"/>
      <c r="CH87" t="inlineStr"/>
      <c r="CI87" t="inlineStr"/>
      <c r="CJ87" t="inlineStr"/>
      <c r="CK87" t="inlineStr"/>
      <c r="CL87" t="inlineStr"/>
      <c r="CM87" t="inlineStr"/>
      <c r="CN87" t="inlineStr"/>
      <c r="CO87" t="inlineStr"/>
      <c r="CP87" t="inlineStr"/>
      <c r="CQ87" t="inlineStr">
        <is>
          <t>False</t>
        </is>
      </c>
    </row>
    <row r="88">
      <c r="A88" t="inlineStr">
        <is>
          <t>d8355598bfdc4057</t>
        </is>
      </c>
      <c r="B88" t="inlineStr">
        <is>
          <t>2026-08-02T17:28:55.256054Z</t>
        </is>
      </c>
      <c r="C88" t="inlineStr">
        <is>
          <t>2026-08-02T17:40Z</t>
        </is>
      </c>
      <c r="D88" t="inlineStr">
        <is>
          <t>401816366</t>
        </is>
      </c>
      <c r="E88" t="inlineStr">
        <is>
          <t>MLB</t>
        </is>
      </c>
      <c r="F88" t="inlineStr">
        <is>
          <t>Pittsburgh Pirates</t>
        </is>
      </c>
      <c r="G88" t="inlineStr">
        <is>
          <t>Cincinnati Reds</t>
        </is>
      </c>
      <c r="H88" t="inlineStr">
        <is>
          <t>total</t>
        </is>
      </c>
      <c r="I88" t="inlineStr">
        <is>
          <t>over</t>
        </is>
      </c>
      <c r="J88" t="n">
        <v>8.5</v>
      </c>
      <c r="K88" t="inlineStr">
        <is>
          <t>polymarket_us</t>
        </is>
      </c>
      <c r="L88" t="n">
        <v>-113</v>
      </c>
      <c r="M88" t="n">
        <v>1.884956</v>
      </c>
      <c r="N88" t="n">
        <v>0.530516</v>
      </c>
      <c r="O88" t="n">
        <v>0.519397</v>
      </c>
      <c r="P88" t="n">
        <v>0.042131</v>
      </c>
      <c r="Q88" t="n">
        <v>-0.011119</v>
      </c>
      <c r="R88" t="n">
        <v>21</v>
      </c>
      <c r="S88" t="n">
        <v>1</v>
      </c>
      <c r="T88" t="inlineStr">
        <is>
          <t>measured-edge-totals-v2</t>
        </is>
      </c>
      <c r="U88" t="inlineStr">
        <is>
          <t>open</t>
        </is>
      </c>
      <c r="V88" t="inlineStr"/>
      <c r="W88" t="inlineStr"/>
      <c r="X88" t="inlineStr"/>
      <c r="Y88" t="inlineStr"/>
      <c r="Z88" t="inlineStr"/>
      <c r="AA88" t="inlineStr"/>
      <c r="AB88" t="inlineStr"/>
      <c r="AC88" t="inlineStr"/>
      <c r="AD88" t="inlineStr"/>
      <c r="AE88" t="inlineStr">
        <is>
          <t>Measured Edge Totals: Trend Engine projected 4.31-4.86; raw selected-side p=0.5335, calibrated p=0.5194.</t>
        </is>
      </c>
      <c r="AF88" t="inlineStr">
        <is>
          <t>Research-only; lineup, bullpen, park, weather, xFIP, and wRC+ may be neutral fallbacks; market availability and BBO depth may change before first pitch.</t>
        </is>
      </c>
      <c r="AG88" t="inlineStr">
        <is>
          <t>not_applicable</t>
        </is>
      </c>
      <c r="AH88" t="inlineStr"/>
      <c r="AI88" t="inlineStr"/>
      <c r="AJ88" t="inlineStr"/>
      <c r="AK88" t="inlineStr">
        <is>
          <t>model_qualified</t>
        </is>
      </c>
      <c r="AL88" t="n">
        <v>3</v>
      </c>
      <c r="AM88" t="inlineStr">
        <is>
          <t>QUALIFIED_SHADOW_CALL</t>
        </is>
      </c>
      <c r="AN88" t="inlineStr">
        <is>
          <t>CALL</t>
        </is>
      </c>
      <c r="AO88" t="inlineStr">
        <is>
          <t>QUALIFIED</t>
        </is>
      </c>
      <c r="AP88" t="inlineStr">
        <is>
          <t>mlb-pit</t>
        </is>
      </c>
      <c r="AQ88" t="inlineStr">
        <is>
          <t>Pittsburgh Pirates</t>
        </is>
      </c>
      <c r="AR88" t="inlineStr">
        <is>
          <t>Pittsburgh Pirates</t>
        </is>
      </c>
      <c r="AS88" t="inlineStr">
        <is>
          <t>mlb-cin</t>
        </is>
      </c>
      <c r="AT88" t="inlineStr">
        <is>
          <t>Cincinnati Reds</t>
        </is>
      </c>
      <c r="AU88" t="inlineStr">
        <is>
          <t>Cincinnati Reds</t>
        </is>
      </c>
      <c r="AV88" t="inlineStr"/>
      <c r="AW88" t="inlineStr"/>
      <c r="AX88" t="inlineStr">
        <is>
          <t>statistical_model</t>
        </is>
      </c>
      <c r="AY88" t="inlineStr"/>
      <c r="AZ88" t="inlineStr">
        <is>
          <t>research</t>
        </is>
      </c>
      <c r="BA88" t="inlineStr">
        <is>
          <t>433578016242b27f9c1c7132cc6b5a2bcc7dd1b0234590c12a944455a88e71bd</t>
        </is>
      </c>
      <c r="BB88" t="inlineStr">
        <is>
          <t>flat_probability_shrinkage_toward_half</t>
        </is>
      </c>
      <c r="BC88" t="inlineStr">
        <is>
          <t>measured-edge-totals-v2</t>
        </is>
      </c>
      <c r="BD88" t="inlineStr">
        <is>
          <t>433578016242b27f9c1c7132cc6b5a2bcc7dd1b0234590c12a944455a88e71bd</t>
        </is>
      </c>
      <c r="BE88" t="inlineStr">
        <is>
          <t>v3</t>
        </is>
      </c>
      <c r="BF88" t="n">
        <v>1</v>
      </c>
      <c r="BG88" t="inlineStr">
        <is>
          <t>measured-edge-paired-v1</t>
        </is>
      </c>
      <c r="BH88" t="inlineStr">
        <is>
          <t>2026-08-02T17:28:55.256054Z</t>
        </is>
      </c>
      <c r="BI88" t="inlineStr">
        <is>
          <t>["same_event","same_team_same_day","same_league_same_day"]</t>
        </is>
      </c>
      <c r="BJ88" t="n">
        <v>8.5</v>
      </c>
      <c r="BK88" t="n">
        <v>-113</v>
      </c>
      <c r="BL88" t="n">
        <v>1.884956</v>
      </c>
      <c r="BM88" t="n">
        <v>0.530516</v>
      </c>
      <c r="BN88" t="n">
        <v>0.527363</v>
      </c>
      <c r="BO88" t="inlineStr"/>
      <c r="BP88" t="inlineStr"/>
      <c r="BQ88" t="inlineStr"/>
      <c r="BR88" t="inlineStr"/>
      <c r="BS88" t="inlineStr"/>
      <c r="BT88" t="inlineStr"/>
      <c r="BU88" t="inlineStr"/>
      <c r="BV88" t="inlineStr"/>
      <c r="BW88" t="inlineStr"/>
      <c r="BX88" t="inlineStr"/>
      <c r="BY88" t="inlineStr"/>
      <c r="BZ88" t="inlineStr"/>
      <c r="CA88" t="inlineStr"/>
      <c r="CB88" t="inlineStr"/>
      <c r="CC88" t="inlineStr"/>
      <c r="CD88" t="inlineStr"/>
      <c r="CE88" t="inlineStr"/>
      <c r="CF88" t="inlineStr"/>
      <c r="CG88" t="inlineStr"/>
      <c r="CH88" t="inlineStr"/>
      <c r="CI88" t="inlineStr"/>
      <c r="CJ88" t="inlineStr"/>
      <c r="CK88" t="inlineStr"/>
      <c r="CL88" t="inlineStr"/>
      <c r="CM88" t="inlineStr"/>
      <c r="CN88" t="inlineStr"/>
      <c r="CO88" t="inlineStr"/>
      <c r="CP88" t="inlineStr"/>
      <c r="CQ88" t="inlineStr">
        <is>
          <t>False</t>
        </is>
      </c>
    </row>
    <row r="89">
      <c r="A89" t="inlineStr">
        <is>
          <t>fd3c7732c6d44db0</t>
        </is>
      </c>
      <c r="B89" t="inlineStr">
        <is>
          <t>2026-08-02T17:28:55.256054Z</t>
        </is>
      </c>
      <c r="C89" t="inlineStr">
        <is>
          <t>2026-08-02T18:10Z</t>
        </is>
      </c>
      <c r="D89" t="inlineStr">
        <is>
          <t>401816370</t>
        </is>
      </c>
      <c r="E89" t="inlineStr">
        <is>
          <t>MLB</t>
        </is>
      </c>
      <c r="F89" t="inlineStr">
        <is>
          <t>Texas Rangers</t>
        </is>
      </c>
      <c r="G89" t="inlineStr">
        <is>
          <t>Houston Astros</t>
        </is>
      </c>
      <c r="H89" t="inlineStr">
        <is>
          <t>spread</t>
        </is>
      </c>
      <c r="I89" t="inlineStr">
        <is>
          <t>away</t>
        </is>
      </c>
      <c r="J89" t="n">
        <v>1.5</v>
      </c>
      <c r="K89" t="inlineStr">
        <is>
          <t>polymarket_us</t>
        </is>
      </c>
      <c r="L89" t="n">
        <v>-167</v>
      </c>
      <c r="M89" t="n">
        <v>1.598802</v>
      </c>
      <c r="N89" t="n">
        <v>0.625468</v>
      </c>
      <c r="O89" t="n">
        <v>0.577437</v>
      </c>
      <c r="P89" t="n">
        <v>0.042131</v>
      </c>
      <c r="Q89" t="n">
        <v>-0.048031</v>
      </c>
      <c r="R89" t="n">
        <v>2</v>
      </c>
      <c r="S89" t="n">
        <v>1.25</v>
      </c>
      <c r="T89" t="inlineStr">
        <is>
          <t>measured-edge-margin-v2</t>
        </is>
      </c>
      <c r="U89" t="inlineStr">
        <is>
          <t>open</t>
        </is>
      </c>
      <c r="V89" t="inlineStr"/>
      <c r="W89" t="inlineStr"/>
      <c r="X89" t="inlineStr"/>
      <c r="Y89" t="inlineStr"/>
      <c r="Z89" t="inlineStr"/>
      <c r="AA89" t="inlineStr"/>
      <c r="AB89" t="inlineStr"/>
      <c r="AC89" t="inlineStr"/>
      <c r="AD89" t="inlineStr"/>
      <c r="AE89" t="inlineStr">
        <is>
          <t>Measured Edge Margin: Trend Engine projected 4.10-4.64; raw selected-side p=0.6179, calibrated p=0.5774.</t>
        </is>
      </c>
      <c r="AF89" t="inlineStr">
        <is>
          <t>Research-only; lineup, bullpen, park, weather, xFIP, and wRC+ may be neutral fallbacks; market availability and BBO depth may change before first pitch.</t>
        </is>
      </c>
      <c r="AG89" t="inlineStr">
        <is>
          <t>not_applicable</t>
        </is>
      </c>
      <c r="AH89" t="inlineStr"/>
      <c r="AI89" t="inlineStr"/>
      <c r="AJ89" t="inlineStr"/>
      <c r="AK89" t="inlineStr">
        <is>
          <t>model_qualified</t>
        </is>
      </c>
      <c r="AL89" t="n">
        <v>3</v>
      </c>
      <c r="AM89" t="inlineStr">
        <is>
          <t>QUALIFIED_SHADOW_CALL</t>
        </is>
      </c>
      <c r="AN89" t="inlineStr">
        <is>
          <t>CALL</t>
        </is>
      </c>
      <c r="AO89" t="inlineStr">
        <is>
          <t>QUALIFIED</t>
        </is>
      </c>
      <c r="AP89" t="inlineStr">
        <is>
          <t>mlb-tex</t>
        </is>
      </c>
      <c r="AQ89" t="inlineStr">
        <is>
          <t>Texas Rangers</t>
        </is>
      </c>
      <c r="AR89" t="inlineStr">
        <is>
          <t>Texas Rangers</t>
        </is>
      </c>
      <c r="AS89" t="inlineStr">
        <is>
          <t>mlb-hou</t>
        </is>
      </c>
      <c r="AT89" t="inlineStr">
        <is>
          <t>Houston Astros</t>
        </is>
      </c>
      <c r="AU89" t="inlineStr">
        <is>
          <t>Houston Astros</t>
        </is>
      </c>
      <c r="AV89" t="inlineStr"/>
      <c r="AW89" t="inlineStr"/>
      <c r="AX89" t="inlineStr">
        <is>
          <t>statistical_model</t>
        </is>
      </c>
      <c r="AY89" t="inlineStr"/>
      <c r="AZ89" t="inlineStr">
        <is>
          <t>research</t>
        </is>
      </c>
      <c r="BA89" t="inlineStr">
        <is>
          <t>8360b122264b796b0fb193095cfe4506c7e064e5f3f8c0a659aec41efd08dd25</t>
        </is>
      </c>
      <c r="BB89" t="inlineStr">
        <is>
          <t>flat_probability_shrinkage_toward_half</t>
        </is>
      </c>
      <c r="BC89" t="inlineStr">
        <is>
          <t>measured-edge-margin-v2</t>
        </is>
      </c>
      <c r="BD89" t="inlineStr">
        <is>
          <t>8360b122264b796b0fb193095cfe4506c7e064e5f3f8c0a659aec41efd08dd25</t>
        </is>
      </c>
      <c r="BE89" t="inlineStr">
        <is>
          <t>v3</t>
        </is>
      </c>
      <c r="BF89" t="n">
        <v>1</v>
      </c>
      <c r="BG89" t="inlineStr">
        <is>
          <t>measured-edge-paired-v1</t>
        </is>
      </c>
      <c r="BH89" t="inlineStr">
        <is>
          <t>2026-08-02T17:28:55.256054Z</t>
        </is>
      </c>
      <c r="BI89" t="inlineStr">
        <is>
          <t>["same_event","same_team_same_day","same_league_same_day"]</t>
        </is>
      </c>
      <c r="BJ89" t="n">
        <v>1.5</v>
      </c>
      <c r="BK89" t="n">
        <v>-167</v>
      </c>
      <c r="BL89" t="n">
        <v>1.598802</v>
      </c>
      <c r="BM89" t="n">
        <v>0.625468</v>
      </c>
      <c r="BN89" t="n">
        <v>0.621891</v>
      </c>
      <c r="BO89" t="inlineStr"/>
      <c r="BP89" t="inlineStr"/>
      <c r="BQ89" t="inlineStr"/>
      <c r="BR89" t="inlineStr"/>
      <c r="BS89" t="inlineStr"/>
      <c r="BT89" t="inlineStr"/>
      <c r="BU89" t="inlineStr"/>
      <c r="BV89" t="inlineStr"/>
      <c r="BW89" t="inlineStr"/>
      <c r="BX89" t="inlineStr"/>
      <c r="BY89" t="inlineStr"/>
      <c r="BZ89" t="inlineStr"/>
      <c r="CA89" t="inlineStr"/>
      <c r="CB89" t="inlineStr"/>
      <c r="CC89" t="inlineStr"/>
      <c r="CD89" t="inlineStr"/>
      <c r="CE89" t="inlineStr"/>
      <c r="CF89" t="inlineStr"/>
      <c r="CG89" t="inlineStr"/>
      <c r="CH89" t="inlineStr"/>
      <c r="CI89" t="inlineStr"/>
      <c r="CJ89" t="inlineStr"/>
      <c r="CK89" t="inlineStr"/>
      <c r="CL89" t="inlineStr"/>
      <c r="CM89" t="inlineStr"/>
      <c r="CN89" t="inlineStr"/>
      <c r="CO89" t="inlineStr"/>
      <c r="CP89" t="inlineStr"/>
      <c r="CQ89" t="inlineStr">
        <is>
          <t>False</t>
        </is>
      </c>
    </row>
    <row r="90">
      <c r="A90" t="inlineStr">
        <is>
          <t>588c247b602c4aa0</t>
        </is>
      </c>
      <c r="B90" t="inlineStr">
        <is>
          <t>2026-08-02T17:28:55.256054Z</t>
        </is>
      </c>
      <c r="C90" t="inlineStr">
        <is>
          <t>2026-08-02T18:10Z</t>
        </is>
      </c>
      <c r="D90" t="inlineStr">
        <is>
          <t>401816370</t>
        </is>
      </c>
      <c r="E90" t="inlineStr">
        <is>
          <t>MLB</t>
        </is>
      </c>
      <c r="F90" t="inlineStr">
        <is>
          <t>Texas Rangers</t>
        </is>
      </c>
      <c r="G90" t="inlineStr">
        <is>
          <t>Houston Astros</t>
        </is>
      </c>
      <c r="H90" t="inlineStr">
        <is>
          <t>total</t>
        </is>
      </c>
      <c r="I90" t="inlineStr">
        <is>
          <t>under</t>
        </is>
      </c>
      <c r="J90" t="n">
        <v>8.5</v>
      </c>
      <c r="K90" t="inlineStr">
        <is>
          <t>polymarket_us</t>
        </is>
      </c>
      <c r="L90" t="n">
        <v>-102</v>
      </c>
      <c r="M90" t="n">
        <v>1.980392</v>
      </c>
      <c r="N90" t="n">
        <v>0.50495</v>
      </c>
      <c r="O90" t="n">
        <v>0.511367</v>
      </c>
      <c r="P90" t="n">
        <v>0.042131</v>
      </c>
      <c r="Q90" t="n">
        <v>0.006417</v>
      </c>
      <c r="R90" t="n">
        <v>29</v>
      </c>
      <c r="S90" t="n">
        <v>1</v>
      </c>
      <c r="T90" t="inlineStr">
        <is>
          <t>measured-edge-totals-v2</t>
        </is>
      </c>
      <c r="U90" t="inlineStr">
        <is>
          <t>open</t>
        </is>
      </c>
      <c r="V90" t="inlineStr"/>
      <c r="W90" t="inlineStr"/>
      <c r="X90" t="inlineStr"/>
      <c r="Y90" t="inlineStr"/>
      <c r="Z90" t="inlineStr"/>
      <c r="AA90" t="inlineStr"/>
      <c r="AB90" t="inlineStr"/>
      <c r="AC90" t="inlineStr"/>
      <c r="AD90" t="inlineStr"/>
      <c r="AE90" t="inlineStr">
        <is>
          <t>Measured Edge Totals: Trend Engine projected 4.10-4.64; raw selected-side p=0.5100, calibrated p=0.5114.</t>
        </is>
      </c>
      <c r="AF90" t="inlineStr">
        <is>
          <t>Research-only; lineup, bullpen, park, weather, xFIP, and wRC+ may be neutral fallbacks; market availability and BBO depth may change before first pitch.</t>
        </is>
      </c>
      <c r="AG90" t="inlineStr">
        <is>
          <t>not_applicable</t>
        </is>
      </c>
      <c r="AH90" t="inlineStr"/>
      <c r="AI90" t="inlineStr"/>
      <c r="AJ90" t="inlineStr"/>
      <c r="AK90" t="inlineStr">
        <is>
          <t>model_qualified</t>
        </is>
      </c>
      <c r="AL90" t="n">
        <v>3</v>
      </c>
      <c r="AM90" t="inlineStr">
        <is>
          <t>QUALIFIED_SHADOW_CALL</t>
        </is>
      </c>
      <c r="AN90" t="inlineStr">
        <is>
          <t>CALL</t>
        </is>
      </c>
      <c r="AO90" t="inlineStr">
        <is>
          <t>QUALIFIED</t>
        </is>
      </c>
      <c r="AP90" t="inlineStr">
        <is>
          <t>mlb-tex</t>
        </is>
      </c>
      <c r="AQ90" t="inlineStr">
        <is>
          <t>Texas Rangers</t>
        </is>
      </c>
      <c r="AR90" t="inlineStr">
        <is>
          <t>Texas Rangers</t>
        </is>
      </c>
      <c r="AS90" t="inlineStr">
        <is>
          <t>mlb-hou</t>
        </is>
      </c>
      <c r="AT90" t="inlineStr">
        <is>
          <t>Houston Astros</t>
        </is>
      </c>
      <c r="AU90" t="inlineStr">
        <is>
          <t>Houston Astros</t>
        </is>
      </c>
      <c r="AV90" t="inlineStr"/>
      <c r="AW90" t="inlineStr"/>
      <c r="AX90" t="inlineStr">
        <is>
          <t>statistical_model</t>
        </is>
      </c>
      <c r="AY90" t="inlineStr"/>
      <c r="AZ90" t="inlineStr">
        <is>
          <t>research</t>
        </is>
      </c>
      <c r="BA90" t="inlineStr">
        <is>
          <t>433578016242b27f9c1c7132cc6b5a2bcc7dd1b0234590c12a944455a88e71bd</t>
        </is>
      </c>
      <c r="BB90" t="inlineStr">
        <is>
          <t>flat_probability_shrinkage_toward_half</t>
        </is>
      </c>
      <c r="BC90" t="inlineStr">
        <is>
          <t>measured-edge-totals-v2</t>
        </is>
      </c>
      <c r="BD90" t="inlineStr">
        <is>
          <t>433578016242b27f9c1c7132cc6b5a2bcc7dd1b0234590c12a944455a88e71bd</t>
        </is>
      </c>
      <c r="BE90" t="inlineStr">
        <is>
          <t>v3</t>
        </is>
      </c>
      <c r="BF90" t="n">
        <v>1</v>
      </c>
      <c r="BG90" t="inlineStr">
        <is>
          <t>measured-edge-paired-v1</t>
        </is>
      </c>
      <c r="BH90" t="inlineStr">
        <is>
          <t>2026-08-02T17:28:55.256054Z</t>
        </is>
      </c>
      <c r="BI90" t="inlineStr">
        <is>
          <t>["same_event","same_team_same_day","same_league_same_day"]</t>
        </is>
      </c>
      <c r="BJ90" t="n">
        <v>8.5</v>
      </c>
      <c r="BK90" t="n">
        <v>-102</v>
      </c>
      <c r="BL90" t="n">
        <v>1.980392</v>
      </c>
      <c r="BM90" t="n">
        <v>0.50495</v>
      </c>
      <c r="BN90" t="n">
        <v>0.502488</v>
      </c>
      <c r="BO90" t="inlineStr"/>
      <c r="BP90" t="inlineStr"/>
      <c r="BQ90" t="inlineStr"/>
      <c r="BR90" t="inlineStr"/>
      <c r="BS90" t="inlineStr"/>
      <c r="BT90" t="inlineStr"/>
      <c r="BU90" t="inlineStr"/>
      <c r="BV90" t="inlineStr"/>
      <c r="BW90" t="inlineStr"/>
      <c r="BX90" t="inlineStr"/>
      <c r="BY90" t="inlineStr"/>
      <c r="BZ90" t="inlineStr"/>
      <c r="CA90" t="inlineStr"/>
      <c r="CB90" t="inlineStr"/>
      <c r="CC90" t="inlineStr"/>
      <c r="CD90" t="inlineStr"/>
      <c r="CE90" t="inlineStr"/>
      <c r="CF90" t="inlineStr"/>
      <c r="CG90" t="inlineStr"/>
      <c r="CH90" t="inlineStr"/>
      <c r="CI90" t="inlineStr"/>
      <c r="CJ90" t="inlineStr"/>
      <c r="CK90" t="inlineStr"/>
      <c r="CL90" t="inlineStr"/>
      <c r="CM90" t="inlineStr"/>
      <c r="CN90" t="inlineStr"/>
      <c r="CO90" t="inlineStr"/>
      <c r="CP90" t="inlineStr"/>
      <c r="CQ90" t="inlineStr">
        <is>
          <t>True</t>
        </is>
      </c>
    </row>
    <row r="91">
      <c r="A91" t="inlineStr">
        <is>
          <t>2d382183026745d0</t>
        </is>
      </c>
      <c r="B91" t="inlineStr">
        <is>
          <t>2026-08-02T17:28:55.256054Z</t>
        </is>
      </c>
      <c r="C91" t="inlineStr">
        <is>
          <t>2026-08-02T18:20Z</t>
        </is>
      </c>
      <c r="D91" t="inlineStr">
        <is>
          <t>401816369</t>
        </is>
      </c>
      <c r="E91" t="inlineStr">
        <is>
          <t>MLB</t>
        </is>
      </c>
      <c r="F91" t="inlineStr">
        <is>
          <t>New York Yankees</t>
        </is>
      </c>
      <c r="G91" t="inlineStr">
        <is>
          <t>Chicago Cubs</t>
        </is>
      </c>
      <c r="H91" t="inlineStr">
        <is>
          <t>spread</t>
        </is>
      </c>
      <c r="I91" t="inlineStr">
        <is>
          <t>home</t>
        </is>
      </c>
      <c r="J91" t="n">
        <v>1.5</v>
      </c>
      <c r="K91" t="inlineStr">
        <is>
          <t>polymarket_us</t>
        </is>
      </c>
      <c r="L91" t="n">
        <v>-167</v>
      </c>
      <c r="M91" t="n">
        <v>1.598802</v>
      </c>
      <c r="N91" t="n">
        <v>0.625468</v>
      </c>
      <c r="O91" t="n">
        <v>0.6114889999999999</v>
      </c>
      <c r="P91" t="n">
        <v>0.042131</v>
      </c>
      <c r="Q91" t="n">
        <v>-0.013979</v>
      </c>
      <c r="R91" t="n">
        <v>20</v>
      </c>
      <c r="S91" t="n">
        <v>1.5</v>
      </c>
      <c r="T91" t="inlineStr">
        <is>
          <t>measured-edge-margin-v2</t>
        </is>
      </c>
      <c r="U91" t="inlineStr">
        <is>
          <t>open</t>
        </is>
      </c>
      <c r="V91" t="inlineStr"/>
      <c r="W91" t="inlineStr"/>
      <c r="X91" t="inlineStr"/>
      <c r="Y91" t="inlineStr"/>
      <c r="Z91" t="inlineStr"/>
      <c r="AA91" t="inlineStr"/>
      <c r="AB91" t="inlineStr"/>
      <c r="AC91" t="inlineStr"/>
      <c r="AD91" t="inlineStr"/>
      <c r="AE91" t="inlineStr">
        <is>
          <t>Measured Edge Margin: Trend Engine projected 4.57-4.52; raw selected-side p=0.6698, calibrated p=0.6115.</t>
        </is>
      </c>
      <c r="AF91" t="inlineStr">
        <is>
          <t>Research-only; lineup, bullpen, park, weather, xFIP, and wRC+ may be neutral fallbacks; market availability and BBO depth may change before first pitch.</t>
        </is>
      </c>
      <c r="AG91" t="inlineStr">
        <is>
          <t>not_applicable</t>
        </is>
      </c>
      <c r="AH91" t="inlineStr"/>
      <c r="AI91" t="inlineStr"/>
      <c r="AJ91" t="inlineStr"/>
      <c r="AK91" t="inlineStr">
        <is>
          <t>model_qualified</t>
        </is>
      </c>
      <c r="AL91" t="n">
        <v>3</v>
      </c>
      <c r="AM91" t="inlineStr">
        <is>
          <t>QUALIFIED_SHADOW_CALL</t>
        </is>
      </c>
      <c r="AN91" t="inlineStr">
        <is>
          <t>CALL</t>
        </is>
      </c>
      <c r="AO91" t="inlineStr">
        <is>
          <t>QUALIFIED</t>
        </is>
      </c>
      <c r="AP91" t="inlineStr">
        <is>
          <t>mlb-nyy</t>
        </is>
      </c>
      <c r="AQ91" t="inlineStr">
        <is>
          <t>New York Yankees</t>
        </is>
      </c>
      <c r="AR91" t="inlineStr">
        <is>
          <t>New York Yankees</t>
        </is>
      </c>
      <c r="AS91" t="inlineStr">
        <is>
          <t>mlb-chc</t>
        </is>
      </c>
      <c r="AT91" t="inlineStr">
        <is>
          <t>Chicago Cubs</t>
        </is>
      </c>
      <c r="AU91" t="inlineStr">
        <is>
          <t>Chicago Cubs</t>
        </is>
      </c>
      <c r="AV91" t="inlineStr"/>
      <c r="AW91" t="inlineStr"/>
      <c r="AX91" t="inlineStr">
        <is>
          <t>statistical_model</t>
        </is>
      </c>
      <c r="AY91" t="inlineStr"/>
      <c r="AZ91" t="inlineStr">
        <is>
          <t>research</t>
        </is>
      </c>
      <c r="BA91" t="inlineStr">
        <is>
          <t>8360b122264b796b0fb193095cfe4506c7e064e5f3f8c0a659aec41efd08dd25</t>
        </is>
      </c>
      <c r="BB91" t="inlineStr">
        <is>
          <t>flat_probability_shrinkage_toward_half</t>
        </is>
      </c>
      <c r="BC91" t="inlineStr">
        <is>
          <t>measured-edge-margin-v2</t>
        </is>
      </c>
      <c r="BD91" t="inlineStr">
        <is>
          <t>8360b122264b796b0fb193095cfe4506c7e064e5f3f8c0a659aec41efd08dd25</t>
        </is>
      </c>
      <c r="BE91" t="inlineStr">
        <is>
          <t>v3</t>
        </is>
      </c>
      <c r="BF91" t="n">
        <v>1</v>
      </c>
      <c r="BG91" t="inlineStr">
        <is>
          <t>measured-edge-paired-v1</t>
        </is>
      </c>
      <c r="BH91" t="inlineStr">
        <is>
          <t>2026-08-02T17:28:55.256054Z</t>
        </is>
      </c>
      <c r="BI91" t="inlineStr">
        <is>
          <t>["same_event","same_team_same_day","same_league_same_day"]</t>
        </is>
      </c>
      <c r="BJ91" t="n">
        <v>1.5</v>
      </c>
      <c r="BK91" t="n">
        <v>-167</v>
      </c>
      <c r="BL91" t="n">
        <v>1.598802</v>
      </c>
      <c r="BM91" t="n">
        <v>0.625468</v>
      </c>
      <c r="BN91" t="n">
        <v>0.621891</v>
      </c>
      <c r="BO91" t="inlineStr"/>
      <c r="BP91" t="inlineStr"/>
      <c r="BQ91" t="inlineStr"/>
      <c r="BR91" t="inlineStr"/>
      <c r="BS91" t="inlineStr"/>
      <c r="BT91" t="inlineStr"/>
      <c r="BU91" t="inlineStr"/>
      <c r="BV91" t="inlineStr"/>
      <c r="BW91" t="inlineStr"/>
      <c r="BX91" t="inlineStr"/>
      <c r="BY91" t="inlineStr"/>
      <c r="BZ91" t="inlineStr"/>
      <c r="CA91" t="inlineStr"/>
      <c r="CB91" t="inlineStr"/>
      <c r="CC91" t="inlineStr"/>
      <c r="CD91" t="inlineStr"/>
      <c r="CE91" t="inlineStr"/>
      <c r="CF91" t="inlineStr"/>
      <c r="CG91" t="inlineStr"/>
      <c r="CH91" t="inlineStr"/>
      <c r="CI91" t="inlineStr"/>
      <c r="CJ91" t="inlineStr"/>
      <c r="CK91" t="inlineStr"/>
      <c r="CL91" t="inlineStr"/>
      <c r="CM91" t="inlineStr"/>
      <c r="CN91" t="inlineStr"/>
      <c r="CO91" t="inlineStr"/>
      <c r="CP91" t="inlineStr"/>
      <c r="CQ91" t="inlineStr">
        <is>
          <t>False</t>
        </is>
      </c>
    </row>
    <row r="92">
      <c r="A92" t="inlineStr">
        <is>
          <t>ee4f28631fec4cea</t>
        </is>
      </c>
      <c r="B92" t="inlineStr">
        <is>
          <t>2026-08-02T17:28:55.256054Z</t>
        </is>
      </c>
      <c r="C92" t="inlineStr">
        <is>
          <t>2026-08-02T18:20Z</t>
        </is>
      </c>
      <c r="D92" t="inlineStr">
        <is>
          <t>401816369</t>
        </is>
      </c>
      <c r="E92" t="inlineStr">
        <is>
          <t>MLB</t>
        </is>
      </c>
      <c r="F92" t="inlineStr">
        <is>
          <t>New York Yankees</t>
        </is>
      </c>
      <c r="G92" t="inlineStr">
        <is>
          <t>Chicago Cubs</t>
        </is>
      </c>
      <c r="H92" t="inlineStr">
        <is>
          <t>total</t>
        </is>
      </c>
      <c r="I92" t="inlineStr">
        <is>
          <t>over</t>
        </is>
      </c>
      <c r="J92" t="n">
        <v>6.5</v>
      </c>
      <c r="K92" t="inlineStr">
        <is>
          <t>polymarket_us</t>
        </is>
      </c>
      <c r="L92" t="n">
        <v>-113</v>
      </c>
      <c r="M92" t="n">
        <v>1.884956</v>
      </c>
      <c r="N92" t="n">
        <v>0.530516</v>
      </c>
      <c r="O92" t="n">
        <v>0.583244</v>
      </c>
      <c r="P92" t="n">
        <v>0.042131</v>
      </c>
      <c r="Q92" t="n">
        <v>0.052728</v>
      </c>
      <c r="R92" t="n">
        <v>53</v>
      </c>
      <c r="S92" t="n">
        <v>1.25</v>
      </c>
      <c r="T92" t="inlineStr">
        <is>
          <t>measured-edge-totals-v2</t>
        </is>
      </c>
      <c r="U92" t="inlineStr">
        <is>
          <t>open</t>
        </is>
      </c>
      <c r="V92" t="inlineStr"/>
      <c r="W92" t="inlineStr"/>
      <c r="X92" t="inlineStr"/>
      <c r="Y92" t="inlineStr"/>
      <c r="Z92" t="inlineStr"/>
      <c r="AA92" t="inlineStr"/>
      <c r="AB92" t="inlineStr"/>
      <c r="AC92" t="inlineStr"/>
      <c r="AD92" t="inlineStr"/>
      <c r="AE92" t="inlineStr">
        <is>
          <t>Measured Edge Totals: Trend Engine projected 4.57-4.52; raw selected-side p=0.7204, calibrated p=0.5832.</t>
        </is>
      </c>
      <c r="AF92" t="inlineStr">
        <is>
          <t>Research-only; lineup, bullpen, park, weather, xFIP, and wRC+ may be neutral fallbacks; market availability and BBO depth may change before first pitch.</t>
        </is>
      </c>
      <c r="AG92" t="inlineStr">
        <is>
          <t>not_applicable</t>
        </is>
      </c>
      <c r="AH92" t="inlineStr"/>
      <c r="AI92" t="inlineStr"/>
      <c r="AJ92" t="inlineStr"/>
      <c r="AK92" t="inlineStr">
        <is>
          <t>model_qualified</t>
        </is>
      </c>
      <c r="AL92" t="n">
        <v>3</v>
      </c>
      <c r="AM92" t="inlineStr">
        <is>
          <t>QUALIFIED_SHADOW_CALL</t>
        </is>
      </c>
      <c r="AN92" t="inlineStr">
        <is>
          <t>CALL</t>
        </is>
      </c>
      <c r="AO92" t="inlineStr">
        <is>
          <t>QUALIFIED</t>
        </is>
      </c>
      <c r="AP92" t="inlineStr">
        <is>
          <t>mlb-nyy</t>
        </is>
      </c>
      <c r="AQ92" t="inlineStr">
        <is>
          <t>New York Yankees</t>
        </is>
      </c>
      <c r="AR92" t="inlineStr">
        <is>
          <t>New York Yankees</t>
        </is>
      </c>
      <c r="AS92" t="inlineStr">
        <is>
          <t>mlb-chc</t>
        </is>
      </c>
      <c r="AT92" t="inlineStr">
        <is>
          <t>Chicago Cubs</t>
        </is>
      </c>
      <c r="AU92" t="inlineStr">
        <is>
          <t>Chicago Cubs</t>
        </is>
      </c>
      <c r="AV92" t="inlineStr"/>
      <c r="AW92" t="inlineStr"/>
      <c r="AX92" t="inlineStr">
        <is>
          <t>statistical_model</t>
        </is>
      </c>
      <c r="AY92" t="inlineStr"/>
      <c r="AZ92" t="inlineStr">
        <is>
          <t>research</t>
        </is>
      </c>
      <c r="BA92" t="inlineStr">
        <is>
          <t>433578016242b27f9c1c7132cc6b5a2bcc7dd1b0234590c12a944455a88e71bd</t>
        </is>
      </c>
      <c r="BB92" t="inlineStr">
        <is>
          <t>flat_probability_shrinkage_toward_half</t>
        </is>
      </c>
      <c r="BC92" t="inlineStr">
        <is>
          <t>measured-edge-totals-v2</t>
        </is>
      </c>
      <c r="BD92" t="inlineStr">
        <is>
          <t>433578016242b27f9c1c7132cc6b5a2bcc7dd1b0234590c12a944455a88e71bd</t>
        </is>
      </c>
      <c r="BE92" t="inlineStr">
        <is>
          <t>v3</t>
        </is>
      </c>
      <c r="BF92" t="n">
        <v>1</v>
      </c>
      <c r="BG92" t="inlineStr">
        <is>
          <t>measured-edge-paired-v1</t>
        </is>
      </c>
      <c r="BH92" t="inlineStr">
        <is>
          <t>2026-08-02T17:28:55.256054Z</t>
        </is>
      </c>
      <c r="BI92" t="inlineStr">
        <is>
          <t>["same_event","same_team_same_day","same_league_same_day"]</t>
        </is>
      </c>
      <c r="BJ92" t="n">
        <v>6.5</v>
      </c>
      <c r="BK92" t="n">
        <v>-113</v>
      </c>
      <c r="BL92" t="n">
        <v>1.884956</v>
      </c>
      <c r="BM92" t="n">
        <v>0.530516</v>
      </c>
      <c r="BN92" t="n">
        <v>0.527363</v>
      </c>
      <c r="BO92" t="inlineStr"/>
      <c r="BP92" t="inlineStr"/>
      <c r="BQ92" t="inlineStr"/>
      <c r="BR92" t="inlineStr"/>
      <c r="BS92" t="inlineStr"/>
      <c r="BT92" t="inlineStr"/>
      <c r="BU92" t="inlineStr"/>
      <c r="BV92" t="inlineStr"/>
      <c r="BW92" t="inlineStr"/>
      <c r="BX92" t="inlineStr"/>
      <c r="BY92" t="inlineStr"/>
      <c r="BZ92" t="inlineStr"/>
      <c r="CA92" t="inlineStr"/>
      <c r="CB92" t="inlineStr"/>
      <c r="CC92" t="inlineStr"/>
      <c r="CD92" t="inlineStr"/>
      <c r="CE92" t="inlineStr"/>
      <c r="CF92" t="inlineStr"/>
      <c r="CG92" t="inlineStr"/>
      <c r="CH92" t="inlineStr"/>
      <c r="CI92" t="inlineStr"/>
      <c r="CJ92" t="inlineStr"/>
      <c r="CK92" t="inlineStr"/>
      <c r="CL92" t="inlineStr"/>
      <c r="CM92" t="inlineStr"/>
      <c r="CN92" t="inlineStr"/>
      <c r="CO92" t="inlineStr"/>
      <c r="CP92" t="inlineStr"/>
      <c r="CQ92" t="inlineStr">
        <is>
          <t>True</t>
        </is>
      </c>
    </row>
    <row r="93">
      <c r="A93" t="inlineStr">
        <is>
          <t>0fd6ef73b0d04579</t>
        </is>
      </c>
      <c r="B93" t="inlineStr">
        <is>
          <t>2026-08-02T17:28:55.256054Z</t>
        </is>
      </c>
      <c r="C93" t="inlineStr">
        <is>
          <t>2026-08-02T19:10Z</t>
        </is>
      </c>
      <c r="D93" t="inlineStr">
        <is>
          <t>401816371</t>
        </is>
      </c>
      <c r="E93" t="inlineStr">
        <is>
          <t>MLB</t>
        </is>
      </c>
      <c r="F93" t="inlineStr">
        <is>
          <t>Kansas City Royals</t>
        </is>
      </c>
      <c r="G93" t="inlineStr">
        <is>
          <t>Colorado Rockies</t>
        </is>
      </c>
      <c r="H93" t="inlineStr">
        <is>
          <t>spread</t>
        </is>
      </c>
      <c r="I93" t="inlineStr">
        <is>
          <t>away</t>
        </is>
      </c>
      <c r="J93" t="n">
        <v>1.5</v>
      </c>
      <c r="K93" t="inlineStr">
        <is>
          <t>polymarket_us</t>
        </is>
      </c>
      <c r="L93" t="n">
        <v>-163</v>
      </c>
      <c r="M93" t="n">
        <v>1.613497</v>
      </c>
      <c r="N93" t="n">
        <v>0.619772</v>
      </c>
      <c r="O93" t="n">
        <v>0.616409</v>
      </c>
      <c r="P93" t="n">
        <v>0.042131</v>
      </c>
      <c r="Q93" t="n">
        <v>-0.003363</v>
      </c>
      <c r="R93" t="n">
        <v>24</v>
      </c>
      <c r="S93" t="n">
        <v>1.5</v>
      </c>
      <c r="T93" t="inlineStr">
        <is>
          <t>measured-edge-margin-v2</t>
        </is>
      </c>
      <c r="U93" t="inlineStr">
        <is>
          <t>open</t>
        </is>
      </c>
      <c r="V93" t="inlineStr"/>
      <c r="W93" t="inlineStr"/>
      <c r="X93" t="inlineStr"/>
      <c r="Y93" t="inlineStr"/>
      <c r="Z93" t="inlineStr"/>
      <c r="AA93" t="inlineStr"/>
      <c r="AB93" t="inlineStr"/>
      <c r="AC93" t="inlineStr"/>
      <c r="AD93" t="inlineStr"/>
      <c r="AE93" t="inlineStr">
        <is>
          <t>Measured Edge Margin: Trend Engine projected 5.19-4.94; raw selected-side p=0.6774, calibrated p=0.6164.</t>
        </is>
      </c>
      <c r="AF93" t="inlineStr">
        <is>
          <t>Research-only; lineup, bullpen, park, weather, xFIP, and wRC+ may be neutral fallbacks; market availability and BBO depth may change before first pitch.</t>
        </is>
      </c>
      <c r="AG93" t="inlineStr">
        <is>
          <t>not_applicable</t>
        </is>
      </c>
      <c r="AH93" t="inlineStr"/>
      <c r="AI93" t="inlineStr"/>
      <c r="AJ93" t="inlineStr"/>
      <c r="AK93" t="inlineStr">
        <is>
          <t>model_qualified</t>
        </is>
      </c>
      <c r="AL93" t="n">
        <v>3</v>
      </c>
      <c r="AM93" t="inlineStr">
        <is>
          <t>QUALIFIED_SHADOW_CALL</t>
        </is>
      </c>
      <c r="AN93" t="inlineStr">
        <is>
          <t>CALL</t>
        </is>
      </c>
      <c r="AO93" t="inlineStr">
        <is>
          <t>QUALIFIED</t>
        </is>
      </c>
      <c r="AP93" t="inlineStr">
        <is>
          <t>mlb-kc</t>
        </is>
      </c>
      <c r="AQ93" t="inlineStr">
        <is>
          <t>Kansas City Royals</t>
        </is>
      </c>
      <c r="AR93" t="inlineStr">
        <is>
          <t>Kansas City Royals</t>
        </is>
      </c>
      <c r="AS93" t="inlineStr">
        <is>
          <t>mlb-col</t>
        </is>
      </c>
      <c r="AT93" t="inlineStr">
        <is>
          <t>Colorado Rockies</t>
        </is>
      </c>
      <c r="AU93" t="inlineStr">
        <is>
          <t>Colorado Rockies</t>
        </is>
      </c>
      <c r="AV93" t="inlineStr"/>
      <c r="AW93" t="inlineStr"/>
      <c r="AX93" t="inlineStr">
        <is>
          <t>statistical_model</t>
        </is>
      </c>
      <c r="AY93" t="inlineStr"/>
      <c r="AZ93" t="inlineStr">
        <is>
          <t>research</t>
        </is>
      </c>
      <c r="BA93" t="inlineStr">
        <is>
          <t>8360b122264b796b0fb193095cfe4506c7e064e5f3f8c0a659aec41efd08dd25</t>
        </is>
      </c>
      <c r="BB93" t="inlineStr">
        <is>
          <t>flat_probability_shrinkage_toward_half</t>
        </is>
      </c>
      <c r="BC93" t="inlineStr">
        <is>
          <t>measured-edge-margin-v2</t>
        </is>
      </c>
      <c r="BD93" t="inlineStr">
        <is>
          <t>8360b122264b796b0fb193095cfe4506c7e064e5f3f8c0a659aec41efd08dd25</t>
        </is>
      </c>
      <c r="BE93" t="inlineStr">
        <is>
          <t>v3</t>
        </is>
      </c>
      <c r="BF93" t="n">
        <v>1</v>
      </c>
      <c r="BG93" t="inlineStr">
        <is>
          <t>measured-edge-paired-v1</t>
        </is>
      </c>
      <c r="BH93" t="inlineStr">
        <is>
          <t>2026-08-02T17:28:55.256054Z</t>
        </is>
      </c>
      <c r="BI93" t="inlineStr">
        <is>
          <t>["same_event","same_team_same_day","same_league_same_day"]</t>
        </is>
      </c>
      <c r="BJ93" t="n">
        <v>1.5</v>
      </c>
      <c r="BK93" t="n">
        <v>-163</v>
      </c>
      <c r="BL93" t="n">
        <v>1.613497</v>
      </c>
      <c r="BM93" t="n">
        <v>0.619772</v>
      </c>
      <c r="BN93" t="n">
        <v>0.616915</v>
      </c>
      <c r="BO93" t="inlineStr"/>
      <c r="BP93" t="inlineStr"/>
      <c r="BQ93" t="inlineStr"/>
      <c r="BR93" t="inlineStr"/>
      <c r="BS93" t="inlineStr"/>
      <c r="BT93" t="inlineStr"/>
      <c r="BU93" t="inlineStr"/>
      <c r="BV93" t="inlineStr"/>
      <c r="BW93" t="inlineStr"/>
      <c r="BX93" t="inlineStr"/>
      <c r="BY93" t="inlineStr"/>
      <c r="BZ93" t="inlineStr"/>
      <c r="CA93" t="inlineStr"/>
      <c r="CB93" t="inlineStr"/>
      <c r="CC93" t="inlineStr"/>
      <c r="CD93" t="inlineStr"/>
      <c r="CE93" t="inlineStr"/>
      <c r="CF93" t="inlineStr"/>
      <c r="CG93" t="inlineStr"/>
      <c r="CH93" t="inlineStr"/>
      <c r="CI93" t="inlineStr"/>
      <c r="CJ93" t="inlineStr"/>
      <c r="CK93" t="inlineStr"/>
      <c r="CL93" t="inlineStr"/>
      <c r="CM93" t="inlineStr"/>
      <c r="CN93" t="inlineStr"/>
      <c r="CO93" t="inlineStr"/>
      <c r="CP93" t="inlineStr"/>
      <c r="CQ93" t="inlineStr">
        <is>
          <t>False</t>
        </is>
      </c>
    </row>
    <row r="94">
      <c r="A94" t="inlineStr">
        <is>
          <t>286cddc892b04ba6</t>
        </is>
      </c>
      <c r="B94" t="inlineStr">
        <is>
          <t>2026-08-02T17:28:55.256054Z</t>
        </is>
      </c>
      <c r="C94" t="inlineStr">
        <is>
          <t>2026-08-02T19:10Z</t>
        </is>
      </c>
      <c r="D94" t="inlineStr">
        <is>
          <t>401816371</t>
        </is>
      </c>
      <c r="E94" t="inlineStr">
        <is>
          <t>MLB</t>
        </is>
      </c>
      <c r="F94" t="inlineStr">
        <is>
          <t>Kansas City Royals</t>
        </is>
      </c>
      <c r="G94" t="inlineStr">
        <is>
          <t>Colorado Rockies</t>
        </is>
      </c>
      <c r="H94" t="inlineStr">
        <is>
          <t>total</t>
        </is>
      </c>
      <c r="I94" t="inlineStr">
        <is>
          <t>under</t>
        </is>
      </c>
      <c r="J94" t="n">
        <v>11.5</v>
      </c>
      <c r="K94" t="inlineStr">
        <is>
          <t>polymarket_us</t>
        </is>
      </c>
      <c r="L94" t="n">
        <v>-104</v>
      </c>
      <c r="M94" t="n">
        <v>1.961538</v>
      </c>
      <c r="N94" t="n">
        <v>0.509804</v>
      </c>
      <c r="O94" t="n">
        <v>0.564279</v>
      </c>
      <c r="P94" t="n">
        <v>0.042131</v>
      </c>
      <c r="Q94" t="n">
        <v>0.054475</v>
      </c>
      <c r="R94" t="n">
        <v>53</v>
      </c>
      <c r="S94" t="n">
        <v>1.25</v>
      </c>
      <c r="T94" t="inlineStr">
        <is>
          <t>measured-edge-totals-v2</t>
        </is>
      </c>
      <c r="U94" t="inlineStr">
        <is>
          <t>open</t>
        </is>
      </c>
      <c r="V94" t="inlineStr"/>
      <c r="W94" t="inlineStr"/>
      <c r="X94" t="inlineStr"/>
      <c r="Y94" t="inlineStr"/>
      <c r="Z94" t="inlineStr"/>
      <c r="AA94" t="inlineStr"/>
      <c r="AB94" t="inlineStr"/>
      <c r="AC94" t="inlineStr"/>
      <c r="AD94" t="inlineStr"/>
      <c r="AE94" t="inlineStr">
        <is>
          <t>Measured Edge Totals: Trend Engine projected 5.19-4.94; raw selected-side p=0.6649, calibrated p=0.5643.</t>
        </is>
      </c>
      <c r="AF94" t="inlineStr">
        <is>
          <t>Research-only; lineup, bullpen, park, weather, xFIP, and wRC+ may be neutral fallbacks; market availability and BBO depth may change before first pitch.</t>
        </is>
      </c>
      <c r="AG94" t="inlineStr">
        <is>
          <t>not_applicable</t>
        </is>
      </c>
      <c r="AH94" t="inlineStr"/>
      <c r="AI94" t="inlineStr"/>
      <c r="AJ94" t="inlineStr"/>
      <c r="AK94" t="inlineStr">
        <is>
          <t>model_qualified</t>
        </is>
      </c>
      <c r="AL94" t="n">
        <v>3</v>
      </c>
      <c r="AM94" t="inlineStr">
        <is>
          <t>QUALIFIED_SHADOW_CALL</t>
        </is>
      </c>
      <c r="AN94" t="inlineStr">
        <is>
          <t>CALL</t>
        </is>
      </c>
      <c r="AO94" t="inlineStr">
        <is>
          <t>QUALIFIED</t>
        </is>
      </c>
      <c r="AP94" t="inlineStr">
        <is>
          <t>mlb-kc</t>
        </is>
      </c>
      <c r="AQ94" t="inlineStr">
        <is>
          <t>Kansas City Royals</t>
        </is>
      </c>
      <c r="AR94" t="inlineStr">
        <is>
          <t>Kansas City Royals</t>
        </is>
      </c>
      <c r="AS94" t="inlineStr">
        <is>
          <t>mlb-col</t>
        </is>
      </c>
      <c r="AT94" t="inlineStr">
        <is>
          <t>Colorado Rockies</t>
        </is>
      </c>
      <c r="AU94" t="inlineStr">
        <is>
          <t>Colorado Rockies</t>
        </is>
      </c>
      <c r="AV94" t="inlineStr"/>
      <c r="AW94" t="inlineStr"/>
      <c r="AX94" t="inlineStr">
        <is>
          <t>statistical_model</t>
        </is>
      </c>
      <c r="AY94" t="inlineStr"/>
      <c r="AZ94" t="inlineStr">
        <is>
          <t>research</t>
        </is>
      </c>
      <c r="BA94" t="inlineStr">
        <is>
          <t>433578016242b27f9c1c7132cc6b5a2bcc7dd1b0234590c12a944455a88e71bd</t>
        </is>
      </c>
      <c r="BB94" t="inlineStr">
        <is>
          <t>flat_probability_shrinkage_toward_half</t>
        </is>
      </c>
      <c r="BC94" t="inlineStr">
        <is>
          <t>measured-edge-totals-v2</t>
        </is>
      </c>
      <c r="BD94" t="inlineStr">
        <is>
          <t>433578016242b27f9c1c7132cc6b5a2bcc7dd1b0234590c12a944455a88e71bd</t>
        </is>
      </c>
      <c r="BE94" t="inlineStr">
        <is>
          <t>v3</t>
        </is>
      </c>
      <c r="BF94" t="n">
        <v>1</v>
      </c>
      <c r="BG94" t="inlineStr">
        <is>
          <t>measured-edge-paired-v1</t>
        </is>
      </c>
      <c r="BH94" t="inlineStr">
        <is>
          <t>2026-08-02T17:28:55.256054Z</t>
        </is>
      </c>
      <c r="BI94" t="inlineStr">
        <is>
          <t>["same_event","same_team_same_day","same_league_same_day"]</t>
        </is>
      </c>
      <c r="BJ94" t="n">
        <v>11.5</v>
      </c>
      <c r="BK94" t="n">
        <v>-104</v>
      </c>
      <c r="BL94" t="n">
        <v>1.961538</v>
      </c>
      <c r="BM94" t="n">
        <v>0.509804</v>
      </c>
      <c r="BN94" t="n">
        <v>0.507463</v>
      </c>
      <c r="BO94" t="inlineStr"/>
      <c r="BP94" t="inlineStr"/>
      <c r="BQ94" t="inlineStr"/>
      <c r="BR94" t="inlineStr"/>
      <c r="BS94" t="inlineStr"/>
      <c r="BT94" t="inlineStr"/>
      <c r="BU94" t="inlineStr"/>
      <c r="BV94" t="inlineStr"/>
      <c r="BW94" t="inlineStr"/>
      <c r="BX94" t="inlineStr"/>
      <c r="BY94" t="inlineStr"/>
      <c r="BZ94" t="inlineStr"/>
      <c r="CA94" t="inlineStr"/>
      <c r="CB94" t="inlineStr"/>
      <c r="CC94" t="inlineStr"/>
      <c r="CD94" t="inlineStr"/>
      <c r="CE94" t="inlineStr"/>
      <c r="CF94" t="inlineStr"/>
      <c r="CG94" t="inlineStr"/>
      <c r="CH94" t="inlineStr"/>
      <c r="CI94" t="inlineStr"/>
      <c r="CJ94" t="inlineStr"/>
      <c r="CK94" t="inlineStr"/>
      <c r="CL94" t="inlineStr"/>
      <c r="CM94" t="inlineStr"/>
      <c r="CN94" t="inlineStr"/>
      <c r="CO94" t="inlineStr"/>
      <c r="CP94" t="inlineStr"/>
      <c r="CQ94" t="inlineStr">
        <is>
          <t>True</t>
        </is>
      </c>
    </row>
    <row r="95">
      <c r="A95" t="inlineStr">
        <is>
          <t>caf15be9f1104f38</t>
        </is>
      </c>
      <c r="B95" t="inlineStr">
        <is>
          <t>2026-08-02T17:28:55.256054Z</t>
        </is>
      </c>
      <c r="C95" t="inlineStr">
        <is>
          <t>2026-08-02T19:15Z</t>
        </is>
      </c>
      <c r="D95" t="inlineStr">
        <is>
          <t>401816374</t>
        </is>
      </c>
      <c r="E95" t="inlineStr">
        <is>
          <t>MLB</t>
        </is>
      </c>
      <c r="F95" t="inlineStr">
        <is>
          <t>Milwaukee Brewers</t>
        </is>
      </c>
      <c r="G95" t="inlineStr">
        <is>
          <t>Los Angeles Angels</t>
        </is>
      </c>
      <c r="H95" t="inlineStr">
        <is>
          <t>spread</t>
        </is>
      </c>
      <c r="I95" t="inlineStr">
        <is>
          <t>home</t>
        </is>
      </c>
      <c r="J95" t="n">
        <v>1.5</v>
      </c>
      <c r="K95" t="inlineStr">
        <is>
          <t>polymarket_us</t>
        </is>
      </c>
      <c r="L95" t="n">
        <v>117</v>
      </c>
      <c r="M95" t="n">
        <v>2.17</v>
      </c>
      <c r="N95" t="n">
        <v>0.460829</v>
      </c>
      <c r="O95" t="n">
        <v>0.598039</v>
      </c>
      <c r="P95" t="n">
        <v>0.042131</v>
      </c>
      <c r="Q95" t="n">
        <v>0.13721</v>
      </c>
      <c r="R95" t="n">
        <v>95</v>
      </c>
      <c r="S95" t="n">
        <v>1.25</v>
      </c>
      <c r="T95" t="inlineStr">
        <is>
          <t>measured-edge-margin-v2</t>
        </is>
      </c>
      <c r="U95" t="inlineStr">
        <is>
          <t>open</t>
        </is>
      </c>
      <c r="V95" t="inlineStr"/>
      <c r="W95" t="inlineStr"/>
      <c r="X95" t="inlineStr"/>
      <c r="Y95" t="inlineStr"/>
      <c r="Z95" t="inlineStr"/>
      <c r="AA95" t="inlineStr"/>
      <c r="AB95" t="inlineStr"/>
      <c r="AC95" t="inlineStr"/>
      <c r="AD95" t="inlineStr"/>
      <c r="AE95" t="inlineStr">
        <is>
          <t>Measured Edge Margin: Trend Engine projected 4.33-4.07; raw selected-side p=0.6493, calibrated p=0.5980.</t>
        </is>
      </c>
      <c r="AF95" t="inlineStr">
        <is>
          <t>Research-only; lineup, bullpen, park, weather, xFIP, and wRC+ may be neutral fallbacks; market availability and BBO depth may change before first pitch.</t>
        </is>
      </c>
      <c r="AG95" t="inlineStr">
        <is>
          <t>not_applicable</t>
        </is>
      </c>
      <c r="AH95" t="inlineStr"/>
      <c r="AI95" t="inlineStr"/>
      <c r="AJ95" t="inlineStr"/>
      <c r="AK95" t="inlineStr">
        <is>
          <t>model_qualified</t>
        </is>
      </c>
      <c r="AL95" t="n">
        <v>3</v>
      </c>
      <c r="AM95" t="inlineStr">
        <is>
          <t>QUALIFIED_SHADOW_CALL</t>
        </is>
      </c>
      <c r="AN95" t="inlineStr">
        <is>
          <t>CALL</t>
        </is>
      </c>
      <c r="AO95" t="inlineStr">
        <is>
          <t>QUALIFIED</t>
        </is>
      </c>
      <c r="AP95" t="inlineStr">
        <is>
          <t>mlb-mil</t>
        </is>
      </c>
      <c r="AQ95" t="inlineStr">
        <is>
          <t>Milwaukee Brewers</t>
        </is>
      </c>
      <c r="AR95" t="inlineStr">
        <is>
          <t>Milwaukee Brewers</t>
        </is>
      </c>
      <c r="AS95" t="inlineStr">
        <is>
          <t>mlb-laa</t>
        </is>
      </c>
      <c r="AT95" t="inlineStr">
        <is>
          <t>Los Angeles Angels</t>
        </is>
      </c>
      <c r="AU95" t="inlineStr">
        <is>
          <t>Los Angeles Angels</t>
        </is>
      </c>
      <c r="AV95" t="inlineStr"/>
      <c r="AW95" t="inlineStr"/>
      <c r="AX95" t="inlineStr">
        <is>
          <t>statistical_model</t>
        </is>
      </c>
      <c r="AY95" t="inlineStr"/>
      <c r="AZ95" t="inlineStr">
        <is>
          <t>research</t>
        </is>
      </c>
      <c r="BA95" t="inlineStr">
        <is>
          <t>8360b122264b796b0fb193095cfe4506c7e064e5f3f8c0a659aec41efd08dd25</t>
        </is>
      </c>
      <c r="BB95" t="inlineStr">
        <is>
          <t>flat_probability_shrinkage_toward_half</t>
        </is>
      </c>
      <c r="BC95" t="inlineStr">
        <is>
          <t>measured-edge-margin-v2</t>
        </is>
      </c>
      <c r="BD95" t="inlineStr">
        <is>
          <t>8360b122264b796b0fb193095cfe4506c7e064e5f3f8c0a659aec41efd08dd25</t>
        </is>
      </c>
      <c r="BE95" t="inlineStr">
        <is>
          <t>v3</t>
        </is>
      </c>
      <c r="BF95" t="n">
        <v>1</v>
      </c>
      <c r="BG95" t="inlineStr">
        <is>
          <t>measured-edge-paired-v1</t>
        </is>
      </c>
      <c r="BH95" t="inlineStr">
        <is>
          <t>2026-08-02T17:28:55.256054Z</t>
        </is>
      </c>
      <c r="BI95" t="inlineStr">
        <is>
          <t>["same_event","same_team_same_day","same_league_same_day"]</t>
        </is>
      </c>
      <c r="BJ95" t="n">
        <v>1.5</v>
      </c>
      <c r="BK95" t="n">
        <v>117</v>
      </c>
      <c r="BL95" t="n">
        <v>2.17</v>
      </c>
      <c r="BM95" t="n">
        <v>0.460829</v>
      </c>
      <c r="BN95" t="n">
        <v>0.457711</v>
      </c>
      <c r="BO95" t="inlineStr"/>
      <c r="BP95" t="inlineStr"/>
      <c r="BQ95" t="inlineStr"/>
      <c r="BR95" t="inlineStr"/>
      <c r="BS95" t="inlineStr"/>
      <c r="BT95" t="inlineStr"/>
      <c r="BU95" t="inlineStr"/>
      <c r="BV95" t="inlineStr"/>
      <c r="BW95" t="inlineStr"/>
      <c r="BX95" t="inlineStr"/>
      <c r="BY95" t="inlineStr"/>
      <c r="BZ95" t="inlineStr"/>
      <c r="CA95" t="inlineStr"/>
      <c r="CB95" t="inlineStr"/>
      <c r="CC95" t="inlineStr"/>
      <c r="CD95" t="inlineStr"/>
      <c r="CE95" t="inlineStr"/>
      <c r="CF95" t="inlineStr"/>
      <c r="CG95" t="inlineStr"/>
      <c r="CH95" t="inlineStr"/>
      <c r="CI95" t="inlineStr"/>
      <c r="CJ95" t="inlineStr"/>
      <c r="CK95" t="inlineStr"/>
      <c r="CL95" t="inlineStr"/>
      <c r="CM95" t="inlineStr"/>
      <c r="CN95" t="inlineStr"/>
      <c r="CO95" t="inlineStr"/>
      <c r="CP95" t="inlineStr"/>
      <c r="CQ95" t="inlineStr">
        <is>
          <t>True</t>
        </is>
      </c>
    </row>
    <row r="96">
      <c r="A96" t="inlineStr">
        <is>
          <t>e977585bc6074c75</t>
        </is>
      </c>
      <c r="B96" t="inlineStr">
        <is>
          <t>2026-08-02T17:28:55.256054Z</t>
        </is>
      </c>
      <c r="C96" t="inlineStr">
        <is>
          <t>2026-08-02T19:15Z</t>
        </is>
      </c>
      <c r="D96" t="inlineStr">
        <is>
          <t>401816374</t>
        </is>
      </c>
      <c r="E96" t="inlineStr">
        <is>
          <t>MLB</t>
        </is>
      </c>
      <c r="F96" t="inlineStr">
        <is>
          <t>Milwaukee Brewers</t>
        </is>
      </c>
      <c r="G96" t="inlineStr">
        <is>
          <t>Los Angeles Angels</t>
        </is>
      </c>
      <c r="H96" t="inlineStr">
        <is>
          <t>total</t>
        </is>
      </c>
      <c r="I96" t="inlineStr">
        <is>
          <t>over</t>
        </is>
      </c>
      <c r="J96" t="n">
        <v>7.5</v>
      </c>
      <c r="K96" t="inlineStr">
        <is>
          <t>polymarket_us</t>
        </is>
      </c>
      <c r="L96" t="n">
        <v>100</v>
      </c>
      <c r="M96" t="n">
        <v>2</v>
      </c>
      <c r="N96" t="n">
        <v>0.5</v>
      </c>
      <c r="O96" t="n">
        <v>0.5213100000000001</v>
      </c>
      <c r="P96" t="n">
        <v>0.042131</v>
      </c>
      <c r="Q96" t="n">
        <v>0.02131</v>
      </c>
      <c r="R96" t="n">
        <v>37</v>
      </c>
      <c r="S96" t="n">
        <v>1</v>
      </c>
      <c r="T96" t="inlineStr">
        <is>
          <t>measured-edge-totals-v2</t>
        </is>
      </c>
      <c r="U96" t="inlineStr">
        <is>
          <t>open</t>
        </is>
      </c>
      <c r="V96" t="inlineStr"/>
      <c r="W96" t="inlineStr"/>
      <c r="X96" t="inlineStr"/>
      <c r="Y96" t="inlineStr"/>
      <c r="Z96" t="inlineStr"/>
      <c r="AA96" t="inlineStr"/>
      <c r="AB96" t="inlineStr"/>
      <c r="AC96" t="inlineStr"/>
      <c r="AD96" t="inlineStr"/>
      <c r="AE96" t="inlineStr">
        <is>
          <t>Measured Edge Totals: Trend Engine projected 4.33-4.07; raw selected-side p=0.5391, calibrated p=0.5213.</t>
        </is>
      </c>
      <c r="AF96" t="inlineStr">
        <is>
          <t>Research-only; lineup, bullpen, park, weather, xFIP, and wRC+ may be neutral fallbacks; market availability and BBO depth may change before first pitch.</t>
        </is>
      </c>
      <c r="AG96" t="inlineStr">
        <is>
          <t>not_applicable</t>
        </is>
      </c>
      <c r="AH96" t="inlineStr"/>
      <c r="AI96" t="inlineStr"/>
      <c r="AJ96" t="inlineStr"/>
      <c r="AK96" t="inlineStr">
        <is>
          <t>model_qualified</t>
        </is>
      </c>
      <c r="AL96" t="n">
        <v>3</v>
      </c>
      <c r="AM96" t="inlineStr">
        <is>
          <t>QUALIFIED_SHADOW_CALL</t>
        </is>
      </c>
      <c r="AN96" t="inlineStr">
        <is>
          <t>CALL</t>
        </is>
      </c>
      <c r="AO96" t="inlineStr">
        <is>
          <t>QUALIFIED</t>
        </is>
      </c>
      <c r="AP96" t="inlineStr">
        <is>
          <t>mlb-mil</t>
        </is>
      </c>
      <c r="AQ96" t="inlineStr">
        <is>
          <t>Milwaukee Brewers</t>
        </is>
      </c>
      <c r="AR96" t="inlineStr">
        <is>
          <t>Milwaukee Brewers</t>
        </is>
      </c>
      <c r="AS96" t="inlineStr">
        <is>
          <t>mlb-laa</t>
        </is>
      </c>
      <c r="AT96" t="inlineStr">
        <is>
          <t>Los Angeles Angels</t>
        </is>
      </c>
      <c r="AU96" t="inlineStr">
        <is>
          <t>Los Angeles Angels</t>
        </is>
      </c>
      <c r="AV96" t="inlineStr"/>
      <c r="AW96" t="inlineStr"/>
      <c r="AX96" t="inlineStr">
        <is>
          <t>statistical_model</t>
        </is>
      </c>
      <c r="AY96" t="inlineStr"/>
      <c r="AZ96" t="inlineStr">
        <is>
          <t>research</t>
        </is>
      </c>
      <c r="BA96" t="inlineStr">
        <is>
          <t>433578016242b27f9c1c7132cc6b5a2bcc7dd1b0234590c12a944455a88e71bd</t>
        </is>
      </c>
      <c r="BB96" t="inlineStr">
        <is>
          <t>flat_probability_shrinkage_toward_half</t>
        </is>
      </c>
      <c r="BC96" t="inlineStr">
        <is>
          <t>measured-edge-totals-v2</t>
        </is>
      </c>
      <c r="BD96" t="inlineStr">
        <is>
          <t>433578016242b27f9c1c7132cc6b5a2bcc7dd1b0234590c12a944455a88e71bd</t>
        </is>
      </c>
      <c r="BE96" t="inlineStr">
        <is>
          <t>v3</t>
        </is>
      </c>
      <c r="BF96" t="n">
        <v>1</v>
      </c>
      <c r="BG96" t="inlineStr">
        <is>
          <t>measured-edge-paired-v1</t>
        </is>
      </c>
      <c r="BH96" t="inlineStr">
        <is>
          <t>2026-08-02T17:28:55.256054Z</t>
        </is>
      </c>
      <c r="BI96" t="inlineStr">
        <is>
          <t>["same_event","same_team_same_day","same_league_same_day"]</t>
        </is>
      </c>
      <c r="BJ96" t="n">
        <v>7.5</v>
      </c>
      <c r="BK96" t="n">
        <v>100</v>
      </c>
      <c r="BL96" t="n">
        <v>2</v>
      </c>
      <c r="BM96" t="n">
        <v>0.5</v>
      </c>
      <c r="BN96" t="n">
        <v>0.497512</v>
      </c>
      <c r="BO96" t="inlineStr"/>
      <c r="BP96" t="inlineStr"/>
      <c r="BQ96" t="inlineStr"/>
      <c r="BR96" t="inlineStr"/>
      <c r="BS96" t="inlineStr"/>
      <c r="BT96" t="inlineStr"/>
      <c r="BU96" t="inlineStr"/>
      <c r="BV96" t="inlineStr"/>
      <c r="BW96" t="inlineStr"/>
      <c r="BX96" t="inlineStr"/>
      <c r="BY96" t="inlineStr"/>
      <c r="BZ96" t="inlineStr"/>
      <c r="CA96" t="inlineStr"/>
      <c r="CB96" t="inlineStr"/>
      <c r="CC96" t="inlineStr"/>
      <c r="CD96" t="inlineStr"/>
      <c r="CE96" t="inlineStr"/>
      <c r="CF96" t="inlineStr"/>
      <c r="CG96" t="inlineStr"/>
      <c r="CH96" t="inlineStr"/>
      <c r="CI96" t="inlineStr"/>
      <c r="CJ96" t="inlineStr"/>
      <c r="CK96" t="inlineStr"/>
      <c r="CL96" t="inlineStr"/>
      <c r="CM96" t="inlineStr"/>
      <c r="CN96" t="inlineStr"/>
      <c r="CO96" t="inlineStr"/>
      <c r="CP96" t="inlineStr"/>
      <c r="CQ96" t="inlineStr">
        <is>
          <t>True</t>
        </is>
      </c>
    </row>
    <row r="97">
      <c r="A97" t="inlineStr">
        <is>
          <t>53e8a97c04d34179</t>
        </is>
      </c>
      <c r="B97" t="inlineStr">
        <is>
          <t>2026-08-02T17:28:55.256054Z</t>
        </is>
      </c>
      <c r="C97" t="inlineStr">
        <is>
          <t>2026-08-02T20:05Z</t>
        </is>
      </c>
      <c r="D97" t="inlineStr">
        <is>
          <t>401816373</t>
        </is>
      </c>
      <c r="E97" t="inlineStr">
        <is>
          <t>MLB</t>
        </is>
      </c>
      <c r="F97" t="inlineStr">
        <is>
          <t>Detroit Tigers</t>
        </is>
      </c>
      <c r="G97" t="inlineStr">
        <is>
          <t>Athletics</t>
        </is>
      </c>
      <c r="H97" t="inlineStr">
        <is>
          <t>spread</t>
        </is>
      </c>
      <c r="I97" t="inlineStr">
        <is>
          <t>home</t>
        </is>
      </c>
      <c r="J97" t="n">
        <v>1.5</v>
      </c>
      <c r="K97" t="inlineStr">
        <is>
          <t>polymarket_us</t>
        </is>
      </c>
      <c r="L97" t="n">
        <v>-141</v>
      </c>
      <c r="M97" t="n">
        <v>1.70922</v>
      </c>
      <c r="N97" t="n">
        <v>0.585062</v>
      </c>
      <c r="O97" t="n">
        <v>0.601844</v>
      </c>
      <c r="P97" t="n">
        <v>0.042131</v>
      </c>
      <c r="Q97" t="n">
        <v>0.016782</v>
      </c>
      <c r="R97" t="n">
        <v>35</v>
      </c>
      <c r="S97" t="n">
        <v>1.5</v>
      </c>
      <c r="T97" t="inlineStr">
        <is>
          <t>measured-edge-margin-v2</t>
        </is>
      </c>
      <c r="U97" t="inlineStr">
        <is>
          <t>open</t>
        </is>
      </c>
      <c r="V97" t="inlineStr"/>
      <c r="W97" t="inlineStr"/>
      <c r="X97" t="inlineStr"/>
      <c r="Y97" t="inlineStr"/>
      <c r="Z97" t="inlineStr"/>
      <c r="AA97" t="inlineStr"/>
      <c r="AB97" t="inlineStr"/>
      <c r="AC97" t="inlineStr"/>
      <c r="AD97" t="inlineStr"/>
      <c r="AE97" t="inlineStr">
        <is>
          <t>Measured Edge Margin: Trend Engine projected 4.86-4.74; raw selected-side p=0.6552, calibrated p=0.6018.</t>
        </is>
      </c>
      <c r="AF97" t="inlineStr">
        <is>
          <t>Research-only; lineup, bullpen, park, weather, xFIP, and wRC+ may be neutral fallbacks; market availability and BBO depth may change before first pitch.</t>
        </is>
      </c>
      <c r="AG97" t="inlineStr">
        <is>
          <t>not_applicable</t>
        </is>
      </c>
      <c r="AH97" t="inlineStr"/>
      <c r="AI97" t="inlineStr"/>
      <c r="AJ97" t="inlineStr"/>
      <c r="AK97" t="inlineStr">
        <is>
          <t>model_qualified</t>
        </is>
      </c>
      <c r="AL97" t="n">
        <v>3</v>
      </c>
      <c r="AM97" t="inlineStr">
        <is>
          <t>QUALIFIED_SHADOW_CALL</t>
        </is>
      </c>
      <c r="AN97" t="inlineStr">
        <is>
          <t>CALL</t>
        </is>
      </c>
      <c r="AO97" t="inlineStr">
        <is>
          <t>QUALIFIED</t>
        </is>
      </c>
      <c r="AP97" t="inlineStr">
        <is>
          <t>mlb-det</t>
        </is>
      </c>
      <c r="AQ97" t="inlineStr">
        <is>
          <t>Detroit Tigers</t>
        </is>
      </c>
      <c r="AR97" t="inlineStr">
        <is>
          <t>Detroit Tigers</t>
        </is>
      </c>
      <c r="AS97" t="inlineStr">
        <is>
          <t>mlb-ath</t>
        </is>
      </c>
      <c r="AT97" t="inlineStr">
        <is>
          <t>Athletics</t>
        </is>
      </c>
      <c r="AU97" t="inlineStr">
        <is>
          <t>Athletics</t>
        </is>
      </c>
      <c r="AV97" t="inlineStr"/>
      <c r="AW97" t="inlineStr"/>
      <c r="AX97" t="inlineStr">
        <is>
          <t>statistical_model</t>
        </is>
      </c>
      <c r="AY97" t="inlineStr"/>
      <c r="AZ97" t="inlineStr">
        <is>
          <t>research</t>
        </is>
      </c>
      <c r="BA97" t="inlineStr">
        <is>
          <t>8360b122264b796b0fb193095cfe4506c7e064e5f3f8c0a659aec41efd08dd25</t>
        </is>
      </c>
      <c r="BB97" t="inlineStr">
        <is>
          <t>flat_probability_shrinkage_toward_half</t>
        </is>
      </c>
      <c r="BC97" t="inlineStr">
        <is>
          <t>measured-edge-margin-v2</t>
        </is>
      </c>
      <c r="BD97" t="inlineStr">
        <is>
          <t>8360b122264b796b0fb193095cfe4506c7e064e5f3f8c0a659aec41efd08dd25</t>
        </is>
      </c>
      <c r="BE97" t="inlineStr">
        <is>
          <t>v3</t>
        </is>
      </c>
      <c r="BF97" t="n">
        <v>1</v>
      </c>
      <c r="BG97" t="inlineStr">
        <is>
          <t>measured-edge-paired-v1</t>
        </is>
      </c>
      <c r="BH97" t="inlineStr">
        <is>
          <t>2026-08-02T17:28:55.256054Z</t>
        </is>
      </c>
      <c r="BI97" t="inlineStr">
        <is>
          <t>["same_event","same_team_same_day","same_league_same_day"]</t>
        </is>
      </c>
      <c r="BJ97" t="n">
        <v>1.5</v>
      </c>
      <c r="BK97" t="n">
        <v>-141</v>
      </c>
      <c r="BL97" t="n">
        <v>1.70922</v>
      </c>
      <c r="BM97" t="n">
        <v>0.585062</v>
      </c>
      <c r="BN97" t="n">
        <v>0.58209</v>
      </c>
      <c r="BO97" t="inlineStr"/>
      <c r="BP97" t="inlineStr"/>
      <c r="BQ97" t="inlineStr"/>
      <c r="BR97" t="inlineStr"/>
      <c r="BS97" t="inlineStr"/>
      <c r="BT97" t="inlineStr"/>
      <c r="BU97" t="inlineStr"/>
      <c r="BV97" t="inlineStr"/>
      <c r="BW97" t="inlineStr"/>
      <c r="BX97" t="inlineStr"/>
      <c r="BY97" t="inlineStr"/>
      <c r="BZ97" t="inlineStr"/>
      <c r="CA97" t="inlineStr"/>
      <c r="CB97" t="inlineStr"/>
      <c r="CC97" t="inlineStr"/>
      <c r="CD97" t="inlineStr"/>
      <c r="CE97" t="inlineStr"/>
      <c r="CF97" t="inlineStr"/>
      <c r="CG97" t="inlineStr"/>
      <c r="CH97" t="inlineStr"/>
      <c r="CI97" t="inlineStr"/>
      <c r="CJ97" t="inlineStr"/>
      <c r="CK97" t="inlineStr"/>
      <c r="CL97" t="inlineStr"/>
      <c r="CM97" t="inlineStr"/>
      <c r="CN97" t="inlineStr"/>
      <c r="CO97" t="inlineStr"/>
      <c r="CP97" t="inlineStr"/>
      <c r="CQ97" t="inlineStr">
        <is>
          <t>True</t>
        </is>
      </c>
    </row>
    <row r="98">
      <c r="A98" t="inlineStr">
        <is>
          <t>74543f3b0c1c47f2</t>
        </is>
      </c>
      <c r="B98" t="inlineStr">
        <is>
          <t>2026-08-02T17:28:55.256054Z</t>
        </is>
      </c>
      <c r="C98" t="inlineStr">
        <is>
          <t>2026-08-02T20:05Z</t>
        </is>
      </c>
      <c r="D98" t="inlineStr">
        <is>
          <t>401816373</t>
        </is>
      </c>
      <c r="E98" t="inlineStr">
        <is>
          <t>MLB</t>
        </is>
      </c>
      <c r="F98" t="inlineStr">
        <is>
          <t>Detroit Tigers</t>
        </is>
      </c>
      <c r="G98" t="inlineStr">
        <is>
          <t>Athletics</t>
        </is>
      </c>
      <c r="H98" t="inlineStr">
        <is>
          <t>total</t>
        </is>
      </c>
      <c r="I98" t="inlineStr">
        <is>
          <t>under</t>
        </is>
      </c>
      <c r="J98" t="n">
        <v>10.5</v>
      </c>
      <c r="K98" t="inlineStr">
        <is>
          <t>polymarket_us</t>
        </is>
      </c>
      <c r="L98" t="n">
        <v>104</v>
      </c>
      <c r="M98" t="n">
        <v>2.04</v>
      </c>
      <c r="N98" t="n">
        <v>0.490196</v>
      </c>
      <c r="O98" t="n">
        <v>0.547724</v>
      </c>
      <c r="P98" t="n">
        <v>0.042131</v>
      </c>
      <c r="Q98" t="n">
        <v>0.057528</v>
      </c>
      <c r="R98" t="n">
        <v>55</v>
      </c>
      <c r="S98" t="n">
        <v>1</v>
      </c>
      <c r="T98" t="inlineStr">
        <is>
          <t>measured-edge-totals-v2</t>
        </is>
      </c>
      <c r="U98" t="inlineStr">
        <is>
          <t>open</t>
        </is>
      </c>
      <c r="V98" t="inlineStr"/>
      <c r="W98" t="inlineStr"/>
      <c r="X98" t="inlineStr"/>
      <c r="Y98" t="inlineStr"/>
      <c r="Z98" t="inlineStr"/>
      <c r="AA98" t="inlineStr"/>
      <c r="AB98" t="inlineStr"/>
      <c r="AC98" t="inlineStr"/>
      <c r="AD98" t="inlineStr"/>
      <c r="AE98" t="inlineStr">
        <is>
          <t>Measured Edge Totals: Trend Engine projected 4.86-4.74; raw selected-side p=0.6164, calibrated p=0.5477.</t>
        </is>
      </c>
      <c r="AF98" t="inlineStr">
        <is>
          <t>Research-only; lineup, bullpen, park, weather, xFIP, and wRC+ may be neutral fallbacks; market availability and BBO depth may change before first pitch.</t>
        </is>
      </c>
      <c r="AG98" t="inlineStr">
        <is>
          <t>not_applicable</t>
        </is>
      </c>
      <c r="AH98" t="inlineStr"/>
      <c r="AI98" t="inlineStr"/>
      <c r="AJ98" t="inlineStr"/>
      <c r="AK98" t="inlineStr">
        <is>
          <t>model_qualified</t>
        </is>
      </c>
      <c r="AL98" t="n">
        <v>3</v>
      </c>
      <c r="AM98" t="inlineStr">
        <is>
          <t>QUALIFIED_SHADOW_CALL</t>
        </is>
      </c>
      <c r="AN98" t="inlineStr">
        <is>
          <t>CALL</t>
        </is>
      </c>
      <c r="AO98" t="inlineStr">
        <is>
          <t>QUALIFIED</t>
        </is>
      </c>
      <c r="AP98" t="inlineStr">
        <is>
          <t>mlb-det</t>
        </is>
      </c>
      <c r="AQ98" t="inlineStr">
        <is>
          <t>Detroit Tigers</t>
        </is>
      </c>
      <c r="AR98" t="inlineStr">
        <is>
          <t>Detroit Tigers</t>
        </is>
      </c>
      <c r="AS98" t="inlineStr">
        <is>
          <t>mlb-ath</t>
        </is>
      </c>
      <c r="AT98" t="inlineStr">
        <is>
          <t>Athletics</t>
        </is>
      </c>
      <c r="AU98" t="inlineStr">
        <is>
          <t>Athletics</t>
        </is>
      </c>
      <c r="AV98" t="inlineStr"/>
      <c r="AW98" t="inlineStr"/>
      <c r="AX98" t="inlineStr">
        <is>
          <t>statistical_model</t>
        </is>
      </c>
      <c r="AY98" t="inlineStr"/>
      <c r="AZ98" t="inlineStr">
        <is>
          <t>research</t>
        </is>
      </c>
      <c r="BA98" t="inlineStr">
        <is>
          <t>433578016242b27f9c1c7132cc6b5a2bcc7dd1b0234590c12a944455a88e71bd</t>
        </is>
      </c>
      <c r="BB98" t="inlineStr">
        <is>
          <t>flat_probability_shrinkage_toward_half</t>
        </is>
      </c>
      <c r="BC98" t="inlineStr">
        <is>
          <t>measured-edge-totals-v2</t>
        </is>
      </c>
      <c r="BD98" t="inlineStr">
        <is>
          <t>433578016242b27f9c1c7132cc6b5a2bcc7dd1b0234590c12a944455a88e71bd</t>
        </is>
      </c>
      <c r="BE98" t="inlineStr">
        <is>
          <t>v3</t>
        </is>
      </c>
      <c r="BF98" t="n">
        <v>1</v>
      </c>
      <c r="BG98" t="inlineStr">
        <is>
          <t>measured-edge-paired-v1</t>
        </is>
      </c>
      <c r="BH98" t="inlineStr">
        <is>
          <t>2026-08-02T17:28:55.256054Z</t>
        </is>
      </c>
      <c r="BI98" t="inlineStr">
        <is>
          <t>["same_event","same_team_same_day","same_league_same_day"]</t>
        </is>
      </c>
      <c r="BJ98" t="n">
        <v>10.5</v>
      </c>
      <c r="BK98" t="n">
        <v>104</v>
      </c>
      <c r="BL98" t="n">
        <v>2.04</v>
      </c>
      <c r="BM98" t="n">
        <v>0.490196</v>
      </c>
      <c r="BN98" t="n">
        <v>0.487562</v>
      </c>
      <c r="BO98" t="inlineStr"/>
      <c r="BP98" t="inlineStr"/>
      <c r="BQ98" t="inlineStr"/>
      <c r="BR98" t="inlineStr"/>
      <c r="BS98" t="inlineStr"/>
      <c r="BT98" t="inlineStr"/>
      <c r="BU98" t="inlineStr"/>
      <c r="BV98" t="inlineStr"/>
      <c r="BW98" t="inlineStr"/>
      <c r="BX98" t="inlineStr"/>
      <c r="BY98" t="inlineStr"/>
      <c r="BZ98" t="inlineStr"/>
      <c r="CA98" t="inlineStr"/>
      <c r="CB98" t="inlineStr"/>
      <c r="CC98" t="inlineStr"/>
      <c r="CD98" t="inlineStr"/>
      <c r="CE98" t="inlineStr"/>
      <c r="CF98" t="inlineStr"/>
      <c r="CG98" t="inlineStr"/>
      <c r="CH98" t="inlineStr"/>
      <c r="CI98" t="inlineStr"/>
      <c r="CJ98" t="inlineStr"/>
      <c r="CK98" t="inlineStr"/>
      <c r="CL98" t="inlineStr"/>
      <c r="CM98" t="inlineStr"/>
      <c r="CN98" t="inlineStr"/>
      <c r="CO98" t="inlineStr"/>
      <c r="CP98" t="inlineStr"/>
      <c r="CQ98" t="inlineStr">
        <is>
          <t>True</t>
        </is>
      </c>
    </row>
    <row r="99">
      <c r="A99" t="inlineStr">
        <is>
          <t>63ba5c529fd44095</t>
        </is>
      </c>
      <c r="B99" t="inlineStr">
        <is>
          <t>2026-08-02T17:28:55.256054Z</t>
        </is>
      </c>
      <c r="C99" t="inlineStr">
        <is>
          <t>2026-08-02T20:10Z</t>
        </is>
      </c>
      <c r="D99" t="inlineStr">
        <is>
          <t>401816375</t>
        </is>
      </c>
      <c r="E99" t="inlineStr">
        <is>
          <t>MLB</t>
        </is>
      </c>
      <c r="F99" t="inlineStr">
        <is>
          <t>Minnesota Twins</t>
        </is>
      </c>
      <c r="G99" t="inlineStr">
        <is>
          <t>Seattle Mariners</t>
        </is>
      </c>
      <c r="H99" t="inlineStr">
        <is>
          <t>spread</t>
        </is>
      </c>
      <c r="I99" t="inlineStr">
        <is>
          <t>away</t>
        </is>
      </c>
      <c r="J99" t="n">
        <v>1.5</v>
      </c>
      <c r="K99" t="inlineStr">
        <is>
          <t>polymarket_us</t>
        </is>
      </c>
      <c r="L99" t="n">
        <v>-174</v>
      </c>
      <c r="M99" t="n">
        <v>1.574713</v>
      </c>
      <c r="N99" t="n">
        <v>0.635036</v>
      </c>
      <c r="O99" t="n">
        <v>0.607388</v>
      </c>
      <c r="P99" t="n">
        <v>0.042131</v>
      </c>
      <c r="Q99" t="n">
        <v>-0.027648</v>
      </c>
      <c r="R99" t="n">
        <v>12</v>
      </c>
      <c r="S99" t="n">
        <v>1.5</v>
      </c>
      <c r="T99" t="inlineStr">
        <is>
          <t>measured-edge-margin-v2</t>
        </is>
      </c>
      <c r="U99" t="inlineStr">
        <is>
          <t>open</t>
        </is>
      </c>
      <c r="V99" t="inlineStr"/>
      <c r="W99" t="inlineStr"/>
      <c r="X99" t="inlineStr"/>
      <c r="Y99" t="inlineStr"/>
      <c r="Z99" t="inlineStr"/>
      <c r="AA99" t="inlineStr"/>
      <c r="AB99" t="inlineStr"/>
      <c r="AC99" t="inlineStr"/>
      <c r="AD99" t="inlineStr"/>
      <c r="AE99" t="inlineStr">
        <is>
          <t>Measured Edge Margin: Trend Engine projected 4.39-4.46; raw selected-side p=0.6636, calibrated p=0.6074.</t>
        </is>
      </c>
      <c r="AF99" t="inlineStr">
        <is>
          <t>Research-only; lineup, bullpen, park, weather, xFIP, and wRC+ may be neutral fallbacks; market availability and BBO depth may change before first pitch.</t>
        </is>
      </c>
      <c r="AG99" t="inlineStr">
        <is>
          <t>not_applicable</t>
        </is>
      </c>
      <c r="AH99" t="inlineStr"/>
      <c r="AI99" t="inlineStr"/>
      <c r="AJ99" t="inlineStr"/>
      <c r="AK99" t="inlineStr">
        <is>
          <t>model_qualified</t>
        </is>
      </c>
      <c r="AL99" t="n">
        <v>3</v>
      </c>
      <c r="AM99" t="inlineStr">
        <is>
          <t>QUALIFIED_SHADOW_CALL</t>
        </is>
      </c>
      <c r="AN99" t="inlineStr">
        <is>
          <t>CALL</t>
        </is>
      </c>
      <c r="AO99" t="inlineStr">
        <is>
          <t>QUALIFIED</t>
        </is>
      </c>
      <c r="AP99" t="inlineStr">
        <is>
          <t>mlb-min</t>
        </is>
      </c>
      <c r="AQ99" t="inlineStr">
        <is>
          <t>Minnesota Twins</t>
        </is>
      </c>
      <c r="AR99" t="inlineStr">
        <is>
          <t>Minnesota Twins</t>
        </is>
      </c>
      <c r="AS99" t="inlineStr">
        <is>
          <t>mlb-sea</t>
        </is>
      </c>
      <c r="AT99" t="inlineStr">
        <is>
          <t>Seattle Mariners</t>
        </is>
      </c>
      <c r="AU99" t="inlineStr">
        <is>
          <t>Seattle Mariners</t>
        </is>
      </c>
      <c r="AV99" t="inlineStr"/>
      <c r="AW99" t="inlineStr"/>
      <c r="AX99" t="inlineStr">
        <is>
          <t>statistical_model</t>
        </is>
      </c>
      <c r="AY99" t="inlineStr"/>
      <c r="AZ99" t="inlineStr">
        <is>
          <t>research</t>
        </is>
      </c>
      <c r="BA99" t="inlineStr">
        <is>
          <t>8360b122264b796b0fb193095cfe4506c7e064e5f3f8c0a659aec41efd08dd25</t>
        </is>
      </c>
      <c r="BB99" t="inlineStr">
        <is>
          <t>flat_probability_shrinkage_toward_half</t>
        </is>
      </c>
      <c r="BC99" t="inlineStr">
        <is>
          <t>measured-edge-margin-v2</t>
        </is>
      </c>
      <c r="BD99" t="inlineStr">
        <is>
          <t>8360b122264b796b0fb193095cfe4506c7e064e5f3f8c0a659aec41efd08dd25</t>
        </is>
      </c>
      <c r="BE99" t="inlineStr">
        <is>
          <t>v3</t>
        </is>
      </c>
      <c r="BF99" t="n">
        <v>1</v>
      </c>
      <c r="BG99" t="inlineStr">
        <is>
          <t>measured-edge-paired-v1</t>
        </is>
      </c>
      <c r="BH99" t="inlineStr">
        <is>
          <t>2026-08-02T17:28:55.256054Z</t>
        </is>
      </c>
      <c r="BI99" t="inlineStr">
        <is>
          <t>["same_event","same_team_same_day","same_league_same_day"]</t>
        </is>
      </c>
      <c r="BJ99" t="n">
        <v>1.5</v>
      </c>
      <c r="BK99" t="n">
        <v>-174</v>
      </c>
      <c r="BL99" t="n">
        <v>1.574713</v>
      </c>
      <c r="BM99" t="n">
        <v>0.635036</v>
      </c>
      <c r="BN99" t="n">
        <v>0.631841</v>
      </c>
      <c r="BO99" t="inlineStr"/>
      <c r="BP99" t="inlineStr"/>
      <c r="BQ99" t="inlineStr"/>
      <c r="BR99" t="inlineStr"/>
      <c r="BS99" t="inlineStr"/>
      <c r="BT99" t="inlineStr"/>
      <c r="BU99" t="inlineStr"/>
      <c r="BV99" t="inlineStr"/>
      <c r="BW99" t="inlineStr"/>
      <c r="BX99" t="inlineStr"/>
      <c r="BY99" t="inlineStr"/>
      <c r="BZ99" t="inlineStr"/>
      <c r="CA99" t="inlineStr"/>
      <c r="CB99" t="inlineStr"/>
      <c r="CC99" t="inlineStr"/>
      <c r="CD99" t="inlineStr"/>
      <c r="CE99" t="inlineStr"/>
      <c r="CF99" t="inlineStr"/>
      <c r="CG99" t="inlineStr"/>
      <c r="CH99" t="inlineStr"/>
      <c r="CI99" t="inlineStr"/>
      <c r="CJ99" t="inlineStr"/>
      <c r="CK99" t="inlineStr"/>
      <c r="CL99" t="inlineStr"/>
      <c r="CM99" t="inlineStr"/>
      <c r="CN99" t="inlineStr"/>
      <c r="CO99" t="inlineStr"/>
      <c r="CP99" t="inlineStr"/>
      <c r="CQ99" t="inlineStr">
        <is>
          <t>False</t>
        </is>
      </c>
    </row>
    <row r="100">
      <c r="A100" t="inlineStr">
        <is>
          <t>2300cae97ea34e26</t>
        </is>
      </c>
      <c r="B100" t="inlineStr">
        <is>
          <t>2026-08-02T17:28:55.256054Z</t>
        </is>
      </c>
      <c r="C100" t="inlineStr">
        <is>
          <t>2026-08-02T20:10Z</t>
        </is>
      </c>
      <c r="D100" t="inlineStr">
        <is>
          <t>401816375</t>
        </is>
      </c>
      <c r="E100" t="inlineStr">
        <is>
          <t>MLB</t>
        </is>
      </c>
      <c r="F100" t="inlineStr">
        <is>
          <t>Minnesota Twins</t>
        </is>
      </c>
      <c r="G100" t="inlineStr">
        <is>
          <t>Seattle Mariners</t>
        </is>
      </c>
      <c r="H100" t="inlineStr">
        <is>
          <t>total</t>
        </is>
      </c>
      <c r="I100" t="inlineStr">
        <is>
          <t>over</t>
        </is>
      </c>
      <c r="J100" t="n">
        <v>7.5</v>
      </c>
      <c r="K100" t="inlineStr">
        <is>
          <t>polymarket_us</t>
        </is>
      </c>
      <c r="L100" t="n">
        <v>125</v>
      </c>
      <c r="M100" t="n">
        <v>2.25</v>
      </c>
      <c r="N100" t="n">
        <v>0.444444</v>
      </c>
      <c r="O100" t="n">
        <v>0.536038</v>
      </c>
      <c r="P100" t="n">
        <v>0.042131</v>
      </c>
      <c r="Q100" t="n">
        <v>0.09159399999999999</v>
      </c>
      <c r="R100" t="n">
        <v>71</v>
      </c>
      <c r="S100" t="n">
        <v>1</v>
      </c>
      <c r="T100" t="inlineStr">
        <is>
          <t>measured-edge-totals-v2</t>
        </is>
      </c>
      <c r="U100" t="inlineStr">
        <is>
          <t>open</t>
        </is>
      </c>
      <c r="V100" t="inlineStr"/>
      <c r="W100" t="inlineStr"/>
      <c r="X100" t="inlineStr"/>
      <c r="Y100" t="inlineStr"/>
      <c r="Z100" t="inlineStr"/>
      <c r="AA100" t="inlineStr"/>
      <c r="AB100" t="inlineStr"/>
      <c r="AC100" t="inlineStr"/>
      <c r="AD100" t="inlineStr"/>
      <c r="AE100" t="inlineStr">
        <is>
          <t>Measured Edge Totals: Trend Engine projected 4.39-4.46; raw selected-side p=0.5822, calibrated p=0.5360.</t>
        </is>
      </c>
      <c r="AF100" t="inlineStr">
        <is>
          <t>Research-only; lineup, bullpen, park, weather, xFIP, and wRC+ may be neutral fallbacks; market availability and BBO depth may change before first pitch.</t>
        </is>
      </c>
      <c r="AG100" t="inlineStr">
        <is>
          <t>not_applicable</t>
        </is>
      </c>
      <c r="AH100" t="inlineStr"/>
      <c r="AI100" t="inlineStr"/>
      <c r="AJ100" t="inlineStr"/>
      <c r="AK100" t="inlineStr">
        <is>
          <t>model_qualified</t>
        </is>
      </c>
      <c r="AL100" t="n">
        <v>3</v>
      </c>
      <c r="AM100" t="inlineStr">
        <is>
          <t>QUALIFIED_SHADOW_CALL</t>
        </is>
      </c>
      <c r="AN100" t="inlineStr">
        <is>
          <t>CALL</t>
        </is>
      </c>
      <c r="AO100" t="inlineStr">
        <is>
          <t>QUALIFIED</t>
        </is>
      </c>
      <c r="AP100" t="inlineStr">
        <is>
          <t>mlb-min</t>
        </is>
      </c>
      <c r="AQ100" t="inlineStr">
        <is>
          <t>Minnesota Twins</t>
        </is>
      </c>
      <c r="AR100" t="inlineStr">
        <is>
          <t>Minnesota Twins</t>
        </is>
      </c>
      <c r="AS100" t="inlineStr">
        <is>
          <t>mlb-sea</t>
        </is>
      </c>
      <c r="AT100" t="inlineStr">
        <is>
          <t>Seattle Mariners</t>
        </is>
      </c>
      <c r="AU100" t="inlineStr">
        <is>
          <t>Seattle Mariners</t>
        </is>
      </c>
      <c r="AV100" t="inlineStr"/>
      <c r="AW100" t="inlineStr"/>
      <c r="AX100" t="inlineStr">
        <is>
          <t>statistical_model</t>
        </is>
      </c>
      <c r="AY100" t="inlineStr"/>
      <c r="AZ100" t="inlineStr">
        <is>
          <t>research</t>
        </is>
      </c>
      <c r="BA100" t="inlineStr">
        <is>
          <t>433578016242b27f9c1c7132cc6b5a2bcc7dd1b0234590c12a944455a88e71bd</t>
        </is>
      </c>
      <c r="BB100" t="inlineStr">
        <is>
          <t>flat_probability_shrinkage_toward_half</t>
        </is>
      </c>
      <c r="BC100" t="inlineStr">
        <is>
          <t>measured-edge-totals-v2</t>
        </is>
      </c>
      <c r="BD100" t="inlineStr">
        <is>
          <t>433578016242b27f9c1c7132cc6b5a2bcc7dd1b0234590c12a944455a88e71bd</t>
        </is>
      </c>
      <c r="BE100" t="inlineStr">
        <is>
          <t>v3</t>
        </is>
      </c>
      <c r="BF100" t="n">
        <v>1</v>
      </c>
      <c r="BG100" t="inlineStr">
        <is>
          <t>measured-edge-paired-v1</t>
        </is>
      </c>
      <c r="BH100" t="inlineStr">
        <is>
          <t>2026-08-02T17:28:55.256054Z</t>
        </is>
      </c>
      <c r="BI100" t="inlineStr">
        <is>
          <t>["same_event","same_team_same_day","same_league_same_day"]</t>
        </is>
      </c>
      <c r="BJ100" t="n">
        <v>7.5</v>
      </c>
      <c r="BK100" t="n">
        <v>125</v>
      </c>
      <c r="BL100" t="n">
        <v>2.25</v>
      </c>
      <c r="BM100" t="n">
        <v>0.444444</v>
      </c>
      <c r="BN100" t="n">
        <v>0.442786</v>
      </c>
      <c r="BO100" t="inlineStr"/>
      <c r="BP100" t="inlineStr"/>
      <c r="BQ100" t="inlineStr"/>
      <c r="BR100" t="inlineStr"/>
      <c r="BS100" t="inlineStr"/>
      <c r="BT100" t="inlineStr"/>
      <c r="BU100" t="inlineStr"/>
      <c r="BV100" t="inlineStr"/>
      <c r="BW100" t="inlineStr"/>
      <c r="BX100" t="inlineStr"/>
      <c r="BY100" t="inlineStr"/>
      <c r="BZ100" t="inlineStr"/>
      <c r="CA100" t="inlineStr"/>
      <c r="CB100" t="inlineStr"/>
      <c r="CC100" t="inlineStr"/>
      <c r="CD100" t="inlineStr"/>
      <c r="CE100" t="inlineStr"/>
      <c r="CF100" t="inlineStr"/>
      <c r="CG100" t="inlineStr"/>
      <c r="CH100" t="inlineStr"/>
      <c r="CI100" t="inlineStr"/>
      <c r="CJ100" t="inlineStr"/>
      <c r="CK100" t="inlineStr"/>
      <c r="CL100" t="inlineStr"/>
      <c r="CM100" t="inlineStr"/>
      <c r="CN100" t="inlineStr"/>
      <c r="CO100" t="inlineStr"/>
      <c r="CP100" t="inlineStr"/>
      <c r="CQ100" t="inlineStr">
        <is>
          <t>True</t>
        </is>
      </c>
    </row>
    <row r="101">
      <c r="A101" t="inlineStr">
        <is>
          <t>af161a405e684e9b</t>
        </is>
      </c>
      <c r="B101" t="inlineStr">
        <is>
          <t>2026-08-02T17:28:55.256054Z</t>
        </is>
      </c>
      <c r="C101" t="inlineStr">
        <is>
          <t>2026-08-02T20:10Z</t>
        </is>
      </c>
      <c r="D101" t="inlineStr">
        <is>
          <t>401816376</t>
        </is>
      </c>
      <c r="E101" t="inlineStr">
        <is>
          <t>MLB</t>
        </is>
      </c>
      <c r="F101" t="inlineStr">
        <is>
          <t>San Francisco Giants</t>
        </is>
      </c>
      <c r="G101" t="inlineStr">
        <is>
          <t>San Diego Padres</t>
        </is>
      </c>
      <c r="H101" t="inlineStr">
        <is>
          <t>spread</t>
        </is>
      </c>
      <c r="I101" t="inlineStr">
        <is>
          <t>away</t>
        </is>
      </c>
      <c r="J101" t="n">
        <v>1.5</v>
      </c>
      <c r="K101" t="inlineStr">
        <is>
          <t>polymarket_us</t>
        </is>
      </c>
      <c r="L101" t="n">
        <v>-174</v>
      </c>
      <c r="M101" t="n">
        <v>1.574713</v>
      </c>
      <c r="N101" t="n">
        <v>0.635036</v>
      </c>
      <c r="O101" t="n">
        <v>0.599023</v>
      </c>
      <c r="P101" t="n">
        <v>0.042131</v>
      </c>
      <c r="Q101" t="n">
        <v>-0.036013</v>
      </c>
      <c r="R101" t="n">
        <v>8</v>
      </c>
      <c r="S101" t="n">
        <v>1.5</v>
      </c>
      <c r="T101" t="inlineStr">
        <is>
          <t>measured-edge-margin-v2</t>
        </is>
      </c>
      <c r="U101" t="inlineStr">
        <is>
          <t>open</t>
        </is>
      </c>
      <c r="V101" t="inlineStr"/>
      <c r="W101" t="inlineStr"/>
      <c r="X101" t="inlineStr"/>
      <c r="Y101" t="inlineStr"/>
      <c r="Z101" t="inlineStr"/>
      <c r="AA101" t="inlineStr"/>
      <c r="AB101" t="inlineStr"/>
      <c r="AC101" t="inlineStr"/>
      <c r="AD101" t="inlineStr"/>
      <c r="AE101" t="inlineStr">
        <is>
          <t>Measured Edge Margin: Trend Engine projected 4.55-4.69; raw selected-side p=0.6509, calibrated p=0.5990.</t>
        </is>
      </c>
      <c r="AF101" t="inlineStr">
        <is>
          <t>Research-only; lineup, bullpen, park, weather, xFIP, and wRC+ may be neutral fallbacks; market availability and BBO depth may change before first pitch.</t>
        </is>
      </c>
      <c r="AG101" t="inlineStr">
        <is>
          <t>not_applicable</t>
        </is>
      </c>
      <c r="AH101" t="inlineStr"/>
      <c r="AI101" t="inlineStr"/>
      <c r="AJ101" t="inlineStr"/>
      <c r="AK101" t="inlineStr">
        <is>
          <t>model_qualified</t>
        </is>
      </c>
      <c r="AL101" t="n">
        <v>3</v>
      </c>
      <c r="AM101" t="inlineStr">
        <is>
          <t>QUALIFIED_SHADOW_CALL</t>
        </is>
      </c>
      <c r="AN101" t="inlineStr">
        <is>
          <t>CALL</t>
        </is>
      </c>
      <c r="AO101" t="inlineStr">
        <is>
          <t>QUALIFIED</t>
        </is>
      </c>
      <c r="AP101" t="inlineStr">
        <is>
          <t>mlb-sf</t>
        </is>
      </c>
      <c r="AQ101" t="inlineStr">
        <is>
          <t>San Francisco Giants</t>
        </is>
      </c>
      <c r="AR101" t="inlineStr">
        <is>
          <t>San Francisco Giants</t>
        </is>
      </c>
      <c r="AS101" t="inlineStr">
        <is>
          <t>mlb-sd</t>
        </is>
      </c>
      <c r="AT101" t="inlineStr">
        <is>
          <t>San Diego Padres</t>
        </is>
      </c>
      <c r="AU101" t="inlineStr">
        <is>
          <t>San Diego Padres</t>
        </is>
      </c>
      <c r="AV101" t="inlineStr"/>
      <c r="AW101" t="inlineStr"/>
      <c r="AX101" t="inlineStr">
        <is>
          <t>statistical_model</t>
        </is>
      </c>
      <c r="AY101" t="inlineStr"/>
      <c r="AZ101" t="inlineStr">
        <is>
          <t>research</t>
        </is>
      </c>
      <c r="BA101" t="inlineStr">
        <is>
          <t>8360b122264b796b0fb193095cfe4506c7e064e5f3f8c0a659aec41efd08dd25</t>
        </is>
      </c>
      <c r="BB101" t="inlineStr">
        <is>
          <t>flat_probability_shrinkage_toward_half</t>
        </is>
      </c>
      <c r="BC101" t="inlineStr">
        <is>
          <t>measured-edge-margin-v2</t>
        </is>
      </c>
      <c r="BD101" t="inlineStr">
        <is>
          <t>8360b122264b796b0fb193095cfe4506c7e064e5f3f8c0a659aec41efd08dd25</t>
        </is>
      </c>
      <c r="BE101" t="inlineStr">
        <is>
          <t>v3</t>
        </is>
      </c>
      <c r="BF101" t="n">
        <v>1</v>
      </c>
      <c r="BG101" t="inlineStr">
        <is>
          <t>measured-edge-paired-v1</t>
        </is>
      </c>
      <c r="BH101" t="inlineStr">
        <is>
          <t>2026-08-02T17:28:55.256054Z</t>
        </is>
      </c>
      <c r="BI101" t="inlineStr">
        <is>
          <t>["same_event","same_team_same_day","same_league_same_day"]</t>
        </is>
      </c>
      <c r="BJ101" t="n">
        <v>1.5</v>
      </c>
      <c r="BK101" t="n">
        <v>-174</v>
      </c>
      <c r="BL101" t="n">
        <v>1.574713</v>
      </c>
      <c r="BM101" t="n">
        <v>0.635036</v>
      </c>
      <c r="BN101" t="n">
        <v>0.631841</v>
      </c>
      <c r="BO101" t="inlineStr"/>
      <c r="BP101" t="inlineStr"/>
      <c r="BQ101" t="inlineStr"/>
      <c r="BR101" t="inlineStr"/>
      <c r="BS101" t="inlineStr"/>
      <c r="BT101" t="inlineStr"/>
      <c r="BU101" t="inlineStr"/>
      <c r="BV101" t="inlineStr"/>
      <c r="BW101" t="inlineStr"/>
      <c r="BX101" t="inlineStr"/>
      <c r="BY101" t="inlineStr"/>
      <c r="BZ101" t="inlineStr"/>
      <c r="CA101" t="inlineStr"/>
      <c r="CB101" t="inlineStr"/>
      <c r="CC101" t="inlineStr"/>
      <c r="CD101" t="inlineStr"/>
      <c r="CE101" t="inlineStr"/>
      <c r="CF101" t="inlineStr"/>
      <c r="CG101" t="inlineStr"/>
      <c r="CH101" t="inlineStr"/>
      <c r="CI101" t="inlineStr"/>
      <c r="CJ101" t="inlineStr"/>
      <c r="CK101" t="inlineStr"/>
      <c r="CL101" t="inlineStr"/>
      <c r="CM101" t="inlineStr"/>
      <c r="CN101" t="inlineStr"/>
      <c r="CO101" t="inlineStr"/>
      <c r="CP101" t="inlineStr"/>
      <c r="CQ101" t="inlineStr">
        <is>
          <t>False</t>
        </is>
      </c>
    </row>
    <row r="102">
      <c r="A102" t="inlineStr">
        <is>
          <t>b2761963a2db4bbd</t>
        </is>
      </c>
      <c r="B102" t="inlineStr">
        <is>
          <t>2026-08-02T17:28:55.256054Z</t>
        </is>
      </c>
      <c r="C102" t="inlineStr">
        <is>
          <t>2026-08-02T20:10Z</t>
        </is>
      </c>
      <c r="D102" t="inlineStr">
        <is>
          <t>401816376</t>
        </is>
      </c>
      <c r="E102" t="inlineStr">
        <is>
          <t>MLB</t>
        </is>
      </c>
      <c r="F102" t="inlineStr">
        <is>
          <t>San Francisco Giants</t>
        </is>
      </c>
      <c r="G102" t="inlineStr">
        <is>
          <t>San Diego Padres</t>
        </is>
      </c>
      <c r="H102" t="inlineStr">
        <is>
          <t>total</t>
        </is>
      </c>
      <c r="I102" t="inlineStr">
        <is>
          <t>over</t>
        </is>
      </c>
      <c r="J102" t="n">
        <v>7.5</v>
      </c>
      <c r="K102" t="inlineStr">
        <is>
          <t>polymarket_us</t>
        </is>
      </c>
      <c r="L102" t="n">
        <v>-120</v>
      </c>
      <c r="M102" t="n">
        <v>1.833333</v>
      </c>
      <c r="N102" t="n">
        <v>0.545455</v>
      </c>
      <c r="O102" t="n">
        <v>0.54675</v>
      </c>
      <c r="P102" t="n">
        <v>0.042131</v>
      </c>
      <c r="Q102" t="n">
        <v>0.001295</v>
      </c>
      <c r="R102" t="n">
        <v>27</v>
      </c>
      <c r="S102" t="n">
        <v>1</v>
      </c>
      <c r="T102" t="inlineStr">
        <is>
          <t>measured-edge-totals-v2</t>
        </is>
      </c>
      <c r="U102" t="inlineStr">
        <is>
          <t>open</t>
        </is>
      </c>
      <c r="V102" t="inlineStr"/>
      <c r="W102" t="inlineStr"/>
      <c r="X102" t="inlineStr"/>
      <c r="Y102" t="inlineStr"/>
      <c r="Z102" t="inlineStr"/>
      <c r="AA102" t="inlineStr"/>
      <c r="AB102" t="inlineStr"/>
      <c r="AC102" t="inlineStr"/>
      <c r="AD102" t="inlineStr"/>
      <c r="AE102" t="inlineStr">
        <is>
          <t>Measured Edge Totals: Trend Engine projected 4.55-4.69; raw selected-side p=0.6136, calibrated p=0.5468.</t>
        </is>
      </c>
      <c r="AF102" t="inlineStr">
        <is>
          <t>Research-only; lineup, bullpen, park, weather, xFIP, and wRC+ may be neutral fallbacks; market availability and BBO depth may change before first pitch.</t>
        </is>
      </c>
      <c r="AG102" t="inlineStr">
        <is>
          <t>not_applicable</t>
        </is>
      </c>
      <c r="AH102" t="inlineStr"/>
      <c r="AI102" t="inlineStr"/>
      <c r="AJ102" t="inlineStr"/>
      <c r="AK102" t="inlineStr">
        <is>
          <t>model_qualified</t>
        </is>
      </c>
      <c r="AL102" t="n">
        <v>3</v>
      </c>
      <c r="AM102" t="inlineStr">
        <is>
          <t>QUALIFIED_SHADOW_CALL</t>
        </is>
      </c>
      <c r="AN102" t="inlineStr">
        <is>
          <t>CALL</t>
        </is>
      </c>
      <c r="AO102" t="inlineStr">
        <is>
          <t>QUALIFIED</t>
        </is>
      </c>
      <c r="AP102" t="inlineStr">
        <is>
          <t>mlb-sf</t>
        </is>
      </c>
      <c r="AQ102" t="inlineStr">
        <is>
          <t>San Francisco Giants</t>
        </is>
      </c>
      <c r="AR102" t="inlineStr">
        <is>
          <t>San Francisco Giants</t>
        </is>
      </c>
      <c r="AS102" t="inlineStr">
        <is>
          <t>mlb-sd</t>
        </is>
      </c>
      <c r="AT102" t="inlineStr">
        <is>
          <t>San Diego Padres</t>
        </is>
      </c>
      <c r="AU102" t="inlineStr">
        <is>
          <t>San Diego Padres</t>
        </is>
      </c>
      <c r="AV102" t="inlineStr"/>
      <c r="AW102" t="inlineStr"/>
      <c r="AX102" t="inlineStr">
        <is>
          <t>statistical_model</t>
        </is>
      </c>
      <c r="AY102" t="inlineStr"/>
      <c r="AZ102" t="inlineStr">
        <is>
          <t>research</t>
        </is>
      </c>
      <c r="BA102" t="inlineStr">
        <is>
          <t>433578016242b27f9c1c7132cc6b5a2bcc7dd1b0234590c12a944455a88e71bd</t>
        </is>
      </c>
      <c r="BB102" t="inlineStr">
        <is>
          <t>flat_probability_shrinkage_toward_half</t>
        </is>
      </c>
      <c r="BC102" t="inlineStr">
        <is>
          <t>measured-edge-totals-v2</t>
        </is>
      </c>
      <c r="BD102" t="inlineStr">
        <is>
          <t>433578016242b27f9c1c7132cc6b5a2bcc7dd1b0234590c12a944455a88e71bd</t>
        </is>
      </c>
      <c r="BE102" t="inlineStr">
        <is>
          <t>v3</t>
        </is>
      </c>
      <c r="BF102" t="n">
        <v>1</v>
      </c>
      <c r="BG102" t="inlineStr">
        <is>
          <t>measured-edge-paired-v1</t>
        </is>
      </c>
      <c r="BH102" t="inlineStr">
        <is>
          <t>2026-08-02T17:28:55.256054Z</t>
        </is>
      </c>
      <c r="BI102" t="inlineStr">
        <is>
          <t>["same_event","same_team_same_day","same_league_same_day"]</t>
        </is>
      </c>
      <c r="BJ102" t="n">
        <v>7.5</v>
      </c>
      <c r="BK102" t="n">
        <v>-120</v>
      </c>
      <c r="BL102" t="n">
        <v>1.833333</v>
      </c>
      <c r="BM102" t="n">
        <v>0.545455</v>
      </c>
      <c r="BN102" t="n">
        <v>0.542289</v>
      </c>
      <c r="BO102" t="inlineStr"/>
      <c r="BP102" t="inlineStr"/>
      <c r="BQ102" t="inlineStr"/>
      <c r="BR102" t="inlineStr"/>
      <c r="BS102" t="inlineStr"/>
      <c r="BT102" t="inlineStr"/>
      <c r="BU102" t="inlineStr"/>
      <c r="BV102" t="inlineStr"/>
      <c r="BW102" t="inlineStr"/>
      <c r="BX102" t="inlineStr"/>
      <c r="BY102" t="inlineStr"/>
      <c r="BZ102" t="inlineStr"/>
      <c r="CA102" t="inlineStr"/>
      <c r="CB102" t="inlineStr"/>
      <c r="CC102" t="inlineStr"/>
      <c r="CD102" t="inlineStr"/>
      <c r="CE102" t="inlineStr"/>
      <c r="CF102" t="inlineStr"/>
      <c r="CG102" t="inlineStr"/>
      <c r="CH102" t="inlineStr"/>
      <c r="CI102" t="inlineStr"/>
      <c r="CJ102" t="inlineStr"/>
      <c r="CK102" t="inlineStr"/>
      <c r="CL102" t="inlineStr"/>
      <c r="CM102" t="inlineStr"/>
      <c r="CN102" t="inlineStr"/>
      <c r="CO102" t="inlineStr"/>
      <c r="CP102" t="inlineStr"/>
      <c r="CQ102" t="inlineStr">
        <is>
          <t>True</t>
        </is>
      </c>
    </row>
    <row r="103">
      <c r="A103" t="inlineStr">
        <is>
          <t>2873a25b3ade44a7</t>
        </is>
      </c>
      <c r="B103" t="inlineStr">
        <is>
          <t>2026-08-02T17:28:55.256054Z</t>
        </is>
      </c>
      <c r="C103" t="inlineStr">
        <is>
          <t>2026-08-02T23:20Z</t>
        </is>
      </c>
      <c r="D103" t="inlineStr">
        <is>
          <t>401816372</t>
        </is>
      </c>
      <c r="E103" t="inlineStr">
        <is>
          <t>MLB</t>
        </is>
      </c>
      <c r="F103" t="inlineStr">
        <is>
          <t>Boston Red Sox</t>
        </is>
      </c>
      <c r="G103" t="inlineStr">
        <is>
          <t>Los Angeles Dodgers</t>
        </is>
      </c>
      <c r="H103" t="inlineStr">
        <is>
          <t>spread</t>
        </is>
      </c>
      <c r="I103" t="inlineStr">
        <is>
          <t>away</t>
        </is>
      </c>
      <c r="J103" t="n">
        <v>1.5</v>
      </c>
      <c r="K103" t="inlineStr">
        <is>
          <t>polymarket_us</t>
        </is>
      </c>
      <c r="L103" t="n">
        <v>-130</v>
      </c>
      <c r="M103" t="n">
        <v>1.769231</v>
      </c>
      <c r="N103" t="n">
        <v>0.565217</v>
      </c>
      <c r="O103" t="n">
        <v>0.627891</v>
      </c>
      <c r="P103" t="n">
        <v>0.042131</v>
      </c>
      <c r="Q103" t="n">
        <v>0.06267399999999999</v>
      </c>
      <c r="R103" t="n">
        <v>58</v>
      </c>
      <c r="S103" t="n">
        <v>1.5</v>
      </c>
      <c r="T103" t="inlineStr">
        <is>
          <t>measured-edge-margin-v2</t>
        </is>
      </c>
      <c r="U103" t="inlineStr">
        <is>
          <t>open</t>
        </is>
      </c>
      <c r="V103" t="inlineStr"/>
      <c r="W103" t="inlineStr"/>
      <c r="X103" t="inlineStr"/>
      <c r="Y103" t="inlineStr"/>
      <c r="Z103" t="inlineStr"/>
      <c r="AA103" t="inlineStr"/>
      <c r="AB103" t="inlineStr"/>
      <c r="AC103" t="inlineStr"/>
      <c r="AD103" t="inlineStr"/>
      <c r="AE103" t="inlineStr">
        <is>
          <t>Measured Edge Margin: Trend Engine projected 4.62-4.38; raw selected-side p=0.6948, calibrated p=0.6279.</t>
        </is>
      </c>
      <c r="AF103" t="inlineStr">
        <is>
          <t>Research-only; lineup, bullpen, park, weather, xFIP, and wRC+ may be neutral fallbacks; market availability and BBO depth may change before first pitch.</t>
        </is>
      </c>
      <c r="AG103" t="inlineStr">
        <is>
          <t>not_applicable</t>
        </is>
      </c>
      <c r="AH103" t="inlineStr"/>
      <c r="AI103" t="inlineStr"/>
      <c r="AJ103" t="inlineStr"/>
      <c r="AK103" t="inlineStr">
        <is>
          <t>model_qualified</t>
        </is>
      </c>
      <c r="AL103" t="n">
        <v>3</v>
      </c>
      <c r="AM103" t="inlineStr">
        <is>
          <t>QUALIFIED_SHADOW_CALL</t>
        </is>
      </c>
      <c r="AN103" t="inlineStr">
        <is>
          <t>CALL</t>
        </is>
      </c>
      <c r="AO103" t="inlineStr">
        <is>
          <t>QUALIFIED</t>
        </is>
      </c>
      <c r="AP103" t="inlineStr">
        <is>
          <t>mlb-bos</t>
        </is>
      </c>
      <c r="AQ103" t="inlineStr">
        <is>
          <t>Boston Red Sox</t>
        </is>
      </c>
      <c r="AR103" t="inlineStr">
        <is>
          <t>Boston Red Sox</t>
        </is>
      </c>
      <c r="AS103" t="inlineStr">
        <is>
          <t>mlb-lad</t>
        </is>
      </c>
      <c r="AT103" t="inlineStr">
        <is>
          <t>Los Angeles Dodgers</t>
        </is>
      </c>
      <c r="AU103" t="inlineStr">
        <is>
          <t>Los Angeles Dodgers</t>
        </is>
      </c>
      <c r="AV103" t="inlineStr"/>
      <c r="AW103" t="inlineStr"/>
      <c r="AX103" t="inlineStr">
        <is>
          <t>statistical_model</t>
        </is>
      </c>
      <c r="AY103" t="inlineStr"/>
      <c r="AZ103" t="inlineStr">
        <is>
          <t>research</t>
        </is>
      </c>
      <c r="BA103" t="inlineStr">
        <is>
          <t>8360b122264b796b0fb193095cfe4506c7e064e5f3f8c0a659aec41efd08dd25</t>
        </is>
      </c>
      <c r="BB103" t="inlineStr">
        <is>
          <t>flat_probability_shrinkage_toward_half</t>
        </is>
      </c>
      <c r="BC103" t="inlineStr">
        <is>
          <t>measured-edge-margin-v2</t>
        </is>
      </c>
      <c r="BD103" t="inlineStr">
        <is>
          <t>8360b122264b796b0fb193095cfe4506c7e064e5f3f8c0a659aec41efd08dd25</t>
        </is>
      </c>
      <c r="BE103" t="inlineStr">
        <is>
          <t>v3</t>
        </is>
      </c>
      <c r="BF103" t="n">
        <v>1</v>
      </c>
      <c r="BG103" t="inlineStr">
        <is>
          <t>measured-edge-paired-v1</t>
        </is>
      </c>
      <c r="BH103" t="inlineStr">
        <is>
          <t>2026-08-02T17:28:55.256054Z</t>
        </is>
      </c>
      <c r="BI103" t="inlineStr">
        <is>
          <t>["same_event","same_team_same_day","same_league_same_day"]</t>
        </is>
      </c>
      <c r="BJ103" t="n">
        <v>1.5</v>
      </c>
      <c r="BK103" t="n">
        <v>-130</v>
      </c>
      <c r="BL103" t="n">
        <v>1.769231</v>
      </c>
      <c r="BM103" t="n">
        <v>0.565217</v>
      </c>
      <c r="BN103" t="n">
        <v>0.562189</v>
      </c>
      <c r="BO103" t="inlineStr"/>
      <c r="BP103" t="inlineStr"/>
      <c r="BQ103" t="inlineStr"/>
      <c r="BR103" t="inlineStr"/>
      <c r="BS103" t="inlineStr"/>
      <c r="BT103" t="inlineStr"/>
      <c r="BU103" t="inlineStr"/>
      <c r="BV103" t="inlineStr"/>
      <c r="BW103" t="inlineStr"/>
      <c r="BX103" t="inlineStr"/>
      <c r="BY103" t="inlineStr"/>
      <c r="BZ103" t="inlineStr"/>
      <c r="CA103" t="inlineStr"/>
      <c r="CB103" t="inlineStr"/>
      <c r="CC103" t="inlineStr"/>
      <c r="CD103" t="inlineStr"/>
      <c r="CE103" t="inlineStr"/>
      <c r="CF103" t="inlineStr"/>
      <c r="CG103" t="inlineStr"/>
      <c r="CH103" t="inlineStr"/>
      <c r="CI103" t="inlineStr"/>
      <c r="CJ103" t="inlineStr"/>
      <c r="CK103" t="inlineStr"/>
      <c r="CL103" t="inlineStr"/>
      <c r="CM103" t="inlineStr"/>
      <c r="CN103" t="inlineStr"/>
      <c r="CO103" t="inlineStr"/>
      <c r="CP103" t="inlineStr"/>
      <c r="CQ103" t="inlineStr">
        <is>
          <t>True</t>
        </is>
      </c>
    </row>
    <row r="104">
      <c r="A104" t="inlineStr">
        <is>
          <t>032c193280e844f3</t>
        </is>
      </c>
      <c r="B104" t="inlineStr">
        <is>
          <t>2026-08-02T17:28:55.256054Z</t>
        </is>
      </c>
      <c r="C104" t="inlineStr">
        <is>
          <t>2026-08-02T23:20Z</t>
        </is>
      </c>
      <c r="D104" t="inlineStr">
        <is>
          <t>401816372</t>
        </is>
      </c>
      <c r="E104" t="inlineStr">
        <is>
          <t>MLB</t>
        </is>
      </c>
      <c r="F104" t="inlineStr">
        <is>
          <t>Boston Red Sox</t>
        </is>
      </c>
      <c r="G104" t="inlineStr">
        <is>
          <t>Los Angeles Dodgers</t>
        </is>
      </c>
      <c r="H104" t="inlineStr">
        <is>
          <t>total</t>
        </is>
      </c>
      <c r="I104" t="inlineStr">
        <is>
          <t>over</t>
        </is>
      </c>
      <c r="J104" t="n">
        <v>8.5</v>
      </c>
      <c r="K104" t="inlineStr">
        <is>
          <t>polymarket_us</t>
        </is>
      </c>
      <c r="L104" t="n">
        <v>102</v>
      </c>
      <c r="M104" t="n">
        <v>2.02</v>
      </c>
      <c r="N104" t="n">
        <v>0.49505</v>
      </c>
      <c r="O104" t="n">
        <v>0.5118279999999999</v>
      </c>
      <c r="P104" t="n">
        <v>0.042131</v>
      </c>
      <c r="Q104" t="n">
        <v>0.016778</v>
      </c>
      <c r="R104" t="n">
        <v>34</v>
      </c>
      <c r="S104" t="n">
        <v>1</v>
      </c>
      <c r="T104" t="inlineStr">
        <is>
          <t>measured-edge-totals-v2</t>
        </is>
      </c>
      <c r="U104" t="inlineStr">
        <is>
          <t>open</t>
        </is>
      </c>
      <c r="V104" t="inlineStr"/>
      <c r="W104" t="inlineStr"/>
      <c r="X104" t="inlineStr"/>
      <c r="Y104" t="inlineStr"/>
      <c r="Z104" t="inlineStr"/>
      <c r="AA104" t="inlineStr"/>
      <c r="AB104" t="inlineStr"/>
      <c r="AC104" t="inlineStr"/>
      <c r="AD104" t="inlineStr"/>
      <c r="AE104" t="inlineStr">
        <is>
          <t>Measured Edge Totals: Trend Engine projected 4.62-4.38; raw selected-side p=0.5113, calibrated p=0.5118.</t>
        </is>
      </c>
      <c r="AF104" t="inlineStr">
        <is>
          <t>Research-only; lineup, bullpen, park, weather, xFIP, and wRC+ may be neutral fallbacks; market availability and BBO depth may change before first pitch.</t>
        </is>
      </c>
      <c r="AG104" t="inlineStr">
        <is>
          <t>not_applicable</t>
        </is>
      </c>
      <c r="AH104" t="inlineStr"/>
      <c r="AI104" t="inlineStr"/>
      <c r="AJ104" t="inlineStr"/>
      <c r="AK104" t="inlineStr">
        <is>
          <t>model_qualified</t>
        </is>
      </c>
      <c r="AL104" t="n">
        <v>3</v>
      </c>
      <c r="AM104" t="inlineStr">
        <is>
          <t>QUALIFIED_SHADOW_CALL</t>
        </is>
      </c>
      <c r="AN104" t="inlineStr">
        <is>
          <t>CALL</t>
        </is>
      </c>
      <c r="AO104" t="inlineStr">
        <is>
          <t>QUALIFIED</t>
        </is>
      </c>
      <c r="AP104" t="inlineStr">
        <is>
          <t>mlb-bos</t>
        </is>
      </c>
      <c r="AQ104" t="inlineStr">
        <is>
          <t>Boston Red Sox</t>
        </is>
      </c>
      <c r="AR104" t="inlineStr">
        <is>
          <t>Boston Red Sox</t>
        </is>
      </c>
      <c r="AS104" t="inlineStr">
        <is>
          <t>mlb-lad</t>
        </is>
      </c>
      <c r="AT104" t="inlineStr">
        <is>
          <t>Los Angeles Dodgers</t>
        </is>
      </c>
      <c r="AU104" t="inlineStr">
        <is>
          <t>Los Angeles Dodgers</t>
        </is>
      </c>
      <c r="AV104" t="inlineStr"/>
      <c r="AW104" t="inlineStr"/>
      <c r="AX104" t="inlineStr">
        <is>
          <t>statistical_model</t>
        </is>
      </c>
      <c r="AY104" t="inlineStr"/>
      <c r="AZ104" t="inlineStr">
        <is>
          <t>research</t>
        </is>
      </c>
      <c r="BA104" t="inlineStr">
        <is>
          <t>433578016242b27f9c1c7132cc6b5a2bcc7dd1b0234590c12a944455a88e71bd</t>
        </is>
      </c>
      <c r="BB104" t="inlineStr">
        <is>
          <t>flat_probability_shrinkage_toward_half</t>
        </is>
      </c>
      <c r="BC104" t="inlineStr">
        <is>
          <t>measured-edge-totals-v2</t>
        </is>
      </c>
      <c r="BD104" t="inlineStr">
        <is>
          <t>433578016242b27f9c1c7132cc6b5a2bcc7dd1b0234590c12a944455a88e71bd</t>
        </is>
      </c>
      <c r="BE104" t="inlineStr">
        <is>
          <t>v3</t>
        </is>
      </c>
      <c r="BF104" t="n">
        <v>1</v>
      </c>
      <c r="BG104" t="inlineStr">
        <is>
          <t>measured-edge-paired-v1</t>
        </is>
      </c>
      <c r="BH104" t="inlineStr">
        <is>
          <t>2026-08-02T17:28:55.256054Z</t>
        </is>
      </c>
      <c r="BI104" t="inlineStr">
        <is>
          <t>["same_event","same_team_same_day","same_league_same_day"]</t>
        </is>
      </c>
      <c r="BJ104" t="n">
        <v>8.5</v>
      </c>
      <c r="BK104" t="n">
        <v>102</v>
      </c>
      <c r="BL104" t="n">
        <v>2.02</v>
      </c>
      <c r="BM104" t="n">
        <v>0.49505</v>
      </c>
      <c r="BN104" t="n">
        <v>0.492537</v>
      </c>
      <c r="BO104" t="inlineStr"/>
      <c r="BP104" t="inlineStr"/>
      <c r="BQ104" t="inlineStr"/>
      <c r="BR104" t="inlineStr"/>
      <c r="BS104" t="inlineStr"/>
      <c r="BT104" t="inlineStr"/>
      <c r="BU104" t="inlineStr"/>
      <c r="BV104" t="inlineStr"/>
      <c r="BW104" t="inlineStr"/>
      <c r="BX104" t="inlineStr"/>
      <c r="BY104" t="inlineStr"/>
      <c r="BZ104" t="inlineStr"/>
      <c r="CA104" t="inlineStr"/>
      <c r="CB104" t="inlineStr"/>
      <c r="CC104" t="inlineStr"/>
      <c r="CD104" t="inlineStr"/>
      <c r="CE104" t="inlineStr"/>
      <c r="CF104" t="inlineStr"/>
      <c r="CG104" t="inlineStr"/>
      <c r="CH104" t="inlineStr"/>
      <c r="CI104" t="inlineStr"/>
      <c r="CJ104" t="inlineStr"/>
      <c r="CK104" t="inlineStr"/>
      <c r="CL104" t="inlineStr"/>
      <c r="CM104" t="inlineStr"/>
      <c r="CN104" t="inlineStr"/>
      <c r="CO104" t="inlineStr"/>
      <c r="CP104" t="inlineStr"/>
      <c r="CQ104" t="inlineStr">
        <is>
          <t>True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2026-08-02T17:31:13Z</dcterms:created>
  <dcterms:modified xsi:type="dcterms:W3CDTF">2026-08-02T17:31:23Z</dcterms:modified>
</cp:coreProperties>
</file>