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66" headerRowCount="1">
  <autoFilter ref="A1:CA66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COUNTA('Picks'!$A$2:$A$66)</f>
        <v/>
      </c>
      <c r="C4" s="6">
        <f>COUNTIF('Picks'!$U$2:$U$66,"open")</f>
        <v/>
      </c>
      <c r="E4" s="6">
        <f>COUNTIF('Picks'!$U$2:$U$66,"settled")</f>
        <v/>
      </c>
      <c r="G4" s="6">
        <f>IF(COUNTIFS('Picks'!$U$2:$U$66,"settled",'Picks'!$V$2:$V$66,"win")+COUNTIFS('Picks'!$U$2:$U$66,"settled",'Picks'!$V$2:$V$66,"loss")&gt;=$L$2,"Ready","Insufficient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COUNTIF('Picks'!$BX$2:$BX$66,"&gt;0")</f>
        <v/>
      </c>
      <c r="C7" s="6">
        <f>COUNTIFS('Picks'!$BX$2:$BX$66,"&gt;0",'Picks'!$V$2:$V$66,"win")&amp;"-"&amp;COUNTIFS('Picks'!$BX$2:$BX$66,"&gt;0",'Picks'!$V$2:$V$66,"loss")</f>
        <v/>
      </c>
      <c r="E7" s="7">
        <f>IFERROR(COUNTIFS('Picks'!$BX$2:$BX$66,"&gt;0",'Picks'!$V$2:$V$66,"win")/(COUNTIFS('Picks'!$BX$2:$BX$66,"&gt;0",'Picks'!$V$2:$V$66,"win")+COUNTIFS('Picks'!$BX$2:$BX$66,"&gt;0",'Picks'!$V$2:$V$66,"loss")),0)</f>
        <v/>
      </c>
      <c r="G7" s="7">
        <f>IFERROR(SUM('Picks'!$BY$2:$BY$66)/SUM('Picks'!$BX$2:$BX$66),0)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SUM('Picks'!$BY$2:$BY$66)</f>
        <v/>
      </c>
      <c r="C10" s="9">
        <f>IFERROR(AVERAGEIF('Picks'!$AB$2:$AB$66,"&lt;&gt;",'Picks'!$AB$2:$AB$66),0)</f>
        <v/>
      </c>
      <c r="E10" s="6">
        <f>COUNTIFS('Picks'!$AM$2:$AM$66,"QUALIFIED_SHADOW_CALL",'Picks'!$U$2:$U$66,"settled")</f>
        <v/>
      </c>
      <c r="G10" s="8">
        <f>SUMIFS('Picks'!$AC$2:$AC$66,'Picks'!$AM$2:$AM$66,"QUALIFIED_SHADOW_CALL")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COUNTIFS('Picks'!$H$2:$H$66,$A14,'Picks'!$U$2:$U$66,"settled")</f>
        <v/>
      </c>
      <c r="C14" s="13">
        <f>COUNTIFS('Picks'!$H$2:$H$66,$A14,'Picks'!$U$2:$U$66,"settled",'Picks'!$V$2:$V$66,"win")</f>
        <v/>
      </c>
      <c r="D14" s="13">
        <f>COUNTIFS('Picks'!$H$2:$H$66,$A14,'Picks'!$U$2:$U$66,"settled",'Picks'!$V$2:$V$66,"loss")</f>
        <v/>
      </c>
      <c r="E14" s="14">
        <f>IFERROR(C14/(C14+D14),0)</f>
        <v/>
      </c>
      <c r="F14" s="15">
        <f>SUMIFS('Picks'!$BY$2:$BY$66,'Picks'!$H$2:$H$66,$A14)</f>
        <v/>
      </c>
      <c r="G14" s="16">
        <f>IFERROR(AVERAGEIFS('Picks'!$AB$2:$AB$66,'Picks'!$H$2:$H$66,$A14,'Picks'!$U$2:$U$66,"settled"),0)</f>
        <v/>
      </c>
    </row>
    <row r="15">
      <c r="A15" s="17" t="inlineStr">
        <is>
          <t>spread</t>
        </is>
      </c>
      <c r="B15" s="18">
        <f>COUNTIFS('Picks'!$H$2:$H$66,$A15,'Picks'!$U$2:$U$66,"settled")</f>
        <v/>
      </c>
      <c r="C15" s="18">
        <f>COUNTIFS('Picks'!$H$2:$H$66,$A15,'Picks'!$U$2:$U$66,"settled",'Picks'!$V$2:$V$66,"win")</f>
        <v/>
      </c>
      <c r="D15" s="18">
        <f>COUNTIFS('Picks'!$H$2:$H$66,$A15,'Picks'!$U$2:$U$66,"settled",'Picks'!$V$2:$V$66,"loss")</f>
        <v/>
      </c>
      <c r="E15" s="19">
        <f>IFERROR(C15/(C15+D15),0)</f>
        <v/>
      </c>
      <c r="F15" s="20">
        <f>SUMIFS('Picks'!$BY$2:$BY$66,'Picks'!$H$2:$H$66,$A15)</f>
        <v/>
      </c>
      <c r="G15" s="21">
        <f>IFERROR(AVERAGEIFS('Picks'!$AB$2:$AB$66,'Picks'!$H$2:$H$66,$A15,'Picks'!$U$2:$U$66,"settled"),0)</f>
        <v/>
      </c>
    </row>
    <row r="16">
      <c r="A16" s="12" t="inlineStr">
        <is>
          <t>total</t>
        </is>
      </c>
      <c r="B16" s="13">
        <f>COUNTIFS('Picks'!$H$2:$H$66,$A16,'Picks'!$U$2:$U$66,"settled")</f>
        <v/>
      </c>
      <c r="C16" s="13">
        <f>COUNTIFS('Picks'!$H$2:$H$66,$A16,'Picks'!$U$2:$U$66,"settled",'Picks'!$V$2:$V$66,"win")</f>
        <v/>
      </c>
      <c r="D16" s="13">
        <f>COUNTIFS('Picks'!$H$2:$H$66,$A16,'Picks'!$U$2:$U$66,"settled",'Picks'!$V$2:$V$66,"loss")</f>
        <v/>
      </c>
      <c r="E16" s="14">
        <f>IFERROR(C16/(C16+D16),0)</f>
        <v/>
      </c>
      <c r="F16" s="15">
        <f>SUMIFS('Picks'!$BY$2:$BY$66,'Picks'!$H$2:$H$66,$A16)</f>
        <v/>
      </c>
      <c r="G16" s="16">
        <f>IFERROR(AVERAGEIFS('Picks'!$AB$2:$AB$66,'Picks'!$H$2:$H$66,$A16,'Picks'!$U$2:$U$66,"settled"),0)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542e7a0dbfec4eb5</t>
        </is>
      </c>
      <c r="B32" s="24" t="inlineStr">
        <is>
          <t>2026-07-20T16:50:34.398508Z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115</v>
      </c>
      <c r="M32" s="27" t="n">
        <v>2.15</v>
      </c>
      <c r="N32" s="28" t="n">
        <v>0.465116</v>
      </c>
      <c r="O32" s="28" t="n">
        <v>0.5726869999999999</v>
      </c>
      <c r="P32" s="28" t="n"/>
      <c r="Q32" s="28" t="n">
        <v>0.107571</v>
      </c>
      <c r="R32" s="26" t="n">
        <v>100</v>
      </c>
      <c r="S32" s="29" t="n">
        <v>1.25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4</v>
      </c>
      <c r="X32" s="26" t="n">
        <v>13</v>
      </c>
      <c r="Y32" s="25" t="n"/>
      <c r="Z32" s="26" t="n"/>
      <c r="AA32" s="28" t="n"/>
      <c r="AB32" s="28" t="n"/>
      <c r="AC32" s="30" t="n">
        <v>1.4375</v>
      </c>
      <c r="AD32" s="24" t="inlineStr">
        <is>
          <t>2026-07-21T03:22:54.737922Z</t>
        </is>
      </c>
      <c r="AE32" s="31" t="inlineStr">
        <is>
          <t>Learned LR call at threshold 0.5500; executable ask 0.4650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2026-07-20T16:49:43.428041Z</t>
        </is>
      </c>
      <c r="BI32" s="24" t="inlineStr">
        <is>
          <t>["same_event","same_team_same_day","same_league_same_day"]</t>
        </is>
      </c>
      <c r="BJ32" s="25" t="n"/>
      <c r="BK32" s="26" t="n">
        <v>115</v>
      </c>
      <c r="BL32" s="27" t="n">
        <v>2.15</v>
      </c>
      <c r="BM32" s="28" t="n">
        <v>0.465116</v>
      </c>
      <c r="BN32" s="28" t="n">
        <v>0.462687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1.15</v>
      </c>
      <c r="BZ32" s="24" t="inlineStr">
        <is>
          <t>2026-07-21T03:22:54.737922Z</t>
        </is>
      </c>
      <c r="CA32" s="31" t="inlineStr">
        <is>
          <t>fixed one-unit hypothetical scoring; no real exposure or execution</t>
        </is>
      </c>
    </row>
    <row r="33" ht="36" customHeight="1">
      <c r="A33" s="24" t="inlineStr">
        <is>
          <t>554be71d308247ed</t>
        </is>
      </c>
      <c r="B33" s="24" t="inlineStr">
        <is>
          <t>2026-07-20T16:50:34.398508Z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-108</v>
      </c>
      <c r="M33" s="27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8</v>
      </c>
      <c r="Y33" s="25" t="n"/>
      <c r="Z33" s="26" t="n"/>
      <c r="AA33" s="28" t="n"/>
      <c r="AB33" s="28" t="n"/>
      <c r="AC33" s="30" t="n">
        <v>1.1574</v>
      </c>
      <c r="AD33" s="24" t="inlineStr">
        <is>
          <t>2026-07-21T03:22:55.055992Z</t>
        </is>
      </c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2026-07-20T16:49:45.032018Z</t>
        </is>
      </c>
      <c r="BI33" s="24" t="inlineStr">
        <is>
          <t>["same_event","same_team_same_day","same_league_same_day"]</t>
        </is>
      </c>
      <c r="BJ33" s="25" t="n"/>
      <c r="BK33" s="26" t="n">
        <v>-108</v>
      </c>
      <c r="BL33" s="27" t="n">
        <v>1.925926</v>
      </c>
      <c r="BM33" s="28" t="n">
        <v>0.519231</v>
      </c>
      <c r="BN33" s="28" t="n">
        <v>0.517413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0.925926</v>
      </c>
      <c r="BZ33" s="24" t="inlineStr">
        <is>
          <t>2026-07-21T03:22:55.055992Z</t>
        </is>
      </c>
      <c r="CA33" s="31" t="inlineStr">
        <is>
          <t>fixed one-unit hypothetical scoring; no real exposure or execution</t>
        </is>
      </c>
    </row>
    <row r="34" ht="36" customHeight="1">
      <c r="A34" s="24" t="inlineStr">
        <is>
          <t>af79b4620f7a4af3</t>
        </is>
      </c>
      <c r="B34" s="24" t="inlineStr">
        <is>
          <t>2026-07-20T16:50:34.398508Z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-106</v>
      </c>
      <c r="M34" s="27" t="n">
        <v>1.943396</v>
      </c>
      <c r="N34" s="28" t="n">
        <v>0.514563</v>
      </c>
      <c r="O34" s="28" t="n">
        <v>0.566967</v>
      </c>
      <c r="P34" s="28" t="n"/>
      <c r="Q34" s="28" t="n">
        <v>0.052404</v>
      </c>
      <c r="R34" s="26" t="n">
        <v>46</v>
      </c>
      <c r="S34" s="29" t="n">
        <v>1.25</v>
      </c>
      <c r="T34" s="24" t="inlineStr">
        <is>
          <t>mlb-elo-trend-lr-v4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0.5500; executable ask 0.5150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2026-07-20T16:49:55.275935Z</t>
        </is>
      </c>
      <c r="BI34" s="24" t="inlineStr">
        <is>
          <t>["same_event","same_team_same_day","same_league_same_day"]</t>
        </is>
      </c>
      <c r="BJ34" s="25" t="n"/>
      <c r="BK34" s="26" t="n">
        <v>-106</v>
      </c>
      <c r="BL34" s="27" t="n">
        <v>1.943396</v>
      </c>
      <c r="BM34" s="28" t="n">
        <v>0.514563</v>
      </c>
      <c r="BN34" s="28" t="n">
        <v>0.5124379999999999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283f71257d594ea5</t>
        </is>
      </c>
      <c r="B35" s="24" t="inlineStr">
        <is>
          <t>2026-07-20T16:50:37.639352Z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150</v>
      </c>
      <c r="M35" s="27" t="n">
        <v>2.5</v>
      </c>
      <c r="N35" s="28" t="n">
        <v>0.4</v>
      </c>
      <c r="O35" s="28" t="n">
        <v>0.751217</v>
      </c>
      <c r="P35" s="28" t="n"/>
      <c r="Q35" s="28" t="n">
        <v>0.351217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settled</t>
        </is>
      </c>
      <c r="V35" s="24" t="inlineStr">
        <is>
          <t>loss</t>
        </is>
      </c>
      <c r="W35" s="26" t="n">
        <v>99</v>
      </c>
      <c r="X35" s="26" t="n">
        <v>98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2026-07-21T03:22:55.455883Z</t>
        </is>
      </c>
      <c r="AE35" s="31" t="inlineStr">
        <is>
          <t>Learned LR call at threshold 0.5051; executable ask 0.4000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3b474aa853a60d81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2026-07-20T16:50:05.640054Z</t>
        </is>
      </c>
      <c r="BI35" s="24" t="inlineStr">
        <is>
          <t>["same_event","same_team_same_day","same_league_same_day"]</t>
        </is>
      </c>
      <c r="BJ35" s="25" t="n"/>
      <c r="BK35" s="26" t="n">
        <v>150</v>
      </c>
      <c r="BL35" s="27" t="n">
        <v>2.5</v>
      </c>
      <c r="BM35" s="28" t="n">
        <v>0.4</v>
      </c>
      <c r="BN35" s="28" t="n">
        <v>0.39604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-1</v>
      </c>
      <c r="BZ35" s="24" t="inlineStr">
        <is>
          <t>2026-07-21T03:22:55.455883Z</t>
        </is>
      </c>
      <c r="CA35" s="31" t="inlineStr">
        <is>
          <t>fixed one-unit hypothetical scoring; no real exposure or execution</t>
        </is>
      </c>
    </row>
    <row r="36" ht="36" customHeight="1">
      <c r="A36" s="24" t="inlineStr">
        <is>
          <t>9fcdfe37492a4081</t>
        </is>
      </c>
      <c r="B36" s="24" t="inlineStr">
        <is>
          <t>2026-07-20T17:15:20.228896Z</t>
        </is>
      </c>
      <c r="C36" s="24" t="inlineStr">
        <is>
          <t>2026-07-21T18:40:00-0400</t>
        </is>
      </c>
      <c r="D36" s="24" t="inlineStr">
        <is>
          <t>401816203</t>
        </is>
      </c>
      <c r="E36" s="24" t="inlineStr">
        <is>
          <t>MLB</t>
        </is>
      </c>
      <c r="F36" s="24" t="inlineStr">
        <is>
          <t>Minnesota Twins</t>
        </is>
      </c>
      <c r="G36" s="24" t="inlineStr">
        <is>
          <t>Cleveland Guardians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-120</v>
      </c>
      <c r="M36" s="27" t="n">
        <v>1.833333</v>
      </c>
      <c r="N36" s="28" t="n">
        <v>0.545455</v>
      </c>
      <c r="O36" s="28" t="n">
        <v>0.5726869999999999</v>
      </c>
      <c r="P36" s="28" t="n"/>
      <c r="Q36" s="28" t="n">
        <v>0.027232</v>
      </c>
      <c r="R36" s="26" t="n">
        <v>34</v>
      </c>
      <c r="S36" s="29" t="n">
        <v>1.25</v>
      </c>
      <c r="T36" s="24" t="inlineStr">
        <is>
          <t>mlb-elo-trend-lr-v4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Learned LR call at threshold 0.5500; executable ask 0.5450 (aec-mlb-min-cle-2026-07-21).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mlb-min</t>
        </is>
      </c>
      <c r="AQ36" s="24" t="inlineStr">
        <is>
          <t>Minnesota Twins</t>
        </is>
      </c>
      <c r="AR36" s="24" t="inlineStr">
        <is>
          <t>Minnesota Twins</t>
        </is>
      </c>
      <c r="AS36" s="24" t="inlineStr">
        <is>
          <t>mlb-cle</t>
        </is>
      </c>
      <c r="AT36" s="24" t="inlineStr">
        <is>
          <t>Cleveland Guardians</t>
        </is>
      </c>
      <c r="AU36" s="24" t="inlineStr">
        <is>
          <t>Cleveland Guardians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b2d94e21762e8b04</t>
        </is>
      </c>
      <c r="BF36" s="24" t="inlineStr">
        <is>
          <t>1</t>
        </is>
      </c>
      <c r="BG36" s="24" t="inlineStr">
        <is>
          <t>mlb-elo-trend-lr-v4</t>
        </is>
      </c>
      <c r="BH36" s="24" t="inlineStr">
        <is>
          <t>2026-07-20T17:14:54.293063Z</t>
        </is>
      </c>
      <c r="BI36" s="24" t="inlineStr">
        <is>
          <t>["same_event","same_team_same_day","same_league_same_day"]</t>
        </is>
      </c>
      <c r="BJ36" s="25" t="n"/>
      <c r="BK36" s="26" t="n">
        <v>-120</v>
      </c>
      <c r="BL36" s="27" t="n">
        <v>1.833333</v>
      </c>
      <c r="BM36" s="28" t="n">
        <v>0.545455</v>
      </c>
      <c r="BN36" s="28" t="n">
        <v>0.542289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fcd259e35f4a4663</t>
        </is>
      </c>
      <c r="B37" s="24" t="inlineStr">
        <is>
          <t>2026-07-20T17:15:20.228896Z</t>
        </is>
      </c>
      <c r="C37" s="24" t="inlineStr">
        <is>
          <t>2026-07-21T19:05:00-0400</t>
        </is>
      </c>
      <c r="D37" s="24" t="inlineStr">
        <is>
          <t>401816204</t>
        </is>
      </c>
      <c r="E37" s="24" t="inlineStr">
        <is>
          <t>MLB</t>
        </is>
      </c>
      <c r="F37" s="24" t="inlineStr">
        <is>
          <t>Pittsburgh Pirates</t>
        </is>
      </c>
      <c r="G37" s="24" t="inlineStr">
        <is>
          <t>New York Yankees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1.819672</v>
      </c>
      <c r="N37" s="28" t="n">
        <v>0.54955</v>
      </c>
      <c r="O37" s="28" t="n">
        <v>0.578558</v>
      </c>
      <c r="P37" s="28" t="n"/>
      <c r="Q37" s="28" t="n">
        <v>0.029008</v>
      </c>
      <c r="R37" s="26" t="n">
        <v>35</v>
      </c>
      <c r="S37" s="29" t="n">
        <v>1.25</v>
      </c>
      <c r="T37" s="24" t="inlineStr">
        <is>
          <t>mlb-elo-trend-lr-v4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0.5500; executable ask 0.5500 (aec-mlb-pit-nyy-2026-07-21).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mlb-pit</t>
        </is>
      </c>
      <c r="AQ37" s="24" t="inlineStr">
        <is>
          <t>Pittsburgh Pirates</t>
        </is>
      </c>
      <c r="AR37" s="24" t="inlineStr">
        <is>
          <t>Pittsburgh Pirates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bbfea681245ee8a0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2026-07-20T17:14:55.363860Z</t>
        </is>
      </c>
      <c r="BI37" s="24" t="inlineStr">
        <is>
          <t>["same_event","same_team_same_day","same_league_same_day"]</t>
        </is>
      </c>
      <c r="BJ37" s="25" t="n"/>
      <c r="BK37" s="26" t="n">
        <v>-122</v>
      </c>
      <c r="BL37" s="27" t="n">
        <v>1.819672</v>
      </c>
      <c r="BM37" s="28" t="n">
        <v>0.54955</v>
      </c>
      <c r="BN37" s="28" t="n">
        <v>0.547264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347b8168f3884fa8</t>
        </is>
      </c>
      <c r="B38" s="24" t="inlineStr">
        <is>
          <t>2026-07-20T17:15:20.228896Z</t>
        </is>
      </c>
      <c r="C38" s="24" t="inlineStr">
        <is>
          <t>2026-07-21T19:40:00-0400</t>
        </is>
      </c>
      <c r="D38" s="24" t="inlineStr">
        <is>
          <t>401816210</t>
        </is>
      </c>
      <c r="E38" s="24" t="inlineStr">
        <is>
          <t>MLB</t>
        </is>
      </c>
      <c r="F38" s="24" t="inlineStr">
        <is>
          <t>New York Mets</t>
        </is>
      </c>
      <c r="G38" s="24" t="inlineStr">
        <is>
          <t>Milwaukee Brewers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-147</v>
      </c>
      <c r="M38" s="27" t="n">
        <v>1.680272</v>
      </c>
      <c r="N38" s="28" t="n">
        <v>0.5951419999999999</v>
      </c>
      <c r="O38" s="28" t="n">
        <v>0.640995</v>
      </c>
      <c r="P38" s="28" t="n"/>
      <c r="Q38" s="28" t="n">
        <v>0.045853</v>
      </c>
      <c r="R38" s="26" t="n">
        <v>43</v>
      </c>
      <c r="S38" s="29" t="n">
        <v>2</v>
      </c>
      <c r="T38" s="24" t="inlineStr">
        <is>
          <t>mlb-elo-trend-lr-v4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0.5500; executable ask 0.5950 (aec-mlb-nym-mil-2026-07-21).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mlb-nym</t>
        </is>
      </c>
      <c r="AQ38" s="24" t="inlineStr">
        <is>
          <t>New York Mets</t>
        </is>
      </c>
      <c r="AR38" s="24" t="inlineStr">
        <is>
          <t>New York Mets</t>
        </is>
      </c>
      <c r="AS38" s="24" t="inlineStr">
        <is>
          <t>mlb-mil</t>
        </is>
      </c>
      <c r="AT38" s="24" t="inlineStr">
        <is>
          <t>Milwaukee Brewers</t>
        </is>
      </c>
      <c r="AU38" s="24" t="inlineStr">
        <is>
          <t>Milwaukee Brewers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b3842f29fc9906ce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2026-07-20T17:14:58.905361Z</t>
        </is>
      </c>
      <c r="BI38" s="24" t="inlineStr">
        <is>
          <t>["same_event","same_team_same_day","same_league_same_day"]</t>
        </is>
      </c>
      <c r="BJ38" s="25" t="n"/>
      <c r="BK38" s="26" t="n">
        <v>-147</v>
      </c>
      <c r="BL38" s="27" t="n">
        <v>1.680272</v>
      </c>
      <c r="BM38" s="28" t="n">
        <v>0.5951419999999999</v>
      </c>
      <c r="BN38" s="28" t="n">
        <v>0.59204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d4fba39d53894882</t>
        </is>
      </c>
      <c r="B39" s="24" t="inlineStr">
        <is>
          <t>2026-07-20T17:15:20.228896Z</t>
        </is>
      </c>
      <c r="C39" s="24" t="inlineStr">
        <is>
          <t>2026-07-21T20:05:00-0400</t>
        </is>
      </c>
      <c r="D39" s="24" t="inlineStr">
        <is>
          <t>401816208</t>
        </is>
      </c>
      <c r="E39" s="24" t="inlineStr">
        <is>
          <t>MLB</t>
        </is>
      </c>
      <c r="F39" s="24" t="inlineStr">
        <is>
          <t>Detroit Tigers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0.566967</v>
      </c>
      <c r="P39" s="28" t="n"/>
      <c r="Q39" s="28" t="n">
        <v>0.036451</v>
      </c>
      <c r="R39" s="26" t="n">
        <v>38</v>
      </c>
      <c r="S39" s="29" t="n">
        <v>1.25</v>
      </c>
      <c r="T39" s="24" t="inlineStr">
        <is>
          <t>mlb-elo-trend-lr-v4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0.5500; executable ask 0.5300 (aec-mlb-det-chc-2026-07-21).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mlb-det</t>
        </is>
      </c>
      <c r="AQ39" s="24" t="inlineStr">
        <is>
          <t>Detroit Tigers</t>
        </is>
      </c>
      <c r="AR39" s="24" t="inlineStr">
        <is>
          <t>Detroit Tigers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ac77cab6921e81d4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2026-07-20T17:15:01.752155Z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>
        <v>0.527363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52731564c1734162</t>
        </is>
      </c>
      <c r="B40" s="24" t="inlineStr">
        <is>
          <t>2026-07-20T17:15:20.228896Z</t>
        </is>
      </c>
      <c r="C40" s="24" t="inlineStr">
        <is>
          <t>2026-07-21T20:40:00-0400</t>
        </is>
      </c>
      <c r="D40" s="24" t="inlineStr">
        <is>
          <t>401816212</t>
        </is>
      </c>
      <c r="E40" s="24" t="inlineStr">
        <is>
          <t>MLB</t>
        </is>
      </c>
      <c r="F40" s="24" t="inlineStr">
        <is>
          <t>Washington Nationals</t>
        </is>
      </c>
      <c r="G40" s="24" t="inlineStr">
        <is>
          <t>Colorado Rockies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104</v>
      </c>
      <c r="M40" s="27" t="n">
        <v>2.04</v>
      </c>
      <c r="N40" s="28" t="n">
        <v>0.490196</v>
      </c>
      <c r="O40" s="28" t="n">
        <v>0.5563709999999999</v>
      </c>
      <c r="P40" s="28" t="n"/>
      <c r="Q40" s="28" t="n">
        <v>0.066175</v>
      </c>
      <c r="R40" s="26" t="n">
        <v>53</v>
      </c>
      <c r="S40" s="29" t="n">
        <v>1</v>
      </c>
      <c r="T40" s="24" t="inlineStr">
        <is>
          <t>mlb-elo-trend-lr-v4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Learned LR call at threshold 0.5500; executable ask 0.4900 (aec-mlb-wsh-col-2026-07-21).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mlb-wsh</t>
        </is>
      </c>
      <c r="AQ40" s="24" t="inlineStr">
        <is>
          <t>Washington Nationals</t>
        </is>
      </c>
      <c r="AR40" s="24" t="inlineStr">
        <is>
          <t>Washington Nationals</t>
        </is>
      </c>
      <c r="AS40" s="24" t="inlineStr">
        <is>
          <t>mlb-col</t>
        </is>
      </c>
      <c r="AT40" s="24" t="inlineStr">
        <is>
          <t>Colorado Rockies</t>
        </is>
      </c>
      <c r="AU40" s="24" t="inlineStr">
        <is>
          <t>Colorado Rockies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398815bb9dc03ea8</t>
        </is>
      </c>
      <c r="BF40" s="24" t="inlineStr">
        <is>
          <t>1</t>
        </is>
      </c>
      <c r="BG40" s="24" t="inlineStr">
        <is>
          <t>mlb-elo-trend-lr-v4</t>
        </is>
      </c>
      <c r="BH40" s="24" t="inlineStr">
        <is>
          <t>2026-07-20T17:15:04.006935Z</t>
        </is>
      </c>
      <c r="BI40" s="24" t="inlineStr">
        <is>
          <t>["same_event","same_team_same_day","same_league_same_day"]</t>
        </is>
      </c>
      <c r="BJ40" s="25" t="n"/>
      <c r="BK40" s="26" t="n">
        <v>104</v>
      </c>
      <c r="BL40" s="27" t="n">
        <v>2.04</v>
      </c>
      <c r="BM40" s="28" t="n">
        <v>0.490196</v>
      </c>
      <c r="BN40" s="28" t="n">
        <v>0.487562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36" customHeight="1">
      <c r="A41" s="24" t="inlineStr">
        <is>
          <t>4a8e6cdea47f4a8a</t>
        </is>
      </c>
      <c r="B41" s="24" t="inlineStr">
        <is>
          <t>2026-07-20T17:15:20.228896Z</t>
        </is>
      </c>
      <c r="C41" s="24" t="inlineStr">
        <is>
          <t>2026-07-21T21:40:00-0400</t>
        </is>
      </c>
      <c r="D41" s="24" t="inlineStr">
        <is>
          <t>401816214</t>
        </is>
      </c>
      <c r="E41" s="24" t="inlineStr">
        <is>
          <t>MLB</t>
        </is>
      </c>
      <c r="F41" s="24" t="inlineStr">
        <is>
          <t>Cincinnati Reds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0.592852</v>
      </c>
      <c r="P41" s="28" t="n"/>
      <c r="Q41" s="28" t="n">
        <v>0.062336</v>
      </c>
      <c r="R41" s="26" t="n">
        <v>51</v>
      </c>
      <c r="S41" s="29" t="n">
        <v>1.5</v>
      </c>
      <c r="T41" s="24" t="inlineStr">
        <is>
          <t>mlb-elo-trend-lr-v4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Learned LR call at threshold 0.5500; executable ask 0.5300 (aec-mlb-cin-sea-2026-07-21).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mlb-cin</t>
        </is>
      </c>
      <c r="AQ41" s="24" t="inlineStr">
        <is>
          <t>Cincinnati Reds</t>
        </is>
      </c>
      <c r="AR41" s="24" t="inlineStr">
        <is>
          <t>Cincinnati Reds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5c7208cbf934ad36</t>
        </is>
      </c>
      <c r="BF41" s="24" t="inlineStr">
        <is>
          <t>1</t>
        </is>
      </c>
      <c r="BG41" s="24" t="inlineStr">
        <is>
          <t>mlb-elo-trend-lr-v4</t>
        </is>
      </c>
      <c r="BH41" s="24" t="inlineStr">
        <is>
          <t>2026-07-20T17:15:06.161452Z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fcdcb914359a4eda</t>
        </is>
      </c>
      <c r="B42" s="24" t="inlineStr">
        <is>
          <t>2026-07-20T23:55:04.721086Z</t>
        </is>
      </c>
      <c r="C42" s="24" t="inlineStr">
        <is>
          <t>2026-07-21T00:00:00Z</t>
        </is>
      </c>
      <c r="D42" s="24" t="inlineStr">
        <is>
          <t>54745</t>
        </is>
      </c>
      <c r="E42" s="24" t="inlineStr">
        <is>
          <t>LOL</t>
        </is>
      </c>
      <c r="F42" s="24" t="inlineStr">
        <is>
          <t>paiN Gaming Academy</t>
        </is>
      </c>
      <c r="G42" s="24" t="inlineStr">
        <is>
          <t>Estral Esports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203</v>
      </c>
      <c r="M42" s="27" t="n">
        <v>3.03</v>
      </c>
      <c r="N42" s="28" t="n">
        <v>0.330033</v>
      </c>
      <c r="O42" s="28" t="n">
        <v>0.619265</v>
      </c>
      <c r="P42" s="28" t="n"/>
      <c r="Q42" s="28" t="n">
        <v>0.289265</v>
      </c>
      <c r="R42" s="26" t="n">
        <v>100</v>
      </c>
      <c r="S42" s="29" t="n">
        <v>1.75</v>
      </c>
      <c r="T42" s="24" t="inlineStr">
        <is>
          <t>lol-neutral-series-elo-v1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0.3300 (aec-lol-est-pnga-2026-07-21).</t>
        </is>
      </c>
      <c r="AF42" s="31" t="inlineStr">
        <is>
          <t>Research baseline; zero-unit shadow until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paiN Gaming Academy</t>
        </is>
      </c>
      <c r="AQ42" s="24" t="inlineStr">
        <is>
          <t>paiN Gaming Academy</t>
        </is>
      </c>
      <c r="AR42" s="24" t="inlineStr">
        <is>
          <t>paiN Gaming Academy</t>
        </is>
      </c>
      <c r="AS42" s="24" t="inlineStr">
        <is>
          <t>Estral Esports</t>
        </is>
      </c>
      <c r="AT42" s="24" t="inlineStr">
        <is>
          <t>Estral Esports</t>
        </is>
      </c>
      <c r="AU42" s="24" t="inlineStr">
        <is>
          <t>Estral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82612f1b27d5065af8d70fd6669509ff00dc1c7e3a91bb423192bf3b0a9736ce</t>
        </is>
      </c>
      <c r="BB42" s="24" t="inlineStr">
        <is>
          <t>neutral_elo</t>
        </is>
      </c>
      <c r="BC42" s="24" t="inlineStr">
        <is>
          <t>lol-neutral-series-elo-v1</t>
        </is>
      </c>
      <c r="BD42" s="24" t="inlineStr">
        <is>
          <t>82612f1b27d5065af8d70fd6669509ff00dc1c7e3a91bb423192bf3b0a9736ce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unknown</t>
        </is>
      </c>
      <c r="BH42" s="24" t="inlineStr">
        <is>
          <t>2026-07-20T23:55:04.721086Z</t>
        </is>
      </c>
      <c r="BI42" s="24" t="inlineStr">
        <is>
          <t>["same_event","same_team_same_day","same_league_same_day"]</t>
        </is>
      </c>
      <c r="BJ42" s="25" t="n"/>
      <c r="BK42" s="26" t="n">
        <v>203</v>
      </c>
      <c r="BL42" s="27" t="n">
        <v>3.03</v>
      </c>
      <c r="BM42" s="28" t="n">
        <v>0.330033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eda357b25fa14ae7</t>
        </is>
      </c>
      <c r="B43" s="24" t="inlineStr">
        <is>
          <t>2026-07-20T23:55:04.938091Z</t>
        </is>
      </c>
      <c r="C43" s="24" t="inlineStr">
        <is>
          <t>2026-07-21T06:00:00Z</t>
        </is>
      </c>
      <c r="D43" s="24" t="inlineStr">
        <is>
          <t>54870</t>
        </is>
      </c>
      <c r="E43" s="24" t="inlineStr">
        <is>
          <t>LOL</t>
        </is>
      </c>
      <c r="F43" s="24" t="inlineStr">
        <is>
          <t>Hanwha Life Esports</t>
        </is>
      </c>
      <c r="G43" s="24" t="inlineStr">
        <is>
          <t>Gen.G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100</v>
      </c>
      <c r="M43" s="27" t="n">
        <v>2</v>
      </c>
      <c r="N43" s="28" t="n">
        <v>0.5</v>
      </c>
      <c r="O43" s="28" t="n">
        <v>0.685001</v>
      </c>
      <c r="P43" s="28" t="n"/>
      <c r="Q43" s="28" t="n">
        <v>0.185001</v>
      </c>
      <c r="R43" s="26" t="n">
        <v>100</v>
      </c>
      <c r="S43" s="29" t="n">
        <v>2</v>
      </c>
      <c r="T43" s="24" t="inlineStr">
        <is>
          <t>lol-neutral-series-elo-v1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0.5000 (aec-lol-gen-hle-2026-07-21).</t>
        </is>
      </c>
      <c r="AF43" s="31" t="inlineStr">
        <is>
          <t>Research baseline; zero-unit shadow until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Hanwha Life Esports</t>
        </is>
      </c>
      <c r="AQ43" s="24" t="inlineStr">
        <is>
          <t>Hanwha Life Esports</t>
        </is>
      </c>
      <c r="AR43" s="24" t="inlineStr">
        <is>
          <t>Hanwha Life Esports</t>
        </is>
      </c>
      <c r="AS43" s="24" t="inlineStr">
        <is>
          <t>Gen.G</t>
        </is>
      </c>
      <c r="AT43" s="24" t="inlineStr">
        <is>
          <t>Gen.G</t>
        </is>
      </c>
      <c r="AU43" s="24" t="inlineStr">
        <is>
          <t>Gen.G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82612f1b27d5065af8d70fd6669509ff00dc1c7e3a91bb423192bf3b0a9736ce</t>
        </is>
      </c>
      <c r="BB43" s="24" t="inlineStr">
        <is>
          <t>neutral_elo</t>
        </is>
      </c>
      <c r="BC43" s="24" t="inlineStr">
        <is>
          <t>lol-neutral-series-elo-v1</t>
        </is>
      </c>
      <c r="BD43" s="24" t="inlineStr">
        <is>
          <t>82612f1b27d5065af8d70fd6669509ff00dc1c7e3a91bb423192bf3b0a9736ce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unknown</t>
        </is>
      </c>
      <c r="BH43" s="24" t="inlineStr">
        <is>
          <t>2026-07-20T23:55:04.938091Z</t>
        </is>
      </c>
      <c r="BI43" s="24" t="inlineStr">
        <is>
          <t>["same_event","same_team_same_day","same_league_same_day"]</t>
        </is>
      </c>
      <c r="BJ43" s="25" t="n"/>
      <c r="BK43" s="26" t="n">
        <v>100</v>
      </c>
      <c r="BL43" s="27" t="n">
        <v>2</v>
      </c>
      <c r="BM43" s="28" t="n">
        <v>0.5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a9ca1cd5b3634dfe</t>
        </is>
      </c>
      <c r="B44" s="24" t="inlineStr">
        <is>
          <t>2026-07-20T23:55:05.148841Z</t>
        </is>
      </c>
      <c r="C44" s="24" t="inlineStr">
        <is>
          <t>2026-07-21T06:45:00Z</t>
        </is>
      </c>
      <c r="D44" s="24" t="inlineStr">
        <is>
          <t>54872</t>
        </is>
      </c>
      <c r="E44" s="24" t="inlineStr">
        <is>
          <t>LOL</t>
        </is>
      </c>
      <c r="F44" s="24" t="inlineStr">
        <is>
          <t>Dplus KIA</t>
        </is>
      </c>
      <c r="G44" s="24" t="inlineStr">
        <is>
          <t>BNK FEARX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0.743682</v>
      </c>
      <c r="P44" s="28" t="n"/>
      <c r="Q44" s="28" t="n">
        <v>0.093682</v>
      </c>
      <c r="R44" s="26" t="n">
        <v>93</v>
      </c>
      <c r="S44" s="29" t="n">
        <v>2</v>
      </c>
      <c r="T44" s="24" t="inlineStr">
        <is>
          <t>lol-neutral-series-elo-v1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0.6500 (aec-lol-bfx-dk-2026-07-21).</t>
        </is>
      </c>
      <c r="AF44" s="31" t="inlineStr">
        <is>
          <t>Research baseline; zero-unit shadow until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Dplus KIA</t>
        </is>
      </c>
      <c r="AQ44" s="24" t="inlineStr">
        <is>
          <t>Dplus KIA</t>
        </is>
      </c>
      <c r="AR44" s="24" t="inlineStr">
        <is>
          <t>Dplus KIA</t>
        </is>
      </c>
      <c r="AS44" s="24" t="inlineStr">
        <is>
          <t>BNK FEARX</t>
        </is>
      </c>
      <c r="AT44" s="24" t="inlineStr">
        <is>
          <t>BNK FEARX</t>
        </is>
      </c>
      <c r="AU44" s="24" t="inlineStr">
        <is>
          <t>BNK FEARX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82612f1b27d5065af8d70fd6669509ff00dc1c7e3a91bb423192bf3b0a9736ce</t>
        </is>
      </c>
      <c r="BB44" s="24" t="inlineStr">
        <is>
          <t>neutral_elo</t>
        </is>
      </c>
      <c r="BC44" s="24" t="inlineStr">
        <is>
          <t>lol-neutral-series-elo-v1</t>
        </is>
      </c>
      <c r="BD44" s="24" t="inlineStr">
        <is>
          <t>82612f1b27d5065af8d70fd6669509ff00dc1c7e3a91bb423192bf3b0a9736ce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unknown</t>
        </is>
      </c>
      <c r="BH44" s="24" t="inlineStr">
        <is>
          <t>2026-07-20T23:55:05.148841Z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75188f3572ee4984</t>
        </is>
      </c>
      <c r="B45" s="24" t="inlineStr">
        <is>
          <t>2026-07-20T23:55:05.362117Z</t>
        </is>
      </c>
      <c r="C45" s="24" t="inlineStr">
        <is>
          <t>2026-07-21T07:30:00Z</t>
        </is>
      </c>
      <c r="D45" s="24" t="inlineStr">
        <is>
          <t>54874</t>
        </is>
      </c>
      <c r="E45" s="24" t="inlineStr">
        <is>
          <t>LOL</t>
        </is>
      </c>
      <c r="F45" s="24" t="inlineStr">
        <is>
          <t>T1</t>
        </is>
      </c>
      <c r="G45" s="24" t="inlineStr">
        <is>
          <t>Gen.G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0.708943</v>
      </c>
      <c r="P45" s="28" t="n"/>
      <c r="Q45" s="28" t="n">
        <v>0.248943</v>
      </c>
      <c r="R45" s="26" t="n">
        <v>100</v>
      </c>
      <c r="S45" s="29" t="n">
        <v>2</v>
      </c>
      <c r="T45" s="24" t="inlineStr">
        <is>
          <t>lol-neutral-series-elo-v1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0.4600 (aec-lol-gen-t1-2026-07-21).</t>
        </is>
      </c>
      <c r="AF45" s="31" t="inlineStr">
        <is>
          <t>Research baseline; zero-unit shadow until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T1</t>
        </is>
      </c>
      <c r="AQ45" s="24" t="inlineStr">
        <is>
          <t>T1</t>
        </is>
      </c>
      <c r="AR45" s="24" t="inlineStr">
        <is>
          <t>T1</t>
        </is>
      </c>
      <c r="AS45" s="24" t="inlineStr">
        <is>
          <t>Gen.G</t>
        </is>
      </c>
      <c r="AT45" s="24" t="inlineStr">
        <is>
          <t>Gen.G</t>
        </is>
      </c>
      <c r="AU45" s="24" t="inlineStr">
        <is>
          <t>Gen.G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82612f1b27d5065af8d70fd6669509ff00dc1c7e3a91bb423192bf3b0a9736ce</t>
        </is>
      </c>
      <c r="BB45" s="24" t="inlineStr">
        <is>
          <t>neutral_elo</t>
        </is>
      </c>
      <c r="BC45" s="24" t="inlineStr">
        <is>
          <t>lol-neutral-series-elo-v1</t>
        </is>
      </c>
      <c r="BD45" s="24" t="inlineStr">
        <is>
          <t>82612f1b27d5065af8d70fd6669509ff00dc1c7e3a91bb423192bf3b0a9736ce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unknown</t>
        </is>
      </c>
      <c r="BH45" s="24" t="inlineStr">
        <is>
          <t>2026-07-20T23:55:05.362117Z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f383592a511a4604</t>
        </is>
      </c>
      <c r="B46" s="24" t="inlineStr">
        <is>
          <t>2026-07-20T23:55:05.646189Z</t>
        </is>
      </c>
      <c r="C46" s="24" t="inlineStr">
        <is>
          <t>2026-07-21T08:15:00Z</t>
        </is>
      </c>
      <c r="D46" s="24" t="inlineStr">
        <is>
          <t>54877</t>
        </is>
      </c>
      <c r="E46" s="24" t="inlineStr">
        <is>
          <t>LOL</t>
        </is>
      </c>
      <c r="F46" s="24" t="inlineStr">
        <is>
          <t>Dplus KIA</t>
        </is>
      </c>
      <c r="G46" s="24" t="inlineStr">
        <is>
          <t>KT Rolster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122</v>
      </c>
      <c r="M46" s="27" t="n">
        <v>2.22</v>
      </c>
      <c r="N46" s="28" t="n">
        <v>0.45045</v>
      </c>
      <c r="O46" s="28" t="n">
        <v>0.678236</v>
      </c>
      <c r="P46" s="28" t="n"/>
      <c r="Q46" s="28" t="n">
        <v>0.228236</v>
      </c>
      <c r="R46" s="26" t="n">
        <v>100</v>
      </c>
      <c r="S46" s="29" t="n">
        <v>2</v>
      </c>
      <c r="T46" s="24" t="inlineStr">
        <is>
          <t>lol-neutral-series-elo-v1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0.4500 (aec-lol-kt-dk-2026-07-21).</t>
        </is>
      </c>
      <c r="AF46" s="31" t="inlineStr">
        <is>
          <t>Research baseline; zero-unit shadow until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Dplus KIA</t>
        </is>
      </c>
      <c r="AQ46" s="24" t="inlineStr">
        <is>
          <t>Dplus KIA</t>
        </is>
      </c>
      <c r="AR46" s="24" t="inlineStr">
        <is>
          <t>Dplus KIA</t>
        </is>
      </c>
      <c r="AS46" s="24" t="inlineStr">
        <is>
          <t>KT Rolster</t>
        </is>
      </c>
      <c r="AT46" s="24" t="inlineStr">
        <is>
          <t>KT Rolster</t>
        </is>
      </c>
      <c r="AU46" s="24" t="inlineStr">
        <is>
          <t>KT Rolster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82612f1b27d5065af8d70fd6669509ff00dc1c7e3a91bb423192bf3b0a9736ce</t>
        </is>
      </c>
      <c r="BB46" s="24" t="inlineStr">
        <is>
          <t>neutral_elo</t>
        </is>
      </c>
      <c r="BC46" s="24" t="inlineStr">
        <is>
          <t>lol-neutral-series-elo-v1</t>
        </is>
      </c>
      <c r="BD46" s="24" t="inlineStr">
        <is>
          <t>82612f1b27d5065af8d70fd6669509ff00dc1c7e3a91bb423192bf3b0a9736ce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unknown</t>
        </is>
      </c>
      <c r="BH46" s="24" t="inlineStr">
        <is>
          <t>2026-07-20T23:55:05.646189Z</t>
        </is>
      </c>
      <c r="BI46" s="24" t="inlineStr">
        <is>
          <t>["same_event","same_team_same_day","same_league_same_day"]</t>
        </is>
      </c>
      <c r="BJ46" s="25" t="n"/>
      <c r="BK46" s="26" t="n">
        <v>122</v>
      </c>
      <c r="BL46" s="27" t="n">
        <v>2.22</v>
      </c>
      <c r="BM46" s="28" t="n">
        <v>0.45045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36" customHeight="1">
      <c r="A47" s="24" t="inlineStr">
        <is>
          <t>b94c90f730bb4444</t>
        </is>
      </c>
      <c r="B47" s="24" t="inlineStr">
        <is>
          <t>2026-07-20T23:55:05.939827Z</t>
        </is>
      </c>
      <c r="C47" s="24" t="inlineStr">
        <is>
          <t>2026-07-21T09:00:00Z</t>
        </is>
      </c>
      <c r="D47" s="24" t="inlineStr">
        <is>
          <t>54883</t>
        </is>
      </c>
      <c r="E47" s="24" t="inlineStr">
        <is>
          <t>LOL</t>
        </is>
      </c>
      <c r="F47" s="24" t="inlineStr">
        <is>
          <t>Gen.G</t>
        </is>
      </c>
      <c r="G47" s="24" t="inlineStr">
        <is>
          <t>HANJIN BRION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100</v>
      </c>
      <c r="M47" s="27" t="n">
        <v>2</v>
      </c>
      <c r="N47" s="28" t="n">
        <v>0.5</v>
      </c>
      <c r="O47" s="28" t="n">
        <v>0.75</v>
      </c>
      <c r="P47" s="28" t="n"/>
      <c r="Q47" s="28" t="n">
        <v>0.25</v>
      </c>
      <c r="R47" s="26" t="n">
        <v>100</v>
      </c>
      <c r="S47" s="29" t="n">
        <v>2</v>
      </c>
      <c r="T47" s="24" t="inlineStr">
        <is>
          <t>lol-neutral-series-elo-v1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0.5000 (aec-lol-bro-gen-2026-07-21).</t>
        </is>
      </c>
      <c r="AF47" s="31" t="inlineStr">
        <is>
          <t>Research baseline; zero-unit shadow until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Gen.G</t>
        </is>
      </c>
      <c r="AQ47" s="24" t="inlineStr">
        <is>
          <t>Gen.G</t>
        </is>
      </c>
      <c r="AR47" s="24" t="inlineStr">
        <is>
          <t>Gen.G</t>
        </is>
      </c>
      <c r="AS47" s="24" t="inlineStr">
        <is>
          <t>HANJIN BRION</t>
        </is>
      </c>
      <c r="AT47" s="24" t="inlineStr">
        <is>
          <t>HANJIN BRION</t>
        </is>
      </c>
      <c r="AU47" s="24" t="inlineStr">
        <is>
          <t>HANJIN BRION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82612f1b27d5065af8d70fd6669509ff00dc1c7e3a91bb423192bf3b0a9736ce</t>
        </is>
      </c>
      <c r="BB47" s="24" t="inlineStr">
        <is>
          <t>neutral_elo</t>
        </is>
      </c>
      <c r="BC47" s="24" t="inlineStr">
        <is>
          <t>lol-neutral-series-elo-v1</t>
        </is>
      </c>
      <c r="BD47" s="24" t="inlineStr">
        <is>
          <t>82612f1b27d5065af8d70fd6669509ff00dc1c7e3a91bb423192bf3b0a9736ce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unknown</t>
        </is>
      </c>
      <c r="BH47" s="24" t="inlineStr">
        <is>
          <t>2026-07-20T23:55:05.939827Z</t>
        </is>
      </c>
      <c r="BI47" s="24" t="inlineStr">
        <is>
          <t>["same_event","same_team_same_day","same_league_same_day"]</t>
        </is>
      </c>
      <c r="BJ47" s="25" t="n"/>
      <c r="BK47" s="26" t="n">
        <v>100</v>
      </c>
      <c r="BL47" s="27" t="n">
        <v>2</v>
      </c>
      <c r="BM47" s="28" t="n">
        <v>0.5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5bb4d8ca22ba48c4</t>
        </is>
      </c>
      <c r="B48" s="24" t="inlineStr">
        <is>
          <t>2026-07-20T23:55:06.432838Z</t>
        </is>
      </c>
      <c r="C48" s="24" t="inlineStr">
        <is>
          <t>2026-07-21T09:45:00Z</t>
        </is>
      </c>
      <c r="D48" s="24" t="inlineStr">
        <is>
          <t>54930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Hanwha Life Esports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108</v>
      </c>
      <c r="M48" s="27" t="n">
        <v>2.08</v>
      </c>
      <c r="N48" s="28" t="n">
        <v>0.480769</v>
      </c>
      <c r="O48" s="28" t="n">
        <v>0.749995</v>
      </c>
      <c r="P48" s="28" t="n"/>
      <c r="Q48" s="28" t="n">
        <v>0.269995</v>
      </c>
      <c r="R48" s="26" t="n">
        <v>100</v>
      </c>
      <c r="S48" s="29" t="n">
        <v>2</v>
      </c>
      <c r="T48" s="24" t="inlineStr">
        <is>
          <t>lol-neutral-series-elo-v1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0.4800 (aec-lol-hle-ns-2026-07-21).</t>
        </is>
      </c>
      <c r="AF48" s="31" t="inlineStr">
        <is>
          <t>Research baseline; zero-unit shadow until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Hanwha Life Esports</t>
        </is>
      </c>
      <c r="AT48" s="24" t="inlineStr">
        <is>
          <t>Hanwha Life Esports</t>
        </is>
      </c>
      <c r="AU48" s="24" t="inlineStr">
        <is>
          <t>Hanwha Life Esports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82612f1b27d5065af8d70fd6669509ff00dc1c7e3a91bb423192bf3b0a9736ce</t>
        </is>
      </c>
      <c r="BB48" s="24" t="inlineStr">
        <is>
          <t>neutral_elo</t>
        </is>
      </c>
      <c r="BC48" s="24" t="inlineStr">
        <is>
          <t>lol-neutral-series-elo-v1</t>
        </is>
      </c>
      <c r="BD48" s="24" t="inlineStr">
        <is>
          <t>82612f1b27d5065af8d70fd6669509ff00dc1c7e3a91bb423192bf3b0a9736ce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unknown</t>
        </is>
      </c>
      <c r="BH48" s="24" t="inlineStr">
        <is>
          <t>2026-07-20T23:55:06.432838Z</t>
        </is>
      </c>
      <c r="BI48" s="24" t="inlineStr">
        <is>
          <t>["same_event","same_team_same_day","same_league_same_day"]</t>
        </is>
      </c>
      <c r="BJ48" s="25" t="n"/>
      <c r="BK48" s="26" t="n">
        <v>108</v>
      </c>
      <c r="BL48" s="27" t="n">
        <v>2.08</v>
      </c>
      <c r="BM48" s="28" t="n">
        <v>0.480769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6972fd0056ee42b4</t>
        </is>
      </c>
      <c r="B49" s="24" t="inlineStr">
        <is>
          <t>2026-07-20T23:55:06.659566Z</t>
        </is>
      </c>
      <c r="C49" s="24" t="inlineStr">
        <is>
          <t>2026-07-21T10:30:00Z</t>
        </is>
      </c>
      <c r="D49" s="24" t="inlineStr">
        <is>
          <t>54950</t>
        </is>
      </c>
      <c r="E49" s="24" t="inlineStr">
        <is>
          <t>LOL</t>
        </is>
      </c>
      <c r="F49" s="24" t="inlineStr">
        <is>
          <t>Kiwoom DRX</t>
        </is>
      </c>
      <c r="G49" s="24" t="inlineStr">
        <is>
          <t>T1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-133</v>
      </c>
      <c r="M49" s="27" t="n">
        <v>1.75188</v>
      </c>
      <c r="N49" s="28" t="n">
        <v>0.570815</v>
      </c>
      <c r="O49" s="28" t="n">
        <v>0.7499980000000001</v>
      </c>
      <c r="P49" s="28" t="n"/>
      <c r="Q49" s="28" t="n">
        <v>0.179998</v>
      </c>
      <c r="R49" s="26" t="n">
        <v>100</v>
      </c>
      <c r="S49" s="29" t="n">
        <v>2</v>
      </c>
      <c r="T49" s="24" t="inlineStr">
        <is>
          <t>lol-neutral-series-elo-v1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0.5700 (aec-lol-t1-krx-2026-07-21).</t>
        </is>
      </c>
      <c r="AF49" s="31" t="inlineStr">
        <is>
          <t>Research baseline; zero-unit shadow until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Kiwoom DRX</t>
        </is>
      </c>
      <c r="AQ49" s="24" t="inlineStr">
        <is>
          <t>Kiwoom DRX</t>
        </is>
      </c>
      <c r="AR49" s="24" t="inlineStr">
        <is>
          <t>Kiwoom DRX</t>
        </is>
      </c>
      <c r="AS49" s="24" t="inlineStr">
        <is>
          <t>T1</t>
        </is>
      </c>
      <c r="AT49" s="24" t="inlineStr">
        <is>
          <t>T1</t>
        </is>
      </c>
      <c r="AU49" s="24" t="inlineStr">
        <is>
          <t>T1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82612f1b27d5065af8d70fd6669509ff00dc1c7e3a91bb423192bf3b0a9736ce</t>
        </is>
      </c>
      <c r="BB49" s="24" t="inlineStr">
        <is>
          <t>neutral_elo</t>
        </is>
      </c>
      <c r="BC49" s="24" t="inlineStr">
        <is>
          <t>lol-neutral-series-elo-v1</t>
        </is>
      </c>
      <c r="BD49" s="24" t="inlineStr">
        <is>
          <t>82612f1b27d5065af8d70fd6669509ff00dc1c7e3a91bb423192bf3b0a9736ce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unknown</t>
        </is>
      </c>
      <c r="BH49" s="24" t="inlineStr">
        <is>
          <t>2026-07-20T23:55:06.659566Z</t>
        </is>
      </c>
      <c r="BI49" s="24" t="inlineStr">
        <is>
          <t>["same_event","same_team_same_day","same_league_same_day"]</t>
        </is>
      </c>
      <c r="BJ49" s="25" t="n"/>
      <c r="BK49" s="26" t="n">
        <v>-133</v>
      </c>
      <c r="BL49" s="27" t="n">
        <v>1.75188</v>
      </c>
      <c r="BM49" s="28" t="n">
        <v>0.570815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916521591ef04b74</t>
        </is>
      </c>
      <c r="B50" s="24" t="inlineStr">
        <is>
          <t>2026-07-20T23:55:06.890172Z</t>
        </is>
      </c>
      <c r="C50" s="24" t="inlineStr">
        <is>
          <t>2026-07-21T11:15:00Z</t>
        </is>
      </c>
      <c r="D50" s="24" t="inlineStr">
        <is>
          <t>54961</t>
        </is>
      </c>
      <c r="E50" s="24" t="inlineStr">
        <is>
          <t>LOL</t>
        </is>
      </c>
      <c r="F50" s="24" t="inlineStr">
        <is>
          <t>DN SOOPers</t>
        </is>
      </c>
      <c r="G50" s="24" t="inlineStr">
        <is>
          <t>Hanwha Life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0.75</v>
      </c>
      <c r="P50" s="28" t="n"/>
      <c r="Q50" s="28" t="n">
        <v>0.22</v>
      </c>
      <c r="R50" s="26" t="n">
        <v>100</v>
      </c>
      <c r="S50" s="29" t="n">
        <v>2</v>
      </c>
      <c r="T50" s="24" t="inlineStr">
        <is>
          <t>lol-neutral-series-elo-v1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0.5300 (aec-lol-hle-dns-2026-07-21).</t>
        </is>
      </c>
      <c r="AF50" s="31" t="inlineStr">
        <is>
          <t>Research baseline; zero-unit shadow until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DN SOOPers</t>
        </is>
      </c>
      <c r="AQ50" s="24" t="inlineStr">
        <is>
          <t>DN SOOPers</t>
        </is>
      </c>
      <c r="AR50" s="24" t="inlineStr">
        <is>
          <t>DN SOOPers</t>
        </is>
      </c>
      <c r="AS50" s="24" t="inlineStr">
        <is>
          <t>Hanwha Life Esports</t>
        </is>
      </c>
      <c r="AT50" s="24" t="inlineStr">
        <is>
          <t>Hanwha Life Esports</t>
        </is>
      </c>
      <c r="AU50" s="24" t="inlineStr">
        <is>
          <t>Hanwha Life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82612f1b27d5065af8d70fd6669509ff00dc1c7e3a91bb423192bf3b0a9736ce</t>
        </is>
      </c>
      <c r="BB50" s="24" t="inlineStr">
        <is>
          <t>neutral_elo</t>
        </is>
      </c>
      <c r="BC50" s="24" t="inlineStr">
        <is>
          <t>lol-neutral-series-elo-v1</t>
        </is>
      </c>
      <c r="BD50" s="24" t="inlineStr">
        <is>
          <t>82612f1b27d5065af8d70fd6669509ff00dc1c7e3a91bb423192bf3b0a9736ce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unknown</t>
        </is>
      </c>
      <c r="BH50" s="24" t="inlineStr">
        <is>
          <t>2026-07-20T23:55:06.890172Z</t>
        </is>
      </c>
      <c r="BI50" s="24" t="inlineStr">
        <is>
          <t>["same_event","same_team_same_day","same_league_same_day"]</t>
        </is>
      </c>
      <c r="BJ50" s="25" t="n"/>
      <c r="BK50" s="26" t="n">
        <v>-113</v>
      </c>
      <c r="BL50" s="27" t="n">
        <v>1.884956</v>
      </c>
      <c r="BM50" s="28" t="n">
        <v>0.530516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1e4191a0349f4cc6</t>
        </is>
      </c>
      <c r="B51" s="24" t="inlineStr">
        <is>
          <t>2026-07-21T03:21:23.346420Z</t>
        </is>
      </c>
      <c r="C51" s="24" t="inlineStr">
        <is>
          <t>2026-07-21T16:00:00Z</t>
        </is>
      </c>
      <c r="D51" s="24" t="inlineStr">
        <is>
          <t>56853</t>
        </is>
      </c>
      <c r="E51" s="24" t="inlineStr">
        <is>
          <t>LOL</t>
        </is>
      </c>
      <c r="F51" s="24" t="inlineStr">
        <is>
          <t>Ici Japon Corp. Esport</t>
        </is>
      </c>
      <c r="G51" s="24" t="inlineStr">
        <is>
          <t>TLN Pirates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-144</v>
      </c>
      <c r="M51" s="27" t="n">
        <v>1.694444</v>
      </c>
      <c r="N51" s="28" t="n">
        <v>0.590164</v>
      </c>
      <c r="O51" s="28" t="n">
        <v>0.650242</v>
      </c>
      <c r="P51" s="28" t="n"/>
      <c r="Q51" s="28" t="n">
        <v>0.060242</v>
      </c>
      <c r="R51" s="26" t="n">
        <v>60</v>
      </c>
      <c r="S51" s="29" t="n">
        <v>2</v>
      </c>
      <c r="T51" s="24" t="inlineStr">
        <is>
          <t>lol-neutral-series-elo-v1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0.5900 (aec-lol-tlnp-ijc-2026-07-21).</t>
        </is>
      </c>
      <c r="AF51" s="31" t="inlineStr">
        <is>
          <t>Research baseline; zero-unit shadow until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Ici Japon Corp. Esport</t>
        </is>
      </c>
      <c r="AQ51" s="24" t="inlineStr">
        <is>
          <t>Ici Japon Corp. Esport</t>
        </is>
      </c>
      <c r="AR51" s="24" t="inlineStr">
        <is>
          <t>Ici Japon Corp. Esport</t>
        </is>
      </c>
      <c r="AS51" s="24" t="inlineStr">
        <is>
          <t>TLN Pirates</t>
        </is>
      </c>
      <c r="AT51" s="24" t="inlineStr">
        <is>
          <t>TLN Pirates</t>
        </is>
      </c>
      <c r="AU51" s="24" t="inlineStr">
        <is>
          <t>TLN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82612f1b27d5065af8d70fd6669509ff00dc1c7e3a91bb423192bf3b0a9736ce</t>
        </is>
      </c>
      <c r="BB51" s="24" t="inlineStr">
        <is>
          <t>neutral_elo</t>
        </is>
      </c>
      <c r="BC51" s="24" t="inlineStr">
        <is>
          <t>lol-neutral-series-elo-v1</t>
        </is>
      </c>
      <c r="BD51" s="24" t="inlineStr">
        <is>
          <t>82612f1b27d5065af8d70fd6669509ff00dc1c7e3a91bb423192bf3b0a9736ce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unknown</t>
        </is>
      </c>
      <c r="BH51" s="24" t="inlineStr">
        <is>
          <t>2026-07-21T03:21:23.346420Z</t>
        </is>
      </c>
      <c r="BI51" s="24" t="inlineStr">
        <is>
          <t>["same_event","same_team_same_day","same_league_same_day"]</t>
        </is>
      </c>
      <c r="BJ51" s="25" t="n"/>
      <c r="BK51" s="26" t="n">
        <v>-144</v>
      </c>
      <c r="BL51" s="27" t="n">
        <v>1.694444</v>
      </c>
      <c r="BM51" s="28" t="n">
        <v>0.590164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b8e878cebae74ce6</t>
        </is>
      </c>
      <c r="B52" s="24" t="inlineStr">
        <is>
          <t>2026-07-21T03:21:23.671795Z</t>
        </is>
      </c>
      <c r="C52" s="24" t="inlineStr">
        <is>
          <t>2026-07-21T17:00:00Z</t>
        </is>
      </c>
      <c r="D52" s="24" t="inlineStr">
        <is>
          <t>55198</t>
        </is>
      </c>
      <c r="E52" s="24" t="inlineStr">
        <is>
          <t>LOL</t>
        </is>
      </c>
      <c r="F52" s="24" t="inlineStr">
        <is>
          <t>Once Upon A Team</t>
        </is>
      </c>
      <c r="G52" s="24" t="inlineStr">
        <is>
          <t>mCon esports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-144</v>
      </c>
      <c r="M52" s="27" t="n">
        <v>1.694444</v>
      </c>
      <c r="N52" s="28" t="n">
        <v>0.590164</v>
      </c>
      <c r="O52" s="28" t="n">
        <v>0.650024</v>
      </c>
      <c r="P52" s="28" t="n"/>
      <c r="Q52" s="28" t="n">
        <v>0.060024</v>
      </c>
      <c r="R52" s="26" t="n">
        <v>60</v>
      </c>
      <c r="S52" s="29" t="n">
        <v>2</v>
      </c>
      <c r="T52" s="24" t="inlineStr">
        <is>
          <t>lol-neutral-series-elo-v1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0.5900 (aec-lol-mcn-ouat-2026-07-21).</t>
        </is>
      </c>
      <c r="AF52" s="31" t="inlineStr">
        <is>
          <t>Research baseline; zero-unit shadow until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Once Upon A Team</t>
        </is>
      </c>
      <c r="AQ52" s="24" t="inlineStr">
        <is>
          <t>Once Upon A Team</t>
        </is>
      </c>
      <c r="AR52" s="24" t="inlineStr">
        <is>
          <t>Once Upon A Team</t>
        </is>
      </c>
      <c r="AS52" s="24" t="inlineStr">
        <is>
          <t>mCon esports</t>
        </is>
      </c>
      <c r="AT52" s="24" t="inlineStr">
        <is>
          <t>mCon esports</t>
        </is>
      </c>
      <c r="AU52" s="24" t="inlineStr">
        <is>
          <t>mCon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82612f1b27d5065af8d70fd6669509ff00dc1c7e3a91bb423192bf3b0a9736ce</t>
        </is>
      </c>
      <c r="BB52" s="24" t="inlineStr">
        <is>
          <t>neutral_elo</t>
        </is>
      </c>
      <c r="BC52" s="24" t="inlineStr">
        <is>
          <t>lol-neutral-series-elo-v1</t>
        </is>
      </c>
      <c r="BD52" s="24" t="inlineStr">
        <is>
          <t>82612f1b27d5065af8d70fd6669509ff00dc1c7e3a91bb423192bf3b0a9736ce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unknown</t>
        </is>
      </c>
      <c r="BH52" s="24" t="inlineStr">
        <is>
          <t>2026-07-21T03:21:23.671795Z</t>
        </is>
      </c>
      <c r="BI52" s="24" t="inlineStr">
        <is>
          <t>["same_event","same_team_same_day","same_league_same_day"]</t>
        </is>
      </c>
      <c r="BJ52" s="25" t="n"/>
      <c r="BK52" s="26" t="n">
        <v>-144</v>
      </c>
      <c r="BL52" s="27" t="n">
        <v>1.694444</v>
      </c>
      <c r="BM52" s="28" t="n">
        <v>0.590164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  <row r="53" ht="36" customHeight="1">
      <c r="A53" s="24" t="inlineStr">
        <is>
          <t>3d480e15edd64412</t>
        </is>
      </c>
      <c r="B53" s="24" t="inlineStr">
        <is>
          <t>2026-07-21T03:21:23.924434Z</t>
        </is>
      </c>
      <c r="C53" s="24" t="inlineStr">
        <is>
          <t>2026-07-21T18:30:00Z</t>
        </is>
      </c>
      <c r="D53" s="24" t="inlineStr">
        <is>
          <t>57016</t>
        </is>
      </c>
      <c r="E53" s="24" t="inlineStr">
        <is>
          <t>LOL</t>
        </is>
      </c>
      <c r="F53" s="24" t="inlineStr">
        <is>
          <t>Baam Esports</t>
        </is>
      </c>
      <c r="G53" s="24" t="inlineStr">
        <is>
          <t>Pyramid IV Esports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113</v>
      </c>
      <c r="M53" s="27" t="n">
        <v>2.13</v>
      </c>
      <c r="N53" s="28" t="n">
        <v>0.469484</v>
      </c>
      <c r="O53" s="28" t="n">
        <v>0.503502</v>
      </c>
      <c r="P53" s="28" t="n"/>
      <c r="Q53" s="28" t="n">
        <v>0.033502</v>
      </c>
      <c r="R53" s="26" t="n">
        <v>33</v>
      </c>
      <c r="S53" s="29" t="n">
        <v>0.5</v>
      </c>
      <c r="T53" s="24" t="inlineStr">
        <is>
          <t>lol-neutral-series-elo-v1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0.4700 (aec-lol-piv-bam-2026-07-21).</t>
        </is>
      </c>
      <c r="AF53" s="31" t="inlineStr">
        <is>
          <t>Research baseline; zero-unit shadow until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Baam Esports</t>
        </is>
      </c>
      <c r="AQ53" s="24" t="inlineStr">
        <is>
          <t>Baam Esports</t>
        </is>
      </c>
      <c r="AR53" s="24" t="inlineStr">
        <is>
          <t>Baam Esports</t>
        </is>
      </c>
      <c r="AS53" s="24" t="inlineStr">
        <is>
          <t>Pyramid IV Esports</t>
        </is>
      </c>
      <c r="AT53" s="24" t="inlineStr">
        <is>
          <t>Pyramid IV Esports</t>
        </is>
      </c>
      <c r="AU53" s="24" t="inlineStr">
        <is>
          <t>Pyramid IV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82612f1b27d5065af8d70fd6669509ff00dc1c7e3a91bb423192bf3b0a9736ce</t>
        </is>
      </c>
      <c r="BB53" s="24" t="inlineStr">
        <is>
          <t>neutral_elo</t>
        </is>
      </c>
      <c r="BC53" s="24" t="inlineStr">
        <is>
          <t>lol-neutral-series-elo-v1</t>
        </is>
      </c>
      <c r="BD53" s="24" t="inlineStr">
        <is>
          <t>82612f1b27d5065af8d70fd6669509ff00dc1c7e3a91bb423192bf3b0a9736ce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unknown</t>
        </is>
      </c>
      <c r="BH53" s="24" t="inlineStr">
        <is>
          <t>2026-07-21T03:21:23.924434Z</t>
        </is>
      </c>
      <c r="BI53" s="24" t="inlineStr">
        <is>
          <t>["same_event","same_team_same_day","same_league_same_day"]</t>
        </is>
      </c>
      <c r="BJ53" s="25" t="n"/>
      <c r="BK53" s="26" t="n">
        <v>113</v>
      </c>
      <c r="BL53" s="27" t="n">
        <v>2.13</v>
      </c>
      <c r="BM53" s="28" t="n">
        <v>0.469484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</row>
    <row r="54" ht="36" customHeight="1">
      <c r="A54" s="24" t="inlineStr">
        <is>
          <t>d2a35f448244400a</t>
        </is>
      </c>
      <c r="B54" s="24" t="inlineStr">
        <is>
          <t>2026-07-21T03:21:24.180904Z</t>
        </is>
      </c>
      <c r="C54" s="24" t="inlineStr">
        <is>
          <t>2026-07-21T19:00:00Z</t>
        </is>
      </c>
      <c r="D54" s="24" t="inlineStr">
        <is>
          <t>56856</t>
        </is>
      </c>
      <c r="E54" s="24" t="inlineStr">
        <is>
          <t>LOL</t>
        </is>
      </c>
      <c r="F54" s="24" t="inlineStr">
        <is>
          <t>Joblife</t>
        </is>
      </c>
      <c r="G54" s="24" t="inlineStr">
        <is>
          <t>Galions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-194</v>
      </c>
      <c r="M54" s="27" t="n">
        <v>1.515464</v>
      </c>
      <c r="N54" s="28" t="n">
        <v>0.659864</v>
      </c>
      <c r="O54" s="28" t="n">
        <v>0.748054</v>
      </c>
      <c r="P54" s="28" t="n"/>
      <c r="Q54" s="28" t="n">
        <v>0.08805399999999999</v>
      </c>
      <c r="R54" s="26" t="n">
        <v>88</v>
      </c>
      <c r="S54" s="29" t="n">
        <v>2</v>
      </c>
      <c r="T54" s="24" t="inlineStr">
        <is>
          <t>lol-neutral-series-elo-v1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0.6600 (aec-lol-gal-jl-2026-07-21).</t>
        </is>
      </c>
      <c r="AF54" s="31" t="inlineStr">
        <is>
          <t>Research baseline; zero-unit shadow until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Joblife</t>
        </is>
      </c>
      <c r="AQ54" s="24" t="inlineStr">
        <is>
          <t>Joblife</t>
        </is>
      </c>
      <c r="AR54" s="24" t="inlineStr">
        <is>
          <t>Joblife</t>
        </is>
      </c>
      <c r="AS54" s="24" t="inlineStr">
        <is>
          <t>Galions</t>
        </is>
      </c>
      <c r="AT54" s="24" t="inlineStr">
        <is>
          <t>Galions</t>
        </is>
      </c>
      <c r="AU54" s="24" t="inlineStr">
        <is>
          <t>Galions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82612f1b27d5065af8d70fd6669509ff00dc1c7e3a91bb423192bf3b0a9736ce</t>
        </is>
      </c>
      <c r="BB54" s="24" t="inlineStr">
        <is>
          <t>neutral_elo</t>
        </is>
      </c>
      <c r="BC54" s="24" t="inlineStr">
        <is>
          <t>lol-neutral-series-elo-v1</t>
        </is>
      </c>
      <c r="BD54" s="24" t="inlineStr">
        <is>
          <t>82612f1b27d5065af8d70fd6669509ff00dc1c7e3a91bb423192bf3b0a9736ce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unknown</t>
        </is>
      </c>
      <c r="BH54" s="24" t="inlineStr">
        <is>
          <t>2026-07-21T03:21:24.180904Z</t>
        </is>
      </c>
      <c r="BI54" s="24" t="inlineStr">
        <is>
          <t>["same_event","same_team_same_day","same_league_same_day"]</t>
        </is>
      </c>
      <c r="BJ54" s="25" t="n"/>
      <c r="BK54" s="26" t="n">
        <v>-194</v>
      </c>
      <c r="BL54" s="27" t="n">
        <v>1.515464</v>
      </c>
      <c r="BM54" s="28" t="n">
        <v>0.659864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</row>
    <row r="55" ht="36" customHeight="1">
      <c r="A55" s="24" t="inlineStr">
        <is>
          <t>8de05129364d4fdc</t>
        </is>
      </c>
      <c r="B55" s="24" t="inlineStr">
        <is>
          <t>2026-07-21T03:21:24.442694Z</t>
        </is>
      </c>
      <c r="C55" s="24" t="inlineStr">
        <is>
          <t>2026-07-21T21:00:00Z</t>
        </is>
      </c>
      <c r="D55" s="24" t="inlineStr">
        <is>
          <t>55205</t>
        </is>
      </c>
      <c r="E55" s="24" t="inlineStr">
        <is>
          <t>LOL</t>
        </is>
      </c>
      <c r="F55" s="24" t="inlineStr">
        <is>
          <t>RMD Gaming</t>
        </is>
      </c>
      <c r="G55" s="24" t="inlineStr">
        <is>
          <t>paiN Gaming Academy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0.731785</v>
      </c>
      <c r="P55" s="28" t="n"/>
      <c r="Q55" s="28" t="n">
        <v>0.061785</v>
      </c>
      <c r="R55" s="26" t="n">
        <v>61</v>
      </c>
      <c r="S55" s="29" t="n">
        <v>2</v>
      </c>
      <c r="T55" s="24" t="inlineStr">
        <is>
          <t>lol-neutral-series-elo-v1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0.6700 (aec-lol-pnga-rmd-2026-07-21).</t>
        </is>
      </c>
      <c r="AF55" s="31" t="inlineStr">
        <is>
          <t>Research baseline; zero-unit shadow until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RMD Gaming</t>
        </is>
      </c>
      <c r="AQ55" s="24" t="inlineStr">
        <is>
          <t>RMD Gaming</t>
        </is>
      </c>
      <c r="AR55" s="24" t="inlineStr">
        <is>
          <t>RMD Gaming</t>
        </is>
      </c>
      <c r="AS55" s="24" t="inlineStr">
        <is>
          <t>paiN Gaming Academy</t>
        </is>
      </c>
      <c r="AT55" s="24" t="inlineStr">
        <is>
          <t>paiN Gaming Academy</t>
        </is>
      </c>
      <c r="AU55" s="24" t="inlineStr">
        <is>
          <t>paiN Gaming Academy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82612f1b27d5065af8d70fd6669509ff00dc1c7e3a91bb423192bf3b0a9736ce</t>
        </is>
      </c>
      <c r="BB55" s="24" t="inlineStr">
        <is>
          <t>neutral_elo</t>
        </is>
      </c>
      <c r="BC55" s="24" t="inlineStr">
        <is>
          <t>lol-neutral-series-elo-v1</t>
        </is>
      </c>
      <c r="BD55" s="24" t="inlineStr">
        <is>
          <t>82612f1b27d5065af8d70fd6669509ff00dc1c7e3a91bb423192bf3b0a9736ce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unknown</t>
        </is>
      </c>
      <c r="BH55" s="24" t="inlineStr">
        <is>
          <t>2026-07-21T03:21:24.442694Z</t>
        </is>
      </c>
      <c r="BI55" s="24" t="inlineStr">
        <is>
          <t>["same_event","same_team_same_day","same_league_same_day"]</t>
        </is>
      </c>
      <c r="BJ55" s="25" t="n"/>
      <c r="BK55" s="26" t="n">
        <v>-203</v>
      </c>
      <c r="BL55" s="27" t="n">
        <v>1.492611</v>
      </c>
      <c r="BM55" s="28" t="n">
        <v>0.669967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</row>
    <row r="56" ht="36" customHeight="1">
      <c r="A56" s="24" t="inlineStr">
        <is>
          <t>46820ba6ae0949a3</t>
        </is>
      </c>
      <c r="B56" s="24" t="inlineStr">
        <is>
          <t>2026-07-21T03:21:24.705162Z</t>
        </is>
      </c>
      <c r="C56" s="24" t="inlineStr">
        <is>
          <t>2026-07-21T22:00:00Z</t>
        </is>
      </c>
      <c r="D56" s="24" t="inlineStr">
        <is>
          <t>55206</t>
        </is>
      </c>
      <c r="E56" s="24" t="inlineStr">
        <is>
          <t>LOL</t>
        </is>
      </c>
      <c r="F56" s="24" t="inlineStr">
        <is>
          <t>Estral Esports</t>
        </is>
      </c>
      <c r="G56" s="24" t="inlineStr">
        <is>
          <t>KaBuM! Ilha das Lendas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163</v>
      </c>
      <c r="M56" s="27" t="n">
        <v>2.63</v>
      </c>
      <c r="N56" s="28" t="n">
        <v>0.380228</v>
      </c>
      <c r="O56" s="28" t="n">
        <v>0.59232</v>
      </c>
      <c r="P56" s="28" t="n"/>
      <c r="Q56" s="28" t="n">
        <v>0.21232</v>
      </c>
      <c r="R56" s="26" t="n">
        <v>100</v>
      </c>
      <c r="S56" s="29" t="n">
        <v>1.5</v>
      </c>
      <c r="T56" s="24" t="inlineStr">
        <is>
          <t>lol-neutral-series-elo-v1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0.3800 (aec-lol-kbm-est-2026-07-21).</t>
        </is>
      </c>
      <c r="AF56" s="31" t="inlineStr">
        <is>
          <t>Research baseline; zero-unit shadow until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Estral Esports</t>
        </is>
      </c>
      <c r="AQ56" s="24" t="inlineStr">
        <is>
          <t>Estral Esports</t>
        </is>
      </c>
      <c r="AR56" s="24" t="inlineStr">
        <is>
          <t>Estral Esports</t>
        </is>
      </c>
      <c r="AS56" s="24" t="inlineStr">
        <is>
          <t>KaBuM! Ilha das Lendas</t>
        </is>
      </c>
      <c r="AT56" s="24" t="inlineStr">
        <is>
          <t>KaBuM! Ilha das Lendas</t>
        </is>
      </c>
      <c r="AU56" s="24" t="inlineStr">
        <is>
          <t>KaBuM! Ilha das Lendas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82612f1b27d5065af8d70fd6669509ff00dc1c7e3a91bb423192bf3b0a9736ce</t>
        </is>
      </c>
      <c r="BB56" s="24" t="inlineStr">
        <is>
          <t>neutral_elo</t>
        </is>
      </c>
      <c r="BC56" s="24" t="inlineStr">
        <is>
          <t>lol-neutral-series-elo-v1</t>
        </is>
      </c>
      <c r="BD56" s="24" t="inlineStr">
        <is>
          <t>82612f1b27d5065af8d70fd6669509ff00dc1c7e3a91bb423192bf3b0a9736ce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unknown</t>
        </is>
      </c>
      <c r="BH56" s="24" t="inlineStr">
        <is>
          <t>2026-07-21T03:21:24.705162Z</t>
        </is>
      </c>
      <c r="BI56" s="24" t="inlineStr">
        <is>
          <t>["same_event","same_team_same_day","same_league_same_day"]</t>
        </is>
      </c>
      <c r="BJ56" s="25" t="n"/>
      <c r="BK56" s="26" t="n">
        <v>163</v>
      </c>
      <c r="BL56" s="27" t="n">
        <v>2.63</v>
      </c>
      <c r="BM56" s="28" t="n">
        <v>0.380228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</row>
    <row r="57" ht="36" customHeight="1">
      <c r="A57" s="24" t="inlineStr">
        <is>
          <t>cf3246af1f474a60</t>
        </is>
      </c>
      <c r="B57" s="24" t="inlineStr">
        <is>
          <t>2026-07-21T03:21:24.968970Z</t>
        </is>
      </c>
      <c r="C57" s="24" t="inlineStr">
        <is>
          <t>2026-07-22T00:00:00Z</t>
        </is>
      </c>
      <c r="D57" s="24" t="inlineStr">
        <is>
          <t>55211</t>
        </is>
      </c>
      <c r="E57" s="24" t="inlineStr">
        <is>
          <t>LOL</t>
        </is>
      </c>
      <c r="F57" s="24" t="inlineStr">
        <is>
          <t>7REX</t>
        </is>
      </c>
      <c r="G57" s="24" t="inlineStr">
        <is>
          <t>Vivo Keyd Stars Academy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-213</v>
      </c>
      <c r="M57" s="27" t="n">
        <v>1.469484</v>
      </c>
      <c r="N57" s="28" t="n">
        <v>0.680511</v>
      </c>
      <c r="O57" s="28" t="n">
        <v>0.704201</v>
      </c>
      <c r="P57" s="28" t="n"/>
      <c r="Q57" s="28" t="n">
        <v>0.024201</v>
      </c>
      <c r="R57" s="26" t="n">
        <v>24</v>
      </c>
      <c r="S57" s="29" t="n">
        <v>2</v>
      </c>
      <c r="T57" s="24" t="inlineStr">
        <is>
          <t>lol-neutral-series-elo-v1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0.6800 (aec-lol-vksa-7rex-2026-07-22).</t>
        </is>
      </c>
      <c r="AF57" s="31" t="inlineStr">
        <is>
          <t>Research baseline; zero-unit shadow until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7REX</t>
        </is>
      </c>
      <c r="AQ57" s="24" t="inlineStr">
        <is>
          <t>7REX</t>
        </is>
      </c>
      <c r="AR57" s="24" t="inlineStr">
        <is>
          <t>7REX</t>
        </is>
      </c>
      <c r="AS57" s="24" t="inlineStr">
        <is>
          <t>Vivo Keyd Stars Academy</t>
        </is>
      </c>
      <c r="AT57" s="24" t="inlineStr">
        <is>
          <t>Vivo Keyd Stars Academy</t>
        </is>
      </c>
      <c r="AU57" s="24" t="inlineStr">
        <is>
          <t>Vivo Keyd Stars Academy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82612f1b27d5065af8d70fd6669509ff00dc1c7e3a91bb423192bf3b0a9736ce</t>
        </is>
      </c>
      <c r="BB57" s="24" t="inlineStr">
        <is>
          <t>neutral_elo</t>
        </is>
      </c>
      <c r="BC57" s="24" t="inlineStr">
        <is>
          <t>lol-neutral-series-elo-v1</t>
        </is>
      </c>
      <c r="BD57" s="24" t="inlineStr">
        <is>
          <t>82612f1b27d5065af8d70fd6669509ff00dc1c7e3a91bb423192bf3b0a9736ce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unknown</t>
        </is>
      </c>
      <c r="BH57" s="24" t="inlineStr">
        <is>
          <t>2026-07-21T03:21:24.968970Z</t>
        </is>
      </c>
      <c r="BI57" s="24" t="inlineStr">
        <is>
          <t>["same_event","same_team_same_day","same_league_same_day"]</t>
        </is>
      </c>
      <c r="BJ57" s="25" t="n"/>
      <c r="BK57" s="26" t="n">
        <v>-213</v>
      </c>
      <c r="BL57" s="27" t="n">
        <v>1.469484</v>
      </c>
      <c r="BM57" s="28" t="n">
        <v>0.680511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</row>
    <row r="58" ht="36" customHeight="1">
      <c r="A58" s="24" t="inlineStr">
        <is>
          <t>046d3fd9c78e4d72</t>
        </is>
      </c>
      <c r="B58" s="24" t="inlineStr">
        <is>
          <t>2026-07-21T03:22:24.834802Z</t>
        </is>
      </c>
      <c r="C58" s="24" t="inlineStr">
        <is>
          <t>2026-07-21T08:00:00Z</t>
        </is>
      </c>
      <c r="D58" s="24" t="inlineStr">
        <is>
          <t>56863</t>
        </is>
      </c>
      <c r="E58" s="24" t="inlineStr">
        <is>
          <t>CS2</t>
        </is>
      </c>
      <c r="F58" s="24" t="inlineStr">
        <is>
          <t>eternal premium</t>
        </is>
      </c>
      <c r="G58" s="24" t="inlineStr">
        <is>
          <t>Mai Tai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156</v>
      </c>
      <c r="M58" s="27" t="n">
        <v>2.56</v>
      </c>
      <c r="N58" s="28" t="n">
        <v>0.390625</v>
      </c>
      <c r="O58" s="28" t="n">
        <v>0.64963</v>
      </c>
      <c r="P58" s="28" t="n"/>
      <c r="Q58" s="28" t="n">
        <v>0.25963</v>
      </c>
      <c r="R58" s="26" t="n">
        <v>100</v>
      </c>
      <c r="S58" s="29" t="n">
        <v>2</v>
      </c>
      <c r="T58" s="24" t="inlineStr">
        <is>
          <t>cs2-neutral-series-elo-v1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0.3900 (aec-cs2-mta-ep-2026-07-21).</t>
        </is>
      </c>
      <c r="AF58" s="31" t="inlineStr">
        <is>
          <t>Research baseline; zero-unit shadow until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eternal premium</t>
        </is>
      </c>
      <c r="AQ58" s="24" t="inlineStr">
        <is>
          <t>eternal premium</t>
        </is>
      </c>
      <c r="AR58" s="24" t="inlineStr">
        <is>
          <t>eternal premium</t>
        </is>
      </c>
      <c r="AS58" s="24" t="inlineStr">
        <is>
          <t>Mai Tai</t>
        </is>
      </c>
      <c r="AT58" s="24" t="inlineStr">
        <is>
          <t>Mai Tai</t>
        </is>
      </c>
      <c r="AU58" s="24" t="inlineStr">
        <is>
          <t>Mai Tai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9dbde86ab8062ac73a51c94b0ad431573ac8b755ccd742d86794849a749958c7</t>
        </is>
      </c>
      <c r="BB58" s="24" t="inlineStr">
        <is>
          <t>neutral_elo</t>
        </is>
      </c>
      <c r="BC58" s="24" t="inlineStr">
        <is>
          <t>cs2-neutral-series-elo-v1</t>
        </is>
      </c>
      <c r="BD58" s="24" t="inlineStr">
        <is>
          <t>9dbde86ab8062ac73a51c94b0ad431573ac8b755ccd742d86794849a749958c7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unknown</t>
        </is>
      </c>
      <c r="BH58" s="24" t="inlineStr">
        <is>
          <t>2026-07-21T03:22:24.834802Z</t>
        </is>
      </c>
      <c r="BI58" s="24" t="inlineStr">
        <is>
          <t>["same_event","same_team_same_day","same_league_same_day"]</t>
        </is>
      </c>
      <c r="BJ58" s="25" t="n"/>
      <c r="BK58" s="26" t="n">
        <v>156</v>
      </c>
      <c r="BL58" s="27" t="n">
        <v>2.56</v>
      </c>
      <c r="BM58" s="28" t="n">
        <v>0.390625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</row>
    <row r="59" ht="36" customHeight="1">
      <c r="A59" s="24" t="inlineStr">
        <is>
          <t>fc787994a82c4b99</t>
        </is>
      </c>
      <c r="B59" s="24" t="inlineStr">
        <is>
          <t>2026-07-21T03:22:25.111853Z</t>
        </is>
      </c>
      <c r="C59" s="24" t="inlineStr">
        <is>
          <t>2026-07-21T08:00:00Z</t>
        </is>
      </c>
      <c r="D59" s="24" t="inlineStr">
        <is>
          <t>57522</t>
        </is>
      </c>
      <c r="E59" s="24" t="inlineStr">
        <is>
          <t>CS2</t>
        </is>
      </c>
      <c r="F59" s="24" t="inlineStr">
        <is>
          <t>G2 Ares</t>
        </is>
      </c>
      <c r="G59" s="24" t="inlineStr">
        <is>
          <t>CYBERSHOKE Prospects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0.651424</v>
      </c>
      <c r="P59" s="28" t="n"/>
      <c r="Q59" s="28" t="n">
        <v>0.181424</v>
      </c>
      <c r="R59" s="26" t="n">
        <v>100</v>
      </c>
      <c r="S59" s="29" t="n">
        <v>2</v>
      </c>
      <c r="T59" s="24" t="inlineStr">
        <is>
          <t>cs2-neutral-series-elo-v1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0.4700 (aec-cs2-cshp-g2a-2026-07-21).</t>
        </is>
      </c>
      <c r="AF59" s="31" t="inlineStr">
        <is>
          <t>Research baseline; zero-unit shadow until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G2 Ares</t>
        </is>
      </c>
      <c r="AQ59" s="24" t="inlineStr">
        <is>
          <t>G2 Ares</t>
        </is>
      </c>
      <c r="AR59" s="24" t="inlineStr">
        <is>
          <t>G2 Ares</t>
        </is>
      </c>
      <c r="AS59" s="24" t="inlineStr">
        <is>
          <t>CYBERSHOKE Prospects</t>
        </is>
      </c>
      <c r="AT59" s="24" t="inlineStr">
        <is>
          <t>CYBERSHOKE Prospects</t>
        </is>
      </c>
      <c r="AU59" s="24" t="inlineStr">
        <is>
          <t>CYBERSHOKE Prospects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9dbde86ab8062ac73a51c94b0ad431573ac8b755ccd742d86794849a749958c7</t>
        </is>
      </c>
      <c r="BB59" s="24" t="inlineStr">
        <is>
          <t>neutral_elo</t>
        </is>
      </c>
      <c r="BC59" s="24" t="inlineStr">
        <is>
          <t>cs2-neutral-series-elo-v1</t>
        </is>
      </c>
      <c r="BD59" s="24" t="inlineStr">
        <is>
          <t>9dbde86ab8062ac73a51c94b0ad431573ac8b755ccd742d86794849a749958c7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unknown</t>
        </is>
      </c>
      <c r="BH59" s="24" t="inlineStr">
        <is>
          <t>2026-07-21T03:22:25.111853Z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</row>
    <row r="60" ht="36" customHeight="1">
      <c r="A60" s="24" t="inlineStr">
        <is>
          <t>4e51e760c7d547ec</t>
        </is>
      </c>
      <c r="B60" s="24" t="inlineStr">
        <is>
          <t>2026-07-21T03:22:25.393606Z</t>
        </is>
      </c>
      <c r="C60" s="24" t="inlineStr">
        <is>
          <t>2026-07-21T10:00:00Z</t>
        </is>
      </c>
      <c r="D60" s="24" t="inlineStr">
        <is>
          <t>54926</t>
        </is>
      </c>
      <c r="E60" s="24" t="inlineStr">
        <is>
          <t>CS2</t>
        </is>
      </c>
      <c r="F60" s="24" t="inlineStr">
        <is>
          <t>NIP</t>
        </is>
      </c>
      <c r="G60" s="24" t="inlineStr">
        <is>
          <t>M80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108</v>
      </c>
      <c r="M60" s="27" t="n">
        <v>2.08</v>
      </c>
      <c r="N60" s="28" t="n">
        <v>0.480769</v>
      </c>
      <c r="O60" s="28" t="n">
        <v>0.670551</v>
      </c>
      <c r="P60" s="28" t="n"/>
      <c r="Q60" s="28" t="n">
        <v>0.190551</v>
      </c>
      <c r="R60" s="26" t="n">
        <v>100</v>
      </c>
      <c r="S60" s="29" t="n">
        <v>2</v>
      </c>
      <c r="T60" s="24" t="inlineStr">
        <is>
          <t>cs2-neutral-series-elo-v1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0.4800 (aec-cs2-m80-nip-2026-07-21).</t>
        </is>
      </c>
      <c r="AF60" s="31" t="inlineStr">
        <is>
          <t>Research baseline; zero-unit shadow until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NIP</t>
        </is>
      </c>
      <c r="AQ60" s="24" t="inlineStr">
        <is>
          <t>NIP</t>
        </is>
      </c>
      <c r="AR60" s="24" t="inlineStr">
        <is>
          <t>NIP</t>
        </is>
      </c>
      <c r="AS60" s="24" t="inlineStr">
        <is>
          <t>M80</t>
        </is>
      </c>
      <c r="AT60" s="24" t="inlineStr">
        <is>
          <t>M80</t>
        </is>
      </c>
      <c r="AU60" s="24" t="inlineStr">
        <is>
          <t>M80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9dbde86ab8062ac73a51c94b0ad431573ac8b755ccd742d86794849a749958c7</t>
        </is>
      </c>
      <c r="BB60" s="24" t="inlineStr">
        <is>
          <t>neutral_elo</t>
        </is>
      </c>
      <c r="BC60" s="24" t="inlineStr">
        <is>
          <t>cs2-neutral-series-elo-v1</t>
        </is>
      </c>
      <c r="BD60" s="24" t="inlineStr">
        <is>
          <t>9dbde86ab8062ac73a51c94b0ad431573ac8b755ccd742d86794849a749958c7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unknown</t>
        </is>
      </c>
      <c r="BH60" s="24" t="inlineStr">
        <is>
          <t>2026-07-21T03:22:25.393606Z</t>
        </is>
      </c>
      <c r="BI60" s="24" t="inlineStr">
        <is>
          <t>["same_event","same_team_same_day","same_league_same_day"]</t>
        </is>
      </c>
      <c r="BJ60" s="25" t="n"/>
      <c r="BK60" s="26" t="n">
        <v>108</v>
      </c>
      <c r="BL60" s="27" t="n">
        <v>2.08</v>
      </c>
      <c r="BM60" s="28" t="n">
        <v>0.480769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</row>
    <row r="61" ht="36" customHeight="1">
      <c r="A61" s="24" t="inlineStr">
        <is>
          <t>6d28b2d91c0e43cb</t>
        </is>
      </c>
      <c r="B61" s="24" t="inlineStr">
        <is>
          <t>2026-07-21T03:22:25.674986Z</t>
        </is>
      </c>
      <c r="C61" s="24" t="inlineStr">
        <is>
          <t>2026-07-21T10:30:00Z</t>
        </is>
      </c>
      <c r="D61" s="24" t="inlineStr">
        <is>
          <t>56029</t>
        </is>
      </c>
      <c r="E61" s="24" t="inlineStr">
        <is>
          <t>CS2</t>
        </is>
      </c>
      <c r="F61" s="24" t="inlineStr">
        <is>
          <t>CYBERSHOKE Esports</t>
        </is>
      </c>
      <c r="G61" s="24" t="inlineStr">
        <is>
          <t>BET-M 33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156</v>
      </c>
      <c r="M61" s="27" t="n">
        <v>2.56</v>
      </c>
      <c r="N61" s="28" t="n">
        <v>0.390625</v>
      </c>
      <c r="O61" s="28" t="n">
        <v>0.7467510000000001</v>
      </c>
      <c r="P61" s="28" t="n"/>
      <c r="Q61" s="28" t="n">
        <v>0.356751</v>
      </c>
      <c r="R61" s="26" t="n">
        <v>100</v>
      </c>
      <c r="S61" s="29" t="n">
        <v>2</v>
      </c>
      <c r="T61" s="24" t="inlineStr">
        <is>
          <t>cs2-neutral-series-elo-v1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0.3900 (aec-cs2-33-cs-2026-07-21).</t>
        </is>
      </c>
      <c r="AF61" s="31" t="inlineStr">
        <is>
          <t>Research baseline; zero-unit shadow until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CYBERSHOKE Esports</t>
        </is>
      </c>
      <c r="AQ61" s="24" t="inlineStr">
        <is>
          <t>CYBERSHOKE Esports</t>
        </is>
      </c>
      <c r="AR61" s="24" t="inlineStr">
        <is>
          <t>CYBERSHOKE Esports</t>
        </is>
      </c>
      <c r="AS61" s="24" t="inlineStr">
        <is>
          <t>BET-M 33</t>
        </is>
      </c>
      <c r="AT61" s="24" t="inlineStr">
        <is>
          <t>BET-M 33</t>
        </is>
      </c>
      <c r="AU61" s="24" t="inlineStr">
        <is>
          <t>BET-M 33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9dbde86ab8062ac73a51c94b0ad431573ac8b755ccd742d86794849a749958c7</t>
        </is>
      </c>
      <c r="BB61" s="24" t="inlineStr">
        <is>
          <t>neutral_elo</t>
        </is>
      </c>
      <c r="BC61" s="24" t="inlineStr">
        <is>
          <t>cs2-neutral-series-elo-v1</t>
        </is>
      </c>
      <c r="BD61" s="24" t="inlineStr">
        <is>
          <t>9dbde86ab8062ac73a51c94b0ad431573ac8b755ccd742d86794849a749958c7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unknown</t>
        </is>
      </c>
      <c r="BH61" s="24" t="inlineStr">
        <is>
          <t>2026-07-21T03:22:25.674986Z</t>
        </is>
      </c>
      <c r="BI61" s="24" t="inlineStr">
        <is>
          <t>["same_event","same_team_same_day","same_league_same_day"]</t>
        </is>
      </c>
      <c r="BJ61" s="25" t="n"/>
      <c r="BK61" s="26" t="n">
        <v>156</v>
      </c>
      <c r="BL61" s="27" t="n">
        <v>2.56</v>
      </c>
      <c r="BM61" s="28" t="n">
        <v>0.390625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</row>
    <row r="62" ht="36" customHeight="1">
      <c r="A62" s="24" t="inlineStr">
        <is>
          <t>92ab4b9b757a4d51</t>
        </is>
      </c>
      <c r="B62" s="24" t="inlineStr">
        <is>
          <t>2026-07-21T03:22:25.976642Z</t>
        </is>
      </c>
      <c r="C62" s="24" t="inlineStr">
        <is>
          <t>2026-07-21T13:00:00Z</t>
        </is>
      </c>
      <c r="D62" s="24" t="inlineStr">
        <is>
          <t>56030</t>
        </is>
      </c>
      <c r="E62" s="24" t="inlineStr">
        <is>
          <t>CS2</t>
        </is>
      </c>
      <c r="F62" s="24" t="inlineStr">
        <is>
          <t>Gentle Mates</t>
        </is>
      </c>
      <c r="G62" s="24" t="inlineStr">
        <is>
          <t>3DMAX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117</v>
      </c>
      <c r="M62" s="27" t="n">
        <v>2.17</v>
      </c>
      <c r="N62" s="28" t="n">
        <v>0.460829</v>
      </c>
      <c r="O62" s="28" t="n">
        <v>0.569167</v>
      </c>
      <c r="P62" s="28" t="n"/>
      <c r="Q62" s="28" t="n">
        <v>0.109167</v>
      </c>
      <c r="R62" s="26" t="n">
        <v>100</v>
      </c>
      <c r="S62" s="29" t="n">
        <v>1.25</v>
      </c>
      <c r="T62" s="24" t="inlineStr">
        <is>
          <t>cs2-neutral-series-elo-v1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0.4600 (aec-cs2-3dmax-m8-2026-07-21).</t>
        </is>
      </c>
      <c r="AF62" s="31" t="inlineStr">
        <is>
          <t>Research baseline; zero-unit shadow until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Gentle Mates</t>
        </is>
      </c>
      <c r="AQ62" s="24" t="inlineStr">
        <is>
          <t>Gentle Mates</t>
        </is>
      </c>
      <c r="AR62" s="24" t="inlineStr">
        <is>
          <t>Gentle Mates</t>
        </is>
      </c>
      <c r="AS62" s="24" t="inlineStr">
        <is>
          <t>3DMAX</t>
        </is>
      </c>
      <c r="AT62" s="24" t="inlineStr">
        <is>
          <t>3DMAX</t>
        </is>
      </c>
      <c r="AU62" s="24" t="inlineStr">
        <is>
          <t>3DMAX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9dbde86ab8062ac73a51c94b0ad431573ac8b755ccd742d86794849a749958c7</t>
        </is>
      </c>
      <c r="BB62" s="24" t="inlineStr">
        <is>
          <t>neutral_elo</t>
        </is>
      </c>
      <c r="BC62" s="24" t="inlineStr">
        <is>
          <t>cs2-neutral-series-elo-v1</t>
        </is>
      </c>
      <c r="BD62" s="24" t="inlineStr">
        <is>
          <t>9dbde86ab8062ac73a51c94b0ad431573ac8b755ccd742d86794849a749958c7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unknown</t>
        </is>
      </c>
      <c r="BH62" s="24" t="inlineStr">
        <is>
          <t>2026-07-21T03:22:25.976642Z</t>
        </is>
      </c>
      <c r="BI62" s="24" t="inlineStr">
        <is>
          <t>["same_event","same_team_same_day","same_league_same_day"]</t>
        </is>
      </c>
      <c r="BJ62" s="25" t="n"/>
      <c r="BK62" s="26" t="n">
        <v>117</v>
      </c>
      <c r="BL62" s="27" t="n">
        <v>2.17</v>
      </c>
      <c r="BM62" s="28" t="n">
        <v>0.460829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</row>
    <row r="63" ht="36" customHeight="1">
      <c r="A63" s="24" t="inlineStr">
        <is>
          <t>1aef576950e144a8</t>
        </is>
      </c>
      <c r="B63" s="24" t="inlineStr">
        <is>
          <t>2026-07-21T03:22:26.273160Z</t>
        </is>
      </c>
      <c r="C63" s="24" t="inlineStr">
        <is>
          <t>2026-07-21T16:00:00Z</t>
        </is>
      </c>
      <c r="D63" s="24" t="inlineStr">
        <is>
          <t>50619</t>
        </is>
      </c>
      <c r="E63" s="24" t="inlineStr">
        <is>
          <t>CS2</t>
        </is>
      </c>
      <c r="F63" s="24" t="inlineStr">
        <is>
          <t>BOJONG</t>
        </is>
      </c>
      <c r="G63" s="24" t="inlineStr">
        <is>
          <t>Entropy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0.71144</v>
      </c>
      <c r="P63" s="28" t="n"/>
      <c r="Q63" s="28" t="n">
        <v>0.17144</v>
      </c>
      <c r="R63" s="26" t="n">
        <v>100</v>
      </c>
      <c r="S63" s="29" t="n">
        <v>2</v>
      </c>
      <c r="T63" s="24" t="inlineStr">
        <is>
          <t>cs2-neutral-series-elo-v1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0.5400 (aec-cs2-ent-bjng-2026-07-14).</t>
        </is>
      </c>
      <c r="AF63" s="31" t="inlineStr">
        <is>
          <t>Research baseline; zero-unit shadow until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BOJONG</t>
        </is>
      </c>
      <c r="AQ63" s="24" t="inlineStr">
        <is>
          <t>BOJONG</t>
        </is>
      </c>
      <c r="AR63" s="24" t="inlineStr">
        <is>
          <t>BOJONG</t>
        </is>
      </c>
      <c r="AS63" s="24" t="inlineStr">
        <is>
          <t>Entropy</t>
        </is>
      </c>
      <c r="AT63" s="24" t="inlineStr">
        <is>
          <t>Entropy</t>
        </is>
      </c>
      <c r="AU63" s="24" t="inlineStr">
        <is>
          <t>Entropy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9dbde86ab8062ac73a51c94b0ad431573ac8b755ccd742d86794849a749958c7</t>
        </is>
      </c>
      <c r="BB63" s="24" t="inlineStr">
        <is>
          <t>neutral_elo</t>
        </is>
      </c>
      <c r="BC63" s="24" t="inlineStr">
        <is>
          <t>cs2-neutral-series-elo-v1</t>
        </is>
      </c>
      <c r="BD63" s="24" t="inlineStr">
        <is>
          <t>9dbde86ab8062ac73a51c94b0ad431573ac8b755ccd742d86794849a749958c7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unknown</t>
        </is>
      </c>
      <c r="BH63" s="24" t="inlineStr">
        <is>
          <t>2026-07-21T03:22:26.273160Z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</row>
    <row r="64" ht="36" customHeight="1">
      <c r="A64" s="24" t="inlineStr">
        <is>
          <t>110d457a3dff430a</t>
        </is>
      </c>
      <c r="B64" s="24" t="inlineStr">
        <is>
          <t>2026-07-21T03:22:26.572469Z</t>
        </is>
      </c>
      <c r="C64" s="24" t="inlineStr">
        <is>
          <t>2026-07-21T17:30:00Z</t>
        </is>
      </c>
      <c r="D64" s="24" t="inlineStr">
        <is>
          <t>55178</t>
        </is>
      </c>
      <c r="E64" s="24" t="inlineStr">
        <is>
          <t>CS2</t>
        </is>
      </c>
      <c r="F64" s="24" t="inlineStr">
        <is>
          <t>Wildcard</t>
        </is>
      </c>
      <c r="G64" s="24" t="inlineStr">
        <is>
          <t>Alliance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-178</v>
      </c>
      <c r="M64" s="27" t="n">
        <v>1.561798</v>
      </c>
      <c r="N64" s="28" t="n">
        <v>0.640288</v>
      </c>
      <c r="O64" s="28" t="n">
        <v>0.715788</v>
      </c>
      <c r="P64" s="28" t="n"/>
      <c r="Q64" s="28" t="n">
        <v>0.07578799999999999</v>
      </c>
      <c r="R64" s="26" t="n">
        <v>75</v>
      </c>
      <c r="S64" s="29" t="n">
        <v>2</v>
      </c>
      <c r="T64" s="24" t="inlineStr">
        <is>
          <t>cs2-neutral-series-elo-v1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0.6400 (aec-cs2-all-wc-2026-07-21).</t>
        </is>
      </c>
      <c r="AF64" s="31" t="inlineStr">
        <is>
          <t>Research baseline; zero-unit shadow until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Wildcard</t>
        </is>
      </c>
      <c r="AQ64" s="24" t="inlineStr">
        <is>
          <t>Wildcard</t>
        </is>
      </c>
      <c r="AR64" s="24" t="inlineStr">
        <is>
          <t>Wildcard</t>
        </is>
      </c>
      <c r="AS64" s="24" t="inlineStr">
        <is>
          <t>Alliance</t>
        </is>
      </c>
      <c r="AT64" s="24" t="inlineStr">
        <is>
          <t>Alliance</t>
        </is>
      </c>
      <c r="AU64" s="24" t="inlineStr">
        <is>
          <t>Alliance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9dbde86ab8062ac73a51c94b0ad431573ac8b755ccd742d86794849a749958c7</t>
        </is>
      </c>
      <c r="BB64" s="24" t="inlineStr">
        <is>
          <t>neutral_elo</t>
        </is>
      </c>
      <c r="BC64" s="24" t="inlineStr">
        <is>
          <t>cs2-neutral-series-elo-v1</t>
        </is>
      </c>
      <c r="BD64" s="24" t="inlineStr">
        <is>
          <t>9dbde86ab8062ac73a51c94b0ad431573ac8b755ccd742d86794849a749958c7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unknown</t>
        </is>
      </c>
      <c r="BH64" s="24" t="inlineStr">
        <is>
          <t>2026-07-21T03:22:26.572469Z</t>
        </is>
      </c>
      <c r="BI64" s="24" t="inlineStr">
        <is>
          <t>["same_event","same_team_same_day","same_league_same_day"]</t>
        </is>
      </c>
      <c r="BJ64" s="25" t="n"/>
      <c r="BK64" s="26" t="n">
        <v>-178</v>
      </c>
      <c r="BL64" s="27" t="n">
        <v>1.561798</v>
      </c>
      <c r="BM64" s="28" t="n">
        <v>0.640288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</row>
    <row r="65" ht="36" customHeight="1">
      <c r="A65" s="24" t="inlineStr">
        <is>
          <t>23ff1f11e60542ce</t>
        </is>
      </c>
      <c r="B65" s="24" t="inlineStr">
        <is>
          <t>2026-07-21T03:22:26.943026Z</t>
        </is>
      </c>
      <c r="C65" s="24" t="inlineStr">
        <is>
          <t>2026-07-21T19:00:00Z</t>
        </is>
      </c>
      <c r="D65" s="24" t="inlineStr">
        <is>
          <t>56760</t>
        </is>
      </c>
      <c r="E65" s="24" t="inlineStr">
        <is>
          <t>CS2</t>
        </is>
      </c>
      <c r="F65" s="24" t="inlineStr">
        <is>
          <t>ALKA GAMING</t>
        </is>
      </c>
      <c r="G65" s="24" t="inlineStr">
        <is>
          <t>Procyon Gaming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-133</v>
      </c>
      <c r="M65" s="27" t="n">
        <v>1.75188</v>
      </c>
      <c r="N65" s="28" t="n">
        <v>0.570815</v>
      </c>
      <c r="O65" s="28" t="n">
        <v>0.700612</v>
      </c>
      <c r="P65" s="28" t="n"/>
      <c r="Q65" s="28" t="n">
        <v>0.130612</v>
      </c>
      <c r="R65" s="26" t="n">
        <v>100</v>
      </c>
      <c r="S65" s="29" t="n">
        <v>2</v>
      </c>
      <c r="T65" s="24" t="inlineStr">
        <is>
          <t>cs2-neutral-series-elo-v1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0.5700 (aec-cs2-pcy-alka-2026-07-21).</t>
        </is>
      </c>
      <c r="AF65" s="31" t="inlineStr">
        <is>
          <t>Research baseline; zero-unit shadow until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ALKA GAMING</t>
        </is>
      </c>
      <c r="AQ65" s="24" t="inlineStr">
        <is>
          <t>ALKA GAMING</t>
        </is>
      </c>
      <c r="AR65" s="24" t="inlineStr">
        <is>
          <t>ALKA GAMING</t>
        </is>
      </c>
      <c r="AS65" s="24" t="inlineStr">
        <is>
          <t>Procyon Gaming</t>
        </is>
      </c>
      <c r="AT65" s="24" t="inlineStr">
        <is>
          <t>Procyon Gaming</t>
        </is>
      </c>
      <c r="AU65" s="24" t="inlineStr">
        <is>
          <t>Procyon Gaming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9dbde86ab8062ac73a51c94b0ad431573ac8b755ccd742d86794849a749958c7</t>
        </is>
      </c>
      <c r="BB65" s="24" t="inlineStr">
        <is>
          <t>neutral_elo</t>
        </is>
      </c>
      <c r="BC65" s="24" t="inlineStr">
        <is>
          <t>cs2-neutral-series-elo-v1</t>
        </is>
      </c>
      <c r="BD65" s="24" t="inlineStr">
        <is>
          <t>9dbde86ab8062ac73a51c94b0ad431573ac8b755ccd742d86794849a749958c7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unknown</t>
        </is>
      </c>
      <c r="BH65" s="24" t="inlineStr">
        <is>
          <t>2026-07-21T03:22:26.943026Z</t>
        </is>
      </c>
      <c r="BI65" s="24" t="inlineStr">
        <is>
          <t>["same_event","same_team_same_day","same_league_same_day"]</t>
        </is>
      </c>
      <c r="BJ65" s="25" t="n"/>
      <c r="BK65" s="26" t="n">
        <v>-133</v>
      </c>
      <c r="BL65" s="27" t="n">
        <v>1.75188</v>
      </c>
      <c r="BM65" s="28" t="n">
        <v>0.570815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</row>
    <row r="66" ht="36" customHeight="1">
      <c r="A66" s="24" t="inlineStr">
        <is>
          <t>76f8847ced664957</t>
        </is>
      </c>
      <c r="B66" s="24" t="inlineStr">
        <is>
          <t>2026-07-21T03:23:38.960975Z</t>
        </is>
      </c>
      <c r="C66" s="24" t="inlineStr">
        <is>
          <t>2026-07-22T08:00:00Z</t>
        </is>
      </c>
      <c r="D66" s="24" t="inlineStr">
        <is>
          <t>57989</t>
        </is>
      </c>
      <c r="E66" s="24" t="inlineStr">
        <is>
          <t>CS2</t>
        </is>
      </c>
      <c r="F66" s="24" t="inlineStr">
        <is>
          <t>Rune Eaters</t>
        </is>
      </c>
      <c r="G66" s="24" t="inlineStr">
        <is>
          <t>Black Phoenix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138</v>
      </c>
      <c r="M66" s="27" t="n">
        <v>2.38</v>
      </c>
      <c r="N66" s="28" t="n">
        <v>0.420168</v>
      </c>
      <c r="O66" s="28" t="n">
        <v>0.629112</v>
      </c>
      <c r="P66" s="28" t="n"/>
      <c r="Q66" s="28" t="n">
        <v>0.209112</v>
      </c>
      <c r="R66" s="26" t="n">
        <v>100</v>
      </c>
      <c r="S66" s="29" t="n">
        <v>1.75</v>
      </c>
      <c r="T66" s="24" t="inlineStr">
        <is>
          <t>cs2-neutral-series-elo-v1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0.4200 (aec-cs2-bpl-re-2026-07-22).</t>
        </is>
      </c>
      <c r="AF66" s="31" t="inlineStr">
        <is>
          <t>Research baseline; zero-unit shadow until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Rune Eaters</t>
        </is>
      </c>
      <c r="AQ66" s="24" t="inlineStr">
        <is>
          <t>Rune Eaters</t>
        </is>
      </c>
      <c r="AR66" s="24" t="inlineStr">
        <is>
          <t>Rune Eaters</t>
        </is>
      </c>
      <c r="AS66" s="24" t="inlineStr">
        <is>
          <t>Black Phoenix</t>
        </is>
      </c>
      <c r="AT66" s="24" t="inlineStr">
        <is>
          <t>Black Phoenix</t>
        </is>
      </c>
      <c r="AU66" s="24" t="inlineStr">
        <is>
          <t>Black Phoenix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9dbde86ab8062ac73a51c94b0ad431573ac8b755ccd742d86794849a749958c7</t>
        </is>
      </c>
      <c r="BB66" s="24" t="inlineStr">
        <is>
          <t>neutral_elo</t>
        </is>
      </c>
      <c r="BC66" s="24" t="inlineStr">
        <is>
          <t>cs2-neutral-series-elo-v1</t>
        </is>
      </c>
      <c r="BD66" s="24" t="inlineStr">
        <is>
          <t>9dbde86ab8062ac73a51c94b0ad431573ac8b755ccd742d86794849a749958c7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unknown</t>
        </is>
      </c>
      <c r="BH66" s="24" t="inlineStr">
        <is>
          <t>2026-07-21T03:23:38.960975Z</t>
        </is>
      </c>
      <c r="BI66" s="24" t="inlineStr">
        <is>
          <t>["same_event","same_team_same_day","same_league_same_day"]</t>
        </is>
      </c>
      <c r="BJ66" s="25" t="n"/>
      <c r="BK66" s="26" t="n">
        <v>138</v>
      </c>
      <c r="BL66" s="27" t="n">
        <v>2.38</v>
      </c>
      <c r="BM66" s="28" t="n">
        <v>0.420168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2026-07-21T03:23:39Z</dcterms:created>
  <dcterms:modified xsi:type="dcterms:W3CDTF">2026-07-21T03:23:39Z</dcterms:modified>
</cp:coreProperties>
</file>