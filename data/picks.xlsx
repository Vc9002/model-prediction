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A39" headerRowCount="1">
  <autoFilter ref="A1:CA39"/>
  <tableColumns count="79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COUNTA('Picks'!$A$2:$A$39)</f>
        <v/>
      </c>
      <c r="C4" s="6">
        <f>COUNTIF('Picks'!$U$2:$U$39,"open")</f>
        <v/>
      </c>
      <c r="E4" s="6">
        <f>COUNTIF('Picks'!$U$2:$U$39,"settled")</f>
        <v/>
      </c>
      <c r="G4" s="6">
        <f>IF(COUNTIFS('Picks'!$U$2:$U$39,"settled",'Picks'!$V$2:$V$39,"win")+COUNTIFS('Picks'!$U$2:$U$39,"settled",'Picks'!$V$2:$V$39,"loss")&gt;=$L$2,"Ready","Insufficient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COUNTIF('Picks'!$BX$2:$BX$39,"&gt;0")</f>
        <v/>
      </c>
      <c r="C7" s="6">
        <f>COUNTIFS('Picks'!$BX$2:$BX$39,"&gt;0",'Picks'!$V$2:$V$39,"win")&amp;"-"&amp;COUNTIFS('Picks'!$BX$2:$BX$39,"&gt;0",'Picks'!$V$2:$V$39,"loss")</f>
        <v/>
      </c>
      <c r="E7" s="7">
        <f>IFERROR(COUNTIFS('Picks'!$BX$2:$BX$39,"&gt;0",'Picks'!$V$2:$V$39,"win")/(COUNTIFS('Picks'!$BX$2:$BX$39,"&gt;0",'Picks'!$V$2:$V$39,"win")+COUNTIFS('Picks'!$BX$2:$BX$39,"&gt;0",'Picks'!$V$2:$V$39,"loss")),0)</f>
        <v/>
      </c>
      <c r="G7" s="7">
        <f>IFERROR(SUM('Picks'!$BY$2:$BY$39)/SUM('Picks'!$BX$2:$BX$39),0)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SUM('Picks'!$BY$2:$BY$39)</f>
        <v/>
      </c>
      <c r="C10" s="9">
        <f>IFERROR(AVERAGEIF('Picks'!$AB$2:$AB$39,"&lt;&gt;",'Picks'!$AB$2:$AB$39),0)</f>
        <v/>
      </c>
      <c r="E10" s="6">
        <f>COUNTIFS('Picks'!$AM$2:$AM$39,"QUALIFIED_SHADOW_CALL",'Picks'!$U$2:$U$39,"settled")</f>
        <v/>
      </c>
      <c r="G10" s="8">
        <f>SUMIFS('Picks'!$AC$2:$AC$39,'Picks'!$AM$2:$AM$39,"QUALIFIED_SHADOW_CALL")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COUNTIFS('Picks'!$H$2:$H$39,$A14,'Picks'!$U$2:$U$39,"settled")</f>
        <v/>
      </c>
      <c r="C14" s="13">
        <f>COUNTIFS('Picks'!$H$2:$H$39,$A14,'Picks'!$U$2:$U$39,"settled",'Picks'!$V$2:$V$39,"win")</f>
        <v/>
      </c>
      <c r="D14" s="13">
        <f>COUNTIFS('Picks'!$H$2:$H$39,$A14,'Picks'!$U$2:$U$39,"settled",'Picks'!$V$2:$V$39,"loss")</f>
        <v/>
      </c>
      <c r="E14" s="14">
        <f>IFERROR(C14/(C14+D14),0)</f>
        <v/>
      </c>
      <c r="F14" s="15">
        <f>SUMIFS('Picks'!$BY$2:$BY$39,'Picks'!$H$2:$H$39,$A14)</f>
        <v/>
      </c>
      <c r="G14" s="16">
        <f>IFERROR(AVERAGEIFS('Picks'!$AB$2:$AB$39,'Picks'!$H$2:$H$39,$A14,'Picks'!$U$2:$U$39,"settled"),0)</f>
        <v/>
      </c>
    </row>
    <row r="15">
      <c r="A15" s="17" t="inlineStr">
        <is>
          <t>spread</t>
        </is>
      </c>
      <c r="B15" s="18">
        <f>COUNTIFS('Picks'!$H$2:$H$39,$A15,'Picks'!$U$2:$U$39,"settled")</f>
        <v/>
      </c>
      <c r="C15" s="18">
        <f>COUNTIFS('Picks'!$H$2:$H$39,$A15,'Picks'!$U$2:$U$39,"settled",'Picks'!$V$2:$V$39,"win")</f>
        <v/>
      </c>
      <c r="D15" s="18">
        <f>COUNTIFS('Picks'!$H$2:$H$39,$A15,'Picks'!$U$2:$U$39,"settled",'Picks'!$V$2:$V$39,"loss")</f>
        <v/>
      </c>
      <c r="E15" s="19">
        <f>IFERROR(C15/(C15+D15),0)</f>
        <v/>
      </c>
      <c r="F15" s="20">
        <f>SUMIFS('Picks'!$BY$2:$BY$39,'Picks'!$H$2:$H$39,$A15)</f>
        <v/>
      </c>
      <c r="G15" s="21">
        <f>IFERROR(AVERAGEIFS('Picks'!$AB$2:$AB$39,'Picks'!$H$2:$H$39,$A15,'Picks'!$U$2:$U$39,"settled"),0)</f>
        <v/>
      </c>
    </row>
    <row r="16">
      <c r="A16" s="12" t="inlineStr">
        <is>
          <t>total</t>
        </is>
      </c>
      <c r="B16" s="13">
        <f>COUNTIFS('Picks'!$H$2:$H$39,$A16,'Picks'!$U$2:$U$39,"settled")</f>
        <v/>
      </c>
      <c r="C16" s="13">
        <f>COUNTIFS('Picks'!$H$2:$H$39,$A16,'Picks'!$U$2:$U$39,"settled",'Picks'!$V$2:$V$39,"win")</f>
        <v/>
      </c>
      <c r="D16" s="13">
        <f>COUNTIFS('Picks'!$H$2:$H$39,$A16,'Picks'!$U$2:$U$39,"settled",'Picks'!$V$2:$V$39,"loss")</f>
        <v/>
      </c>
      <c r="E16" s="14">
        <f>IFERROR(C16/(C16+D16),0)</f>
        <v/>
      </c>
      <c r="F16" s="15">
        <f>SUMIFS('Picks'!$BY$2:$BY$39,'Picks'!$H$2:$H$39,$A16)</f>
        <v/>
      </c>
      <c r="G16" s="16">
        <f>IFERROR(AVERAGEIFS('Picks'!$AB$2:$AB$39,'Picks'!$H$2:$H$39,$A16,'Picks'!$U$2:$U$39,"settled"),0)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A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</row>
    <row r="2" ht="36" customHeight="1">
      <c r="A2" s="24" t="inlineStr">
        <is>
          <t>ef7830f025d54963</t>
        </is>
      </c>
      <c r="B2" s="24" t="inlineStr">
        <is>
          <t>2026-07-18T07:12:56.298602Z</t>
        </is>
      </c>
      <c r="C2" s="24" t="inlineStr">
        <is>
          <t>2026-07-18T20:00:00-0400</t>
        </is>
      </c>
      <c r="D2" s="24" t="inlineStr">
        <is>
          <t>401857077</t>
        </is>
      </c>
      <c r="E2" s="24" t="inlineStr">
        <is>
          <t>WNBA</t>
        </is>
      </c>
      <c r="F2" s="24" t="inlineStr">
        <is>
          <t>New York Liberty</t>
        </is>
      </c>
      <c r="G2" s="24" t="inlineStr">
        <is>
          <t>Indiana Fever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117</v>
      </c>
      <c r="M2" s="27" t="n">
        <v>2.17</v>
      </c>
      <c r="N2" s="28" t="n">
        <v>0.460829</v>
      </c>
      <c r="O2" s="28" t="n">
        <v>0.593309</v>
      </c>
      <c r="P2" s="28" t="n"/>
      <c r="Q2" s="28" t="n">
        <v>0.13248</v>
      </c>
      <c r="R2" s="26" t="n">
        <v>100</v>
      </c>
      <c r="S2" s="29" t="n">
        <v>1.5</v>
      </c>
      <c r="T2" s="24" t="inlineStr">
        <is>
          <t>wnba-elo-trend-lr-v3</t>
        </is>
      </c>
      <c r="U2" s="24" t="inlineStr">
        <is>
          <t>settled</t>
        </is>
      </c>
      <c r="V2" s="24" t="inlineStr">
        <is>
          <t>win</t>
        </is>
      </c>
      <c r="W2" s="26" t="n">
        <v>88</v>
      </c>
      <c r="X2" s="26" t="n">
        <v>108</v>
      </c>
      <c r="Y2" s="25" t="n"/>
      <c r="Z2" s="26" t="n"/>
      <c r="AA2" s="28" t="n"/>
      <c r="AB2" s="28" t="n"/>
      <c r="AC2" s="30" t="n">
        <v>1.755</v>
      </c>
      <c r="AD2" s="24" t="inlineStr">
        <is>
          <t>2026-07-19T03:07:19.656208Z</t>
        </is>
      </c>
      <c r="AE2" s="31" t="inlineStr">
        <is>
          <t>Learned LR call at threshold 0.5413; executable ask 0.4600 (aec-wnba-ny-ind-2026-07-18).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NO_CALL_MODEL_UNVALIDATED</t>
        </is>
      </c>
      <c r="AP2" s="24" t="inlineStr">
        <is>
          <t>wnba-nyl</t>
        </is>
      </c>
      <c r="AQ2" s="24" t="inlineStr">
        <is>
          <t>New York Liberty</t>
        </is>
      </c>
      <c r="AR2" s="24" t="inlineStr">
        <is>
          <t>New York Liberty</t>
        </is>
      </c>
      <c r="AS2" s="24" t="inlineStr">
        <is>
          <t>wnba-ind</t>
        </is>
      </c>
      <c r="AT2" s="24" t="inlineStr">
        <is>
          <t>Indiana Fever</t>
        </is>
      </c>
      <c r="AU2" s="24" t="inlineStr">
        <is>
          <t>Indiana Fever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6b38a269117f4c6c1ae1e324273c2f9b9d11b2c15d99242f39aa89882d15db32</t>
        </is>
      </c>
      <c r="BB2" s="24" t="inlineStr">
        <is>
          <t>learned_lr</t>
        </is>
      </c>
      <c r="BC2" s="24" t="inlineStr">
        <is>
          <t>wnba-elo-trend-lr-v3</t>
        </is>
      </c>
      <c r="BD2" s="24" t="inlineStr">
        <is>
          <t>6b38a269117f4c6c1ae1e324273c2f9b9d11b2c15d99242f39aa89882d15db32</t>
        </is>
      </c>
      <c r="BE2" s="24" t="inlineStr">
        <is>
          <t>3a7dae2b4e6e8f88</t>
        </is>
      </c>
      <c r="BF2" s="24" t="inlineStr">
        <is>
          <t>1</t>
        </is>
      </c>
      <c r="BG2" s="24" t="inlineStr">
        <is>
          <t>wnba-elo-trend-lr-v3</t>
        </is>
      </c>
      <c r="BH2" s="24" t="inlineStr">
        <is>
          <t>2026-07-18T07:12:40.468242Z</t>
        </is>
      </c>
      <c r="BI2" s="24" t="inlineStr">
        <is>
          <t>["same_event","same_team_same_day","same_league_same_day"]</t>
        </is>
      </c>
      <c r="BJ2" s="25" t="n"/>
      <c r="BK2" s="26" t="n">
        <v>117</v>
      </c>
      <c r="BL2" s="27" t="n">
        <v>2.17</v>
      </c>
      <c r="BM2" s="28" t="n">
        <v>0.460829</v>
      </c>
      <c r="BN2" s="28" t="n">
        <v>0.455446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1.17</v>
      </c>
      <c r="BZ2" s="24" t="inlineStr">
        <is>
          <t>2026-07-19T03:07:19.656208Z</t>
        </is>
      </c>
      <c r="CA2" s="31" t="inlineStr">
        <is>
          <t>fixed one-unit hypothetical scoring; no real exposure or execution</t>
        </is>
      </c>
    </row>
    <row r="3" ht="36" customHeight="1">
      <c r="A3" s="24" t="inlineStr">
        <is>
          <t>931feaf381a247bc</t>
        </is>
      </c>
      <c r="B3" s="24" t="inlineStr">
        <is>
          <t>2026-07-18T16:16:11.093520Z</t>
        </is>
      </c>
      <c r="C3" s="24" t="inlineStr">
        <is>
          <t>2026-07-18T16:10:00-0400</t>
        </is>
      </c>
      <c r="D3" s="24" t="inlineStr">
        <is>
          <t>401816163</t>
        </is>
      </c>
      <c r="E3" s="24" t="inlineStr">
        <is>
          <t>MLB</t>
        </is>
      </c>
      <c r="F3" s="24" t="inlineStr">
        <is>
          <t>Miami Marlins</t>
        </is>
      </c>
      <c r="G3" s="24" t="inlineStr">
        <is>
          <t>Milwaukee Brewers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0.608753</v>
      </c>
      <c r="P3" s="28" t="n"/>
      <c r="Q3" s="28" t="n">
        <v>0.037938</v>
      </c>
      <c r="R3" s="26" t="n">
        <v>37</v>
      </c>
      <c r="S3" s="29" t="n">
        <v>1.5</v>
      </c>
      <c r="T3" s="24" t="inlineStr">
        <is>
          <t>mlb-elo-trend-lr-v4</t>
        </is>
      </c>
      <c r="U3" s="24" t="inlineStr">
        <is>
          <t>settled</t>
        </is>
      </c>
      <c r="V3" s="24" t="inlineStr">
        <is>
          <t>win</t>
        </is>
      </c>
      <c r="W3" s="26" t="n">
        <v>6</v>
      </c>
      <c r="X3" s="26" t="n">
        <v>8</v>
      </c>
      <c r="Y3" s="25" t="n"/>
      <c r="Z3" s="26" t="n"/>
      <c r="AA3" s="28" t="n"/>
      <c r="AB3" s="28" t="n"/>
      <c r="AC3" s="30" t="n">
        <v>1.1278</v>
      </c>
      <c r="AD3" s="24" t="inlineStr">
        <is>
          <t>2026-07-18T23:59:20.431552Z</t>
        </is>
      </c>
      <c r="AE3" s="31" t="inlineStr">
        <is>
          <t>Learned LR call at threshold 0.6000; executable ask 0.5700 (aec-mlb-mia-mil-2026-07-18).</t>
        </is>
      </c>
      <c r="AF3" s="31" t="inlineStr">
        <is>
          <t>Learned model; promotion gate not yet open; zero-unit research until review.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mlb-mia</t>
        </is>
      </c>
      <c r="AQ3" s="24" t="inlineStr">
        <is>
          <t>Miami Marlins</t>
        </is>
      </c>
      <c r="AR3" s="24" t="inlineStr">
        <is>
          <t>Miami Marlins</t>
        </is>
      </c>
      <c r="AS3" s="24" t="inlineStr">
        <is>
          <t>mlb-mil</t>
        </is>
      </c>
      <c r="AT3" s="24" t="inlineStr">
        <is>
          <t>Milwaukee Brewers</t>
        </is>
      </c>
      <c r="AU3" s="24" t="inlineStr">
        <is>
          <t>Milwaukee Brewers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5224fb6ffbc9ddf8fa517627b830ac851192da94d241963d556945393a42bb9d</t>
        </is>
      </c>
      <c r="BB3" s="24" t="inlineStr">
        <is>
          <t>learned_lr</t>
        </is>
      </c>
      <c r="BC3" s="24" t="inlineStr">
        <is>
          <t>mlb-elo-trend-lr-v4</t>
        </is>
      </c>
      <c r="BD3" s="24" t="inlineStr">
        <is>
          <t>5224fb6ffbc9ddf8fa517627b830ac851192da94d241963d556945393a42bb9d</t>
        </is>
      </c>
      <c r="BE3" s="24" t="inlineStr">
        <is>
          <t>0f54459b91a18ff1</t>
        </is>
      </c>
      <c r="BF3" s="24" t="inlineStr">
        <is>
          <t>1</t>
        </is>
      </c>
      <c r="BG3" s="24" t="inlineStr">
        <is>
          <t>mlb-elo-trend-lr-v3</t>
        </is>
      </c>
      <c r="BH3" s="24" t="inlineStr">
        <is>
          <t>2026-07-18T16:15:15.200995Z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0.75188</v>
      </c>
      <c r="BZ3" s="24" t="inlineStr">
        <is>
          <t>2026-07-18T23:59:20.431552Z</t>
        </is>
      </c>
      <c r="CA3" s="31" t="inlineStr">
        <is>
          <t>fixed one-unit hypothetical scoring; no real exposure or execution</t>
        </is>
      </c>
    </row>
    <row r="4" ht="36" customHeight="1">
      <c r="A4" s="24" t="inlineStr">
        <is>
          <t>8789a71883f94701</t>
        </is>
      </c>
      <c r="B4" s="24" t="inlineStr">
        <is>
          <t>2026-07-18T16:44:20.099051Z</t>
        </is>
      </c>
      <c r="C4" s="24" t="inlineStr">
        <is>
          <t>2026-07-18T13:10:00-0400</t>
        </is>
      </c>
      <c r="D4" s="24" t="inlineStr">
        <is>
          <t>401896568</t>
        </is>
      </c>
      <c r="E4" s="24" t="inlineStr">
        <is>
          <t>MLB</t>
        </is>
      </c>
      <c r="F4" s="24" t="inlineStr">
        <is>
          <t>Pittsburgh Pirates</t>
        </is>
      </c>
      <c r="G4" s="24" t="inlineStr">
        <is>
          <t>Cleveland Guardians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-102</v>
      </c>
      <c r="M4" s="27" t="n">
        <v>1.980392</v>
      </c>
      <c r="N4" s="28" t="n">
        <v>0.50495</v>
      </c>
      <c r="O4" s="28" t="n">
        <v>0.554084</v>
      </c>
      <c r="P4" s="28" t="n"/>
      <c r="Q4" s="28" t="n">
        <v>0.049134</v>
      </c>
      <c r="R4" s="26" t="n">
        <v>49</v>
      </c>
      <c r="S4" s="29" t="n">
        <v>1</v>
      </c>
      <c r="T4" s="24" t="inlineStr">
        <is>
          <t>mlb-elo-trend-lr-v4</t>
        </is>
      </c>
      <c r="U4" s="24" t="inlineStr">
        <is>
          <t>settled</t>
        </is>
      </c>
      <c r="V4" s="24" t="inlineStr">
        <is>
          <t>loss</t>
        </is>
      </c>
      <c r="W4" s="26" t="n">
        <v>7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2026-07-18T21:05:56.909771Z</t>
        </is>
      </c>
      <c r="AE4" s="31" t="inlineStr">
        <is>
          <t>Learned LR call at threshold 0.5500; executable ask 0.5050 (aec-mlb-pit-cle-2026-07-18).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mlb-pit</t>
        </is>
      </c>
      <c r="AQ4" s="24" t="inlineStr">
        <is>
          <t>Pittsburgh Pirates</t>
        </is>
      </c>
      <c r="AR4" s="24" t="inlineStr">
        <is>
          <t>Pittsburgh Pirates</t>
        </is>
      </c>
      <c r="AS4" s="24" t="inlineStr">
        <is>
          <t>mlb-cle</t>
        </is>
      </c>
      <c r="AT4" s="24" t="inlineStr">
        <is>
          <t>Cleveland Guardians</t>
        </is>
      </c>
      <c r="AU4" s="24" t="inlineStr">
        <is>
          <t>Cleveland Guardians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5224fb6ffbc9ddf8fa517627b830ac851192da94d241963d556945393a42bb9d</t>
        </is>
      </c>
      <c r="BB4" s="24" t="inlineStr">
        <is>
          <t>learned_lr</t>
        </is>
      </c>
      <c r="BC4" s="24" t="inlineStr">
        <is>
          <t>mlb-elo-trend-lr-v4</t>
        </is>
      </c>
      <c r="BD4" s="24" t="inlineStr">
        <is>
          <t>5224fb6ffbc9ddf8fa517627b830ac851192da94d241963d556945393a42bb9d</t>
        </is>
      </c>
      <c r="BE4" s="24" t="inlineStr">
        <is>
          <t>6df496ff8b2da9c6</t>
        </is>
      </c>
      <c r="BF4" s="24" t="inlineStr">
        <is>
          <t>1</t>
        </is>
      </c>
      <c r="BG4" s="24" t="inlineStr">
        <is>
          <t>mlb-elo-trend-lr-v3</t>
        </is>
      </c>
      <c r="BH4" s="24" t="inlineStr">
        <is>
          <t>2026-07-18T16:42:59.880808Z</t>
        </is>
      </c>
      <c r="BI4" s="24" t="inlineStr">
        <is>
          <t>["same_event","same_team_same_day","same_league_same_day"]</t>
        </is>
      </c>
      <c r="BJ4" s="25" t="n"/>
      <c r="BK4" s="26" t="n">
        <v>-102</v>
      </c>
      <c r="BL4" s="27" t="n">
        <v>1.980392</v>
      </c>
      <c r="BM4" s="28" t="n">
        <v>0.50495</v>
      </c>
      <c r="BN4" s="28" t="n">
        <v>0.502488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inlineStr">
        <is>
          <t>2026-07-18T21:05:56.909771Z</t>
        </is>
      </c>
      <c r="CA4" s="31" t="inlineStr">
        <is>
          <t>fixed one-unit hypothetical scoring; no real exposure or execution</t>
        </is>
      </c>
    </row>
    <row r="5" ht="36" customHeight="1">
      <c r="A5" s="24" t="inlineStr">
        <is>
          <t>512e4ebfdf1a456e</t>
        </is>
      </c>
      <c r="B5" s="24" t="inlineStr">
        <is>
          <t>2026-07-18T16:44:20.099051Z</t>
        </is>
      </c>
      <c r="C5" s="24" t="inlineStr">
        <is>
          <t>2026-07-18T14:20:00-0400</t>
        </is>
      </c>
      <c r="D5" s="24" t="inlineStr">
        <is>
          <t>401816164</t>
        </is>
      </c>
      <c r="E5" s="24" t="inlineStr">
        <is>
          <t>MLB</t>
        </is>
      </c>
      <c r="F5" s="24" t="inlineStr">
        <is>
          <t>Minnesota Twins</t>
        </is>
      </c>
      <c r="G5" s="24" t="inlineStr">
        <is>
          <t>Chicago Cubs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-133</v>
      </c>
      <c r="M5" s="27" t="n">
        <v>1.75188</v>
      </c>
      <c r="N5" s="28" t="n">
        <v>0.570815</v>
      </c>
      <c r="O5" s="28" t="n">
        <v>0.608363</v>
      </c>
      <c r="P5" s="28" t="n"/>
      <c r="Q5" s="28" t="n">
        <v>0.037548</v>
      </c>
      <c r="R5" s="26" t="n">
        <v>37</v>
      </c>
      <c r="S5" s="29" t="n">
        <v>1.5</v>
      </c>
      <c r="T5" s="24" t="inlineStr">
        <is>
          <t>mlb-elo-trend-lr-v4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2</v>
      </c>
      <c r="X5" s="26" t="n">
        <v>6</v>
      </c>
      <c r="Y5" s="25" t="n"/>
      <c r="Z5" s="26" t="n"/>
      <c r="AA5" s="28" t="n"/>
      <c r="AB5" s="28" t="n"/>
      <c r="AC5" s="30" t="n">
        <v>1.1278</v>
      </c>
      <c r="AD5" s="24" t="inlineStr">
        <is>
          <t>2026-07-18T21:05:56.984438Z</t>
        </is>
      </c>
      <c r="AE5" s="31" t="inlineStr">
        <is>
          <t>Learned LR call at threshold 0.5500; executable ask 0.5700 (aec-mlb-min-chc-2026-07-18).</t>
        </is>
      </c>
      <c r="AF5" s="31" t="inlineStr">
        <is>
          <t>Learned model; promotion gate not yet open; zero-unit research until review.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NO_CALL_MODEL_UNVALIDATED</t>
        </is>
      </c>
      <c r="AP5" s="24" t="inlineStr">
        <is>
          <t>mlb-min</t>
        </is>
      </c>
      <c r="AQ5" s="24" t="inlineStr">
        <is>
          <t>Minnesota Twins</t>
        </is>
      </c>
      <c r="AR5" s="24" t="inlineStr">
        <is>
          <t>Minnesota Twins</t>
        </is>
      </c>
      <c r="AS5" s="24" t="inlineStr">
        <is>
          <t>mlb-chc</t>
        </is>
      </c>
      <c r="AT5" s="24" t="inlineStr">
        <is>
          <t>Chicago Cubs</t>
        </is>
      </c>
      <c r="AU5" s="24" t="inlineStr">
        <is>
          <t>Chicago Cubs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5224fb6ffbc9ddf8fa517627b830ac851192da94d241963d556945393a42bb9d</t>
        </is>
      </c>
      <c r="BB5" s="24" t="inlineStr">
        <is>
          <t>learned_lr</t>
        </is>
      </c>
      <c r="BC5" s="24" t="inlineStr">
        <is>
          <t>mlb-elo-trend-lr-v4</t>
        </is>
      </c>
      <c r="BD5" s="24" t="inlineStr">
        <is>
          <t>5224fb6ffbc9ddf8fa517627b830ac851192da94d241963d556945393a42bb9d</t>
        </is>
      </c>
      <c r="BE5" s="24" t="inlineStr">
        <is>
          <t>7166685f6e68e237</t>
        </is>
      </c>
      <c r="BF5" s="24" t="inlineStr">
        <is>
          <t>1</t>
        </is>
      </c>
      <c r="BG5" s="24" t="inlineStr">
        <is>
          <t>mlb-elo-trend-lr-v3</t>
        </is>
      </c>
      <c r="BH5" s="24" t="inlineStr">
        <is>
          <t>2026-07-18T16:42:49.506840Z</t>
        </is>
      </c>
      <c r="BI5" s="24" t="inlineStr">
        <is>
          <t>["same_event","same_team_same_day","same_league_same_day"]</t>
        </is>
      </c>
      <c r="BJ5" s="25" t="n"/>
      <c r="BK5" s="26" t="n">
        <v>-133</v>
      </c>
      <c r="BL5" s="27" t="n">
        <v>1.75188</v>
      </c>
      <c r="BM5" s="28" t="n">
        <v>0.570815</v>
      </c>
      <c r="BN5" s="28" t="n">
        <v>0.567164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0.75188</v>
      </c>
      <c r="BZ5" s="24" t="inlineStr">
        <is>
          <t>2026-07-18T21:05:56.984438Z</t>
        </is>
      </c>
      <c r="CA5" s="31" t="inlineStr">
        <is>
          <t>fixed one-unit hypothetical scoring; no real exposure or execution</t>
        </is>
      </c>
    </row>
    <row r="6" ht="36" customHeight="1">
      <c r="A6" s="24" t="inlineStr">
        <is>
          <t>80b7c78aaffb4905</t>
        </is>
      </c>
      <c r="B6" s="24" t="inlineStr">
        <is>
          <t>2026-07-18T16:44:20.099051Z</t>
        </is>
      </c>
      <c r="C6" s="24" t="inlineStr">
        <is>
          <t>2026-07-18T15:07:00-0400</t>
        </is>
      </c>
      <c r="D6" s="24" t="inlineStr">
        <is>
          <t>401816156</t>
        </is>
      </c>
      <c r="E6" s="24" t="inlineStr">
        <is>
          <t>MLB</t>
        </is>
      </c>
      <c r="F6" s="24" t="inlineStr">
        <is>
          <t>Chicago White Sox</t>
        </is>
      </c>
      <c r="G6" s="24" t="inlineStr">
        <is>
          <t>Toronto Blue Jays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-104</v>
      </c>
      <c r="M6" s="27" t="n">
        <v>1.961538</v>
      </c>
      <c r="N6" s="28" t="n">
        <v>0.509804</v>
      </c>
      <c r="O6" s="28" t="n">
        <v>0.5767679999999999</v>
      </c>
      <c r="P6" s="28" t="n"/>
      <c r="Q6" s="28" t="n">
        <v>0.066964</v>
      </c>
      <c r="R6" s="26" t="n">
        <v>66</v>
      </c>
      <c r="S6" s="29" t="n">
        <v>1.25</v>
      </c>
      <c r="T6" s="24" t="inlineStr">
        <is>
          <t>mlb-elo-trend-lr-v4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1.2019</v>
      </c>
      <c r="AD6" s="24" t="inlineStr">
        <is>
          <t>2026-07-18T23:59:20.512474Z</t>
        </is>
      </c>
      <c r="AE6" s="31" t="inlineStr">
        <is>
          <t>Learned LR call at threshold 0.5500; executable ask 0.5100 (aec-mlb-cws-tor-2026-07-18).</t>
        </is>
      </c>
      <c r="AF6" s="31" t="inlineStr">
        <is>
          <t>Learned model; promotion gate not yet open; zero-unit research until review.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NO_CALL_MODEL_UNVALIDATED</t>
        </is>
      </c>
      <c r="AP6" s="24" t="inlineStr">
        <is>
          <t>mlb-cws</t>
        </is>
      </c>
      <c r="AQ6" s="24" t="inlineStr">
        <is>
          <t>Chicago White Sox</t>
        </is>
      </c>
      <c r="AR6" s="24" t="inlineStr">
        <is>
          <t>Chicago White Sox</t>
        </is>
      </c>
      <c r="AS6" s="24" t="inlineStr">
        <is>
          <t>mlb-tor</t>
        </is>
      </c>
      <c r="AT6" s="24" t="inlineStr">
        <is>
          <t>Toronto Blue Jays</t>
        </is>
      </c>
      <c r="AU6" s="24" t="inlineStr">
        <is>
          <t>Toronto Blue Jays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5224fb6ffbc9ddf8fa517627b830ac851192da94d241963d556945393a42bb9d</t>
        </is>
      </c>
      <c r="BB6" s="24" t="inlineStr">
        <is>
          <t>learned_lr</t>
        </is>
      </c>
      <c r="BC6" s="24" t="inlineStr">
        <is>
          <t>mlb-elo-trend-lr-v4</t>
        </is>
      </c>
      <c r="BD6" s="24" t="inlineStr">
        <is>
          <t>5224fb6ffbc9ddf8fa517627b830ac851192da94d241963d556945393a42bb9d</t>
        </is>
      </c>
      <c r="BE6" s="24" t="inlineStr">
        <is>
          <t>990421d336b67011</t>
        </is>
      </c>
      <c r="BF6" s="24" t="inlineStr">
        <is>
          <t>1</t>
        </is>
      </c>
      <c r="BG6" s="24" t="inlineStr">
        <is>
          <t>mlb-elo-trend-lr-v3</t>
        </is>
      </c>
      <c r="BH6" s="24" t="inlineStr">
        <is>
          <t>2026-07-18T16:42:50.404282Z</t>
        </is>
      </c>
      <c r="BI6" s="24" t="inlineStr">
        <is>
          <t>["same_event","same_team_same_day","same_league_same_day"]</t>
        </is>
      </c>
      <c r="BJ6" s="25" t="n"/>
      <c r="BK6" s="26" t="n">
        <v>-104</v>
      </c>
      <c r="BL6" s="27" t="n">
        <v>1.961538</v>
      </c>
      <c r="BM6" s="28" t="n">
        <v>0.509804</v>
      </c>
      <c r="BN6" s="28" t="n">
        <v>0.507463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0.961538</v>
      </c>
      <c r="BZ6" s="24" t="inlineStr">
        <is>
          <t>2026-07-18T23:59:20.512474Z</t>
        </is>
      </c>
      <c r="CA6" s="31" t="inlineStr">
        <is>
          <t>fixed one-unit hypothetical scoring; no real exposure or execution</t>
        </is>
      </c>
    </row>
    <row r="7" ht="36" customHeight="1">
      <c r="A7" s="24" t="inlineStr">
        <is>
          <t>c7e4de168a8f4e3d</t>
        </is>
      </c>
      <c r="B7" s="24" t="inlineStr">
        <is>
          <t>2026-07-18T16:44:20.099051Z</t>
        </is>
      </c>
      <c r="C7" s="24" t="inlineStr">
        <is>
          <t>2026-07-18T15:10:00-0400</t>
        </is>
      </c>
      <c r="D7" s="24" t="inlineStr">
        <is>
          <t>401816166</t>
        </is>
      </c>
      <c r="E7" s="24" t="inlineStr">
        <is>
          <t>MLB</t>
        </is>
      </c>
      <c r="F7" s="24" t="inlineStr">
        <is>
          <t>Cincinnati Reds</t>
        </is>
      </c>
      <c r="G7" s="24" t="inlineStr">
        <is>
          <t>Colorado Rockies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-104</v>
      </c>
      <c r="M7" s="27" t="n">
        <v>1.961538</v>
      </c>
      <c r="N7" s="28" t="n">
        <v>0.509804</v>
      </c>
      <c r="O7" s="28" t="n">
        <v>0.582367</v>
      </c>
      <c r="P7" s="28" t="n"/>
      <c r="Q7" s="28" t="n">
        <v>0.072563</v>
      </c>
      <c r="R7" s="26" t="n">
        <v>72</v>
      </c>
      <c r="S7" s="29" t="n">
        <v>1.25</v>
      </c>
      <c r="T7" s="24" t="inlineStr">
        <is>
          <t>mlb-elo-trend-lr-v4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10</v>
      </c>
      <c r="Y7" s="25" t="n"/>
      <c r="Z7" s="26" t="n"/>
      <c r="AA7" s="28" t="n"/>
      <c r="AB7" s="28" t="n"/>
      <c r="AC7" s="30" t="n">
        <v>-1.25</v>
      </c>
      <c r="AD7" s="24" t="inlineStr">
        <is>
          <t>2026-07-18T23:59:20.572146Z</t>
        </is>
      </c>
      <c r="AE7" s="31" t="inlineStr">
        <is>
          <t>Learned LR call at threshold 0.5500; executable ask 0.5100 (aec-mlb-cin-col-2026-07-18).</t>
        </is>
      </c>
      <c r="AF7" s="31" t="inlineStr">
        <is>
          <t>Learned model; promotion gate not yet open; zero-unit research until review.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NO_CALL_MODEL_UNVALIDATED</t>
        </is>
      </c>
      <c r="AP7" s="24" t="inlineStr">
        <is>
          <t>mlb-cin</t>
        </is>
      </c>
      <c r="AQ7" s="24" t="inlineStr">
        <is>
          <t>Cincinnati Reds</t>
        </is>
      </c>
      <c r="AR7" s="24" t="inlineStr">
        <is>
          <t>Cincinnati Reds</t>
        </is>
      </c>
      <c r="AS7" s="24" t="inlineStr">
        <is>
          <t>mlb-col</t>
        </is>
      </c>
      <c r="AT7" s="24" t="inlineStr">
        <is>
          <t>Colorado Rockies</t>
        </is>
      </c>
      <c r="AU7" s="24" t="inlineStr">
        <is>
          <t>Colorado Rockies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5224fb6ffbc9ddf8fa517627b830ac851192da94d241963d556945393a42bb9d</t>
        </is>
      </c>
      <c r="BB7" s="24" t="inlineStr">
        <is>
          <t>learned_lr</t>
        </is>
      </c>
      <c r="BC7" s="24" t="inlineStr">
        <is>
          <t>mlb-elo-trend-lr-v4</t>
        </is>
      </c>
      <c r="BD7" s="24" t="inlineStr">
        <is>
          <t>5224fb6ffbc9ddf8fa517627b830ac851192da94d241963d556945393a42bb9d</t>
        </is>
      </c>
      <c r="BE7" s="24" t="inlineStr">
        <is>
          <t>4215d10b9bfb4b91</t>
        </is>
      </c>
      <c r="BF7" s="24" t="inlineStr">
        <is>
          <t>1</t>
        </is>
      </c>
      <c r="BG7" s="24" t="inlineStr">
        <is>
          <t>mlb-elo-trend-lr-v3</t>
        </is>
      </c>
      <c r="BH7" s="24" t="inlineStr">
        <is>
          <t>2026-07-18T16:42:52.313468Z</t>
        </is>
      </c>
      <c r="BI7" s="24" t="inlineStr">
        <is>
          <t>["same_event","same_team_same_day","same_league_same_day"]</t>
        </is>
      </c>
      <c r="BJ7" s="25" t="n"/>
      <c r="BK7" s="26" t="n">
        <v>-104</v>
      </c>
      <c r="BL7" s="27" t="n">
        <v>1.961538</v>
      </c>
      <c r="BM7" s="28" t="n">
        <v>0.509804</v>
      </c>
      <c r="BN7" s="28" t="n">
        <v>0.507463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-1</v>
      </c>
      <c r="BZ7" s="24" t="inlineStr">
        <is>
          <t>2026-07-18T23:59:20.572146Z</t>
        </is>
      </c>
      <c r="CA7" s="31" t="inlineStr">
        <is>
          <t>fixed one-unit hypothetical scoring; no real exposure or execution</t>
        </is>
      </c>
    </row>
    <row r="8" ht="36" customHeight="1">
      <c r="A8" s="24" t="inlineStr">
        <is>
          <t>2ec6744dbfd84ecf</t>
        </is>
      </c>
      <c r="B8" s="24" t="inlineStr">
        <is>
          <t>2026-07-18T16:44:20.099051Z</t>
        </is>
      </c>
      <c r="C8" s="24" t="inlineStr">
        <is>
          <t>2026-07-18T16:10:00-0400</t>
        </is>
      </c>
      <c r="D8" s="24" t="inlineStr">
        <is>
          <t>401816161</t>
        </is>
      </c>
      <c r="E8" s="24" t="inlineStr">
        <is>
          <t>MLB</t>
        </is>
      </c>
      <c r="F8" s="24" t="inlineStr">
        <is>
          <t>Texas Rangers</t>
        </is>
      </c>
      <c r="G8" s="24" t="inlineStr">
        <is>
          <t>Atlanta Braves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-106</v>
      </c>
      <c r="M8" s="27" t="n">
        <v>1.943396</v>
      </c>
      <c r="N8" s="28" t="n">
        <v>0.514563</v>
      </c>
      <c r="O8" s="28" t="n">
        <v>0.550297</v>
      </c>
      <c r="P8" s="28" t="n"/>
      <c r="Q8" s="28" t="n">
        <v>0.035734</v>
      </c>
      <c r="R8" s="26" t="n">
        <v>35</v>
      </c>
      <c r="S8" s="29" t="n">
        <v>1</v>
      </c>
      <c r="T8" s="24" t="inlineStr">
        <is>
          <t>mlb-elo-trend-lr-v4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</v>
      </c>
      <c r="X8" s="26" t="n">
        <v>6</v>
      </c>
      <c r="Y8" s="25" t="n"/>
      <c r="Z8" s="26" t="n"/>
      <c r="AA8" s="28" t="n"/>
      <c r="AB8" s="28" t="n"/>
      <c r="AC8" s="30" t="n">
        <v>-1</v>
      </c>
      <c r="AD8" s="24" t="inlineStr">
        <is>
          <t>2026-07-18T23:59:20.634092Z</t>
        </is>
      </c>
      <c r="AE8" s="31" t="inlineStr">
        <is>
          <t>Learned LR call at threshold 0.5500; executable ask 0.5150 (aec-mlb-tex-atl-2026-07-18).</t>
        </is>
      </c>
      <c r="AF8" s="31" t="inlineStr">
        <is>
          <t>Learned model; promotion gate not yet open; zero-unit research until review.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mlb-tex</t>
        </is>
      </c>
      <c r="AQ8" s="24" t="inlineStr">
        <is>
          <t>Texas Rangers</t>
        </is>
      </c>
      <c r="AR8" s="24" t="inlineStr">
        <is>
          <t>Texas Rangers</t>
        </is>
      </c>
      <c r="AS8" s="24" t="inlineStr">
        <is>
          <t>mlb-atl</t>
        </is>
      </c>
      <c r="AT8" s="24" t="inlineStr">
        <is>
          <t>Atlanta Braves</t>
        </is>
      </c>
      <c r="AU8" s="24" t="inlineStr">
        <is>
          <t>Atlanta Braves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5224fb6ffbc9ddf8fa517627b830ac851192da94d241963d556945393a42bb9d</t>
        </is>
      </c>
      <c r="BB8" s="24" t="inlineStr">
        <is>
          <t>learned_lr</t>
        </is>
      </c>
      <c r="BC8" s="24" t="inlineStr">
        <is>
          <t>mlb-elo-trend-lr-v4</t>
        </is>
      </c>
      <c r="BD8" s="24" t="inlineStr">
        <is>
          <t>5224fb6ffbc9ddf8fa517627b830ac851192da94d241963d556945393a42bb9d</t>
        </is>
      </c>
      <c r="BE8" s="24" t="inlineStr">
        <is>
          <t>a999da31a6f5af28</t>
        </is>
      </c>
      <c r="BF8" s="24" t="inlineStr">
        <is>
          <t>1</t>
        </is>
      </c>
      <c r="BG8" s="24" t="inlineStr">
        <is>
          <t>mlb-elo-trend-lr-v3</t>
        </is>
      </c>
      <c r="BH8" s="24" t="inlineStr">
        <is>
          <t>2026-07-18T16:42:57.199270Z</t>
        </is>
      </c>
      <c r="BI8" s="24" t="inlineStr">
        <is>
          <t>["same_event","same_team_same_day","same_league_same_day"]</t>
        </is>
      </c>
      <c r="BJ8" s="25" t="n"/>
      <c r="BK8" s="26" t="n">
        <v>-106</v>
      </c>
      <c r="BL8" s="27" t="n">
        <v>1.943396</v>
      </c>
      <c r="BM8" s="28" t="n">
        <v>0.514563</v>
      </c>
      <c r="BN8" s="28" t="n">
        <v>0.5124379999999999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inlineStr">
        <is>
          <t>2026-07-18T23:59:20.634092Z</t>
        </is>
      </c>
      <c r="CA8" s="31" t="inlineStr">
        <is>
          <t>fixed one-unit hypothetical scoring; no real exposure or execution</t>
        </is>
      </c>
    </row>
    <row r="9" ht="36" customHeight="1">
      <c r="A9" s="24" t="inlineStr">
        <is>
          <t>634e9b9c56164f59</t>
        </is>
      </c>
      <c r="B9" s="24" t="inlineStr">
        <is>
          <t>2026-07-18T16:44:20.099051Z</t>
        </is>
      </c>
      <c r="C9" s="24" t="inlineStr">
        <is>
          <t>2026-07-18T19:10:00-0400</t>
        </is>
      </c>
      <c r="D9" s="24" t="inlineStr">
        <is>
          <t>401816159</t>
        </is>
      </c>
      <c r="E9" s="24" t="inlineStr">
        <is>
          <t>MLB</t>
        </is>
      </c>
      <c r="F9" s="24" t="inlineStr">
        <is>
          <t>Pittsburgh Pirates</t>
        </is>
      </c>
      <c r="G9" s="24" t="inlineStr">
        <is>
          <t>Cleveland Guardians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0.554084</v>
      </c>
      <c r="P9" s="28" t="n"/>
      <c r="Q9" s="28" t="n">
        <v>0.049134</v>
      </c>
      <c r="R9" s="26" t="n">
        <v>49</v>
      </c>
      <c r="S9" s="29" t="n">
        <v>1</v>
      </c>
      <c r="T9" s="24" t="inlineStr">
        <is>
          <t>mlb-elo-trend-lr-v4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0.9804</v>
      </c>
      <c r="AD9" s="24" t="inlineStr">
        <is>
          <t>2026-07-18T23:59:20.697637Z</t>
        </is>
      </c>
      <c r="AE9" s="31" t="inlineStr">
        <is>
          <t>Learned LR call at threshold 0.5500; executable ask 0.5050 (aec-mlb-pit-cle-2026-07-18).</t>
        </is>
      </c>
      <c r="AF9" s="31" t="inlineStr">
        <is>
          <t>Learned model; promotion gate not yet open; zero-unit research until review.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mlb-pit</t>
        </is>
      </c>
      <c r="AQ9" s="24" t="inlineStr">
        <is>
          <t>Pittsburgh Pirates</t>
        </is>
      </c>
      <c r="AR9" s="24" t="inlineStr">
        <is>
          <t>Pittsburgh Pirates</t>
        </is>
      </c>
      <c r="AS9" s="24" t="inlineStr">
        <is>
          <t>mlb-cle</t>
        </is>
      </c>
      <c r="AT9" s="24" t="inlineStr">
        <is>
          <t>Cleveland Guardians</t>
        </is>
      </c>
      <c r="AU9" s="24" t="inlineStr">
        <is>
          <t>Cleveland Guardians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5224fb6ffbc9ddf8fa517627b830ac851192da94d241963d556945393a42bb9d</t>
        </is>
      </c>
      <c r="BB9" s="24" t="inlineStr">
        <is>
          <t>learned_lr</t>
        </is>
      </c>
      <c r="BC9" s="24" t="inlineStr">
        <is>
          <t>mlb-elo-trend-lr-v4</t>
        </is>
      </c>
      <c r="BD9" s="24" t="inlineStr">
        <is>
          <t>5224fb6ffbc9ddf8fa517627b830ac851192da94d241963d556945393a42bb9d</t>
        </is>
      </c>
      <c r="BE9" s="24" t="inlineStr">
        <is>
          <t>3c0f9e9f1d0333c4</t>
        </is>
      </c>
      <c r="BF9" s="24" t="inlineStr">
        <is>
          <t>1</t>
        </is>
      </c>
      <c r="BG9" s="24" t="inlineStr">
        <is>
          <t>mlb-elo-trend-lr-v3</t>
        </is>
      </c>
      <c r="BH9" s="24" t="inlineStr">
        <is>
          <t>2026-07-18T16:42:59.880808Z</t>
        </is>
      </c>
      <c r="BI9" s="24" t="inlineStr">
        <is>
          <t>["same_event","same_team_same_day","same_league_same_day"]</t>
        </is>
      </c>
      <c r="BJ9" s="25" t="n"/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0.980392</v>
      </c>
      <c r="BZ9" s="24" t="inlineStr">
        <is>
          <t>2026-07-18T23:59:20.697637Z</t>
        </is>
      </c>
      <c r="CA9" s="31" t="inlineStr">
        <is>
          <t>fixed one-unit hypothetical scoring; no real exposure or execution</t>
        </is>
      </c>
    </row>
    <row r="10" ht="36" customHeight="1">
      <c r="A10" s="24" t="inlineStr">
        <is>
          <t>0a1abd6e59a84720</t>
        </is>
      </c>
      <c r="B10" s="24" t="inlineStr">
        <is>
          <t>2026-07-18T16:44:20.099051Z</t>
        </is>
      </c>
      <c r="C10" s="24" t="inlineStr">
        <is>
          <t>2026-07-18T20:08:00-0400</t>
        </is>
      </c>
      <c r="D10" s="24" t="inlineStr">
        <is>
          <t>401816168</t>
        </is>
      </c>
      <c r="E10" s="24" t="inlineStr">
        <is>
          <t>MLB</t>
        </is>
      </c>
      <c r="F10" s="24" t="inlineStr">
        <is>
          <t>San Francisco Giants</t>
        </is>
      </c>
      <c r="G10" s="24" t="inlineStr">
        <is>
          <t>Seattle Mariners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0.627758</v>
      </c>
      <c r="P10" s="28" t="n"/>
      <c r="Q10" s="28" t="n">
        <v>0.047926</v>
      </c>
      <c r="R10" s="26" t="n">
        <v>47</v>
      </c>
      <c r="S10" s="29" t="n">
        <v>1.75</v>
      </c>
      <c r="T10" s="24" t="inlineStr">
        <is>
          <t>mlb-elo-trend-lr-v4</t>
        </is>
      </c>
      <c r="U10" s="24" t="inlineStr">
        <is>
          <t>settled</t>
        </is>
      </c>
      <c r="V10" s="24" t="inlineStr">
        <is>
          <t>win</t>
        </is>
      </c>
      <c r="W10" s="26" t="n">
        <v>3</v>
      </c>
      <c r="X10" s="26" t="n">
        <v>4</v>
      </c>
      <c r="Y10" s="25" t="n"/>
      <c r="Z10" s="26" t="n"/>
      <c r="AA10" s="28" t="n"/>
      <c r="AB10" s="28" t="n"/>
      <c r="AC10" s="30" t="n">
        <v>1.2681</v>
      </c>
      <c r="AD10" s="24" t="inlineStr">
        <is>
          <t>2026-07-19T06:08:38.177875Z</t>
        </is>
      </c>
      <c r="AE10" s="31" t="inlineStr">
        <is>
          <t>Learned LR call at threshold 0.5500; executable ask 0.5800 (aec-mlb-sf-sea-2026-07-18).</t>
        </is>
      </c>
      <c r="AF10" s="31" t="inlineStr">
        <is>
          <t>Learned model; promotion gate not yet open; zero-unit research until review.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mlb-sf</t>
        </is>
      </c>
      <c r="AQ10" s="24" t="inlineStr">
        <is>
          <t>San Francisco Giants</t>
        </is>
      </c>
      <c r="AR10" s="24" t="inlineStr">
        <is>
          <t>San Francisco Giants</t>
        </is>
      </c>
      <c r="AS10" s="24" t="inlineStr">
        <is>
          <t>mlb-sea</t>
        </is>
      </c>
      <c r="AT10" s="24" t="inlineStr">
        <is>
          <t>Seattle Mariners</t>
        </is>
      </c>
      <c r="AU10" s="24" t="inlineStr">
        <is>
          <t>Seattle Mariners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5224fb6ffbc9ddf8fa517627b830ac851192da94d241963d556945393a42bb9d</t>
        </is>
      </c>
      <c r="BB10" s="24" t="inlineStr">
        <is>
          <t>learned_lr</t>
        </is>
      </c>
      <c r="BC10" s="24" t="inlineStr">
        <is>
          <t>mlb-elo-trend-lr-v4</t>
        </is>
      </c>
      <c r="BD10" s="24" t="inlineStr">
        <is>
          <t>5224fb6ffbc9ddf8fa517627b830ac851192da94d241963d556945393a42bb9d</t>
        </is>
      </c>
      <c r="BE10" s="24" t="inlineStr">
        <is>
          <t>29d502a7704e228f</t>
        </is>
      </c>
      <c r="BF10" s="24" t="inlineStr">
        <is>
          <t>1</t>
        </is>
      </c>
      <c r="BG10" s="24" t="inlineStr">
        <is>
          <t>mlb-elo-trend-lr-v3</t>
        </is>
      </c>
      <c r="BH10" s="24" t="inlineStr">
        <is>
          <t>2026-07-18T16:43:04.779295Z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>
        <v>0.577114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0.724638</v>
      </c>
      <c r="BZ10" s="24" t="inlineStr">
        <is>
          <t>2026-07-19T06:08:38.177875Z</t>
        </is>
      </c>
      <c r="CA10" s="31" t="inlineStr">
        <is>
          <t>fixed one-unit hypothetical scoring; no real exposure or execution</t>
        </is>
      </c>
    </row>
    <row r="11" ht="36" customHeight="1">
      <c r="A11" s="24" t="inlineStr">
        <is>
          <t>534daa3057c4428f</t>
        </is>
      </c>
      <c r="B11" s="24" t="inlineStr">
        <is>
          <t>2026-07-18T16:44:20.099051Z</t>
        </is>
      </c>
      <c r="C11" s="24" t="inlineStr">
        <is>
          <t>2026-07-18T22:05:00-0400</t>
        </is>
      </c>
      <c r="D11" s="24" t="inlineStr">
        <is>
          <t>401816170</t>
        </is>
      </c>
      <c r="E11" s="24" t="inlineStr">
        <is>
          <t>MLB</t>
        </is>
      </c>
      <c r="F11" s="24" t="inlineStr">
        <is>
          <t>Washington Nationals</t>
        </is>
      </c>
      <c r="G11" s="24" t="inlineStr">
        <is>
          <t>Athletics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102</v>
      </c>
      <c r="M11" s="27" t="n">
        <v>2.02</v>
      </c>
      <c r="N11" s="28" t="n">
        <v>0.49505</v>
      </c>
      <c r="O11" s="28" t="n">
        <v>0.569735</v>
      </c>
      <c r="P11" s="28" t="n"/>
      <c r="Q11" s="28" t="n">
        <v>0.074685</v>
      </c>
      <c r="R11" s="26" t="n">
        <v>74</v>
      </c>
      <c r="S11" s="29" t="n">
        <v>1.25</v>
      </c>
      <c r="T11" s="24" t="inlineStr">
        <is>
          <t>mlb-elo-trend-lr-v4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15</v>
      </c>
      <c r="Y11" s="25" t="n"/>
      <c r="Z11" s="26" t="n"/>
      <c r="AA11" s="28" t="n"/>
      <c r="AB11" s="28" t="n"/>
      <c r="AC11" s="30" t="n">
        <v>1.275</v>
      </c>
      <c r="AD11" s="24" t="inlineStr">
        <is>
          <t>2026-07-19T06:08:38.355137Z</t>
        </is>
      </c>
      <c r="AE11" s="31" t="inlineStr">
        <is>
          <t>Learned LR call at threshold 0.5500; executable ask 0.4950 (aec-mlb-wsh-ath-2026-07-18).</t>
        </is>
      </c>
      <c r="AF11" s="31" t="inlineStr">
        <is>
          <t>Learned model; promotion gate not yet open; zero-unit research until review.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mlb-wsh</t>
        </is>
      </c>
      <c r="AQ11" s="24" t="inlineStr">
        <is>
          <t>Washington Nationals</t>
        </is>
      </c>
      <c r="AR11" s="24" t="inlineStr">
        <is>
          <t>Washington Nationals</t>
        </is>
      </c>
      <c r="AS11" s="24" t="inlineStr">
        <is>
          <t>mlb-ath</t>
        </is>
      </c>
      <c r="AT11" s="24" t="inlineStr">
        <is>
          <t>Athletics</t>
        </is>
      </c>
      <c r="AU11" s="24" t="inlineStr">
        <is>
          <t>Athletics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5224fb6ffbc9ddf8fa517627b830ac851192da94d241963d556945393a42bb9d</t>
        </is>
      </c>
      <c r="BB11" s="24" t="inlineStr">
        <is>
          <t>learned_lr</t>
        </is>
      </c>
      <c r="BC11" s="24" t="inlineStr">
        <is>
          <t>mlb-elo-trend-lr-v4</t>
        </is>
      </c>
      <c r="BD11" s="24" t="inlineStr">
        <is>
          <t>5224fb6ffbc9ddf8fa517627b830ac851192da94d241963d556945393a42bb9d</t>
        </is>
      </c>
      <c r="BE11" s="24" t="inlineStr">
        <is>
          <t>d2faed7be6c04691</t>
        </is>
      </c>
      <c r="BF11" s="24" t="inlineStr">
        <is>
          <t>1</t>
        </is>
      </c>
      <c r="BG11" s="24" t="inlineStr">
        <is>
          <t>mlb-elo-trend-lr-v3</t>
        </is>
      </c>
      <c r="BH11" s="24" t="inlineStr">
        <is>
          <t>2026-07-18T16:43:06.321641Z</t>
        </is>
      </c>
      <c r="BI11" s="24" t="inlineStr">
        <is>
          <t>["same_event","same_team_same_day","same_league_same_day"]</t>
        </is>
      </c>
      <c r="BJ11" s="25" t="n"/>
      <c r="BK11" s="26" t="n">
        <v>102</v>
      </c>
      <c r="BL11" s="27" t="n">
        <v>2.02</v>
      </c>
      <c r="BM11" s="28" t="n">
        <v>0.49505</v>
      </c>
      <c r="BN11" s="28" t="n">
        <v>0.492537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1.02</v>
      </c>
      <c r="BZ11" s="24" t="inlineStr">
        <is>
          <t>2026-07-19T06:08:38.355137Z</t>
        </is>
      </c>
      <c r="CA11" s="31" t="inlineStr">
        <is>
          <t>fixed one-unit hypothetical scoring; no real exposure or execution</t>
        </is>
      </c>
    </row>
    <row r="12" ht="36" customHeight="1">
      <c r="A12" s="24" t="inlineStr">
        <is>
          <t>5ab4cdd6444d4f9b</t>
        </is>
      </c>
      <c r="B12" s="24" t="inlineStr">
        <is>
          <t>2026-07-18T16:50:38.270483Z</t>
        </is>
      </c>
      <c r="C12" s="24" t="inlineStr">
        <is>
          <t>2026-07-18T16:10:00-0400</t>
        </is>
      </c>
      <c r="D12" s="24" t="inlineStr">
        <is>
          <t>401816162</t>
        </is>
      </c>
      <c r="E12" s="24" t="inlineStr">
        <is>
          <t>MLB</t>
        </is>
      </c>
      <c r="F12" s="24" t="inlineStr">
        <is>
          <t>Baltimore Orioles</t>
        </is>
      </c>
      <c r="G12" s="24" t="inlineStr">
        <is>
          <t>Houston Astros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-102</v>
      </c>
      <c r="M12" s="27" t="n">
        <v>1.980392</v>
      </c>
      <c r="N12" s="28" t="n">
        <v>0.50495</v>
      </c>
      <c r="O12" s="28" t="n">
        <v>0.545167</v>
      </c>
      <c r="P12" s="28" t="n"/>
      <c r="Q12" s="28" t="n">
        <v>0.040217</v>
      </c>
      <c r="R12" s="26" t="n">
        <v>40</v>
      </c>
      <c r="S12" s="29" t="n">
        <v>1</v>
      </c>
      <c r="T12" s="24" t="inlineStr">
        <is>
          <t>mlb-elo-trend-lr-v4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-1</v>
      </c>
      <c r="AD12" s="24" t="inlineStr">
        <is>
          <t>2026-07-18T23:59:20.760772Z</t>
        </is>
      </c>
      <c r="AE12" s="31" t="inlineStr">
        <is>
          <t>Learned LR call at threshold 0.5100; executable ask 0.5050 (aec-mlb-bal-hou-2026-07-18).</t>
        </is>
      </c>
      <c r="AF12" s="31" t="inlineStr">
        <is>
          <t>Learned model; promotion gate not yet open; zero-unit research until review.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mlb-bal</t>
        </is>
      </c>
      <c r="AQ12" s="24" t="inlineStr">
        <is>
          <t>Baltimore Orioles</t>
        </is>
      </c>
      <c r="AR12" s="24" t="inlineStr">
        <is>
          <t>Baltimore Orioles</t>
        </is>
      </c>
      <c r="AS12" s="24" t="inlineStr">
        <is>
          <t>mlb-hou</t>
        </is>
      </c>
      <c r="AT12" s="24" t="inlineStr">
        <is>
          <t>Houston Astros</t>
        </is>
      </c>
      <c r="AU12" s="24" t="inlineStr">
        <is>
          <t>Houston Astros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f6cae9c590f4ed48</t>
        </is>
      </c>
      <c r="BF12" s="24" t="inlineStr">
        <is>
          <t>1</t>
        </is>
      </c>
      <c r="BG12" s="24" t="inlineStr">
        <is>
          <t>mlb-elo-trend-lr-v3</t>
        </is>
      </c>
      <c r="BH12" s="24" t="inlineStr">
        <is>
          <t>2026-07-18T16:49:31.642864Z</t>
        </is>
      </c>
      <c r="BI12" s="24" t="inlineStr">
        <is>
          <t>["same_event","same_team_same_day","same_league_same_day"]</t>
        </is>
      </c>
      <c r="BJ12" s="25" t="n"/>
      <c r="BK12" s="26" t="n">
        <v>-102</v>
      </c>
      <c r="BL12" s="27" t="n">
        <v>1.980392</v>
      </c>
      <c r="BM12" s="28" t="n">
        <v>0.50495</v>
      </c>
      <c r="BN12" s="28" t="n">
        <v>0.502488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inlineStr">
        <is>
          <t>2026-07-18T23:59:20.760772Z</t>
        </is>
      </c>
      <c r="CA12" s="31" t="inlineStr">
        <is>
          <t>fixed one-unit hypothetical scoring; no real exposure or execution</t>
        </is>
      </c>
    </row>
    <row r="13" ht="36" customHeight="1">
      <c r="A13" s="24" t="inlineStr">
        <is>
          <t>6768ed78d65e4f03</t>
        </is>
      </c>
      <c r="B13" s="24" t="inlineStr">
        <is>
          <t>2026-07-18T17:28:36.828868Z</t>
        </is>
      </c>
      <c r="C13" s="24" t="inlineStr">
        <is>
          <t>2026-07-18T16:10:00-0400</t>
        </is>
      </c>
      <c r="D13" s="24" t="inlineStr">
        <is>
          <t>401816160</t>
        </is>
      </c>
      <c r="E13" s="24" t="inlineStr">
        <is>
          <t>MLB</t>
        </is>
      </c>
      <c r="F13" s="24" t="inlineStr">
        <is>
          <t>Tampa Bay Rays</t>
        </is>
      </c>
      <c r="G13" s="24" t="inlineStr">
        <is>
          <t>Boston Red Sox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-102</v>
      </c>
      <c r="M13" s="27" t="n">
        <v>1.980392</v>
      </c>
      <c r="N13" s="28" t="n">
        <v>0.50495</v>
      </c>
      <c r="O13" s="28" t="n">
        <v>0.5727179999999999</v>
      </c>
      <c r="P13" s="28" t="n"/>
      <c r="Q13" s="28" t="n">
        <v>0.06776799999999999</v>
      </c>
      <c r="R13" s="26" t="n">
        <v>67</v>
      </c>
      <c r="S13" s="29" t="n">
        <v>1.25</v>
      </c>
      <c r="T13" s="24" t="inlineStr">
        <is>
          <t>mlb-elo-trend-lr-v4</t>
        </is>
      </c>
      <c r="U13" s="24" t="inlineStr">
        <is>
          <t>settled</t>
        </is>
      </c>
      <c r="V13" s="24" t="inlineStr">
        <is>
          <t>win</t>
        </is>
      </c>
      <c r="W13" s="26" t="n">
        <v>6</v>
      </c>
      <c r="X13" s="26" t="n">
        <v>7</v>
      </c>
      <c r="Y13" s="25" t="n"/>
      <c r="Z13" s="26" t="n"/>
      <c r="AA13" s="28" t="n"/>
      <c r="AB13" s="28" t="n"/>
      <c r="AC13" s="30" t="n">
        <v>1.2255</v>
      </c>
      <c r="AD13" s="24" t="inlineStr">
        <is>
          <t>2026-07-18T23:59:20.822768Z</t>
        </is>
      </c>
      <c r="AE13" s="31" t="inlineStr">
        <is>
          <t>Learned LR call at threshold 0.5100; executable ask 0.5050 (aec-mlb-tb-bos-2026-07-18).</t>
        </is>
      </c>
      <c r="AF13" s="31" t="inlineStr">
        <is>
          <t>Learned model; promotion gate not yet open; zero-unit research until review.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NO_CALL_MODEL_UNVALIDATED</t>
        </is>
      </c>
      <c r="AP13" s="24" t="inlineStr">
        <is>
          <t>mlb-tb</t>
        </is>
      </c>
      <c r="AQ13" s="24" t="inlineStr">
        <is>
          <t>Tampa Bay Rays</t>
        </is>
      </c>
      <c r="AR13" s="24" t="inlineStr">
        <is>
          <t>Tampa Bay Rays</t>
        </is>
      </c>
      <c r="AS13" s="24" t="inlineStr">
        <is>
          <t>mlb-bos</t>
        </is>
      </c>
      <c r="AT13" s="24" t="inlineStr">
        <is>
          <t>Boston Red Sox</t>
        </is>
      </c>
      <c r="AU13" s="24" t="inlineStr">
        <is>
          <t>Boston Red Sox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research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db0a002aa4e19b4b</t>
        </is>
      </c>
      <c r="BF13" s="24" t="inlineStr">
        <is>
          <t>1</t>
        </is>
      </c>
      <c r="BG13" s="24" t="inlineStr">
        <is>
          <t>mlb-elo-trend-lr-v3</t>
        </is>
      </c>
      <c r="BH13" s="24" t="inlineStr">
        <is>
          <t>2026-07-18T17:27:47.084596Z</t>
        </is>
      </c>
      <c r="BI13" s="24" t="inlineStr">
        <is>
          <t>["same_event","same_team_same_day","same_league_same_day"]</t>
        </is>
      </c>
      <c r="BJ13" s="25" t="n"/>
      <c r="BK13" s="26" t="n">
        <v>-102</v>
      </c>
      <c r="BL13" s="27" t="n">
        <v>1.980392</v>
      </c>
      <c r="BM13" s="28" t="n">
        <v>0.50495</v>
      </c>
      <c r="BN13" s="28" t="n">
        <v>0.502488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0.980392</v>
      </c>
      <c r="BZ13" s="24" t="inlineStr">
        <is>
          <t>2026-07-18T23:59:20.822768Z</t>
        </is>
      </c>
      <c r="CA13" s="31" t="inlineStr">
        <is>
          <t>fixed one-unit hypothetical scoring; no real exposure or execution</t>
        </is>
      </c>
    </row>
    <row r="14" ht="36" customHeight="1">
      <c r="A14" s="24" t="inlineStr">
        <is>
          <t>924907abbb534b0a</t>
        </is>
      </c>
      <c r="B14" s="24" t="inlineStr">
        <is>
          <t>2026-07-18T17:28:36.828868Z</t>
        </is>
      </c>
      <c r="C14" s="24" t="inlineStr">
        <is>
          <t>2026-07-18T16:10:00-0400</t>
        </is>
      </c>
      <c r="D14" s="24" t="inlineStr">
        <is>
          <t>401816165</t>
        </is>
      </c>
      <c r="E14" s="24" t="inlineStr">
        <is>
          <t>MLB</t>
        </is>
      </c>
      <c r="F14" s="24" t="inlineStr">
        <is>
          <t>San Diego Padres</t>
        </is>
      </c>
      <c r="G14" s="24" t="inlineStr">
        <is>
          <t>Kansas City Royals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0.5306149999999999</v>
      </c>
      <c r="P14" s="28" t="n"/>
      <c r="Q14" s="28" t="n">
        <v>0.020811</v>
      </c>
      <c r="R14" s="26" t="n">
        <v>20</v>
      </c>
      <c r="S14" s="29" t="n">
        <v>0.75</v>
      </c>
      <c r="T14" s="24" t="inlineStr">
        <is>
          <t>mlb-elo-trend-lr-v4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6</v>
      </c>
      <c r="Y14" s="25" t="n"/>
      <c r="Z14" s="26" t="n"/>
      <c r="AA14" s="28" t="n"/>
      <c r="AB14" s="28" t="n"/>
      <c r="AC14" s="30" t="n">
        <v>-0.75</v>
      </c>
      <c r="AD14" s="24" t="inlineStr">
        <is>
          <t>2026-07-18T23:59:20.891397Z</t>
        </is>
      </c>
      <c r="AE14" s="31" t="inlineStr">
        <is>
          <t>Learned LR call at threshold 0.5100; executable ask 0.5100 (aec-mlb-sd-kc-2026-07-18).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NO_CALL_MODEL_UNVALIDATED</t>
        </is>
      </c>
      <c r="AP14" s="24" t="inlineStr">
        <is>
          <t>mlb-sd</t>
        </is>
      </c>
      <c r="AQ14" s="24" t="inlineStr">
        <is>
          <t>San Diego Padres</t>
        </is>
      </c>
      <c r="AR14" s="24" t="inlineStr">
        <is>
          <t>San Diego Padres</t>
        </is>
      </c>
      <c r="AS14" s="24" t="inlineStr">
        <is>
          <t>mlb-kc</t>
        </is>
      </c>
      <c r="AT14" s="24" t="inlineStr">
        <is>
          <t>Kansas City Royals</t>
        </is>
      </c>
      <c r="AU14" s="24" t="inlineStr">
        <is>
          <t>Kansas City Royals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research</t>
        </is>
      </c>
      <c r="BA14" s="24" t="inlineStr">
        <is>
          <t>5224fb6ffbc9ddf8fa517627b830ac851192da94d241963d556945393a42bb9d</t>
        </is>
      </c>
      <c r="BB14" s="24" t="inlineStr">
        <is>
          <t>learned_lr</t>
        </is>
      </c>
      <c r="BC14" s="24" t="inlineStr">
        <is>
          <t>mlb-elo-trend-lr-v4</t>
        </is>
      </c>
      <c r="BD14" s="24" t="inlineStr">
        <is>
          <t>5224fb6ffbc9ddf8fa517627b830ac851192da94d241963d556945393a42bb9d</t>
        </is>
      </c>
      <c r="BE14" s="24" t="inlineStr">
        <is>
          <t>ed4675d45b8d4ffe</t>
        </is>
      </c>
      <c r="BF14" s="24" t="inlineStr">
        <is>
          <t>1</t>
        </is>
      </c>
      <c r="BG14" s="24" t="inlineStr">
        <is>
          <t>mlb-elo-trend-lr-v3</t>
        </is>
      </c>
      <c r="BH14" s="24" t="inlineStr">
        <is>
          <t>2026-07-18T17:27:46.135351Z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>
        <v>0.507463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2026-07-18T23:59:20.891397Z</t>
        </is>
      </c>
      <c r="CA14" s="31" t="inlineStr">
        <is>
          <t>fixed one-unit hypothetical scoring; no real exposure or execution</t>
        </is>
      </c>
    </row>
    <row r="15" ht="36" customHeight="1">
      <c r="A15" s="24" t="inlineStr">
        <is>
          <t>48c8669ffc2149cc</t>
        </is>
      </c>
      <c r="B15" s="24" t="inlineStr">
        <is>
          <t>2026-07-18T17:37:17.255201Z</t>
        </is>
      </c>
      <c r="C15" s="24" t="inlineStr">
        <is>
          <t>2026-07-19T12:15:00-0400</t>
        </is>
      </c>
      <c r="D15" s="24" t="inlineStr">
        <is>
          <t>401816171</t>
        </is>
      </c>
      <c r="E15" s="24" t="inlineStr">
        <is>
          <t>MLB</t>
        </is>
      </c>
      <c r="F15" s="24" t="inlineStr">
        <is>
          <t>Chicago White Sox</t>
        </is>
      </c>
      <c r="G15" s="24" t="inlineStr">
        <is>
          <t>Toronto Blue Jays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-104</v>
      </c>
      <c r="M15" s="27" t="n">
        <v>1.961538</v>
      </c>
      <c r="N15" s="28" t="n">
        <v>0.509804</v>
      </c>
      <c r="O15" s="28" t="n">
        <v>0.549576</v>
      </c>
      <c r="P15" s="28" t="n"/>
      <c r="Q15" s="28" t="n">
        <v>0.039772</v>
      </c>
      <c r="R15" s="26" t="n">
        <v>39</v>
      </c>
      <c r="S15" s="29" t="n">
        <v>1</v>
      </c>
      <c r="T15" s="24" t="inlineStr">
        <is>
          <t>mlb-elo-trend-lr-v4</t>
        </is>
      </c>
      <c r="U15" s="24" t="inlineStr">
        <is>
          <t>settled</t>
        </is>
      </c>
      <c r="V15" s="24" t="inlineStr">
        <is>
          <t>loss</t>
        </is>
      </c>
      <c r="W15" s="26" t="n">
        <v>3</v>
      </c>
      <c r="X15" s="26" t="n">
        <v>0</v>
      </c>
      <c r="Y15" s="25" t="n"/>
      <c r="Z15" s="26" t="n"/>
      <c r="AA15" s="28" t="n"/>
      <c r="AB15" s="28" t="n"/>
      <c r="AC15" s="30" t="n">
        <v>-1</v>
      </c>
      <c r="AD15" s="24" t="inlineStr">
        <is>
          <t>2026-07-19T21:31:34.426330Z</t>
        </is>
      </c>
      <c r="AE15" s="31" t="inlineStr">
        <is>
          <t>Learned LR call at threshold 0.5100; executable ask 0.5100 (aec-mlb-cws-tor-2026-07-19).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NO_CALL_MODEL_UNVALIDATED</t>
        </is>
      </c>
      <c r="AP15" s="24" t="inlineStr">
        <is>
          <t>mlb-cws</t>
        </is>
      </c>
      <c r="AQ15" s="24" t="inlineStr">
        <is>
          <t>Chicago White Sox</t>
        </is>
      </c>
      <c r="AR15" s="24" t="inlineStr">
        <is>
          <t>Chicago White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50f6dab0538e7f4a</t>
        </is>
      </c>
      <c r="BF15" s="24" t="inlineStr">
        <is>
          <t>1</t>
        </is>
      </c>
      <c r="BG15" s="24" t="inlineStr">
        <is>
          <t>mlb-elo-trend-lr-v3</t>
        </is>
      </c>
      <c r="BH15" s="24" t="inlineStr">
        <is>
          <t>2026-07-18T17:36:34.425604Z</t>
        </is>
      </c>
      <c r="BI15" s="24" t="inlineStr">
        <is>
          <t>["same_event","same_team_same_day","same_league_same_day"]</t>
        </is>
      </c>
      <c r="BJ15" s="25" t="n"/>
      <c r="BK15" s="26" t="n">
        <v>-104</v>
      </c>
      <c r="BL15" s="27" t="n">
        <v>1.961538</v>
      </c>
      <c r="BM15" s="28" t="n">
        <v>0.509804</v>
      </c>
      <c r="BN15" s="28" t="n">
        <v>0.507463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2026-07-19T21:31:34.426330Z</t>
        </is>
      </c>
      <c r="CA15" s="31" t="inlineStr">
        <is>
          <t>fixed one-unit hypothetical scoring; no real exposure or execution</t>
        </is>
      </c>
    </row>
    <row r="16" ht="36" customHeight="1">
      <c r="A16" s="24" t="inlineStr">
        <is>
          <t>5290104d16c8463b</t>
        </is>
      </c>
      <c r="B16" s="24" t="inlineStr">
        <is>
          <t>2026-07-18T17:37:17.255201Z</t>
        </is>
      </c>
      <c r="C16" s="24" t="inlineStr">
        <is>
          <t>2026-07-19T13:35:00-0400</t>
        </is>
      </c>
      <c r="D16" s="24" t="inlineStr">
        <is>
          <t>401816173</t>
        </is>
      </c>
      <c r="E16" s="24" t="inlineStr">
        <is>
          <t>MLB</t>
        </is>
      </c>
      <c r="F16" s="24" t="inlineStr">
        <is>
          <t>New York Mets</t>
        </is>
      </c>
      <c r="G16" s="24" t="inlineStr">
        <is>
          <t>Philadelphia Phillies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-111</v>
      </c>
      <c r="M16" s="27" t="n">
        <v>1.900901</v>
      </c>
      <c r="N16" s="28" t="n">
        <v>0.526066</v>
      </c>
      <c r="O16" s="28" t="n">
        <v>0.606009</v>
      </c>
      <c r="P16" s="28" t="n"/>
      <c r="Q16" s="28" t="n">
        <v>0.079943</v>
      </c>
      <c r="R16" s="26" t="n">
        <v>79</v>
      </c>
      <c r="S16" s="29" t="n">
        <v>1.5</v>
      </c>
      <c r="T16" s="24" t="inlineStr">
        <is>
          <t>mlb-elo-trend-lr-v4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6</v>
      </c>
      <c r="X16" s="26" t="n">
        <v>1</v>
      </c>
      <c r="Y16" s="25" t="n"/>
      <c r="Z16" s="26" t="n"/>
      <c r="AA16" s="28" t="n"/>
      <c r="AB16" s="28" t="n"/>
      <c r="AC16" s="30" t="n">
        <v>-1.5</v>
      </c>
      <c r="AD16" s="24" t="inlineStr">
        <is>
          <t>2026-07-19T21:31:34.633018Z</t>
        </is>
      </c>
      <c r="AE16" s="31" t="inlineStr">
        <is>
          <t>Learned LR call at threshold 0.5100; executable ask 0.5250 (aec-mlb-nym-phi-2026-07-19).</t>
        </is>
      </c>
      <c r="AF16" s="31" t="inlineStr">
        <is>
          <t>Learned model; promotion gate not yet open; zero-unit research until review.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mlb-nym</t>
        </is>
      </c>
      <c r="AQ16" s="24" t="inlineStr">
        <is>
          <t>New York Mets</t>
        </is>
      </c>
      <c r="AR16" s="24" t="inlineStr">
        <is>
          <t>New York Mets</t>
        </is>
      </c>
      <c r="AS16" s="24" t="inlineStr">
        <is>
          <t>mlb-phi</t>
        </is>
      </c>
      <c r="AT16" s="24" t="inlineStr">
        <is>
          <t>Philadelphia Phillies</t>
        </is>
      </c>
      <c r="AU16" s="24" t="inlineStr">
        <is>
          <t>Philadelphia Phillies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ce93768fc5c8be02</t>
        </is>
      </c>
      <c r="BF16" s="24" t="inlineStr">
        <is>
          <t>1</t>
        </is>
      </c>
      <c r="BG16" s="24" t="inlineStr">
        <is>
          <t>mlb-elo-trend-lr-v3</t>
        </is>
      </c>
      <c r="BH16" s="24" t="inlineStr">
        <is>
          <t>2026-07-18T17:36:34.787099Z</t>
        </is>
      </c>
      <c r="BI16" s="24" t="inlineStr">
        <is>
          <t>["same_event","same_team_same_day","same_league_same_day"]</t>
        </is>
      </c>
      <c r="BJ16" s="25" t="n"/>
      <c r="BK16" s="26" t="n">
        <v>-111</v>
      </c>
      <c r="BL16" s="27" t="n">
        <v>1.900901</v>
      </c>
      <c r="BM16" s="28" t="n">
        <v>0.526066</v>
      </c>
      <c r="BN16" s="28" t="n">
        <v>0.522388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-1</v>
      </c>
      <c r="BZ16" s="24" t="inlineStr">
        <is>
          <t>2026-07-19T21:31:34.633018Z</t>
        </is>
      </c>
      <c r="CA16" s="31" t="inlineStr">
        <is>
          <t>fixed one-unit hypothetical scoring; no real exposure or execution</t>
        </is>
      </c>
    </row>
    <row r="17" ht="36" customHeight="1">
      <c r="A17" s="24" t="inlineStr">
        <is>
          <t>7a4271bd40494914</t>
        </is>
      </c>
      <c r="B17" s="24" t="inlineStr">
        <is>
          <t>2026-07-18T17:37:17.255201Z</t>
        </is>
      </c>
      <c r="C17" s="24" t="inlineStr">
        <is>
          <t>2026-07-19T13:35:00-0400</t>
        </is>
      </c>
      <c r="D17" s="24" t="inlineStr">
        <is>
          <t>401816175</t>
        </is>
      </c>
      <c r="E17" s="24" t="inlineStr">
        <is>
          <t>MLB</t>
        </is>
      </c>
      <c r="F17" s="24" t="inlineStr">
        <is>
          <t>Tampa Bay Rays</t>
        </is>
      </c>
      <c r="G17" s="24" t="inlineStr">
        <is>
          <t>Boston Red Sox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0.550576</v>
      </c>
      <c r="P17" s="28" t="n"/>
      <c r="Q17" s="28" t="n">
        <v>0.031345</v>
      </c>
      <c r="R17" s="26" t="n">
        <v>31</v>
      </c>
      <c r="S17" s="29" t="n">
        <v>1</v>
      </c>
      <c r="T17" s="24" t="inlineStr">
        <is>
          <t>mlb-elo-trend-lr-v4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6</v>
      </c>
      <c r="Y17" s="25" t="n"/>
      <c r="Z17" s="26" t="n"/>
      <c r="AA17" s="28" t="n"/>
      <c r="AB17" s="28" t="n"/>
      <c r="AC17" s="30" t="n">
        <v>0.9258999999999999</v>
      </c>
      <c r="AD17" s="24" t="inlineStr">
        <is>
          <t>2026-07-19T21:31:34.820097Z</t>
        </is>
      </c>
      <c r="AE17" s="31" t="inlineStr">
        <is>
          <t>Learned LR call at threshold 0.5100; executable ask 0.5200 (aec-mlb-tb-bos-2026-07-19).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mlb-tb</t>
        </is>
      </c>
      <c r="AQ17" s="24" t="inlineStr">
        <is>
          <t>Tampa Bay Rays</t>
        </is>
      </c>
      <c r="AR17" s="24" t="inlineStr">
        <is>
          <t>Tampa Bay Rays</t>
        </is>
      </c>
      <c r="AS17" s="24" t="inlineStr">
        <is>
          <t>mlb-bos</t>
        </is>
      </c>
      <c r="AT17" s="24" t="inlineStr">
        <is>
          <t>Boston Red Sox</t>
        </is>
      </c>
      <c r="AU17" s="24" t="inlineStr">
        <is>
          <t>Boston Red Sox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1e50d689e0ba0748</t>
        </is>
      </c>
      <c r="BF17" s="24" t="inlineStr">
        <is>
          <t>1</t>
        </is>
      </c>
      <c r="BG17" s="24" t="inlineStr">
        <is>
          <t>mlb-elo-trend-lr-v3</t>
        </is>
      </c>
      <c r="BH17" s="24" t="inlineStr">
        <is>
          <t>2026-07-18T17:36:36.879504Z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>
        <v>0.5148509999999999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0.925926</v>
      </c>
      <c r="BZ17" s="24" t="inlineStr">
        <is>
          <t>2026-07-19T21:31:34.820097Z</t>
        </is>
      </c>
      <c r="CA17" s="31" t="inlineStr">
        <is>
          <t>fixed one-unit hypothetical scoring; no real exposure or execution</t>
        </is>
      </c>
    </row>
    <row r="18" ht="36" customHeight="1">
      <c r="A18" s="24" t="inlineStr">
        <is>
          <t>6c30433f6943459a</t>
        </is>
      </c>
      <c r="B18" s="24" t="inlineStr">
        <is>
          <t>2026-07-18T17:37:17.255201Z</t>
        </is>
      </c>
      <c r="C18" s="24" t="inlineStr">
        <is>
          <t>2026-07-19T13:40:00-0400</t>
        </is>
      </c>
      <c r="D18" s="24" t="inlineStr">
        <is>
          <t>401816174</t>
        </is>
      </c>
      <c r="E18" s="24" t="inlineStr">
        <is>
          <t>MLB</t>
        </is>
      </c>
      <c r="F18" s="24" t="inlineStr">
        <is>
          <t>Pittsburgh Pirates</t>
        </is>
      </c>
      <c r="G18" s="24" t="inlineStr">
        <is>
          <t>Cleveland Guardians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111</v>
      </c>
      <c r="M18" s="27" t="n">
        <v>2.11</v>
      </c>
      <c r="N18" s="28" t="n">
        <v>0.473934</v>
      </c>
      <c r="O18" s="28" t="n">
        <v>0.564072</v>
      </c>
      <c r="P18" s="28" t="n"/>
      <c r="Q18" s="28" t="n">
        <v>0.090138</v>
      </c>
      <c r="R18" s="26" t="n">
        <v>90</v>
      </c>
      <c r="S18" s="29" t="n">
        <v>1.25</v>
      </c>
      <c r="T18" s="24" t="inlineStr">
        <is>
          <t>mlb-elo-trend-lr-v4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7</v>
      </c>
      <c r="X18" s="26" t="n">
        <v>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2026-07-19T21:31:35.008100Z</t>
        </is>
      </c>
      <c r="AE18" s="31" t="inlineStr">
        <is>
          <t>Learned LR call at threshold 0.5100; executable ask 0.4750 (aec-mlb-pit-cle-2026-07-19).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mlb-pit</t>
        </is>
      </c>
      <c r="AQ18" s="24" t="inlineStr">
        <is>
          <t>Pittsburgh Pirates</t>
        </is>
      </c>
      <c r="AR18" s="24" t="inlineStr">
        <is>
          <t>Pittsburgh Pirates</t>
        </is>
      </c>
      <c r="AS18" s="24" t="inlineStr">
        <is>
          <t>mlb-cle</t>
        </is>
      </c>
      <c r="AT18" s="24" t="inlineStr">
        <is>
          <t>Cleveland Guardians</t>
        </is>
      </c>
      <c r="AU18" s="24" t="inlineStr">
        <is>
          <t>Cleveland Guardians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5e36475e8b7bf75d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2026-07-18T17:36:37.946655Z</t>
        </is>
      </c>
      <c r="BI18" s="24" t="inlineStr">
        <is>
          <t>["same_event","same_team_same_day","same_league_same_day"]</t>
        </is>
      </c>
      <c r="BJ18" s="25" t="n"/>
      <c r="BK18" s="26" t="n">
        <v>111</v>
      </c>
      <c r="BL18" s="27" t="n">
        <v>2.11</v>
      </c>
      <c r="BM18" s="28" t="n">
        <v>0.473934</v>
      </c>
      <c r="BN18" s="28" t="n">
        <v>0.472637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2026-07-19T21:31:35.008100Z</t>
        </is>
      </c>
      <c r="CA18" s="31" t="inlineStr">
        <is>
          <t>fixed one-unit hypothetical scoring; no real exposure or execution</t>
        </is>
      </c>
    </row>
    <row r="19" ht="36" customHeight="1">
      <c r="A19" s="24" t="inlineStr">
        <is>
          <t>a96ea6dd6b144441</t>
        </is>
      </c>
      <c r="B19" s="24" t="inlineStr">
        <is>
          <t>2026-07-18T17:37:17.255201Z</t>
        </is>
      </c>
      <c r="C19" s="24" t="inlineStr">
        <is>
          <t>2026-07-19T14:10:00-0400</t>
        </is>
      </c>
      <c r="D19" s="24" t="inlineStr">
        <is>
          <t>401816178</t>
        </is>
      </c>
      <c r="E19" s="24" t="inlineStr">
        <is>
          <t>MLB</t>
        </is>
      </c>
      <c r="F19" s="24" t="inlineStr">
        <is>
          <t>Miami Marlins</t>
        </is>
      </c>
      <c r="G19" s="24" t="inlineStr">
        <is>
          <t>Milwaukee Brewers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-125</v>
      </c>
      <c r="M19" s="27" t="n">
        <v>1.8</v>
      </c>
      <c r="N19" s="28" t="n">
        <v>0.555556</v>
      </c>
      <c r="O19" s="28" t="n">
        <v>0.607169</v>
      </c>
      <c r="P19" s="28" t="n"/>
      <c r="Q19" s="28" t="n">
        <v>0.051613</v>
      </c>
      <c r="R19" s="26" t="n">
        <v>51</v>
      </c>
      <c r="S19" s="29" t="n">
        <v>1.5</v>
      </c>
      <c r="T19" s="24" t="inlineStr">
        <is>
          <t>mlb-elo-trend-lr-v4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1</v>
      </c>
      <c r="X19" s="26" t="n">
        <v>3</v>
      </c>
      <c r="Y19" s="25" t="n"/>
      <c r="Z19" s="26" t="n"/>
      <c r="AA19" s="28" t="n"/>
      <c r="AB19" s="28" t="n"/>
      <c r="AC19" s="30" t="n">
        <v>1.2</v>
      </c>
      <c r="AD19" s="24" t="inlineStr">
        <is>
          <t>2026-07-19T21:31:35.195059Z</t>
        </is>
      </c>
      <c r="AE19" s="31" t="inlineStr">
        <is>
          <t>Learned LR call at threshold 0.5100; executable ask 0.5550 (aec-mlb-mia-mil-2026-07-19).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mlb-mia</t>
        </is>
      </c>
      <c r="AQ19" s="24" t="inlineStr">
        <is>
          <t>Miami Marlins</t>
        </is>
      </c>
      <c r="AR19" s="24" t="inlineStr">
        <is>
          <t>Miami Marlins</t>
        </is>
      </c>
      <c r="AS19" s="24" t="inlineStr">
        <is>
          <t>mlb-mil</t>
        </is>
      </c>
      <c r="AT19" s="24" t="inlineStr">
        <is>
          <t>Milwaukee Brewers</t>
        </is>
      </c>
      <c r="AU19" s="24" t="inlineStr">
        <is>
          <t>Milwaukee Brewers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a0d9b1134dce1744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2026-07-18T17:36:41.204729Z</t>
        </is>
      </c>
      <c r="BI19" s="24" t="inlineStr">
        <is>
          <t>["same_event","same_team_same_day","same_league_same_day"]</t>
        </is>
      </c>
      <c r="BJ19" s="25" t="n"/>
      <c r="BK19" s="26" t="n">
        <v>-125</v>
      </c>
      <c r="BL19" s="27" t="n">
        <v>1.8</v>
      </c>
      <c r="BM19" s="28" t="n">
        <v>0.555556</v>
      </c>
      <c r="BN19" s="28" t="n">
        <v>0.552239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</v>
      </c>
      <c r="BZ19" s="24" t="inlineStr">
        <is>
          <t>2026-07-19T21:31:35.195059Z</t>
        </is>
      </c>
      <c r="CA19" s="31" t="inlineStr">
        <is>
          <t>fixed one-unit hypothetical scoring; no real exposure or execution</t>
        </is>
      </c>
    </row>
    <row r="20" ht="36" customHeight="1">
      <c r="A20" s="24" t="inlineStr">
        <is>
          <t>04b8c864fb464dd7</t>
        </is>
      </c>
      <c r="B20" s="24" t="inlineStr">
        <is>
          <t>2026-07-18T17:37:17.255201Z</t>
        </is>
      </c>
      <c r="C20" s="24" t="inlineStr">
        <is>
          <t>2026-07-19T14:10:00-0400</t>
        </is>
      </c>
      <c r="D20" s="24" t="inlineStr">
        <is>
          <t>401816180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Kansas City Royals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106</v>
      </c>
      <c r="M20" s="27" t="n">
        <v>2.06</v>
      </c>
      <c r="N20" s="28" t="n">
        <v>0.485437</v>
      </c>
      <c r="O20" s="28" t="n">
        <v>0.520865</v>
      </c>
      <c r="P20" s="28" t="n"/>
      <c r="Q20" s="28" t="n">
        <v>0.035428</v>
      </c>
      <c r="R20" s="26" t="n">
        <v>35</v>
      </c>
      <c r="S20" s="29" t="n">
        <v>0.75</v>
      </c>
      <c r="T20" s="24" t="inlineStr">
        <is>
          <t>mlb-elo-trend-lr-v4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19</v>
      </c>
      <c r="X20" s="26" t="n">
        <v>2</v>
      </c>
      <c r="Y20" s="25" t="n"/>
      <c r="Z20" s="26" t="n"/>
      <c r="AA20" s="28" t="n"/>
      <c r="AB20" s="28" t="n"/>
      <c r="AC20" s="30" t="n">
        <v>0.795</v>
      </c>
      <c r="AD20" s="24" t="inlineStr">
        <is>
          <t>2026-07-19T21:31:35.380420Z</t>
        </is>
      </c>
      <c r="AE20" s="31" t="inlineStr">
        <is>
          <t>Learned LR call at threshold 0.5100; executable ask 0.4850 (aec-mlb-sd-kc-2026-07-19).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mlb-kc</t>
        </is>
      </c>
      <c r="AT20" s="24" t="inlineStr">
        <is>
          <t>Kansas City Royals</t>
        </is>
      </c>
      <c r="AU20" s="24" t="inlineStr">
        <is>
          <t>Kansas City Royals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b9e5139f50e614b7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2026-07-18T17:36:40.632965Z</t>
        </is>
      </c>
      <c r="BI20" s="24" t="inlineStr">
        <is>
          <t>["same_event","same_team_same_day","same_league_same_day"]</t>
        </is>
      </c>
      <c r="BJ20" s="25" t="n"/>
      <c r="BK20" s="26" t="n">
        <v>106</v>
      </c>
      <c r="BL20" s="27" t="n">
        <v>2.06</v>
      </c>
      <c r="BM20" s="28" t="n">
        <v>0.485437</v>
      </c>
      <c r="BN20" s="28" t="n">
        <v>0.482587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1.06</v>
      </c>
      <c r="BZ20" s="24" t="inlineStr">
        <is>
          <t>2026-07-19T21:31:35.380420Z</t>
        </is>
      </c>
      <c r="CA20" s="31" t="inlineStr">
        <is>
          <t>fixed one-unit hypothetical scoring; no real exposure or execution</t>
        </is>
      </c>
    </row>
    <row r="21" ht="36" customHeight="1">
      <c r="A21" s="24" t="inlineStr">
        <is>
          <t>2fe604a809ed46d5</t>
        </is>
      </c>
      <c r="B21" s="24" t="inlineStr">
        <is>
          <t>2026-07-19T10:49:38.448695+00:00</t>
        </is>
      </c>
      <c r="C21" s="24" t="inlineStr">
        <is>
          <t>2026-07-17T13:35:00-0400</t>
        </is>
      </c>
      <c r="D21" s="24" t="inlineStr">
        <is>
          <t>Tamp-Bost-2026-07-17-G1</t>
        </is>
      </c>
      <c r="E21" s="24" t="inlineStr">
        <is>
          <t>MLB</t>
        </is>
      </c>
      <c r="F21" s="24" t="inlineStr">
        <is>
          <t>Tampa Bay Rays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-106</v>
      </c>
      <c r="M21" s="27" t="n">
        <v>1.943396</v>
      </c>
      <c r="N21" s="28" t="n">
        <v>0.514563</v>
      </c>
      <c r="O21" s="28" t="n">
        <v>0.550333</v>
      </c>
      <c r="P21" s="28" t="n">
        <v>0.05</v>
      </c>
      <c r="Q21" s="28" t="n">
        <v>0.03577</v>
      </c>
      <c r="R21" s="26" t="n">
        <v>35</v>
      </c>
      <c r="S21" s="29" t="n">
        <v>1</v>
      </c>
      <c r="T21" s="24" t="inlineStr">
        <is>
          <t>mlb-elo-trend-lr-v4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10</v>
      </c>
      <c r="Y21" s="25" t="n"/>
      <c r="Z21" s="26" t="n"/>
      <c r="AA21" s="28" t="n"/>
      <c r="AB21" s="28" t="n"/>
      <c r="AC21" s="30" t="n">
        <v>0.9434</v>
      </c>
      <c r="AD21" s="24" t="inlineStr">
        <is>
          <t>2026-07-19T12:18:56.423740+00:00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n"/>
      <c r="AL21" s="26" t="n"/>
      <c r="AM21" s="24" t="n"/>
      <c r="AN21" s="24" t="n"/>
      <c r="AO21" s="24" t="n"/>
      <c r="AP21" s="24" t="n"/>
      <c r="AQ21" s="24" t="n"/>
      <c r="AR21" s="24" t="n"/>
      <c r="AS21" s="24" t="n"/>
      <c r="AT21" s="24" t="n"/>
      <c r="AU21" s="24" t="n"/>
      <c r="AV21" s="24" t="n"/>
      <c r="AW21" s="24" t="n"/>
      <c r="AX21" s="24" t="n"/>
      <c r="AY21" s="24" t="n"/>
      <c r="AZ21" s="24" t="n"/>
      <c r="BA21" s="24" t="inlineStr">
        <is>
          <t>5224fb6ffbc9ddf8fa517627b830ac851192da94d241963d556945393a42bb9d</t>
        </is>
      </c>
      <c r="BB21" s="24" t="n"/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n"/>
      <c r="BF21" s="24" t="n"/>
      <c r="BG21" s="24" t="n"/>
      <c r="BH21" s="24" t="inlineStr">
        <is>
          <t>2026-07-17T16:26:03.970000Z</t>
        </is>
      </c>
      <c r="BI21" s="24" t="n"/>
      <c r="BJ21" s="25" t="n"/>
      <c r="BK21" s="26" t="n">
        <v>-106</v>
      </c>
      <c r="BL21" s="27" t="n">
        <v>1.943396</v>
      </c>
      <c r="BM21" s="28" t="n">
        <v>0.514563</v>
      </c>
      <c r="BN21" s="28" t="n">
        <v>0.5124379999999999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</row>
    <row r="22" ht="36" customHeight="1">
      <c r="A22" s="24" t="inlineStr">
        <is>
          <t>47dbb1641a0a4833</t>
        </is>
      </c>
      <c r="B22" s="24" t="inlineStr">
        <is>
          <t>2026-07-19T10:49:38.448695+00:00</t>
        </is>
      </c>
      <c r="C22" s="24" t="inlineStr">
        <is>
          <t>2026-07-17T19:10:00-0400</t>
        </is>
      </c>
      <c r="D22" s="24" t="inlineStr">
        <is>
          <t>Tamp-Bost-2026-07-17-G2</t>
        </is>
      </c>
      <c r="E22" s="24" t="inlineStr">
        <is>
          <t>MLB</t>
        </is>
      </c>
      <c r="F22" s="24" t="inlineStr">
        <is>
          <t>Tampa Bay Rays</t>
        </is>
      </c>
      <c r="G22" s="24" t="inlineStr">
        <is>
          <t>Boston Red Sox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-106</v>
      </c>
      <c r="M22" s="27" t="n">
        <v>1.943396</v>
      </c>
      <c r="N22" s="28" t="n">
        <v>0.514563</v>
      </c>
      <c r="O22" s="28" t="n">
        <v>0.550333</v>
      </c>
      <c r="P22" s="28" t="n">
        <v>0.05</v>
      </c>
      <c r="Q22" s="28" t="n">
        <v>0.03577</v>
      </c>
      <c r="R22" s="26" t="n">
        <v>35</v>
      </c>
      <c r="S22" s="29" t="n">
        <v>1</v>
      </c>
      <c r="T22" s="24" t="inlineStr">
        <is>
          <t>mlb-elo-trend-lr-v4</t>
        </is>
      </c>
      <c r="U22" s="24" t="inlineStr">
        <is>
          <t>settled</t>
        </is>
      </c>
      <c r="V22" s="24" t="inlineStr">
        <is>
          <t>win</t>
        </is>
      </c>
      <c r="W22" s="26" t="n">
        <v>3</v>
      </c>
      <c r="X22" s="26" t="n">
        <v>5</v>
      </c>
      <c r="Y22" s="25" t="n"/>
      <c r="Z22" s="26" t="n"/>
      <c r="AA22" s="28" t="n"/>
      <c r="AB22" s="28" t="n"/>
      <c r="AC22" s="30" t="n">
        <v>0.9434</v>
      </c>
      <c r="AD22" s="24" t="inlineStr">
        <is>
          <t>2026-07-19T12:18:56.423961+00:00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n"/>
      <c r="AL22" s="26" t="n"/>
      <c r="AM22" s="24" t="n"/>
      <c r="AN22" s="24" t="n"/>
      <c r="AO22" s="24" t="n"/>
      <c r="AP22" s="24" t="n"/>
      <c r="AQ22" s="24" t="n"/>
      <c r="AR22" s="24" t="n"/>
      <c r="AS22" s="24" t="n"/>
      <c r="AT22" s="24" t="n"/>
      <c r="AU22" s="24" t="n"/>
      <c r="AV22" s="24" t="n"/>
      <c r="AW22" s="24" t="n"/>
      <c r="AX22" s="24" t="n"/>
      <c r="AY22" s="24" t="n"/>
      <c r="AZ22" s="24" t="n"/>
      <c r="BA22" s="24" t="inlineStr">
        <is>
          <t>5224fb6ffbc9ddf8fa517627b830ac851192da94d241963d556945393a42bb9d</t>
        </is>
      </c>
      <c r="BB22" s="24" t="n"/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n"/>
      <c r="BF22" s="24" t="n"/>
      <c r="BG22" s="24" t="n"/>
      <c r="BH22" s="24" t="inlineStr">
        <is>
          <t>2026-07-17T16:26:03.970000Z</t>
        </is>
      </c>
      <c r="BI22" s="24" t="n"/>
      <c r="BJ22" s="25" t="n"/>
      <c r="BK22" s="26" t="n">
        <v>-106</v>
      </c>
      <c r="BL22" s="27" t="n">
        <v>1.943396</v>
      </c>
      <c r="BM22" s="28" t="n">
        <v>0.514563</v>
      </c>
      <c r="BN22" s="28" t="n">
        <v>0.5124379999999999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</row>
    <row r="23" ht="36" customHeight="1">
      <c r="A23" s="24" t="inlineStr">
        <is>
          <t>baee116aa2834b53</t>
        </is>
      </c>
      <c r="B23" s="24" t="inlineStr">
        <is>
          <t>2026-07-19T10:49:38.448695+00:00</t>
        </is>
      </c>
      <c r="C23" s="24" t="inlineStr">
        <is>
          <t>2026-07-17T19:40:00-0400</t>
        </is>
      </c>
      <c r="D23" s="24" t="inlineStr">
        <is>
          <t>Miam-Milw-2026-07-17</t>
        </is>
      </c>
      <c r="E23" s="24" t="inlineStr">
        <is>
          <t>MLB</t>
        </is>
      </c>
      <c r="F23" s="24" t="inlineStr">
        <is>
          <t>Miami Marlins</t>
        </is>
      </c>
      <c r="G23" s="24" t="inlineStr">
        <is>
          <t>Milwaukee Brewers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</t>
        </is>
      </c>
      <c r="L23" s="26" t="n">
        <v>-141</v>
      </c>
      <c r="M23" s="27" t="n">
        <v>1.70922</v>
      </c>
      <c r="N23" s="28" t="n">
        <v>0.585062</v>
      </c>
      <c r="O23" s="28" t="n">
        <v>0.616198</v>
      </c>
      <c r="P23" s="28" t="n">
        <v>0.05</v>
      </c>
      <c r="Q23" s="28" t="n">
        <v>0.031136</v>
      </c>
      <c r="R23" s="26" t="n">
        <v>31</v>
      </c>
      <c r="S23" s="29" t="n">
        <v>1.75</v>
      </c>
      <c r="T23" s="24" t="inlineStr">
        <is>
          <t>mlb-elo-trend-lr-v4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1</v>
      </c>
      <c r="X23" s="26" t="n">
        <v>2</v>
      </c>
      <c r="Y23" s="25" t="n"/>
      <c r="Z23" s="26" t="n"/>
      <c r="AA23" s="28" t="n"/>
      <c r="AB23" s="28" t="n"/>
      <c r="AC23" s="30" t="n">
        <v>1.2411</v>
      </c>
      <c r="AD23" s="24" t="inlineStr">
        <is>
          <t>2026-07-19T12:18:56.424573+00:00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n"/>
      <c r="AL23" s="26" t="n"/>
      <c r="AM23" s="24" t="n"/>
      <c r="AN23" s="24" t="n"/>
      <c r="AO23" s="24" t="n"/>
      <c r="AP23" s="24" t="n"/>
      <c r="AQ23" s="24" t="n"/>
      <c r="AR23" s="24" t="n"/>
      <c r="AS23" s="24" t="n"/>
      <c r="AT23" s="24" t="n"/>
      <c r="AU23" s="24" t="n"/>
      <c r="AV23" s="24" t="n"/>
      <c r="AW23" s="24" t="n"/>
      <c r="AX23" s="24" t="n"/>
      <c r="AY23" s="24" t="n"/>
      <c r="AZ23" s="24" t="n"/>
      <c r="BA23" s="24" t="inlineStr">
        <is>
          <t>5224fb6ffbc9ddf8fa517627b830ac851192da94d241963d556945393a42bb9d</t>
        </is>
      </c>
      <c r="BB23" s="24" t="n"/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n"/>
      <c r="BF23" s="24" t="n"/>
      <c r="BG23" s="24" t="n"/>
      <c r="BH23" s="24" t="inlineStr">
        <is>
          <t>2026-07-17T17:12:44.293402Z</t>
        </is>
      </c>
      <c r="BI23" s="24" t="n"/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</row>
    <row r="24" ht="36" customHeight="1">
      <c r="A24" s="24" t="inlineStr">
        <is>
          <t>509252032f1947b8</t>
        </is>
      </c>
      <c r="B24" s="24" t="inlineStr">
        <is>
          <t>2026-07-19T10:49:38.448695+00:00</t>
        </is>
      </c>
      <c r="C24" s="24" t="inlineStr">
        <is>
          <t>2026-07-17T20:05:00-0400</t>
        </is>
      </c>
      <c r="D24" s="24" t="inlineStr">
        <is>
          <t>Minn-Chic-2026-07-17</t>
        </is>
      </c>
      <c r="E24" s="24" t="inlineStr">
        <is>
          <t>MLB</t>
        </is>
      </c>
      <c r="F24" s="24" t="inlineStr">
        <is>
          <t>Minnesota Twins</t>
        </is>
      </c>
      <c r="G24" s="24" t="inlineStr">
        <is>
          <t>Chicago Cubs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</t>
        </is>
      </c>
      <c r="L24" s="26" t="n">
        <v>-133</v>
      </c>
      <c r="M24" s="27" t="n">
        <v>1.75188</v>
      </c>
      <c r="N24" s="28" t="n">
        <v>0.570815</v>
      </c>
      <c r="O24" s="28" t="n">
        <v>0.60271</v>
      </c>
      <c r="P24" s="28" t="n">
        <v>0.05</v>
      </c>
      <c r="Q24" s="28" t="n">
        <v>0.031895</v>
      </c>
      <c r="R24" s="26" t="n">
        <v>31</v>
      </c>
      <c r="S24" s="29" t="n">
        <v>1.5</v>
      </c>
      <c r="T24" s="24" t="inlineStr">
        <is>
          <t>mlb-elo-trend-lr-v4</t>
        </is>
      </c>
      <c r="U24" s="24" t="inlineStr">
        <is>
          <t>settled</t>
        </is>
      </c>
      <c r="V24" s="24" t="inlineStr">
        <is>
          <t>loss</t>
        </is>
      </c>
      <c r="W24" s="26" t="n">
        <v>5</v>
      </c>
      <c r="X24" s="26" t="n">
        <v>2</v>
      </c>
      <c r="Y24" s="25" t="n"/>
      <c r="Z24" s="26" t="n"/>
      <c r="AA24" s="28" t="n"/>
      <c r="AB24" s="28" t="n"/>
      <c r="AC24" s="30" t="n">
        <v>-1.5</v>
      </c>
      <c r="AD24" s="24" t="inlineStr">
        <is>
          <t>2026-07-19T12:18:56.424770+00:00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n"/>
      <c r="AL24" s="26" t="n"/>
      <c r="AM24" s="24" t="n"/>
      <c r="AN24" s="24" t="n"/>
      <c r="AO24" s="24" t="n"/>
      <c r="AP24" s="24" t="n"/>
      <c r="AQ24" s="24" t="n"/>
      <c r="AR24" s="24" t="n"/>
      <c r="AS24" s="24" t="n"/>
      <c r="AT24" s="24" t="n"/>
      <c r="AU24" s="24" t="n"/>
      <c r="AV24" s="24" t="n"/>
      <c r="AW24" s="24" t="n"/>
      <c r="AX24" s="24" t="n"/>
      <c r="AY24" s="24" t="n"/>
      <c r="AZ24" s="24" t="n"/>
      <c r="BA24" s="24" t="inlineStr">
        <is>
          <t>5224fb6ffbc9ddf8fa517627b830ac851192da94d241963d556945393a42bb9d</t>
        </is>
      </c>
      <c r="BB24" s="24" t="n"/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n"/>
      <c r="BF24" s="24" t="n"/>
      <c r="BG24" s="24" t="n"/>
      <c r="BH24" s="24" t="inlineStr">
        <is>
          <t>2026-07-17T17:12:44.967723Z</t>
        </is>
      </c>
      <c r="BI24" s="24" t="n"/>
      <c r="BJ24" s="25" t="n"/>
      <c r="BK24" s="26" t="n">
        <v>-133</v>
      </c>
      <c r="BL24" s="27" t="n">
        <v>1.75188</v>
      </c>
      <c r="BM24" s="28" t="n">
        <v>0.570815</v>
      </c>
      <c r="BN24" s="28" t="n">
        <v>0.567164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</row>
    <row r="25" ht="36" customHeight="1">
      <c r="A25" s="24" t="inlineStr">
        <is>
          <t>19647b771ec94081</t>
        </is>
      </c>
      <c r="B25" s="24" t="inlineStr">
        <is>
          <t>2026-07-19T10:49:38.448695+00:00</t>
        </is>
      </c>
      <c r="C25" s="24" t="inlineStr">
        <is>
          <t>2026-07-17T20:40:00-0400</t>
        </is>
      </c>
      <c r="D25" s="24" t="inlineStr">
        <is>
          <t>Cinc-Colo-2026-07-17</t>
        </is>
      </c>
      <c r="E25" s="24" t="inlineStr">
        <is>
          <t>MLB</t>
        </is>
      </c>
      <c r="F25" s="24" t="inlineStr">
        <is>
          <t>Cincinnati Reds</t>
        </is>
      </c>
      <c r="G25" s="24" t="inlineStr">
        <is>
          <t>Colorado Rockies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</t>
        </is>
      </c>
      <c r="L25" s="26" t="n">
        <v>104</v>
      </c>
      <c r="M25" s="27" t="n">
        <v>2.04</v>
      </c>
      <c r="N25" s="28" t="n">
        <v>0.490196</v>
      </c>
      <c r="O25" s="28" t="n">
        <v>0.582862</v>
      </c>
      <c r="P25" s="28" t="n">
        <v>0.05</v>
      </c>
      <c r="Q25" s="28" t="n">
        <v>0.092666</v>
      </c>
      <c r="R25" s="26" t="n">
        <v>92</v>
      </c>
      <c r="S25" s="29" t="n">
        <v>1.25</v>
      </c>
      <c r="T25" s="24" t="inlineStr">
        <is>
          <t>mlb-elo-trend-lr-v4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7</v>
      </c>
      <c r="X25" s="26" t="n">
        <v>2</v>
      </c>
      <c r="Y25" s="25" t="n"/>
      <c r="Z25" s="26" t="n"/>
      <c r="AA25" s="28" t="n"/>
      <c r="AB25" s="28" t="n"/>
      <c r="AC25" s="30" t="n">
        <v>1.3</v>
      </c>
      <c r="AD25" s="24" t="inlineStr">
        <is>
          <t>2026-07-19T12:18:56.425382+00:00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n"/>
      <c r="AL25" s="26" t="n"/>
      <c r="AM25" s="24" t="n"/>
      <c r="AN25" s="24" t="n"/>
      <c r="AO25" s="24" t="n"/>
      <c r="AP25" s="24" t="n"/>
      <c r="AQ25" s="24" t="n"/>
      <c r="AR25" s="24" t="n"/>
      <c r="AS25" s="24" t="n"/>
      <c r="AT25" s="24" t="n"/>
      <c r="AU25" s="24" t="n"/>
      <c r="AV25" s="24" t="n"/>
      <c r="AW25" s="24" t="n"/>
      <c r="AX25" s="24" t="n"/>
      <c r="AY25" s="24" t="n"/>
      <c r="AZ25" s="24" t="n"/>
      <c r="BA25" s="24" t="inlineStr">
        <is>
          <t>5224fb6ffbc9ddf8fa517627b830ac851192da94d241963d556945393a42bb9d</t>
        </is>
      </c>
      <c r="BB25" s="24" t="n"/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n"/>
      <c r="BF25" s="24" t="n"/>
      <c r="BG25" s="24" t="n"/>
      <c r="BH25" s="24" t="inlineStr">
        <is>
          <t>2026-07-17T16:26:11.935150Z</t>
        </is>
      </c>
      <c r="BI25" s="24" t="n"/>
      <c r="BJ25" s="25" t="n"/>
      <c r="BK25" s="26" t="n">
        <v>104</v>
      </c>
      <c r="BL25" s="27" t="n">
        <v>2.04</v>
      </c>
      <c r="BM25" s="28" t="n">
        <v>0.490196</v>
      </c>
      <c r="BN25" s="28" t="n">
        <v>0.487562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</row>
    <row r="26" ht="36" customHeight="1">
      <c r="A26" s="24" t="inlineStr">
        <is>
          <t>632575e6d24b409b</t>
        </is>
      </c>
      <c r="B26" s="24" t="inlineStr">
        <is>
          <t>2026-07-19T10:49:38.448695+00:00</t>
        </is>
      </c>
      <c r="C26" s="24" t="inlineStr">
        <is>
          <t>2026-07-17T21:38:00-0400</t>
        </is>
      </c>
      <c r="D26" s="24" t="inlineStr">
        <is>
          <t>Detr-LosA-2026-07-17</t>
        </is>
      </c>
      <c r="E26" s="24" t="inlineStr">
        <is>
          <t>MLB</t>
        </is>
      </c>
      <c r="F26" s="24" t="inlineStr">
        <is>
          <t>Detroit Tigers</t>
        </is>
      </c>
      <c r="G26" s="24" t="inlineStr">
        <is>
          <t>Los Angeles Angels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</t>
        </is>
      </c>
      <c r="L26" s="26" t="n">
        <v>-104</v>
      </c>
      <c r="M26" s="27" t="n">
        <v>1.961538</v>
      </c>
      <c r="N26" s="28" t="n">
        <v>0.509804</v>
      </c>
      <c r="O26" s="28" t="n">
        <v>0.550233</v>
      </c>
      <c r="P26" s="28" t="n">
        <v>0.05</v>
      </c>
      <c r="Q26" s="28" t="n">
        <v>0.040429</v>
      </c>
      <c r="R26" s="26" t="n">
        <v>40</v>
      </c>
      <c r="S26" s="29" t="n">
        <v>1</v>
      </c>
      <c r="T26" s="24" t="inlineStr">
        <is>
          <t>mlb-elo-trend-lr-v4</t>
        </is>
      </c>
      <c r="U26" s="24" t="inlineStr">
        <is>
          <t>settled</t>
        </is>
      </c>
      <c r="V26" s="24" t="inlineStr">
        <is>
          <t>win</t>
        </is>
      </c>
      <c r="W26" s="26" t="n">
        <v>2</v>
      </c>
      <c r="X26" s="26" t="n">
        <v>1</v>
      </c>
      <c r="Y26" s="25" t="n"/>
      <c r="Z26" s="26" t="n"/>
      <c r="AA26" s="28" t="n"/>
      <c r="AB26" s="28" t="n"/>
      <c r="AC26" s="30" t="n">
        <v>0.9615</v>
      </c>
      <c r="AD26" s="24" t="inlineStr">
        <is>
          <t>2026-07-19T12:18:56.425591+00:00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n"/>
      <c r="AL26" s="26" t="n"/>
      <c r="AM26" s="24" t="n"/>
      <c r="AN26" s="24" t="n"/>
      <c r="AO26" s="24" t="n"/>
      <c r="AP26" s="24" t="n"/>
      <c r="AQ26" s="24" t="n"/>
      <c r="AR26" s="24" t="n"/>
      <c r="AS26" s="24" t="n"/>
      <c r="AT26" s="24" t="n"/>
      <c r="AU26" s="24" t="n"/>
      <c r="AV26" s="24" t="n"/>
      <c r="AW26" s="24" t="n"/>
      <c r="AX26" s="24" t="n"/>
      <c r="AY26" s="24" t="n"/>
      <c r="AZ26" s="24" t="n"/>
      <c r="BA26" s="24" t="inlineStr">
        <is>
          <t>5224fb6ffbc9ddf8fa517627b830ac851192da94d241963d556945393a42bb9d</t>
        </is>
      </c>
      <c r="BB26" s="24" t="n"/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n"/>
      <c r="BF26" s="24" t="n"/>
      <c r="BG26" s="24" t="n"/>
      <c r="BH26" s="24" t="inlineStr">
        <is>
          <t>2026-07-17T16:26:12.761758Z</t>
        </is>
      </c>
      <c r="BI26" s="24" t="n"/>
      <c r="BJ26" s="25" t="n"/>
      <c r="BK26" s="26" t="n">
        <v>-104</v>
      </c>
      <c r="BL26" s="27" t="n">
        <v>1.961538</v>
      </c>
      <c r="BM26" s="28" t="n">
        <v>0.509804</v>
      </c>
      <c r="BN26" s="28" t="n">
        <v>0.507463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</row>
    <row r="27" ht="36" customHeight="1">
      <c r="A27" s="24" t="inlineStr">
        <is>
          <t>673ea47c54654f7f</t>
        </is>
      </c>
      <c r="B27" s="24" t="inlineStr">
        <is>
          <t>2026-07-19T10:49:38.448695+00:00</t>
        </is>
      </c>
      <c r="C27" s="24" t="inlineStr">
        <is>
          <t>2026-07-17T21:40:00-0400</t>
        </is>
      </c>
      <c r="D27" s="24" t="inlineStr">
        <is>
          <t>Wash-Athl-2026-07-17</t>
        </is>
      </c>
      <c r="E27" s="24" t="inlineStr">
        <is>
          <t>MLB</t>
        </is>
      </c>
      <c r="F27" s="24" t="inlineStr">
        <is>
          <t>Washington Nationals</t>
        </is>
      </c>
      <c r="G27" s="24" t="inlineStr">
        <is>
          <t>Athletics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120</v>
      </c>
      <c r="M27" s="27" t="n">
        <v>2.2</v>
      </c>
      <c r="N27" s="28" t="n">
        <v>0.454545</v>
      </c>
      <c r="O27" s="28" t="n">
        <v>0.530299</v>
      </c>
      <c r="P27" s="28" t="n">
        <v>0.05</v>
      </c>
      <c r="Q27" s="28" t="n">
        <v>0.075754</v>
      </c>
      <c r="R27" s="26" t="n">
        <v>75</v>
      </c>
      <c r="S27" s="29" t="n">
        <v>0.75</v>
      </c>
      <c r="T27" s="24" t="inlineStr">
        <is>
          <t>mlb-elo-trend-lr-v4</t>
        </is>
      </c>
      <c r="U27" s="24" t="inlineStr">
        <is>
          <t>settled</t>
        </is>
      </c>
      <c r="V27" s="24" t="inlineStr">
        <is>
          <t>loss</t>
        </is>
      </c>
      <c r="W27" s="26" t="n">
        <v>23</v>
      </c>
      <c r="X27" s="26" t="n">
        <v>4</v>
      </c>
      <c r="Y27" s="25" t="n"/>
      <c r="Z27" s="26" t="n"/>
      <c r="AA27" s="28" t="n"/>
      <c r="AB27" s="28" t="n"/>
      <c r="AC27" s="30" t="n">
        <v>-0.75</v>
      </c>
      <c r="AD27" s="24" t="inlineStr">
        <is>
          <t>2026-07-19T12:18:56.425781+00:00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n"/>
      <c r="AL27" s="26" t="n"/>
      <c r="AM27" s="24" t="n"/>
      <c r="AN27" s="24" t="n"/>
      <c r="AO27" s="24" t="n"/>
      <c r="AP27" s="24" t="n"/>
      <c r="AQ27" s="24" t="n"/>
      <c r="AR27" s="24" t="n"/>
      <c r="AS27" s="24" t="n"/>
      <c r="AT27" s="24" t="n"/>
      <c r="AU27" s="24" t="n"/>
      <c r="AV27" s="24" t="n"/>
      <c r="AW27" s="24" t="n"/>
      <c r="AX27" s="24" t="n"/>
      <c r="AY27" s="24" t="n"/>
      <c r="AZ27" s="24" t="n"/>
      <c r="BA27" s="24" t="inlineStr">
        <is>
          <t>5224fb6ffbc9ddf8fa517627b830ac851192da94d241963d556945393a42bb9d</t>
        </is>
      </c>
      <c r="BB27" s="24" t="n"/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n"/>
      <c r="BF27" s="24" t="n"/>
      <c r="BG27" s="24" t="n"/>
      <c r="BH27" s="24" t="inlineStr">
        <is>
          <t>2026-07-17T16:26:14.658660Z</t>
        </is>
      </c>
      <c r="BI27" s="24" t="n"/>
      <c r="BJ27" s="25" t="n"/>
      <c r="BK27" s="26" t="n">
        <v>120</v>
      </c>
      <c r="BL27" s="27" t="n">
        <v>2.2</v>
      </c>
      <c r="BM27" s="28" t="n">
        <v>0.454545</v>
      </c>
      <c r="BN27" s="28" t="n">
        <v>0.452736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</row>
    <row r="28" ht="36" customHeight="1">
      <c r="A28" s="24" t="inlineStr">
        <is>
          <t>f7bfb70dfae84f8f</t>
        </is>
      </c>
      <c r="B28" s="24" t="inlineStr">
        <is>
          <t>2026-07-19T10:49:38.448695+00:00</t>
        </is>
      </c>
      <c r="C28" s="24" t="inlineStr">
        <is>
          <t>2026-07-17T21:40:00-0400</t>
        </is>
      </c>
      <c r="D28" s="24" t="inlineStr">
        <is>
          <t>St.L-Ariz-2026-07-17</t>
        </is>
      </c>
      <c r="E28" s="24" t="inlineStr">
        <is>
          <t>MLB</t>
        </is>
      </c>
      <c r="F28" s="24" t="inlineStr">
        <is>
          <t>St. Louis Cardinals</t>
        </is>
      </c>
      <c r="G28" s="24" t="inlineStr">
        <is>
          <t>Arizona Diamondbacks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100</v>
      </c>
      <c r="M28" s="27" t="n">
        <v>2</v>
      </c>
      <c r="N28" s="28" t="n">
        <v>0.5</v>
      </c>
      <c r="O28" s="28" t="n">
        <v>0.525388</v>
      </c>
      <c r="P28" s="28" t="n">
        <v>0.05</v>
      </c>
      <c r="Q28" s="28" t="n">
        <v>0.025388</v>
      </c>
      <c r="R28" s="26" t="n">
        <v>25</v>
      </c>
      <c r="S28" s="29" t="n">
        <v>0.75</v>
      </c>
      <c r="T28" s="24" t="inlineStr">
        <is>
          <t>mlb-elo-trend-lr-v4</t>
        </is>
      </c>
      <c r="U28" s="24" t="inlineStr">
        <is>
          <t>settled</t>
        </is>
      </c>
      <c r="V28" s="24" t="inlineStr">
        <is>
          <t>loss</t>
        </is>
      </c>
      <c r="W28" s="26" t="n">
        <v>5</v>
      </c>
      <c r="X28" s="26" t="n">
        <v>4</v>
      </c>
      <c r="Y28" s="25" t="n"/>
      <c r="Z28" s="26" t="n"/>
      <c r="AA28" s="28" t="n"/>
      <c r="AB28" s="28" t="n"/>
      <c r="AC28" s="30" t="n">
        <v>-0.75</v>
      </c>
      <c r="AD28" s="24" t="inlineStr">
        <is>
          <t>2026-07-19T12:18:56.425985+00:00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n"/>
      <c r="AL28" s="26" t="n"/>
      <c r="AM28" s="24" t="n"/>
      <c r="AN28" s="24" t="n"/>
      <c r="AO28" s="24" t="n"/>
      <c r="AP28" s="24" t="n"/>
      <c r="AQ28" s="24" t="n"/>
      <c r="AR28" s="24" t="n"/>
      <c r="AS28" s="24" t="n"/>
      <c r="AT28" s="24" t="n"/>
      <c r="AU28" s="24" t="n"/>
      <c r="AV28" s="24" t="n"/>
      <c r="AW28" s="24" t="n"/>
      <c r="AX28" s="24" t="n"/>
      <c r="AY28" s="24" t="n"/>
      <c r="AZ28" s="24" t="n"/>
      <c r="BA28" s="24" t="inlineStr">
        <is>
          <t>5224fb6ffbc9ddf8fa517627b830ac851192da94d241963d556945393a42bb9d</t>
        </is>
      </c>
      <c r="BB28" s="24" t="n"/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n"/>
      <c r="BF28" s="24" t="n"/>
      <c r="BG28" s="24" t="n"/>
      <c r="BH28" s="24" t="inlineStr">
        <is>
          <t>2026-07-17T16:26:13.837104Z</t>
        </is>
      </c>
      <c r="BI28" s="24" t="n"/>
      <c r="BJ28" s="25" t="n"/>
      <c r="BK28" s="26" t="n">
        <v>100</v>
      </c>
      <c r="BL28" s="27" t="n">
        <v>2</v>
      </c>
      <c r="BM28" s="28" t="n">
        <v>0.5</v>
      </c>
      <c r="BN28" s="28" t="n">
        <v>0.497512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</row>
    <row r="29" ht="36" customHeight="1">
      <c r="A29" s="24" t="inlineStr">
        <is>
          <t>121539248eb44830</t>
        </is>
      </c>
      <c r="B29" s="24" t="inlineStr">
        <is>
          <t>2026-07-19T13:23:06.843442Z</t>
        </is>
      </c>
      <c r="C29" s="24" t="inlineStr">
        <is>
          <t>2026-07-19T17:35Z</t>
        </is>
      </c>
      <c r="D29" s="24" t="inlineStr">
        <is>
          <t>401816176</t>
        </is>
      </c>
      <c r="E29" s="24" t="inlineStr">
        <is>
          <t>MLB</t>
        </is>
      </c>
      <c r="F29" s="24" t="inlineStr">
        <is>
          <t>Texas Rangers</t>
        </is>
      </c>
      <c r="G29" s="24" t="inlineStr">
        <is>
          <t>Atlanta Braves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108</v>
      </c>
      <c r="M29" s="27" t="n">
        <v>2.08</v>
      </c>
      <c r="N29" s="28" t="n">
        <v>0.480769</v>
      </c>
      <c r="O29" s="28" t="n">
        <v>0.566738</v>
      </c>
      <c r="P29" s="28" t="n"/>
      <c r="Q29" s="28" t="n">
        <v>0.085969</v>
      </c>
      <c r="R29" s="26" t="n">
        <v>85</v>
      </c>
      <c r="S29" s="29" t="n">
        <v>1.25</v>
      </c>
      <c r="T29" s="24" t="inlineStr">
        <is>
          <t>mlb-elo-trend-lr-v4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1.35</v>
      </c>
      <c r="AD29" s="24" t="inlineStr">
        <is>
          <t>2026-07-19T21:31:35.621312Z</t>
        </is>
      </c>
      <c r="AE29" s="31" t="inlineStr">
        <is>
          <t>Learned LR call at threshold 0.5150; executable ask 0.4800 (aec-mlb-tex-atl-2026-07-19).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mlb-tex</t>
        </is>
      </c>
      <c r="AQ29" s="24" t="inlineStr">
        <is>
          <t>Texas Rangers</t>
        </is>
      </c>
      <c r="AR29" s="24" t="inlineStr">
        <is>
          <t>Texas Rangers</t>
        </is>
      </c>
      <c r="AS29" s="24" t="inlineStr">
        <is>
          <t>mlb-atl</t>
        </is>
      </c>
      <c r="AT29" s="24" t="inlineStr">
        <is>
          <t>Atlanta Braves</t>
        </is>
      </c>
      <c r="AU29" s="24" t="inlineStr">
        <is>
          <t>Atlanta Braves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94b28766e76410c6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2026-07-19T13:22:02.614593Z</t>
        </is>
      </c>
      <c r="BI29" s="24" t="inlineStr">
        <is>
          <t>["same_event","same_team_same_day","same_league_same_day"]</t>
        </is>
      </c>
      <c r="BJ29" s="25" t="n"/>
      <c r="BK29" s="26" t="n">
        <v>108</v>
      </c>
      <c r="BL29" s="27" t="n">
        <v>2.08</v>
      </c>
      <c r="BM29" s="28" t="n">
        <v>0.480769</v>
      </c>
      <c r="BN29" s="28" t="n">
        <v>0.477612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1.08</v>
      </c>
      <c r="BZ29" s="24" t="inlineStr">
        <is>
          <t>2026-07-19T21:31:35.621312Z</t>
        </is>
      </c>
      <c r="CA29" s="31" t="inlineStr">
        <is>
          <t>fixed one-unit hypothetical scoring; no real exposure or execution</t>
        </is>
      </c>
    </row>
    <row r="30" ht="36" customHeight="1">
      <c r="A30" s="24" t="inlineStr">
        <is>
          <t>4ee0f5bbef6b4559</t>
        </is>
      </c>
      <c r="B30" s="24" t="inlineStr">
        <is>
          <t>2026-07-19T13:23:06.843442Z</t>
        </is>
      </c>
      <c r="C30" s="24" t="inlineStr">
        <is>
          <t>2026-07-19T19:10Z</t>
        </is>
      </c>
      <c r="D30" s="24" t="inlineStr">
        <is>
          <t>401816181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Colorado Rockies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0.600425</v>
      </c>
      <c r="P30" s="28" t="n"/>
      <c r="Q30" s="28" t="n">
        <v>0.02961</v>
      </c>
      <c r="R30" s="26" t="n">
        <v>29</v>
      </c>
      <c r="S30" s="29" t="n">
        <v>1.5</v>
      </c>
      <c r="T30" s="24" t="inlineStr">
        <is>
          <t>mlb-elo-trend-lr-v4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9</v>
      </c>
      <c r="X30" s="26" t="n">
        <v>6</v>
      </c>
      <c r="Y30" s="25" t="n"/>
      <c r="Z30" s="26" t="n"/>
      <c r="AA30" s="28" t="n"/>
      <c r="AB30" s="28" t="n"/>
      <c r="AC30" s="30" t="n">
        <v>1.1278</v>
      </c>
      <c r="AD30" s="24" t="inlineStr">
        <is>
          <t>2026-07-19T22:14:31.386508Z</t>
        </is>
      </c>
      <c r="AE30" s="31" t="inlineStr">
        <is>
          <t>Learned LR call at threshold 0.5150; executable ask 0.5700 (aec-mlb-cin-col-2026-07-19).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mlb-col</t>
        </is>
      </c>
      <c r="AT30" s="24" t="inlineStr">
        <is>
          <t>Colorado Rockies</t>
        </is>
      </c>
      <c r="AU30" s="24" t="inlineStr">
        <is>
          <t>Colorado Rockies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b8bf91edb90bdfcb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2026-07-19T13:22:13.486376Z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>
        <v>0.567164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0.75188</v>
      </c>
      <c r="BZ30" s="24" t="inlineStr">
        <is>
          <t>2026-07-19T22:14:31.386508Z</t>
        </is>
      </c>
      <c r="CA30" s="31" t="inlineStr">
        <is>
          <t>fixed one-unit hypothetical scoring; no real exposure or execution</t>
        </is>
      </c>
    </row>
    <row r="31" ht="36" customHeight="1">
      <c r="A31" s="24" t="inlineStr">
        <is>
          <t>35cfaddd8fa54724</t>
        </is>
      </c>
      <c r="B31" s="24" t="inlineStr">
        <is>
          <t>2026-07-19T13:23:06.843442Z</t>
        </is>
      </c>
      <c r="C31" s="24" t="inlineStr">
        <is>
          <t>2026-07-19T20:05Z</t>
        </is>
      </c>
      <c r="D31" s="24" t="inlineStr">
        <is>
          <t>401816185</t>
        </is>
      </c>
      <c r="E31" s="24" t="inlineStr">
        <is>
          <t>MLB</t>
        </is>
      </c>
      <c r="F31" s="24" t="inlineStr">
        <is>
          <t>Washington Nationals</t>
        </is>
      </c>
      <c r="G31" s="24" t="inlineStr">
        <is>
          <t>Athletics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130</v>
      </c>
      <c r="M31" s="27" t="n">
        <v>2.3</v>
      </c>
      <c r="N31" s="28" t="n">
        <v>0.434783</v>
      </c>
      <c r="O31" s="28" t="n">
        <v>0.556646</v>
      </c>
      <c r="P31" s="28" t="n"/>
      <c r="Q31" s="28" t="n">
        <v>0.121863</v>
      </c>
      <c r="R31" s="26" t="n">
        <v>100</v>
      </c>
      <c r="S31" s="29" t="n">
        <v>1</v>
      </c>
      <c r="T31" s="24" t="inlineStr">
        <is>
          <t>mlb-elo-trend-lr-v4</t>
        </is>
      </c>
      <c r="U31" s="24" t="inlineStr">
        <is>
          <t>settled</t>
        </is>
      </c>
      <c r="V31" s="24" t="inlineStr">
        <is>
          <t>loss</t>
        </is>
      </c>
      <c r="W31" s="26" t="n">
        <v>5</v>
      </c>
      <c r="X31" s="26" t="n">
        <v>2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2026-07-19T23:07:45.507453Z</t>
        </is>
      </c>
      <c r="AE31" s="31" t="inlineStr">
        <is>
          <t>Learned LR call at threshold 0.5150; executable ask 0.4350 (aec-mlb-wsh-ath-2026-07-19).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mlb-wsh</t>
        </is>
      </c>
      <c r="AQ31" s="24" t="inlineStr">
        <is>
          <t>Washington Nationals</t>
        </is>
      </c>
      <c r="AR31" s="24" t="inlineStr">
        <is>
          <t>Washington Nationals</t>
        </is>
      </c>
      <c r="AS31" s="24" t="inlineStr">
        <is>
          <t>mlb-ath</t>
        </is>
      </c>
      <c r="AT31" s="24" t="inlineStr">
        <is>
          <t>Athletics</t>
        </is>
      </c>
      <c r="AU31" s="24" t="inlineStr">
        <is>
          <t>Athletics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47154d07c5727d94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2026-07-19T13:22:14.970065Z</t>
        </is>
      </c>
      <c r="BI31" s="24" t="inlineStr">
        <is>
          <t>["same_event","same_team_same_day","same_league_same_day"]</t>
        </is>
      </c>
      <c r="BJ31" s="25" t="n"/>
      <c r="BK31" s="26" t="n">
        <v>130</v>
      </c>
      <c r="BL31" s="27" t="n">
        <v>2.3</v>
      </c>
      <c r="BM31" s="28" t="n">
        <v>0.434783</v>
      </c>
      <c r="BN31" s="28" t="n">
        <v>0.432836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2026-07-19T23:07:45.507453Z</t>
        </is>
      </c>
      <c r="CA31" s="31" t="inlineStr">
        <is>
          <t>fixed one-unit hypothetical scoring; no real exposure or execution</t>
        </is>
      </c>
    </row>
    <row r="32" ht="36" customHeight="1">
      <c r="A32" s="24" t="inlineStr">
        <is>
          <t>ad621924660a4d49</t>
        </is>
      </c>
      <c r="B32" s="24" t="inlineStr">
        <is>
          <t>2026-07-20T15:44:08.951770Z</t>
        </is>
      </c>
      <c r="C32" s="24" t="inlineStr">
        <is>
          <t>2026-07-20T18:40:00-0400</t>
        </is>
      </c>
      <c r="D32" s="24" t="inlineStr">
        <is>
          <t>401816188</t>
        </is>
      </c>
      <c r="E32" s="24" t="inlineStr">
        <is>
          <t>MLB</t>
        </is>
      </c>
      <c r="F32" s="24" t="inlineStr">
        <is>
          <t>Minnesota Twins</t>
        </is>
      </c>
      <c r="G32" s="24" t="inlineStr">
        <is>
          <t>Cleveland Guardians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113</v>
      </c>
      <c r="M32" s="27" t="n">
        <v>2.13</v>
      </c>
      <c r="N32" s="28" t="n">
        <v>0.469484</v>
      </c>
      <c r="O32" s="28" t="n">
        <v>0.5726869999999999</v>
      </c>
      <c r="P32" s="28" t="n"/>
      <c r="Q32" s="28" t="n">
        <v>0.103203</v>
      </c>
      <c r="R32" s="26" t="n">
        <v>100</v>
      </c>
      <c r="S32" s="29" t="n">
        <v>1.25</v>
      </c>
      <c r="T32" s="24" t="inlineStr">
        <is>
          <t>mlb-elo-trend-lr-v4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Learned LR call at threshold 0.5500; executable ask 0.4700 (aec-mlb-min-cle-2026-07-20).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NO_CALL_LARGE_DISAGREEMENT_REVIEW</t>
        </is>
      </c>
      <c r="AP32" s="24" t="inlineStr">
        <is>
          <t>mlb-min</t>
        </is>
      </c>
      <c r="AQ32" s="24" t="inlineStr">
        <is>
          <t>Minnesota Twins</t>
        </is>
      </c>
      <c r="AR32" s="24" t="inlineStr">
        <is>
          <t>Minnesota Twins</t>
        </is>
      </c>
      <c r="AS32" s="24" t="inlineStr">
        <is>
          <t>mlb-cle</t>
        </is>
      </c>
      <c r="AT32" s="24" t="inlineStr">
        <is>
          <t>Cleveland Guardians</t>
        </is>
      </c>
      <c r="AU32" s="24" t="inlineStr">
        <is>
          <t>Cleveland Guardians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2170ac399ced5417</t>
        </is>
      </c>
      <c r="BF32" s="24" t="inlineStr">
        <is>
          <t>1</t>
        </is>
      </c>
      <c r="BG32" s="24" t="inlineStr">
        <is>
          <t>mlb-elo-trend-lr-v4</t>
        </is>
      </c>
      <c r="BH32" s="24" t="inlineStr">
        <is>
          <t>2026-07-20T15:40:37.473344Z</t>
        </is>
      </c>
      <c r="BI32" s="24" t="inlineStr">
        <is>
          <t>["same_event","same_team_same_day","same_league_same_day"]</t>
        </is>
      </c>
      <c r="BJ32" s="25" t="n"/>
      <c r="BK32" s="26" t="n">
        <v>113</v>
      </c>
      <c r="BL32" s="27" t="n">
        <v>2.13</v>
      </c>
      <c r="BM32" s="28" t="n">
        <v>0.469484</v>
      </c>
      <c r="BN32" s="28" t="n">
        <v>0.467662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</row>
    <row r="33" ht="36" customHeight="1">
      <c r="A33" s="24" t="inlineStr">
        <is>
          <t>a72d0dab60924d62</t>
        </is>
      </c>
      <c r="B33" s="24" t="inlineStr">
        <is>
          <t>2026-07-20T15:44:08.951770Z</t>
        </is>
      </c>
      <c r="C33" s="24" t="inlineStr">
        <is>
          <t>2026-07-20T19:05:00-0400</t>
        </is>
      </c>
      <c r="D33" s="24" t="inlineStr">
        <is>
          <t>401816189</t>
        </is>
      </c>
      <c r="E33" s="24" t="inlineStr">
        <is>
          <t>MLB</t>
        </is>
      </c>
      <c r="F33" s="24" t="inlineStr">
        <is>
          <t>Pittsburgh Pirates</t>
        </is>
      </c>
      <c r="G33" s="24" t="inlineStr">
        <is>
          <t>New York Yankees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-108</v>
      </c>
      <c r="M33" s="27" t="n">
        <v>1.925926</v>
      </c>
      <c r="N33" s="28" t="n">
        <v>0.519231</v>
      </c>
      <c r="O33" s="28" t="n">
        <v>0.578558</v>
      </c>
      <c r="P33" s="28" t="n"/>
      <c r="Q33" s="28" t="n">
        <v>0.059327</v>
      </c>
      <c r="R33" s="26" t="n">
        <v>50</v>
      </c>
      <c r="S33" s="29" t="n">
        <v>1.25</v>
      </c>
      <c r="T33" s="24" t="inlineStr">
        <is>
          <t>mlb-elo-trend-lr-v4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Learned LR call at threshold 0.5500; executable ask 0.5200 (aec-mlb-pit-nyy-2026-07-20).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mlb-pit</t>
        </is>
      </c>
      <c r="AQ33" s="24" t="inlineStr">
        <is>
          <t>Pittsburgh Pirates</t>
        </is>
      </c>
      <c r="AR33" s="24" t="inlineStr">
        <is>
          <t>Pittsburgh Pirates</t>
        </is>
      </c>
      <c r="AS33" s="24" t="inlineStr">
        <is>
          <t>mlb-nyy</t>
        </is>
      </c>
      <c r="AT33" s="24" t="inlineStr">
        <is>
          <t>New York Yankees</t>
        </is>
      </c>
      <c r="AU33" s="24" t="inlineStr">
        <is>
          <t>New York Yankees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38ab7db5a3798f0c</t>
        </is>
      </c>
      <c r="BF33" s="24" t="inlineStr">
        <is>
          <t>1</t>
        </is>
      </c>
      <c r="BG33" s="24" t="inlineStr">
        <is>
          <t>mlb-elo-trend-lr-v4</t>
        </is>
      </c>
      <c r="BH33" s="24" t="inlineStr">
        <is>
          <t>2026-07-20T15:40:38.983839Z</t>
        </is>
      </c>
      <c r="BI33" s="24" t="inlineStr">
        <is>
          <t>["same_event","same_team_same_day","same_league_same_day"]</t>
        </is>
      </c>
      <c r="BJ33" s="25" t="n"/>
      <c r="BK33" s="26" t="n">
        <v>-108</v>
      </c>
      <c r="BL33" s="27" t="n">
        <v>1.925926</v>
      </c>
      <c r="BM33" s="28" t="n">
        <v>0.519231</v>
      </c>
      <c r="BN33" s="28" t="n">
        <v>0.517413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</row>
    <row r="34" ht="36" customHeight="1">
      <c r="A34" s="24" t="inlineStr">
        <is>
          <t>f96e5bd1ebcc4c62</t>
        </is>
      </c>
      <c r="B34" s="24" t="inlineStr">
        <is>
          <t>2026-07-20T15:44:08.951770Z</t>
        </is>
      </c>
      <c r="C34" s="24" t="inlineStr">
        <is>
          <t>2026-07-20T20:05:00-0400</t>
        </is>
      </c>
      <c r="D34" s="24" t="inlineStr">
        <is>
          <t>401816193</t>
        </is>
      </c>
      <c r="E34" s="24" t="inlineStr">
        <is>
          <t>MLB</t>
        </is>
      </c>
      <c r="F34" s="24" t="inlineStr">
        <is>
          <t>Detroit Tigers</t>
        </is>
      </c>
      <c r="G34" s="24" t="inlineStr">
        <is>
          <t>Chicago Cubs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-108</v>
      </c>
      <c r="M34" s="27" t="n">
        <v>1.925926</v>
      </c>
      <c r="N34" s="28" t="n">
        <v>0.519231</v>
      </c>
      <c r="O34" s="28" t="n">
        <v>0.566967</v>
      </c>
      <c r="P34" s="28" t="n"/>
      <c r="Q34" s="28" t="n">
        <v>0.047736</v>
      </c>
      <c r="R34" s="26" t="n">
        <v>44</v>
      </c>
      <c r="S34" s="29" t="n">
        <v>1.25</v>
      </c>
      <c r="T34" s="24" t="inlineStr">
        <is>
          <t>mlb-elo-trend-lr-v4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Learned LR call at threshold 0.5500; executable ask 0.5200 (aec-mlb-det-chc-2026-07-20).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mlb-det</t>
        </is>
      </c>
      <c r="AQ34" s="24" t="inlineStr">
        <is>
          <t>Detroit Tigers</t>
        </is>
      </c>
      <c r="AR34" s="24" t="inlineStr">
        <is>
          <t>Detroit Tigers</t>
        </is>
      </c>
      <c r="AS34" s="24" t="inlineStr">
        <is>
          <t>mlb-chc</t>
        </is>
      </c>
      <c r="AT34" s="24" t="inlineStr">
        <is>
          <t>Chicago Cubs</t>
        </is>
      </c>
      <c r="AU34" s="24" t="inlineStr">
        <is>
          <t>Chicago Cubs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b84afb2c70e14d93</t>
        </is>
      </c>
      <c r="BF34" s="24" t="inlineStr">
        <is>
          <t>1</t>
        </is>
      </c>
      <c r="BG34" s="24" t="inlineStr">
        <is>
          <t>mlb-elo-trend-lr-v4</t>
        </is>
      </c>
      <c r="BH34" s="24" t="inlineStr">
        <is>
          <t>2026-07-20T15:40:51.564498Z</t>
        </is>
      </c>
      <c r="BI34" s="24" t="inlineStr">
        <is>
          <t>["same_event","same_team_same_day","same_league_same_day"]</t>
        </is>
      </c>
      <c r="BJ34" s="25" t="n"/>
      <c r="BK34" s="26" t="n">
        <v>-108</v>
      </c>
      <c r="BL34" s="27" t="n">
        <v>1.925926</v>
      </c>
      <c r="BM34" s="28" t="n">
        <v>0.519231</v>
      </c>
      <c r="BN34" s="28" t="n">
        <v>0.5148509999999999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</row>
    <row r="35" ht="36" customHeight="1">
      <c r="A35" s="24" t="inlineStr">
        <is>
          <t>147749d13cbd4451</t>
        </is>
      </c>
      <c r="B35" s="24" t="inlineStr">
        <is>
          <t>2026-07-20T15:44:12.511288Z</t>
        </is>
      </c>
      <c r="C35" s="24" t="inlineStr">
        <is>
          <t>2026-07-20T20:00:00-0400</t>
        </is>
      </c>
      <c r="D35" s="24" t="inlineStr">
        <is>
          <t>401892393</t>
        </is>
      </c>
      <c r="E35" s="24" t="inlineStr">
        <is>
          <t>WNBA</t>
        </is>
      </c>
      <c r="F35" s="24" t="inlineStr">
        <is>
          <t>New York Liberty</t>
        </is>
      </c>
      <c r="G35" s="24" t="inlineStr">
        <is>
          <t>Dallas Wings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150</v>
      </c>
      <c r="M35" s="27" t="n">
        <v>2.5</v>
      </c>
      <c r="N35" s="28" t="n">
        <v>0.4</v>
      </c>
      <c r="O35" s="28" t="n">
        <v>0.688998</v>
      </c>
      <c r="P35" s="28" t="n"/>
      <c r="Q35" s="28" t="n">
        <v>0.288998</v>
      </c>
      <c r="R35" s="26" t="n">
        <v>100</v>
      </c>
      <c r="S35" s="29" t="n">
        <v>2</v>
      </c>
      <c r="T35" s="24" t="inlineStr">
        <is>
          <t>wnba-elo-trend-lr-v3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Learned LR call at threshold 0.5051; executable ask 0.4000 (aec-wnba-ny-dal-2026-07-20).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wnba-nyl</t>
        </is>
      </c>
      <c r="AQ35" s="24" t="inlineStr">
        <is>
          <t>New York Liberty</t>
        </is>
      </c>
      <c r="AR35" s="24" t="inlineStr">
        <is>
          <t>New York Liberty</t>
        </is>
      </c>
      <c r="AS35" s="24" t="inlineStr">
        <is>
          <t>wnba-dal</t>
        </is>
      </c>
      <c r="AT35" s="24" t="inlineStr">
        <is>
          <t>Dallas Wings</t>
        </is>
      </c>
      <c r="AU35" s="24" t="inlineStr">
        <is>
          <t>Dallas Wings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43ee2f84f025c10f83f80a8c22d49c35c420734a8a730b5f272287225cceee4b</t>
        </is>
      </c>
      <c r="BB35" s="24" t="inlineStr">
        <is>
          <t>learned_lr</t>
        </is>
      </c>
      <c r="BC35" s="24" t="inlineStr">
        <is>
          <t>wnba-elo-trend-lr-v3</t>
        </is>
      </c>
      <c r="BD35" s="24" t="inlineStr">
        <is>
          <t>43ee2f84f025c10f83f80a8c22d49c35c420734a8a730b5f272287225cceee4b</t>
        </is>
      </c>
      <c r="BE35" s="24" t="inlineStr">
        <is>
          <t>c20bbb99f1fff741</t>
        </is>
      </c>
      <c r="BF35" s="24" t="inlineStr">
        <is>
          <t>1</t>
        </is>
      </c>
      <c r="BG35" s="24" t="inlineStr">
        <is>
          <t>wnba-elo-trend-lr-v3</t>
        </is>
      </c>
      <c r="BH35" s="24" t="inlineStr">
        <is>
          <t>2026-07-20T15:41:03.863692Z</t>
        </is>
      </c>
      <c r="BI35" s="24" t="inlineStr">
        <is>
          <t>["same_event","same_team_same_day","same_league_same_day"]</t>
        </is>
      </c>
      <c r="BJ35" s="25" t="n"/>
      <c r="BK35" s="26" t="n">
        <v>150</v>
      </c>
      <c r="BL35" s="27" t="n">
        <v>2.5</v>
      </c>
      <c r="BM35" s="28" t="n">
        <v>0.4</v>
      </c>
      <c r="BN35" s="28" t="n">
        <v>0.39604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</row>
    <row r="36" ht="36" customHeight="1">
      <c r="A36" s="24" t="inlineStr">
        <is>
          <t>c799abfe71704ed8</t>
        </is>
      </c>
      <c r="B36" s="24" t="inlineStr">
        <is>
          <t>2026-07-20T16:42:59.632078Z</t>
        </is>
      </c>
      <c r="C36" s="24" t="inlineStr">
        <is>
          <t>2026-07-20T20:00:00Z</t>
        </is>
      </c>
      <c r="D36" s="24" t="inlineStr">
        <is>
          <t>54491</t>
        </is>
      </c>
      <c r="E36" s="24" t="inlineStr">
        <is>
          <t>LOL</t>
        </is>
      </c>
      <c r="F36" s="24" t="inlineStr">
        <is>
          <t>KaBuM! Ilha das Lendas</t>
        </is>
      </c>
      <c r="G36" s="24" t="inlineStr">
        <is>
          <t>Vivo Keyd Stars Academy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144</v>
      </c>
      <c r="M36" s="27" t="n">
        <v>2.44</v>
      </c>
      <c r="N36" s="28" t="n">
        <v>0.409836</v>
      </c>
      <c r="O36" s="28" t="n">
        <v>0.597574</v>
      </c>
      <c r="P36" s="28" t="n"/>
      <c r="Q36" s="28" t="n">
        <v>0.187574</v>
      </c>
      <c r="R36" s="26" t="n">
        <v>100</v>
      </c>
      <c r="S36" s="29" t="n">
        <v>1.5</v>
      </c>
      <c r="T36" s="24" t="inlineStr">
        <is>
          <t>lol-neutral-series-elo-v1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0.4100 (aec-lol-vksa-kbm-2026-07-20).</t>
        </is>
      </c>
      <c r="AF36" s="31" t="inlineStr">
        <is>
          <t>Research baseline; zero-unit shadow until qualified.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KaBuM! Ilha das Lendas</t>
        </is>
      </c>
      <c r="AQ36" s="24" t="inlineStr">
        <is>
          <t>KaBuM! Ilha das Lendas</t>
        </is>
      </c>
      <c r="AR36" s="24" t="inlineStr">
        <is>
          <t>KaBuM! Ilha das Lendas</t>
        </is>
      </c>
      <c r="AS36" s="24" t="inlineStr">
        <is>
          <t>Vivo Keyd Stars Academy</t>
        </is>
      </c>
      <c r="AT36" s="24" t="inlineStr">
        <is>
          <t>Vivo Keyd Stars Academy</t>
        </is>
      </c>
      <c r="AU36" s="24" t="inlineStr">
        <is>
          <t>Vivo Keyd Stars Academy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4657ea085a2e161ea0063f513a6bf98a7c01549b126f36526876e6d6a2152307</t>
        </is>
      </c>
      <c r="BB36" s="24" t="inlineStr">
        <is>
          <t>neutral_elo</t>
        </is>
      </c>
      <c r="BC36" s="24" t="inlineStr">
        <is>
          <t>lol-neutral-series-elo-v1</t>
        </is>
      </c>
      <c r="BD36" s="24" t="inlineStr">
        <is>
          <t>4657ea085a2e161ea0063f513a6bf98a7c01549b126f36526876e6d6a2152307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unknown</t>
        </is>
      </c>
      <c r="BH36" s="24" t="inlineStr">
        <is>
          <t>2026-07-20T16:42:59.632078Z</t>
        </is>
      </c>
      <c r="BI36" s="24" t="inlineStr">
        <is>
          <t>["same_event","same_team_same_day","same_league_same_day"]</t>
        </is>
      </c>
      <c r="BJ36" s="25" t="n"/>
      <c r="BK36" s="26" t="n">
        <v>144</v>
      </c>
      <c r="BL36" s="27" t="n">
        <v>2.44</v>
      </c>
      <c r="BM36" s="28" t="n">
        <v>0.409836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</row>
    <row r="37" ht="36" customHeight="1">
      <c r="A37" s="24" t="inlineStr">
        <is>
          <t>88e300838c684314</t>
        </is>
      </c>
      <c r="B37" s="24" t="inlineStr">
        <is>
          <t>2026-07-20T16:42:59.757524Z</t>
        </is>
      </c>
      <c r="C37" s="24" t="inlineStr">
        <is>
          <t>2026-07-20T21:00:00Z</t>
        </is>
      </c>
      <c r="D37" s="24" t="inlineStr">
        <is>
          <t>54670</t>
        </is>
      </c>
      <c r="E37" s="24" t="inlineStr">
        <is>
          <t>LOL</t>
        </is>
      </c>
      <c r="F37" s="24" t="inlineStr">
        <is>
          <t>INTZ e-Sports</t>
        </is>
      </c>
      <c r="G37" s="24" t="inlineStr">
        <is>
          <t>7REX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186</v>
      </c>
      <c r="M37" s="27" t="n">
        <v>2.86</v>
      </c>
      <c r="N37" s="28" t="n">
        <v>0.34965</v>
      </c>
      <c r="O37" s="28" t="n">
        <v>0.597891</v>
      </c>
      <c r="P37" s="28" t="n"/>
      <c r="Q37" s="28" t="n">
        <v>0.247891</v>
      </c>
      <c r="R37" s="26" t="n">
        <v>100</v>
      </c>
      <c r="S37" s="29" t="n">
        <v>1.5</v>
      </c>
      <c r="T37" s="24" t="inlineStr">
        <is>
          <t>lol-neutral-series-elo-v1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0.3500 (aec-lol-itz-7rex-2026-07-20).</t>
        </is>
      </c>
      <c r="AF37" s="31" t="inlineStr">
        <is>
          <t>Research baseline; zero-unit shadow until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INTZ e-Sports</t>
        </is>
      </c>
      <c r="AQ37" s="24" t="inlineStr">
        <is>
          <t>INTZ e-Sports</t>
        </is>
      </c>
      <c r="AR37" s="24" t="inlineStr">
        <is>
          <t>INTZ e-Sports</t>
        </is>
      </c>
      <c r="AS37" s="24" t="inlineStr">
        <is>
          <t>7REX</t>
        </is>
      </c>
      <c r="AT37" s="24" t="inlineStr">
        <is>
          <t>7REX</t>
        </is>
      </c>
      <c r="AU37" s="24" t="inlineStr">
        <is>
          <t>7REX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4657ea085a2e161ea0063f513a6bf98a7c01549b126f36526876e6d6a2152307</t>
        </is>
      </c>
      <c r="BB37" s="24" t="inlineStr">
        <is>
          <t>neutral_elo</t>
        </is>
      </c>
      <c r="BC37" s="24" t="inlineStr">
        <is>
          <t>lol-neutral-series-elo-v1</t>
        </is>
      </c>
      <c r="BD37" s="24" t="inlineStr">
        <is>
          <t>4657ea085a2e161ea0063f513a6bf98a7c01549b126f36526876e6d6a2152307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unknown</t>
        </is>
      </c>
      <c r="BH37" s="24" t="inlineStr">
        <is>
          <t>2026-07-20T16:42:59.757524Z</t>
        </is>
      </c>
      <c r="BI37" s="24" t="inlineStr">
        <is>
          <t>["same_event","same_team_same_day","same_league_same_day"]</t>
        </is>
      </c>
      <c r="BJ37" s="25" t="n"/>
      <c r="BK37" s="26" t="n">
        <v>186</v>
      </c>
      <c r="BL37" s="27" t="n">
        <v>2.86</v>
      </c>
      <c r="BM37" s="28" t="n">
        <v>0.34965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</row>
    <row r="38" ht="36" customHeight="1">
      <c r="A38" s="24" t="inlineStr">
        <is>
          <t>6fc69d654df04854</t>
        </is>
      </c>
      <c r="B38" s="24" t="inlineStr">
        <is>
          <t>2026-07-20T16:43:06.018541Z</t>
        </is>
      </c>
      <c r="C38" s="24" t="inlineStr">
        <is>
          <t>2026-07-20T17:00:00Z</t>
        </is>
      </c>
      <c r="D38" s="24" t="inlineStr">
        <is>
          <t>56113</t>
        </is>
      </c>
      <c r="E38" s="24" t="inlineStr">
        <is>
          <t>CS2</t>
        </is>
      </c>
      <c r="F38" s="24" t="inlineStr">
        <is>
          <t>Inner Circle Academy</t>
        </is>
      </c>
      <c r="G38" s="24" t="inlineStr">
        <is>
          <t>Endless Journey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223</v>
      </c>
      <c r="M38" s="27" t="n">
        <v>3.23</v>
      </c>
      <c r="N38" s="28" t="n">
        <v>0.309598</v>
      </c>
      <c r="O38" s="28" t="n">
        <v>0.599201</v>
      </c>
      <c r="P38" s="28" t="n"/>
      <c r="Q38" s="28" t="n">
        <v>0.289201</v>
      </c>
      <c r="R38" s="26" t="n">
        <v>100</v>
      </c>
      <c r="S38" s="29" t="n">
        <v>1.5</v>
      </c>
      <c r="T38" s="24" t="inlineStr">
        <is>
          <t>cs2-neutral-series-elo-v1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0.3100 (aec-cs2-ica-ej-2026-07-20).</t>
        </is>
      </c>
      <c r="AF38" s="31" t="inlineStr">
        <is>
          <t>Research baseline; zero-unit shadow until qualified.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Inner Circle Academy</t>
        </is>
      </c>
      <c r="AQ38" s="24" t="inlineStr">
        <is>
          <t>Inner Circle Academy</t>
        </is>
      </c>
      <c r="AR38" s="24" t="inlineStr">
        <is>
          <t>Inner Circle Academy</t>
        </is>
      </c>
      <c r="AS38" s="24" t="inlineStr">
        <is>
          <t>Endless Journey</t>
        </is>
      </c>
      <c r="AT38" s="24" t="inlineStr">
        <is>
          <t>Endless Journey</t>
        </is>
      </c>
      <c r="AU38" s="24" t="inlineStr">
        <is>
          <t>Endless Journey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8ec29f8dd1985b5dbc96c1339c99e2a2129c4afa4af6efce101e4f76d99dce85</t>
        </is>
      </c>
      <c r="BB38" s="24" t="inlineStr">
        <is>
          <t>neutral_elo</t>
        </is>
      </c>
      <c r="BC38" s="24" t="inlineStr">
        <is>
          <t>cs2-neutral-series-elo-v1</t>
        </is>
      </c>
      <c r="BD38" s="24" t="inlineStr">
        <is>
          <t>8ec29f8dd1985b5dbc96c1339c99e2a2129c4afa4af6efce101e4f76d99dce85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unknown</t>
        </is>
      </c>
      <c r="BH38" s="24" t="inlineStr">
        <is>
          <t>2026-07-20T16:43:06.018541Z</t>
        </is>
      </c>
      <c r="BI38" s="24" t="inlineStr">
        <is>
          <t>["same_event","same_team_same_day","same_league_same_day"]</t>
        </is>
      </c>
      <c r="BJ38" s="25" t="n"/>
      <c r="BK38" s="26" t="n">
        <v>223</v>
      </c>
      <c r="BL38" s="27" t="n">
        <v>3.23</v>
      </c>
      <c r="BM38" s="28" t="n">
        <v>0.309598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</row>
    <row r="39" ht="36" customHeight="1">
      <c r="A39" s="24" t="inlineStr">
        <is>
          <t>eab33644ea2b4fc1</t>
        </is>
      </c>
      <c r="B39" s="24" t="inlineStr">
        <is>
          <t>2026-07-20T16:43:06.145847Z</t>
        </is>
      </c>
      <c r="C39" s="24" t="inlineStr">
        <is>
          <t>2026-07-20T21:00:00Z</t>
        </is>
      </c>
      <c r="D39" s="24" t="inlineStr">
        <is>
          <t>54672</t>
        </is>
      </c>
      <c r="E39" s="24" t="inlineStr">
        <is>
          <t>CS2</t>
        </is>
      </c>
      <c r="F39" s="24" t="inlineStr">
        <is>
          <t>METANOIA WOLVES</t>
        </is>
      </c>
      <c r="G39" s="24" t="inlineStr">
        <is>
          <t>RED Canids Academy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-144</v>
      </c>
      <c r="M39" s="27" t="n">
        <v>1.694444</v>
      </c>
      <c r="N39" s="28" t="n">
        <v>0.590164</v>
      </c>
      <c r="O39" s="28" t="n">
        <v>0.719007</v>
      </c>
      <c r="P39" s="28" t="n"/>
      <c r="Q39" s="28" t="n">
        <v>0.129007</v>
      </c>
      <c r="R39" s="26" t="n">
        <v>100</v>
      </c>
      <c r="S39" s="29" t="n">
        <v>2</v>
      </c>
      <c r="T39" s="24" t="inlineStr">
        <is>
          <t>cs2-neutral-series-elo-v1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0.5900 (aec-cs2-reda-mw-2026-07-20).</t>
        </is>
      </c>
      <c r="AF39" s="31" t="inlineStr">
        <is>
          <t>Research baseline; zero-unit shadow until qualified.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METANOIA WOLVES</t>
        </is>
      </c>
      <c r="AQ39" s="24" t="inlineStr">
        <is>
          <t>METANOIA WOLVES</t>
        </is>
      </c>
      <c r="AR39" s="24" t="inlineStr">
        <is>
          <t>METANOIA WOLVES</t>
        </is>
      </c>
      <c r="AS39" s="24" t="inlineStr">
        <is>
          <t>RED Canids Academy</t>
        </is>
      </c>
      <c r="AT39" s="24" t="inlineStr">
        <is>
          <t>RED Canids Academy</t>
        </is>
      </c>
      <c r="AU39" s="24" t="inlineStr">
        <is>
          <t>RED Canids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8ec29f8dd1985b5dbc96c1339c99e2a2129c4afa4af6efce101e4f76d99dce85</t>
        </is>
      </c>
      <c r="BB39" s="24" t="inlineStr">
        <is>
          <t>neutral_elo</t>
        </is>
      </c>
      <c r="BC39" s="24" t="inlineStr">
        <is>
          <t>cs2-neutral-series-elo-v1</t>
        </is>
      </c>
      <c r="BD39" s="24" t="inlineStr">
        <is>
          <t>8ec29f8dd1985b5dbc96c1339c99e2a2129c4afa4af6efce101e4f76d99dce85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unknown</t>
        </is>
      </c>
      <c r="BH39" s="24" t="inlineStr">
        <is>
          <t>2026-07-20T16:43:06.145847Z</t>
        </is>
      </c>
      <c r="BI39" s="24" t="inlineStr">
        <is>
          <t>["same_event","same_team_same_day","same_league_same_day"]</t>
        </is>
      </c>
      <c r="BJ39" s="25" t="n"/>
      <c r="BK39" s="26" t="n">
        <v>-144</v>
      </c>
      <c r="BL39" s="27" t="n">
        <v>1.694444</v>
      </c>
      <c r="BM39" s="28" t="n">
        <v>0.590164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2026-07-20T16:43:06Z</dcterms:created>
  <dcterms:modified xsi:type="dcterms:W3CDTF">2026-07-20T16:43:06Z</dcterms:modified>
</cp:coreProperties>
</file>