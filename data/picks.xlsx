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9" headerRowCount="1">
  <autoFilter ref="A1:CA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32">
        <f>IFERROR(COUNTIFS('Picks'!$BX$2:$BX$9,"&gt;0",'Picks'!$V$2:$V$9,"win")/(COUNTIFS('Picks'!$BX$2:$BX$9,"&gt;0",'Picks'!$V$2:$V$9,"win")+COUNTIFS('Picks'!$BX$2:$BX$9,"&gt;0",'Picks'!$V$2:$V$9,"loss")),0)</f>
        <v/>
      </c>
      <c r="G7" s="32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33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34">
        <f>IFERROR(C14/(C14+D14),0)</f>
        <v/>
      </c>
      <c r="F14" s="3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36">
        <f>IFERROR(C15/(C15+D15),0)</f>
        <v/>
      </c>
      <c r="F15" s="37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34">
        <f>IFERROR(C16/(C16+D16),0)</f>
        <v/>
      </c>
      <c r="F16" s="3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2026-07-19T00:00Z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0</v>
      </c>
      <c r="T2" s="24" t="inlineStr">
        <is>
          <t>wnba-elo-trend-lr-v3</t>
        </is>
      </c>
      <c r="U2" s="24" t="inlineStr">
        <is>
          <t>open</t>
        </is>
      </c>
      <c r="V2" s="24" t="n"/>
      <c r="W2" s="26" t="n"/>
      <c r="X2" s="26" t="n"/>
      <c r="Y2" s="38" t="n"/>
      <c r="Z2" s="26" t="n"/>
      <c r="AA2" s="28" t="n"/>
      <c r="AB2" s="28" t="n"/>
      <c r="AC2" s="40" t="n"/>
      <c r="AD2" s="24" t="n"/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/>
      <c r="BY2" s="39" t="n"/>
      <c r="BZ2" s="24" t="n"/>
      <c r="CA2" s="31" t="n"/>
    </row>
    <row r="3" ht="36" customHeight="1">
      <c r="A3" t="inlineStr">
        <is>
          <t>607e61329ed3424c</t>
        </is>
      </c>
      <c r="B3" t="inlineStr">
        <is>
          <t>2026-07-17T14:02:17Z</t>
        </is>
      </c>
      <c r="C3" t="inlineStr">
        <is>
          <t>2026-07-17T23:30Z</t>
        </is>
      </c>
      <c r="D3" t="inlineStr">
        <is>
          <t>401857073</t>
        </is>
      </c>
      <c r="E3" t="inlineStr">
        <is>
          <t>WNBA</t>
        </is>
      </c>
      <c r="F3" t="inlineStr">
        <is>
          <t>Seattle Storm</t>
        </is>
      </c>
      <c r="G3" t="inlineStr">
        <is>
          <t>Indiana Fever</t>
        </is>
      </c>
      <c r="H3" t="inlineStr">
        <is>
          <t>moneyline</t>
        </is>
      </c>
      <c r="I3" t="inlineStr">
        <is>
          <t>home</t>
        </is>
      </c>
      <c r="K3" t="inlineStr">
        <is>
          <t>polymarket_us</t>
        </is>
      </c>
      <c r="L3" t="inlineStr">
        <is>
          <t>-354</t>
        </is>
      </c>
      <c r="M3" t="inlineStr">
        <is>
          <t>1.282</t>
        </is>
      </c>
      <c r="N3" t="n">
        <v>0.78</v>
      </c>
      <c r="O3" t="n">
        <v>0.6207</v>
      </c>
      <c r="Q3" t="n">
        <v>-0.1593</v>
      </c>
      <c r="S3" t="n">
        <v>1</v>
      </c>
      <c r="T3" t="inlineStr">
        <is>
          <t>wnba-elo-trend-lr-v3</t>
        </is>
      </c>
      <c r="U3" t="inlineStr">
        <is>
          <t>settled</t>
        </is>
      </c>
      <c r="V3" t="inlineStr">
        <is>
          <t>win</t>
        </is>
      </c>
      <c r="W3" t="n">
        <v>107</v>
      </c>
      <c r="X3" t="n">
        <v>110</v>
      </c>
      <c r="AC3" t="n">
        <v>0.282</v>
      </c>
      <c r="AD3" t="inlineStr">
        <is>
          <t>2026-07-18T14:36:00Z</t>
        </is>
      </c>
      <c r="AK3" t="inlineStr">
        <is>
          <t>QUALIFIED_SHADOW_CALL</t>
        </is>
      </c>
      <c r="AL3" t="inlineStr">
        <is>
          <t>1</t>
        </is>
      </c>
      <c r="AM3" t="inlineStr">
        <is>
          <t>QUALIFIED_SHADOW_CALL</t>
        </is>
      </c>
      <c r="AN3" t="inlineStr">
        <is>
          <t>CALL</t>
        </is>
      </c>
      <c r="AO3" t="inlineStr">
        <is>
          <t>CALL_LEARNED_CONFIDENCE</t>
        </is>
      </c>
      <c r="AX3" t="inlineStr">
        <is>
          <t>learned</t>
        </is>
      </c>
      <c r="BK3" t="inlineStr">
        <is>
          <t>-354</t>
        </is>
      </c>
      <c r="BL3" t="inlineStr">
        <is>
          <t>1.282</t>
        </is>
      </c>
      <c r="BM3" t="n">
        <v>0.78</v>
      </c>
      <c r="BN3" t="n">
        <v>0.78</v>
      </c>
    </row>
    <row r="4" ht="36" customHeight="1"/>
    <row r="5" ht="36" customHeight="1"/>
    <row r="6" ht="36" customHeight="1"/>
    <row r="7" ht="36" customHeight="1"/>
    <row r="8" ht="36" customHeight="1"/>
    <row r="9" ht="36" customHeight="1"/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2026-07-18T07:32:01Z</dcterms:created>
  <dcterms:modified xsi:type="dcterms:W3CDTF">2026-07-18T14:39:26Z</dcterms:modified>
</cp:coreProperties>
</file>