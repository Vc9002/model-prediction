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A14" headerRowCount="1">
  <autoFilter ref="A1:CA14"/>
  <tableColumns count="79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COUNTA('Picks'!$A$2:$A$14)</f>
        <v/>
      </c>
      <c r="C4" s="6">
        <f>COUNTIF('Picks'!$U$2:$U$14,"open")</f>
        <v/>
      </c>
      <c r="E4" s="6">
        <f>COUNTIF('Picks'!$U$2:$U$14,"settled")</f>
        <v/>
      </c>
      <c r="G4" s="6">
        <f>IF(COUNTIFS('Picks'!$U$2:$U$14,"settled",'Picks'!$V$2:$V$14,"win")+COUNTIFS('Picks'!$U$2:$U$14,"settled",'Picks'!$V$2:$V$14,"loss")&gt;=$L$2,"Ready","Insufficient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COUNTIF('Picks'!$BX$2:$BX$14,"&gt;0")</f>
        <v/>
      </c>
      <c r="C7" s="6">
        <f>COUNTIFS('Picks'!$BX$2:$BX$14,"&gt;0",'Picks'!$V$2:$V$14,"win")&amp;"-"&amp;COUNTIFS('Picks'!$BX$2:$BX$14,"&gt;0",'Picks'!$V$2:$V$14,"loss")</f>
        <v/>
      </c>
      <c r="E7" s="7">
        <f>IFERROR(COUNTIFS('Picks'!$BX$2:$BX$14,"&gt;0",'Picks'!$V$2:$V$14,"win")/(COUNTIFS('Picks'!$BX$2:$BX$14,"&gt;0",'Picks'!$V$2:$V$14,"win")+COUNTIFS('Picks'!$BX$2:$BX$14,"&gt;0",'Picks'!$V$2:$V$14,"loss")),0)</f>
        <v/>
      </c>
      <c r="G7" s="7">
        <f>IFERROR(SUM('Picks'!$BY$2:$BY$14)/SUM('Picks'!$BX$2:$BX$14),0)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SUM('Picks'!$BY$2:$BY$14)</f>
        <v/>
      </c>
      <c r="C10" s="9">
        <f>IFERROR(AVERAGEIF('Picks'!$AB$2:$AB$14,"&lt;&gt;",'Picks'!$AB$2:$AB$14),0)</f>
        <v/>
      </c>
      <c r="E10" s="6">
        <f>COUNTIFS('Picks'!$AM$2:$AM$14,"QUALIFIED_SHADOW_CALL",'Picks'!$U$2:$U$14,"settled")</f>
        <v/>
      </c>
      <c r="G10" s="8">
        <f>SUMIFS('Picks'!$AC$2:$AC$14,'Picks'!$AM$2:$AM$14,"QUALIFIED_SHADOW_CALL")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COUNTIFS('Picks'!$H$2:$H$14,$A14,'Picks'!$U$2:$U$14,"settled")</f>
        <v/>
      </c>
      <c r="C14" s="13">
        <f>COUNTIFS('Picks'!$H$2:$H$14,$A14,'Picks'!$U$2:$U$14,"settled",'Picks'!$V$2:$V$14,"win")</f>
        <v/>
      </c>
      <c r="D14" s="13">
        <f>COUNTIFS('Picks'!$H$2:$H$14,$A14,'Picks'!$U$2:$U$14,"settled",'Picks'!$V$2:$V$14,"loss")</f>
        <v/>
      </c>
      <c r="E14" s="14">
        <f>IFERROR(C14/(C14+D14),0)</f>
        <v/>
      </c>
      <c r="F14" s="15">
        <f>SUMIFS('Picks'!$BY$2:$BY$14,'Picks'!$H$2:$H$14,$A14)</f>
        <v/>
      </c>
      <c r="G14" s="16">
        <f>IFERROR(AVERAGEIFS('Picks'!$AB$2:$AB$14,'Picks'!$H$2:$H$14,$A14,'Picks'!$U$2:$U$14,"settled"),0)</f>
        <v/>
      </c>
    </row>
    <row r="15">
      <c r="A15" s="17" t="inlineStr">
        <is>
          <t>spread</t>
        </is>
      </c>
      <c r="B15" s="18">
        <f>COUNTIFS('Picks'!$H$2:$H$14,$A15,'Picks'!$U$2:$U$14,"settled")</f>
        <v/>
      </c>
      <c r="C15" s="18">
        <f>COUNTIFS('Picks'!$H$2:$H$14,$A15,'Picks'!$U$2:$U$14,"settled",'Picks'!$V$2:$V$14,"win")</f>
        <v/>
      </c>
      <c r="D15" s="18">
        <f>COUNTIFS('Picks'!$H$2:$H$14,$A15,'Picks'!$U$2:$U$14,"settled",'Picks'!$V$2:$V$14,"loss")</f>
        <v/>
      </c>
      <c r="E15" s="19">
        <f>IFERROR(C15/(C15+D15),0)</f>
        <v/>
      </c>
      <c r="F15" s="20">
        <f>SUMIFS('Picks'!$BY$2:$BY$14,'Picks'!$H$2:$H$14,$A15)</f>
        <v/>
      </c>
      <c r="G15" s="21">
        <f>IFERROR(AVERAGEIFS('Picks'!$AB$2:$AB$14,'Picks'!$H$2:$H$14,$A15,'Picks'!$U$2:$U$14,"settled"),0)</f>
        <v/>
      </c>
    </row>
    <row r="16">
      <c r="A16" s="12" t="inlineStr">
        <is>
          <t>total</t>
        </is>
      </c>
      <c r="B16" s="13">
        <f>COUNTIFS('Picks'!$H$2:$H$14,$A16,'Picks'!$U$2:$U$14,"settled")</f>
        <v/>
      </c>
      <c r="C16" s="13">
        <f>COUNTIFS('Picks'!$H$2:$H$14,$A16,'Picks'!$U$2:$U$14,"settled",'Picks'!$V$2:$V$14,"win")</f>
        <v/>
      </c>
      <c r="D16" s="13">
        <f>COUNTIFS('Picks'!$H$2:$H$14,$A16,'Picks'!$U$2:$U$14,"settled",'Picks'!$V$2:$V$14,"loss")</f>
        <v/>
      </c>
      <c r="E16" s="14">
        <f>IFERROR(C16/(C16+D16),0)</f>
        <v/>
      </c>
      <c r="F16" s="15">
        <f>SUMIFS('Picks'!$BY$2:$BY$14,'Picks'!$H$2:$H$14,$A16)</f>
        <v/>
      </c>
      <c r="G16" s="16">
        <f>IFERROR(AVERAGEIFS('Picks'!$AB$2:$AB$14,'Picks'!$H$2:$H$14,$A16,'Picks'!$U$2:$U$14,"settled"),0)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A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</row>
    <row r="2" ht="36" customHeight="1">
      <c r="A2" s="24" t="inlineStr">
        <is>
          <t>ef7830f025d54963</t>
        </is>
      </c>
      <c r="B2" s="24" t="inlineStr">
        <is>
          <t>2026-07-18T07:12:56.298602Z</t>
        </is>
      </c>
      <c r="C2" s="24" t="inlineStr">
        <is>
          <t>2026-07-19T00:00Z</t>
        </is>
      </c>
      <c r="D2" s="24" t="inlineStr">
        <is>
          <t>401857077</t>
        </is>
      </c>
      <c r="E2" s="24" t="inlineStr">
        <is>
          <t>WNBA</t>
        </is>
      </c>
      <c r="F2" s="24" t="inlineStr">
        <is>
          <t>New York Liberty</t>
        </is>
      </c>
      <c r="G2" s="24" t="inlineStr">
        <is>
          <t>Indiana Fever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117</v>
      </c>
      <c r="M2" s="27" t="n">
        <v>2.17</v>
      </c>
      <c r="N2" s="28" t="n">
        <v>0.460829</v>
      </c>
      <c r="O2" s="28" t="n">
        <v>0.593309</v>
      </c>
      <c r="P2" s="28" t="n"/>
      <c r="Q2" s="28" t="n">
        <v>0.13248</v>
      </c>
      <c r="R2" s="26" t="n">
        <v>100</v>
      </c>
      <c r="S2" s="29" t="n">
        <v>0</v>
      </c>
      <c r="T2" s="24" t="inlineStr">
        <is>
          <t>wnba-elo-trend-lr-v3</t>
        </is>
      </c>
      <c r="U2" s="24" t="inlineStr">
        <is>
          <t>open</t>
        </is>
      </c>
      <c r="V2" s="24" t="n"/>
      <c r="W2" s="26" t="n"/>
      <c r="X2" s="26" t="n"/>
      <c r="Y2" s="25" t="n"/>
      <c r="Z2" s="26" t="n"/>
      <c r="AA2" s="28" t="n"/>
      <c r="AB2" s="28" t="n"/>
      <c r="AC2" s="30" t="n"/>
      <c r="AD2" s="24" t="n"/>
      <c r="AE2" s="31" t="inlineStr">
        <is>
          <t>Learned LR call at threshold 0.5413; executable ask 0.4600 (aec-wnba-ny-ind-2026-07-18).</t>
        </is>
      </c>
      <c r="AF2" s="31" t="inlineStr">
        <is>
          <t>Learned model; promotion gate not yet open; zero-unit research until review.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NO_CALL_MODEL_UNVALIDATED</t>
        </is>
      </c>
      <c r="AP2" s="24" t="inlineStr">
        <is>
          <t>wnba-nyl</t>
        </is>
      </c>
      <c r="AQ2" s="24" t="inlineStr">
        <is>
          <t>New York Liberty</t>
        </is>
      </c>
      <c r="AR2" s="24" t="inlineStr">
        <is>
          <t>New York Liberty</t>
        </is>
      </c>
      <c r="AS2" s="24" t="inlineStr">
        <is>
          <t>wnba-ind</t>
        </is>
      </c>
      <c r="AT2" s="24" t="inlineStr">
        <is>
          <t>Indiana Fever</t>
        </is>
      </c>
      <c r="AU2" s="24" t="inlineStr">
        <is>
          <t>Indiana Fever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6b38a269117f4c6c1ae1e324273c2f9b9d11b2c15d99242f39aa89882d15db32</t>
        </is>
      </c>
      <c r="BB2" s="24" t="inlineStr">
        <is>
          <t>learned_lr</t>
        </is>
      </c>
      <c r="BC2" s="24" t="inlineStr">
        <is>
          <t>wnba-elo-trend-lr-v3</t>
        </is>
      </c>
      <c r="BD2" s="24" t="inlineStr">
        <is>
          <t>6b38a269117f4c6c1ae1e324273c2f9b9d11b2c15d99242f39aa89882d15db32</t>
        </is>
      </c>
      <c r="BE2" s="24" t="inlineStr">
        <is>
          <t>3a7dae2b4e6e8f88</t>
        </is>
      </c>
      <c r="BF2" s="24" t="inlineStr">
        <is>
          <t>1</t>
        </is>
      </c>
      <c r="BG2" s="24" t="inlineStr">
        <is>
          <t>wnba-elo-trend-lr-v3</t>
        </is>
      </c>
      <c r="BH2" s="24" t="inlineStr">
        <is>
          <t>2026-07-18T07:12:40.468242Z</t>
        </is>
      </c>
      <c r="BI2" s="24" t="inlineStr">
        <is>
          <t>["same_event","same_team_same_day","same_league_same_day"]</t>
        </is>
      </c>
      <c r="BJ2" s="25" t="n"/>
      <c r="BK2" s="26" t="n">
        <v>117</v>
      </c>
      <c r="BL2" s="27" t="n">
        <v>2.17</v>
      </c>
      <c r="BM2" s="28" t="n">
        <v>0.460829</v>
      </c>
      <c r="BN2" s="28" t="n">
        <v>0.455446</v>
      </c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</row>
    <row r="3" ht="18" customHeight="1">
      <c r="A3" s="24" t="inlineStr">
        <is>
          <t>607e61329ed3424c</t>
        </is>
      </c>
      <c r="B3" s="24" t="inlineStr">
        <is>
          <t>2026-07-17T14:02:17Z</t>
        </is>
      </c>
      <c r="C3" s="24" t="inlineStr">
        <is>
          <t>2026-07-17T23:30Z</t>
        </is>
      </c>
      <c r="D3" s="24" t="inlineStr">
        <is>
          <t>401857073</t>
        </is>
      </c>
      <c r="E3" s="24" t="inlineStr">
        <is>
          <t>WNBA</t>
        </is>
      </c>
      <c r="F3" s="24" t="inlineStr">
        <is>
          <t>Seattle Storm</t>
        </is>
      </c>
      <c r="G3" s="24" t="inlineStr">
        <is>
          <t>Indiana Fever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-354</v>
      </c>
      <c r="M3" s="27" t="n">
        <v>1.282</v>
      </c>
      <c r="N3" s="28" t="n">
        <v>0.78</v>
      </c>
      <c r="O3" s="28" t="n">
        <v>0.6207</v>
      </c>
      <c r="P3" s="28" t="n"/>
      <c r="Q3" s="28" t="n">
        <v>-0.1593</v>
      </c>
      <c r="R3" s="26" t="n"/>
      <c r="S3" s="29" t="n">
        <v>1</v>
      </c>
      <c r="T3" s="24" t="inlineStr">
        <is>
          <t>wnba-elo-trend-lr-v3</t>
        </is>
      </c>
      <c r="U3" s="24" t="inlineStr">
        <is>
          <t>settled</t>
        </is>
      </c>
      <c r="V3" s="24" t="inlineStr">
        <is>
          <t>win</t>
        </is>
      </c>
      <c r="W3" s="26" t="n">
        <v>107</v>
      </c>
      <c r="X3" s="26" t="n">
        <v>110</v>
      </c>
      <c r="Y3" s="25" t="n"/>
      <c r="Z3" s="26" t="n"/>
      <c r="AA3" s="28" t="n"/>
      <c r="AB3" s="28" t="n"/>
      <c r="AC3" s="30" t="n">
        <v>0.282</v>
      </c>
      <c r="AD3" s="24" t="inlineStr">
        <is>
          <t>2026-07-18T14:36:00Z</t>
        </is>
      </c>
      <c r="AE3" s="31" t="n"/>
      <c r="AF3" s="31" t="n"/>
      <c r="AG3" s="24" t="n"/>
      <c r="AH3" s="24" t="n"/>
      <c r="AI3" s="31" t="n"/>
      <c r="AJ3" s="31" t="n"/>
      <c r="AK3" s="24" t="inlineStr">
        <is>
          <t>QUALIFIED_SHADOW_CALL</t>
        </is>
      </c>
      <c r="AL3" s="26" t="n">
        <v>1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CALL_LEARNED_CONFIDENCE</t>
        </is>
      </c>
      <c r="AP3" s="24" t="n"/>
      <c r="AQ3" s="24" t="n"/>
      <c r="AR3" s="24" t="n"/>
      <c r="AS3" s="24" t="n"/>
      <c r="AT3" s="24" t="n"/>
      <c r="AU3" s="24" t="n"/>
      <c r="AV3" s="24" t="n"/>
      <c r="AW3" s="24" t="n"/>
      <c r="AX3" s="24" t="inlineStr">
        <is>
          <t>learned</t>
        </is>
      </c>
      <c r="AY3" s="24" t="n"/>
      <c r="AZ3" s="24" t="n"/>
      <c r="BA3" s="24" t="n"/>
      <c r="BB3" s="24" t="n"/>
      <c r="BC3" s="24" t="n"/>
      <c r="BD3" s="24" t="n"/>
      <c r="BE3" s="24" t="n"/>
      <c r="BF3" s="24" t="n"/>
      <c r="BG3" s="24" t="n"/>
      <c r="BH3" s="24" t="n"/>
      <c r="BI3" s="24" t="n"/>
      <c r="BJ3" s="25" t="n"/>
      <c r="BK3" s="26" t="n">
        <v>-354</v>
      </c>
      <c r="BL3" s="27" t="n">
        <v>1.282</v>
      </c>
      <c r="BM3" s="28" t="n">
        <v>0.78</v>
      </c>
      <c r="BN3" s="28" t="n">
        <v>0.78</v>
      </c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</row>
    <row r="4" ht="36" customHeight="1">
      <c r="A4" s="24" t="inlineStr">
        <is>
          <t>931feaf381a247bc</t>
        </is>
      </c>
      <c r="B4" s="24" t="inlineStr">
        <is>
          <t>2026-07-18T16:16:11.093520Z</t>
        </is>
      </c>
      <c r="C4" s="24" t="inlineStr">
        <is>
          <t>2026-07-18T20:10Z</t>
        </is>
      </c>
      <c r="D4" s="24" t="inlineStr">
        <is>
          <t>401816163</t>
        </is>
      </c>
      <c r="E4" s="24" t="inlineStr">
        <is>
          <t>MLB</t>
        </is>
      </c>
      <c r="F4" s="24" t="inlineStr">
        <is>
          <t>Miami Marlins</t>
        </is>
      </c>
      <c r="G4" s="24" t="inlineStr">
        <is>
          <t>Milwaukee Brewers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-133</v>
      </c>
      <c r="M4" s="27" t="n">
        <v>1.75188</v>
      </c>
      <c r="N4" s="28" t="n">
        <v>0.570815</v>
      </c>
      <c r="O4" s="28" t="n">
        <v>0.608753</v>
      </c>
      <c r="P4" s="28" t="n"/>
      <c r="Q4" s="28" t="n">
        <v>0.037938</v>
      </c>
      <c r="R4" s="26" t="n">
        <v>69</v>
      </c>
      <c r="S4" s="29" t="n">
        <v>0</v>
      </c>
      <c r="T4" s="24" t="inlineStr">
        <is>
          <t>mlb-elo-trend-lr-v3</t>
        </is>
      </c>
      <c r="U4" s="24" t="inlineStr">
        <is>
          <t>open</t>
        </is>
      </c>
      <c r="V4" s="24" t="n"/>
      <c r="W4" s="26" t="n"/>
      <c r="X4" s="26" t="n"/>
      <c r="Y4" s="25" t="n"/>
      <c r="Z4" s="26" t="n"/>
      <c r="AA4" s="28" t="n"/>
      <c r="AB4" s="28" t="n"/>
      <c r="AC4" s="30" t="n"/>
      <c r="AD4" s="24" t="n"/>
      <c r="AE4" s="31" t="inlineStr">
        <is>
          <t>Learned LR call at threshold 0.6000; executable ask 0.5700 (aec-mlb-mia-mil-2026-07-18).</t>
        </is>
      </c>
      <c r="AF4" s="31" t="inlineStr">
        <is>
          <t>Learned model; promotion gate not yet open; zero-unit research until review.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NO_CALL_MODEL_UNVALIDATED</t>
        </is>
      </c>
      <c r="AP4" s="24" t="inlineStr">
        <is>
          <t>mlb-mia</t>
        </is>
      </c>
      <c r="AQ4" s="24" t="inlineStr">
        <is>
          <t>Miami Marlins</t>
        </is>
      </c>
      <c r="AR4" s="24" t="inlineStr">
        <is>
          <t>Miami Marlins</t>
        </is>
      </c>
      <c r="AS4" s="24" t="inlineStr">
        <is>
          <t>mlb-mil</t>
        </is>
      </c>
      <c r="AT4" s="24" t="inlineStr">
        <is>
          <t>Milwaukee Brewers</t>
        </is>
      </c>
      <c r="AU4" s="24" t="inlineStr">
        <is>
          <t>Milwaukee Brewers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117c03794b1d1031deec3bd4cce88c9158bebd0622c621defd0aab3eb37c0a6e</t>
        </is>
      </c>
      <c r="BB4" s="24" t="inlineStr">
        <is>
          <t>learned_lr</t>
        </is>
      </c>
      <c r="BC4" s="24" t="inlineStr">
        <is>
          <t>mlb-elo-trend-lr-v3</t>
        </is>
      </c>
      <c r="BD4" s="24" t="inlineStr">
        <is>
          <t>117c03794b1d1031deec3bd4cce88c9158bebd0622c621defd0aab3eb37c0a6e</t>
        </is>
      </c>
      <c r="BE4" s="24" t="inlineStr">
        <is>
          <t>0f54459b91a18ff1</t>
        </is>
      </c>
      <c r="BF4" s="24" t="inlineStr">
        <is>
          <t>1</t>
        </is>
      </c>
      <c r="BG4" s="24" t="inlineStr">
        <is>
          <t>mlb-elo-trend-lr-v3</t>
        </is>
      </c>
      <c r="BH4" s="24" t="inlineStr">
        <is>
          <t>2026-07-18T16:15:15.200995Z</t>
        </is>
      </c>
      <c r="BI4" s="24" t="inlineStr">
        <is>
          <t>["same_event","same_team_same_day","same_league_same_day"]</t>
        </is>
      </c>
      <c r="BJ4" s="25" t="n"/>
      <c r="BK4" s="26" t="n">
        <v>-133</v>
      </c>
      <c r="BL4" s="27" t="n">
        <v>1.75188</v>
      </c>
      <c r="BM4" s="28" t="n">
        <v>0.570815</v>
      </c>
      <c r="BN4" s="28" t="n">
        <v>0.567164</v>
      </c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</row>
    <row r="5" ht="36" customHeight="1">
      <c r="A5" s="24" t="inlineStr">
        <is>
          <t>8789a71883f94701</t>
        </is>
      </c>
      <c r="B5" s="24" t="inlineStr">
        <is>
          <t>2026-07-18T16:44:20.099051Z</t>
        </is>
      </c>
      <c r="C5" s="24" t="inlineStr">
        <is>
          <t>2026-07-18T17:10Z</t>
        </is>
      </c>
      <c r="D5" s="24" t="inlineStr">
        <is>
          <t>401896568</t>
        </is>
      </c>
      <c r="E5" s="24" t="inlineStr">
        <is>
          <t>MLB</t>
        </is>
      </c>
      <c r="F5" s="24" t="inlineStr">
        <is>
          <t>Pittsburgh Pirates</t>
        </is>
      </c>
      <c r="G5" s="24" t="inlineStr">
        <is>
          <t>Cleveland Guardians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-102</v>
      </c>
      <c r="M5" s="27" t="n">
        <v>1.980392</v>
      </c>
      <c r="N5" s="28" t="n">
        <v>0.50495</v>
      </c>
      <c r="O5" s="28" t="n">
        <v>0.554084</v>
      </c>
      <c r="P5" s="28" t="n"/>
      <c r="Q5" s="28" t="n">
        <v>0.049134</v>
      </c>
      <c r="R5" s="26" t="n">
        <v>75</v>
      </c>
      <c r="S5" s="29" t="n">
        <v>0</v>
      </c>
      <c r="T5" s="24" t="inlineStr">
        <is>
          <t>mlb-elo-trend-lr-v3</t>
        </is>
      </c>
      <c r="U5" s="24" t="inlineStr">
        <is>
          <t>open</t>
        </is>
      </c>
      <c r="V5" s="24" t="n"/>
      <c r="W5" s="26" t="n"/>
      <c r="X5" s="26" t="n"/>
      <c r="Y5" s="25" t="n"/>
      <c r="Z5" s="26" t="n"/>
      <c r="AA5" s="28" t="n"/>
      <c r="AB5" s="28" t="n"/>
      <c r="AC5" s="30" t="n"/>
      <c r="AD5" s="24" t="n"/>
      <c r="AE5" s="31" t="inlineStr">
        <is>
          <t>Learned LR call at threshold 0.5500; executable ask 0.5050 (aec-mlb-pit-cle-2026-07-18).</t>
        </is>
      </c>
      <c r="AF5" s="31" t="inlineStr">
        <is>
          <t>Learned model; promotion gate not yet open; zero-unit research until review.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NO_CALL_MODEL_UNVALIDATED</t>
        </is>
      </c>
      <c r="AP5" s="24" t="inlineStr">
        <is>
          <t>mlb-pit</t>
        </is>
      </c>
      <c r="AQ5" s="24" t="inlineStr">
        <is>
          <t>Pittsburgh Pirates</t>
        </is>
      </c>
      <c r="AR5" s="24" t="inlineStr">
        <is>
          <t>Pittsburgh Pirates</t>
        </is>
      </c>
      <c r="AS5" s="24" t="inlineStr">
        <is>
          <t>mlb-cle</t>
        </is>
      </c>
      <c r="AT5" s="24" t="inlineStr">
        <is>
          <t>Cleveland Guardians</t>
        </is>
      </c>
      <c r="AU5" s="24" t="inlineStr">
        <is>
          <t>Cleveland Guardians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c97732889cfca1912f8d78791ff63f04ee3fe987951aced9e4fab541932597cd</t>
        </is>
      </c>
      <c r="BB5" s="24" t="inlineStr">
        <is>
          <t>learned_lr</t>
        </is>
      </c>
      <c r="BC5" s="24" t="inlineStr">
        <is>
          <t>mlb-elo-trend-lr-v3</t>
        </is>
      </c>
      <c r="BD5" s="24" t="inlineStr">
        <is>
          <t>c97732889cfca1912f8d78791ff63f04ee3fe987951aced9e4fab541932597cd</t>
        </is>
      </c>
      <c r="BE5" s="24" t="inlineStr">
        <is>
          <t>6df496ff8b2da9c6</t>
        </is>
      </c>
      <c r="BF5" s="24" t="inlineStr">
        <is>
          <t>1</t>
        </is>
      </c>
      <c r="BG5" s="24" t="inlineStr">
        <is>
          <t>mlb-elo-trend-lr-v3</t>
        </is>
      </c>
      <c r="BH5" s="24" t="inlineStr">
        <is>
          <t>2026-07-18T16:42:59.880808Z</t>
        </is>
      </c>
      <c r="BI5" s="24" t="inlineStr">
        <is>
          <t>["same_event","same_team_same_day","same_league_same_day"]</t>
        </is>
      </c>
      <c r="BJ5" s="25" t="n"/>
      <c r="BK5" s="26" t="n">
        <v>-102</v>
      </c>
      <c r="BL5" s="27" t="n">
        <v>1.980392</v>
      </c>
      <c r="BM5" s="28" t="n">
        <v>0.50495</v>
      </c>
      <c r="BN5" s="28" t="n">
        <v>0.502488</v>
      </c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</row>
    <row r="6" ht="36" customHeight="1">
      <c r="A6" s="24" t="inlineStr">
        <is>
          <t>512e4ebfdf1a456e</t>
        </is>
      </c>
      <c r="B6" s="24" t="inlineStr">
        <is>
          <t>2026-07-18T16:44:20.099051Z</t>
        </is>
      </c>
      <c r="C6" s="24" t="inlineStr">
        <is>
          <t>2026-07-18T18:20Z</t>
        </is>
      </c>
      <c r="D6" s="24" t="inlineStr">
        <is>
          <t>401816164</t>
        </is>
      </c>
      <c r="E6" s="24" t="inlineStr">
        <is>
          <t>MLB</t>
        </is>
      </c>
      <c r="F6" s="24" t="inlineStr">
        <is>
          <t>Minnesota Twins</t>
        </is>
      </c>
      <c r="G6" s="24" t="inlineStr">
        <is>
          <t>Chicago Cubs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-133</v>
      </c>
      <c r="M6" s="27" t="n">
        <v>1.75188</v>
      </c>
      <c r="N6" s="28" t="n">
        <v>0.570815</v>
      </c>
      <c r="O6" s="28" t="n">
        <v>0.608363</v>
      </c>
      <c r="P6" s="28" t="n"/>
      <c r="Q6" s="28" t="n">
        <v>0.037548</v>
      </c>
      <c r="R6" s="26" t="n">
        <v>69</v>
      </c>
      <c r="S6" s="29" t="n">
        <v>0</v>
      </c>
      <c r="T6" s="24" t="inlineStr">
        <is>
          <t>mlb-elo-trend-lr-v3</t>
        </is>
      </c>
      <c r="U6" s="24" t="inlineStr">
        <is>
          <t>open</t>
        </is>
      </c>
      <c r="V6" s="24" t="n"/>
      <c r="W6" s="26" t="n"/>
      <c r="X6" s="26" t="n"/>
      <c r="Y6" s="25" t="n"/>
      <c r="Z6" s="26" t="n"/>
      <c r="AA6" s="28" t="n"/>
      <c r="AB6" s="28" t="n"/>
      <c r="AC6" s="30" t="n"/>
      <c r="AD6" s="24" t="n"/>
      <c r="AE6" s="31" t="inlineStr">
        <is>
          <t>Learned LR call at threshold 0.5500; executable ask 0.5700 (aec-mlb-min-chc-2026-07-18).</t>
        </is>
      </c>
      <c r="AF6" s="31" t="inlineStr">
        <is>
          <t>Learned model; promotion gate not yet open; zero-unit research until review.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NO_CALL_MODEL_UNVALIDATED</t>
        </is>
      </c>
      <c r="AP6" s="24" t="inlineStr">
        <is>
          <t>mlb-min</t>
        </is>
      </c>
      <c r="AQ6" s="24" t="inlineStr">
        <is>
          <t>Minnesota Twins</t>
        </is>
      </c>
      <c r="AR6" s="24" t="inlineStr">
        <is>
          <t>Minnesota Twins</t>
        </is>
      </c>
      <c r="AS6" s="24" t="inlineStr">
        <is>
          <t>mlb-chc</t>
        </is>
      </c>
      <c r="AT6" s="24" t="inlineStr">
        <is>
          <t>Chicago Cubs</t>
        </is>
      </c>
      <c r="AU6" s="24" t="inlineStr">
        <is>
          <t>Chicago Cubs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research</t>
        </is>
      </c>
      <c r="BA6" s="24" t="inlineStr">
        <is>
          <t>c97732889cfca1912f8d78791ff63f04ee3fe987951aced9e4fab541932597cd</t>
        </is>
      </c>
      <c r="BB6" s="24" t="inlineStr">
        <is>
          <t>learned_lr</t>
        </is>
      </c>
      <c r="BC6" s="24" t="inlineStr">
        <is>
          <t>mlb-elo-trend-lr-v3</t>
        </is>
      </c>
      <c r="BD6" s="24" t="inlineStr">
        <is>
          <t>c97732889cfca1912f8d78791ff63f04ee3fe987951aced9e4fab541932597cd</t>
        </is>
      </c>
      <c r="BE6" s="24" t="inlineStr">
        <is>
          <t>7166685f6e68e237</t>
        </is>
      </c>
      <c r="BF6" s="24" t="inlineStr">
        <is>
          <t>1</t>
        </is>
      </c>
      <c r="BG6" s="24" t="inlineStr">
        <is>
          <t>mlb-elo-trend-lr-v3</t>
        </is>
      </c>
      <c r="BH6" s="24" t="inlineStr">
        <is>
          <t>2026-07-18T16:42:49.506840Z</t>
        </is>
      </c>
      <c r="BI6" s="24" t="inlineStr">
        <is>
          <t>["same_event","same_team_same_day","same_league_same_day"]</t>
        </is>
      </c>
      <c r="BJ6" s="25" t="n"/>
      <c r="BK6" s="26" t="n">
        <v>-133</v>
      </c>
      <c r="BL6" s="27" t="n">
        <v>1.75188</v>
      </c>
      <c r="BM6" s="28" t="n">
        <v>0.570815</v>
      </c>
      <c r="BN6" s="28" t="n">
        <v>0.567164</v>
      </c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</row>
    <row r="7" ht="36" customHeight="1">
      <c r="A7" s="24" t="inlineStr">
        <is>
          <t>80b7c78aaffb4905</t>
        </is>
      </c>
      <c r="B7" s="24" t="inlineStr">
        <is>
          <t>2026-07-18T16:44:20.099051Z</t>
        </is>
      </c>
      <c r="C7" s="24" t="inlineStr">
        <is>
          <t>2026-07-18T19:07Z</t>
        </is>
      </c>
      <c r="D7" s="24" t="inlineStr">
        <is>
          <t>401816156</t>
        </is>
      </c>
      <c r="E7" s="24" t="inlineStr">
        <is>
          <t>MLB</t>
        </is>
      </c>
      <c r="F7" s="24" t="inlineStr">
        <is>
          <t>Chicago White Sox</t>
        </is>
      </c>
      <c r="G7" s="24" t="inlineStr">
        <is>
          <t>Toronto Blue Jays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-104</v>
      </c>
      <c r="M7" s="27" t="n">
        <v>1.961538</v>
      </c>
      <c r="N7" s="28" t="n">
        <v>0.509804</v>
      </c>
      <c r="O7" s="28" t="n">
        <v>0.5767679999999999</v>
      </c>
      <c r="P7" s="28" t="n"/>
      <c r="Q7" s="28" t="n">
        <v>0.066964</v>
      </c>
      <c r="R7" s="26" t="n">
        <v>83</v>
      </c>
      <c r="S7" s="29" t="n">
        <v>0</v>
      </c>
      <c r="T7" s="24" t="inlineStr">
        <is>
          <t>mlb-elo-trend-lr-v3</t>
        </is>
      </c>
      <c r="U7" s="24" t="inlineStr">
        <is>
          <t>open</t>
        </is>
      </c>
      <c r="V7" s="24" t="n"/>
      <c r="W7" s="26" t="n"/>
      <c r="X7" s="26" t="n"/>
      <c r="Y7" s="25" t="n"/>
      <c r="Z7" s="26" t="n"/>
      <c r="AA7" s="28" t="n"/>
      <c r="AB7" s="28" t="n"/>
      <c r="AC7" s="30" t="n"/>
      <c r="AD7" s="24" t="n"/>
      <c r="AE7" s="31" t="inlineStr">
        <is>
          <t>Learned LR call at threshold 0.5500; executable ask 0.5100 (aec-mlb-cws-tor-2026-07-18).</t>
        </is>
      </c>
      <c r="AF7" s="31" t="inlineStr">
        <is>
          <t>Learned model; promotion gate not yet open; zero-unit research until review.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NO_CALL_MODEL_UNVALIDATED</t>
        </is>
      </c>
      <c r="AP7" s="24" t="inlineStr">
        <is>
          <t>mlb-cws</t>
        </is>
      </c>
      <c r="AQ7" s="24" t="inlineStr">
        <is>
          <t>Chicago White Sox</t>
        </is>
      </c>
      <c r="AR7" s="24" t="inlineStr">
        <is>
          <t>Chicago White Sox</t>
        </is>
      </c>
      <c r="AS7" s="24" t="inlineStr">
        <is>
          <t>mlb-tor</t>
        </is>
      </c>
      <c r="AT7" s="24" t="inlineStr">
        <is>
          <t>Toronto Blue Jays</t>
        </is>
      </c>
      <c r="AU7" s="24" t="inlineStr">
        <is>
          <t>Toronto Blue Jays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c97732889cfca1912f8d78791ff63f04ee3fe987951aced9e4fab541932597cd</t>
        </is>
      </c>
      <c r="BB7" s="24" t="inlineStr">
        <is>
          <t>learned_lr</t>
        </is>
      </c>
      <c r="BC7" s="24" t="inlineStr">
        <is>
          <t>mlb-elo-trend-lr-v3</t>
        </is>
      </c>
      <c r="BD7" s="24" t="inlineStr">
        <is>
          <t>c97732889cfca1912f8d78791ff63f04ee3fe987951aced9e4fab541932597cd</t>
        </is>
      </c>
      <c r="BE7" s="24" t="inlineStr">
        <is>
          <t>990421d336b67011</t>
        </is>
      </c>
      <c r="BF7" s="24" t="inlineStr">
        <is>
          <t>1</t>
        </is>
      </c>
      <c r="BG7" s="24" t="inlineStr">
        <is>
          <t>mlb-elo-trend-lr-v3</t>
        </is>
      </c>
      <c r="BH7" s="24" t="inlineStr">
        <is>
          <t>2026-07-18T16:42:50.404282Z</t>
        </is>
      </c>
      <c r="BI7" s="24" t="inlineStr">
        <is>
          <t>["same_event","same_team_same_day","same_league_same_day"]</t>
        </is>
      </c>
      <c r="BJ7" s="25" t="n"/>
      <c r="BK7" s="26" t="n">
        <v>-104</v>
      </c>
      <c r="BL7" s="27" t="n">
        <v>1.961538</v>
      </c>
      <c r="BM7" s="28" t="n">
        <v>0.509804</v>
      </c>
      <c r="BN7" s="28" t="n">
        <v>0.507463</v>
      </c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</row>
    <row r="8" ht="36" customHeight="1">
      <c r="A8" s="24" t="inlineStr">
        <is>
          <t>c7e4de168a8f4e3d</t>
        </is>
      </c>
      <c r="B8" s="24" t="inlineStr">
        <is>
          <t>2026-07-18T16:44:20.099051Z</t>
        </is>
      </c>
      <c r="C8" s="24" t="inlineStr">
        <is>
          <t>2026-07-18T19:10Z</t>
        </is>
      </c>
      <c r="D8" s="24" t="inlineStr">
        <is>
          <t>401816166</t>
        </is>
      </c>
      <c r="E8" s="24" t="inlineStr">
        <is>
          <t>MLB</t>
        </is>
      </c>
      <c r="F8" s="24" t="inlineStr">
        <is>
          <t>Cincinnati Reds</t>
        </is>
      </c>
      <c r="G8" s="24" t="inlineStr">
        <is>
          <t>Colorado Rockies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-104</v>
      </c>
      <c r="M8" s="27" t="n">
        <v>1.961538</v>
      </c>
      <c r="N8" s="28" t="n">
        <v>0.509804</v>
      </c>
      <c r="O8" s="28" t="n">
        <v>0.582367</v>
      </c>
      <c r="P8" s="28" t="n"/>
      <c r="Q8" s="28" t="n">
        <v>0.072563</v>
      </c>
      <c r="R8" s="26" t="n">
        <v>86</v>
      </c>
      <c r="S8" s="29" t="n">
        <v>0</v>
      </c>
      <c r="T8" s="24" t="inlineStr">
        <is>
          <t>mlb-elo-trend-lr-v3</t>
        </is>
      </c>
      <c r="U8" s="24" t="inlineStr">
        <is>
          <t>open</t>
        </is>
      </c>
      <c r="V8" s="24" t="n"/>
      <c r="W8" s="26" t="n"/>
      <c r="X8" s="26" t="n"/>
      <c r="Y8" s="25" t="n"/>
      <c r="Z8" s="26" t="n"/>
      <c r="AA8" s="28" t="n"/>
      <c r="AB8" s="28" t="n"/>
      <c r="AC8" s="30" t="n"/>
      <c r="AD8" s="24" t="n"/>
      <c r="AE8" s="31" t="inlineStr">
        <is>
          <t>Learned LR call at threshold 0.5500; executable ask 0.5100 (aec-mlb-cin-col-2026-07-18).</t>
        </is>
      </c>
      <c r="AF8" s="31" t="inlineStr">
        <is>
          <t>Learned model; promotion gate not yet open; zero-unit research until review.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NO_CALL_MODEL_UNVALIDATED</t>
        </is>
      </c>
      <c r="AP8" s="24" t="inlineStr">
        <is>
          <t>mlb-cin</t>
        </is>
      </c>
      <c r="AQ8" s="24" t="inlineStr">
        <is>
          <t>Cincinnati Reds</t>
        </is>
      </c>
      <c r="AR8" s="24" t="inlineStr">
        <is>
          <t>Cincinnati Reds</t>
        </is>
      </c>
      <c r="AS8" s="24" t="inlineStr">
        <is>
          <t>mlb-col</t>
        </is>
      </c>
      <c r="AT8" s="24" t="inlineStr">
        <is>
          <t>Colorado Rockies</t>
        </is>
      </c>
      <c r="AU8" s="24" t="inlineStr">
        <is>
          <t>Colorado Rockies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c97732889cfca1912f8d78791ff63f04ee3fe987951aced9e4fab541932597cd</t>
        </is>
      </c>
      <c r="BB8" s="24" t="inlineStr">
        <is>
          <t>learned_lr</t>
        </is>
      </c>
      <c r="BC8" s="24" t="inlineStr">
        <is>
          <t>mlb-elo-trend-lr-v3</t>
        </is>
      </c>
      <c r="BD8" s="24" t="inlineStr">
        <is>
          <t>c97732889cfca1912f8d78791ff63f04ee3fe987951aced9e4fab541932597cd</t>
        </is>
      </c>
      <c r="BE8" s="24" t="inlineStr">
        <is>
          <t>4215d10b9bfb4b91</t>
        </is>
      </c>
      <c r="BF8" s="24" t="inlineStr">
        <is>
          <t>1</t>
        </is>
      </c>
      <c r="BG8" s="24" t="inlineStr">
        <is>
          <t>mlb-elo-trend-lr-v3</t>
        </is>
      </c>
      <c r="BH8" s="24" t="inlineStr">
        <is>
          <t>2026-07-18T16:42:52.313468Z</t>
        </is>
      </c>
      <c r="BI8" s="24" t="inlineStr">
        <is>
          <t>["same_event","same_team_same_day","same_league_same_day"]</t>
        </is>
      </c>
      <c r="BJ8" s="25" t="n"/>
      <c r="BK8" s="26" t="n">
        <v>-104</v>
      </c>
      <c r="BL8" s="27" t="n">
        <v>1.961538</v>
      </c>
      <c r="BM8" s="28" t="n">
        <v>0.509804</v>
      </c>
      <c r="BN8" s="28" t="n">
        <v>0.507463</v>
      </c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</row>
    <row r="9" ht="36" customHeight="1">
      <c r="A9" s="24" t="inlineStr">
        <is>
          <t>2ec6744dbfd84ecf</t>
        </is>
      </c>
      <c r="B9" s="24" t="inlineStr">
        <is>
          <t>2026-07-18T16:44:20.099051Z</t>
        </is>
      </c>
      <c r="C9" s="24" t="inlineStr">
        <is>
          <t>2026-07-18T20:10Z</t>
        </is>
      </c>
      <c r="D9" s="24" t="inlineStr">
        <is>
          <t>401816161</t>
        </is>
      </c>
      <c r="E9" s="24" t="inlineStr">
        <is>
          <t>MLB</t>
        </is>
      </c>
      <c r="F9" s="24" t="inlineStr">
        <is>
          <t>Texas Rangers</t>
        </is>
      </c>
      <c r="G9" s="24" t="inlineStr">
        <is>
          <t>Atlanta Braves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-106</v>
      </c>
      <c r="M9" s="27" t="n">
        <v>1.943396</v>
      </c>
      <c r="N9" s="28" t="n">
        <v>0.514563</v>
      </c>
      <c r="O9" s="28" t="n">
        <v>0.550297</v>
      </c>
      <c r="P9" s="28" t="n"/>
      <c r="Q9" s="28" t="n">
        <v>0.035734</v>
      </c>
      <c r="R9" s="26" t="n">
        <v>68</v>
      </c>
      <c r="S9" s="29" t="n">
        <v>0</v>
      </c>
      <c r="T9" s="24" t="inlineStr">
        <is>
          <t>mlb-elo-trend-lr-v3</t>
        </is>
      </c>
      <c r="U9" s="24" t="inlineStr">
        <is>
          <t>open</t>
        </is>
      </c>
      <c r="V9" s="24" t="n"/>
      <c r="W9" s="26" t="n"/>
      <c r="X9" s="26" t="n"/>
      <c r="Y9" s="25" t="n"/>
      <c r="Z9" s="26" t="n"/>
      <c r="AA9" s="28" t="n"/>
      <c r="AB9" s="28" t="n"/>
      <c r="AC9" s="30" t="n"/>
      <c r="AD9" s="24" t="n"/>
      <c r="AE9" s="31" t="inlineStr">
        <is>
          <t>Learned LR call at threshold 0.5500; executable ask 0.5150 (aec-mlb-tex-atl-2026-07-18).</t>
        </is>
      </c>
      <c r="AF9" s="31" t="inlineStr">
        <is>
          <t>Learned model; promotion gate not yet open; zero-unit research until review.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NO_CALL_MODEL_UNVALIDATED</t>
        </is>
      </c>
      <c r="AP9" s="24" t="inlineStr">
        <is>
          <t>mlb-tex</t>
        </is>
      </c>
      <c r="AQ9" s="24" t="inlineStr">
        <is>
          <t>Texas Rangers</t>
        </is>
      </c>
      <c r="AR9" s="24" t="inlineStr">
        <is>
          <t>Texas Rangers</t>
        </is>
      </c>
      <c r="AS9" s="24" t="inlineStr">
        <is>
          <t>mlb-atl</t>
        </is>
      </c>
      <c r="AT9" s="24" t="inlineStr">
        <is>
          <t>Atlanta Braves</t>
        </is>
      </c>
      <c r="AU9" s="24" t="inlineStr">
        <is>
          <t>Atlanta Braves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c97732889cfca1912f8d78791ff63f04ee3fe987951aced9e4fab541932597cd</t>
        </is>
      </c>
      <c r="BB9" s="24" t="inlineStr">
        <is>
          <t>learned_lr</t>
        </is>
      </c>
      <c r="BC9" s="24" t="inlineStr">
        <is>
          <t>mlb-elo-trend-lr-v3</t>
        </is>
      </c>
      <c r="BD9" s="24" t="inlineStr">
        <is>
          <t>c97732889cfca1912f8d78791ff63f04ee3fe987951aced9e4fab541932597cd</t>
        </is>
      </c>
      <c r="BE9" s="24" t="inlineStr">
        <is>
          <t>a999da31a6f5af28</t>
        </is>
      </c>
      <c r="BF9" s="24" t="inlineStr">
        <is>
          <t>1</t>
        </is>
      </c>
      <c r="BG9" s="24" t="inlineStr">
        <is>
          <t>mlb-elo-trend-lr-v3</t>
        </is>
      </c>
      <c r="BH9" s="24" t="inlineStr">
        <is>
          <t>2026-07-18T16:42:57.199270Z</t>
        </is>
      </c>
      <c r="BI9" s="24" t="inlineStr">
        <is>
          <t>["same_event","same_team_same_day","same_league_same_day"]</t>
        </is>
      </c>
      <c r="BJ9" s="25" t="n"/>
      <c r="BK9" s="26" t="n">
        <v>-106</v>
      </c>
      <c r="BL9" s="27" t="n">
        <v>1.943396</v>
      </c>
      <c r="BM9" s="28" t="n">
        <v>0.514563</v>
      </c>
      <c r="BN9" s="28" t="n">
        <v>0.5124379999999999</v>
      </c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</row>
    <row r="10" ht="36" customHeight="1">
      <c r="A10" s="24" t="inlineStr">
        <is>
          <t>634e9b9c56164f59</t>
        </is>
      </c>
      <c r="B10" s="24" t="inlineStr">
        <is>
          <t>2026-07-18T16:44:20.099051Z</t>
        </is>
      </c>
      <c r="C10" s="24" t="inlineStr">
        <is>
          <t>2026-07-18T23:10Z</t>
        </is>
      </c>
      <c r="D10" s="24" t="inlineStr">
        <is>
          <t>401816159</t>
        </is>
      </c>
      <c r="E10" s="24" t="inlineStr">
        <is>
          <t>MLB</t>
        </is>
      </c>
      <c r="F10" s="24" t="inlineStr">
        <is>
          <t>Pittsburgh Pirates</t>
        </is>
      </c>
      <c r="G10" s="24" t="inlineStr">
        <is>
          <t>Cleveland Guardians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-102</v>
      </c>
      <c r="M10" s="27" t="n">
        <v>1.980392</v>
      </c>
      <c r="N10" s="28" t="n">
        <v>0.50495</v>
      </c>
      <c r="O10" s="28" t="n">
        <v>0.554084</v>
      </c>
      <c r="P10" s="28" t="n"/>
      <c r="Q10" s="28" t="n">
        <v>0.049134</v>
      </c>
      <c r="R10" s="26" t="n">
        <v>75</v>
      </c>
      <c r="S10" s="29" t="n">
        <v>0</v>
      </c>
      <c r="T10" s="24" t="inlineStr">
        <is>
          <t>mlb-elo-trend-lr-v3</t>
        </is>
      </c>
      <c r="U10" s="24" t="inlineStr">
        <is>
          <t>open</t>
        </is>
      </c>
      <c r="V10" s="24" t="n"/>
      <c r="W10" s="26" t="n"/>
      <c r="X10" s="26" t="n"/>
      <c r="Y10" s="25" t="n"/>
      <c r="Z10" s="26" t="n"/>
      <c r="AA10" s="28" t="n"/>
      <c r="AB10" s="28" t="n"/>
      <c r="AC10" s="30" t="n"/>
      <c r="AD10" s="24" t="n"/>
      <c r="AE10" s="31" t="inlineStr">
        <is>
          <t>Learned LR call at threshold 0.5500; executable ask 0.5050 (aec-mlb-pit-cle-2026-07-18).</t>
        </is>
      </c>
      <c r="AF10" s="31" t="inlineStr">
        <is>
          <t>Learned model; promotion gate not yet open; zero-unit research until review.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mlb-pit</t>
        </is>
      </c>
      <c r="AQ10" s="24" t="inlineStr">
        <is>
          <t>Pittsburgh Pirates</t>
        </is>
      </c>
      <c r="AR10" s="24" t="inlineStr">
        <is>
          <t>Pittsburgh Pirates</t>
        </is>
      </c>
      <c r="AS10" s="24" t="inlineStr">
        <is>
          <t>mlb-cle</t>
        </is>
      </c>
      <c r="AT10" s="24" t="inlineStr">
        <is>
          <t>Cleveland Guardians</t>
        </is>
      </c>
      <c r="AU10" s="24" t="inlineStr">
        <is>
          <t>Cleveland Guardians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c97732889cfca1912f8d78791ff63f04ee3fe987951aced9e4fab541932597cd</t>
        </is>
      </c>
      <c r="BB10" s="24" t="inlineStr">
        <is>
          <t>learned_lr</t>
        </is>
      </c>
      <c r="BC10" s="24" t="inlineStr">
        <is>
          <t>mlb-elo-trend-lr-v3</t>
        </is>
      </c>
      <c r="BD10" s="24" t="inlineStr">
        <is>
          <t>c97732889cfca1912f8d78791ff63f04ee3fe987951aced9e4fab541932597cd</t>
        </is>
      </c>
      <c r="BE10" s="24" t="inlineStr">
        <is>
          <t>3c0f9e9f1d0333c4</t>
        </is>
      </c>
      <c r="BF10" s="24" t="inlineStr">
        <is>
          <t>1</t>
        </is>
      </c>
      <c r="BG10" s="24" t="inlineStr">
        <is>
          <t>mlb-elo-trend-lr-v3</t>
        </is>
      </c>
      <c r="BH10" s="24" t="inlineStr">
        <is>
          <t>2026-07-18T16:42:59.880808Z</t>
        </is>
      </c>
      <c r="BI10" s="24" t="inlineStr">
        <is>
          <t>["same_event","same_team_same_day","same_league_same_day"]</t>
        </is>
      </c>
      <c r="BJ10" s="25" t="n"/>
      <c r="BK10" s="26" t="n">
        <v>-102</v>
      </c>
      <c r="BL10" s="27" t="n">
        <v>1.980392</v>
      </c>
      <c r="BM10" s="28" t="n">
        <v>0.50495</v>
      </c>
      <c r="BN10" s="28" t="n">
        <v>0.502488</v>
      </c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</row>
    <row r="11" ht="36" customHeight="1">
      <c r="A11" s="24" t="inlineStr">
        <is>
          <t>0a1abd6e59a84720</t>
        </is>
      </c>
      <c r="B11" s="24" t="inlineStr">
        <is>
          <t>2026-07-18T16:44:20.099051Z</t>
        </is>
      </c>
      <c r="C11" s="24" t="inlineStr">
        <is>
          <t>2026-07-19T00:08Z</t>
        </is>
      </c>
      <c r="D11" s="24" t="inlineStr">
        <is>
          <t>401816168</t>
        </is>
      </c>
      <c r="E11" s="24" t="inlineStr">
        <is>
          <t>MLB</t>
        </is>
      </c>
      <c r="F11" s="24" t="inlineStr">
        <is>
          <t>San Francisco Giants</t>
        </is>
      </c>
      <c r="G11" s="24" t="inlineStr">
        <is>
          <t>Seattle Mariners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-138</v>
      </c>
      <c r="M11" s="27" t="n">
        <v>1.724638</v>
      </c>
      <c r="N11" s="28" t="n">
        <v>0.579832</v>
      </c>
      <c r="O11" s="28" t="n">
        <v>0.627758</v>
      </c>
      <c r="P11" s="28" t="n"/>
      <c r="Q11" s="28" t="n">
        <v>0.047926</v>
      </c>
      <c r="R11" s="26" t="n">
        <v>74</v>
      </c>
      <c r="S11" s="29" t="n">
        <v>0</v>
      </c>
      <c r="T11" s="24" t="inlineStr">
        <is>
          <t>mlb-elo-trend-lr-v3</t>
        </is>
      </c>
      <c r="U11" s="24" t="inlineStr">
        <is>
          <t>open</t>
        </is>
      </c>
      <c r="V11" s="24" t="n"/>
      <c r="W11" s="26" t="n"/>
      <c r="X11" s="26" t="n"/>
      <c r="Y11" s="25" t="n"/>
      <c r="Z11" s="26" t="n"/>
      <c r="AA11" s="28" t="n"/>
      <c r="AB11" s="28" t="n"/>
      <c r="AC11" s="30" t="n"/>
      <c r="AD11" s="24" t="n"/>
      <c r="AE11" s="31" t="inlineStr">
        <is>
          <t>Learned LR call at threshold 0.5500; executable ask 0.5800 (aec-mlb-sf-sea-2026-07-18).</t>
        </is>
      </c>
      <c r="AF11" s="31" t="inlineStr">
        <is>
          <t>Learned model; promotion gate not yet open; zero-unit research until review.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mlb-sf</t>
        </is>
      </c>
      <c r="AQ11" s="24" t="inlineStr">
        <is>
          <t>San Francisco Giants</t>
        </is>
      </c>
      <c r="AR11" s="24" t="inlineStr">
        <is>
          <t>San Francisco Giants</t>
        </is>
      </c>
      <c r="AS11" s="24" t="inlineStr">
        <is>
          <t>mlb-sea</t>
        </is>
      </c>
      <c r="AT11" s="24" t="inlineStr">
        <is>
          <t>Seattle Mariners</t>
        </is>
      </c>
      <c r="AU11" s="24" t="inlineStr">
        <is>
          <t>Seattle Mariners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c97732889cfca1912f8d78791ff63f04ee3fe987951aced9e4fab541932597cd</t>
        </is>
      </c>
      <c r="BB11" s="24" t="inlineStr">
        <is>
          <t>learned_lr</t>
        </is>
      </c>
      <c r="BC11" s="24" t="inlineStr">
        <is>
          <t>mlb-elo-trend-lr-v3</t>
        </is>
      </c>
      <c r="BD11" s="24" t="inlineStr">
        <is>
          <t>c97732889cfca1912f8d78791ff63f04ee3fe987951aced9e4fab541932597cd</t>
        </is>
      </c>
      <c r="BE11" s="24" t="inlineStr">
        <is>
          <t>29d502a7704e228f</t>
        </is>
      </c>
      <c r="BF11" s="24" t="inlineStr">
        <is>
          <t>1</t>
        </is>
      </c>
      <c r="BG11" s="24" t="inlineStr">
        <is>
          <t>mlb-elo-trend-lr-v3</t>
        </is>
      </c>
      <c r="BH11" s="24" t="inlineStr">
        <is>
          <t>2026-07-18T16:43:04.779295Z</t>
        </is>
      </c>
      <c r="BI11" s="24" t="inlineStr">
        <is>
          <t>["same_event","same_team_same_day","same_league_same_day"]</t>
        </is>
      </c>
      <c r="BJ11" s="25" t="n"/>
      <c r="BK11" s="26" t="n">
        <v>-138</v>
      </c>
      <c r="BL11" s="27" t="n">
        <v>1.724638</v>
      </c>
      <c r="BM11" s="28" t="n">
        <v>0.579832</v>
      </c>
      <c r="BN11" s="28" t="n">
        <v>0.577114</v>
      </c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</row>
    <row r="12" ht="36" customHeight="1">
      <c r="A12" s="24" t="inlineStr">
        <is>
          <t>534daa3057c4428f</t>
        </is>
      </c>
      <c r="B12" s="24" t="inlineStr">
        <is>
          <t>2026-07-18T16:44:20.099051Z</t>
        </is>
      </c>
      <c r="C12" s="24" t="inlineStr">
        <is>
          <t>2026-07-19T02:05Z</t>
        </is>
      </c>
      <c r="D12" s="24" t="inlineStr">
        <is>
          <t>401816170</t>
        </is>
      </c>
      <c r="E12" s="24" t="inlineStr">
        <is>
          <t>MLB</t>
        </is>
      </c>
      <c r="F12" s="24" t="inlineStr">
        <is>
          <t>Washington Nationals</t>
        </is>
      </c>
      <c r="G12" s="24" t="inlineStr">
        <is>
          <t>Athletics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102</v>
      </c>
      <c r="M12" s="27" t="n">
        <v>2.02</v>
      </c>
      <c r="N12" s="28" t="n">
        <v>0.49505</v>
      </c>
      <c r="O12" s="28" t="n">
        <v>0.569735</v>
      </c>
      <c r="P12" s="28" t="n"/>
      <c r="Q12" s="28" t="n">
        <v>0.074685</v>
      </c>
      <c r="R12" s="26" t="n">
        <v>87</v>
      </c>
      <c r="S12" s="29" t="n">
        <v>0</v>
      </c>
      <c r="T12" s="24" t="inlineStr">
        <is>
          <t>mlb-elo-trend-lr-v3</t>
        </is>
      </c>
      <c r="U12" s="24" t="inlineStr">
        <is>
          <t>open</t>
        </is>
      </c>
      <c r="V12" s="24" t="n"/>
      <c r="W12" s="26" t="n"/>
      <c r="X12" s="26" t="n"/>
      <c r="Y12" s="25" t="n"/>
      <c r="Z12" s="26" t="n"/>
      <c r="AA12" s="28" t="n"/>
      <c r="AB12" s="28" t="n"/>
      <c r="AC12" s="30" t="n"/>
      <c r="AD12" s="24" t="n"/>
      <c r="AE12" s="31" t="inlineStr">
        <is>
          <t>Learned LR call at threshold 0.5500; executable ask 0.4950 (aec-mlb-wsh-ath-2026-07-18).</t>
        </is>
      </c>
      <c r="AF12" s="31" t="inlineStr">
        <is>
          <t>Learned model; promotion gate not yet open; zero-unit research until review.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NO_CALL_MODEL_UNVALIDATED</t>
        </is>
      </c>
      <c r="AP12" s="24" t="inlineStr">
        <is>
          <t>mlb-wsh</t>
        </is>
      </c>
      <c r="AQ12" s="24" t="inlineStr">
        <is>
          <t>Washington Nationals</t>
        </is>
      </c>
      <c r="AR12" s="24" t="inlineStr">
        <is>
          <t>Washington Nationals</t>
        </is>
      </c>
      <c r="AS12" s="24" t="inlineStr">
        <is>
          <t>mlb-ath</t>
        </is>
      </c>
      <c r="AT12" s="24" t="inlineStr">
        <is>
          <t>Athletics</t>
        </is>
      </c>
      <c r="AU12" s="24" t="inlineStr">
        <is>
          <t>Athletics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research</t>
        </is>
      </c>
      <c r="BA12" s="24" t="inlineStr">
        <is>
          <t>c97732889cfca1912f8d78791ff63f04ee3fe987951aced9e4fab541932597cd</t>
        </is>
      </c>
      <c r="BB12" s="24" t="inlineStr">
        <is>
          <t>learned_lr</t>
        </is>
      </c>
      <c r="BC12" s="24" t="inlineStr">
        <is>
          <t>mlb-elo-trend-lr-v3</t>
        </is>
      </c>
      <c r="BD12" s="24" t="inlineStr">
        <is>
          <t>c97732889cfca1912f8d78791ff63f04ee3fe987951aced9e4fab541932597cd</t>
        </is>
      </c>
      <c r="BE12" s="24" t="inlineStr">
        <is>
          <t>d2faed7be6c04691</t>
        </is>
      </c>
      <c r="BF12" s="24" t="inlineStr">
        <is>
          <t>1</t>
        </is>
      </c>
      <c r="BG12" s="24" t="inlineStr">
        <is>
          <t>mlb-elo-trend-lr-v3</t>
        </is>
      </c>
      <c r="BH12" s="24" t="inlineStr">
        <is>
          <t>2026-07-18T16:43:06.321641Z</t>
        </is>
      </c>
      <c r="BI12" s="24" t="inlineStr">
        <is>
          <t>["same_event","same_team_same_day","same_league_same_day"]</t>
        </is>
      </c>
      <c r="BJ12" s="25" t="n"/>
      <c r="BK12" s="26" t="n">
        <v>102</v>
      </c>
      <c r="BL12" s="27" t="n">
        <v>2.02</v>
      </c>
      <c r="BM12" s="28" t="n">
        <v>0.49505</v>
      </c>
      <c r="BN12" s="28" t="n">
        <v>0.492537</v>
      </c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</row>
    <row r="13" ht="36" customHeight="1">
      <c r="A13" s="24" t="inlineStr">
        <is>
          <t>5ab4cdd6444d4f9b</t>
        </is>
      </c>
      <c r="B13" s="24" t="inlineStr">
        <is>
          <t>2026-07-18T16:50:38.270483Z</t>
        </is>
      </c>
      <c r="C13" s="24" t="inlineStr">
        <is>
          <t>2026-07-18T20:10Z</t>
        </is>
      </c>
      <c r="D13" s="24" t="inlineStr">
        <is>
          <t>401816162</t>
        </is>
      </c>
      <c r="E13" s="24" t="inlineStr">
        <is>
          <t>MLB</t>
        </is>
      </c>
      <c r="F13" s="24" t="inlineStr">
        <is>
          <t>Baltimore Orioles</t>
        </is>
      </c>
      <c r="G13" s="24" t="inlineStr">
        <is>
          <t>Houston Astros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-102</v>
      </c>
      <c r="M13" s="27" t="n">
        <v>1.980392</v>
      </c>
      <c r="N13" s="28" t="n">
        <v>0.50495</v>
      </c>
      <c r="O13" s="28" t="n">
        <v>0.545167</v>
      </c>
      <c r="P13" s="28" t="n"/>
      <c r="Q13" s="28" t="n">
        <v>0.040217</v>
      </c>
      <c r="R13" s="26" t="n">
        <v>70</v>
      </c>
      <c r="S13" s="29" t="n">
        <v>0</v>
      </c>
      <c r="T13" s="24" t="inlineStr">
        <is>
          <t>mlb-elo-trend-lr-v3</t>
        </is>
      </c>
      <c r="U13" s="24" t="inlineStr">
        <is>
          <t>open</t>
        </is>
      </c>
      <c r="V13" s="24" t="n"/>
      <c r="W13" s="26" t="n"/>
      <c r="X13" s="26" t="n"/>
      <c r="Y13" s="25" t="n"/>
      <c r="Z13" s="26" t="n"/>
      <c r="AA13" s="28" t="n"/>
      <c r="AB13" s="28" t="n"/>
      <c r="AC13" s="30" t="n"/>
      <c r="AD13" s="24" t="n"/>
      <c r="AE13" s="31" t="inlineStr">
        <is>
          <t>Learned LR call at threshold 0.5100; executable ask 0.5050 (aec-mlb-bal-hou-2026-07-18).</t>
        </is>
      </c>
      <c r="AF13" s="31" t="inlineStr">
        <is>
          <t>Learned model; promotion gate not yet open; zero-unit research until review.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NO_CALL_MODEL_UNVALIDATED</t>
        </is>
      </c>
      <c r="AP13" s="24" t="inlineStr">
        <is>
          <t>mlb-bal</t>
        </is>
      </c>
      <c r="AQ13" s="24" t="inlineStr">
        <is>
          <t>Baltimore Orioles</t>
        </is>
      </c>
      <c r="AR13" s="24" t="inlineStr">
        <is>
          <t>Baltimore Orioles</t>
        </is>
      </c>
      <c r="AS13" s="24" t="inlineStr">
        <is>
          <t>mlb-hou</t>
        </is>
      </c>
      <c r="AT13" s="24" t="inlineStr">
        <is>
          <t>Houston Astros</t>
        </is>
      </c>
      <c r="AU13" s="24" t="inlineStr">
        <is>
          <t>Houston Astros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research</t>
        </is>
      </c>
      <c r="BA13" s="24" t="inlineStr">
        <is>
          <t>40e5d70a6fae1347ad85569354088d9df4f2d6970f7d7c2f9d4924d65efd0c19</t>
        </is>
      </c>
      <c r="BB13" s="24" t="inlineStr">
        <is>
          <t>learned_lr</t>
        </is>
      </c>
      <c r="BC13" s="24" t="inlineStr">
        <is>
          <t>mlb-elo-trend-lr-v3</t>
        </is>
      </c>
      <c r="BD13" s="24" t="inlineStr">
        <is>
          <t>40e5d70a6fae1347ad85569354088d9df4f2d6970f7d7c2f9d4924d65efd0c19</t>
        </is>
      </c>
      <c r="BE13" s="24" t="inlineStr">
        <is>
          <t>f6cae9c590f4ed48</t>
        </is>
      </c>
      <c r="BF13" s="24" t="inlineStr">
        <is>
          <t>1</t>
        </is>
      </c>
      <c r="BG13" s="24" t="inlineStr">
        <is>
          <t>mlb-elo-trend-lr-v3</t>
        </is>
      </c>
      <c r="BH13" s="24" t="inlineStr">
        <is>
          <t>2026-07-18T16:49:31.642864Z</t>
        </is>
      </c>
      <c r="BI13" s="24" t="inlineStr">
        <is>
          <t>["same_event","same_team_same_day","same_league_same_day"]</t>
        </is>
      </c>
      <c r="BJ13" s="25" t="n"/>
      <c r="BK13" s="26" t="n">
        <v>-102</v>
      </c>
      <c r="BL13" s="27" t="n">
        <v>1.980392</v>
      </c>
      <c r="BM13" s="28" t="n">
        <v>0.50495</v>
      </c>
      <c r="BN13" s="28" t="n">
        <v>0.502488</v>
      </c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</row>
    <row r="14" ht="36" customHeight="1">
      <c r="A14" s="24" t="inlineStr">
        <is>
          <t>87feefaaee354c43</t>
        </is>
      </c>
      <c r="B14" s="24" t="inlineStr">
        <is>
          <t>2026-07-18T16:50:38.270483Z</t>
        </is>
      </c>
      <c r="C14" s="24" t="inlineStr">
        <is>
          <t>2026-07-19T00:08Z</t>
        </is>
      </c>
      <c r="D14" s="24" t="inlineStr">
        <is>
          <t>401816157</t>
        </is>
      </c>
      <c r="E14" s="24" t="inlineStr">
        <is>
          <t>MLB</t>
        </is>
      </c>
      <c r="F14" s="24" t="inlineStr">
        <is>
          <t>Los Angeles Dodgers</t>
        </is>
      </c>
      <c r="G14" s="24" t="inlineStr">
        <is>
          <t>New York Yankees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102</v>
      </c>
      <c r="M14" s="27" t="n">
        <v>2.02</v>
      </c>
      <c r="N14" s="28" t="n">
        <v>0.49505</v>
      </c>
      <c r="O14" s="28" t="n">
        <v>0.532568</v>
      </c>
      <c r="P14" s="28" t="n"/>
      <c r="Q14" s="28" t="n">
        <v>0.037518</v>
      </c>
      <c r="R14" s="26" t="n">
        <v>69</v>
      </c>
      <c r="S14" s="29" t="n">
        <v>0</v>
      </c>
      <c r="T14" s="24" t="inlineStr">
        <is>
          <t>mlb-elo-trend-lr-v3</t>
        </is>
      </c>
      <c r="U14" s="24" t="inlineStr">
        <is>
          <t>open</t>
        </is>
      </c>
      <c r="V14" s="24" t="n"/>
      <c r="W14" s="26" t="n"/>
      <c r="X14" s="26" t="n"/>
      <c r="Y14" s="25" t="n"/>
      <c r="Z14" s="26" t="n"/>
      <c r="AA14" s="28" t="n"/>
      <c r="AB14" s="28" t="n"/>
      <c r="AC14" s="30" t="n"/>
      <c r="AD14" s="24" t="n"/>
      <c r="AE14" s="31" t="inlineStr">
        <is>
          <t>Learned LR call at threshold 0.5100; executable ask 0.4950 (aec-mlb-lad-nyy-2026-07-18).</t>
        </is>
      </c>
      <c r="AF14" s="31" t="inlineStr">
        <is>
          <t>Learned model; promotion gate not yet open; zero-unit research until review.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NO_CALL_MODEL_UNVALIDATED</t>
        </is>
      </c>
      <c r="AP14" s="24" t="inlineStr">
        <is>
          <t>mlb-lad</t>
        </is>
      </c>
      <c r="AQ14" s="24" t="inlineStr">
        <is>
          <t>Los Angeles Dodgers</t>
        </is>
      </c>
      <c r="AR14" s="24" t="inlineStr">
        <is>
          <t>Los Angeles Dodgers</t>
        </is>
      </c>
      <c r="AS14" s="24" t="inlineStr">
        <is>
          <t>mlb-nyy</t>
        </is>
      </c>
      <c r="AT14" s="24" t="inlineStr">
        <is>
          <t>New York Yankees</t>
        </is>
      </c>
      <c r="AU14" s="24" t="inlineStr">
        <is>
          <t>New York Yankees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research</t>
        </is>
      </c>
      <c r="BA14" s="24" t="inlineStr">
        <is>
          <t>40e5d70a6fae1347ad85569354088d9df4f2d6970f7d7c2f9d4924d65efd0c19</t>
        </is>
      </c>
      <c r="BB14" s="24" t="inlineStr">
        <is>
          <t>learned_lr</t>
        </is>
      </c>
      <c r="BC14" s="24" t="inlineStr">
        <is>
          <t>mlb-elo-trend-lr-v3</t>
        </is>
      </c>
      <c r="BD14" s="24" t="inlineStr">
        <is>
          <t>40e5d70a6fae1347ad85569354088d9df4f2d6970f7d7c2f9d4924d65efd0c19</t>
        </is>
      </c>
      <c r="BE14" s="24" t="inlineStr">
        <is>
          <t>3492e72a2faca7c7</t>
        </is>
      </c>
      <c r="BF14" s="24" t="inlineStr">
        <is>
          <t>1</t>
        </is>
      </c>
      <c r="BG14" s="24" t="inlineStr">
        <is>
          <t>mlb-elo-trend-lr-v3</t>
        </is>
      </c>
      <c r="BH14" s="24" t="inlineStr">
        <is>
          <t>2026-07-18T16:49:36.781770Z</t>
        </is>
      </c>
      <c r="BI14" s="24" t="inlineStr">
        <is>
          <t>["same_event","same_team_same_day","same_league_same_day"]</t>
        </is>
      </c>
      <c r="BJ14" s="25" t="n"/>
      <c r="BK14" s="26" t="n">
        <v>102</v>
      </c>
      <c r="BL14" s="27" t="n">
        <v>2.02</v>
      </c>
      <c r="BM14" s="28" t="n">
        <v>0.49505</v>
      </c>
      <c r="BN14" s="28" t="n">
        <v>0.492537</v>
      </c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2026-07-18T16:50:38Z</dcterms:created>
  <dcterms:modified xsi:type="dcterms:W3CDTF">2026-07-18T16:50:38Z</dcterms:modified>
</cp:coreProperties>
</file>