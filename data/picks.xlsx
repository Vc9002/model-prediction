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70" headerRowCount="1">
  <autoFilter ref="A1:CO7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COUNTA('Picks'!$A$2:$A$70)</f>
        <v/>
      </c>
      <c r="C4" s="6">
        <f>COUNTIF('Picks'!$U$2:$U$70,"open")</f>
        <v/>
      </c>
      <c r="E4" s="6">
        <f>COUNTIF('Picks'!$U$2:$U$70,"settled")</f>
        <v/>
      </c>
      <c r="G4" s="6">
        <f>IF(COUNTIFS('Picks'!$U$2:$U$70,"settled",'Picks'!$V$2:$V$70,"win")+COUNTIFS('Picks'!$U$2:$U$70,"settled",'Picks'!$V$2:$V$70,"loss")&gt;=$L$2,"Ready","Insufficient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COUNTIF('Picks'!$BX$2:$BX$70,"&gt;0")</f>
        <v/>
      </c>
      <c r="C7" s="6">
        <f>COUNTIFS('Picks'!$BX$2:$BX$70,"&gt;0",'Picks'!$V$2:$V$70,"win")&amp;"-"&amp;COUNTIFS('Picks'!$BX$2:$BX$70,"&gt;0",'Picks'!$V$2:$V$70,"loss")</f>
        <v/>
      </c>
      <c r="E7" s="7">
        <f>IFERROR(COUNTIFS('Picks'!$BX$2:$BX$70,"&gt;0",'Picks'!$V$2:$V$70,"win")/(COUNTIFS('Picks'!$BX$2:$BX$70,"&gt;0",'Picks'!$V$2:$V$70,"win")+COUNTIFS('Picks'!$BX$2:$BX$70,"&gt;0",'Picks'!$V$2:$V$70,"loss")),0)</f>
        <v/>
      </c>
      <c r="G7" s="7">
        <f>IFERROR(SUM('Picks'!$BY$2:$BY$70)/SUM('Picks'!$BX$2:$BX$70),0)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SUM('Picks'!$BY$2:$BY$70)</f>
        <v/>
      </c>
      <c r="C10" s="9">
        <f>IFERROR(AVERAGEIF('Picks'!$AB$2:$AB$70,"&lt;&gt;",'Picks'!$AB$2:$AB$70),0)</f>
        <v/>
      </c>
      <c r="E10" s="6">
        <f>COUNTIFS('Picks'!$AM$2:$AM$70,"QUALIFIED_SHADOW_CALL",'Picks'!$U$2:$U$70,"settled")</f>
        <v/>
      </c>
      <c r="G10" s="8">
        <f>SUMIFS('Picks'!$AC$2:$AC$70,'Picks'!$AM$2:$AM$70,"QUALIFIED_SHADOW_CALL")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COUNTIFS('Picks'!$H$2:$H$70,$A14,'Picks'!$U$2:$U$70,"settled")</f>
        <v/>
      </c>
      <c r="C14" s="13">
        <f>COUNTIFS('Picks'!$H$2:$H$70,$A14,'Picks'!$U$2:$U$70,"settled",'Picks'!$V$2:$V$70,"win")</f>
        <v/>
      </c>
      <c r="D14" s="13">
        <f>COUNTIFS('Picks'!$H$2:$H$70,$A14,'Picks'!$U$2:$U$70,"settled",'Picks'!$V$2:$V$70,"loss")</f>
        <v/>
      </c>
      <c r="E14" s="14">
        <f>IFERROR(C14/(C14+D14),0)</f>
        <v/>
      </c>
      <c r="F14" s="15">
        <f>SUMIFS('Picks'!$BY$2:$BY$70,'Picks'!$H$2:$H$70,$A14)</f>
        <v/>
      </c>
      <c r="G14" s="16">
        <f>IFERROR(AVERAGEIFS('Picks'!$AB$2:$AB$70,'Picks'!$H$2:$H$70,$A14,'Picks'!$U$2:$U$70,"settled"),0)</f>
        <v/>
      </c>
    </row>
    <row r="15">
      <c r="A15" s="17" t="inlineStr">
        <is>
          <t>spread</t>
        </is>
      </c>
      <c r="B15" s="18">
        <f>COUNTIFS('Picks'!$H$2:$H$70,$A15,'Picks'!$U$2:$U$70,"settled")</f>
        <v/>
      </c>
      <c r="C15" s="18">
        <f>COUNTIFS('Picks'!$H$2:$H$70,$A15,'Picks'!$U$2:$U$70,"settled",'Picks'!$V$2:$V$70,"win")</f>
        <v/>
      </c>
      <c r="D15" s="18">
        <f>COUNTIFS('Picks'!$H$2:$H$70,$A15,'Picks'!$U$2:$U$70,"settled",'Picks'!$V$2:$V$70,"loss")</f>
        <v/>
      </c>
      <c r="E15" s="19">
        <f>IFERROR(C15/(C15+D15),0)</f>
        <v/>
      </c>
      <c r="F15" s="20">
        <f>SUMIFS('Picks'!$BY$2:$BY$70,'Picks'!$H$2:$H$70,$A15)</f>
        <v/>
      </c>
      <c r="G15" s="21">
        <f>IFERROR(AVERAGEIFS('Picks'!$AB$2:$AB$70,'Picks'!$H$2:$H$70,$A15,'Picks'!$U$2:$U$70,"settled"),0)</f>
        <v/>
      </c>
    </row>
    <row r="16">
      <c r="A16" s="12" t="inlineStr">
        <is>
          <t>total</t>
        </is>
      </c>
      <c r="B16" s="13">
        <f>COUNTIFS('Picks'!$H$2:$H$70,$A16,'Picks'!$U$2:$U$70,"settled")</f>
        <v/>
      </c>
      <c r="C16" s="13">
        <f>COUNTIFS('Picks'!$H$2:$H$70,$A16,'Picks'!$U$2:$U$70,"settled",'Picks'!$V$2:$V$70,"win")</f>
        <v/>
      </c>
      <c r="D16" s="13">
        <f>COUNTIFS('Picks'!$H$2:$H$70,$A16,'Picks'!$U$2:$U$70,"settled",'Picks'!$V$2:$V$70,"loss")</f>
        <v/>
      </c>
      <c r="E16" s="14">
        <f>IFERROR(C16/(C16+D16),0)</f>
        <v/>
      </c>
      <c r="F16" s="15">
        <f>SUMIFS('Picks'!$BY$2:$BY$70,'Picks'!$H$2:$H$70,$A16)</f>
        <v/>
      </c>
      <c r="G16" s="16">
        <f>IFERROR(AVERAGEIFS('Picks'!$AB$2:$AB$70,'Picks'!$H$2:$H$70,$A16,'Picks'!$U$2:$U$70,"settled"),0)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37906b81d00f4f9b</t>
        </is>
      </c>
      <c r="B4" s="24" t="inlineStr">
        <is>
          <t>2026-07-30T16:02:41.811013Z</t>
        </is>
      </c>
      <c r="C4" s="24" t="inlineStr">
        <is>
          <t>2026-07-30T12:10:00-0400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-160</v>
      </c>
      <c r="M4" s="27" t="n">
        <v>1.625</v>
      </c>
      <c r="N4" s="28" t="n">
        <v>0.615385</v>
      </c>
      <c r="O4" s="28" t="n">
        <v>0.560375</v>
      </c>
      <c r="P4" s="28" t="n"/>
      <c r="Q4" s="28" t="n">
        <v>-0.05501</v>
      </c>
      <c r="R4" s="26" t="n">
        <v>0</v>
      </c>
      <c r="S4" s="29" t="n">
        <v>1</v>
      </c>
      <c r="T4" s="24" t="inlineStr">
        <is>
          <t>mlb-elo-trend-lr-v7</t>
        </is>
      </c>
      <c r="U4" s="24" t="inlineStr">
        <is>
          <t>settled</t>
        </is>
      </c>
      <c r="V4" s="24" t="inlineStr">
        <is>
          <t>win</t>
        </is>
      </c>
      <c r="W4" s="26" t="n">
        <v>2</v>
      </c>
      <c r="X4" s="26" t="n">
        <v>3</v>
      </c>
      <c r="Y4" s="25" t="n"/>
      <c r="Z4" s="26" t="n">
        <v>-160</v>
      </c>
      <c r="AA4" s="28" t="n">
        <v>0.615</v>
      </c>
      <c r="AB4" s="28" t="n">
        <v>-0.000385</v>
      </c>
      <c r="AC4" s="30" t="n">
        <v>0.625</v>
      </c>
      <c r="AD4" s="24" t="inlineStr">
        <is>
          <t>2026-07-30T21:05:52.075136Z</t>
        </is>
      </c>
      <c r="AE4" s="31" t="inlineStr">
        <is>
          <t>Learned LR call at threshold 0.6242; executable ask 0.6150 (aec-mlb-tex-tb-2026-07-30); model edge vs ask -0.0546.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464eef695bfbbdaa819ec6f5e4c5bd1068ed20b92915fb2677220ae91e20d8b6</t>
        </is>
      </c>
      <c r="BB4" s="24" t="inlineStr">
        <is>
          <t>learned_lr</t>
        </is>
      </c>
      <c r="BC4" s="24" t="inlineStr">
        <is>
          <t>mlb-elo-trend-lr-v7</t>
        </is>
      </c>
      <c r="BD4" s="24" t="inlineStr">
        <is>
          <t>464eef695bfbbdaa819ec6f5e4c5bd1068ed20b92915fb2677220ae91e20d8b6</t>
        </is>
      </c>
      <c r="BE4" s="24" t="inlineStr">
        <is>
          <t>2e5c467578e391cd</t>
        </is>
      </c>
      <c r="BF4" s="24" t="inlineStr">
        <is>
          <t>1</t>
        </is>
      </c>
      <c r="BG4" s="24" t="inlineStr">
        <is>
          <t>mlb-elo-trend-lr-v7</t>
        </is>
      </c>
      <c r="BH4" s="24" t="inlineStr">
        <is>
          <t>2026-07-30T16:01:48.107244Z</t>
        </is>
      </c>
      <c r="BI4" s="24" t="inlineStr">
        <is>
          <t>["same_event","same_team_same_day","same_league_same_day"]</t>
        </is>
      </c>
      <c r="BJ4" s="25" t="n"/>
      <c r="BK4" s="26" t="n">
        <v>-160</v>
      </c>
      <c r="BL4" s="27" t="n">
        <v>1.625</v>
      </c>
      <c r="BM4" s="28" t="n">
        <v>0.615385</v>
      </c>
      <c r="BN4" s="28" t="n">
        <v>0.61194</v>
      </c>
      <c r="BO4" s="28" t="n"/>
      <c r="BP4" s="25" t="n"/>
      <c r="BQ4" s="27" t="n">
        <v>1.625</v>
      </c>
      <c r="BR4" s="28" t="n">
        <v>0.615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0.5786000288</t>
        </is>
      </c>
      <c r="CD4" s="24" t="inlineStr">
        <is>
          <t>0.008586</t>
        </is>
      </c>
      <c r="CE4" s="24" t="inlineStr">
        <is>
          <t>0.965</t>
        </is>
      </c>
      <c r="CF4" s="24" t="inlineStr">
        <is>
          <t>1.0</t>
        </is>
      </c>
      <c r="CG4" s="24" t="inlineStr">
        <is>
          <t>-1.6</t>
        </is>
      </c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02e98aee0daf4e0f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2026-07-30T21:05:52.179286Z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25ae7962eef34068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2026-07-31T00:54:57.207794Z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1.0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2e5f13579a20403a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2026-07-31T00:54:57.316549Z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2.0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744b52ceb7314514</t>
        </is>
      </c>
      <c r="B8" s="24" t="inlineStr">
        <is>
          <t>2026-07-30T21:07:38.996144Z</t>
        </is>
      </c>
      <c r="C8" s="24" t="inlineStr">
        <is>
          <t>2026-07-30T20:00:00-0400</t>
        </is>
      </c>
      <c r="D8" s="24" t="inlineStr">
        <is>
          <t>401857099</t>
        </is>
      </c>
      <c r="E8" s="24" t="inlineStr">
        <is>
          <t>WNBA</t>
        </is>
      </c>
      <c r="F8" s="24" t="inlineStr">
        <is>
          <t>Minnesota Lynx</t>
        </is>
      </c>
      <c r="G8" s="24" t="inlineStr">
        <is>
          <t>Toronto Tempo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-614</v>
      </c>
      <c r="M8" s="27" t="n">
        <v>1.162866</v>
      </c>
      <c r="N8" s="28" t="n">
        <v>0.859944</v>
      </c>
      <c r="O8" s="28" t="n">
        <v>0.750119</v>
      </c>
      <c r="P8" s="28" t="n"/>
      <c r="Q8" s="28" t="n">
        <v>-0.109825</v>
      </c>
      <c r="R8" s="26" t="n">
        <v>0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win</t>
        </is>
      </c>
      <c r="W8" s="26" t="n">
        <v>104</v>
      </c>
      <c r="X8" s="26" t="n">
        <v>72</v>
      </c>
      <c r="Y8" s="25" t="n"/>
      <c r="Z8" s="26" t="n"/>
      <c r="AA8" s="28" t="n"/>
      <c r="AB8" s="28" t="n"/>
      <c r="AC8" s="30" t="n">
        <v>0.3257</v>
      </c>
      <c r="AD8" s="24" t="inlineStr">
        <is>
          <t>2026-07-31T04:29:17.777628Z</t>
        </is>
      </c>
      <c r="AE8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8" s="31" t="inlineStr">
        <is>
          <t>Learned model; shadow-qualified via operator override.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wnba-min</t>
        </is>
      </c>
      <c r="AQ8" s="24" t="inlineStr">
        <is>
          <t>Minnesota Lynx</t>
        </is>
      </c>
      <c r="AR8" s="24" t="inlineStr">
        <is>
          <t>Minnesota Lynx</t>
        </is>
      </c>
      <c r="AS8" s="24" t="inlineStr">
        <is>
          <t>wnba-tor</t>
        </is>
      </c>
      <c r="AT8" s="24" t="inlineStr">
        <is>
          <t>Toronto Tempo</t>
        </is>
      </c>
      <c r="AU8" s="24" t="inlineStr">
        <is>
          <t>Toronto Tempo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a8d16f9be486f04d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2026-07-30T21:07:16.651071Z</t>
        </is>
      </c>
      <c r="BI8" s="24" t="inlineStr">
        <is>
          <t>["same_event","same_team_same_day","same_league_same_day"]</t>
        </is>
      </c>
      <c r="BJ8" s="25" t="n"/>
      <c r="BK8" s="26" t="n">
        <v>-614</v>
      </c>
      <c r="BL8" s="27" t="n">
        <v>1.162866</v>
      </c>
      <c r="BM8" s="28" t="n">
        <v>0.859944</v>
      </c>
      <c r="BN8" s="28" t="n">
        <v>0.851485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0.1447442732</t>
        </is>
      </c>
      <c r="CD8" s="24" t="inlineStr">
        <is>
          <t>-5.213719</t>
        </is>
      </c>
      <c r="CE8" s="24" t="n"/>
      <c r="CF8" s="24" t="n"/>
      <c r="CG8" s="24" t="n"/>
      <c r="CH8" s="24" t="n"/>
      <c r="CI8" s="24" t="inlineStr">
        <is>
          <t>wnba_availability_source_conflict</t>
        </is>
      </c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a4fd557587d84dcb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401857100</t>
        </is>
      </c>
      <c r="E9" s="24" t="inlineStr">
        <is>
          <t>WNBA</t>
        </is>
      </c>
      <c r="F9" s="24" t="inlineStr">
        <is>
          <t>Connecticut Sun</t>
        </is>
      </c>
      <c r="G9" s="24" t="inlineStr">
        <is>
          <t>Chicago Sky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0.670401</v>
      </c>
      <c r="P9" s="28" t="n"/>
      <c r="Q9" s="28" t="n">
        <v>0.010537</v>
      </c>
      <c r="R9" s="26" t="n">
        <v>28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88</v>
      </c>
      <c r="X9" s="26" t="n">
        <v>94</v>
      </c>
      <c r="Y9" s="25" t="n"/>
      <c r="Z9" s="26" t="n"/>
      <c r="AA9" s="28" t="n"/>
      <c r="AB9" s="28" t="n"/>
      <c r="AC9" s="30" t="n">
        <v>1.0309</v>
      </c>
      <c r="AD9" s="24" t="inlineStr">
        <is>
          <t>2026-07-31T04:29:17.882357Z</t>
        </is>
      </c>
      <c r="AE9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wnba-con</t>
        </is>
      </c>
      <c r="AQ9" s="24" t="inlineStr">
        <is>
          <t>Connecticut Sun</t>
        </is>
      </c>
      <c r="AR9" s="24" t="inlineStr">
        <is>
          <t>Connecticut Sun</t>
        </is>
      </c>
      <c r="AS9" s="24" t="inlineStr">
        <is>
          <t>wnba-chi</t>
        </is>
      </c>
      <c r="AT9" s="24" t="inlineStr">
        <is>
          <t>Chicago Sky</t>
        </is>
      </c>
      <c r="AU9" s="24" t="inlineStr">
        <is>
          <t>Chicago Sky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de1d675da66b275e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2026-07-30T21:07:18.309580Z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>
        <v>0.653465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0.6616868073</t>
        </is>
      </c>
      <c r="CD9" s="24" t="inlineStr">
        <is>
          <t>5.467445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8defc7d566f441e1</t>
        </is>
      </c>
      <c r="B10" s="24" t="inlineStr">
        <is>
          <t>2026-07-30T21:07:38.996144Z</t>
        </is>
      </c>
      <c r="C10" s="24" t="inlineStr">
        <is>
          <t>2026-07-30T19:00:00-0400</t>
        </is>
      </c>
      <c r="D10" s="24" t="inlineStr">
        <is>
          <t>401816325</t>
        </is>
      </c>
      <c r="E10" s="24" t="inlineStr">
        <is>
          <t>MLB</t>
        </is>
      </c>
      <c r="F10" s="24" t="inlineStr">
        <is>
          <t>Washington Nationals</t>
        </is>
      </c>
      <c r="G10" s="24" t="inlineStr">
        <is>
          <t>Atlanta Braves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-144</v>
      </c>
      <c r="M10" s="27" t="n">
        <v>1.694444</v>
      </c>
      <c r="N10" s="28" t="n">
        <v>0.590164</v>
      </c>
      <c r="O10" s="28" t="n">
        <v>0.612872</v>
      </c>
      <c r="P10" s="28" t="n"/>
      <c r="Q10" s="28" t="n">
        <v>0.022708</v>
      </c>
      <c r="R10" s="26" t="n">
        <v>33</v>
      </c>
      <c r="S10" s="29" t="n">
        <v>1.75</v>
      </c>
      <c r="T10" s="24" t="inlineStr">
        <is>
          <t>mlb-elo-trend-lr-v7</t>
        </is>
      </c>
      <c r="U10" s="24" t="inlineStr">
        <is>
          <t>settled</t>
        </is>
      </c>
      <c r="V10" s="24" t="inlineStr">
        <is>
          <t>win</t>
        </is>
      </c>
      <c r="W10" s="26" t="n">
        <v>4</v>
      </c>
      <c r="X10" s="26" t="n">
        <v>5</v>
      </c>
      <c r="Y10" s="25" t="n"/>
      <c r="Z10" s="26" t="n">
        <v>-144</v>
      </c>
      <c r="AA10" s="28" t="n">
        <v>0.59</v>
      </c>
      <c r="AB10" s="28" t="n">
        <v>-0.000164</v>
      </c>
      <c r="AC10" s="30" t="n">
        <v>1.2153</v>
      </c>
      <c r="AD10" s="24" t="inlineStr">
        <is>
          <t>2026-07-31T04:29:18.337563Z</t>
        </is>
      </c>
      <c r="AE10" s="31" t="inlineStr">
        <is>
          <t>Learned LR call at threshold 0.6242; executable ask 0.5900 (aec-mlb-wsh-atl-2026-07-30); model edge vs ask +0.0229.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mlb-wsh</t>
        </is>
      </c>
      <c r="AQ10" s="24" t="inlineStr">
        <is>
          <t>Washington Nationals</t>
        </is>
      </c>
      <c r="AR10" s="24" t="inlineStr">
        <is>
          <t>Washington Nationals</t>
        </is>
      </c>
      <c r="AS10" s="24" t="inlineStr">
        <is>
          <t>mlb-atl</t>
        </is>
      </c>
      <c r="AT10" s="24" t="inlineStr">
        <is>
          <t>Atlanta Braves</t>
        </is>
      </c>
      <c r="AU10" s="24" t="inlineStr">
        <is>
          <t>Atlanta Braves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464eef695bfbbdaa819ec6f5e4c5bd1068ed20b92915fb2677220ae91e20d8b6</t>
        </is>
      </c>
      <c r="BB10" s="24" t="inlineStr">
        <is>
          <t>learned_lr</t>
        </is>
      </c>
      <c r="BC10" s="24" t="inlineStr">
        <is>
          <t>mlb-elo-trend-lr-v7</t>
        </is>
      </c>
      <c r="BD10" s="24" t="inlineStr">
        <is>
          <t>464eef695bfbbdaa819ec6f5e4c5bd1068ed20b92915fb2677220ae91e20d8b6</t>
        </is>
      </c>
      <c r="BE10" s="24" t="inlineStr">
        <is>
          <t>2ad0bbfc4a5ff39d</t>
        </is>
      </c>
      <c r="BF10" s="24" t="inlineStr">
        <is>
          <t>1</t>
        </is>
      </c>
      <c r="BG10" s="24" t="inlineStr">
        <is>
          <t>mlb-elo-trend-lr-v7</t>
        </is>
      </c>
      <c r="BH10" s="24" t="inlineStr">
        <is>
          <t>2026-07-30T21:07:13.074633Z</t>
        </is>
      </c>
      <c r="BI10" s="24" t="inlineStr">
        <is>
          <t>["same_event","same_team_same_day","same_league_same_day"]</t>
        </is>
      </c>
      <c r="BJ10" s="25" t="n"/>
      <c r="BK10" s="26" t="n">
        <v>-144</v>
      </c>
      <c r="BL10" s="27" t="n">
        <v>1.694444</v>
      </c>
      <c r="BM10" s="28" t="n">
        <v>0.590164</v>
      </c>
      <c r="BN10" s="28" t="n">
        <v>0.5870649999999999</v>
      </c>
      <c r="BO10" s="28" t="n"/>
      <c r="BP10" s="25" t="n"/>
      <c r="BQ10" s="27" t="n">
        <v>1.694444</v>
      </c>
      <c r="BR10" s="28" t="n">
        <v>0.59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0.6174839141</t>
        </is>
      </c>
      <c r="CD10" s="24" t="inlineStr">
        <is>
          <t>-0.449351</t>
        </is>
      </c>
      <c r="CE10" s="24" t="inlineStr">
        <is>
          <t>0.929</t>
        </is>
      </c>
      <c r="CF10" s="24" t="inlineStr">
        <is>
          <t>1.0174</t>
        </is>
      </c>
      <c r="CG10" s="24" t="inlineStr">
        <is>
          <t>0.2</t>
        </is>
      </c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7398a78f988e40bc</t>
        </is>
      </c>
      <c r="B11" s="24" t="inlineStr">
        <is>
          <t>2026-07-30T21:07:38.996144Z</t>
        </is>
      </c>
      <c r="C11" s="24" t="inlineStr">
        <is>
          <t>2026-07-30T19:10:00-0400</t>
        </is>
      </c>
      <c r="D11" s="24" t="inlineStr">
        <is>
          <t>401816322</t>
        </is>
      </c>
      <c r="E11" s="24" t="inlineStr">
        <is>
          <t>MLB</t>
        </is>
      </c>
      <c r="F11" s="24" t="inlineStr">
        <is>
          <t>Miami Marlins</t>
        </is>
      </c>
      <c r="G11" s="24" t="inlineStr">
        <is>
          <t>New York Mets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-117</v>
      </c>
      <c r="M11" s="27" t="n">
        <v>1.854701</v>
      </c>
      <c r="N11" s="28" t="n">
        <v>0.539171</v>
      </c>
      <c r="O11" s="28" t="n">
        <v>0.5134919999999999</v>
      </c>
      <c r="P11" s="28" t="n"/>
      <c r="Q11" s="28" t="n">
        <v>-0.025679</v>
      </c>
      <c r="R11" s="26" t="n">
        <v>8</v>
      </c>
      <c r="S11" s="29" t="n">
        <v>0.75</v>
      </c>
      <c r="T11" s="24" t="inlineStr">
        <is>
          <t>mlb-elo-trend-lr-v7</t>
        </is>
      </c>
      <c r="U11" s="24" t="inlineStr">
        <is>
          <t>settled</t>
        </is>
      </c>
      <c r="V11" s="24" t="inlineStr">
        <is>
          <t>win</t>
        </is>
      </c>
      <c r="W11" s="26" t="n">
        <v>2</v>
      </c>
      <c r="X11" s="26" t="n">
        <v>4</v>
      </c>
      <c r="Y11" s="25" t="n"/>
      <c r="Z11" s="26" t="n">
        <v>-117</v>
      </c>
      <c r="AA11" s="28" t="n">
        <v>0.54</v>
      </c>
      <c r="AB11" s="28" t="n">
        <v>0.000829</v>
      </c>
      <c r="AC11" s="30" t="n">
        <v>0.641</v>
      </c>
      <c r="AD11" s="24" t="inlineStr">
        <is>
          <t>2026-07-31T04:29:18.434367Z</t>
        </is>
      </c>
      <c r="AE11" s="31" t="inlineStr">
        <is>
          <t>Learned LR call at threshold 0.6242; executable ask 0.5400 (aec-mlb-mia-nym-2026-07-30); model edge vs ask -0.0265.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mlb-mia</t>
        </is>
      </c>
      <c r="AQ11" s="24" t="inlineStr">
        <is>
          <t>Miami Marlins</t>
        </is>
      </c>
      <c r="AR11" s="24" t="inlineStr">
        <is>
          <t>Miami Marlins</t>
        </is>
      </c>
      <c r="AS11" s="24" t="inlineStr">
        <is>
          <t>mlb-nym</t>
        </is>
      </c>
      <c r="AT11" s="24" t="inlineStr">
        <is>
          <t>New York Mets</t>
        </is>
      </c>
      <c r="AU11" s="24" t="inlineStr">
        <is>
          <t>New York Mets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464eef695bfbbdaa819ec6f5e4c5bd1068ed20b92915fb2677220ae91e20d8b6</t>
        </is>
      </c>
      <c r="BB11" s="24" t="inlineStr">
        <is>
          <t>learned_lr</t>
        </is>
      </c>
      <c r="BC11" s="24" t="inlineStr">
        <is>
          <t>mlb-elo-trend-lr-v7</t>
        </is>
      </c>
      <c r="BD11" s="24" t="inlineStr">
        <is>
          <t>464eef695bfbbdaa819ec6f5e4c5bd1068ed20b92915fb2677220ae91e20d8b6</t>
        </is>
      </c>
      <c r="BE11" s="24" t="inlineStr">
        <is>
          <t>e514206d77553482</t>
        </is>
      </c>
      <c r="BF11" s="24" t="inlineStr">
        <is>
          <t>1</t>
        </is>
      </c>
      <c r="BG11" s="24" t="inlineStr">
        <is>
          <t>mlb-elo-trend-lr-v7</t>
        </is>
      </c>
      <c r="BH11" s="24" t="inlineStr">
        <is>
          <t>2026-07-30T21:07:11.963447Z</t>
        </is>
      </c>
      <c r="BI11" s="24" t="inlineStr">
        <is>
          <t>["same_event","same_team_same_day","same_league_same_day"]</t>
        </is>
      </c>
      <c r="BJ11" s="25" t="n"/>
      <c r="BK11" s="26" t="n">
        <v>-117</v>
      </c>
      <c r="BL11" s="27" t="n">
        <v>1.854701</v>
      </c>
      <c r="BM11" s="28" t="n">
        <v>0.539171</v>
      </c>
      <c r="BN11" s="28" t="n">
        <v>0.537313</v>
      </c>
      <c r="BO11" s="28" t="n"/>
      <c r="BP11" s="25" t="n"/>
      <c r="BQ11" s="27" t="n">
        <v>1.854701</v>
      </c>
      <c r="BR11" s="28" t="n">
        <v>0.54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0.5051537166</t>
        </is>
      </c>
      <c r="CD11" s="24" t="inlineStr">
        <is>
          <t>0.008278</t>
        </is>
      </c>
      <c r="CE11" s="24" t="inlineStr">
        <is>
          <t>0.978</t>
        </is>
      </c>
      <c r="CF11" s="24" t="inlineStr">
        <is>
          <t>1.0054</t>
        </is>
      </c>
      <c r="CG11" s="24" t="inlineStr">
        <is>
          <t>-1.8</t>
        </is>
      </c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3effe9d1ef114db5</t>
        </is>
      </c>
      <c r="B12" s="24" t="inlineStr">
        <is>
          <t>2026-07-30T21:07:38.996144Z</t>
        </is>
      </c>
      <c r="C12" s="24" t="inlineStr">
        <is>
          <t>2026-07-30T19:10:00-0400</t>
        </is>
      </c>
      <c r="D12" s="24" t="inlineStr">
        <is>
          <t>401816323</t>
        </is>
      </c>
      <c r="E12" s="24" t="inlineStr">
        <is>
          <t>MLB</t>
        </is>
      </c>
      <c r="F12" s="24" t="inlineStr">
        <is>
          <t>Pittsburgh Pirates</t>
        </is>
      </c>
      <c r="G12" s="24" t="inlineStr">
        <is>
          <t>Cincinnati Reds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0.520916</v>
      </c>
      <c r="P12" s="28" t="n"/>
      <c r="Q12" s="28" t="n">
        <v>-0.00515</v>
      </c>
      <c r="R12" s="26" t="n">
        <v>19</v>
      </c>
      <c r="S12" s="29" t="n">
        <v>0.75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2</v>
      </c>
      <c r="X12" s="26" t="n">
        <v>3</v>
      </c>
      <c r="Y12" s="25" t="n"/>
      <c r="Z12" s="26" t="n">
        <v>-111</v>
      </c>
      <c r="AA12" s="28" t="n">
        <v>0.525</v>
      </c>
      <c r="AB12" s="28" t="n">
        <v>-0.001066</v>
      </c>
      <c r="AC12" s="30" t="n">
        <v>-0.75</v>
      </c>
      <c r="AD12" s="24" t="inlineStr">
        <is>
          <t>2026-07-31T04:29:18.531088Z</t>
        </is>
      </c>
      <c r="AE12" s="31" t="inlineStr">
        <is>
          <t>Learned LR call at threshold 0.6242; executable ask 0.5250 (aec-mlb-pit-cin-2026-07-30); model edge vs ask -0.0041.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mlb-pit</t>
        </is>
      </c>
      <c r="AQ12" s="24" t="inlineStr">
        <is>
          <t>Pittsburgh Pirates</t>
        </is>
      </c>
      <c r="AR12" s="24" t="inlineStr">
        <is>
          <t>Pittsburgh Pirates</t>
        </is>
      </c>
      <c r="AS12" s="24" t="inlineStr">
        <is>
          <t>mlb-cin</t>
        </is>
      </c>
      <c r="AT12" s="24" t="inlineStr">
        <is>
          <t>Cincinnati Reds</t>
        </is>
      </c>
      <c r="AU12" s="24" t="inlineStr">
        <is>
          <t>Cincinnati Reds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b3d67de7b6d26958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2026-07-30T21:07:11.035351Z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>
        <v>1.900901</v>
      </c>
      <c r="BR12" s="28" t="n">
        <v>0.525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0.4889165025</t>
        </is>
      </c>
      <c r="CD12" s="24" t="inlineStr">
        <is>
          <t>0.498942</t>
        </is>
      </c>
      <c r="CE12" s="24" t="inlineStr">
        <is>
          <t>1.036</t>
        </is>
      </c>
      <c r="CF12" s="24" t="inlineStr">
        <is>
          <t>1.0086</t>
        </is>
      </c>
      <c r="CG12" s="24" t="inlineStr">
        <is>
          <t>-1.2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429571844f70423e</t>
        </is>
      </c>
      <c r="B13" s="24" t="inlineStr">
        <is>
          <t>2026-07-31T00:56:17.350684Z</t>
        </is>
      </c>
      <c r="C13" s="24" t="inlineStr">
        <is>
          <t>2026-07-30T22:00:00-0400</t>
        </is>
      </c>
      <c r="D13" s="24" t="inlineStr">
        <is>
          <t>401857101</t>
        </is>
      </c>
      <c r="E13" s="24" t="inlineStr">
        <is>
          <t>WNBA</t>
        </is>
      </c>
      <c r="F13" s="24" t="inlineStr">
        <is>
          <t>New York Liberty</t>
        </is>
      </c>
      <c r="G13" s="24" t="inlineStr">
        <is>
          <t>Las Vegas Aces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-178</v>
      </c>
      <c r="M13" s="27" t="n">
        <v>1.561798</v>
      </c>
      <c r="N13" s="28" t="n">
        <v>0.640288</v>
      </c>
      <c r="O13" s="28" t="n">
        <v>0.615328</v>
      </c>
      <c r="P13" s="28" t="n"/>
      <c r="Q13" s="28" t="n">
        <v>-0.02496</v>
      </c>
      <c r="R13" s="26" t="n">
        <v>11</v>
      </c>
      <c r="S13" s="29" t="n">
        <v>1.75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99</v>
      </c>
      <c r="X13" s="26" t="n">
        <v>104</v>
      </c>
      <c r="Y13" s="25" t="n"/>
      <c r="Z13" s="26" t="n"/>
      <c r="AA13" s="28" t="n"/>
      <c r="AB13" s="28" t="n"/>
      <c r="AC13" s="30" t="n">
        <v>0.9831</v>
      </c>
      <c r="AD13" s="24" t="inlineStr">
        <is>
          <t>2026-07-31T04:29:18.625735Z</t>
        </is>
      </c>
      <c r="AE13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wnba-nyl</t>
        </is>
      </c>
      <c r="AQ13" s="24" t="inlineStr">
        <is>
          <t>New York Liberty</t>
        </is>
      </c>
      <c r="AR13" s="24" t="inlineStr">
        <is>
          <t>New York Liberty</t>
        </is>
      </c>
      <c r="AS13" s="24" t="inlineStr">
        <is>
          <t>wnba-lva</t>
        </is>
      </c>
      <c r="AT13" s="24" t="inlineStr">
        <is>
          <t>Las Vegas Aces</t>
        </is>
      </c>
      <c r="AU13" s="24" t="inlineStr">
        <is>
          <t>Las Vegas Aces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181554924d3d25f6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2026-07-31T00:56:07.048062Z</t>
        </is>
      </c>
      <c r="BI13" s="24" t="inlineStr">
        <is>
          <t>["same_event","same_team_same_day","same_league_same_day"]</t>
        </is>
      </c>
      <c r="BJ13" s="25" t="n"/>
      <c r="BK13" s="26" t="n">
        <v>-178</v>
      </c>
      <c r="BL13" s="27" t="n">
        <v>1.561798</v>
      </c>
      <c r="BM13" s="28" t="n">
        <v>0.640288</v>
      </c>
      <c r="BN13" s="28" t="n">
        <v>0.633663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0.6511069872</t>
        </is>
      </c>
      <c r="CD13" s="24" t="inlineStr">
        <is>
          <t>-4.276653</t>
        </is>
      </c>
      <c r="CE13" s="24" t="n"/>
      <c r="CF13" s="24" t="n"/>
      <c r="CG13" s="24" t="n"/>
      <c r="CH13" s="24" t="n"/>
      <c r="CI13" s="24" t="inlineStr">
        <is>
          <t>wnba_availability_source_conflict</t>
        </is>
      </c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65d96ecbbb034c8e</t>
        </is>
      </c>
      <c r="B14" s="24" t="inlineStr">
        <is>
          <t>2026-07-31T00:56:17.350684Z</t>
        </is>
      </c>
      <c r="C14" s="24" t="inlineStr">
        <is>
          <t>2026-07-30T21:40:00-0400</t>
        </is>
      </c>
      <c r="D14" s="24" t="inlineStr">
        <is>
          <t>401816329</t>
        </is>
      </c>
      <c r="E14" s="24" t="inlineStr">
        <is>
          <t>MLB</t>
        </is>
      </c>
      <c r="F14" s="24" t="inlineStr">
        <is>
          <t>Boston Red Sox</t>
        </is>
      </c>
      <c r="G14" s="24" t="inlineStr">
        <is>
          <t>Athletics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-178</v>
      </c>
      <c r="M14" s="27" t="n">
        <v>1.561798</v>
      </c>
      <c r="N14" s="28" t="n">
        <v>0.640288</v>
      </c>
      <c r="O14" s="28" t="n">
        <v>0.598658</v>
      </c>
      <c r="P14" s="28" t="n"/>
      <c r="Q14" s="28" t="n">
        <v>-0.04163</v>
      </c>
      <c r="R14" s="26" t="n">
        <v>1</v>
      </c>
      <c r="S14" s="29" t="n">
        <v>1.5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4</v>
      </c>
      <c r="Y14" s="25" t="n"/>
      <c r="Z14" s="26" t="n">
        <v>-178</v>
      </c>
      <c r="AA14" s="28" t="n">
        <v>0.64</v>
      </c>
      <c r="AB14" s="28" t="n">
        <v>-0.000288</v>
      </c>
      <c r="AC14" s="30" t="n">
        <v>0.8427</v>
      </c>
      <c r="AD14" s="24" t="inlineStr">
        <is>
          <t>2026-07-31T04:29:18.726417Z</t>
        </is>
      </c>
      <c r="AE14" s="31" t="inlineStr">
        <is>
          <t>Learned LR call at threshold 0.6242; executable ask 0.6400 (aec-mlb-bos-ath-2026-07-30); model edge vs ask -0.0413.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mlb-bos</t>
        </is>
      </c>
      <c r="AQ14" s="24" t="inlineStr">
        <is>
          <t>Boston Red Sox</t>
        </is>
      </c>
      <c r="AR14" s="24" t="inlineStr">
        <is>
          <t>Boston Red Sox</t>
        </is>
      </c>
      <c r="AS14" s="24" t="inlineStr">
        <is>
          <t>mlb-ath</t>
        </is>
      </c>
      <c r="AT14" s="24" t="inlineStr">
        <is>
          <t>Athletics</t>
        </is>
      </c>
      <c r="AU14" s="24" t="inlineStr">
        <is>
          <t>Athletics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3f3c29dbbe5296b9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2026-07-31T00:56:01.505308Z</t>
        </is>
      </c>
      <c r="BI14" s="24" t="inlineStr">
        <is>
          <t>["same_event","same_team_same_day","same_league_same_day"]</t>
        </is>
      </c>
      <c r="BJ14" s="25" t="n"/>
      <c r="BK14" s="26" t="n">
        <v>-178</v>
      </c>
      <c r="BL14" s="27" t="n">
        <v>1.561798</v>
      </c>
      <c r="BM14" s="28" t="n">
        <v>0.640288</v>
      </c>
      <c r="BN14" s="28" t="n">
        <v>0.636816</v>
      </c>
      <c r="BO14" s="28" t="n"/>
      <c r="BP14" s="25" t="n"/>
      <c r="BQ14" s="27" t="n">
        <v>1.561798</v>
      </c>
      <c r="BR14" s="28" t="n">
        <v>0.64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0.3783729617</t>
        </is>
      </c>
      <c r="CD14" s="24" t="inlineStr">
        <is>
          <t>-0.254128</t>
        </is>
      </c>
      <c r="CE14" s="24" t="inlineStr">
        <is>
          <t>1.153</t>
        </is>
      </c>
      <c r="CF14" s="24" t="inlineStr">
        <is>
          <t>1.0</t>
        </is>
      </c>
      <c r="CG14" s="24" t="inlineStr">
        <is>
          <t>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d0285face10c45c4</t>
        </is>
      </c>
      <c r="B15" s="24" t="inlineStr">
        <is>
          <t>2026-07-31T00:56:17.350684Z</t>
        </is>
      </c>
      <c r="C15" s="24" t="inlineStr">
        <is>
          <t>2026-07-30T21:40:00-0400</t>
        </is>
      </c>
      <c r="D15" s="24" t="inlineStr">
        <is>
          <t>401816331</t>
        </is>
      </c>
      <c r="E15" s="24" t="inlineStr">
        <is>
          <t>MLB</t>
        </is>
      </c>
      <c r="F15" s="24" t="inlineStr">
        <is>
          <t>San Francisco Giants</t>
        </is>
      </c>
      <c r="G15" s="24" t="inlineStr">
        <is>
          <t>San Diego Padres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-153</v>
      </c>
      <c r="M15" s="27" t="n">
        <v>1.653595</v>
      </c>
      <c r="N15" s="28" t="n">
        <v>0.604743</v>
      </c>
      <c r="O15" s="28" t="n">
        <v>0.594482</v>
      </c>
      <c r="P15" s="28" t="n"/>
      <c r="Q15" s="28" t="n">
        <v>-0.010261</v>
      </c>
      <c r="R15" s="26" t="n">
        <v>16</v>
      </c>
      <c r="S15" s="29" t="n">
        <v>1.5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4</v>
      </c>
      <c r="X15" s="26" t="n">
        <v>1</v>
      </c>
      <c r="Y15" s="25" t="n"/>
      <c r="Z15" s="26" t="n">
        <v>-153</v>
      </c>
      <c r="AA15" s="28" t="n">
        <v>0.605</v>
      </c>
      <c r="AB15" s="28" t="n">
        <v>0.000257</v>
      </c>
      <c r="AC15" s="30" t="n">
        <v>-1.5</v>
      </c>
      <c r="AD15" s="24" t="inlineStr">
        <is>
          <t>2026-07-31T06:33:19.619630Z</t>
        </is>
      </c>
      <c r="AE15" s="31" t="inlineStr">
        <is>
          <t>Learned LR call at threshold 0.6242; executable ask 0.6050 (aec-mlb-sf-sd-2026-07-30); model edge vs ask -0.0105.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mlb-sf</t>
        </is>
      </c>
      <c r="AQ15" s="24" t="inlineStr">
        <is>
          <t>San Francisco Giants</t>
        </is>
      </c>
      <c r="AR15" s="24" t="inlineStr">
        <is>
          <t>San Francisco Giants</t>
        </is>
      </c>
      <c r="AS15" s="24" t="inlineStr">
        <is>
          <t>mlb-sd</t>
        </is>
      </c>
      <c r="AT15" s="24" t="inlineStr">
        <is>
          <t>San Diego Padres</t>
        </is>
      </c>
      <c r="AU15" s="24" t="inlineStr">
        <is>
          <t>San Diego Padres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cd99d61acebf3df3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2026-07-31T00:56:02.562469Z</t>
        </is>
      </c>
      <c r="BI15" s="24" t="inlineStr">
        <is>
          <t>["same_event","same_team_same_day","same_league_same_day"]</t>
        </is>
      </c>
      <c r="BJ15" s="25" t="n"/>
      <c r="BK15" s="26" t="n">
        <v>-153</v>
      </c>
      <c r="BL15" s="27" t="n">
        <v>1.653595</v>
      </c>
      <c r="BM15" s="28" t="n">
        <v>0.604743</v>
      </c>
      <c r="BN15" s="28" t="n">
        <v>0.60199</v>
      </c>
      <c r="BO15" s="28" t="n"/>
      <c r="BP15" s="25" t="n"/>
      <c r="BQ15" s="27" t="n">
        <v>1.653595</v>
      </c>
      <c r="BR15" s="28" t="n">
        <v>0.605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0.5827558821</t>
        </is>
      </c>
      <c r="CD15" s="24" t="inlineStr">
        <is>
          <t>-1.602098</t>
        </is>
      </c>
      <c r="CE15" s="24" t="inlineStr">
        <is>
          <t>0.945</t>
        </is>
      </c>
      <c r="CF15" s="24" t="inlineStr">
        <is>
          <t>1.0064</t>
        </is>
      </c>
      <c r="CG15" s="24" t="inlineStr">
        <is>
          <t>-0.2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900f83cbf1b24916</t>
        </is>
      </c>
      <c r="B16" s="24" t="inlineStr">
        <is>
          <t>2026-07-31T00:56:17.350684Z</t>
        </is>
      </c>
      <c r="C16" s="24" t="inlineStr">
        <is>
          <t>2026-07-30T22:10:00-0400</t>
        </is>
      </c>
      <c r="D16" s="24" t="inlineStr">
        <is>
          <t>401816330</t>
        </is>
      </c>
      <c r="E16" s="24" t="inlineStr">
        <is>
          <t>MLB</t>
        </is>
      </c>
      <c r="F16" s="24" t="inlineStr">
        <is>
          <t>Seattle Mariners</t>
        </is>
      </c>
      <c r="G16" s="24" t="inlineStr">
        <is>
          <t>Los Angeles Dodgers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-141</v>
      </c>
      <c r="M16" s="27" t="n">
        <v>1.70922</v>
      </c>
      <c r="N16" s="28" t="n">
        <v>0.585062</v>
      </c>
      <c r="O16" s="28" t="n">
        <v>0.594031</v>
      </c>
      <c r="P16" s="28" t="n"/>
      <c r="Q16" s="28" t="n">
        <v>0.008969</v>
      </c>
      <c r="R16" s="26" t="n">
        <v>26</v>
      </c>
      <c r="S16" s="29" t="n">
        <v>1.5</v>
      </c>
      <c r="T16" s="24" t="inlineStr">
        <is>
          <t>mlb-elo-trend-lr-v7</t>
        </is>
      </c>
      <c r="U16" s="24" t="inlineStr">
        <is>
          <t>settled</t>
        </is>
      </c>
      <c r="V16" s="24" t="inlineStr">
        <is>
          <t>win</t>
        </is>
      </c>
      <c r="W16" s="26" t="n">
        <v>2</v>
      </c>
      <c r="X16" s="26" t="n">
        <v>6</v>
      </c>
      <c r="Y16" s="25" t="n"/>
      <c r="Z16" s="26" t="n">
        <v>-141</v>
      </c>
      <c r="AA16" s="28" t="n">
        <v>0.585</v>
      </c>
      <c r="AB16" s="28" t="n">
        <v>-6.2e-05</v>
      </c>
      <c r="AC16" s="30" t="n">
        <v>1.0638</v>
      </c>
      <c r="AD16" s="24" t="inlineStr">
        <is>
          <t>2026-07-31T06:33:19.889431Z</t>
        </is>
      </c>
      <c r="AE16" s="31" t="inlineStr">
        <is>
          <t>Learned LR call at threshold 0.6242; executable ask 0.5850 (aec-mlb-sea-lad-2026-07-30); model edge vs ask +0.0090.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mlb-sea</t>
        </is>
      </c>
      <c r="AQ16" s="24" t="inlineStr">
        <is>
          <t>Seattle Mariners</t>
        </is>
      </c>
      <c r="AR16" s="24" t="inlineStr">
        <is>
          <t>Seattle Mariners</t>
        </is>
      </c>
      <c r="AS16" s="24" t="inlineStr">
        <is>
          <t>mlb-lad</t>
        </is>
      </c>
      <c r="AT16" s="24" t="inlineStr">
        <is>
          <t>Los Angeles Dodgers</t>
        </is>
      </c>
      <c r="AU16" s="24" t="inlineStr">
        <is>
          <t>Los Angeles Dodgers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464eef695bfbbdaa819ec6f5e4c5bd1068ed20b92915fb2677220ae91e20d8b6</t>
        </is>
      </c>
      <c r="BB16" s="24" t="inlineStr">
        <is>
          <t>learned_lr</t>
        </is>
      </c>
      <c r="BC16" s="24" t="inlineStr">
        <is>
          <t>mlb-elo-trend-lr-v7</t>
        </is>
      </c>
      <c r="BD16" s="24" t="inlineStr">
        <is>
          <t>464eef695bfbbdaa819ec6f5e4c5bd1068ed20b92915fb2677220ae91e20d8b6</t>
        </is>
      </c>
      <c r="BE16" s="24" t="inlineStr">
        <is>
          <t>50a6605683799b36</t>
        </is>
      </c>
      <c r="BF16" s="24" t="inlineStr">
        <is>
          <t>1</t>
        </is>
      </c>
      <c r="BG16" s="24" t="inlineStr">
        <is>
          <t>mlb-elo-trend-lr-v7</t>
        </is>
      </c>
      <c r="BH16" s="24" t="inlineStr">
        <is>
          <t>2026-07-31T00:56:03.538198Z</t>
        </is>
      </c>
      <c r="BI16" s="24" t="inlineStr">
        <is>
          <t>["same_event","same_team_same_day","same_league_same_day"]</t>
        </is>
      </c>
      <c r="BJ16" s="25" t="n"/>
      <c r="BK16" s="26" t="n">
        <v>-141</v>
      </c>
      <c r="BL16" s="27" t="n">
        <v>1.70922</v>
      </c>
      <c r="BM16" s="28" t="n">
        <v>0.585062</v>
      </c>
      <c r="BN16" s="28" t="n">
        <v>0.58209</v>
      </c>
      <c r="BO16" s="28" t="n"/>
      <c r="BP16" s="25" t="n"/>
      <c r="BQ16" s="27" t="n">
        <v>1.70922</v>
      </c>
      <c r="BR16" s="28" t="n">
        <v>0.585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0.6206920571</t>
        </is>
      </c>
      <c r="CD16" s="24" t="inlineStr">
        <is>
          <t>-0.391563</t>
        </is>
      </c>
      <c r="CE16" s="24" t="inlineStr">
        <is>
          <t>1.026</t>
        </is>
      </c>
      <c r="CF16" s="24" t="inlineStr">
        <is>
          <t>1.0117</t>
        </is>
      </c>
      <c r="CG16" s="24" t="inlineStr">
        <is>
          <t>-0.4</t>
        </is>
      </c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a3ad33bbbacf4164</t>
        </is>
      </c>
      <c r="B17" s="24" t="inlineStr">
        <is>
          <t>2026-07-31T16:46:24.073866Z</t>
        </is>
      </c>
      <c r="C17" s="24" t="inlineStr">
        <is>
          <t>2026-07-31T14:20:00-0400</t>
        </is>
      </c>
      <c r="D17" s="24" t="inlineStr">
        <is>
          <t>401816339</t>
        </is>
      </c>
      <c r="E17" s="24" t="inlineStr">
        <is>
          <t>MLB</t>
        </is>
      </c>
      <c r="F17" s="24" t="inlineStr">
        <is>
          <t>New York Yankees</t>
        </is>
      </c>
      <c r="G17" s="24" t="inlineStr">
        <is>
          <t>Chicago Cubs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-147</v>
      </c>
      <c r="M17" s="27" t="n">
        <v>1.680272</v>
      </c>
      <c r="N17" s="28" t="n">
        <v>0.5951419999999999</v>
      </c>
      <c r="O17" s="28" t="n">
        <v>0.543986</v>
      </c>
      <c r="P17" s="28" t="n"/>
      <c r="Q17" s="28" t="n">
        <v>-0.051156</v>
      </c>
      <c r="R17" s="26" t="n">
        <v>0</v>
      </c>
      <c r="S17" s="29" t="n">
        <v>1</v>
      </c>
      <c r="T17" s="24" t="inlineStr">
        <is>
          <t>mlb-elo-trend-lr-v7</t>
        </is>
      </c>
      <c r="U17" s="24" t="inlineStr">
        <is>
          <t>settled</t>
        </is>
      </c>
      <c r="V17" s="24" t="inlineStr">
        <is>
          <t>loss</t>
        </is>
      </c>
      <c r="W17" s="26" t="n">
        <v>2</v>
      </c>
      <c r="X17" s="26" t="n">
        <v>0</v>
      </c>
      <c r="Y17" s="25" t="n"/>
      <c r="Z17" s="26" t="n">
        <v>-147</v>
      </c>
      <c r="AA17" s="28" t="n">
        <v>0.595</v>
      </c>
      <c r="AB17" s="28" t="n">
        <v>-0.000142</v>
      </c>
      <c r="AC17" s="30" t="n">
        <v>-1</v>
      </c>
      <c r="AD17" s="24" t="inlineStr">
        <is>
          <t>2026-07-31T21:03:18.607660Z</t>
        </is>
      </c>
      <c r="AE17" s="31" t="inlineStr">
        <is>
          <t>Learned LR call at threshold 0.6242; executable ask 0.5950 (aec-mlb-nyy-chc-2026-07-31); model edge vs ask -0.0510.</t>
        </is>
      </c>
      <c r="AF17" s="31" t="inlineStr">
        <is>
          <t>Learned model; shadow-qualified via operator override.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mlb-nyy</t>
        </is>
      </c>
      <c r="AQ17" s="24" t="inlineStr">
        <is>
          <t>New York Yankees</t>
        </is>
      </c>
      <c r="AR17" s="24" t="inlineStr">
        <is>
          <t>New York Yankees</t>
        </is>
      </c>
      <c r="AS17" s="24" t="inlineStr">
        <is>
          <t>mlb-chc</t>
        </is>
      </c>
      <c r="AT17" s="24" t="inlineStr">
        <is>
          <t>Chicago Cubs</t>
        </is>
      </c>
      <c r="AU17" s="24" t="inlineStr">
        <is>
          <t>Chicago Cubs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464eef695bfbbdaa819ec6f5e4c5bd1068ed20b92915fb2677220ae91e20d8b6</t>
        </is>
      </c>
      <c r="BB17" s="24" t="inlineStr">
        <is>
          <t>learned_lr</t>
        </is>
      </c>
      <c r="BC17" s="24" t="inlineStr">
        <is>
          <t>mlb-elo-trend-lr-v7</t>
        </is>
      </c>
      <c r="BD17" s="24" t="inlineStr">
        <is>
          <t>464eef695bfbbdaa819ec6f5e4c5bd1068ed20b92915fb2677220ae91e20d8b6</t>
        </is>
      </c>
      <c r="BE17" s="24" t="inlineStr">
        <is>
          <t>e8343472130f370f</t>
        </is>
      </c>
      <c r="BF17" s="24" t="inlineStr">
        <is>
          <t>1</t>
        </is>
      </c>
      <c r="BG17" s="24" t="inlineStr">
        <is>
          <t>mlb-elo-trend-lr-v7</t>
        </is>
      </c>
      <c r="BH17" s="24" t="inlineStr">
        <is>
          <t>2026-07-31T16:45:32.204120Z</t>
        </is>
      </c>
      <c r="BI17" s="24" t="inlineStr">
        <is>
          <t>["same_event","same_team_same_day","same_league_same_day"]</t>
        </is>
      </c>
      <c r="BJ17" s="25" t="n"/>
      <c r="BK17" s="26" t="n">
        <v>-147</v>
      </c>
      <c r="BL17" s="27" t="n">
        <v>1.680272</v>
      </c>
      <c r="BM17" s="28" t="n">
        <v>0.5951419999999999</v>
      </c>
      <c r="BN17" s="28" t="n">
        <v>0.59204</v>
      </c>
      <c r="BO17" s="28" t="n"/>
      <c r="BP17" s="25" t="n"/>
      <c r="BQ17" s="27" t="n">
        <v>1.680272</v>
      </c>
      <c r="BR17" s="28" t="n">
        <v>0.595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0.5477638437</t>
        </is>
      </c>
      <c r="CD17" s="24" t="inlineStr">
        <is>
          <t>0.6277</t>
        </is>
      </c>
      <c r="CE17" s="24" t="inlineStr">
        <is>
          <t>0.986</t>
        </is>
      </c>
      <c r="CF17" s="24" t="inlineStr">
        <is>
          <t>1.014</t>
        </is>
      </c>
      <c r="CG17" s="24" t="inlineStr">
        <is>
          <t>-1.6</t>
        </is>
      </c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7511f4b8eba14436</t>
        </is>
      </c>
      <c r="B18" s="24" t="inlineStr">
        <is>
          <t>2026-07-31T21:05:22.115641Z</t>
        </is>
      </c>
      <c r="C18" s="24" t="inlineStr">
        <is>
          <t>2026-07-31T18:10:00-0400</t>
        </is>
      </c>
      <c r="D18" s="24" t="inlineStr">
        <is>
          <t>401816336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Cincinnati Reds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0.519691</v>
      </c>
      <c r="P18" s="28" t="n"/>
      <c r="Q18" s="28" t="n">
        <v>-0.01948</v>
      </c>
      <c r="R18" s="26" t="n">
        <v>11</v>
      </c>
      <c r="S18" s="29" t="n">
        <v>1</v>
      </c>
      <c r="T18" s="24" t="inlineStr">
        <is>
          <t>mlb-elo-trend-lr-v7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8</v>
      </c>
      <c r="Y18" s="25" t="n"/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2026-08-01T02:59:56.515873Z</t>
        </is>
      </c>
      <c r="AE18" s="31" t="inlineStr">
        <is>
          <t>Learned LR call at threshold 0.6242; executable ask 0.5400 (aec-mlb-pit-cin-2026-07-31); model edge vs ask -0.0203.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mlb-cin</t>
        </is>
      </c>
      <c r="AT18" s="24" t="inlineStr">
        <is>
          <t>Cincinnati Reds</t>
        </is>
      </c>
      <c r="AU18" s="24" t="inlineStr">
        <is>
          <t>Cincinnati Reds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464eef695bfbbdaa819ec6f5e4c5bd1068ed20b92915fb2677220ae91e20d8b6</t>
        </is>
      </c>
      <c r="BB18" s="24" t="inlineStr">
        <is>
          <t>learned_lr</t>
        </is>
      </c>
      <c r="BC18" s="24" t="inlineStr">
        <is>
          <t>mlb-elo-trend-lr-v7</t>
        </is>
      </c>
      <c r="BD18" s="24" t="inlineStr">
        <is>
          <t>464eef695bfbbdaa819ec6f5e4c5bd1068ed20b92915fb2677220ae91e20d8b6</t>
        </is>
      </c>
      <c r="BE18" s="24" t="inlineStr">
        <is>
          <t>87db1c842ab8959c</t>
        </is>
      </c>
      <c r="BF18" s="24" t="inlineStr">
        <is>
          <t>1</t>
        </is>
      </c>
      <c r="BG18" s="24" t="inlineStr">
        <is>
          <t>mlb-elo-trend-lr-v7</t>
        </is>
      </c>
      <c r="BH18" s="24" t="inlineStr">
        <is>
          <t>2026-07-31T21:04:14.582367Z</t>
        </is>
      </c>
      <c r="BI18" s="24" t="inlineStr">
        <is>
          <t>["same_event","same_team_same_day","same_league_same_day"]</t>
        </is>
      </c>
      <c r="BJ18" s="25" t="n"/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0.4930079966</t>
        </is>
      </c>
      <c r="CD18" s="24" t="inlineStr">
        <is>
          <t>0.789352</t>
        </is>
      </c>
      <c r="CE18" s="24" t="inlineStr">
        <is>
          <t>1.036</t>
        </is>
      </c>
      <c r="CF18" s="24" t="inlineStr">
        <is>
          <t>1.0173</t>
        </is>
      </c>
      <c r="CG18" s="24" t="inlineStr">
        <is>
          <t>-1.2</t>
        </is>
      </c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18511f34209b4f46</t>
        </is>
      </c>
      <c r="B19" s="24" t="inlineStr">
        <is>
          <t>2026-07-31T21:05:22.115641Z</t>
        </is>
      </c>
      <c r="C19" s="24" t="inlineStr">
        <is>
          <t>2026-07-31T19:05:00-0400</t>
        </is>
      </c>
      <c r="D19" s="24" t="inlineStr">
        <is>
          <t>401816335</t>
        </is>
      </c>
      <c r="E19" s="24" t="inlineStr">
        <is>
          <t>MLB</t>
        </is>
      </c>
      <c r="F19" s="24" t="inlineStr">
        <is>
          <t>Philadelphia Phillies</t>
        </is>
      </c>
      <c r="G19" s="24" t="inlineStr">
        <is>
          <t>Baltimore Orioles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106</v>
      </c>
      <c r="M19" s="27" t="n">
        <v>2.06</v>
      </c>
      <c r="N19" s="28" t="n">
        <v>0.485437</v>
      </c>
      <c r="O19" s="28" t="n">
        <v>0.509459</v>
      </c>
      <c r="P19" s="28" t="n"/>
      <c r="Q19" s="28" t="n">
        <v>0.024022</v>
      </c>
      <c r="R19" s="26" t="n">
        <v>33</v>
      </c>
      <c r="S19" s="29" t="n">
        <v>1</v>
      </c>
      <c r="T19" s="24" t="inlineStr">
        <is>
          <t>mlb-elo-trend-lr-v7</t>
        </is>
      </c>
      <c r="U19" s="24" t="inlineStr">
        <is>
          <t>settled</t>
        </is>
      </c>
      <c r="V19" s="24" t="inlineStr">
        <is>
          <t>loss</t>
        </is>
      </c>
      <c r="W19" s="26" t="n">
        <v>4</v>
      </c>
      <c r="X19" s="26" t="n">
        <v>6</v>
      </c>
      <c r="Y19" s="25" t="n"/>
      <c r="Z19" s="26" t="n">
        <v>106</v>
      </c>
      <c r="AA19" s="28" t="n">
        <v>0.485</v>
      </c>
      <c r="AB19" s="28" t="n">
        <v>-0.000437</v>
      </c>
      <c r="AC19" s="30" t="n">
        <v>-1</v>
      </c>
      <c r="AD19" s="24" t="inlineStr">
        <is>
          <t>2026-08-01T02:59:56.695557Z</t>
        </is>
      </c>
      <c r="AE19" s="31" t="inlineStr">
        <is>
          <t>Learned LR call at threshold 0.6242; executable ask 0.4850 (aec-mlb-phi-bal-2026-07-31); model edge vs ask +0.0245.</t>
        </is>
      </c>
      <c r="AF19" s="31" t="inlineStr">
        <is>
          <t>Learned model; shadow-qualified via operator override.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mlb-phi</t>
        </is>
      </c>
      <c r="AQ19" s="24" t="inlineStr">
        <is>
          <t>Philadelphia Phillies</t>
        </is>
      </c>
      <c r="AR19" s="24" t="inlineStr">
        <is>
          <t>Philadelphia Phillies</t>
        </is>
      </c>
      <c r="AS19" s="24" t="inlineStr">
        <is>
          <t>mlb-bal</t>
        </is>
      </c>
      <c r="AT19" s="24" t="inlineStr">
        <is>
          <t>Baltimore Orioles</t>
        </is>
      </c>
      <c r="AU19" s="24" t="inlineStr">
        <is>
          <t>Baltimore Orioles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464eef695bfbbdaa819ec6f5e4c5bd1068ed20b92915fb2677220ae91e20d8b6</t>
        </is>
      </c>
      <c r="BB19" s="24" t="inlineStr">
        <is>
          <t>learned_lr</t>
        </is>
      </c>
      <c r="BC19" s="24" t="inlineStr">
        <is>
          <t>mlb-elo-trend-lr-v7</t>
        </is>
      </c>
      <c r="BD19" s="24" t="inlineStr">
        <is>
          <t>464eef695bfbbdaa819ec6f5e4c5bd1068ed20b92915fb2677220ae91e20d8b6</t>
        </is>
      </c>
      <c r="BE19" s="24" t="inlineStr">
        <is>
          <t>1b69a14f3893f0c1</t>
        </is>
      </c>
      <c r="BF19" s="24" t="inlineStr">
        <is>
          <t>1</t>
        </is>
      </c>
      <c r="BG19" s="24" t="inlineStr">
        <is>
          <t>mlb-elo-trend-lr-v7</t>
        </is>
      </c>
      <c r="BH19" s="24" t="inlineStr">
        <is>
          <t>2026-07-31T21:04:15.613897Z</t>
        </is>
      </c>
      <c r="BI19" s="24" t="inlineStr">
        <is>
          <t>["same_event","same_team_same_day","same_league_same_day"]</t>
        </is>
      </c>
      <c r="BJ19" s="25" t="n"/>
      <c r="BK19" s="26" t="n">
        <v>106</v>
      </c>
      <c r="BL19" s="27" t="n">
        <v>2.06</v>
      </c>
      <c r="BM19" s="28" t="n">
        <v>0.485437</v>
      </c>
      <c r="BN19" s="28" t="n">
        <v>0.482587</v>
      </c>
      <c r="BO19" s="28" t="n"/>
      <c r="BP19" s="25" t="n"/>
      <c r="BQ19" s="27" t="n">
        <v>2.06</v>
      </c>
      <c r="BR19" s="28" t="n">
        <v>0.485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0.4867559615</t>
        </is>
      </c>
      <c r="CD19" s="24" t="inlineStr">
        <is>
          <t>0.736702</t>
        </is>
      </c>
      <c r="CE19" s="24" t="inlineStr">
        <is>
          <t>1.03</t>
        </is>
      </c>
      <c r="CF19" s="24" t="inlineStr">
        <is>
          <t>1.0165</t>
        </is>
      </c>
      <c r="CG19" s="24" t="inlineStr">
        <is>
          <t>3.2</t>
        </is>
      </c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65f9af1bb6f84870</t>
        </is>
      </c>
      <c r="B20" s="24" t="inlineStr">
        <is>
          <t>2026-07-31T21:05:22.115641Z</t>
        </is>
      </c>
      <c r="C20" s="24" t="inlineStr">
        <is>
          <t>2026-07-31T19:07:00-0400</t>
        </is>
      </c>
      <c r="D20" s="24" t="inlineStr">
        <is>
          <t>401816337</t>
        </is>
      </c>
      <c r="E20" s="24" t="inlineStr">
        <is>
          <t>MLB</t>
        </is>
      </c>
      <c r="F20" s="24" t="inlineStr">
        <is>
          <t>St. Louis Cardinals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-170</v>
      </c>
      <c r="M20" s="27" t="n">
        <v>1.588235</v>
      </c>
      <c r="N20" s="28" t="n">
        <v>0.62963</v>
      </c>
      <c r="O20" s="28" t="n">
        <v>0.5350549999999999</v>
      </c>
      <c r="P20" s="28" t="n"/>
      <c r="Q20" s="28" t="n">
        <v>-0.09457500000000001</v>
      </c>
      <c r="R20" s="26" t="n">
        <v>0</v>
      </c>
      <c r="S20" s="29" t="n">
        <v>1</v>
      </c>
      <c r="T20" s="24" t="inlineStr">
        <is>
          <t>mlb-elo-trend-lr-v7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3</v>
      </c>
      <c r="Y20" s="25" t="n"/>
      <c r="Z20" s="26" t="n">
        <v>-170</v>
      </c>
      <c r="AA20" s="28" t="n">
        <v>0.63</v>
      </c>
      <c r="AB20" s="28" t="n">
        <v>0.00037</v>
      </c>
      <c r="AC20" s="30" t="n">
        <v>0.5881999999999999</v>
      </c>
      <c r="AD20" s="24" t="inlineStr">
        <is>
          <t>2026-08-01T02:59:56.851630Z</t>
        </is>
      </c>
      <c r="AE20" s="31" t="inlineStr">
        <is>
          <t>Learned LR call at threshold 0.6242; executable ask 0.6300 (aec-mlb-stl-tor-2026-07-31); model edge vs ask -0.0949.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mlb-stl</t>
        </is>
      </c>
      <c r="AQ20" s="24" t="inlineStr">
        <is>
          <t>St. Louis Cardinals</t>
        </is>
      </c>
      <c r="AR20" s="24" t="inlineStr">
        <is>
          <t>St. Louis Cardinals</t>
        </is>
      </c>
      <c r="AS20" s="24" t="inlineStr">
        <is>
          <t>mlb-tor</t>
        </is>
      </c>
      <c r="AT20" s="24" t="inlineStr">
        <is>
          <t>Toronto Blue Jays</t>
        </is>
      </c>
      <c r="AU20" s="24" t="inlineStr">
        <is>
          <t>Toronto Blue Jays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464eef695bfbbdaa819ec6f5e4c5bd1068ed20b92915fb2677220ae91e20d8b6</t>
        </is>
      </c>
      <c r="BB20" s="24" t="inlineStr">
        <is>
          <t>learned_lr</t>
        </is>
      </c>
      <c r="BC20" s="24" t="inlineStr">
        <is>
          <t>mlb-elo-trend-lr-v7</t>
        </is>
      </c>
      <c r="BD20" s="24" t="inlineStr">
        <is>
          <t>464eef695bfbbdaa819ec6f5e4c5bd1068ed20b92915fb2677220ae91e20d8b6</t>
        </is>
      </c>
      <c r="BE20" s="24" t="inlineStr">
        <is>
          <t>d656c6c15db18eba</t>
        </is>
      </c>
      <c r="BF20" s="24" t="inlineStr">
        <is>
          <t>1</t>
        </is>
      </c>
      <c r="BG20" s="24" t="inlineStr">
        <is>
          <t>mlb-elo-trend-lr-v7</t>
        </is>
      </c>
      <c r="BH20" s="24" t="inlineStr">
        <is>
          <t>2026-07-31T21:04:16.588388Z</t>
        </is>
      </c>
      <c r="BI20" s="24" t="inlineStr">
        <is>
          <t>["same_event","same_team_same_day","same_league_same_day"]</t>
        </is>
      </c>
      <c r="BJ20" s="25" t="n"/>
      <c r="BK20" s="26" t="n">
        <v>-170</v>
      </c>
      <c r="BL20" s="27" t="n">
        <v>1.588235</v>
      </c>
      <c r="BM20" s="28" t="n">
        <v>0.62963</v>
      </c>
      <c r="BN20" s="28" t="n">
        <v>0.626866</v>
      </c>
      <c r="BO20" s="28" t="n"/>
      <c r="BP20" s="25" t="n"/>
      <c r="BQ20" s="27" t="n">
        <v>1.588235</v>
      </c>
      <c r="BR20" s="28" t="n">
        <v>0.63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0.5524208033</t>
        </is>
      </c>
      <c r="CD20" s="24" t="inlineStr">
        <is>
          <t>0.784126</t>
        </is>
      </c>
      <c r="CE20" s="24" t="inlineStr">
        <is>
          <t>1.019</t>
        </is>
      </c>
      <c r="CF20" s="24" t="inlineStr">
        <is>
          <t>1.0</t>
        </is>
      </c>
      <c r="CG20" s="24" t="inlineStr">
        <is>
          <t>-0.8</t>
        </is>
      </c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830a7f0146484ece</t>
        </is>
      </c>
      <c r="B21" s="24" t="inlineStr">
        <is>
          <t>2026-07-31T21:05:22.115641Z</t>
        </is>
      </c>
      <c r="C21" s="24" t="inlineStr">
        <is>
          <t>2026-07-31T19:10:00-0400</t>
        </is>
      </c>
      <c r="D21" s="24" t="inlineStr">
        <is>
          <t>401816332</t>
        </is>
      </c>
      <c r="E21" s="24" t="inlineStr">
        <is>
          <t>MLB</t>
        </is>
      </c>
      <c r="F21" s="24" t="inlineStr">
        <is>
          <t>Arizona Diamondbacks</t>
        </is>
      </c>
      <c r="G21" s="24" t="inlineStr">
        <is>
          <t>Cleveland Guardians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-130</v>
      </c>
      <c r="M21" s="27" t="n">
        <v>1.769231</v>
      </c>
      <c r="N21" s="28" t="n">
        <v>0.565217</v>
      </c>
      <c r="O21" s="28" t="n">
        <v>0.544258</v>
      </c>
      <c r="P21" s="28" t="n"/>
      <c r="Q21" s="28" t="n">
        <v>-0.020959</v>
      </c>
      <c r="R21" s="26" t="n">
        <v>11</v>
      </c>
      <c r="S21" s="29" t="n">
        <v>1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loss</t>
        </is>
      </c>
      <c r="W21" s="26" t="n">
        <v>4</v>
      </c>
      <c r="X21" s="26" t="n">
        <v>1</v>
      </c>
      <c r="Y21" s="25" t="n"/>
      <c r="Z21" s="26" t="n">
        <v>-130</v>
      </c>
      <c r="AA21" s="28" t="n">
        <v>0.5649999999999999</v>
      </c>
      <c r="AB21" s="28" t="n">
        <v>-0.000217</v>
      </c>
      <c r="AC21" s="30" t="n">
        <v>-1</v>
      </c>
      <c r="AD21" s="24" t="inlineStr">
        <is>
          <t>2026-08-01T02:59:57.004177Z</t>
        </is>
      </c>
      <c r="AE21" s="31" t="inlineStr">
        <is>
          <t>Learned LR call at threshold 0.6242; executable ask 0.5650 (aec-mlb-az-cle-2026-07-31); model edge vs ask -0.0207.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mlb-ari</t>
        </is>
      </c>
      <c r="AQ21" s="24" t="inlineStr">
        <is>
          <t>Arizona Diamondbacks</t>
        </is>
      </c>
      <c r="AR21" s="24" t="inlineStr">
        <is>
          <t>Arizona Diamondbacks</t>
        </is>
      </c>
      <c r="AS21" s="24" t="inlineStr">
        <is>
          <t>mlb-cle</t>
        </is>
      </c>
      <c r="AT21" s="24" t="inlineStr">
        <is>
          <t>Cleveland Guardians</t>
        </is>
      </c>
      <c r="AU21" s="24" t="inlineStr">
        <is>
          <t>Cleveland Guardians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c05f3921fd3daa13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2026-07-31T21:04:18.706060Z</t>
        </is>
      </c>
      <c r="BI21" s="24" t="inlineStr">
        <is>
          <t>["same_event","same_team_same_day","same_league_same_day"]</t>
        </is>
      </c>
      <c r="BJ21" s="25" t="n"/>
      <c r="BK21" s="26" t="n">
        <v>-130</v>
      </c>
      <c r="BL21" s="27" t="n">
        <v>1.769231</v>
      </c>
      <c r="BM21" s="28" t="n">
        <v>0.565217</v>
      </c>
      <c r="BN21" s="28" t="n">
        <v>0.562189</v>
      </c>
      <c r="BO21" s="28" t="n"/>
      <c r="BP21" s="25" t="n"/>
      <c r="BQ21" s="27" t="n">
        <v>1.769231</v>
      </c>
      <c r="BR21" s="28" t="n">
        <v>0.5649999999999999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0.5330748271</t>
        </is>
      </c>
      <c r="CD21" s="24" t="inlineStr">
        <is>
          <t>-0.52933</t>
        </is>
      </c>
      <c r="CE21" s="24" t="inlineStr">
        <is>
          <t>0.966</t>
        </is>
      </c>
      <c r="CF21" s="24" t="inlineStr">
        <is>
          <t>1.01</t>
        </is>
      </c>
      <c r="CG21" s="24" t="inlineStr">
        <is>
          <t>-0.4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f5a258d873954db7</t>
        </is>
      </c>
      <c r="B22" s="24" t="inlineStr">
        <is>
          <t>2026-07-31T21:05:22.115641Z</t>
        </is>
      </c>
      <c r="C22" s="24" t="inlineStr">
        <is>
          <t>2026-07-31T19:10:00-0400</t>
        </is>
      </c>
      <c r="D22" s="24" t="inlineStr">
        <is>
          <t>401816333</t>
        </is>
      </c>
      <c r="E22" s="24" t="inlineStr">
        <is>
          <t>MLB</t>
        </is>
      </c>
      <c r="F22" s="24" t="inlineStr">
        <is>
          <t>Chicago White Sox</t>
        </is>
      </c>
      <c r="G22" s="24" t="inlineStr">
        <is>
          <t>Tampa Bay Rays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0.559082</v>
      </c>
      <c r="P22" s="28" t="n"/>
      <c r="Q22" s="28" t="n">
        <v>-0.000389</v>
      </c>
      <c r="R22" s="26" t="n">
        <v>21</v>
      </c>
      <c r="S22" s="29" t="n">
        <v>1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1</v>
      </c>
      <c r="Y22" s="25" t="n"/>
      <c r="Z22" s="26" t="n">
        <v>-127</v>
      </c>
      <c r="AA22" s="28" t="n">
        <v>0.5600000000000001</v>
      </c>
      <c r="AB22" s="28" t="n">
        <v>0.000529</v>
      </c>
      <c r="AC22" s="30" t="n">
        <v>-1</v>
      </c>
      <c r="AD22" s="24" t="inlineStr">
        <is>
          <t>2026-08-01T02:59:57.156071Z</t>
        </is>
      </c>
      <c r="AE22" s="31" t="inlineStr">
        <is>
          <t>Learned LR call at threshold 0.6242; executable ask 0.5600 (aec-mlb-cws-tb-2026-07-31); model edge vs ask -0.0009.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mlb-cws</t>
        </is>
      </c>
      <c r="AQ22" s="24" t="inlineStr">
        <is>
          <t>Chicago White Sox</t>
        </is>
      </c>
      <c r="AR22" s="24" t="inlineStr">
        <is>
          <t>Chicago White Sox</t>
        </is>
      </c>
      <c r="AS22" s="24" t="inlineStr">
        <is>
          <t>mlb-tb</t>
        </is>
      </c>
      <c r="AT22" s="24" t="inlineStr">
        <is>
          <t>Tampa Bay Rays</t>
        </is>
      </c>
      <c r="AU22" s="24" t="inlineStr">
        <is>
          <t>Tampa Bay Rays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a9ebd0a8f01e6140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2026-07-31T21:04:17.593587Z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>
        <v>0.557214</v>
      </c>
      <c r="BO22" s="28" t="n"/>
      <c r="BP22" s="25" t="n"/>
      <c r="BQ22" s="27" t="n">
        <v>1.787402</v>
      </c>
      <c r="BR22" s="28" t="n">
        <v>0.5600000000000001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0.5584762442</t>
        </is>
      </c>
      <c r="CD22" s="24" t="inlineStr">
        <is>
          <t>-0.438979</t>
        </is>
      </c>
      <c r="CE22" s="24" t="inlineStr">
        <is>
          <t>0.965</t>
        </is>
      </c>
      <c r="CF22" s="24" t="inlineStr">
        <is>
          <t>1.0</t>
        </is>
      </c>
      <c r="CG22" s="24" t="inlineStr">
        <is>
          <t>-2.4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7f3cd71981a74e45</t>
        </is>
      </c>
      <c r="B23" s="24" t="inlineStr">
        <is>
          <t>2026-07-31T21:05:22.115641Z</t>
        </is>
      </c>
      <c r="C23" s="24" t="inlineStr">
        <is>
          <t>2026-07-31T19:10:00-0400</t>
        </is>
      </c>
      <c r="D23" s="24" t="inlineStr">
        <is>
          <t>401816334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New York Mets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0.515053</v>
      </c>
      <c r="P23" s="28" t="n"/>
      <c r="Q23" s="28" t="n">
        <v>-0.011013</v>
      </c>
      <c r="R23" s="26" t="n">
        <v>16</v>
      </c>
      <c r="S23" s="29" t="n">
        <v>1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loss</t>
        </is>
      </c>
      <c r="W23" s="26" t="n">
        <v>5</v>
      </c>
      <c r="X23" s="26" t="n">
        <v>2</v>
      </c>
      <c r="Y23" s="25" t="n"/>
      <c r="Z23" s="26" t="n">
        <v>-111</v>
      </c>
      <c r="AA23" s="28" t="n">
        <v>0.525</v>
      </c>
      <c r="AB23" s="28" t="n">
        <v>-0.001066</v>
      </c>
      <c r="AC23" s="30" t="n">
        <v>-1</v>
      </c>
      <c r="AD23" s="24" t="inlineStr">
        <is>
          <t>2026-08-01T02:59:57.309166Z</t>
        </is>
      </c>
      <c r="AE23" s="31" t="inlineStr">
        <is>
          <t>Learned LR call at threshold 0.6242; executable ask 0.5250 (aec-mlb-mia-nym-2026-07-31); model edge vs ask -0.0099.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mlb-mia</t>
        </is>
      </c>
      <c r="AQ23" s="24" t="inlineStr">
        <is>
          <t>Miami Marlins</t>
        </is>
      </c>
      <c r="AR23" s="24" t="inlineStr">
        <is>
          <t>Miami Marlins</t>
        </is>
      </c>
      <c r="AS23" s="24" t="inlineStr">
        <is>
          <t>mlb-nym</t>
        </is>
      </c>
      <c r="AT23" s="24" t="inlineStr">
        <is>
          <t>New York Mets</t>
        </is>
      </c>
      <c r="AU23" s="24" t="inlineStr">
        <is>
          <t>New York Mets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7d687c1d1c8fffaf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2026-07-31T21:04:19.683836Z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>
        <v>1.900901</v>
      </c>
      <c r="BR23" s="28" t="n">
        <v>0.525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0.5114006859</t>
        </is>
      </c>
      <c r="CD23" s="24" t="inlineStr">
        <is>
          <t>0.280262</t>
        </is>
      </c>
      <c r="CE23" s="24" t="inlineStr">
        <is>
          <t>0.978</t>
        </is>
      </c>
      <c r="CF23" s="24" t="inlineStr">
        <is>
          <t>1.0066</t>
        </is>
      </c>
      <c r="CG23" s="24" t="inlineStr">
        <is>
          <t>-2.2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501f096aa2fd47ba</t>
        </is>
      </c>
      <c r="B24" s="24" t="inlineStr">
        <is>
          <t>2026-07-31T21:05:22.115641Z</t>
        </is>
      </c>
      <c r="C24" s="24" t="inlineStr">
        <is>
          <t>2026-07-31T19:15:00-0400</t>
        </is>
      </c>
      <c r="D24" s="24" t="inlineStr">
        <is>
          <t>401816338</t>
        </is>
      </c>
      <c r="E24" s="24" t="inlineStr">
        <is>
          <t>MLB</t>
        </is>
      </c>
      <c r="F24" s="24" t="inlineStr">
        <is>
          <t>Washington Nationals</t>
        </is>
      </c>
      <c r="G24" s="24" t="inlineStr">
        <is>
          <t>Atlanta Braves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-111</v>
      </c>
      <c r="M24" s="27" t="n">
        <v>1.900901</v>
      </c>
      <c r="N24" s="28" t="n">
        <v>0.526066</v>
      </c>
      <c r="O24" s="28" t="n">
        <v>0.610339</v>
      </c>
      <c r="P24" s="28" t="n"/>
      <c r="Q24" s="28" t="n">
        <v>0.084273</v>
      </c>
      <c r="R24" s="26" t="n">
        <v>64</v>
      </c>
      <c r="S24" s="29" t="n">
        <v>1.5</v>
      </c>
      <c r="T24" s="24" t="inlineStr">
        <is>
          <t>mlb-elo-trend-lr-v7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6</v>
      </c>
      <c r="Y24" s="25" t="n"/>
      <c r="Z24" s="26" t="n">
        <v>-111</v>
      </c>
      <c r="AA24" s="28" t="n">
        <v>0.525</v>
      </c>
      <c r="AB24" s="28" t="n">
        <v>-0.001066</v>
      </c>
      <c r="AC24" s="30" t="n">
        <v>1.3514</v>
      </c>
      <c r="AD24" s="24" t="inlineStr">
        <is>
          <t>2026-08-01T02:59:57.461710Z</t>
        </is>
      </c>
      <c r="AE24" s="31" t="inlineStr">
        <is>
          <t>Learned LR call at threshold 0.6242; executable ask 0.5250 (aec-mlb-wsh-atl-2026-07-31); model edge vs ask +0.0853.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mlb-wsh</t>
        </is>
      </c>
      <c r="AQ24" s="24" t="inlineStr">
        <is>
          <t>Washington Nationals</t>
        </is>
      </c>
      <c r="AR24" s="24" t="inlineStr">
        <is>
          <t>Washington Nationals</t>
        </is>
      </c>
      <c r="AS24" s="24" t="inlineStr">
        <is>
          <t>mlb-atl</t>
        </is>
      </c>
      <c r="AT24" s="24" t="inlineStr">
        <is>
          <t>Atlanta Braves</t>
        </is>
      </c>
      <c r="AU24" s="24" t="inlineStr">
        <is>
          <t>Atlanta Braves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464eef695bfbbdaa819ec6f5e4c5bd1068ed20b92915fb2677220ae91e20d8b6</t>
        </is>
      </c>
      <c r="BB24" s="24" t="inlineStr">
        <is>
          <t>learned_lr</t>
        </is>
      </c>
      <c r="BC24" s="24" t="inlineStr">
        <is>
          <t>mlb-elo-trend-lr-v7</t>
        </is>
      </c>
      <c r="BD24" s="24" t="inlineStr">
        <is>
          <t>464eef695bfbbdaa819ec6f5e4c5bd1068ed20b92915fb2677220ae91e20d8b6</t>
        </is>
      </c>
      <c r="BE24" s="24" t="inlineStr">
        <is>
          <t>7862677c79c1ab1a</t>
        </is>
      </c>
      <c r="BF24" s="24" t="inlineStr">
        <is>
          <t>1</t>
        </is>
      </c>
      <c r="BG24" s="24" t="inlineStr">
        <is>
          <t>mlb-elo-trend-lr-v7</t>
        </is>
      </c>
      <c r="BH24" s="24" t="inlineStr">
        <is>
          <t>2026-07-31T21:04:20.645809Z</t>
        </is>
      </c>
      <c r="BI24" s="24" t="inlineStr">
        <is>
          <t>["same_event","same_team_same_day","same_league_same_day"]</t>
        </is>
      </c>
      <c r="BJ24" s="25" t="n"/>
      <c r="BK24" s="26" t="n">
        <v>-111</v>
      </c>
      <c r="BL24" s="27" t="n">
        <v>1.900901</v>
      </c>
      <c r="BM24" s="28" t="n">
        <v>0.526066</v>
      </c>
      <c r="BN24" s="28" t="n">
        <v>0.522388</v>
      </c>
      <c r="BO24" s="28" t="n"/>
      <c r="BP24" s="25" t="n"/>
      <c r="BQ24" s="27" t="n">
        <v>1.900901</v>
      </c>
      <c r="BR24" s="28" t="n">
        <v>0.525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0.6202589708</t>
        </is>
      </c>
      <c r="CD24" s="24" t="inlineStr">
        <is>
          <t>-0.247606</t>
        </is>
      </c>
      <c r="CE24" s="24" t="inlineStr">
        <is>
          <t>0.929</t>
        </is>
      </c>
      <c r="CF24" s="24" t="inlineStr">
        <is>
          <t>1.0189</t>
        </is>
      </c>
      <c r="CG24" s="24" t="inlineStr">
        <is>
          <t>-0.6</t>
        </is>
      </c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18e5ba2aaf884ddf</t>
        </is>
      </c>
      <c r="B25" s="24" t="inlineStr">
        <is>
          <t>2026-07-31T23:29:42.171549Z</t>
        </is>
      </c>
      <c r="C25" s="24" t="inlineStr">
        <is>
          <t>2026-07-31T19:30:00-0400</t>
        </is>
      </c>
      <c r="D25" s="24" t="inlineStr">
        <is>
          <t>401857102</t>
        </is>
      </c>
      <c r="E25" s="24" t="inlineStr">
        <is>
          <t>WNBA</t>
        </is>
      </c>
      <c r="F25" s="24" t="inlineStr">
        <is>
          <t>Seattle Storm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-525</v>
      </c>
      <c r="M25" s="27" t="n">
        <v>1.190476</v>
      </c>
      <c r="N25" s="28" t="n">
        <v>0.84</v>
      </c>
      <c r="O25" s="28" t="n">
        <v>0.737046</v>
      </c>
      <c r="P25" s="28" t="n"/>
      <c r="Q25" s="28" t="n">
        <v>-0.102954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89</v>
      </c>
      <c r="X25" s="26" t="n">
        <v>98</v>
      </c>
      <c r="Y25" s="25" t="n"/>
      <c r="Z25" s="26" t="n"/>
      <c r="AA25" s="28" t="n"/>
      <c r="AB25" s="28" t="n"/>
      <c r="AC25" s="30" t="n">
        <v>0.381</v>
      </c>
      <c r="AD25" s="24" t="inlineStr">
        <is>
          <t>2026-08-01T02:59:57.929008Z</t>
        </is>
      </c>
      <c r="AE25" s="31" t="inlineStr">
        <is>
          <t>Learned LR call at threshold 0.5001; executable ask 0.8400 (aec-wnba-sea-atl-2026-07-31); model edge vs ask -0.1030.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wnba-sea</t>
        </is>
      </c>
      <c r="AQ25" s="24" t="inlineStr">
        <is>
          <t>Seattle Storm</t>
        </is>
      </c>
      <c r="AR25" s="24" t="inlineStr">
        <is>
          <t>Seattle Storm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8fdca19bc32f576a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2026-07-31T23:29:25.425390Z</t>
        </is>
      </c>
      <c r="BI25" s="24" t="inlineStr">
        <is>
          <t>["same_event","same_team_same_day","same_league_same_day"]</t>
        </is>
      </c>
      <c r="BJ25" s="25" t="n"/>
      <c r="BK25" s="26" t="n">
        <v>-525</v>
      </c>
      <c r="BL25" s="27" t="n">
        <v>1.190476</v>
      </c>
      <c r="BM25" s="28" t="n">
        <v>0.84</v>
      </c>
      <c r="BN25" s="28" t="n">
        <v>0.831683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0.821319619</t>
        </is>
      </c>
      <c r="CD25" s="24" t="inlineStr">
        <is>
          <t>-5.618671</t>
        </is>
      </c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06a3a214f14c43bf</t>
        </is>
      </c>
      <c r="B26" s="24" t="inlineStr">
        <is>
          <t>2026-07-31T23:29:42.171549Z</t>
        </is>
      </c>
      <c r="C26" s="24" t="inlineStr">
        <is>
          <t>2026-07-31T19:30:00-0400</t>
        </is>
      </c>
      <c r="D26" s="24" t="inlineStr">
        <is>
          <t>401857103</t>
        </is>
      </c>
      <c r="E26" s="24" t="inlineStr">
        <is>
          <t>WNBA</t>
        </is>
      </c>
      <c r="F26" s="24" t="inlineStr">
        <is>
          <t>Dallas Wings</t>
        </is>
      </c>
      <c r="G26" s="24" t="inlineStr">
        <is>
          <t>Washington Mystics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-150</v>
      </c>
      <c r="M26" s="27" t="n">
        <v>1.666667</v>
      </c>
      <c r="N26" s="28" t="n">
        <v>0.6</v>
      </c>
      <c r="O26" s="28" t="n">
        <v>0.575648</v>
      </c>
      <c r="P26" s="28" t="n"/>
      <c r="Q26" s="28" t="n">
        <v>-0.024352</v>
      </c>
      <c r="R26" s="26" t="n">
        <v>11</v>
      </c>
      <c r="S26" s="29" t="n">
        <v>1.25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75</v>
      </c>
      <c r="X26" s="26" t="n">
        <v>81</v>
      </c>
      <c r="Y26" s="25" t="n"/>
      <c r="Z26" s="26" t="n"/>
      <c r="AA26" s="28" t="n"/>
      <c r="AB26" s="28" t="n"/>
      <c r="AC26" s="30" t="n">
        <v>-1.25</v>
      </c>
      <c r="AD26" s="24" t="inlineStr">
        <is>
          <t>2026-08-01T02:59:58.085221Z</t>
        </is>
      </c>
      <c r="AE26" s="31" t="inlineStr">
        <is>
          <t>Learned LR call at threshold 0.5001; executable ask 0.6000 (aec-wnba-dal-wsh-2026-07-31); model edge vs ask -0.0244.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wnba-dal</t>
        </is>
      </c>
      <c r="AQ26" s="24" t="inlineStr">
        <is>
          <t>Dallas Wings</t>
        </is>
      </c>
      <c r="AR26" s="24" t="inlineStr">
        <is>
          <t>Dallas Wings</t>
        </is>
      </c>
      <c r="AS26" s="24" t="inlineStr">
        <is>
          <t>wnba-was</t>
        </is>
      </c>
      <c r="AT26" s="24" t="inlineStr">
        <is>
          <t>Washington Mystics</t>
        </is>
      </c>
      <c r="AU26" s="24" t="inlineStr">
        <is>
          <t>Washington Mystics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0f848d940ea26816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2026-07-31T23:29:26.294036Z</t>
        </is>
      </c>
      <c r="BI26" s="24" t="inlineStr">
        <is>
          <t>["same_event","same_team_same_day","same_league_same_day"]</t>
        </is>
      </c>
      <c r="BJ26" s="25" t="n"/>
      <c r="BK26" s="26" t="n">
        <v>-150</v>
      </c>
      <c r="BL26" s="27" t="n">
        <v>1.666667</v>
      </c>
      <c r="BM26" s="28" t="n">
        <v>0.6</v>
      </c>
      <c r="BN26" s="28" t="n">
        <v>0.594059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0.4036949453</t>
        </is>
      </c>
      <c r="CD26" s="24" t="inlineStr">
        <is>
          <t>-0.615194</t>
        </is>
      </c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0bea4ee624e94da7</t>
        </is>
      </c>
      <c r="B27" s="24" t="inlineStr">
        <is>
          <t>2026-07-31T23:29:42.171549Z</t>
        </is>
      </c>
      <c r="C27" s="24" t="inlineStr">
        <is>
          <t>2026-07-31T22:00:00-0400</t>
        </is>
      </c>
      <c r="D27" s="24" t="inlineStr">
        <is>
          <t>401857104</t>
        </is>
      </c>
      <c r="E27" s="24" t="inlineStr">
        <is>
          <t>WNBA</t>
        </is>
      </c>
      <c r="F27" s="24" t="inlineStr">
        <is>
          <t>Indiana Fever</t>
        </is>
      </c>
      <c r="G27" s="24" t="inlineStr">
        <is>
          <t>Portland Fire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-300</v>
      </c>
      <c r="M27" s="27" t="n">
        <v>1.333333</v>
      </c>
      <c r="N27" s="28" t="n">
        <v>0.75</v>
      </c>
      <c r="O27" s="28" t="n">
        <v>0.650826</v>
      </c>
      <c r="P27" s="28" t="n"/>
      <c r="Q27" s="28" t="n">
        <v>-0.099174</v>
      </c>
      <c r="R27" s="26" t="n">
        <v>0</v>
      </c>
      <c r="S27" s="29" t="n">
        <v>1.75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112</v>
      </c>
      <c r="X27" s="26" t="n">
        <v>98</v>
      </c>
      <c r="Y27" s="25" t="n"/>
      <c r="Z27" s="26" t="n"/>
      <c r="AA27" s="28" t="n"/>
      <c r="AB27" s="28" t="n"/>
      <c r="AC27" s="30" t="n">
        <v>0.5833</v>
      </c>
      <c r="AD27" s="24" t="inlineStr">
        <is>
          <t>2026-08-01T05:33:36.879084Z</t>
        </is>
      </c>
      <c r="AE27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wnba-ind</t>
        </is>
      </c>
      <c r="AQ27" s="24" t="inlineStr">
        <is>
          <t>Indiana Fever</t>
        </is>
      </c>
      <c r="AR27" s="24" t="inlineStr">
        <is>
          <t>Indiana Fever</t>
        </is>
      </c>
      <c r="AS27" s="24" t="inlineStr">
        <is>
          <t>wnba-por</t>
        </is>
      </c>
      <c r="AT27" s="24" t="inlineStr">
        <is>
          <t>Portland Fire</t>
        </is>
      </c>
      <c r="AU27" s="24" t="inlineStr">
        <is>
          <t>Portland Fire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bcb9c02760c21728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2026-07-31T23:29:27.325378Z</t>
        </is>
      </c>
      <c r="BI27" s="24" t="inlineStr">
        <is>
          <t>["same_event","same_team_same_day","same_league_same_day"]</t>
        </is>
      </c>
      <c r="BJ27" s="25" t="n"/>
      <c r="BK27" s="26" t="n">
        <v>-300</v>
      </c>
      <c r="BL27" s="27" t="n">
        <v>1.333333</v>
      </c>
      <c r="BM27" s="28" t="n">
        <v>0.75</v>
      </c>
      <c r="BN27" s="28" t="n">
        <v>0.742574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0.2910587699</t>
        </is>
      </c>
      <c r="CD27" s="24" t="inlineStr">
        <is>
          <t>-7.416658</t>
        </is>
      </c>
      <c r="CE27" s="24" t="n"/>
      <c r="CF27" s="24" t="n"/>
      <c r="CG27" s="24" t="n"/>
      <c r="CH27" s="24" t="n"/>
      <c r="CI27" s="24" t="inlineStr">
        <is>
          <t>wnba_availability_source_conflict</t>
        </is>
      </c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85acd0343c0c4821</t>
        </is>
      </c>
      <c r="B28" s="24" t="inlineStr">
        <is>
          <t>2026-07-31T23:29:42.171549Z</t>
        </is>
      </c>
      <c r="C28" s="24" t="inlineStr">
        <is>
          <t>2026-07-31T20:15:00-0400</t>
        </is>
      </c>
      <c r="D28" s="24" t="inlineStr">
        <is>
          <t>401816340</t>
        </is>
      </c>
      <c r="E28" s="24" t="inlineStr">
        <is>
          <t>MLB</t>
        </is>
      </c>
      <c r="F28" s="24" t="inlineStr">
        <is>
          <t>Texas Rangers</t>
        </is>
      </c>
      <c r="G28" s="24" t="inlineStr">
        <is>
          <t>Houston Astros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0.548061</v>
      </c>
      <c r="P28" s="28" t="n"/>
      <c r="Q28" s="28" t="n">
        <v>0.00889</v>
      </c>
      <c r="R28" s="26" t="n">
        <v>25</v>
      </c>
      <c r="S28" s="29" t="n">
        <v>1</v>
      </c>
      <c r="T28" s="24" t="inlineStr">
        <is>
          <t>mlb-elo-trend-lr-v7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11</v>
      </c>
      <c r="Y28" s="25" t="n"/>
      <c r="Z28" s="26" t="n">
        <v>-117</v>
      </c>
      <c r="AA28" s="28" t="n">
        <v>0.54</v>
      </c>
      <c r="AB28" s="28" t="n">
        <v>0.000829</v>
      </c>
      <c r="AC28" s="30" t="n">
        <v>0.8547</v>
      </c>
      <c r="AD28" s="24" t="inlineStr">
        <is>
          <t>2026-08-01T05:33:37.468716Z</t>
        </is>
      </c>
      <c r="AE28" s="31" t="inlineStr">
        <is>
          <t>Learned LR call at threshold 0.6242; executable ask 0.5400 (aec-mlb-tex-hou-2026-07-31); model edge vs ask +0.0081.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mlb-tex</t>
        </is>
      </c>
      <c r="AQ28" s="24" t="inlineStr">
        <is>
          <t>Texas Rangers</t>
        </is>
      </c>
      <c r="AR28" s="24" t="inlineStr">
        <is>
          <t>Texas Rangers</t>
        </is>
      </c>
      <c r="AS28" s="24" t="inlineStr">
        <is>
          <t>mlb-hou</t>
        </is>
      </c>
      <c r="AT28" s="24" t="inlineStr">
        <is>
          <t>Houston Astros</t>
        </is>
      </c>
      <c r="AU28" s="24" t="inlineStr">
        <is>
          <t>Houston Astros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464eef695bfbbdaa819ec6f5e4c5bd1068ed20b92915fb2677220ae91e20d8b6</t>
        </is>
      </c>
      <c r="BB28" s="24" t="inlineStr">
        <is>
          <t>learned_lr</t>
        </is>
      </c>
      <c r="BC28" s="24" t="inlineStr">
        <is>
          <t>mlb-elo-trend-lr-v7</t>
        </is>
      </c>
      <c r="BD28" s="24" t="inlineStr">
        <is>
          <t>464eef695bfbbdaa819ec6f5e4c5bd1068ed20b92915fb2677220ae91e20d8b6</t>
        </is>
      </c>
      <c r="BE28" s="24" t="inlineStr">
        <is>
          <t>524a0fd0934624ad</t>
        </is>
      </c>
      <c r="BF28" s="24" t="inlineStr">
        <is>
          <t>1</t>
        </is>
      </c>
      <c r="BG28" s="24" t="inlineStr">
        <is>
          <t>mlb-elo-trend-lr-v7</t>
        </is>
      </c>
      <c r="BH28" s="24" t="inlineStr">
        <is>
          <t>2026-07-31T23:29:18.070151Z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>
        <v>1.854701</v>
      </c>
      <c r="BR28" s="28" t="n">
        <v>0.54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0.5417596979</t>
        </is>
      </c>
      <c r="CD28" s="24" t="inlineStr">
        <is>
          <t>0.96412</t>
        </is>
      </c>
      <c r="CE28" s="24" t="inlineStr">
        <is>
          <t>0.956</t>
        </is>
      </c>
      <c r="CF28" s="24" t="inlineStr">
        <is>
          <t>1.0</t>
        </is>
      </c>
      <c r="CG28" s="24" t="inlineStr">
        <is>
          <t>2.2</t>
        </is>
      </c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d639ec75665d4cd4</t>
        </is>
      </c>
      <c r="B29" s="24" t="inlineStr">
        <is>
          <t>2026-07-31T23:29:42.171549Z</t>
        </is>
      </c>
      <c r="C29" s="24" t="inlineStr">
        <is>
          <t>2026-07-31T20:40:00-0400</t>
        </is>
      </c>
      <c r="D29" s="24" t="inlineStr">
        <is>
          <t>401816341</t>
        </is>
      </c>
      <c r="E29" s="24" t="inlineStr">
        <is>
          <t>MLB</t>
        </is>
      </c>
      <c r="F29" s="24" t="inlineStr">
        <is>
          <t>Kansas City Royals</t>
        </is>
      </c>
      <c r="G29" s="24" t="inlineStr">
        <is>
          <t>Colorado Rockies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0.5955</v>
      </c>
      <c r="P29" s="28" t="n"/>
      <c r="Q29" s="28" t="n">
        <v>0.08569599999999999</v>
      </c>
      <c r="R29" s="26" t="n">
        <v>64</v>
      </c>
      <c r="S29" s="29" t="n">
        <v>1.25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3</v>
      </c>
      <c r="Y29" s="25" t="n"/>
      <c r="Z29" s="26" t="n">
        <v>-104</v>
      </c>
      <c r="AA29" s="28" t="n">
        <v>0.51</v>
      </c>
      <c r="AB29" s="28" t="n">
        <v>0.000196</v>
      </c>
      <c r="AC29" s="30" t="n">
        <v>-1.25</v>
      </c>
      <c r="AD29" s="24" t="inlineStr">
        <is>
          <t>2026-08-01T05:33:37.627258Z</t>
        </is>
      </c>
      <c r="AE29" s="31" t="inlineStr">
        <is>
          <t>Learned LR call at threshold 0.6242; executable ask 0.5100 (aec-mlb-kc-col-2026-07-31); model edge vs ask +0.0855.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mlb-kc</t>
        </is>
      </c>
      <c r="AQ29" s="24" t="inlineStr">
        <is>
          <t>Kansas City Royals</t>
        </is>
      </c>
      <c r="AR29" s="24" t="inlineStr">
        <is>
          <t>Kansas City Royals</t>
        </is>
      </c>
      <c r="AS29" s="24" t="inlineStr">
        <is>
          <t>mlb-col</t>
        </is>
      </c>
      <c r="AT29" s="24" t="inlineStr">
        <is>
          <t>Colorado Rockies</t>
        </is>
      </c>
      <c r="AU29" s="24" t="inlineStr">
        <is>
          <t>Colorado Rockies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923d07b1b3b0c2bd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2026-07-31T23:29:19.286255Z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>
        <v>0.507463</v>
      </c>
      <c r="BO29" s="28" t="n"/>
      <c r="BP29" s="25" t="n"/>
      <c r="BQ29" s="27" t="n">
        <v>1.961538</v>
      </c>
      <c r="BR29" s="28" t="n">
        <v>0.51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0.4263386442</t>
        </is>
      </c>
      <c r="CD29" s="24" t="inlineStr">
        <is>
          <t>-0.092509</t>
        </is>
      </c>
      <c r="CE29" s="24" t="inlineStr">
        <is>
          <t>1.193</t>
        </is>
      </c>
      <c r="CF29" s="24" t="inlineStr">
        <is>
          <t>1.0177</t>
        </is>
      </c>
      <c r="CG29" s="24" t="inlineStr">
        <is>
          <t>3.8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7a55bfe00e684792</t>
        </is>
      </c>
      <c r="B30" s="24" t="inlineStr">
        <is>
          <t>2026-07-31T23:29:42.171549Z</t>
        </is>
      </c>
      <c r="C30" s="24" t="inlineStr">
        <is>
          <t>2026-07-31T21:38:00-0400</t>
        </is>
      </c>
      <c r="D30" s="24" t="inlineStr">
        <is>
          <t>401816344</t>
        </is>
      </c>
      <c r="E30" s="24" t="inlineStr">
        <is>
          <t>MLB</t>
        </is>
      </c>
      <c r="F30" s="24" t="inlineStr">
        <is>
          <t>Milwaukee Brewers</t>
        </is>
      </c>
      <c r="G30" s="24" t="inlineStr">
        <is>
          <t>Los Angeles Angels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0.623039</v>
      </c>
      <c r="P30" s="28" t="n"/>
      <c r="Q30" s="28" t="n">
        <v>0.013664</v>
      </c>
      <c r="R30" s="26" t="n">
        <v>28</v>
      </c>
      <c r="S30" s="29" t="n">
        <v>1.5</v>
      </c>
      <c r="T30" s="24" t="inlineStr">
        <is>
          <t>mlb-elo-trend-lr-v7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2</v>
      </c>
      <c r="Y30" s="25" t="n"/>
      <c r="Z30" s="26" t="n">
        <v>-156</v>
      </c>
      <c r="AA30" s="28" t="n">
        <v>0.61</v>
      </c>
      <c r="AB30" s="28" t="n">
        <v>0.000625</v>
      </c>
      <c r="AC30" s="30" t="n">
        <v>0.9615</v>
      </c>
      <c r="AD30" s="24" t="inlineStr">
        <is>
          <t>2026-08-01T05:33:37.785411Z</t>
        </is>
      </c>
      <c r="AE30" s="31" t="inlineStr">
        <is>
          <t>Learned LR call at threshold 0.6242; executable ask 0.6100 (aec-mlb-mil-laa-2026-07-31); model edge vs ask +0.0130.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mlb-mil</t>
        </is>
      </c>
      <c r="AQ30" s="24" t="inlineStr">
        <is>
          <t>Milwaukee Brewers</t>
        </is>
      </c>
      <c r="AR30" s="24" t="inlineStr">
        <is>
          <t>Milwaukee Brewers</t>
        </is>
      </c>
      <c r="AS30" s="24" t="inlineStr">
        <is>
          <t>mlb-laa</t>
        </is>
      </c>
      <c r="AT30" s="24" t="inlineStr">
        <is>
          <t>Los Angeles Angels</t>
        </is>
      </c>
      <c r="AU30" s="24" t="inlineStr">
        <is>
          <t>Los Angeles Angels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464eef695bfbbdaa819ec6f5e4c5bd1068ed20b92915fb2677220ae91e20d8b6</t>
        </is>
      </c>
      <c r="BB30" s="24" t="inlineStr">
        <is>
          <t>learned_lr</t>
        </is>
      </c>
      <c r="BC30" s="24" t="inlineStr">
        <is>
          <t>mlb-elo-trend-lr-v7</t>
        </is>
      </c>
      <c r="BD30" s="24" t="inlineStr">
        <is>
          <t>464eef695bfbbdaa819ec6f5e4c5bd1068ed20b92915fb2677220ae91e20d8b6</t>
        </is>
      </c>
      <c r="BE30" s="24" t="inlineStr">
        <is>
          <t>536a32a342b89fa6</t>
        </is>
      </c>
      <c r="BF30" s="24" t="inlineStr">
        <is>
          <t>1</t>
        </is>
      </c>
      <c r="BG30" s="24" t="inlineStr">
        <is>
          <t>mlb-elo-trend-lr-v7</t>
        </is>
      </c>
      <c r="BH30" s="24" t="inlineStr">
        <is>
          <t>2026-07-31T23:29:19.944430Z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>
        <v>0.606965</v>
      </c>
      <c r="BO30" s="28" t="n"/>
      <c r="BP30" s="25" t="n"/>
      <c r="BQ30" s="27" t="n">
        <v>1.641026</v>
      </c>
      <c r="BR30" s="28" t="n">
        <v>0.61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0.3355785191</t>
        </is>
      </c>
      <c r="CD30" s="24" t="inlineStr">
        <is>
          <t>-0.284241</t>
        </is>
      </c>
      <c r="CE30" s="24" t="inlineStr">
        <is>
          <t>1.01</t>
        </is>
      </c>
      <c r="CF30" s="24" t="inlineStr">
        <is>
          <t>1.0122</t>
        </is>
      </c>
      <c r="CG30" s="24" t="inlineStr">
        <is>
          <t>-0.4</t>
        </is>
      </c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a233d41d3a6a4baf</t>
        </is>
      </c>
      <c r="B31" s="24" t="inlineStr">
        <is>
          <t>2026-07-31T23:29:42.171549Z</t>
        </is>
      </c>
      <c r="C31" s="24" t="inlineStr">
        <is>
          <t>2026-07-31T21:40:00-0400</t>
        </is>
      </c>
      <c r="D31" s="24" t="inlineStr">
        <is>
          <t>401816343</t>
        </is>
      </c>
      <c r="E31" s="24" t="inlineStr">
        <is>
          <t>MLB</t>
        </is>
      </c>
      <c r="F31" s="24" t="inlineStr">
        <is>
          <t>Detroit Tigers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-130</v>
      </c>
      <c r="M31" s="27" t="n">
        <v>1.769231</v>
      </c>
      <c r="N31" s="28" t="n">
        <v>0.565217</v>
      </c>
      <c r="O31" s="28" t="n">
        <v>0.557314</v>
      </c>
      <c r="P31" s="28" t="n"/>
      <c r="Q31" s="28" t="n">
        <v>-0.007903</v>
      </c>
      <c r="R31" s="26" t="n">
        <v>18</v>
      </c>
      <c r="S31" s="29" t="n">
        <v>1</v>
      </c>
      <c r="T31" s="24" t="inlineStr">
        <is>
          <t>mlb-elo-trend-lr-v7</t>
        </is>
      </c>
      <c r="U31" s="24" t="inlineStr">
        <is>
          <t>settled</t>
        </is>
      </c>
      <c r="V31" s="24" t="inlineStr">
        <is>
          <t>win</t>
        </is>
      </c>
      <c r="W31" s="26" t="n">
        <v>13</v>
      </c>
      <c r="X31" s="26" t="n">
        <v>1</v>
      </c>
      <c r="Y31" s="25" t="n"/>
      <c r="Z31" s="26" t="n">
        <v>-130</v>
      </c>
      <c r="AA31" s="28" t="n">
        <v>0.5649999999999999</v>
      </c>
      <c r="AB31" s="28" t="n">
        <v>-0.000217</v>
      </c>
      <c r="AC31" s="30" t="n">
        <v>0.7692</v>
      </c>
      <c r="AD31" s="24" t="inlineStr">
        <is>
          <t>2026-08-01T05:33:37.940053Z</t>
        </is>
      </c>
      <c r="AE31" s="31" t="inlineStr">
        <is>
          <t>Learned LR call at threshold 0.6242; executable ask 0.5650 (aec-mlb-det-ath-2026-07-31); model edge vs ask -0.0077.</t>
        </is>
      </c>
      <c r="AF31" s="31" t="inlineStr">
        <is>
          <t>Learned model; shadow-qualified via operator override.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mlb-det</t>
        </is>
      </c>
      <c r="AQ31" s="24" t="inlineStr">
        <is>
          <t>Detroit Tigers</t>
        </is>
      </c>
      <c r="AR31" s="24" t="inlineStr">
        <is>
          <t>Detroit Tigers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464eef695bfbbdaa819ec6f5e4c5bd1068ed20b92915fb2677220ae91e20d8b6</t>
        </is>
      </c>
      <c r="BB31" s="24" t="inlineStr">
        <is>
          <t>learned_lr</t>
        </is>
      </c>
      <c r="BC31" s="24" t="inlineStr">
        <is>
          <t>mlb-elo-trend-lr-v7</t>
        </is>
      </c>
      <c r="BD31" s="24" t="inlineStr">
        <is>
          <t>464eef695bfbbdaa819ec6f5e4c5bd1068ed20b92915fb2677220ae91e20d8b6</t>
        </is>
      </c>
      <c r="BE31" s="24" t="inlineStr">
        <is>
          <t>eaf96e9b22f1492f</t>
        </is>
      </c>
      <c r="BF31" s="24" t="inlineStr">
        <is>
          <t>1</t>
        </is>
      </c>
      <c r="BG31" s="24" t="inlineStr">
        <is>
          <t>mlb-elo-trend-lr-v7</t>
        </is>
      </c>
      <c r="BH31" s="24" t="inlineStr">
        <is>
          <t>2026-07-31T23:29:20.970194Z</t>
        </is>
      </c>
      <c r="BI31" s="24" t="inlineStr">
        <is>
          <t>["same_event","same_team_same_day","same_league_same_day"]</t>
        </is>
      </c>
      <c r="BJ31" s="25" t="n"/>
      <c r="BK31" s="26" t="n">
        <v>-130</v>
      </c>
      <c r="BL31" s="27" t="n">
        <v>1.769231</v>
      </c>
      <c r="BM31" s="28" t="n">
        <v>0.565217</v>
      </c>
      <c r="BN31" s="28" t="n">
        <v>0.562189</v>
      </c>
      <c r="BO31" s="28" t="n"/>
      <c r="BP31" s="25" t="n"/>
      <c r="BQ31" s="27" t="n">
        <v>1.769231</v>
      </c>
      <c r="BR31" s="28" t="n">
        <v>0.5649999999999999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0.4303979443</t>
        </is>
      </c>
      <c r="CD31" s="24" t="inlineStr">
        <is>
          <t>-2.346854</t>
        </is>
      </c>
      <c r="CE31" s="24" t="inlineStr">
        <is>
          <t>1.153</t>
        </is>
      </c>
      <c r="CF31" s="24" t="inlineStr">
        <is>
          <t>1.0239</t>
        </is>
      </c>
      <c r="CG31" s="24" t="inlineStr">
        <is>
          <t>0.6</t>
        </is>
      </c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0ef1057c870b44ab</t>
        </is>
      </c>
      <c r="B32" s="24" t="inlineStr">
        <is>
          <t>2026-07-31T23:29:42.171549Z</t>
        </is>
      </c>
      <c r="C32" s="24" t="inlineStr">
        <is>
          <t>2026-07-31T21:45:00-0400</t>
        </is>
      </c>
      <c r="D32" s="24" t="inlineStr">
        <is>
          <t>401816346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San Diego Padres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-138</v>
      </c>
      <c r="M32" s="27" t="n">
        <v>1.724638</v>
      </c>
      <c r="N32" s="28" t="n">
        <v>0.579832</v>
      </c>
      <c r="O32" s="28" t="n">
        <v>0.594553</v>
      </c>
      <c r="P32" s="28" t="n"/>
      <c r="Q32" s="28" t="n">
        <v>0.014721</v>
      </c>
      <c r="R32" s="26" t="n">
        <v>29</v>
      </c>
      <c r="S32" s="29" t="n">
        <v>1.25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7</v>
      </c>
      <c r="Y32" s="25" t="n"/>
      <c r="Z32" s="26" t="n">
        <v>-138</v>
      </c>
      <c r="AA32" s="28" t="n">
        <v>0.58</v>
      </c>
      <c r="AB32" s="28" t="n">
        <v>0.000168</v>
      </c>
      <c r="AC32" s="30" t="n">
        <v>0.9058</v>
      </c>
      <c r="AD32" s="24" t="inlineStr">
        <is>
          <t>2026-08-01T05:33:38.097690Z</t>
        </is>
      </c>
      <c r="AE32" s="31" t="inlineStr">
        <is>
          <t>Learned LR call at threshold 0.6242; executable ask 0.5800 (aec-mlb-sf-sd-2026-07-31); model edge vs ask +0.0146.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mlb-sd</t>
        </is>
      </c>
      <c r="AT32" s="24" t="inlineStr">
        <is>
          <t>San Diego Padres</t>
        </is>
      </c>
      <c r="AU32" s="24" t="inlineStr">
        <is>
          <t>San Diego Padres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9df16cb5c93b6892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2026-07-31T23:29:22.107755Z</t>
        </is>
      </c>
      <c r="BI32" s="24" t="inlineStr">
        <is>
          <t>["same_event","same_team_same_day","same_league_same_day"]</t>
        </is>
      </c>
      <c r="BJ32" s="25" t="n"/>
      <c r="BK32" s="26" t="n">
        <v>-138</v>
      </c>
      <c r="BL32" s="27" t="n">
        <v>1.724638</v>
      </c>
      <c r="BM32" s="28" t="n">
        <v>0.579832</v>
      </c>
      <c r="BN32" s="28" t="n">
        <v>0.577114</v>
      </c>
      <c r="BO32" s="28" t="n"/>
      <c r="BP32" s="25" t="n"/>
      <c r="BQ32" s="27" t="n">
        <v>1.724638</v>
      </c>
      <c r="BR32" s="28" t="n">
        <v>0.58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0.5827558821</t>
        </is>
      </c>
      <c r="CD32" s="24" t="inlineStr">
        <is>
          <t>-1.601104</t>
        </is>
      </c>
      <c r="CE32" s="24" t="inlineStr">
        <is>
          <t>0.945</t>
        </is>
      </c>
      <c r="CF32" s="24" t="inlineStr">
        <is>
          <t>1.0049</t>
        </is>
      </c>
      <c r="CG32" s="24" t="inlineStr">
        <is>
          <t>-0.2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cdd8222bf68c48e0</t>
        </is>
      </c>
      <c r="B33" s="24" t="inlineStr">
        <is>
          <t>2026-07-31T23:29:42.171549Z</t>
        </is>
      </c>
      <c r="C33" s="24" t="inlineStr">
        <is>
          <t>2026-07-31T22:10:00-0400</t>
        </is>
      </c>
      <c r="D33" s="24" t="inlineStr">
        <is>
          <t>401816342</t>
        </is>
      </c>
      <c r="E33" s="24" t="inlineStr">
        <is>
          <t>MLB</t>
        </is>
      </c>
      <c r="F33" s="24" t="inlineStr">
        <is>
          <t>Boston Red Sox</t>
        </is>
      </c>
      <c r="G33" s="24" t="inlineStr">
        <is>
          <t>Los Angeles Dodgers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0.564527</v>
      </c>
      <c r="P33" s="28" t="n"/>
      <c r="Q33" s="28" t="n">
        <v>0.008971</v>
      </c>
      <c r="R33" s="26" t="n">
        <v>26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9</v>
      </c>
      <c r="X33" s="26" t="n">
        <v>4</v>
      </c>
      <c r="Y33" s="25" t="n"/>
      <c r="Z33" s="26" t="n">
        <v>-125</v>
      </c>
      <c r="AA33" s="28" t="n">
        <v>0.555</v>
      </c>
      <c r="AB33" s="28" t="n">
        <v>-0.000556</v>
      </c>
      <c r="AC33" s="30" t="n">
        <v>-1</v>
      </c>
      <c r="AD33" s="24" t="inlineStr">
        <is>
          <t>2026-08-01T05:33:38.254661Z</t>
        </is>
      </c>
      <c r="AE33" s="31" t="inlineStr">
        <is>
          <t>Learned LR call at threshold 0.6242; executable ask 0.5550 (aec-mlb-bos-lad-2026-07-31); model edge vs ask +0.0095.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mlb-bos</t>
        </is>
      </c>
      <c r="AQ33" s="24" t="inlineStr">
        <is>
          <t>Boston Red Sox</t>
        </is>
      </c>
      <c r="AR33" s="24" t="inlineStr">
        <is>
          <t>Boston Red Sox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eadca7460f5bd810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2026-07-31T23:29:23.984993Z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>
        <v>1.8</v>
      </c>
      <c r="BR33" s="28" t="n">
        <v>0.555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0.5626775445</t>
        </is>
      </c>
      <c r="CD33" s="24" t="inlineStr">
        <is>
          <t>0.365039</t>
        </is>
      </c>
      <c r="CE33" s="24" t="inlineStr">
        <is>
          <t>1.026</t>
        </is>
      </c>
      <c r="CF33" s="24" t="inlineStr">
        <is>
          <t>1.0057</t>
        </is>
      </c>
      <c r="CG33" s="24" t="inlineStr">
        <is>
          <t>2.2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3238fa920c2d4210</t>
        </is>
      </c>
      <c r="B34" s="24" t="inlineStr">
        <is>
          <t>2026-07-31T23:29:42.171549Z</t>
        </is>
      </c>
      <c r="C34" s="24" t="inlineStr">
        <is>
          <t>2026-07-31T22:10:00-0400</t>
        </is>
      </c>
      <c r="D34" s="24" t="inlineStr">
        <is>
          <t>401816345</t>
        </is>
      </c>
      <c r="E34" s="24" t="inlineStr">
        <is>
          <t>MLB</t>
        </is>
      </c>
      <c r="F34" s="24" t="inlineStr">
        <is>
          <t>Minnesota Twins</t>
        </is>
      </c>
      <c r="G34" s="24" t="inlineStr">
        <is>
          <t>Seattle Mariners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-156</v>
      </c>
      <c r="M34" s="27" t="n">
        <v>1.641026</v>
      </c>
      <c r="N34" s="28" t="n">
        <v>0.609375</v>
      </c>
      <c r="O34" s="28" t="n">
        <v>0.5951070000000001</v>
      </c>
      <c r="P34" s="28" t="n"/>
      <c r="Q34" s="28" t="n">
        <v>-0.014268</v>
      </c>
      <c r="R34" s="26" t="n">
        <v>14</v>
      </c>
      <c r="S34" s="29" t="n">
        <v>1.25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3</v>
      </c>
      <c r="Y34" s="25" t="n"/>
      <c r="Z34" s="26" t="n">
        <v>-156</v>
      </c>
      <c r="AA34" s="28" t="n">
        <v>0.61</v>
      </c>
      <c r="AB34" s="28" t="n">
        <v>0.000625</v>
      </c>
      <c r="AC34" s="30" t="n">
        <v>-1.25</v>
      </c>
      <c r="AD34" s="24" t="inlineStr">
        <is>
          <t>2026-08-01T05:33:38.427797Z</t>
        </is>
      </c>
      <c r="AE34" s="31" t="inlineStr">
        <is>
          <t>Learned LR call at threshold 0.6242; executable ask 0.6100 (aec-mlb-min-sea-2026-07-31); model edge vs ask -0.0149.</t>
        </is>
      </c>
      <c r="AF34" s="31" t="inlineStr">
        <is>
          <t>Learned model; shadow-qualified via operator override.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mlb-min</t>
        </is>
      </c>
      <c r="AQ34" s="24" t="inlineStr">
        <is>
          <t>Minnesota Twins</t>
        </is>
      </c>
      <c r="AR34" s="24" t="inlineStr">
        <is>
          <t>Minnesota Twins</t>
        </is>
      </c>
      <c r="AS34" s="24" t="inlineStr">
        <is>
          <t>mlb-sea</t>
        </is>
      </c>
      <c r="AT34" s="24" t="inlineStr">
        <is>
          <t>Seattle Mariners</t>
        </is>
      </c>
      <c r="AU34" s="24" t="inlineStr">
        <is>
          <t>Seattle Mariners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883ee144c0c8e904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2026-07-31T23:29:23.070250Z</t>
        </is>
      </c>
      <c r="BI34" s="24" t="inlineStr">
        <is>
          <t>["same_event","same_team_same_day","same_league_same_day"]</t>
        </is>
      </c>
      <c r="BJ34" s="25" t="n"/>
      <c r="BK34" s="26" t="n">
        <v>-156</v>
      </c>
      <c r="BL34" s="27" t="n">
        <v>1.641026</v>
      </c>
      <c r="BM34" s="28" t="n">
        <v>0.609375</v>
      </c>
      <c r="BN34" s="28" t="n">
        <v>0.606965</v>
      </c>
      <c r="BO34" s="28" t="n"/>
      <c r="BP34" s="25" t="n"/>
      <c r="BQ34" s="27" t="n">
        <v>1.641026</v>
      </c>
      <c r="BR34" s="28" t="n">
        <v>0.61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0.5861386615</t>
        </is>
      </c>
      <c r="CD34" s="24" t="inlineStr">
        <is>
          <t>1.241555</t>
        </is>
      </c>
      <c r="CE34" s="24" t="inlineStr">
        <is>
          <t>0.936</t>
        </is>
      </c>
      <c r="CF34" s="24" t="inlineStr">
        <is>
          <t>1.0</t>
        </is>
      </c>
      <c r="CG34" s="24" t="inlineStr">
        <is>
          <t>1.4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2c06cda7ea4b4a18</t>
        </is>
      </c>
      <c r="B35" s="24" t="inlineStr">
        <is>
          <t>2026-08-01T16:50:21.394933Z</t>
        </is>
      </c>
      <c r="C35" s="24" t="inlineStr">
        <is>
          <t>2026-08-01T13:00:00-0400</t>
        </is>
      </c>
      <c r="D35" s="24" t="inlineStr">
        <is>
          <t>401857105</t>
        </is>
      </c>
      <c r="E35" s="24" t="inlineStr">
        <is>
          <t>WNBA</t>
        </is>
      </c>
      <c r="F35" s="24" t="inlineStr">
        <is>
          <t>Las Vegas Aces</t>
        </is>
      </c>
      <c r="G35" s="24" t="inlineStr">
        <is>
          <t>Chicago Sky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-245</v>
      </c>
      <c r="M35" s="27" t="n">
        <v>1.408163</v>
      </c>
      <c r="N35" s="28" t="n">
        <v>0.710145</v>
      </c>
      <c r="O35" s="28" t="n">
        <v>0.646163</v>
      </c>
      <c r="P35" s="28" t="n"/>
      <c r="Q35" s="28" t="n">
        <v>-0.063982</v>
      </c>
      <c r="R35" s="26" t="n">
        <v>0</v>
      </c>
      <c r="S35" s="29" t="n">
        <v>1.75</v>
      </c>
      <c r="T35" s="24" t="inlineStr">
        <is>
          <t>wnba-elo-trend-lr-v4</t>
        </is>
      </c>
      <c r="U35" s="24" t="inlineStr">
        <is>
          <t>settled</t>
        </is>
      </c>
      <c r="V35" s="24" t="inlineStr">
        <is>
          <t>loss</t>
        </is>
      </c>
      <c r="W35" s="26" t="n">
        <v>83</v>
      </c>
      <c r="X35" s="26" t="n">
        <v>84</v>
      </c>
      <c r="Y35" s="25" t="n"/>
      <c r="Z35" s="26" t="n"/>
      <c r="AA35" s="28" t="n"/>
      <c r="AB35" s="28" t="n"/>
      <c r="AC35" s="30" t="n">
        <v>-1.75</v>
      </c>
      <c r="AD35" s="24" t="inlineStr">
        <is>
          <t>2026-08-01T20:13:03.864714Z</t>
        </is>
      </c>
      <c r="AE35" s="31" t="inlineStr">
        <is>
          <t>Learned LR call at threshold 0.5001; executable ask 0.7100 (aec-wnba-lv-chi-2026-08-01); model edge vs ask -0.0638.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wnba-lva</t>
        </is>
      </c>
      <c r="AQ35" s="24" t="inlineStr">
        <is>
          <t>Las Vegas Aces</t>
        </is>
      </c>
      <c r="AR35" s="24" t="inlineStr">
        <is>
          <t>Las Vegas Aces</t>
        </is>
      </c>
      <c r="AS35" s="24" t="inlineStr">
        <is>
          <t>wnba-chi</t>
        </is>
      </c>
      <c r="AT35" s="24" t="inlineStr">
        <is>
          <t>Chicago Sky</t>
        </is>
      </c>
      <c r="AU35" s="24" t="inlineStr">
        <is>
          <t>Chicago Sky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7afd5274214b58b7efd7f7febc7be3ab33b92351cda5cc6403c0a39faea0cc8c</t>
        </is>
      </c>
      <c r="BB35" s="24" t="inlineStr">
        <is>
          <t>learned_lr</t>
        </is>
      </c>
      <c r="BC35" s="24" t="inlineStr">
        <is>
          <t>wnba-elo-trend-lr-v4</t>
        </is>
      </c>
      <c r="BD35" s="24" t="inlineStr">
        <is>
          <t>7afd5274214b58b7efd7f7febc7be3ab33b92351cda5cc6403c0a39faea0cc8c</t>
        </is>
      </c>
      <c r="BE35" s="24" t="inlineStr">
        <is>
          <t>51a2c72f2e141b8b</t>
        </is>
      </c>
      <c r="BF35" s="24" t="inlineStr">
        <is>
          <t>1</t>
        </is>
      </c>
      <c r="BG35" s="24" t="inlineStr">
        <is>
          <t>wnba-elo-trend-lr-v4</t>
        </is>
      </c>
      <c r="BH35" s="24" t="inlineStr">
        <is>
          <t>2026-08-01T16:49:04.221920Z</t>
        </is>
      </c>
      <c r="BI35" s="24" t="inlineStr">
        <is>
          <t>["same_event","same_team_same_day","same_league_same_day"]</t>
        </is>
      </c>
      <c r="BJ35" s="25" t="n"/>
      <c r="BK35" s="26" t="n">
        <v>-245</v>
      </c>
      <c r="BL35" s="27" t="n">
        <v>1.408163</v>
      </c>
      <c r="BM35" s="28" t="n">
        <v>0.710145</v>
      </c>
      <c r="BN35" s="28" t="n">
        <v>0.70297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0.317202935</t>
        </is>
      </c>
      <c r="CD35" s="24" t="inlineStr">
        <is>
          <t>4.001837</t>
        </is>
      </c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b5171488f8674c06</t>
        </is>
      </c>
      <c r="B36" s="24" t="inlineStr">
        <is>
          <t>2026-08-01T18:37:44.379324Z</t>
        </is>
      </c>
      <c r="C36" s="24" t="inlineStr">
        <is>
          <t>2026-08-01T15:00:00-0400</t>
        </is>
      </c>
      <c r="D36" s="24" t="inlineStr">
        <is>
          <t>401857106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Phoenix Mercury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0.568764</v>
      </c>
      <c r="P36" s="28" t="n"/>
      <c r="Q36" s="28" t="n">
        <v>-0.0214</v>
      </c>
      <c r="R36" s="26" t="n">
        <v>12</v>
      </c>
      <c r="S36" s="29" t="n">
        <v>1.25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94</v>
      </c>
      <c r="X36" s="26" t="n">
        <v>92</v>
      </c>
      <c r="Y36" s="25" t="n"/>
      <c r="Z36" s="26" t="n"/>
      <c r="AA36" s="28" t="n"/>
      <c r="AB36" s="28" t="n"/>
      <c r="AC36" s="30" t="n">
        <v>0.8681</v>
      </c>
      <c r="AD36" s="24" t="inlineStr">
        <is>
          <t>2026-08-01T21:25:16.611294Z</t>
        </is>
      </c>
      <c r="AE3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wnba-phx</t>
        </is>
      </c>
      <c r="AT36" s="24" t="inlineStr">
        <is>
          <t>Phoenix Mercury</t>
        </is>
      </c>
      <c r="AU36" s="24" t="inlineStr">
        <is>
          <t>Phoenix Mercury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bbef9e1b90cf700b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2026-08-01T18:36:36.294824Z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>
        <v>0.584158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0.4080094464</t>
        </is>
      </c>
      <c r="CD36" s="24" t="inlineStr">
        <is>
          <t>-5.162465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d8dca2d1a2cf408b</t>
        </is>
      </c>
      <c r="B37" s="24" t="inlineStr">
        <is>
          <t>2026-08-01T18:37:44.379324Z</t>
        </is>
      </c>
      <c r="C37" s="24" t="inlineStr">
        <is>
          <t>2026-08-01T15:07:00-0400</t>
        </is>
      </c>
      <c r="D37" s="24" t="inlineStr">
        <is>
          <t>401816352</t>
        </is>
      </c>
      <c r="E37" s="24" t="inlineStr">
        <is>
          <t>MLB</t>
        </is>
      </c>
      <c r="F37" s="24" t="inlineStr">
        <is>
          <t>St. Louis Cardinals</t>
        </is>
      </c>
      <c r="G37" s="24" t="inlineStr">
        <is>
          <t>Toronto Blue Jays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-153</v>
      </c>
      <c r="M37" s="27" t="n">
        <v>1.653595</v>
      </c>
      <c r="N37" s="28" t="n">
        <v>0.604743</v>
      </c>
      <c r="O37" s="28" t="n">
        <v>0.5354640000000001</v>
      </c>
      <c r="P37" s="28" t="n"/>
      <c r="Q37" s="28" t="n">
        <v>-0.06927899999999999</v>
      </c>
      <c r="R37" s="26" t="n">
        <v>0</v>
      </c>
      <c r="S37" s="29" t="n">
        <v>1</v>
      </c>
      <c r="T37" s="24" t="inlineStr">
        <is>
          <t>mlb-elo-trend-lr-v7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Learned LR call at threshold 0.6242; executable ask 0.6050 (aec-mlb-stl-tor-2026-08-01); model edge vs ask -0.0695.</t>
        </is>
      </c>
      <c r="AF37" s="31" t="inlineStr">
        <is>
          <t>Learned model; shadow-qualified via operator override.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mlb-stl</t>
        </is>
      </c>
      <c r="AQ37" s="24" t="inlineStr">
        <is>
          <t>St. Louis Cardinals</t>
        </is>
      </c>
      <c r="AR37" s="24" t="inlineStr">
        <is>
          <t>St. Louis Cardinals</t>
        </is>
      </c>
      <c r="AS37" s="24" t="inlineStr">
        <is>
          <t>mlb-tor</t>
        </is>
      </c>
      <c r="AT37" s="24" t="inlineStr">
        <is>
          <t>Toronto Blue Jays</t>
        </is>
      </c>
      <c r="AU37" s="24" t="inlineStr">
        <is>
          <t>Toronto Blue Jays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a0f0dfbb182ff37a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2026-08-01T18:36:19.970556Z</t>
        </is>
      </c>
      <c r="BI37" s="24" t="inlineStr">
        <is>
          <t>["same_event","same_team_same_day","same_league_same_day"]</t>
        </is>
      </c>
      <c r="BJ37" s="25" t="n"/>
      <c r="BK37" s="26" t="n">
        <v>-153</v>
      </c>
      <c r="BL37" s="27" t="n">
        <v>1.653595</v>
      </c>
      <c r="BM37" s="28" t="n">
        <v>0.604743</v>
      </c>
      <c r="BN37" s="28" t="n">
        <v>0.60199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0.5579214953</t>
        </is>
      </c>
      <c r="CD37" s="24" t="inlineStr">
        <is>
          <t>0.999429</t>
        </is>
      </c>
      <c r="CE37" s="24" t="inlineStr">
        <is>
          <t>1.019</t>
        </is>
      </c>
      <c r="CF37" s="24" t="inlineStr">
        <is>
          <t>1.0</t>
        </is>
      </c>
      <c r="CG37" s="24" t="inlineStr">
        <is>
          <t>-1.4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3733b3b83f2a46ea</t>
        </is>
      </c>
      <c r="B38" s="24" t="inlineStr">
        <is>
          <t>2026-08-01T18:37:44.379324Z</t>
        </is>
      </c>
      <c r="C38" s="24" t="inlineStr">
        <is>
          <t>2026-08-01T16:10:00-0400</t>
        </is>
      </c>
      <c r="D38" s="24" t="inlineStr">
        <is>
          <t>401816348</t>
        </is>
      </c>
      <c r="E38" s="24" t="inlineStr">
        <is>
          <t>MLB</t>
        </is>
      </c>
      <c r="F38" s="24" t="inlineStr">
        <is>
          <t>Chicago White Sox</t>
        </is>
      </c>
      <c r="G38" s="24" t="inlineStr">
        <is>
          <t>Tampa Bay Rays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0.558419</v>
      </c>
      <c r="P38" s="28" t="n"/>
      <c r="Q38" s="28" t="n">
        <v>-0.050956</v>
      </c>
      <c r="R38" s="26" t="n">
        <v>0</v>
      </c>
      <c r="S38" s="29" t="n">
        <v>1</v>
      </c>
      <c r="T38" s="24" t="inlineStr">
        <is>
          <t>mlb-elo-trend-lr-v7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Learned LR call at threshold 0.6242; executable ask 0.6100 (aec-mlb-cws-tb-2026-08-01); model edge vs ask -0.0516.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mlb-cws</t>
        </is>
      </c>
      <c r="AQ38" s="24" t="inlineStr">
        <is>
          <t>Chicago White Sox</t>
        </is>
      </c>
      <c r="AR38" s="24" t="inlineStr">
        <is>
          <t>Chicago White Sox</t>
        </is>
      </c>
      <c r="AS38" s="24" t="inlineStr">
        <is>
          <t>mlb-tb</t>
        </is>
      </c>
      <c r="AT38" s="24" t="inlineStr">
        <is>
          <t>Tampa Bay Rays</t>
        </is>
      </c>
      <c r="AU38" s="24" t="inlineStr">
        <is>
          <t>Tampa Bay Rays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ad676df45ee6e775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2026-08-01T18:36:22.182386Z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>
        <v>0.606965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0.5468687943</t>
        </is>
      </c>
      <c r="CD38" s="24" t="inlineStr">
        <is>
          <t>-1.164825</t>
        </is>
      </c>
      <c r="CE38" s="24" t="inlineStr">
        <is>
          <t>0.965</t>
        </is>
      </c>
      <c r="CF38" s="24" t="inlineStr">
        <is>
          <t>1.0</t>
        </is>
      </c>
      <c r="CG38" s="24" t="inlineStr">
        <is>
          <t>-1.4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d359621e3ac04e50</t>
        </is>
      </c>
      <c r="B39" s="24" t="inlineStr">
        <is>
          <t>2026-08-01T18:37:44.379324Z</t>
        </is>
      </c>
      <c r="C39" s="24" t="inlineStr">
        <is>
          <t>2026-08-01T16:10:00-0400</t>
        </is>
      </c>
      <c r="D39" s="24" t="inlineStr">
        <is>
          <t>401816349</t>
        </is>
      </c>
      <c r="E39" s="24" t="inlineStr">
        <is>
          <t>MLB</t>
        </is>
      </c>
      <c r="F39" s="24" t="inlineStr">
        <is>
          <t>Miami Marlins</t>
        </is>
      </c>
      <c r="G39" s="24" t="inlineStr">
        <is>
          <t>New York Mets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-122</v>
      </c>
      <c r="M39" s="27" t="n">
        <v>1.819672</v>
      </c>
      <c r="N39" s="28" t="n">
        <v>0.54955</v>
      </c>
      <c r="O39" s="28" t="n">
        <v>0.515788</v>
      </c>
      <c r="P39" s="28" t="n"/>
      <c r="Q39" s="28" t="n">
        <v>-0.033762</v>
      </c>
      <c r="R39" s="26" t="n">
        <v>4</v>
      </c>
      <c r="S39" s="29" t="n">
        <v>1</v>
      </c>
      <c r="T39" s="24" t="inlineStr">
        <is>
          <t>mlb-elo-trend-lr-v7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Learned LR call at threshold 0.6242; executable ask 0.5500 (aec-mlb-mia-nym-2026-08-01); model edge vs ask -0.0342.</t>
        </is>
      </c>
      <c r="AF39" s="31" t="inlineStr">
        <is>
          <t>Learned model; shadow-qualified via operator override.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mlb-mia</t>
        </is>
      </c>
      <c r="AQ39" s="24" t="inlineStr">
        <is>
          <t>Miami Marlins</t>
        </is>
      </c>
      <c r="AR39" s="24" t="inlineStr">
        <is>
          <t>Miami Marlins</t>
        </is>
      </c>
      <c r="AS39" s="24" t="inlineStr">
        <is>
          <t>mlb-nym</t>
        </is>
      </c>
      <c r="AT39" s="24" t="inlineStr">
        <is>
          <t>New York Mets</t>
        </is>
      </c>
      <c r="AU39" s="24" t="inlineStr">
        <is>
          <t>New York Mets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464eef695bfbbdaa819ec6f5e4c5bd1068ed20b92915fb2677220ae91e20d8b6</t>
        </is>
      </c>
      <c r="BB39" s="24" t="inlineStr">
        <is>
          <t>learned_lr</t>
        </is>
      </c>
      <c r="BC39" s="24" t="inlineStr">
        <is>
          <t>mlb-elo-trend-lr-v7</t>
        </is>
      </c>
      <c r="BD39" s="24" t="inlineStr">
        <is>
          <t>464eef695bfbbdaa819ec6f5e4c5bd1068ed20b92915fb2677220ae91e20d8b6</t>
        </is>
      </c>
      <c r="BE39" s="24" t="inlineStr">
        <is>
          <t>8e71ffd6fce569a4</t>
        </is>
      </c>
      <c r="BF39" s="24" t="inlineStr">
        <is>
          <t>1</t>
        </is>
      </c>
      <c r="BG39" s="24" t="inlineStr">
        <is>
          <t>mlb-elo-trend-lr-v7</t>
        </is>
      </c>
      <c r="BH39" s="24" t="inlineStr">
        <is>
          <t>2026-08-01T18:36:23.073759Z</t>
        </is>
      </c>
      <c r="BI39" s="24" t="inlineStr">
        <is>
          <t>["same_event","same_team_same_day","same_league_same_day"]</t>
        </is>
      </c>
      <c r="BJ39" s="25" t="n"/>
      <c r="BK39" s="26" t="n">
        <v>-122</v>
      </c>
      <c r="BL39" s="27" t="n">
        <v>1.819672</v>
      </c>
      <c r="BM39" s="28" t="n">
        <v>0.54955</v>
      </c>
      <c r="BN39" s="28" t="n">
        <v>0.547264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0.5032110055</t>
        </is>
      </c>
      <c r="CD39" s="24" t="inlineStr">
        <is>
          <t>-0.346453</t>
        </is>
      </c>
      <c r="CE39" s="24" t="inlineStr">
        <is>
          <t>0.978</t>
        </is>
      </c>
      <c r="CF39" s="24" t="inlineStr">
        <is>
          <t>1.0209</t>
        </is>
      </c>
      <c r="CG39" s="24" t="inlineStr">
        <is>
          <t>-1.2</t>
        </is>
      </c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e93d790244fd4c9f</t>
        </is>
      </c>
      <c r="B40" s="24" t="inlineStr">
        <is>
          <t>2026-08-01T18:37:44.379324Z</t>
        </is>
      </c>
      <c r="C40" s="24" t="inlineStr">
        <is>
          <t>2026-08-01T16:10:00-0400</t>
        </is>
      </c>
      <c r="D40" s="24" t="inlineStr">
        <is>
          <t>401816360</t>
        </is>
      </c>
      <c r="E40" s="24" t="inlineStr">
        <is>
          <t>MLB</t>
        </is>
      </c>
      <c r="F40" s="24" t="inlineStr">
        <is>
          <t>Minnesota Twins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0.591702</v>
      </c>
      <c r="P40" s="28" t="n"/>
      <c r="Q40" s="28" t="n">
        <v>-0.017673</v>
      </c>
      <c r="R40" s="26" t="n">
        <v>12</v>
      </c>
      <c r="S40" s="29" t="n">
        <v>1.25</v>
      </c>
      <c r="T40" s="24" t="inlineStr">
        <is>
          <t>mlb-elo-trend-lr-v7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Learned LR call at threshold 0.6242; executable ask 0.6100 (aec-mlb-min-sea-2026-08-01); model edge vs ask -0.0183.</t>
        </is>
      </c>
      <c r="AF40" s="31" t="inlineStr">
        <is>
          <t>Learned model; shadow-qualified via operator override.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mlb-min</t>
        </is>
      </c>
      <c r="AQ40" s="24" t="inlineStr">
        <is>
          <t>Minnesota Twins</t>
        </is>
      </c>
      <c r="AR40" s="24" t="inlineStr">
        <is>
          <t>Minnesota Twins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464eef695bfbbdaa819ec6f5e4c5bd1068ed20b92915fb2677220ae91e20d8b6</t>
        </is>
      </c>
      <c r="BB40" s="24" t="inlineStr">
        <is>
          <t>learned_lr</t>
        </is>
      </c>
      <c r="BC40" s="24" t="inlineStr">
        <is>
          <t>mlb-elo-trend-lr-v7</t>
        </is>
      </c>
      <c r="BD40" s="24" t="inlineStr">
        <is>
          <t>464eef695bfbbdaa819ec6f5e4c5bd1068ed20b92915fb2677220ae91e20d8b6</t>
        </is>
      </c>
      <c r="BE40" s="24" t="inlineStr">
        <is>
          <t>53175a4c13f251cb</t>
        </is>
      </c>
      <c r="BF40" s="24" t="inlineStr">
        <is>
          <t>1</t>
        </is>
      </c>
      <c r="BG40" s="24" t="inlineStr">
        <is>
          <t>mlb-elo-trend-lr-v7</t>
        </is>
      </c>
      <c r="BH40" s="24" t="inlineStr">
        <is>
          <t>2026-08-01T18:36:21.090185Z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>
        <v>0.606965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0.578722894</t>
        </is>
      </c>
      <c r="CD40" s="24" t="inlineStr">
        <is>
          <t>0.628201</t>
        </is>
      </c>
      <c r="CE40" s="24" t="inlineStr">
        <is>
          <t>0.936</t>
        </is>
      </c>
      <c r="CF40" s="24" t="inlineStr">
        <is>
          <t>1.0</t>
        </is>
      </c>
      <c r="CG40" s="24" t="inlineStr">
        <is>
          <t>1.2</t>
        </is>
      </c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a2d10e10ef314293</t>
        </is>
      </c>
      <c r="B41" s="24" t="inlineStr">
        <is>
          <t>2026-08-01T20:15:07.885436Z</t>
        </is>
      </c>
      <c r="C41" s="24" t="inlineStr">
        <is>
          <t>2026-08-01T18:40:00-0400</t>
        </is>
      </c>
      <c r="D41" s="24" t="inlineStr">
        <is>
          <t>401816351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Cincinnati Reds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0.514401</v>
      </c>
      <c r="P41" s="28" t="n"/>
      <c r="Q41" s="28" t="n">
        <v>-0.016115</v>
      </c>
      <c r="R41" s="26" t="n">
        <v>14</v>
      </c>
      <c r="S41" s="29" t="n">
        <v>1</v>
      </c>
      <c r="T41" s="24" t="inlineStr">
        <is>
          <t>mlb-elo-trend-lr-v7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Learned LR call at threshold 0.6242; executable ask 0.5300 (aec-mlb-pit-cin-2026-08-01); model edge vs ask -0.0156.</t>
        </is>
      </c>
      <c r="AF41" s="31" t="inlineStr">
        <is>
          <t>Learned model; shadow-qualified via operator override.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mlb-cin</t>
        </is>
      </c>
      <c r="AT41" s="24" t="inlineStr">
        <is>
          <t>Cincinnati Reds</t>
        </is>
      </c>
      <c r="AU41" s="24" t="inlineStr">
        <is>
          <t>Cincinnati Reds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464eef695bfbbdaa819ec6f5e4c5bd1068ed20b92915fb2677220ae91e20d8b6</t>
        </is>
      </c>
      <c r="BB41" s="24" t="inlineStr">
        <is>
          <t>learned_lr</t>
        </is>
      </c>
      <c r="BC41" s="24" t="inlineStr">
        <is>
          <t>mlb-elo-trend-lr-v7</t>
        </is>
      </c>
      <c r="BD41" s="24" t="inlineStr">
        <is>
          <t>464eef695bfbbdaa819ec6f5e4c5bd1068ed20b92915fb2677220ae91e20d8b6</t>
        </is>
      </c>
      <c r="BE41" s="24" t="inlineStr">
        <is>
          <t>8c1940db78503612</t>
        </is>
      </c>
      <c r="BF41" s="24" t="inlineStr">
        <is>
          <t>1</t>
        </is>
      </c>
      <c r="BG41" s="24" t="inlineStr">
        <is>
          <t>mlb-elo-trend-lr-v7</t>
        </is>
      </c>
      <c r="BH41" s="24" t="inlineStr">
        <is>
          <t>2026-08-01T20:14:06.422794Z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>
        <v>0.527363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0.4970624032</t>
        </is>
      </c>
      <c r="CD41" s="24" t="inlineStr">
        <is>
          <t>1.00651</t>
        </is>
      </c>
      <c r="CE41" s="24" t="inlineStr">
        <is>
          <t>1.036</t>
        </is>
      </c>
      <c r="CF41" s="24" t="inlineStr">
        <is>
          <t>1.0084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93a9574919fd44a4</t>
        </is>
      </c>
      <c r="B42" s="24" t="inlineStr">
        <is>
          <t>2026-08-01T20:15:07.885436Z</t>
        </is>
      </c>
      <c r="C42" s="24" t="inlineStr">
        <is>
          <t>2026-08-01T19:05:00-0400</t>
        </is>
      </c>
      <c r="D42" s="24" t="inlineStr">
        <is>
          <t>401816350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-138</v>
      </c>
      <c r="M42" s="27" t="n">
        <v>1.724638</v>
      </c>
      <c r="N42" s="28" t="n">
        <v>0.579832</v>
      </c>
      <c r="O42" s="28" t="n">
        <v>0.513137</v>
      </c>
      <c r="P42" s="28" t="n"/>
      <c r="Q42" s="28" t="n">
        <v>-0.066695</v>
      </c>
      <c r="R42" s="26" t="n">
        <v>0</v>
      </c>
      <c r="S42" s="29" t="n">
        <v>1</v>
      </c>
      <c r="T42" s="24" t="inlineStr">
        <is>
          <t>mlb-elo-trend-lr-v7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Learned LR call at threshold 0.6242; executable ask 0.5800 (aec-mlb-phi-bal-2026-08-01); model edge vs ask -0.0669.</t>
        </is>
      </c>
      <c r="AF42" s="31" t="inlineStr">
        <is>
          <t>Learned model; shadow-qualified via operator override.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464eef695bfbbdaa819ec6f5e4c5bd1068ed20b92915fb2677220ae91e20d8b6</t>
        </is>
      </c>
      <c r="BB42" s="24" t="inlineStr">
        <is>
          <t>learned_lr</t>
        </is>
      </c>
      <c r="BC42" s="24" t="inlineStr">
        <is>
          <t>mlb-elo-trend-lr-v7</t>
        </is>
      </c>
      <c r="BD42" s="24" t="inlineStr">
        <is>
          <t>464eef695bfbbdaa819ec6f5e4c5bd1068ed20b92915fb2677220ae91e20d8b6</t>
        </is>
      </c>
      <c r="BE42" s="24" t="inlineStr">
        <is>
          <t>d586eb6336d4b039</t>
        </is>
      </c>
      <c r="BF42" s="24" t="inlineStr">
        <is>
          <t>1</t>
        </is>
      </c>
      <c r="BG42" s="24" t="inlineStr">
        <is>
          <t>mlb-elo-trend-lr-v7</t>
        </is>
      </c>
      <c r="BH42" s="24" t="inlineStr">
        <is>
          <t>2026-08-01T20:14:07.264311Z</t>
        </is>
      </c>
      <c r="BI42" s="24" t="inlineStr">
        <is>
          <t>["same_event","same_team_same_day","same_league_same_day"]</t>
        </is>
      </c>
      <c r="BJ42" s="25" t="n"/>
      <c r="BK42" s="26" t="n">
        <v>-138</v>
      </c>
      <c r="BL42" s="27" t="n">
        <v>1.724638</v>
      </c>
      <c r="BM42" s="28" t="n">
        <v>0.579832</v>
      </c>
      <c r="BN42" s="28" t="n">
        <v>0.577114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0.4932721792</t>
        </is>
      </c>
      <c r="CD42" s="24" t="inlineStr">
        <is>
          <t>1.020825</t>
        </is>
      </c>
      <c r="CE42" s="24" t="inlineStr">
        <is>
          <t>1.03</t>
        </is>
      </c>
      <c r="CF42" s="24" t="inlineStr">
        <is>
          <t>1.0145</t>
        </is>
      </c>
      <c r="CG42" s="24" t="inlineStr">
        <is>
          <t>1.6</t>
        </is>
      </c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19fa9a9b39094e9e</t>
        </is>
      </c>
      <c r="B43" s="24" t="inlineStr">
        <is>
          <t>2026-08-01T20:15:07.885436Z</t>
        </is>
      </c>
      <c r="C43" s="24" t="inlineStr">
        <is>
          <t>2026-08-01T19:10:00-0400</t>
        </is>
      </c>
      <c r="D43" s="24" t="inlineStr">
        <is>
          <t>401816355</t>
        </is>
      </c>
      <c r="E43" s="24" t="inlineStr">
        <is>
          <t>MLB</t>
        </is>
      </c>
      <c r="F43" s="24" t="inlineStr">
        <is>
          <t>Texas Rangers</t>
        </is>
      </c>
      <c r="G43" s="24" t="inlineStr">
        <is>
          <t>Houston Astros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115</v>
      </c>
      <c r="M43" s="27" t="n">
        <v>2.15</v>
      </c>
      <c r="N43" s="28" t="n">
        <v>0.465116</v>
      </c>
      <c r="O43" s="28" t="n">
        <v>0.542652</v>
      </c>
      <c r="P43" s="28" t="n"/>
      <c r="Q43" s="28" t="n">
        <v>0.07753599999999999</v>
      </c>
      <c r="R43" s="26" t="n">
        <v>60</v>
      </c>
      <c r="S43" s="29" t="n">
        <v>1</v>
      </c>
      <c r="T43" s="24" t="inlineStr">
        <is>
          <t>mlb-elo-trend-lr-v7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Learned LR call at threshold 0.6242; executable ask 0.4650 (aec-mlb-tex-hou-2026-08-01); model edge vs ask +0.0777.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mlb-tex</t>
        </is>
      </c>
      <c r="AQ43" s="24" t="inlineStr">
        <is>
          <t>Texas Rangers</t>
        </is>
      </c>
      <c r="AR43" s="24" t="inlineStr">
        <is>
          <t>Texas Rangers</t>
        </is>
      </c>
      <c r="AS43" s="24" t="inlineStr">
        <is>
          <t>mlb-hou</t>
        </is>
      </c>
      <c r="AT43" s="24" t="inlineStr">
        <is>
          <t>Houston Astros</t>
        </is>
      </c>
      <c r="AU43" s="24" t="inlineStr">
        <is>
          <t>Houston Astros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464eef695bfbbdaa819ec6f5e4c5bd1068ed20b92915fb2677220ae91e20d8b6</t>
        </is>
      </c>
      <c r="BB43" s="24" t="inlineStr">
        <is>
          <t>learned_lr</t>
        </is>
      </c>
      <c r="BC43" s="24" t="inlineStr">
        <is>
          <t>mlb-elo-trend-lr-v7</t>
        </is>
      </c>
      <c r="BD43" s="24" t="inlineStr">
        <is>
          <t>464eef695bfbbdaa819ec6f5e4c5bd1068ed20b92915fb2677220ae91e20d8b6</t>
        </is>
      </c>
      <c r="BE43" s="24" t="inlineStr">
        <is>
          <t>f2965fa6c6fef7a3</t>
        </is>
      </c>
      <c r="BF43" s="24" t="inlineStr">
        <is>
          <t>1</t>
        </is>
      </c>
      <c r="BG43" s="24" t="inlineStr">
        <is>
          <t>mlb-elo-trend-lr-v7</t>
        </is>
      </c>
      <c r="BH43" s="24" t="inlineStr">
        <is>
          <t>2026-08-01T20:14:08.292559Z</t>
        </is>
      </c>
      <c r="BI43" s="24" t="inlineStr">
        <is>
          <t>["same_event","same_team_same_day","same_league_same_day"]</t>
        </is>
      </c>
      <c r="BJ43" s="25" t="n"/>
      <c r="BK43" s="26" t="n">
        <v>115</v>
      </c>
      <c r="BL43" s="27" t="n">
        <v>2.15</v>
      </c>
      <c r="BM43" s="28" t="n">
        <v>0.465116</v>
      </c>
      <c r="BN43" s="28" t="n">
        <v>0.462687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0.5536392121</t>
        </is>
      </c>
      <c r="CD43" s="24" t="inlineStr">
        <is>
          <t>2.366358</t>
        </is>
      </c>
      <c r="CE43" s="24" t="inlineStr">
        <is>
          <t>0.956</t>
        </is>
      </c>
      <c r="CF43" s="24" t="inlineStr">
        <is>
          <t>1.0</t>
        </is>
      </c>
      <c r="CG43" s="24" t="inlineStr">
        <is>
          <t>0.6</t>
        </is>
      </c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6b68d638d5cb4f2f</t>
        </is>
      </c>
      <c r="B44" s="24" t="inlineStr">
        <is>
          <t>2026-08-01T20:15:07.885436Z</t>
        </is>
      </c>
      <c r="C44" s="24" t="inlineStr">
        <is>
          <t>2026-08-01T19:15:00-0400</t>
        </is>
      </c>
      <c r="D44" s="24" t="inlineStr">
        <is>
          <t>401816347</t>
        </is>
      </c>
      <c r="E44" s="24" t="inlineStr">
        <is>
          <t>MLB</t>
        </is>
      </c>
      <c r="F44" s="24" t="inlineStr">
        <is>
          <t>Arizona Diamondbacks</t>
        </is>
      </c>
      <c r="G44" s="24" t="inlineStr">
        <is>
          <t>Cleveland Guardians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-163</v>
      </c>
      <c r="M44" s="27" t="n">
        <v>1.613497</v>
      </c>
      <c r="N44" s="28" t="n">
        <v>0.619772</v>
      </c>
      <c r="O44" s="28" t="n">
        <v>0.534072</v>
      </c>
      <c r="P44" s="28" t="n"/>
      <c r="Q44" s="28" t="n">
        <v>-0.0857</v>
      </c>
      <c r="R44" s="26" t="n">
        <v>0</v>
      </c>
      <c r="S44" s="29" t="n">
        <v>1</v>
      </c>
      <c r="T44" s="24" t="inlineStr">
        <is>
          <t>mlb-elo-trend-lr-v7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Learned LR call at threshold 0.6242; executable ask 0.6200 (aec-mlb-az-cle-2026-08-01); model edge vs ask -0.0859.</t>
        </is>
      </c>
      <c r="AF44" s="31" t="inlineStr">
        <is>
          <t>Learned model; shadow-qualified via operator override.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mlb-ari</t>
        </is>
      </c>
      <c r="AQ44" s="24" t="inlineStr">
        <is>
          <t>Arizona Diamondbacks</t>
        </is>
      </c>
      <c r="AR44" s="24" t="inlineStr">
        <is>
          <t>Arizona Diamondbacks</t>
        </is>
      </c>
      <c r="AS44" s="24" t="inlineStr">
        <is>
          <t>mlb-cle</t>
        </is>
      </c>
      <c r="AT44" s="24" t="inlineStr">
        <is>
          <t>Cleveland Guardians</t>
        </is>
      </c>
      <c r="AU44" s="24" t="inlineStr">
        <is>
          <t>Cleveland Guardians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464eef695bfbbdaa819ec6f5e4c5bd1068ed20b92915fb2677220ae91e20d8b6</t>
        </is>
      </c>
      <c r="BB44" s="24" t="inlineStr">
        <is>
          <t>learned_lr</t>
        </is>
      </c>
      <c r="BC44" s="24" t="inlineStr">
        <is>
          <t>mlb-elo-trend-lr-v7</t>
        </is>
      </c>
      <c r="BD44" s="24" t="inlineStr">
        <is>
          <t>464eef695bfbbdaa819ec6f5e4c5bd1068ed20b92915fb2677220ae91e20d8b6</t>
        </is>
      </c>
      <c r="BE44" s="24" t="inlineStr">
        <is>
          <t>5291b1c09a366ec8</t>
        </is>
      </c>
      <c r="BF44" s="24" t="inlineStr">
        <is>
          <t>1</t>
        </is>
      </c>
      <c r="BG44" s="24" t="inlineStr">
        <is>
          <t>mlb-elo-trend-lr-v7</t>
        </is>
      </c>
      <c r="BH44" s="24" t="inlineStr">
        <is>
          <t>2026-08-01T20:14:10.378899Z</t>
        </is>
      </c>
      <c r="BI44" s="24" t="inlineStr">
        <is>
          <t>["same_event","same_team_same_day","same_league_same_day"]</t>
        </is>
      </c>
      <c r="BJ44" s="25" t="n"/>
      <c r="BK44" s="26" t="n">
        <v>-163</v>
      </c>
      <c r="BL44" s="27" t="n">
        <v>1.613497</v>
      </c>
      <c r="BM44" s="28" t="n">
        <v>0.619772</v>
      </c>
      <c r="BN44" s="28" t="n">
        <v>0.616915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0.5245055589</t>
        </is>
      </c>
      <c r="CD44" s="24" t="inlineStr">
        <is>
          <t>-0.916106</t>
        </is>
      </c>
      <c r="CE44" s="24" t="inlineStr">
        <is>
          <t>0.966</t>
        </is>
      </c>
      <c r="CF44" s="24" t="inlineStr">
        <is>
          <t>1.0098</t>
        </is>
      </c>
      <c r="CG44" s="24" t="inlineStr">
        <is>
          <t>-1.6</t>
        </is>
      </c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130ce91c33e8404d</t>
        </is>
      </c>
      <c r="B45" s="24" t="inlineStr">
        <is>
          <t>2026-08-01T20:15:07.885436Z</t>
        </is>
      </c>
      <c r="C45" s="24" t="inlineStr">
        <is>
          <t>2026-08-01T19:15:00-0400</t>
        </is>
      </c>
      <c r="D45" s="24" t="inlineStr">
        <is>
          <t>401816353</t>
        </is>
      </c>
      <c r="E45" s="24" t="inlineStr">
        <is>
          <t>MLB</t>
        </is>
      </c>
      <c r="F45" s="24" t="inlineStr">
        <is>
          <t>Washington Nationals</t>
        </is>
      </c>
      <c r="G45" s="24" t="inlineStr">
        <is>
          <t>Atlanta Braves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-160</v>
      </c>
      <c r="M45" s="27" t="n">
        <v>1.625</v>
      </c>
      <c r="N45" s="28" t="n">
        <v>0.615385</v>
      </c>
      <c r="O45" s="28" t="n">
        <v>0.6128</v>
      </c>
      <c r="P45" s="28" t="n"/>
      <c r="Q45" s="28" t="n">
        <v>-0.002585</v>
      </c>
      <c r="R45" s="26" t="n">
        <v>20</v>
      </c>
      <c r="S45" s="29" t="n">
        <v>1.5</v>
      </c>
      <c r="T45" s="24" t="inlineStr">
        <is>
          <t>mlb-elo-trend-lr-v7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Learned LR call at threshold 0.6242; executable ask 0.6150 (aec-mlb-wsh-atl-2026-08-01); model edge vs ask -0.0022.</t>
        </is>
      </c>
      <c r="AF45" s="31" t="inlineStr">
        <is>
          <t>Learned model; shadow-qualified via operator override.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mlb-wsh</t>
        </is>
      </c>
      <c r="AQ45" s="24" t="inlineStr">
        <is>
          <t>Washington Nationals</t>
        </is>
      </c>
      <c r="AR45" s="24" t="inlineStr">
        <is>
          <t>Washington Nationals</t>
        </is>
      </c>
      <c r="AS45" s="24" t="inlineStr">
        <is>
          <t>mlb-atl</t>
        </is>
      </c>
      <c r="AT45" s="24" t="inlineStr">
        <is>
          <t>Atlanta Braves</t>
        </is>
      </c>
      <c r="AU45" s="24" t="inlineStr">
        <is>
          <t>Atlanta Braves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464eef695bfbbdaa819ec6f5e4c5bd1068ed20b92915fb2677220ae91e20d8b6</t>
        </is>
      </c>
      <c r="BB45" s="24" t="inlineStr">
        <is>
          <t>learned_lr</t>
        </is>
      </c>
      <c r="BC45" s="24" t="inlineStr">
        <is>
          <t>mlb-elo-trend-lr-v7</t>
        </is>
      </c>
      <c r="BD45" s="24" t="inlineStr">
        <is>
          <t>464eef695bfbbdaa819ec6f5e4c5bd1068ed20b92915fb2677220ae91e20d8b6</t>
        </is>
      </c>
      <c r="BE45" s="24" t="inlineStr">
        <is>
          <t>d766ec0b9c7d91f2</t>
        </is>
      </c>
      <c r="BF45" s="24" t="inlineStr">
        <is>
          <t>1</t>
        </is>
      </c>
      <c r="BG45" s="24" t="inlineStr">
        <is>
          <t>mlb-elo-trend-lr-v7</t>
        </is>
      </c>
      <c r="BH45" s="24" t="inlineStr">
        <is>
          <t>2026-08-01T20:14:11.394186Z</t>
        </is>
      </c>
      <c r="BI45" s="24" t="inlineStr">
        <is>
          <t>["same_event","same_team_same_day","same_league_same_day"]</t>
        </is>
      </c>
      <c r="BJ45" s="25" t="n"/>
      <c r="BK45" s="26" t="n">
        <v>-160</v>
      </c>
      <c r="BL45" s="27" t="n">
        <v>1.625</v>
      </c>
      <c r="BM45" s="28" t="n">
        <v>0.615385</v>
      </c>
      <c r="BN45" s="28" t="n">
        <v>0.61194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0.6266199013</t>
        </is>
      </c>
      <c r="CD45" s="24" t="inlineStr">
        <is>
          <t>0.430565</t>
        </is>
      </c>
      <c r="CE45" s="24" t="inlineStr">
        <is>
          <t>0.929</t>
        </is>
      </c>
      <c r="CF45" s="24" t="inlineStr">
        <is>
          <t>1.0145</t>
        </is>
      </c>
      <c r="CG45" s="24" t="inlineStr">
        <is>
          <t>-0.4</t>
        </is>
      </c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ea9d201ce688471d</t>
        </is>
      </c>
      <c r="B46" s="24" t="inlineStr">
        <is>
          <t>2026-08-01T20:15:07.885436Z</t>
        </is>
      </c>
      <c r="C46" s="24" t="inlineStr">
        <is>
          <t>2026-08-01T19:15:00-0400</t>
        </is>
      </c>
      <c r="D46" s="24" t="inlineStr">
        <is>
          <t>401816354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Chicago Cubs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-111</v>
      </c>
      <c r="M46" s="27" t="n">
        <v>1.900901</v>
      </c>
      <c r="N46" s="28" t="n">
        <v>0.526066</v>
      </c>
      <c r="O46" s="28" t="n">
        <v>0.546777</v>
      </c>
      <c r="P46" s="28" t="n"/>
      <c r="Q46" s="28" t="n">
        <v>0.020711</v>
      </c>
      <c r="R46" s="26" t="n">
        <v>32</v>
      </c>
      <c r="S46" s="29" t="n">
        <v>1</v>
      </c>
      <c r="T46" s="24" t="inlineStr">
        <is>
          <t>mlb-elo-trend-lr-v7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Learned LR call at threshold 0.6242; executable ask 0.5250 (aec-mlb-nyy-chc-2026-08-01); model edge vs ask +0.0218.</t>
        </is>
      </c>
      <c r="AF46" s="31" t="inlineStr">
        <is>
          <t>Learned model; shadow-qualified via operator override.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mlb-chc</t>
        </is>
      </c>
      <c r="AT46" s="24" t="inlineStr">
        <is>
          <t>Chicago Cubs</t>
        </is>
      </c>
      <c r="AU46" s="24" t="inlineStr">
        <is>
          <t>Chicago Cubs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464eef695bfbbdaa819ec6f5e4c5bd1068ed20b92915fb2677220ae91e20d8b6</t>
        </is>
      </c>
      <c r="BB46" s="24" t="inlineStr">
        <is>
          <t>learned_lr</t>
        </is>
      </c>
      <c r="BC46" s="24" t="inlineStr">
        <is>
          <t>mlb-elo-trend-lr-v7</t>
        </is>
      </c>
      <c r="BD46" s="24" t="inlineStr">
        <is>
          <t>464eef695bfbbdaa819ec6f5e4c5bd1068ed20b92915fb2677220ae91e20d8b6</t>
        </is>
      </c>
      <c r="BE46" s="24" t="inlineStr">
        <is>
          <t>7cb47d99adfeb29c</t>
        </is>
      </c>
      <c r="BF46" s="24" t="inlineStr">
        <is>
          <t>1</t>
        </is>
      </c>
      <c r="BG46" s="24" t="inlineStr">
        <is>
          <t>mlb-elo-trend-lr-v7</t>
        </is>
      </c>
      <c r="BH46" s="24" t="inlineStr">
        <is>
          <t>2026-08-01T20:14:09.257400Z</t>
        </is>
      </c>
      <c r="BI46" s="24" t="inlineStr">
        <is>
          <t>["same_event","same_team_same_day","same_league_same_day"]</t>
        </is>
      </c>
      <c r="BJ46" s="25" t="n"/>
      <c r="BK46" s="26" t="n">
        <v>-111</v>
      </c>
      <c r="BL46" s="27" t="n">
        <v>1.900901</v>
      </c>
      <c r="BM46" s="28" t="n">
        <v>0.526066</v>
      </c>
      <c r="BN46" s="28" t="n">
        <v>0.522388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0.5407844181</t>
        </is>
      </c>
      <c r="CD46" s="24" t="inlineStr">
        <is>
          <t>-0.04604</t>
        </is>
      </c>
      <c r="CE46" s="24" t="inlineStr">
        <is>
          <t>0.986</t>
        </is>
      </c>
      <c r="CF46" s="24" t="inlineStr">
        <is>
          <t>1.0117</t>
        </is>
      </c>
      <c r="CG46" s="24" t="inlineStr">
        <is>
          <t>-0.6</t>
        </is>
      </c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dd129d7188064c94</t>
        </is>
      </c>
      <c r="B47" s="24" t="inlineStr">
        <is>
          <t>2026-08-01T20:15:07.885436Z</t>
        </is>
      </c>
      <c r="C47" s="24" t="inlineStr">
        <is>
          <t>2026-08-01T20:10:00-0400</t>
        </is>
      </c>
      <c r="D47" s="24" t="inlineStr">
        <is>
          <t>401816356</t>
        </is>
      </c>
      <c r="E47" s="24" t="inlineStr">
        <is>
          <t>MLB</t>
        </is>
      </c>
      <c r="F47" s="24" t="inlineStr">
        <is>
          <t>Kansas City Royals</t>
        </is>
      </c>
      <c r="G47" s="24" t="inlineStr">
        <is>
          <t>Colorado Rockies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108</v>
      </c>
      <c r="M47" s="27" t="n">
        <v>2.08</v>
      </c>
      <c r="N47" s="28" t="n">
        <v>0.480769</v>
      </c>
      <c r="O47" s="28" t="n">
        <v>0.599374</v>
      </c>
      <c r="P47" s="28" t="n"/>
      <c r="Q47" s="28" t="n">
        <v>0.118605</v>
      </c>
      <c r="R47" s="26" t="n">
        <v>81</v>
      </c>
      <c r="S47" s="29" t="n">
        <v>1.25</v>
      </c>
      <c r="T47" s="24" t="inlineStr">
        <is>
          <t>mlb-elo-trend-lr-v7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Learned LR call at threshold 0.6242; executable ask 0.4800 (aec-mlb-kc-col-2026-08-01); model edge vs ask +0.1194.</t>
        </is>
      </c>
      <c r="AF47" s="31" t="inlineStr">
        <is>
          <t>Learned model; shadow-qualified via operator override.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mlb-kc</t>
        </is>
      </c>
      <c r="AQ47" s="24" t="inlineStr">
        <is>
          <t>Kansas City Royals</t>
        </is>
      </c>
      <c r="AR47" s="24" t="inlineStr">
        <is>
          <t>Kansas City Royals</t>
        </is>
      </c>
      <c r="AS47" s="24" t="inlineStr">
        <is>
          <t>mlb-col</t>
        </is>
      </c>
      <c r="AT47" s="24" t="inlineStr">
        <is>
          <t>Colorado Rockies</t>
        </is>
      </c>
      <c r="AU47" s="24" t="inlineStr">
        <is>
          <t>Colorado Rockies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464eef695bfbbdaa819ec6f5e4c5bd1068ed20b92915fb2677220ae91e20d8b6</t>
        </is>
      </c>
      <c r="BB47" s="24" t="inlineStr">
        <is>
          <t>learned_lr</t>
        </is>
      </c>
      <c r="BC47" s="24" t="inlineStr">
        <is>
          <t>mlb-elo-trend-lr-v7</t>
        </is>
      </c>
      <c r="BD47" s="24" t="inlineStr">
        <is>
          <t>464eef695bfbbdaa819ec6f5e4c5bd1068ed20b92915fb2677220ae91e20d8b6</t>
        </is>
      </c>
      <c r="BE47" s="24" t="inlineStr">
        <is>
          <t>26fb8f7bbcf3ce27</t>
        </is>
      </c>
      <c r="BF47" s="24" t="inlineStr">
        <is>
          <t>1</t>
        </is>
      </c>
      <c r="BG47" s="24" t="inlineStr">
        <is>
          <t>mlb-elo-trend-lr-v7</t>
        </is>
      </c>
      <c r="BH47" s="24" t="inlineStr">
        <is>
          <t>2026-08-01T20:14:12.297039Z</t>
        </is>
      </c>
      <c r="BI47" s="24" t="inlineStr">
        <is>
          <t>["same_event","same_team_same_day","same_league_same_day"]</t>
        </is>
      </c>
      <c r="BJ47" s="25" t="n"/>
      <c r="BK47" s="26" t="n">
        <v>108</v>
      </c>
      <c r="BL47" s="27" t="n">
        <v>2.08</v>
      </c>
      <c r="BM47" s="28" t="n">
        <v>0.480769</v>
      </c>
      <c r="BN47" s="28" t="n">
        <v>0.477612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0.4336227344</t>
        </is>
      </c>
      <c r="CD47" s="24" t="inlineStr">
        <is>
          <t>0.282629</t>
        </is>
      </c>
      <c r="CE47" s="24" t="inlineStr">
        <is>
          <t>1.193</t>
        </is>
      </c>
      <c r="CF47" s="24" t="inlineStr">
        <is>
          <t>1.0246</t>
        </is>
      </c>
      <c r="CG47" s="24" t="inlineStr">
        <is>
          <t>2.2</t>
        </is>
      </c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96ea8f9c351c4f9c</t>
        </is>
      </c>
      <c r="B48" s="24" t="inlineStr">
        <is>
          <t>2026-08-01T20:15:07.885436Z</t>
        </is>
      </c>
      <c r="C48" s="24" t="inlineStr">
        <is>
          <t>2026-08-01T20:40:00-0400</t>
        </is>
      </c>
      <c r="D48" s="24" t="inlineStr">
        <is>
          <t>401816361</t>
        </is>
      </c>
      <c r="E48" s="24" t="inlineStr">
        <is>
          <t>MLB</t>
        </is>
      </c>
      <c r="F48" s="24" t="inlineStr">
        <is>
          <t>San Francisco Giants</t>
        </is>
      </c>
      <c r="G48" s="24" t="inlineStr">
        <is>
          <t>San Diego Padres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-141</v>
      </c>
      <c r="M48" s="27" t="n">
        <v>1.70922</v>
      </c>
      <c r="N48" s="28" t="n">
        <v>0.585062</v>
      </c>
      <c r="O48" s="28" t="n">
        <v>0.586456</v>
      </c>
      <c r="P48" s="28" t="n"/>
      <c r="Q48" s="28" t="n">
        <v>0.001394</v>
      </c>
      <c r="R48" s="26" t="n">
        <v>22</v>
      </c>
      <c r="S48" s="29" t="n">
        <v>1.25</v>
      </c>
      <c r="T48" s="24" t="inlineStr">
        <is>
          <t>mlb-elo-trend-lr-v7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Learned LR call at threshold 0.6242; executable ask 0.5850 (aec-mlb-sf-sd-2026-08-01); model edge vs ask +0.0015.</t>
        </is>
      </c>
      <c r="AF48" s="31" t="inlineStr">
        <is>
          <t>Learned model; shadow-qualified via operator override.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mlb-sf</t>
        </is>
      </c>
      <c r="AQ48" s="24" t="inlineStr">
        <is>
          <t>San Francisco Giants</t>
        </is>
      </c>
      <c r="AR48" s="24" t="inlineStr">
        <is>
          <t>San Francisco Giants</t>
        </is>
      </c>
      <c r="AS48" s="24" t="inlineStr">
        <is>
          <t>mlb-sd</t>
        </is>
      </c>
      <c r="AT48" s="24" t="inlineStr">
        <is>
          <t>San Diego Padres</t>
        </is>
      </c>
      <c r="AU48" s="24" t="inlineStr">
        <is>
          <t>San Diego Padres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464eef695bfbbdaa819ec6f5e4c5bd1068ed20b92915fb2677220ae91e20d8b6</t>
        </is>
      </c>
      <c r="BB48" s="24" t="inlineStr">
        <is>
          <t>learned_lr</t>
        </is>
      </c>
      <c r="BC48" s="24" t="inlineStr">
        <is>
          <t>mlb-elo-trend-lr-v7</t>
        </is>
      </c>
      <c r="BD48" s="24" t="inlineStr">
        <is>
          <t>464eef695bfbbdaa819ec6f5e4c5bd1068ed20b92915fb2677220ae91e20d8b6</t>
        </is>
      </c>
      <c r="BE48" s="24" t="inlineStr">
        <is>
          <t>7295282fcaff895c</t>
        </is>
      </c>
      <c r="BF48" s="24" t="inlineStr">
        <is>
          <t>1</t>
        </is>
      </c>
      <c r="BG48" s="24" t="inlineStr">
        <is>
          <t>mlb-elo-trend-lr-v7</t>
        </is>
      </c>
      <c r="BH48" s="24" t="inlineStr">
        <is>
          <t>2026-08-01T20:14:13.115048Z</t>
        </is>
      </c>
      <c r="BI48" s="24" t="inlineStr">
        <is>
          <t>["same_event","same_team_same_day","same_league_same_day"]</t>
        </is>
      </c>
      <c r="BJ48" s="25" t="n"/>
      <c r="BK48" s="26" t="n">
        <v>-141</v>
      </c>
      <c r="BL48" s="27" t="n">
        <v>1.70922</v>
      </c>
      <c r="BM48" s="28" t="n">
        <v>0.585062</v>
      </c>
      <c r="BN48" s="28" t="n">
        <v>0.58209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0.5921899564</t>
        </is>
      </c>
      <c r="CD48" s="24" t="inlineStr">
        <is>
          <t>-0.027918</t>
        </is>
      </c>
      <c r="CE48" s="24" t="inlineStr">
        <is>
          <t>0.945</t>
        </is>
      </c>
      <c r="CF48" s="24" t="inlineStr">
        <is>
          <t>1.0067</t>
        </is>
      </c>
      <c r="CG48" s="24" t="inlineStr">
        <is>
          <t>-1.8</t>
        </is>
      </c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39b25ddc350b4d4d</t>
        </is>
      </c>
      <c r="B49" s="24" t="inlineStr">
        <is>
          <t>2026-08-01T20:15:07.885436Z</t>
        </is>
      </c>
      <c r="C49" s="24" t="inlineStr">
        <is>
          <t>2026-08-01T21:10:00-0400</t>
        </is>
      </c>
      <c r="D49" s="24" t="inlineStr">
        <is>
          <t>401816357</t>
        </is>
      </c>
      <c r="E49" s="24" t="inlineStr">
        <is>
          <t>MLB</t>
        </is>
      </c>
      <c r="F49" s="24" t="inlineStr">
        <is>
          <t>Boston Red Sox</t>
        </is>
      </c>
      <c r="G49" s="24" t="inlineStr">
        <is>
          <t>Los Angeles Dodgers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-156</v>
      </c>
      <c r="M49" s="27" t="n">
        <v>1.641026</v>
      </c>
      <c r="N49" s="28" t="n">
        <v>0.609375</v>
      </c>
      <c r="O49" s="28" t="n">
        <v>0.561697</v>
      </c>
      <c r="P49" s="28" t="n"/>
      <c r="Q49" s="28" t="n">
        <v>-0.047678</v>
      </c>
      <c r="R49" s="26" t="n">
        <v>0</v>
      </c>
      <c r="S49" s="29" t="n">
        <v>1</v>
      </c>
      <c r="T49" s="24" t="inlineStr">
        <is>
          <t>mlb-elo-trend-lr-v7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Learned LR call at threshold 0.6242; executable ask 0.6100 (aec-mlb-bos-lad-2026-08-01); model edge vs ask -0.0483.</t>
        </is>
      </c>
      <c r="AF49" s="31" t="inlineStr">
        <is>
          <t>Learned model; shadow-qualified via operator override.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mlb-bos</t>
        </is>
      </c>
      <c r="AQ49" s="24" t="inlineStr">
        <is>
          <t>Boston Red Sox</t>
        </is>
      </c>
      <c r="AR49" s="24" t="inlineStr">
        <is>
          <t>Boston Red Sox</t>
        </is>
      </c>
      <c r="AS49" s="24" t="inlineStr">
        <is>
          <t>mlb-lad</t>
        </is>
      </c>
      <c r="AT49" s="24" t="inlineStr">
        <is>
          <t>Los Angeles Dodgers</t>
        </is>
      </c>
      <c r="AU49" s="24" t="inlineStr">
        <is>
          <t>Los Angeles Dodgers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464eef695bfbbdaa819ec6f5e4c5bd1068ed20b92915fb2677220ae91e20d8b6</t>
        </is>
      </c>
      <c r="BB49" s="24" t="inlineStr">
        <is>
          <t>learned_lr</t>
        </is>
      </c>
      <c r="BC49" s="24" t="inlineStr">
        <is>
          <t>mlb-elo-trend-lr-v7</t>
        </is>
      </c>
      <c r="BD49" s="24" t="inlineStr">
        <is>
          <t>464eef695bfbbdaa819ec6f5e4c5bd1068ed20b92915fb2677220ae91e20d8b6</t>
        </is>
      </c>
      <c r="BE49" s="24" t="inlineStr">
        <is>
          <t>4bf94630ee3c525f</t>
        </is>
      </c>
      <c r="BF49" s="24" t="inlineStr">
        <is>
          <t>1</t>
        </is>
      </c>
      <c r="BG49" s="24" t="inlineStr">
        <is>
          <t>mlb-elo-trend-lr-v7</t>
        </is>
      </c>
      <c r="BH49" s="24" t="inlineStr">
        <is>
          <t>2026-08-01T20:14:14.053864Z</t>
        </is>
      </c>
      <c r="BI49" s="24" t="inlineStr">
        <is>
          <t>["same_event","same_team_same_day","same_league_same_day"]</t>
        </is>
      </c>
      <c r="BJ49" s="25" t="n"/>
      <c r="BK49" s="26" t="n">
        <v>-156</v>
      </c>
      <c r="BL49" s="27" t="n">
        <v>1.641026</v>
      </c>
      <c r="BM49" s="28" t="n">
        <v>0.609375</v>
      </c>
      <c r="BN49" s="28" t="n">
        <v>0.606965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0.5509882979</t>
        </is>
      </c>
      <c r="CD49" s="24" t="inlineStr">
        <is>
          <t>-0.724816</t>
        </is>
      </c>
      <c r="CE49" s="24" t="inlineStr">
        <is>
          <t>1.026</t>
        </is>
      </c>
      <c r="CF49" s="24" t="inlineStr">
        <is>
          <t>1.0123</t>
        </is>
      </c>
      <c r="CG49" s="24" t="inlineStr">
        <is>
          <t>2.4</t>
        </is>
      </c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a6e12f1247434dbf</t>
        </is>
      </c>
      <c r="B50" s="24" t="inlineStr">
        <is>
          <t>2026-08-01T20:15:07.885436Z</t>
        </is>
      </c>
      <c r="C50" s="24" t="inlineStr">
        <is>
          <t>2026-08-01T21:38:00-0400</t>
        </is>
      </c>
      <c r="D50" s="24" t="inlineStr">
        <is>
          <t>401816359</t>
        </is>
      </c>
      <c r="E50" s="24" t="inlineStr">
        <is>
          <t>MLB</t>
        </is>
      </c>
      <c r="F50" s="24" t="inlineStr">
        <is>
          <t>Milwaukee Brewers</t>
        </is>
      </c>
      <c r="G50" s="24" t="inlineStr">
        <is>
          <t>Los Angeles Angels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0.623356</v>
      </c>
      <c r="P50" s="28" t="n"/>
      <c r="Q50" s="28" t="n">
        <v>0.043524</v>
      </c>
      <c r="R50" s="26" t="n">
        <v>43</v>
      </c>
      <c r="S50" s="29" t="n">
        <v>1.5</v>
      </c>
      <c r="T50" s="24" t="inlineStr">
        <is>
          <t>mlb-elo-trend-lr-v7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Learned LR call at threshold 0.6242; executable ask 0.5800 (aec-mlb-mil-laa-2026-08-01); model edge vs ask +0.0434.</t>
        </is>
      </c>
      <c r="AF50" s="31" t="inlineStr">
        <is>
          <t>Learned model; shadow-qualified via operator override.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mlb-mil</t>
        </is>
      </c>
      <c r="AQ50" s="24" t="inlineStr">
        <is>
          <t>Milwaukee Brewers</t>
        </is>
      </c>
      <c r="AR50" s="24" t="inlineStr">
        <is>
          <t>Milwaukee Brewers</t>
        </is>
      </c>
      <c r="AS50" s="24" t="inlineStr">
        <is>
          <t>mlb-laa</t>
        </is>
      </c>
      <c r="AT50" s="24" t="inlineStr">
        <is>
          <t>Los Angeles Angels</t>
        </is>
      </c>
      <c r="AU50" s="24" t="inlineStr">
        <is>
          <t>Los Angeles Angels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464eef695bfbbdaa819ec6f5e4c5bd1068ed20b92915fb2677220ae91e20d8b6</t>
        </is>
      </c>
      <c r="BB50" s="24" t="inlineStr">
        <is>
          <t>learned_lr</t>
        </is>
      </c>
      <c r="BC50" s="24" t="inlineStr">
        <is>
          <t>mlb-elo-trend-lr-v7</t>
        </is>
      </c>
      <c r="BD50" s="24" t="inlineStr">
        <is>
          <t>464eef695bfbbdaa819ec6f5e4c5bd1068ed20b92915fb2677220ae91e20d8b6</t>
        </is>
      </c>
      <c r="BE50" s="24" t="inlineStr">
        <is>
          <t>905a273792cf9cce</t>
        </is>
      </c>
      <c r="BF50" s="24" t="inlineStr">
        <is>
          <t>1</t>
        </is>
      </c>
      <c r="BG50" s="24" t="inlineStr">
        <is>
          <t>mlb-elo-trend-lr-v7</t>
        </is>
      </c>
      <c r="BH50" s="24" t="inlineStr">
        <is>
          <t>2026-08-01T20:14:14.803724Z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>
        <v>0.577114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inlineStr">
        <is>
          <t>0.3303372609</t>
        </is>
      </c>
      <c r="CD50" s="24" t="inlineStr">
        <is>
          <t>-0.606627</t>
        </is>
      </c>
      <c r="CE50" s="24" t="inlineStr">
        <is>
          <t>1.01</t>
        </is>
      </c>
      <c r="CF50" s="24" t="inlineStr">
        <is>
          <t>1.0078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085ddd6d60064feb</t>
        </is>
      </c>
      <c r="B51" s="24" t="inlineStr">
        <is>
          <t>2026-08-01T20:15:07.885436Z</t>
        </is>
      </c>
      <c r="C51" s="24" t="inlineStr">
        <is>
          <t>2026-08-01T21:40:00-0400</t>
        </is>
      </c>
      <c r="D51" s="24" t="inlineStr">
        <is>
          <t>401816358</t>
        </is>
      </c>
      <c r="E51" s="24" t="inlineStr">
        <is>
          <t>MLB</t>
        </is>
      </c>
      <c r="F51" s="24" t="inlineStr">
        <is>
          <t>Detroit Tigers</t>
        </is>
      </c>
      <c r="G51" s="24" t="inlineStr">
        <is>
          <t>Athletics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-156</v>
      </c>
      <c r="M51" s="27" t="n">
        <v>1.641026</v>
      </c>
      <c r="N51" s="28" t="n">
        <v>0.609375</v>
      </c>
      <c r="O51" s="28" t="n">
        <v>0.559323</v>
      </c>
      <c r="P51" s="28" t="n"/>
      <c r="Q51" s="28" t="n">
        <v>-0.050052</v>
      </c>
      <c r="R51" s="26" t="n">
        <v>0</v>
      </c>
      <c r="S51" s="29" t="n">
        <v>1</v>
      </c>
      <c r="T51" s="24" t="inlineStr">
        <is>
          <t>mlb-elo-trend-lr-v7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Learned LR call at threshold 0.6242; executable ask 0.6100 (aec-mlb-det-ath-2026-08-01); model edge vs ask -0.0507.</t>
        </is>
      </c>
      <c r="AF51" s="31" t="inlineStr">
        <is>
          <t>Learned model; shadow-qualified via operator override.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mlb-det</t>
        </is>
      </c>
      <c r="AQ51" s="24" t="inlineStr">
        <is>
          <t>Detroit Tigers</t>
        </is>
      </c>
      <c r="AR51" s="24" t="inlineStr">
        <is>
          <t>Detroit Tigers</t>
        </is>
      </c>
      <c r="AS51" s="24" t="inlineStr">
        <is>
          <t>mlb-ath</t>
        </is>
      </c>
      <c r="AT51" s="24" t="inlineStr">
        <is>
          <t>Athletics</t>
        </is>
      </c>
      <c r="AU51" s="24" t="inlineStr">
        <is>
          <t>Athletics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464eef695bfbbdaa819ec6f5e4c5bd1068ed20b92915fb2677220ae91e20d8b6</t>
        </is>
      </c>
      <c r="BB51" s="24" t="inlineStr">
        <is>
          <t>learned_lr</t>
        </is>
      </c>
      <c r="BC51" s="24" t="inlineStr">
        <is>
          <t>mlb-elo-trend-lr-v7</t>
        </is>
      </c>
      <c r="BD51" s="24" t="inlineStr">
        <is>
          <t>464eef695bfbbdaa819ec6f5e4c5bd1068ed20b92915fb2677220ae91e20d8b6</t>
        </is>
      </c>
      <c r="BE51" s="24" t="inlineStr">
        <is>
          <t>ea930ab74c9b387e</t>
        </is>
      </c>
      <c r="BF51" s="24" t="inlineStr">
        <is>
          <t>1</t>
        </is>
      </c>
      <c r="BG51" s="24" t="inlineStr">
        <is>
          <t>mlb-elo-trend-lr-v7</t>
        </is>
      </c>
      <c r="BH51" s="24" t="inlineStr">
        <is>
          <t>2026-08-01T20:14:15.834174Z</t>
        </is>
      </c>
      <c r="BI51" s="24" t="inlineStr">
        <is>
          <t>["same_event","same_team_same_day","same_league_same_day"]</t>
        </is>
      </c>
      <c r="BJ51" s="25" t="n"/>
      <c r="BK51" s="26" t="n">
        <v>-156</v>
      </c>
      <c r="BL51" s="27" t="n">
        <v>1.641026</v>
      </c>
      <c r="BM51" s="28" t="n">
        <v>0.609375</v>
      </c>
      <c r="BN51" s="28" t="n">
        <v>0.606965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inlineStr">
        <is>
          <t>0.4182489247</t>
        </is>
      </c>
      <c r="CD51" s="24" t="inlineStr">
        <is>
          <t>-3.451557</t>
        </is>
      </c>
      <c r="CE51" s="24" t="inlineStr">
        <is>
          <t>1.153</t>
        </is>
      </c>
      <c r="CF51" s="24" t="inlineStr">
        <is>
          <t>1.0268</t>
        </is>
      </c>
      <c r="CG51" s="24" t="inlineStr">
        <is>
          <t>1.0</t>
        </is>
      </c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981dcb6e650d4319</t>
        </is>
      </c>
      <c r="B52" s="24" t="inlineStr">
        <is>
          <t>2026-08-01T21:19:56.242283Z</t>
        </is>
      </c>
      <c r="C52" s="24" t="inlineStr">
        <is>
          <t>2026-08-02T13:00:00-0400</t>
        </is>
      </c>
      <c r="D52" s="24" t="inlineStr">
        <is>
          <t>401857107</t>
        </is>
      </c>
      <c r="E52" s="24" t="inlineStr">
        <is>
          <t>WNBA</t>
        </is>
      </c>
      <c r="F52" s="24" t="inlineStr">
        <is>
          <t>Indiana Fever</t>
        </is>
      </c>
      <c r="G52" s="24" t="inlineStr">
        <is>
          <t>Minnesota Lynx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-203</v>
      </c>
      <c r="M52" s="27" t="n">
        <v>1.492611</v>
      </c>
      <c r="N52" s="28" t="n">
        <v>0.669967</v>
      </c>
      <c r="O52" s="28" t="n">
        <v>0.643501</v>
      </c>
      <c r="P52" s="28" t="n"/>
      <c r="Q52" s="28" t="n">
        <v>-0.026466</v>
      </c>
      <c r="R52" s="26" t="n">
        <v>10</v>
      </c>
      <c r="S52" s="29" t="n">
        <v>1.5</v>
      </c>
      <c r="T52" s="24" t="inlineStr">
        <is>
          <t>wnba-elo-trend-lr-v4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Learned LR call at threshold 0.5001; executable ask 0.6700 (aec-wnba-ind-min-2026-08-02); model edge vs ask -0.0265. NOTE: NO_CALL_AVAILABILITY_UNAVAILABLE unavailable for this game — defaulted to neutral, other features used normally.</t>
        </is>
      </c>
      <c r="AF52" s="31" t="inlineStr">
        <is>
          <t>Learned model; shadow-qualified via operator override.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wnba-ind</t>
        </is>
      </c>
      <c r="AQ52" s="24" t="inlineStr">
        <is>
          <t>Indiana Fever</t>
        </is>
      </c>
      <c r="AR52" s="24" t="inlineStr">
        <is>
          <t>Indiana Fever</t>
        </is>
      </c>
      <c r="AS52" s="24" t="inlineStr">
        <is>
          <t>wnba-min</t>
        </is>
      </c>
      <c r="AT52" s="24" t="inlineStr">
        <is>
          <t>Minnesota Lynx</t>
        </is>
      </c>
      <c r="AU52" s="24" t="inlineStr">
        <is>
          <t>Minnesota Lynx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7afd5274214b58b7efd7f7febc7be3ab33b92351cda5cc6403c0a39faea0cc8c</t>
        </is>
      </c>
      <c r="BB52" s="24" t="inlineStr">
        <is>
          <t>learned_lr</t>
        </is>
      </c>
      <c r="BC52" s="24" t="inlineStr">
        <is>
          <t>wnba-elo-trend-lr-v4</t>
        </is>
      </c>
      <c r="BD52" s="24" t="inlineStr">
        <is>
          <t>7afd5274214b58b7efd7f7febc7be3ab33b92351cda5cc6403c0a39faea0cc8c</t>
        </is>
      </c>
      <c r="BE52" s="24" t="inlineStr">
        <is>
          <t>bb71a3c5b401e352</t>
        </is>
      </c>
      <c r="BF52" s="24" t="inlineStr">
        <is>
          <t>1</t>
        </is>
      </c>
      <c r="BG52" s="24" t="inlineStr">
        <is>
          <t>wnba-elo-trend-lr-v4</t>
        </is>
      </c>
      <c r="BH52" s="24" t="inlineStr">
        <is>
          <t>2026-08-01T21:19:20.512478Z</t>
        </is>
      </c>
      <c r="BI52" s="24" t="inlineStr">
        <is>
          <t>["same_event","same_team_same_day","same_league_same_day"]</t>
        </is>
      </c>
      <c r="BJ52" s="25" t="n"/>
      <c r="BK52" s="26" t="n">
        <v>-203</v>
      </c>
      <c r="BL52" s="27" t="n">
        <v>1.492611</v>
      </c>
      <c r="BM52" s="28" t="n">
        <v>0.669967</v>
      </c>
      <c r="BN52" s="28" t="n">
        <v>0.663366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inlineStr">
        <is>
          <t>0.6810434571</t>
        </is>
      </c>
      <c r="CD52" s="24" t="inlineStr">
        <is>
          <t>-4.341249</t>
        </is>
      </c>
      <c r="CE52" s="24" t="n"/>
      <c r="CF52" s="24" t="n"/>
      <c r="CG52" s="24" t="n"/>
      <c r="CH52" s="24" t="n"/>
      <c r="CI52" s="24" t="inlineStr">
        <is>
          <t>NO_CALL_AVAILABILITY_UNAVAILABLE</t>
        </is>
      </c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12d824bf460f4169</t>
        </is>
      </c>
      <c r="B53" s="24" t="inlineStr">
        <is>
          <t>2026-08-01T21:19:56.242283Z</t>
        </is>
      </c>
      <c r="C53" s="24" t="inlineStr">
        <is>
          <t>2026-08-02T15:30:00-0400</t>
        </is>
      </c>
      <c r="D53" s="24" t="inlineStr">
        <is>
          <t>401857108</t>
        </is>
      </c>
      <c r="E53" s="24" t="inlineStr">
        <is>
          <t>WNBA</t>
        </is>
      </c>
      <c r="F53" s="24" t="inlineStr">
        <is>
          <t>Los Angeles Sparks</t>
        </is>
      </c>
      <c r="G53" s="24" t="inlineStr">
        <is>
          <t>Portland Fire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0.571124</v>
      </c>
      <c r="P53" s="28" t="n"/>
      <c r="Q53" s="28" t="n">
        <v>0.06132</v>
      </c>
      <c r="R53" s="26" t="n">
        <v>53</v>
      </c>
      <c r="S53" s="29" t="n">
        <v>1.25</v>
      </c>
      <c r="T53" s="24" t="inlineStr">
        <is>
          <t>wnba-elo-trend-lr-v4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Learned LR call at threshold 0.5001; executable ask 0.5100 (aec-wnba-la-por-2026-08-02); model edge vs ask +0.0611. NOTE: NO_CALL_AVAILABILITY_UNAVAILABLE unavailable for this game — defaulted to neutral, other features used normally.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wnba-las</t>
        </is>
      </c>
      <c r="AQ53" s="24" t="inlineStr">
        <is>
          <t>Los Angeles Sparks</t>
        </is>
      </c>
      <c r="AR53" s="24" t="inlineStr">
        <is>
          <t>Los Angeles Sparks</t>
        </is>
      </c>
      <c r="AS53" s="24" t="inlineStr">
        <is>
          <t>wnba-por</t>
        </is>
      </c>
      <c r="AT53" s="24" t="inlineStr">
        <is>
          <t>Portland Fire</t>
        </is>
      </c>
      <c r="AU53" s="24" t="inlineStr">
        <is>
          <t>Portland Fire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49e38a41ae2184b0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2026-08-01T21:19:21.465493Z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>
        <v>0.50495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0.5937045717</t>
        </is>
      </c>
      <c r="CD53" s="24" t="inlineStr">
        <is>
          <t>-1.432065</t>
        </is>
      </c>
      <c r="CE53" s="24" t="n"/>
      <c r="CF53" s="24" t="n"/>
      <c r="CG53" s="24" t="n"/>
      <c r="CH53" s="24" t="n"/>
      <c r="CI53" s="24" t="inlineStr">
        <is>
          <t>NO_CALL_AVAILABILITY_UNAVAILABLE</t>
        </is>
      </c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08c5829385cd4f53</t>
        </is>
      </c>
      <c r="B54" s="24" t="inlineStr">
        <is>
          <t>2026-08-01T21:19:56.242283Z</t>
        </is>
      </c>
      <c r="C54" s="24" t="inlineStr">
        <is>
          <t>2026-08-02T19:00:00-0400</t>
        </is>
      </c>
      <c r="D54" s="24" t="inlineStr">
        <is>
          <t>401857109</t>
        </is>
      </c>
      <c r="E54" s="24" t="inlineStr">
        <is>
          <t>WNBA</t>
        </is>
      </c>
      <c r="F54" s="24" t="inlineStr">
        <is>
          <t>Connecticut Sun</t>
        </is>
      </c>
      <c r="G54" s="24" t="inlineStr">
        <is>
          <t>Dallas Wings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-525</v>
      </c>
      <c r="M54" s="27" t="n">
        <v>1.190476</v>
      </c>
      <c r="N54" s="28" t="n">
        <v>0.84</v>
      </c>
      <c r="O54" s="28" t="n">
        <v>0.758553</v>
      </c>
      <c r="P54" s="28" t="n"/>
      <c r="Q54" s="28" t="n">
        <v>-0.08144700000000001</v>
      </c>
      <c r="R54" s="26" t="n">
        <v>0</v>
      </c>
      <c r="S54" s="29" t="n">
        <v>2</v>
      </c>
      <c r="T54" s="24" t="inlineStr">
        <is>
          <t>wnba-elo-trend-lr-v4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Learned LR call at threshold 0.5001; executable ask 0.8400 (aec-wnba-conn-dal-2026-08-02); model edge vs ask -0.0814. NOTE: NO_CALL_AVAILABILITY_UNAVAILABLE unavailable for this game — defaulted to neutral, other features used normally.</t>
        </is>
      </c>
      <c r="AF54" s="31" t="inlineStr">
        <is>
          <t>Learned model; shadow-qualified via operator override.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wnba-con</t>
        </is>
      </c>
      <c r="AQ54" s="24" t="inlineStr">
        <is>
          <t>Connecticut Sun</t>
        </is>
      </c>
      <c r="AR54" s="24" t="inlineStr">
        <is>
          <t>Connecticut Sun</t>
        </is>
      </c>
      <c r="AS54" s="24" t="inlineStr">
        <is>
          <t>wnba-dal</t>
        </is>
      </c>
      <c r="AT54" s="24" t="inlineStr">
        <is>
          <t>Dallas Wings</t>
        </is>
      </c>
      <c r="AU54" s="24" t="inlineStr">
        <is>
          <t>Dallas Wings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7afd5274214b58b7efd7f7febc7be3ab33b92351cda5cc6403c0a39faea0cc8c</t>
        </is>
      </c>
      <c r="BB54" s="24" t="inlineStr">
        <is>
          <t>learned_lr</t>
        </is>
      </c>
      <c r="BC54" s="24" t="inlineStr">
        <is>
          <t>wnba-elo-trend-lr-v4</t>
        </is>
      </c>
      <c r="BD54" s="24" t="inlineStr">
        <is>
          <t>7afd5274214b58b7efd7f7febc7be3ab33b92351cda5cc6403c0a39faea0cc8c</t>
        </is>
      </c>
      <c r="BE54" s="24" t="inlineStr">
        <is>
          <t>9a59610c782030d7</t>
        </is>
      </c>
      <c r="BF54" s="24" t="inlineStr">
        <is>
          <t>1</t>
        </is>
      </c>
      <c r="BG54" s="24" t="inlineStr">
        <is>
          <t>wnba-elo-trend-lr-v4</t>
        </is>
      </c>
      <c r="BH54" s="24" t="inlineStr">
        <is>
          <t>2026-08-01T21:19:22.911221Z</t>
        </is>
      </c>
      <c r="BI54" s="24" t="inlineStr">
        <is>
          <t>["same_event","same_team_same_day","same_league_same_day"]</t>
        </is>
      </c>
      <c r="BJ54" s="25" t="n"/>
      <c r="BK54" s="26" t="n">
        <v>-525</v>
      </c>
      <c r="BL54" s="27" t="n">
        <v>1.190476</v>
      </c>
      <c r="BM54" s="28" t="n">
        <v>0.84</v>
      </c>
      <c r="BN54" s="28" t="n">
        <v>0.831683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0.8648169599</t>
        </is>
      </c>
      <c r="CD54" s="24" t="inlineStr">
        <is>
          <t>-2.145252</t>
        </is>
      </c>
      <c r="CE54" s="24" t="n"/>
      <c r="CF54" s="24" t="n"/>
      <c r="CG54" s="24" t="n"/>
      <c r="CH54" s="24" t="n"/>
      <c r="CI54" s="24" t="inlineStr">
        <is>
          <t>NO_CALL_AVAILABILITY_UNAVAILABLE</t>
        </is>
      </c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df5f2c7abcb343b5</t>
        </is>
      </c>
      <c r="B55" s="24" t="inlineStr">
        <is>
          <t>2026-08-01T21:19:56.242283Z</t>
        </is>
      </c>
      <c r="C55" s="24" t="inlineStr">
        <is>
          <t>2026-08-02T20:30:00-0400</t>
        </is>
      </c>
      <c r="D55" s="24" t="inlineStr">
        <is>
          <t>401857110</t>
        </is>
      </c>
      <c r="E55" s="24" t="inlineStr">
        <is>
          <t>WNBA</t>
        </is>
      </c>
      <c r="F55" s="24" t="inlineStr">
        <is>
          <t>Toronto Tempo</t>
        </is>
      </c>
      <c r="G55" s="24" t="inlineStr">
        <is>
          <t>Golden State Valkyries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-567</v>
      </c>
      <c r="M55" s="27" t="n">
        <v>1.176367</v>
      </c>
      <c r="N55" s="28" t="n">
        <v>0.850075</v>
      </c>
      <c r="O55" s="28" t="n">
        <v>0.772803</v>
      </c>
      <c r="P55" s="28" t="n"/>
      <c r="Q55" s="28" t="n">
        <v>-0.07727199999999999</v>
      </c>
      <c r="R55" s="26" t="n">
        <v>0</v>
      </c>
      <c r="S55" s="29" t="n">
        <v>2</v>
      </c>
      <c r="T55" s="24" t="inlineStr">
        <is>
          <t>wnba-elo-trend-lr-v4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Learned LR call at threshold 0.5001; executable ask 0.8500 (aec-wnba-tor-gsv-2026-08-02); model edge vs ask -0.0772. NOTE: NO_CALL_AVAILABILITY_UNAVAILABLE unavailable for this game — defaulted to neutral, other features used normally.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wnba-tor</t>
        </is>
      </c>
      <c r="AQ55" s="24" t="inlineStr">
        <is>
          <t>Toronto Tempo</t>
        </is>
      </c>
      <c r="AR55" s="24" t="inlineStr">
        <is>
          <t>Toronto Tempo</t>
        </is>
      </c>
      <c r="AS55" s="24" t="inlineStr">
        <is>
          <t>wnba-gsv</t>
        </is>
      </c>
      <c r="AT55" s="24" t="inlineStr">
        <is>
          <t>Golden State Valkyries</t>
        </is>
      </c>
      <c r="AU55" s="24" t="inlineStr">
        <is>
          <t>Golden State Valkyries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7afd5274214b58b7efd7f7febc7be3ab33b92351cda5cc6403c0a39faea0cc8c</t>
        </is>
      </c>
      <c r="BB55" s="24" t="inlineStr">
        <is>
          <t>learned_lr</t>
        </is>
      </c>
      <c r="BC55" s="24" t="inlineStr">
        <is>
          <t>wnba-elo-trend-lr-v4</t>
        </is>
      </c>
      <c r="BD55" s="24" t="inlineStr">
        <is>
          <t>7afd5274214b58b7efd7f7febc7be3ab33b92351cda5cc6403c0a39faea0cc8c</t>
        </is>
      </c>
      <c r="BE55" s="24" t="inlineStr">
        <is>
          <t>aec48e21e1735e9f</t>
        </is>
      </c>
      <c r="BF55" s="24" t="inlineStr">
        <is>
          <t>1</t>
        </is>
      </c>
      <c r="BG55" s="24" t="inlineStr">
        <is>
          <t>wnba-elo-trend-lr-v4</t>
        </is>
      </c>
      <c r="BH55" s="24" t="inlineStr">
        <is>
          <t>2026-08-01T21:19:23.918918Z</t>
        </is>
      </c>
      <c r="BI55" s="24" t="inlineStr">
        <is>
          <t>["same_event","same_team_same_day","same_league_same_day"]</t>
        </is>
      </c>
      <c r="BJ55" s="25" t="n"/>
      <c r="BK55" s="26" t="n">
        <v>-567</v>
      </c>
      <c r="BL55" s="27" t="n">
        <v>1.176367</v>
      </c>
      <c r="BM55" s="28" t="n">
        <v>0.850075</v>
      </c>
      <c r="BN55" s="28" t="n">
        <v>0.841584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0.8973864278</t>
        </is>
      </c>
      <c r="CD55" s="24" t="inlineStr">
        <is>
          <t>2.253726</t>
        </is>
      </c>
      <c r="CE55" s="24" t="n"/>
      <c r="CF55" s="24" t="n"/>
      <c r="CG55" s="24" t="n"/>
      <c r="CH55" s="24" t="n"/>
      <c r="CI55" s="24" t="inlineStr">
        <is>
          <t>NO_CALL_AVAILABILITY_UNAVAILABLE</t>
        </is>
      </c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93e4be7e3c414352</t>
        </is>
      </c>
      <c r="B56" s="24" t="inlineStr">
        <is>
          <t>2026-08-01T21:19:56.242283Z</t>
        </is>
      </c>
      <c r="C56" s="24" t="inlineStr">
        <is>
          <t>2026-08-02T13:35:00-0400</t>
        </is>
      </c>
      <c r="D56" s="24" t="inlineStr">
        <is>
          <t>401816365</t>
        </is>
      </c>
      <c r="E56" s="24" t="inlineStr">
        <is>
          <t>MLB</t>
        </is>
      </c>
      <c r="F56" s="24" t="inlineStr">
        <is>
          <t>Philadelphia Phillies</t>
        </is>
      </c>
      <c r="G56" s="24" t="inlineStr">
        <is>
          <t>Baltimore Orioles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0.51354</v>
      </c>
      <c r="P56" s="28" t="n"/>
      <c r="Q56" s="28" t="n">
        <v>-0.045931</v>
      </c>
      <c r="R56" s="26" t="n">
        <v>0</v>
      </c>
      <c r="S56" s="29" t="n">
        <v>1</v>
      </c>
      <c r="T56" s="24" t="inlineStr">
        <is>
          <t>mlb-elo-trend-lr-v7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Learned LR call at threshold 0.6242; executable ask 0.5600 (aec-mlb-phi-bal-2026-08-02); model edge vs ask -0.0465.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mlb-phi</t>
        </is>
      </c>
      <c r="AQ56" s="24" t="inlineStr">
        <is>
          <t>Philadelphia Phillies</t>
        </is>
      </c>
      <c r="AR56" s="24" t="inlineStr">
        <is>
          <t>Philadelphia Phillies</t>
        </is>
      </c>
      <c r="AS56" s="24" t="inlineStr">
        <is>
          <t>mlb-bal</t>
        </is>
      </c>
      <c r="AT56" s="24" t="inlineStr">
        <is>
          <t>Baltimore Orioles</t>
        </is>
      </c>
      <c r="AU56" s="24" t="inlineStr">
        <is>
          <t>Baltimore Orioles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b00f42d33118a028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2026-08-01T21:19:04.796809Z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>
        <v>0.557214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0.4932721792</t>
        </is>
      </c>
      <c r="CD56" s="24" t="inlineStr">
        <is>
          <t>1.020825</t>
        </is>
      </c>
      <c r="CE56" s="24" t="inlineStr">
        <is>
          <t>1.03</t>
        </is>
      </c>
      <c r="CF56" s="24" t="inlineStr">
        <is>
          <t>1.0221</t>
        </is>
      </c>
      <c r="CG56" s="24" t="inlineStr">
        <is>
          <t>1.6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f38c89b9d9884a74</t>
        </is>
      </c>
      <c r="B57" s="24" t="inlineStr">
        <is>
          <t>2026-08-01T21:19:56.242283Z</t>
        </is>
      </c>
      <c r="C57" s="24" t="inlineStr">
        <is>
          <t>2026-08-02T13:35:00-0400</t>
        </is>
      </c>
      <c r="D57" s="24" t="inlineStr">
        <is>
          <t>401816368</t>
        </is>
      </c>
      <c r="E57" s="24" t="inlineStr">
        <is>
          <t>MLB</t>
        </is>
      </c>
      <c r="F57" s="24" t="inlineStr">
        <is>
          <t>Washington Nationals</t>
        </is>
      </c>
      <c r="G57" s="24" t="inlineStr">
        <is>
          <t>Atlanta Braves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-120</v>
      </c>
      <c r="M57" s="27" t="n">
        <v>1.833333</v>
      </c>
      <c r="N57" s="28" t="n">
        <v>0.545455</v>
      </c>
      <c r="O57" s="28" t="n">
        <v>0.6128209999999999</v>
      </c>
      <c r="P57" s="28" t="n"/>
      <c r="Q57" s="28" t="n">
        <v>0.067366</v>
      </c>
      <c r="R57" s="26" t="n">
        <v>55</v>
      </c>
      <c r="S57" s="29" t="n">
        <v>1.5</v>
      </c>
      <c r="T57" s="24" t="inlineStr">
        <is>
          <t>mlb-elo-trend-lr-v7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Learned LR call at threshold 0.6242; executable ask 0.5450 (aec-mlb-wsh-atl-2026-08-02); model edge vs ask +0.0678.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mlb-wsh</t>
        </is>
      </c>
      <c r="AQ57" s="24" t="inlineStr">
        <is>
          <t>Washington Nationals</t>
        </is>
      </c>
      <c r="AR57" s="24" t="inlineStr">
        <is>
          <t>Washington Nationals</t>
        </is>
      </c>
      <c r="AS57" s="24" t="inlineStr">
        <is>
          <t>mlb-atl</t>
        </is>
      </c>
      <c r="AT57" s="24" t="inlineStr">
        <is>
          <t>Atlanta Braves</t>
        </is>
      </c>
      <c r="AU57" s="24" t="inlineStr">
        <is>
          <t>Atlanta Braves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c82d14645017636e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2026-08-01T21:19:05.852271Z</t>
        </is>
      </c>
      <c r="BI57" s="24" t="inlineStr">
        <is>
          <t>["same_event","same_team_same_day","same_league_same_day"]</t>
        </is>
      </c>
      <c r="BJ57" s="25" t="n"/>
      <c r="BK57" s="26" t="n">
        <v>-120</v>
      </c>
      <c r="BL57" s="27" t="n">
        <v>1.833333</v>
      </c>
      <c r="BM57" s="28" t="n">
        <v>0.545455</v>
      </c>
      <c r="BN57" s="28" t="n">
        <v>0.542289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0.6266199013</t>
        </is>
      </c>
      <c r="CD57" s="24" t="inlineStr">
        <is>
          <t>0.430565</t>
        </is>
      </c>
      <c r="CE57" s="24" t="inlineStr">
        <is>
          <t>0.929</t>
        </is>
      </c>
      <c r="CF57" s="24" t="inlineStr">
        <is>
          <t>1.0141</t>
        </is>
      </c>
      <c r="CG57" s="24" t="inlineStr">
        <is>
          <t>-0.4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83a66091adca4b0d</t>
        </is>
      </c>
      <c r="B58" s="24" t="inlineStr">
        <is>
          <t>2026-08-01T21:19:56.242283Z</t>
        </is>
      </c>
      <c r="C58" s="24" t="inlineStr">
        <is>
          <t>2026-08-02T13:37:00-0400</t>
        </is>
      </c>
      <c r="D58" s="24" t="inlineStr">
        <is>
          <t>401816367</t>
        </is>
      </c>
      <c r="E58" s="24" t="inlineStr">
        <is>
          <t>MLB</t>
        </is>
      </c>
      <c r="F58" s="24" t="inlineStr">
        <is>
          <t>St. Louis Cardinals</t>
        </is>
      </c>
      <c r="G58" s="24" t="inlineStr">
        <is>
          <t>Toronto Blue Jays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-106</v>
      </c>
      <c r="M58" s="27" t="n">
        <v>1.943396</v>
      </c>
      <c r="N58" s="28" t="n">
        <v>0.514563</v>
      </c>
      <c r="O58" s="28" t="n">
        <v>0.5354640000000001</v>
      </c>
      <c r="P58" s="28" t="n"/>
      <c r="Q58" s="28" t="n">
        <v>0.020901</v>
      </c>
      <c r="R58" s="26" t="n">
        <v>32</v>
      </c>
      <c r="S58" s="29" t="n">
        <v>1</v>
      </c>
      <c r="T58" s="24" t="inlineStr">
        <is>
          <t>mlb-elo-trend-lr-v7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Learned LR call at threshold 0.6242; executable ask 0.5150 (aec-mlb-stl-tor-2026-08-02); model edge vs ask +0.0205.</t>
        </is>
      </c>
      <c r="AF58" s="31" t="inlineStr">
        <is>
          <t>Learned model; shadow-qualified via operator override.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mlb-stl</t>
        </is>
      </c>
      <c r="AQ58" s="24" t="inlineStr">
        <is>
          <t>St. Louis Cardinals</t>
        </is>
      </c>
      <c r="AR58" s="24" t="inlineStr">
        <is>
          <t>St. Louis Cardinals</t>
        </is>
      </c>
      <c r="AS58" s="24" t="inlineStr">
        <is>
          <t>mlb-tor</t>
        </is>
      </c>
      <c r="AT58" s="24" t="inlineStr">
        <is>
          <t>Toronto Blue Jays</t>
        </is>
      </c>
      <c r="AU58" s="24" t="inlineStr">
        <is>
          <t>Toronto Blue Jays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15b5dd63ebcaa520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2026-08-01T21:19:06.753665Z</t>
        </is>
      </c>
      <c r="BI58" s="24" t="inlineStr">
        <is>
          <t>["same_event","same_team_same_day","same_league_same_day"]</t>
        </is>
      </c>
      <c r="BJ58" s="25" t="n"/>
      <c r="BK58" s="26" t="n">
        <v>-106</v>
      </c>
      <c r="BL58" s="27" t="n">
        <v>1.943396</v>
      </c>
      <c r="BM58" s="28" t="n">
        <v>0.514563</v>
      </c>
      <c r="BN58" s="28" t="n">
        <v>0.5124379999999999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0.5579214953</t>
        </is>
      </c>
      <c r="CD58" s="24" t="inlineStr">
        <is>
          <t>0.999429</t>
        </is>
      </c>
      <c r="CE58" s="24" t="inlineStr">
        <is>
          <t>1.019</t>
        </is>
      </c>
      <c r="CF58" s="24" t="inlineStr">
        <is>
          <t>1.0</t>
        </is>
      </c>
      <c r="CG58" s="24" t="inlineStr">
        <is>
          <t>-1.4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7d822a1c9e71440c</t>
        </is>
      </c>
      <c r="B59" s="24" t="inlineStr">
        <is>
          <t>2026-08-01T21:19:56.242283Z</t>
        </is>
      </c>
      <c r="C59" s="24" t="inlineStr">
        <is>
          <t>2026-08-02T13:40:00-0400</t>
        </is>
      </c>
      <c r="D59" s="24" t="inlineStr">
        <is>
          <t>401816362</t>
        </is>
      </c>
      <c r="E59" s="24" t="inlineStr">
        <is>
          <t>MLB</t>
        </is>
      </c>
      <c r="F59" s="24" t="inlineStr">
        <is>
          <t>Arizona Diamondbacks</t>
        </is>
      </c>
      <c r="G59" s="24" t="inlineStr">
        <is>
          <t>Cleveland Guardians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-125</v>
      </c>
      <c r="M59" s="27" t="n">
        <v>1.8</v>
      </c>
      <c r="N59" s="28" t="n">
        <v>0.555556</v>
      </c>
      <c r="O59" s="28" t="n">
        <v>0.534135</v>
      </c>
      <c r="P59" s="28" t="n"/>
      <c r="Q59" s="28" t="n">
        <v>-0.021421</v>
      </c>
      <c r="R59" s="26" t="n">
        <v>11</v>
      </c>
      <c r="S59" s="29" t="n">
        <v>1</v>
      </c>
      <c r="T59" s="24" t="inlineStr">
        <is>
          <t>mlb-elo-trend-lr-v7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Learned LR call at threshold 0.6242; executable ask 0.5550 (aec-mlb-az-cle-2026-08-02); model edge vs ask -0.0209.</t>
        </is>
      </c>
      <c r="AF59" s="31" t="inlineStr">
        <is>
          <t>Learned model; shadow-qualified via operator override.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mlb-ari</t>
        </is>
      </c>
      <c r="AQ59" s="24" t="inlineStr">
        <is>
          <t>Arizona Diamondbacks</t>
        </is>
      </c>
      <c r="AR59" s="24" t="inlineStr">
        <is>
          <t>Arizona Diamondbacks</t>
        </is>
      </c>
      <c r="AS59" s="24" t="inlineStr">
        <is>
          <t>mlb-cle</t>
        </is>
      </c>
      <c r="AT59" s="24" t="inlineStr">
        <is>
          <t>Cleveland Guardians</t>
        </is>
      </c>
      <c r="AU59" s="24" t="inlineStr">
        <is>
          <t>Cleveland Guardians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cce8335ce8b9a955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2026-08-01T21:19:07.780463Z</t>
        </is>
      </c>
      <c r="BI59" s="24" t="inlineStr">
        <is>
          <t>["same_event","same_team_same_day","same_league_same_day"]</t>
        </is>
      </c>
      <c r="BJ59" s="25" t="n"/>
      <c r="BK59" s="26" t="n">
        <v>-125</v>
      </c>
      <c r="BL59" s="27" t="n">
        <v>1.8</v>
      </c>
      <c r="BM59" s="28" t="n">
        <v>0.555556</v>
      </c>
      <c r="BN59" s="28" t="n">
        <v>0.552239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0.5245055589</t>
        </is>
      </c>
      <c r="CD59" s="24" t="inlineStr">
        <is>
          <t>-0.916106</t>
        </is>
      </c>
      <c r="CE59" s="24" t="inlineStr">
        <is>
          <t>0.966</t>
        </is>
      </c>
      <c r="CF59" s="24" t="inlineStr">
        <is>
          <t>1.0086</t>
        </is>
      </c>
      <c r="CG59" s="24" t="inlineStr">
        <is>
          <t>-1.6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0e1f37c11d5a4def</t>
        </is>
      </c>
      <c r="B60" s="24" t="inlineStr">
        <is>
          <t>2026-08-01T21:19:56.242283Z</t>
        </is>
      </c>
      <c r="C60" s="24" t="inlineStr">
        <is>
          <t>2026-08-02T13:40:00-0400</t>
        </is>
      </c>
      <c r="D60" s="24" t="inlineStr">
        <is>
          <t>401816363</t>
        </is>
      </c>
      <c r="E60" s="24" t="inlineStr">
        <is>
          <t>MLB</t>
        </is>
      </c>
      <c r="F60" s="24" t="inlineStr">
        <is>
          <t>Chicago White Sox</t>
        </is>
      </c>
      <c r="G60" s="24" t="inlineStr">
        <is>
          <t>Tampa Bay Rays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-138</v>
      </c>
      <c r="M60" s="27" t="n">
        <v>1.724638</v>
      </c>
      <c r="N60" s="28" t="n">
        <v>0.579832</v>
      </c>
      <c r="O60" s="28" t="n">
        <v>0.558419</v>
      </c>
      <c r="P60" s="28" t="n"/>
      <c r="Q60" s="28" t="n">
        <v>-0.021413</v>
      </c>
      <c r="R60" s="26" t="n">
        <v>11</v>
      </c>
      <c r="S60" s="29" t="n">
        <v>1</v>
      </c>
      <c r="T60" s="24" t="inlineStr">
        <is>
          <t>mlb-elo-trend-lr-v7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Learned LR call at threshold 0.6242; executable ask 0.5800 (aec-mlb-cws-tb-2026-08-02); model edge vs ask -0.0216.</t>
        </is>
      </c>
      <c r="AF60" s="31" t="inlineStr">
        <is>
          <t>Learned model; shadow-qualified via operator override.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mlb-cws</t>
        </is>
      </c>
      <c r="AQ60" s="24" t="inlineStr">
        <is>
          <t>Chicago White Sox</t>
        </is>
      </c>
      <c r="AR60" s="24" t="inlineStr">
        <is>
          <t>Chicago White Sox</t>
        </is>
      </c>
      <c r="AS60" s="24" t="inlineStr">
        <is>
          <t>mlb-tb</t>
        </is>
      </c>
      <c r="AT60" s="24" t="inlineStr">
        <is>
          <t>Tampa Bay Rays</t>
        </is>
      </c>
      <c r="AU60" s="24" t="inlineStr">
        <is>
          <t>Tampa Bay Rays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464eef695bfbbdaa819ec6f5e4c5bd1068ed20b92915fb2677220ae91e20d8b6</t>
        </is>
      </c>
      <c r="BB60" s="24" t="inlineStr">
        <is>
          <t>learned_lr</t>
        </is>
      </c>
      <c r="BC60" s="24" t="inlineStr">
        <is>
          <t>mlb-elo-trend-lr-v7</t>
        </is>
      </c>
      <c r="BD60" s="24" t="inlineStr">
        <is>
          <t>464eef695bfbbdaa819ec6f5e4c5bd1068ed20b92915fb2677220ae91e20d8b6</t>
        </is>
      </c>
      <c r="BE60" s="24" t="inlineStr">
        <is>
          <t>56eb0d6d8d99a62d</t>
        </is>
      </c>
      <c r="BF60" s="24" t="inlineStr">
        <is>
          <t>1</t>
        </is>
      </c>
      <c r="BG60" s="24" t="inlineStr">
        <is>
          <t>mlb-elo-trend-lr-v7</t>
        </is>
      </c>
      <c r="BH60" s="24" t="inlineStr">
        <is>
          <t>2026-08-01T21:19:10.815363Z</t>
        </is>
      </c>
      <c r="BI60" s="24" t="inlineStr">
        <is>
          <t>["same_event","same_team_same_day","same_league_same_day"]</t>
        </is>
      </c>
      <c r="BJ60" s="25" t="n"/>
      <c r="BK60" s="26" t="n">
        <v>-138</v>
      </c>
      <c r="BL60" s="27" t="n">
        <v>1.724638</v>
      </c>
      <c r="BM60" s="28" t="n">
        <v>0.579832</v>
      </c>
      <c r="BN60" s="28" t="n">
        <v>0.577114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0.5468687943</t>
        </is>
      </c>
      <c r="CD60" s="24" t="inlineStr">
        <is>
          <t>-1.164825</t>
        </is>
      </c>
      <c r="CE60" s="24" t="inlineStr">
        <is>
          <t>0.965</t>
        </is>
      </c>
      <c r="CF60" s="24" t="inlineStr">
        <is>
          <t>1.0</t>
        </is>
      </c>
      <c r="CG60" s="24" t="inlineStr">
        <is>
          <t>-1.4</t>
        </is>
      </c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cea546162e8b4785</t>
        </is>
      </c>
      <c r="B61" s="24" t="inlineStr">
        <is>
          <t>2026-08-01T21:19:56.242283Z</t>
        </is>
      </c>
      <c r="C61" s="24" t="inlineStr">
        <is>
          <t>2026-08-02T13:40:00-0400</t>
        </is>
      </c>
      <c r="D61" s="24" t="inlineStr">
        <is>
          <t>401816364</t>
        </is>
      </c>
      <c r="E61" s="24" t="inlineStr">
        <is>
          <t>MLB</t>
        </is>
      </c>
      <c r="F61" s="24" t="inlineStr">
        <is>
          <t>Miami Marlins</t>
        </is>
      </c>
      <c r="G61" s="24" t="inlineStr">
        <is>
          <t>New York Mets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0.515656</v>
      </c>
      <c r="P61" s="28" t="n"/>
      <c r="Q61" s="28" t="n">
        <v>0.02546</v>
      </c>
      <c r="R61" s="26" t="n">
        <v>34</v>
      </c>
      <c r="S61" s="29" t="n">
        <v>1</v>
      </c>
      <c r="T61" s="24" t="inlineStr">
        <is>
          <t>mlb-elo-trend-lr-v7</t>
        </is>
      </c>
      <c r="U61" s="24" t="inlineStr">
        <is>
          <t>open</t>
        </is>
      </c>
      <c r="V61" s="24" t="n"/>
      <c r="W61" s="26" t="n"/>
      <c r="X61" s="26" t="n"/>
      <c r="Y61" s="25" t="n"/>
      <c r="Z61" s="26" t="n"/>
      <c r="AA61" s="28" t="n"/>
      <c r="AB61" s="28" t="n"/>
      <c r="AC61" s="30" t="n"/>
      <c r="AD61" s="24" t="n"/>
      <c r="AE61" s="31" t="inlineStr">
        <is>
          <t>Learned LR call at threshold 0.6242; executable ask 0.4900 (aec-mlb-mia-nym-2026-08-02); model edge vs ask +0.0257.</t>
        </is>
      </c>
      <c r="AF61" s="31" t="inlineStr">
        <is>
          <t>Learned model; shadow-qualified via operator override.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mlb-mia</t>
        </is>
      </c>
      <c r="AQ61" s="24" t="inlineStr">
        <is>
          <t>Miami Marlins</t>
        </is>
      </c>
      <c r="AR61" s="24" t="inlineStr">
        <is>
          <t>Miami Marlins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464eef695bfbbdaa819ec6f5e4c5bd1068ed20b92915fb2677220ae91e20d8b6</t>
        </is>
      </c>
      <c r="BB61" s="24" t="inlineStr">
        <is>
          <t>learned_lr</t>
        </is>
      </c>
      <c r="BC61" s="24" t="inlineStr">
        <is>
          <t>mlb-elo-trend-lr-v7</t>
        </is>
      </c>
      <c r="BD61" s="24" t="inlineStr">
        <is>
          <t>464eef695bfbbdaa819ec6f5e4c5bd1068ed20b92915fb2677220ae91e20d8b6</t>
        </is>
      </c>
      <c r="BE61" s="24" t="inlineStr">
        <is>
          <t>91121ac1563105d1</t>
        </is>
      </c>
      <c r="BF61" s="24" t="inlineStr">
        <is>
          <t>1</t>
        </is>
      </c>
      <c r="BG61" s="24" t="inlineStr">
        <is>
          <t>mlb-elo-trend-lr-v7</t>
        </is>
      </c>
      <c r="BH61" s="24" t="inlineStr">
        <is>
          <t>2026-08-01T21:19:09.668612Z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>
        <v>0.487562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inlineStr">
        <is>
          <t>0.5032110055</t>
        </is>
      </c>
      <c r="CD61" s="24" t="inlineStr">
        <is>
          <t>-0.346453</t>
        </is>
      </c>
      <c r="CE61" s="24" t="inlineStr">
        <is>
          <t>0.978</t>
        </is>
      </c>
      <c r="CF61" s="24" t="inlineStr">
        <is>
          <t>1.0234</t>
        </is>
      </c>
      <c r="CG61" s="24" t="inlineStr">
        <is>
          <t>-1.2</t>
        </is>
      </c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3e243e3d34da419a</t>
        </is>
      </c>
      <c r="B62" s="24" t="inlineStr">
        <is>
          <t>2026-08-01T21:19:56.242283Z</t>
        </is>
      </c>
      <c r="C62" s="24" t="inlineStr">
        <is>
          <t>2026-08-02T13:40:00-0400</t>
        </is>
      </c>
      <c r="D62" s="24" t="inlineStr">
        <is>
          <t>401816366</t>
        </is>
      </c>
      <c r="E62" s="24" t="inlineStr">
        <is>
          <t>MLB</t>
        </is>
      </c>
      <c r="F62" s="24" t="inlineStr">
        <is>
          <t>Pittsburgh Pirates</t>
        </is>
      </c>
      <c r="G62" s="24" t="inlineStr">
        <is>
          <t>Cincinnati Reds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133</v>
      </c>
      <c r="M62" s="27" t="n">
        <v>2.33</v>
      </c>
      <c r="N62" s="28" t="n">
        <v>0.429185</v>
      </c>
      <c r="O62" s="28" t="n">
        <v>0.51419</v>
      </c>
      <c r="P62" s="28" t="n"/>
      <c r="Q62" s="28" t="n">
        <v>0.085005</v>
      </c>
      <c r="R62" s="26" t="n">
        <v>63</v>
      </c>
      <c r="S62" s="29" t="n">
        <v>1</v>
      </c>
      <c r="T62" s="24" t="inlineStr">
        <is>
          <t>mlb-elo-trend-lr-v7</t>
        </is>
      </c>
      <c r="U62" s="24" t="inlineStr">
        <is>
          <t>open</t>
        </is>
      </c>
      <c r="V62" s="24" t="n"/>
      <c r="W62" s="26" t="n"/>
      <c r="X62" s="26" t="n"/>
      <c r="Y62" s="25" t="n"/>
      <c r="Z62" s="26" t="n"/>
      <c r="AA62" s="28" t="n"/>
      <c r="AB62" s="28" t="n"/>
      <c r="AC62" s="30" t="n"/>
      <c r="AD62" s="24" t="n"/>
      <c r="AE62" s="31" t="inlineStr">
        <is>
          <t>Learned LR call at threshold 0.6242; executable ask 0.4300 (aec-mlb-pit-cin-2026-08-02); model edge vs ask +0.0842.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mlb-pit</t>
        </is>
      </c>
      <c r="AQ62" s="24" t="inlineStr">
        <is>
          <t>Pittsburgh Pirates</t>
        </is>
      </c>
      <c r="AR62" s="24" t="inlineStr">
        <is>
          <t>Pittsburgh Pirates</t>
        </is>
      </c>
      <c r="AS62" s="24" t="inlineStr">
        <is>
          <t>mlb-cin</t>
        </is>
      </c>
      <c r="AT62" s="24" t="inlineStr">
        <is>
          <t>Cincinnati Reds</t>
        </is>
      </c>
      <c r="AU62" s="24" t="inlineStr">
        <is>
          <t>Cincinnati Reds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464eef695bfbbdaa819ec6f5e4c5bd1068ed20b92915fb2677220ae91e20d8b6</t>
        </is>
      </c>
      <c r="BB62" s="24" t="inlineStr">
        <is>
          <t>learned_lr</t>
        </is>
      </c>
      <c r="BC62" s="24" t="inlineStr">
        <is>
          <t>mlb-elo-trend-lr-v7</t>
        </is>
      </c>
      <c r="BD62" s="24" t="inlineStr">
        <is>
          <t>464eef695bfbbdaa819ec6f5e4c5bd1068ed20b92915fb2677220ae91e20d8b6</t>
        </is>
      </c>
      <c r="BE62" s="24" t="inlineStr">
        <is>
          <t>dd527e1ad7afecec</t>
        </is>
      </c>
      <c r="BF62" s="24" t="inlineStr">
        <is>
          <t>1</t>
        </is>
      </c>
      <c r="BG62" s="24" t="inlineStr">
        <is>
          <t>mlb-elo-trend-lr-v7</t>
        </is>
      </c>
      <c r="BH62" s="24" t="inlineStr">
        <is>
          <t>2026-08-01T21:19:08.733553Z</t>
        </is>
      </c>
      <c r="BI62" s="24" t="inlineStr">
        <is>
          <t>["same_event","same_team_same_day","same_league_same_day"]</t>
        </is>
      </c>
      <c r="BJ62" s="25" t="n"/>
      <c r="BK62" s="26" t="n">
        <v>133</v>
      </c>
      <c r="BL62" s="27" t="n">
        <v>2.33</v>
      </c>
      <c r="BM62" s="28" t="n">
        <v>0.429185</v>
      </c>
      <c r="BN62" s="28" t="n">
        <v>0.427861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0.4970624032</t>
        </is>
      </c>
      <c r="CD62" s="24" t="inlineStr">
        <is>
          <t>1.00651</t>
        </is>
      </c>
      <c r="CE62" s="24" t="inlineStr">
        <is>
          <t>1.036</t>
        </is>
      </c>
      <c r="CF62" s="24" t="inlineStr">
        <is>
          <t>1.0044</t>
        </is>
      </c>
      <c r="CG62" s="24" t="inlineStr">
        <is>
          <t>-0.6</t>
        </is>
      </c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85d59994d72b406c</t>
        </is>
      </c>
      <c r="B63" s="24" t="inlineStr">
        <is>
          <t>2026-08-01T21:19:56.242283Z</t>
        </is>
      </c>
      <c r="C63" s="24" t="inlineStr">
        <is>
          <t>2026-08-02T14:10:00-0400</t>
        </is>
      </c>
      <c r="D63" s="24" t="inlineStr">
        <is>
          <t>401816370</t>
        </is>
      </c>
      <c r="E63" s="24" t="inlineStr">
        <is>
          <t>MLB</t>
        </is>
      </c>
      <c r="F63" s="24" t="inlineStr">
        <is>
          <t>Texas Rangers</t>
        </is>
      </c>
      <c r="G63" s="24" t="inlineStr">
        <is>
          <t>Houston Astros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-111</v>
      </c>
      <c r="M63" s="27" t="n">
        <v>1.900901</v>
      </c>
      <c r="N63" s="28" t="n">
        <v>0.526066</v>
      </c>
      <c r="O63" s="28" t="n">
        <v>0.542652</v>
      </c>
      <c r="P63" s="28" t="n"/>
      <c r="Q63" s="28" t="n">
        <v>0.016586</v>
      </c>
      <c r="R63" s="26" t="n">
        <v>30</v>
      </c>
      <c r="S63" s="29" t="n">
        <v>1</v>
      </c>
      <c r="T63" s="24" t="inlineStr">
        <is>
          <t>mlb-elo-trend-lr-v7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Learned LR call at threshold 0.6242; executable ask 0.5250 (aec-mlb-tex-hou-2026-08-02); model edge vs ask +0.0177.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mlb-tex</t>
        </is>
      </c>
      <c r="AQ63" s="24" t="inlineStr">
        <is>
          <t>Texas Rangers</t>
        </is>
      </c>
      <c r="AR63" s="24" t="inlineStr">
        <is>
          <t>Texas Rangers</t>
        </is>
      </c>
      <c r="AS63" s="24" t="inlineStr">
        <is>
          <t>mlb-hou</t>
        </is>
      </c>
      <c r="AT63" s="24" t="inlineStr">
        <is>
          <t>Houston Astros</t>
        </is>
      </c>
      <c r="AU63" s="24" t="inlineStr">
        <is>
          <t>Houston Astros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464eef695bfbbdaa819ec6f5e4c5bd1068ed20b92915fb2677220ae91e20d8b6</t>
        </is>
      </c>
      <c r="BB63" s="24" t="inlineStr">
        <is>
          <t>learned_lr</t>
        </is>
      </c>
      <c r="BC63" s="24" t="inlineStr">
        <is>
          <t>mlb-elo-trend-lr-v7</t>
        </is>
      </c>
      <c r="BD63" s="24" t="inlineStr">
        <is>
          <t>464eef695bfbbdaa819ec6f5e4c5bd1068ed20b92915fb2677220ae91e20d8b6</t>
        </is>
      </c>
      <c r="BE63" s="24" t="inlineStr">
        <is>
          <t>bf86eb343eca85dd</t>
        </is>
      </c>
      <c r="BF63" s="24" t="inlineStr">
        <is>
          <t>1</t>
        </is>
      </c>
      <c r="BG63" s="24" t="inlineStr">
        <is>
          <t>mlb-elo-trend-lr-v7</t>
        </is>
      </c>
      <c r="BH63" s="24" t="inlineStr">
        <is>
          <t>2026-08-01T21:19:11.783252Z</t>
        </is>
      </c>
      <c r="BI63" s="24" t="inlineStr">
        <is>
          <t>["same_event","same_team_same_day","same_league_same_day"]</t>
        </is>
      </c>
      <c r="BJ63" s="25" t="n"/>
      <c r="BK63" s="26" t="n">
        <v>-111</v>
      </c>
      <c r="BL63" s="27" t="n">
        <v>1.900901</v>
      </c>
      <c r="BM63" s="28" t="n">
        <v>0.526066</v>
      </c>
      <c r="BN63" s="28" t="n">
        <v>0.522388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0.5536392121</t>
        </is>
      </c>
      <c r="CD63" s="24" t="inlineStr">
        <is>
          <t>2.366358</t>
        </is>
      </c>
      <c r="CE63" s="24" t="inlineStr">
        <is>
          <t>0.956</t>
        </is>
      </c>
      <c r="CF63" s="24" t="inlineStr">
        <is>
          <t>1.0</t>
        </is>
      </c>
      <c r="CG63" s="24" t="inlineStr">
        <is>
          <t>0.6</t>
        </is>
      </c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2000e2b383194705</t>
        </is>
      </c>
      <c r="B64" s="24" t="inlineStr">
        <is>
          <t>2026-08-01T21:19:56.242283Z</t>
        </is>
      </c>
      <c r="C64" s="24" t="inlineStr">
        <is>
          <t>2026-08-02T14:20:00-0400</t>
        </is>
      </c>
      <c r="D64" s="24" t="inlineStr">
        <is>
          <t>401816369</t>
        </is>
      </c>
      <c r="E64" s="24" t="inlineStr">
        <is>
          <t>MLB</t>
        </is>
      </c>
      <c r="F64" s="24" t="inlineStr">
        <is>
          <t>New York Yankees</t>
        </is>
      </c>
      <c r="G64" s="24" t="inlineStr">
        <is>
          <t>Chicago Cubs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120</v>
      </c>
      <c r="M64" s="27" t="n">
        <v>2.2</v>
      </c>
      <c r="N64" s="28" t="n">
        <v>0.454545</v>
      </c>
      <c r="O64" s="28" t="n">
        <v>0.546756</v>
      </c>
      <c r="P64" s="28" t="n"/>
      <c r="Q64" s="28" t="n">
        <v>0.092211</v>
      </c>
      <c r="R64" s="26" t="n">
        <v>67</v>
      </c>
      <c r="S64" s="29" t="n">
        <v>1</v>
      </c>
      <c r="T64" s="24" t="inlineStr">
        <is>
          <t>mlb-elo-trend-lr-v7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Learned LR call at threshold 0.6242; executable ask 0.4550 (aec-mlb-nyy-chc-2026-08-02); model edge vs ask +0.0918.</t>
        </is>
      </c>
      <c r="AF64" s="31" t="inlineStr">
        <is>
          <t>Learned model; shadow-qualified via operator override.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mlb-nyy</t>
        </is>
      </c>
      <c r="AQ64" s="24" t="inlineStr">
        <is>
          <t>New York Yankees</t>
        </is>
      </c>
      <c r="AR64" s="24" t="inlineStr">
        <is>
          <t>New York Yankees</t>
        </is>
      </c>
      <c r="AS64" s="24" t="inlineStr">
        <is>
          <t>mlb-chc</t>
        </is>
      </c>
      <c r="AT64" s="24" t="inlineStr">
        <is>
          <t>Chicago Cubs</t>
        </is>
      </c>
      <c r="AU64" s="24" t="inlineStr">
        <is>
          <t>Chicago Cubs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464eef695bfbbdaa819ec6f5e4c5bd1068ed20b92915fb2677220ae91e20d8b6</t>
        </is>
      </c>
      <c r="BB64" s="24" t="inlineStr">
        <is>
          <t>learned_lr</t>
        </is>
      </c>
      <c r="BC64" s="24" t="inlineStr">
        <is>
          <t>mlb-elo-trend-lr-v7</t>
        </is>
      </c>
      <c r="BD64" s="24" t="inlineStr">
        <is>
          <t>464eef695bfbbdaa819ec6f5e4c5bd1068ed20b92915fb2677220ae91e20d8b6</t>
        </is>
      </c>
      <c r="BE64" s="24" t="inlineStr">
        <is>
          <t>29eb0574a8a33ad6</t>
        </is>
      </c>
      <c r="BF64" s="24" t="inlineStr">
        <is>
          <t>1</t>
        </is>
      </c>
      <c r="BG64" s="24" t="inlineStr">
        <is>
          <t>mlb-elo-trend-lr-v7</t>
        </is>
      </c>
      <c r="BH64" s="24" t="inlineStr">
        <is>
          <t>2026-08-01T21:19:12.683704Z</t>
        </is>
      </c>
      <c r="BI64" s="24" t="inlineStr">
        <is>
          <t>["same_event","same_team_same_day","same_league_same_day"]</t>
        </is>
      </c>
      <c r="BJ64" s="25" t="n"/>
      <c r="BK64" s="26" t="n">
        <v>120</v>
      </c>
      <c r="BL64" s="27" t="n">
        <v>2.2</v>
      </c>
      <c r="BM64" s="28" t="n">
        <v>0.454545</v>
      </c>
      <c r="BN64" s="28" t="n">
        <v>0.452736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inlineStr">
        <is>
          <t>0.5407844181</t>
        </is>
      </c>
      <c r="CD64" s="24" t="inlineStr">
        <is>
          <t>-0.04604</t>
        </is>
      </c>
      <c r="CE64" s="24" t="inlineStr">
        <is>
          <t>0.986</t>
        </is>
      </c>
      <c r="CF64" s="24" t="inlineStr">
        <is>
          <t>1.0121</t>
        </is>
      </c>
      <c r="CG64" s="24" t="inlineStr">
        <is>
          <t>-0.6</t>
        </is>
      </c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933098fb8ce14c80</t>
        </is>
      </c>
      <c r="B65" s="24" t="inlineStr">
        <is>
          <t>2026-08-01T21:19:56.242283Z</t>
        </is>
      </c>
      <c r="C65" s="24" t="inlineStr">
        <is>
          <t>2026-08-02T15:10:00-0400</t>
        </is>
      </c>
      <c r="D65" s="24" t="inlineStr">
        <is>
          <t>401816371</t>
        </is>
      </c>
      <c r="E65" s="24" t="inlineStr">
        <is>
          <t>MLB</t>
        </is>
      </c>
      <c r="F65" s="24" t="inlineStr">
        <is>
          <t>Kansas City Royals</t>
        </is>
      </c>
      <c r="G65" s="24" t="inlineStr">
        <is>
          <t>Colorado Rockies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104</v>
      </c>
      <c r="M65" s="27" t="n">
        <v>2.04</v>
      </c>
      <c r="N65" s="28" t="n">
        <v>0.490196</v>
      </c>
      <c r="O65" s="28" t="n">
        <v>0.599679</v>
      </c>
      <c r="P65" s="28" t="n"/>
      <c r="Q65" s="28" t="n">
        <v>0.109483</v>
      </c>
      <c r="R65" s="26" t="n">
        <v>76</v>
      </c>
      <c r="S65" s="29" t="n">
        <v>1.25</v>
      </c>
      <c r="T65" s="24" t="inlineStr">
        <is>
          <t>mlb-elo-trend-lr-v7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Learned LR call at threshold 0.6242; executable ask 0.4900 (aec-mlb-kc-col-2026-08-02); model edge vs ask +0.1097.</t>
        </is>
      </c>
      <c r="AF65" s="31" t="inlineStr">
        <is>
          <t>Learned model; shadow-qualified via operator override.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mlb-kc</t>
        </is>
      </c>
      <c r="AQ65" s="24" t="inlineStr">
        <is>
          <t>Kansas City Royals</t>
        </is>
      </c>
      <c r="AR65" s="24" t="inlineStr">
        <is>
          <t>Kansas City Royals</t>
        </is>
      </c>
      <c r="AS65" s="24" t="inlineStr">
        <is>
          <t>mlb-col</t>
        </is>
      </c>
      <c r="AT65" s="24" t="inlineStr">
        <is>
          <t>Colorado Rockies</t>
        </is>
      </c>
      <c r="AU65" s="24" t="inlineStr">
        <is>
          <t>Colorado Rockies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464eef695bfbbdaa819ec6f5e4c5bd1068ed20b92915fb2677220ae91e20d8b6</t>
        </is>
      </c>
      <c r="BB65" s="24" t="inlineStr">
        <is>
          <t>learned_lr</t>
        </is>
      </c>
      <c r="BC65" s="24" t="inlineStr">
        <is>
          <t>mlb-elo-trend-lr-v7</t>
        </is>
      </c>
      <c r="BD65" s="24" t="inlineStr">
        <is>
          <t>464eef695bfbbdaa819ec6f5e4c5bd1068ed20b92915fb2677220ae91e20d8b6</t>
        </is>
      </c>
      <c r="BE65" s="24" t="inlineStr">
        <is>
          <t>e66dd6d57a8b7813</t>
        </is>
      </c>
      <c r="BF65" s="24" t="inlineStr">
        <is>
          <t>1</t>
        </is>
      </c>
      <c r="BG65" s="24" t="inlineStr">
        <is>
          <t>mlb-elo-trend-lr-v7</t>
        </is>
      </c>
      <c r="BH65" s="24" t="inlineStr">
        <is>
          <t>2026-08-01T21:19:13.834600Z</t>
        </is>
      </c>
      <c r="BI65" s="24" t="inlineStr">
        <is>
          <t>["same_event","same_team_same_day","same_league_same_day"]</t>
        </is>
      </c>
      <c r="BJ65" s="25" t="n"/>
      <c r="BK65" s="26" t="n">
        <v>104</v>
      </c>
      <c r="BL65" s="27" t="n">
        <v>2.04</v>
      </c>
      <c r="BM65" s="28" t="n">
        <v>0.490196</v>
      </c>
      <c r="BN65" s="28" t="n">
        <v>0.487562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inlineStr">
        <is>
          <t>0.4336227344</t>
        </is>
      </c>
      <c r="CD65" s="24" t="inlineStr">
        <is>
          <t>0.282629</t>
        </is>
      </c>
      <c r="CE65" s="24" t="inlineStr">
        <is>
          <t>1.193</t>
        </is>
      </c>
      <c r="CF65" s="24" t="inlineStr">
        <is>
          <t>1.0306</t>
        </is>
      </c>
      <c r="CG65" s="24" t="inlineStr">
        <is>
          <t>2.2</t>
        </is>
      </c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85130f422f804ae5</t>
        </is>
      </c>
      <c r="B66" s="24" t="inlineStr">
        <is>
          <t>2026-08-01T21:19:56.242283Z</t>
        </is>
      </c>
      <c r="C66" s="24" t="inlineStr">
        <is>
          <t>2026-08-02T15:15:00-0400</t>
        </is>
      </c>
      <c r="D66" s="24" t="inlineStr">
        <is>
          <t>401816374</t>
        </is>
      </c>
      <c r="E66" s="24" t="inlineStr">
        <is>
          <t>MLB</t>
        </is>
      </c>
      <c r="F66" s="24" t="inlineStr">
        <is>
          <t>Milwaukee Brewers</t>
        </is>
      </c>
      <c r="G66" s="24" t="inlineStr">
        <is>
          <t>Los Angeles Angels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-217</v>
      </c>
      <c r="M66" s="27" t="n">
        <v>1.460829</v>
      </c>
      <c r="N66" s="28" t="n">
        <v>0.684543</v>
      </c>
      <c r="O66" s="28" t="n">
        <v>0.623684</v>
      </c>
      <c r="P66" s="28" t="n"/>
      <c r="Q66" s="28" t="n">
        <v>-0.060859</v>
      </c>
      <c r="R66" s="26" t="n">
        <v>0</v>
      </c>
      <c r="S66" s="29" t="n">
        <v>1.5</v>
      </c>
      <c r="T66" s="24" t="inlineStr">
        <is>
          <t>mlb-elo-trend-lr-v7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Learned LR call at threshold 0.6242; executable ask 0.6850 (aec-mlb-mil-laa-2026-08-02); model edge vs ask -0.0613.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mlb-mil</t>
        </is>
      </c>
      <c r="AQ66" s="24" t="inlineStr">
        <is>
          <t>Milwaukee Brewers</t>
        </is>
      </c>
      <c r="AR66" s="24" t="inlineStr">
        <is>
          <t>Milwaukee Brewers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464eef695bfbbdaa819ec6f5e4c5bd1068ed20b92915fb2677220ae91e20d8b6</t>
        </is>
      </c>
      <c r="BB66" s="24" t="inlineStr">
        <is>
          <t>learned_lr</t>
        </is>
      </c>
      <c r="BC66" s="24" t="inlineStr">
        <is>
          <t>mlb-elo-trend-lr-v7</t>
        </is>
      </c>
      <c r="BD66" s="24" t="inlineStr">
        <is>
          <t>464eef695bfbbdaa819ec6f5e4c5bd1068ed20b92915fb2677220ae91e20d8b6</t>
        </is>
      </c>
      <c r="BE66" s="24" t="inlineStr">
        <is>
          <t>fc2b58cde33480e1</t>
        </is>
      </c>
      <c r="BF66" s="24" t="inlineStr">
        <is>
          <t>1</t>
        </is>
      </c>
      <c r="BG66" s="24" t="inlineStr">
        <is>
          <t>mlb-elo-trend-lr-v7</t>
        </is>
      </c>
      <c r="BH66" s="24" t="inlineStr">
        <is>
          <t>2026-08-01T21:19:14.647865Z</t>
        </is>
      </c>
      <c r="BI66" s="24" t="inlineStr">
        <is>
          <t>["same_event","same_team_same_day","same_league_same_day"]</t>
        </is>
      </c>
      <c r="BJ66" s="25" t="n"/>
      <c r="BK66" s="26" t="n">
        <v>-217</v>
      </c>
      <c r="BL66" s="27" t="n">
        <v>1.460829</v>
      </c>
      <c r="BM66" s="28" t="n">
        <v>0.684543</v>
      </c>
      <c r="BN66" s="28" t="n">
        <v>0.681592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0.3303372609</t>
        </is>
      </c>
      <c r="CD66" s="24" t="inlineStr">
        <is>
          <t>-0.606627</t>
        </is>
      </c>
      <c r="CE66" s="24" t="inlineStr">
        <is>
          <t>1.01</t>
        </is>
      </c>
      <c r="CF66" s="24" t="inlineStr">
        <is>
          <t>1.0144</t>
        </is>
      </c>
      <c r="CG66" s="24" t="inlineStr">
        <is>
          <t>0.0</t>
        </is>
      </c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92355833de1547cc</t>
        </is>
      </c>
      <c r="B67" s="24" t="inlineStr">
        <is>
          <t>2026-08-01T21:19:56.242283Z</t>
        </is>
      </c>
      <c r="C67" s="24" t="inlineStr">
        <is>
          <t>2026-08-02T16:05:00-0400</t>
        </is>
      </c>
      <c r="D67" s="24" t="inlineStr">
        <is>
          <t>401816373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-108</v>
      </c>
      <c r="M67" s="27" t="n">
        <v>1.925926</v>
      </c>
      <c r="N67" s="28" t="n">
        <v>0.519231</v>
      </c>
      <c r="O67" s="28" t="n">
        <v>0.559412</v>
      </c>
      <c r="P67" s="28" t="n"/>
      <c r="Q67" s="28" t="n">
        <v>0.040181</v>
      </c>
      <c r="R67" s="26" t="n">
        <v>41</v>
      </c>
      <c r="S67" s="29" t="n">
        <v>1</v>
      </c>
      <c r="T67" s="24" t="inlineStr">
        <is>
          <t>mlb-elo-trend-lr-v7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Learned LR call at threshold 0.6242; executable ask 0.5200 (aec-mlb-det-ath-2026-08-02); model edge vs ask +0.0394.</t>
        </is>
      </c>
      <c r="AF67" s="31" t="inlineStr">
        <is>
          <t>Learned model; shadow-qualified via operator override.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464eef695bfbbdaa819ec6f5e4c5bd1068ed20b92915fb2677220ae91e20d8b6</t>
        </is>
      </c>
      <c r="BB67" s="24" t="inlineStr">
        <is>
          <t>learned_lr</t>
        </is>
      </c>
      <c r="BC67" s="24" t="inlineStr">
        <is>
          <t>mlb-elo-trend-lr-v7</t>
        </is>
      </c>
      <c r="BD67" s="24" t="inlineStr">
        <is>
          <t>464eef695bfbbdaa819ec6f5e4c5bd1068ed20b92915fb2677220ae91e20d8b6</t>
        </is>
      </c>
      <c r="BE67" s="24" t="inlineStr">
        <is>
          <t>1ded8878dabcc7ec</t>
        </is>
      </c>
      <c r="BF67" s="24" t="inlineStr">
        <is>
          <t>1</t>
        </is>
      </c>
      <c r="BG67" s="24" t="inlineStr">
        <is>
          <t>mlb-elo-trend-lr-v7</t>
        </is>
      </c>
      <c r="BH67" s="24" t="inlineStr">
        <is>
          <t>2026-08-01T21:19:15.744193Z</t>
        </is>
      </c>
      <c r="BI67" s="24" t="inlineStr">
        <is>
          <t>["same_event","same_team_same_day","same_league_same_day"]</t>
        </is>
      </c>
      <c r="BJ67" s="25" t="n"/>
      <c r="BK67" s="26" t="n">
        <v>-108</v>
      </c>
      <c r="BL67" s="27" t="n">
        <v>1.925926</v>
      </c>
      <c r="BM67" s="28" t="n">
        <v>0.519231</v>
      </c>
      <c r="BN67" s="28" t="n">
        <v>0.517413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0.4182489247</t>
        </is>
      </c>
      <c r="CD67" s="24" t="inlineStr">
        <is>
          <t>-3.451557</t>
        </is>
      </c>
      <c r="CE67" s="24" t="inlineStr">
        <is>
          <t>1.153</t>
        </is>
      </c>
      <c r="CF67" s="24" t="inlineStr">
        <is>
          <t>1.0285</t>
        </is>
      </c>
      <c r="CG67" s="24" t="inlineStr">
        <is>
          <t>1.0</t>
        </is>
      </c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325801b1b5d0454b</t>
        </is>
      </c>
      <c r="B68" s="24" t="inlineStr">
        <is>
          <t>2026-08-01T21:19:56.242283Z</t>
        </is>
      </c>
      <c r="C68" s="24" t="inlineStr">
        <is>
          <t>2026-08-02T16:10:00-0400</t>
        </is>
      </c>
      <c r="D68" s="24" t="inlineStr">
        <is>
          <t>401816375</t>
        </is>
      </c>
      <c r="E68" s="24" t="inlineStr">
        <is>
          <t>MLB</t>
        </is>
      </c>
      <c r="F68" s="24" t="inlineStr">
        <is>
          <t>Minnesota Twins</t>
        </is>
      </c>
      <c r="G68" s="24" t="inlineStr">
        <is>
          <t>Seattle Mariners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-127</v>
      </c>
      <c r="M68" s="27" t="n">
        <v>1.787402</v>
      </c>
      <c r="N68" s="28" t="n">
        <v>0.5594710000000001</v>
      </c>
      <c r="O68" s="28" t="n">
        <v>0.591702</v>
      </c>
      <c r="P68" s="28" t="n"/>
      <c r="Q68" s="28" t="n">
        <v>0.032231</v>
      </c>
      <c r="R68" s="26" t="n">
        <v>37</v>
      </c>
      <c r="S68" s="29" t="n">
        <v>1.25</v>
      </c>
      <c r="T68" s="24" t="inlineStr">
        <is>
          <t>mlb-elo-trend-lr-v7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Learned LR call at threshold 0.6242; executable ask 0.5600 (aec-mlb-min-sea-2026-08-02); model edge vs ask +0.0317.</t>
        </is>
      </c>
      <c r="AF68" s="31" t="inlineStr">
        <is>
          <t>Learned model; shadow-qualified via operator override.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mlb-min</t>
        </is>
      </c>
      <c r="AQ68" s="24" t="inlineStr">
        <is>
          <t>Minnesota Twins</t>
        </is>
      </c>
      <c r="AR68" s="24" t="inlineStr">
        <is>
          <t>Minnesota Twins</t>
        </is>
      </c>
      <c r="AS68" s="24" t="inlineStr">
        <is>
          <t>mlb-sea</t>
        </is>
      </c>
      <c r="AT68" s="24" t="inlineStr">
        <is>
          <t>Seattle Mariners</t>
        </is>
      </c>
      <c r="AU68" s="24" t="inlineStr">
        <is>
          <t>Seattle Mariners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464eef695bfbbdaa819ec6f5e4c5bd1068ed20b92915fb2677220ae91e20d8b6</t>
        </is>
      </c>
      <c r="BB68" s="24" t="inlineStr">
        <is>
          <t>learned_lr</t>
        </is>
      </c>
      <c r="BC68" s="24" t="inlineStr">
        <is>
          <t>mlb-elo-trend-lr-v7</t>
        </is>
      </c>
      <c r="BD68" s="24" t="inlineStr">
        <is>
          <t>464eef695bfbbdaa819ec6f5e4c5bd1068ed20b92915fb2677220ae91e20d8b6</t>
        </is>
      </c>
      <c r="BE68" s="24" t="inlineStr">
        <is>
          <t>76195aff022f071b</t>
        </is>
      </c>
      <c r="BF68" s="24" t="inlineStr">
        <is>
          <t>1</t>
        </is>
      </c>
      <c r="BG68" s="24" t="inlineStr">
        <is>
          <t>mlb-elo-trend-lr-v7</t>
        </is>
      </c>
      <c r="BH68" s="24" t="inlineStr">
        <is>
          <t>2026-08-01T21:19:17.755576Z</t>
        </is>
      </c>
      <c r="BI68" s="24" t="inlineStr">
        <is>
          <t>["same_event","same_team_same_day","same_league_same_day"]</t>
        </is>
      </c>
      <c r="BJ68" s="25" t="n"/>
      <c r="BK68" s="26" t="n">
        <v>-127</v>
      </c>
      <c r="BL68" s="27" t="n">
        <v>1.787402</v>
      </c>
      <c r="BM68" s="28" t="n">
        <v>0.5594710000000001</v>
      </c>
      <c r="BN68" s="28" t="n">
        <v>0.557214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inlineStr">
        <is>
          <t>0.578722894</t>
        </is>
      </c>
      <c r="CD68" s="24" t="inlineStr">
        <is>
          <t>0.628201</t>
        </is>
      </c>
      <c r="CE68" s="24" t="inlineStr">
        <is>
          <t>0.936</t>
        </is>
      </c>
      <c r="CF68" s="24" t="inlineStr">
        <is>
          <t>1.0</t>
        </is>
      </c>
      <c r="CG68" s="24" t="inlineStr">
        <is>
          <t>1.2</t>
        </is>
      </c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9cef9c75d6344732</t>
        </is>
      </c>
      <c r="B69" s="24" t="inlineStr">
        <is>
          <t>2026-08-01T21:19:56.242283Z</t>
        </is>
      </c>
      <c r="C69" s="24" t="inlineStr">
        <is>
          <t>2026-08-02T16:10:00-0400</t>
        </is>
      </c>
      <c r="D69" s="24" t="inlineStr">
        <is>
          <t>401816376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-135</v>
      </c>
      <c r="M69" s="27" t="n">
        <v>1.740741</v>
      </c>
      <c r="N69" s="28" t="n">
        <v>0.574468</v>
      </c>
      <c r="O69" s="28" t="n">
        <v>0.586549</v>
      </c>
      <c r="P69" s="28" t="n"/>
      <c r="Q69" s="28" t="n">
        <v>0.012081</v>
      </c>
      <c r="R69" s="26" t="n">
        <v>27</v>
      </c>
      <c r="S69" s="29" t="n">
        <v>1.25</v>
      </c>
      <c r="T69" s="24" t="inlineStr">
        <is>
          <t>mlb-elo-trend-lr-v7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Learned LR call at threshold 0.6242; executable ask 0.5750 (aec-mlb-sf-sd-2026-08-02); model edge vs ask +0.0115.</t>
        </is>
      </c>
      <c r="AF69" s="31" t="inlineStr">
        <is>
          <t>Learned model; shadow-qualified via operator override.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464eef695bfbbdaa819ec6f5e4c5bd1068ed20b92915fb2677220ae91e20d8b6</t>
        </is>
      </c>
      <c r="BB69" s="24" t="inlineStr">
        <is>
          <t>learned_lr</t>
        </is>
      </c>
      <c r="BC69" s="24" t="inlineStr">
        <is>
          <t>mlb-elo-trend-lr-v7</t>
        </is>
      </c>
      <c r="BD69" s="24" t="inlineStr">
        <is>
          <t>464eef695bfbbdaa819ec6f5e4c5bd1068ed20b92915fb2677220ae91e20d8b6</t>
        </is>
      </c>
      <c r="BE69" s="24" t="inlineStr">
        <is>
          <t>1b6dce62156b5a2b</t>
        </is>
      </c>
      <c r="BF69" s="24" t="inlineStr">
        <is>
          <t>1</t>
        </is>
      </c>
      <c r="BG69" s="24" t="inlineStr">
        <is>
          <t>mlb-elo-trend-lr-v7</t>
        </is>
      </c>
      <c r="BH69" s="24" t="inlineStr">
        <is>
          <t>2026-08-01T21:19:16.790901Z</t>
        </is>
      </c>
      <c r="BI69" s="24" t="inlineStr">
        <is>
          <t>["same_event","same_team_same_day","same_league_same_day"]</t>
        </is>
      </c>
      <c r="BJ69" s="25" t="n"/>
      <c r="BK69" s="26" t="n">
        <v>-135</v>
      </c>
      <c r="BL69" s="27" t="n">
        <v>1.740741</v>
      </c>
      <c r="BM69" s="28" t="n">
        <v>0.574468</v>
      </c>
      <c r="BN69" s="28" t="n">
        <v>0.572139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inlineStr">
        <is>
          <t>0.5921899564</t>
        </is>
      </c>
      <c r="CD69" s="24" t="inlineStr">
        <is>
          <t>-0.027918</t>
        </is>
      </c>
      <c r="CE69" s="24" t="inlineStr">
        <is>
          <t>0.945</t>
        </is>
      </c>
      <c r="CF69" s="24" t="inlineStr">
        <is>
          <t>1.0049</t>
        </is>
      </c>
      <c r="CG69" s="24" t="inlineStr">
        <is>
          <t>-1.8</t>
        </is>
      </c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9499897ca9c04c29</t>
        </is>
      </c>
      <c r="B70" s="24" t="inlineStr">
        <is>
          <t>2026-08-01T21:19:56.242283Z</t>
        </is>
      </c>
      <c r="C70" s="24" t="inlineStr">
        <is>
          <t>2026-08-02T19:20:00-0400</t>
        </is>
      </c>
      <c r="D70" s="24" t="inlineStr">
        <is>
          <t>401816372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-150</v>
      </c>
      <c r="M70" s="27" t="n">
        <v>1.666667</v>
      </c>
      <c r="N70" s="28" t="n">
        <v>0.6</v>
      </c>
      <c r="O70" s="28" t="n">
        <v>0.561446</v>
      </c>
      <c r="P70" s="28" t="n"/>
      <c r="Q70" s="28" t="n">
        <v>-0.038554</v>
      </c>
      <c r="R70" s="26" t="n">
        <v>2</v>
      </c>
      <c r="S70" s="29" t="n">
        <v>1</v>
      </c>
      <c r="T70" s="24" t="inlineStr">
        <is>
          <t>mlb-elo-trend-lr-v7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Learned LR call at threshold 0.6242; executable ask 0.6000 (aec-mlb-bos-lad-2026-08-02); model edge vs ask -0.0386.</t>
        </is>
      </c>
      <c r="AF70" s="31" t="inlineStr">
        <is>
          <t>Learned model; shadow-qualified via operator override.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464eef695bfbbdaa819ec6f5e4c5bd1068ed20b92915fb2677220ae91e20d8b6</t>
        </is>
      </c>
      <c r="BB70" s="24" t="inlineStr">
        <is>
          <t>learned_lr</t>
        </is>
      </c>
      <c r="BC70" s="24" t="inlineStr">
        <is>
          <t>mlb-elo-trend-lr-v7</t>
        </is>
      </c>
      <c r="BD70" s="24" t="inlineStr">
        <is>
          <t>464eef695bfbbdaa819ec6f5e4c5bd1068ed20b92915fb2677220ae91e20d8b6</t>
        </is>
      </c>
      <c r="BE70" s="24" t="inlineStr">
        <is>
          <t>63cca5d5585b2c1c</t>
        </is>
      </c>
      <c r="BF70" s="24" t="inlineStr">
        <is>
          <t>1</t>
        </is>
      </c>
      <c r="BG70" s="24" t="inlineStr">
        <is>
          <t>mlb-elo-trend-lr-v7</t>
        </is>
      </c>
      <c r="BH70" s="24" t="inlineStr">
        <is>
          <t>2026-08-01T21:19:18.826550Z</t>
        </is>
      </c>
      <c r="BI70" s="24" t="inlineStr">
        <is>
          <t>["same_event","same_team_same_day","same_league_same_day"]</t>
        </is>
      </c>
      <c r="BJ70" s="25" t="n"/>
      <c r="BK70" s="26" t="n">
        <v>-150</v>
      </c>
      <c r="BL70" s="27" t="n">
        <v>1.666667</v>
      </c>
      <c r="BM70" s="28" t="n">
        <v>0.6</v>
      </c>
      <c r="BN70" s="28" t="n">
        <v>0.597015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0.5509882979</t>
        </is>
      </c>
      <c r="CD70" s="24" t="inlineStr">
        <is>
          <t>-0.724816</t>
        </is>
      </c>
      <c r="CE70" s="24" t="inlineStr">
        <is>
          <t>1.026</t>
        </is>
      </c>
      <c r="CF70" s="24" t="inlineStr">
        <is>
          <t>1.0171</t>
        </is>
      </c>
      <c r="CG70" s="24" t="inlineStr">
        <is>
          <t>2.4</t>
        </is>
      </c>
      <c r="CH70" s="24" t="n"/>
      <c r="CI70" s="24" t="n"/>
      <c r="CJ70" s="24" t="n"/>
      <c r="CK70" s="24" t="n"/>
      <c r="CL70" s="24" t="n"/>
      <c r="CM70" s="24" t="n"/>
      <c r="CN70" s="24" t="n"/>
      <c r="CO7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2026-08-01T21:25:16Z</dcterms:created>
  <dcterms:modified xsi:type="dcterms:W3CDTF">2026-08-01T21:25:16Z</dcterms:modified>
</cp:coreProperties>
</file>