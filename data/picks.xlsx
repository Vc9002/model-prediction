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13" headerRowCount="1">
  <autoFilter ref="A1:CA13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COUNTA('Picks'!$A$2:$A$13)</f>
        <v/>
      </c>
      <c r="C4" s="6">
        <f>COUNTIF('Picks'!$U$2:$U$13,"open")</f>
        <v/>
      </c>
      <c r="E4" s="6">
        <f>COUNTIF('Picks'!$U$2:$U$13,"settled")</f>
        <v/>
      </c>
      <c r="G4" s="6">
        <f>IF(COUNTIFS('Picks'!$U$2:$U$13,"settled",'Picks'!$V$2:$V$13,"win")+COUNTIFS('Picks'!$U$2:$U$13,"settled",'Picks'!$V$2:$V$13,"loss")&gt;=$L$2,"Ready","Insufficient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COUNTIF('Picks'!$BX$2:$BX$13,"&gt;0")</f>
        <v/>
      </c>
      <c r="C7" s="6">
        <f>COUNTIFS('Picks'!$BX$2:$BX$13,"&gt;0",'Picks'!$V$2:$V$13,"win")&amp;"-"&amp;COUNTIFS('Picks'!$BX$2:$BX$13,"&gt;0",'Picks'!$V$2:$V$13,"loss")</f>
        <v/>
      </c>
      <c r="E7" s="7">
        <f>IFERROR(COUNTIFS('Picks'!$BX$2:$BX$13,"&gt;0",'Picks'!$V$2:$V$13,"win")/(COUNTIFS('Picks'!$BX$2:$BX$13,"&gt;0",'Picks'!$V$2:$V$13,"win")+COUNTIFS('Picks'!$BX$2:$BX$13,"&gt;0",'Picks'!$V$2:$V$13,"loss")),0)</f>
        <v/>
      </c>
      <c r="G7" s="7">
        <f>IFERROR(SUM('Picks'!$BY$2:$BY$13)/SUM('Picks'!$BX$2:$BX$13),0)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SUM('Picks'!$BY$2:$BY$13)</f>
        <v/>
      </c>
      <c r="C10" s="9">
        <f>IFERROR(AVERAGEIF('Picks'!$AB$2:$AB$13,"&lt;&gt;",'Picks'!$AB$2:$AB$13),0)</f>
        <v/>
      </c>
      <c r="E10" s="6">
        <f>COUNTIFS('Picks'!$AM$2:$AM$13,"QUALIFIED_SHADOW_CALL",'Picks'!$U$2:$U$13,"settled")</f>
        <v/>
      </c>
      <c r="G10" s="8">
        <f>SUMIFS('Picks'!$AC$2:$AC$13,'Picks'!$AM$2:$AM$13,"QUALIFIED_SHADOW_CALL")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COUNTIFS('Picks'!$H$2:$H$13,$A14,'Picks'!$U$2:$U$13,"settled")</f>
        <v/>
      </c>
      <c r="C14" s="13">
        <f>COUNTIFS('Picks'!$H$2:$H$13,$A14,'Picks'!$U$2:$U$13,"settled",'Picks'!$V$2:$V$13,"win")</f>
        <v/>
      </c>
      <c r="D14" s="13">
        <f>COUNTIFS('Picks'!$H$2:$H$13,$A14,'Picks'!$U$2:$U$13,"settled",'Picks'!$V$2:$V$13,"loss")</f>
        <v/>
      </c>
      <c r="E14" s="14">
        <f>IFERROR(C14/(C14+D14),0)</f>
        <v/>
      </c>
      <c r="F14" s="15">
        <f>SUMIFS('Picks'!$BY$2:$BY$13,'Picks'!$H$2:$H$13,$A14)</f>
        <v/>
      </c>
      <c r="G14" s="16">
        <f>IFERROR(AVERAGEIFS('Picks'!$AB$2:$AB$13,'Picks'!$H$2:$H$13,$A14,'Picks'!$U$2:$U$13,"settled"),0)</f>
        <v/>
      </c>
    </row>
    <row r="15">
      <c r="A15" s="17" t="inlineStr">
        <is>
          <t>spread</t>
        </is>
      </c>
      <c r="B15" s="18">
        <f>COUNTIFS('Picks'!$H$2:$H$13,$A15,'Picks'!$U$2:$U$13,"settled")</f>
        <v/>
      </c>
      <c r="C15" s="18">
        <f>COUNTIFS('Picks'!$H$2:$H$13,$A15,'Picks'!$U$2:$U$13,"settled",'Picks'!$V$2:$V$13,"win")</f>
        <v/>
      </c>
      <c r="D15" s="18">
        <f>COUNTIFS('Picks'!$H$2:$H$13,$A15,'Picks'!$U$2:$U$13,"settled",'Picks'!$V$2:$V$13,"loss")</f>
        <v/>
      </c>
      <c r="E15" s="19">
        <f>IFERROR(C15/(C15+D15),0)</f>
        <v/>
      </c>
      <c r="F15" s="20">
        <f>SUMIFS('Picks'!$BY$2:$BY$13,'Picks'!$H$2:$H$13,$A15)</f>
        <v/>
      </c>
      <c r="G15" s="21">
        <f>IFERROR(AVERAGEIFS('Picks'!$AB$2:$AB$13,'Picks'!$H$2:$H$13,$A15,'Picks'!$U$2:$U$13,"settled"),0)</f>
        <v/>
      </c>
    </row>
    <row r="16">
      <c r="A16" s="12" t="inlineStr">
        <is>
          <t>total</t>
        </is>
      </c>
      <c r="B16" s="13">
        <f>COUNTIFS('Picks'!$H$2:$H$13,$A16,'Picks'!$U$2:$U$13,"settled")</f>
        <v/>
      </c>
      <c r="C16" s="13">
        <f>COUNTIFS('Picks'!$H$2:$H$13,$A16,'Picks'!$U$2:$U$13,"settled",'Picks'!$V$2:$V$13,"win")</f>
        <v/>
      </c>
      <c r="D16" s="13">
        <f>COUNTIFS('Picks'!$H$2:$H$13,$A16,'Picks'!$U$2:$U$13,"settled",'Picks'!$V$2:$V$13,"loss")</f>
        <v/>
      </c>
      <c r="E16" s="14">
        <f>IFERROR(C16/(C16+D16),0)</f>
        <v/>
      </c>
      <c r="F16" s="15">
        <f>SUMIFS('Picks'!$BY$2:$BY$13,'Picks'!$H$2:$H$13,$A16)</f>
        <v/>
      </c>
      <c r="G16" s="16">
        <f>IFERROR(AVERAGEIFS('Picks'!$AB$2:$AB$13,'Picks'!$H$2:$H$13,$A16,'Picks'!$U$2:$U$13,"settled"),0)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2</v>
      </c>
      <c r="Y2" s="25" t="n"/>
      <c r="Z2" s="26" t="n">
        <v>-147</v>
      </c>
      <c r="AA2" s="28" t="n">
        <v>0.595</v>
      </c>
      <c r="AB2" s="28" t="n">
        <v>0.009938000000000001</v>
      </c>
      <c r="AC2" s="30" t="n">
        <v>0</v>
      </c>
      <c r="AD2" s="24" t="inlineStr">
        <is>
          <t>2026-07-18T05:45:53.690448Z</t>
        </is>
      </c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25" t="n"/>
      <c r="BK2" s="26" t="n">
        <v>-141</v>
      </c>
      <c r="BL2" s="27" t="n">
        <v>1.70922</v>
      </c>
      <c r="BM2" s="28" t="n">
        <v>0.585062</v>
      </c>
      <c r="BN2" s="28" t="n">
        <v>0.58209</v>
      </c>
      <c r="BO2" s="28" t="n"/>
      <c r="BP2" s="25" t="n"/>
      <c r="BQ2" s="27" t="n">
        <v>1.680272</v>
      </c>
      <c r="BR2" s="28" t="n">
        <v>0.595</v>
      </c>
      <c r="BS2" s="28" t="n"/>
      <c r="BT2" s="28" t="n"/>
      <c r="BU2" s="25" t="n"/>
      <c r="BV2" s="29" t="n"/>
      <c r="BW2" s="24" t="n"/>
      <c r="BX2" s="30" t="n">
        <v>1</v>
      </c>
      <c r="BY2" s="27" t="n">
        <v>0.70922</v>
      </c>
      <c r="BZ2" s="24" t="inlineStr">
        <is>
          <t>2026-07-18T05:45:53.690448Z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-130</v>
      </c>
      <c r="M3" s="27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settled</t>
        </is>
      </c>
      <c r="V3" s="24" t="inlineStr">
        <is>
          <t>loss</t>
        </is>
      </c>
      <c r="W3" s="26" t="n">
        <v>5</v>
      </c>
      <c r="X3" s="26" t="n">
        <v>2</v>
      </c>
      <c r="Y3" s="25" t="n"/>
      <c r="Z3" s="26" t="n">
        <v>-133</v>
      </c>
      <c r="AA3" s="28" t="n">
        <v>0.57</v>
      </c>
      <c r="AB3" s="28" t="n">
        <v>0.004783</v>
      </c>
      <c r="AC3" s="30" t="n">
        <v>0</v>
      </c>
      <c r="AD3" s="24" t="inlineStr">
        <is>
          <t>2026-07-18T05:45:53.777767Z</t>
        </is>
      </c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25" t="n"/>
      <c r="BK3" s="26" t="n">
        <v>-130</v>
      </c>
      <c r="BL3" s="27" t="n">
        <v>1.769231</v>
      </c>
      <c r="BM3" s="28" t="n">
        <v>0.565217</v>
      </c>
      <c r="BN3" s="28" t="n">
        <v>0.562189</v>
      </c>
      <c r="BO3" s="28" t="n"/>
      <c r="BP3" s="25" t="n"/>
      <c r="BQ3" s="27" t="n">
        <v>1.75188</v>
      </c>
      <c r="BR3" s="28" t="n">
        <v>0.57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inlineStr">
        <is>
          <t>2026-07-18T05:45:53.777767Z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1784b306a2764ca0</t>
        </is>
      </c>
      <c r="B4" s="24" t="inlineStr">
        <is>
          <t>2026-07-17T10:47:01.653330Z</t>
        </is>
      </c>
      <c r="C4" s="24" t="inlineStr">
        <is>
          <t>2026-07-17T23:30Z</t>
        </is>
      </c>
      <c r="D4" s="24" t="inlineStr">
        <is>
          <t>401857073</t>
        </is>
      </c>
      <c r="E4" s="24" t="inlineStr">
        <is>
          <t>WNBA</t>
        </is>
      </c>
      <c r="F4" s="24" t="inlineStr">
        <is>
          <t>Seattle Storm</t>
        </is>
      </c>
      <c r="G4" s="24" t="inlineStr">
        <is>
          <t>Indiana Fever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0.6531090000000001</v>
      </c>
      <c r="P4" s="28" t="n"/>
      <c r="Q4" s="28" t="n">
        <v>-0.127111</v>
      </c>
      <c r="R4" s="26" t="n">
        <v>0</v>
      </c>
      <c r="S4" s="29" t="n">
        <v>0</v>
      </c>
      <c r="T4" s="24" t="inlineStr">
        <is>
          <t>wnba-elo-trend-lr-v2</t>
        </is>
      </c>
      <c r="U4" s="24" t="inlineStr">
        <is>
          <t>settled</t>
        </is>
      </c>
      <c r="V4" s="24" t="inlineStr">
        <is>
          <t>win</t>
        </is>
      </c>
      <c r="W4" s="26" t="n">
        <v>107</v>
      </c>
      <c r="X4" s="26" t="n">
        <v>110</v>
      </c>
      <c r="Y4" s="25" t="n"/>
      <c r="Z4" s="26" t="n"/>
      <c r="AA4" s="28" t="n"/>
      <c r="AB4" s="28" t="n"/>
      <c r="AC4" s="30" t="n">
        <v>0</v>
      </c>
      <c r="AD4" s="24" t="inlineStr">
        <is>
          <t>2026-07-18T05:45:54.458400Z</t>
        </is>
      </c>
      <c r="AE4" s="31" t="inlineStr">
        <is>
          <t>Learned LR call at threshold 0.5018; executable ask 0.7800 (aec-wnba-sea-ind-2026-07-17).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wnba-sea</t>
        </is>
      </c>
      <c r="AQ4" s="24" t="inlineStr">
        <is>
          <t>Seattle Storm</t>
        </is>
      </c>
      <c r="AR4" s="24" t="inlineStr">
        <is>
          <t>Seattle Storm</t>
        </is>
      </c>
      <c r="AS4" s="24" t="inlineStr">
        <is>
          <t>wnba-ind</t>
        </is>
      </c>
      <c r="AT4" s="24" t="inlineStr">
        <is>
          <t>Indiana Fever</t>
        </is>
      </c>
      <c r="AU4" s="24" t="inlineStr">
        <is>
          <t>Indiana Fever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593925b19cd0d6a88880d7d2e868f8b3cffef14f1697019de3a8a7e28e173bc7</t>
        </is>
      </c>
      <c r="BB4" s="24" t="inlineStr">
        <is>
          <t>learned_lr</t>
        </is>
      </c>
      <c r="BC4" s="24" t="inlineStr">
        <is>
          <t>wnba-elo-trend-lr-v2</t>
        </is>
      </c>
      <c r="BD4" s="24" t="inlineStr">
        <is>
          <t>593925b19cd0d6a88880d7d2e868f8b3cffef14f1697019de3a8a7e28e173bc7</t>
        </is>
      </c>
      <c r="BE4" s="24" t="inlineStr">
        <is>
          <t>15f518082bd1133e</t>
        </is>
      </c>
      <c r="BF4" s="24" t="inlineStr">
        <is>
          <t>1</t>
        </is>
      </c>
      <c r="BG4" s="24" t="inlineStr">
        <is>
          <t>wnba-elo-trend-lr-v2</t>
        </is>
      </c>
      <c r="BH4" s="24" t="inlineStr">
        <is>
          <t>2026-07-17T10:46:53.056520Z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0.28169</v>
      </c>
      <c r="BZ4" s="24" t="inlineStr">
        <is>
          <t>2026-07-18T05:45:54.458400Z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c6927110c2754085</t>
        </is>
      </c>
      <c r="B5" s="24" t="inlineStr">
        <is>
          <t>2026-07-17T10:47:01.653330Z</t>
        </is>
      </c>
      <c r="C5" s="24" t="inlineStr">
        <is>
          <t>2026-07-17T23:30Z</t>
        </is>
      </c>
      <c r="D5" s="24" t="inlineStr">
        <is>
          <t>401857075</t>
        </is>
      </c>
      <c r="E5" s="24" t="inlineStr">
        <is>
          <t>WNBA</t>
        </is>
      </c>
      <c r="F5" s="24" t="inlineStr">
        <is>
          <t>Los Angeles Sparks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104</v>
      </c>
      <c r="M5" s="27" t="n">
        <v>2.04</v>
      </c>
      <c r="N5" s="28" t="n">
        <v>0.490196</v>
      </c>
      <c r="O5" s="28" t="n">
        <v>0.580113</v>
      </c>
      <c r="P5" s="28" t="n"/>
      <c r="Q5" s="28" t="n">
        <v>0.089917</v>
      </c>
      <c r="R5" s="26" t="n">
        <v>95</v>
      </c>
      <c r="S5" s="29" t="n">
        <v>0</v>
      </c>
      <c r="T5" s="24" t="inlineStr">
        <is>
          <t>wnba-elo-trend-lr-v2</t>
        </is>
      </c>
      <c r="U5" s="24" t="inlineStr">
        <is>
          <t>settled</t>
        </is>
      </c>
      <c r="V5" s="24" t="inlineStr">
        <is>
          <t>loss</t>
        </is>
      </c>
      <c r="W5" s="26" t="n">
        <v>82</v>
      </c>
      <c r="X5" s="26" t="n">
        <v>96</v>
      </c>
      <c r="Y5" s="25" t="n"/>
      <c r="Z5" s="26" t="n"/>
      <c r="AA5" s="28" t="n"/>
      <c r="AB5" s="28" t="n"/>
      <c r="AC5" s="30" t="n">
        <v>0</v>
      </c>
      <c r="AD5" s="24" t="inlineStr">
        <is>
          <t>2026-07-18T05:45:54.545671Z</t>
        </is>
      </c>
      <c r="AE5" s="31" t="inlineStr">
        <is>
          <t>Learned LR call at threshold 0.5018; executable ask 0.4900 (aec-wnba-la-chi-2026-07-17).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wnba-las</t>
        </is>
      </c>
      <c r="AQ5" s="24" t="inlineStr">
        <is>
          <t>Los Angeles Sparks</t>
        </is>
      </c>
      <c r="AR5" s="24" t="inlineStr">
        <is>
          <t>Los Angeles Sparks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593925b19cd0d6a88880d7d2e868f8b3cffef14f1697019de3a8a7e28e173bc7</t>
        </is>
      </c>
      <c r="BB5" s="24" t="inlineStr">
        <is>
          <t>learned_lr</t>
        </is>
      </c>
      <c r="BC5" s="24" t="inlineStr">
        <is>
          <t>wnba-elo-trend-lr-v2</t>
        </is>
      </c>
      <c r="BD5" s="24" t="inlineStr">
        <is>
          <t>593925b19cd0d6a88880d7d2e868f8b3cffef14f1697019de3a8a7e28e173bc7</t>
        </is>
      </c>
      <c r="BE5" s="24" t="inlineStr">
        <is>
          <t>8c7d8b8b613f1c27</t>
        </is>
      </c>
      <c r="BF5" s="24" t="inlineStr">
        <is>
          <t>1</t>
        </is>
      </c>
      <c r="BG5" s="24" t="inlineStr">
        <is>
          <t>wnba-elo-trend-lr-v2</t>
        </is>
      </c>
      <c r="BH5" s="24" t="inlineStr">
        <is>
          <t>2026-07-17T10:46:55.117340Z</t>
        </is>
      </c>
      <c r="BI5" s="24" t="inlineStr">
        <is>
          <t>["same_event","same_team_same_day","same_league_same_day"]</t>
        </is>
      </c>
      <c r="BJ5" s="25" t="n"/>
      <c r="BK5" s="26" t="n">
        <v>104</v>
      </c>
      <c r="BL5" s="27" t="n">
        <v>2.04</v>
      </c>
      <c r="BM5" s="28" t="n">
        <v>0.490196</v>
      </c>
      <c r="BN5" s="28" t="n">
        <v>0.485149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inlineStr">
        <is>
          <t>2026-07-18T05:45:54.545671Z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ec5e7cc40c1a4c2b</t>
        </is>
      </c>
      <c r="B6" s="24" t="inlineStr">
        <is>
          <t>2026-07-17T10:47:01.653330Z</t>
        </is>
      </c>
      <c r="C6" s="24" t="inlineStr">
        <is>
          <t>2026-07-18T02:00Z</t>
        </is>
      </c>
      <c r="D6" s="24" t="inlineStr">
        <is>
          <t>401857076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Phoenix Mercury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0.672243</v>
      </c>
      <c r="P6" s="28" t="n"/>
      <c r="Q6" s="28" t="n">
        <v>0.031955</v>
      </c>
      <c r="R6" s="26" t="n">
        <v>66</v>
      </c>
      <c r="S6" s="29" t="n">
        <v>0</v>
      </c>
      <c r="T6" s="24" t="inlineStr">
        <is>
          <t>wnba-elo-trend-lr-v2</t>
        </is>
      </c>
      <c r="U6" s="24" t="inlineStr">
        <is>
          <t>settled</t>
        </is>
      </c>
      <c r="V6" s="24" t="inlineStr">
        <is>
          <t>loss</t>
        </is>
      </c>
      <c r="W6" s="26" t="n">
        <v>96</v>
      </c>
      <c r="X6" s="26" t="n">
        <v>83</v>
      </c>
      <c r="Y6" s="25" t="n"/>
      <c r="Z6" s="26" t="n"/>
      <c r="AA6" s="28" t="n"/>
      <c r="AB6" s="28" t="n"/>
      <c r="AC6" s="30" t="n">
        <v>0</v>
      </c>
      <c r="AD6" s="24" t="inlineStr">
        <is>
          <t>2026-07-18T05:45:54.629639Z</t>
        </is>
      </c>
      <c r="AE6" s="31" t="inlineStr">
        <is>
          <t>Learned LR call at threshold 0.5018; executable ask 0.6400 (aec-wnba-conn-phx-2026-07-17).</t>
        </is>
      </c>
      <c r="AF6" s="31" t="inlineStr">
        <is>
          <t>Learned model; promotion gate not yet open; zero-unit research until review.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wnba-phx</t>
        </is>
      </c>
      <c r="AT6" s="24" t="inlineStr">
        <is>
          <t>Phoenix Mercury</t>
        </is>
      </c>
      <c r="AU6" s="24" t="inlineStr">
        <is>
          <t>Phoenix Mercury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593925b19cd0d6a88880d7d2e868f8b3cffef14f1697019de3a8a7e28e173bc7</t>
        </is>
      </c>
      <c r="BB6" s="24" t="inlineStr">
        <is>
          <t>learned_lr</t>
        </is>
      </c>
      <c r="BC6" s="24" t="inlineStr">
        <is>
          <t>wnba-elo-trend-lr-v2</t>
        </is>
      </c>
      <c r="BD6" s="24" t="inlineStr">
        <is>
          <t>593925b19cd0d6a88880d7d2e868f8b3cffef14f1697019de3a8a7e28e173bc7</t>
        </is>
      </c>
      <c r="BE6" s="24" t="inlineStr">
        <is>
          <t>5b26e70fb7a6c509</t>
        </is>
      </c>
      <c r="BF6" s="24" t="inlineStr">
        <is>
          <t>1</t>
        </is>
      </c>
      <c r="BG6" s="24" t="inlineStr">
        <is>
          <t>wnba-elo-trend-lr-v2</t>
        </is>
      </c>
      <c r="BH6" s="24" t="inlineStr">
        <is>
          <t>2026-07-17T10:46:56.693440Z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inlineStr">
        <is>
          <t>2026-07-18T05:45:54.629639Z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d0e98df55d684f7a</t>
        </is>
      </c>
      <c r="B7" s="24" t="inlineStr">
        <is>
          <t>2026-07-17T14:02:14.862720Z</t>
        </is>
      </c>
      <c r="C7" s="24" t="inlineStr">
        <is>
          <t>2026-07-17T23:40Z</t>
        </is>
      </c>
      <c r="D7" s="24" t="inlineStr">
        <is>
          <t>401816148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-141</v>
      </c>
      <c r="M7" s="27" t="n">
        <v>1.70922</v>
      </c>
      <c r="N7" s="28" t="n">
        <v>0.585062</v>
      </c>
      <c r="O7" s="28" t="n">
        <v>0.605633</v>
      </c>
      <c r="P7" s="28" t="n"/>
      <c r="Q7" s="28" t="n">
        <v>0.020571</v>
      </c>
      <c r="R7" s="26" t="n">
        <v>60</v>
      </c>
      <c r="S7" s="29" t="n">
        <v>0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>
        <v>-147</v>
      </c>
      <c r="AA7" s="28" t="n">
        <v>0.595</v>
      </c>
      <c r="AB7" s="28" t="n">
        <v>0.009938000000000001</v>
      </c>
      <c r="AC7" s="30" t="n">
        <v>0</v>
      </c>
      <c r="AD7" s="24" t="inlineStr">
        <is>
          <t>2026-07-18T05:45:54.715857Z</t>
        </is>
      </c>
      <c r="AE7" s="31" t="inlineStr">
        <is>
          <t>Learned LR call at threshold 0.6018; executable ask 0.5850 (aec-mlb-mia-mil-2026-07-17).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NO_CALL_MISSING_UNCERTAINTY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a454281ab207d2924d585d6b967363fb8e88af45132e3e9d354e4351fb5c237f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a454281ab207d2924d585d6b967363fb8e88af45132e3e9d354e4351fb5c237f</t>
        </is>
      </c>
      <c r="BE7" s="24" t="inlineStr">
        <is>
          <t>27ad4a1da893e4b8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2026-07-17T14:01:56.626918Z</t>
        </is>
      </c>
      <c r="BI7" s="24" t="inlineStr">
        <is>
          <t>["same_event","same_team_same_day","same_league_same_day"]</t>
        </is>
      </c>
      <c r="BJ7" s="25" t="n"/>
      <c r="BK7" s="26" t="n">
        <v>-141</v>
      </c>
      <c r="BL7" s="27" t="n">
        <v>1.70922</v>
      </c>
      <c r="BM7" s="28" t="n">
        <v>0.585062</v>
      </c>
      <c r="BN7" s="28" t="n">
        <v>0.58209</v>
      </c>
      <c r="BO7" s="28" t="n"/>
      <c r="BP7" s="25" t="n"/>
      <c r="BQ7" s="27" t="n">
        <v>1.680272</v>
      </c>
      <c r="BR7" s="28" t="n">
        <v>0.595</v>
      </c>
      <c r="BS7" s="28" t="n"/>
      <c r="BT7" s="28" t="n"/>
      <c r="BU7" s="25" t="n"/>
      <c r="BV7" s="29" t="n"/>
      <c r="BW7" s="24" t="n"/>
      <c r="BX7" s="30" t="n">
        <v>1</v>
      </c>
      <c r="BY7" s="27" t="n">
        <v>0.70922</v>
      </c>
      <c r="BZ7" s="24" t="inlineStr">
        <is>
          <t>2026-07-18T05:45:54.715857Z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3b98081a1ff04c62</t>
        </is>
      </c>
      <c r="B8" s="24" t="inlineStr">
        <is>
          <t>2026-07-17T14:02:14.862720Z</t>
        </is>
      </c>
      <c r="C8" s="24" t="inlineStr">
        <is>
          <t>2026-07-18T00:05Z</t>
        </is>
      </c>
      <c r="D8" s="24" t="inlineStr">
        <is>
          <t>401816149</t>
        </is>
      </c>
      <c r="E8" s="24" t="inlineStr">
        <is>
          <t>MLB</t>
        </is>
      </c>
      <c r="F8" s="24" t="inlineStr">
        <is>
          <t>Minnesota Twins</t>
        </is>
      </c>
      <c r="G8" s="24" t="inlineStr">
        <is>
          <t>Chicago Cubs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-130</v>
      </c>
      <c r="M8" s="27" t="n">
        <v>1.769231</v>
      </c>
      <c r="N8" s="28" t="n">
        <v>0.565217</v>
      </c>
      <c r="O8" s="28" t="n">
        <v>0.606876</v>
      </c>
      <c r="P8" s="28" t="n"/>
      <c r="Q8" s="28" t="n">
        <v>0.041659</v>
      </c>
      <c r="R8" s="26" t="n">
        <v>71</v>
      </c>
      <c r="S8" s="29" t="n">
        <v>0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5</v>
      </c>
      <c r="X8" s="26" t="n">
        <v>2</v>
      </c>
      <c r="Y8" s="25" t="n"/>
      <c r="Z8" s="26" t="n">
        <v>-133</v>
      </c>
      <c r="AA8" s="28" t="n">
        <v>0.57</v>
      </c>
      <c r="AB8" s="28" t="n">
        <v>0.004783</v>
      </c>
      <c r="AC8" s="30" t="n">
        <v>0</v>
      </c>
      <c r="AD8" s="24" t="inlineStr">
        <is>
          <t>2026-07-18T05:45:54.800172Z</t>
        </is>
      </c>
      <c r="AE8" s="31" t="inlineStr">
        <is>
          <t>Learned LR call at threshold 0.6018; executable ask 0.5650 (aec-mlb-min-chc-2026-07-17).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NO_CALL_MISSING_UNCERTAINTY</t>
        </is>
      </c>
      <c r="AP8" s="24" t="inlineStr">
        <is>
          <t>mlb-min</t>
        </is>
      </c>
      <c r="AQ8" s="24" t="inlineStr">
        <is>
          <t>Minnesota Twins</t>
        </is>
      </c>
      <c r="AR8" s="24" t="inlineStr">
        <is>
          <t>Minnesota Twins</t>
        </is>
      </c>
      <c r="AS8" s="24" t="inlineStr">
        <is>
          <t>mlb-chc</t>
        </is>
      </c>
      <c r="AT8" s="24" t="inlineStr">
        <is>
          <t>Chicago Cubs</t>
        </is>
      </c>
      <c r="AU8" s="24" t="inlineStr">
        <is>
          <t>Chicago Cubs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a454281ab207d2924d585d6b967363fb8e88af45132e3e9d354e4351fb5c237f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a454281ab207d2924d585d6b967363fb8e88af45132e3e9d354e4351fb5c237f</t>
        </is>
      </c>
      <c r="BE8" s="24" t="inlineStr">
        <is>
          <t>8438bc3f26be5eae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2026-07-17T14:01:57.663980Z</t>
        </is>
      </c>
      <c r="BI8" s="24" t="inlineStr">
        <is>
          <t>["same_event","same_team_same_day","same_league_same_day"]</t>
        </is>
      </c>
      <c r="BJ8" s="25" t="n"/>
      <c r="BK8" s="26" t="n">
        <v>-130</v>
      </c>
      <c r="BL8" s="27" t="n">
        <v>1.769231</v>
      </c>
      <c r="BM8" s="28" t="n">
        <v>0.565217</v>
      </c>
      <c r="BN8" s="28" t="n">
        <v>0.562189</v>
      </c>
      <c r="BO8" s="28" t="n"/>
      <c r="BP8" s="25" t="n"/>
      <c r="BQ8" s="27" t="n">
        <v>1.75188</v>
      </c>
      <c r="BR8" s="28" t="n">
        <v>0.57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2026-07-18T05:45:54.800172Z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f592ac231a074ea9</t>
        </is>
      </c>
      <c r="B9" s="24" t="inlineStr">
        <is>
          <t>2026-07-17T14:02:17.091788Z</t>
        </is>
      </c>
      <c r="C9" s="24" t="inlineStr">
        <is>
          <t>2026-07-17T23:30Z</t>
        </is>
      </c>
      <c r="D9" s="24" t="inlineStr">
        <is>
          <t>401857075</t>
        </is>
      </c>
      <c r="E9" s="24" t="inlineStr">
        <is>
          <t>WNBA</t>
        </is>
      </c>
      <c r="F9" s="24" t="inlineStr">
        <is>
          <t>Los Angeles Sparks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0.580113</v>
      </c>
      <c r="P9" s="28" t="n"/>
      <c r="Q9" s="28" t="n">
        <v>0.099344</v>
      </c>
      <c r="R9" s="26" t="n">
        <v>100</v>
      </c>
      <c r="S9" s="29" t="n">
        <v>0</v>
      </c>
      <c r="T9" s="24" t="inlineStr">
        <is>
          <t>wnba-elo-trend-lr-v3</t>
        </is>
      </c>
      <c r="U9" s="24" t="inlineStr">
        <is>
          <t>settled</t>
        </is>
      </c>
      <c r="V9" s="24" t="inlineStr">
        <is>
          <t>loss</t>
        </is>
      </c>
      <c r="W9" s="26" t="n">
        <v>82</v>
      </c>
      <c r="X9" s="26" t="n">
        <v>96</v>
      </c>
      <c r="Y9" s="25" t="n"/>
      <c r="Z9" s="26" t="n"/>
      <c r="AA9" s="28" t="n"/>
      <c r="AB9" s="28" t="n"/>
      <c r="AC9" s="30" t="n">
        <v>0</v>
      </c>
      <c r="AD9" s="24" t="inlineStr">
        <is>
          <t>2026-07-18T05:45:54.886428Z</t>
        </is>
      </c>
      <c r="AE9" s="31" t="inlineStr">
        <is>
          <t>Learned LR call at threshold 0.5018; executable ask 0.4800 (aec-wnba-la-chi-2026-07-17).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NO_CALL_MISSING_UNCERTAINTY</t>
        </is>
      </c>
      <c r="AP9" s="24" t="inlineStr">
        <is>
          <t>wnba-las</t>
        </is>
      </c>
      <c r="AQ9" s="24" t="inlineStr">
        <is>
          <t>Los Angeles Sparks</t>
        </is>
      </c>
      <c r="AR9" s="24" t="inlineStr">
        <is>
          <t>Los Angeles Sparks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286653236675a65e58674d10837572801218599b31772016e9d8575bfefa53b4</t>
        </is>
      </c>
      <c r="BB9" s="24" t="inlineStr">
        <is>
          <t>learned_lr</t>
        </is>
      </c>
      <c r="BC9" s="24" t="inlineStr">
        <is>
          <t>wnba-elo-trend-lr-v3</t>
        </is>
      </c>
      <c r="BD9" s="24" t="inlineStr">
        <is>
          <t>286653236675a65e58674d10837572801218599b31772016e9d8575bfefa53b4</t>
        </is>
      </c>
      <c r="BE9" s="24" t="inlineStr">
        <is>
          <t>8c7d8b8b613f1c27</t>
        </is>
      </c>
      <c r="BF9" s="24" t="inlineStr">
        <is>
          <t>1</t>
        </is>
      </c>
      <c r="BG9" s="24" t="inlineStr">
        <is>
          <t>wnba-elo-trend-lr-v3</t>
        </is>
      </c>
      <c r="BH9" s="24" t="inlineStr">
        <is>
          <t>2026-07-17T14:02:10.568774Z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>
        <v>0.475248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2026-07-18T05:45:54.886428Z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3405fe6d522c42ec</t>
        </is>
      </c>
      <c r="B10" s="24" t="inlineStr">
        <is>
          <t>2026-07-17T14:02:17.091788Z</t>
        </is>
      </c>
      <c r="C10" s="24" t="inlineStr">
        <is>
          <t>2026-07-18T02:00Z</t>
        </is>
      </c>
      <c r="D10" s="24" t="inlineStr">
        <is>
          <t>401857076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Phoenix Mercury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0.672243</v>
      </c>
      <c r="P10" s="28" t="n"/>
      <c r="Q10" s="28" t="n">
        <v>0.031955</v>
      </c>
      <c r="R10" s="26" t="n">
        <v>66</v>
      </c>
      <c r="S10" s="29" t="n">
        <v>0</v>
      </c>
      <c r="T10" s="24" t="inlineStr">
        <is>
          <t>wnba-elo-trend-lr-v3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96</v>
      </c>
      <c r="X10" s="26" t="n">
        <v>83</v>
      </c>
      <c r="Y10" s="25" t="n"/>
      <c r="Z10" s="26" t="n"/>
      <c r="AA10" s="28" t="n"/>
      <c r="AB10" s="28" t="n"/>
      <c r="AC10" s="30" t="n">
        <v>-0</v>
      </c>
      <c r="AD10" s="24" t="inlineStr">
        <is>
          <t>2026-07-18T05:45:54.971822Z</t>
        </is>
      </c>
      <c r="AE10" s="31" t="inlineStr">
        <is>
          <t>Learned LR call at threshold 0.5018; executable ask 0.6400 (aec-wnba-conn-phx-2026-07-17).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NO_CALL_MISSING_UNCERTAINTY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wnba-phx</t>
        </is>
      </c>
      <c r="AT10" s="24" t="inlineStr">
        <is>
          <t>Phoenix Mercury</t>
        </is>
      </c>
      <c r="AU10" s="24" t="inlineStr">
        <is>
          <t>Phoenix Mercury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286653236675a65e58674d10837572801218599b31772016e9d8575bfefa53b4</t>
        </is>
      </c>
      <c r="BB10" s="24" t="inlineStr">
        <is>
          <t>learned_lr</t>
        </is>
      </c>
      <c r="BC10" s="24" t="inlineStr">
        <is>
          <t>wnba-elo-trend-lr-v3</t>
        </is>
      </c>
      <c r="BD10" s="24" t="inlineStr">
        <is>
          <t>286653236675a65e58674d10837572801218599b31772016e9d8575bfefa53b4</t>
        </is>
      </c>
      <c r="BE10" s="24" t="inlineStr">
        <is>
          <t>5b26e70fb7a6c509</t>
        </is>
      </c>
      <c r="BF10" s="24" t="inlineStr">
        <is>
          <t>1</t>
        </is>
      </c>
      <c r="BG10" s="24" t="inlineStr">
        <is>
          <t>wnba-elo-trend-lr-v3</t>
        </is>
      </c>
      <c r="BH10" s="24" t="inlineStr">
        <is>
          <t>2026-07-17T14:02:11.780961Z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>
        <v>0.633663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inlineStr">
        <is>
          <t>2026-07-18T05:45:54.971822Z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93a3540bf0dd49bb</t>
        </is>
      </c>
      <c r="B11" s="24" t="inlineStr">
        <is>
          <t>2026-07-17T16:21:24.725309Z</t>
        </is>
      </c>
      <c r="C11" s="24" t="inlineStr">
        <is>
          <t>2026-07-18T20:10Z</t>
        </is>
      </c>
      <c r="D11" s="24" t="inlineStr">
        <is>
          <t>401816163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Milwaukee Brewers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-130</v>
      </c>
      <c r="M11" s="27" t="n">
        <v>1.769231</v>
      </c>
      <c r="N11" s="28" t="n">
        <v>0.565217</v>
      </c>
      <c r="O11" s="28" t="n">
        <v>0.605633</v>
      </c>
      <c r="P11" s="28" t="n"/>
      <c r="Q11" s="28" t="n">
        <v>0.040416</v>
      </c>
      <c r="R11" s="26" t="n">
        <v>70</v>
      </c>
      <c r="S11" s="29" t="n">
        <v>0</v>
      </c>
      <c r="T11" s="24" t="inlineStr">
        <is>
          <t>mlb-elo-trend-lr-v3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0.6018; executable ask 0.5650 (aec-mlb-mia-mil-2026-07-18).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NO_CALL_MISSING_UNCERTAINTY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mlb-mil</t>
        </is>
      </c>
      <c r="AT11" s="24" t="inlineStr">
        <is>
          <t>Milwaukee Brewers</t>
        </is>
      </c>
      <c r="AU11" s="24" t="inlineStr">
        <is>
          <t>Milwaukee Brewers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a454281ab207d2924d585d6b967363fb8e88af45132e3e9d354e4351fb5c237f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a454281ab207d2924d585d6b967363fb8e88af45132e3e9d354e4351fb5c237f</t>
        </is>
      </c>
      <c r="BE11" s="24" t="inlineStr">
        <is>
          <t>c7348ce29d666909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2026-07-17T16:21:07.161405Z</t>
        </is>
      </c>
      <c r="BI11" s="24" t="inlineStr">
        <is>
          <t>["same_event","same_team_same_day","same_league_same_day"]</t>
        </is>
      </c>
      <c r="BJ11" s="25" t="n"/>
      <c r="BK11" s="26" t="n">
        <v>-130</v>
      </c>
      <c r="BL11" s="27" t="n">
        <v>1.769231</v>
      </c>
      <c r="BM11" s="28" t="n">
        <v>0.565217</v>
      </c>
      <c r="BN11" s="28" t="n">
        <v>0.562189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c884dc7cf1104640</t>
        </is>
      </c>
      <c r="B12" s="24" t="inlineStr">
        <is>
          <t>2026-07-17T16:21:30.375686Z</t>
        </is>
      </c>
      <c r="C12" s="24" t="inlineStr">
        <is>
          <t>2026-07-19T00:00Z</t>
        </is>
      </c>
      <c r="D12" s="24" t="inlineStr">
        <is>
          <t>401857077</t>
        </is>
      </c>
      <c r="E12" s="24" t="inlineStr">
        <is>
          <t>WNBA</t>
        </is>
      </c>
      <c r="F12" s="24" t="inlineStr">
        <is>
          <t>New York Liberty</t>
        </is>
      </c>
      <c r="G12" s="24" t="inlineStr">
        <is>
          <t>Indiana Fever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0.632778</v>
      </c>
      <c r="P12" s="28" t="n"/>
      <c r="Q12" s="28" t="n">
        <v>0.171949</v>
      </c>
      <c r="R12" s="26" t="n">
        <v>100</v>
      </c>
      <c r="S12" s="29" t="n">
        <v>0</v>
      </c>
      <c r="T12" s="24" t="inlineStr">
        <is>
          <t>wnba-elo-trend-lr-v3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0.5018; executable ask 0.4600 (aec-wnba-ny-ind-2026-07-18).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NO_CALL_MISSING_UNCERTAINTY</t>
        </is>
      </c>
      <c r="AP12" s="24" t="inlineStr">
        <is>
          <t>wnba-nyl</t>
        </is>
      </c>
      <c r="AQ12" s="24" t="inlineStr">
        <is>
          <t>New York Liberty</t>
        </is>
      </c>
      <c r="AR12" s="24" t="inlineStr">
        <is>
          <t>New York Liberty</t>
        </is>
      </c>
      <c r="AS12" s="24" t="inlineStr">
        <is>
          <t>wnba-ind</t>
        </is>
      </c>
      <c r="AT12" s="24" t="inlineStr">
        <is>
          <t>Indiana Fever</t>
        </is>
      </c>
      <c r="AU12" s="24" t="inlineStr">
        <is>
          <t>Indiana Fever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286653236675a65e58674d10837572801218599b31772016e9d8575bfefa53b4</t>
        </is>
      </c>
      <c r="BB12" s="24" t="inlineStr">
        <is>
          <t>learned_lr</t>
        </is>
      </c>
      <c r="BC12" s="24" t="inlineStr">
        <is>
          <t>wnba-elo-trend-lr-v3</t>
        </is>
      </c>
      <c r="BD12" s="24" t="inlineStr">
        <is>
          <t>286653236675a65e58674d10837572801218599b31772016e9d8575bfefa53b4</t>
        </is>
      </c>
      <c r="BE12" s="24" t="inlineStr">
        <is>
          <t>e4f3f616d306cafe</t>
        </is>
      </c>
      <c r="BF12" s="24" t="inlineStr">
        <is>
          <t>1</t>
        </is>
      </c>
      <c r="BG12" s="24" t="inlineStr">
        <is>
          <t>wnba-elo-trend-lr-v3</t>
        </is>
      </c>
      <c r="BH12" s="24" t="inlineStr">
        <is>
          <t>2026-07-17T16:21:13.188564Z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>
        <v>0.455446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  <row r="13" ht="36" customHeight="1">
      <c r="A13" s="24" t="inlineStr">
        <is>
          <t>4c2ec934da05478b</t>
        </is>
      </c>
      <c r="B13" s="24" t="inlineStr">
        <is>
          <t>2026-07-18T05:45:47.429402Z</t>
        </is>
      </c>
      <c r="C13" s="24" t="inlineStr">
        <is>
          <t>2026-07-18T18:20Z</t>
        </is>
      </c>
      <c r="D13" s="24" t="inlineStr">
        <is>
          <t>401816164</t>
        </is>
      </c>
      <c r="E13" s="24" t="inlineStr">
        <is>
          <t>MLB</t>
        </is>
      </c>
      <c r="F13" s="24" t="inlineStr">
        <is>
          <t>Minnesota Twins</t>
        </is>
      </c>
      <c r="G13" s="24" t="inlineStr">
        <is>
          <t>Chicago Cubs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-133</v>
      </c>
      <c r="M13" s="27" t="n">
        <v>1.75188</v>
      </c>
      <c r="N13" s="28" t="n">
        <v>0.570815</v>
      </c>
      <c r="O13" s="28" t="n">
        <v>0.606876</v>
      </c>
      <c r="P13" s="28" t="n"/>
      <c r="Q13" s="28" t="n">
        <v>0.036061</v>
      </c>
      <c r="R13" s="26" t="n">
        <v>68</v>
      </c>
      <c r="S13" s="29" t="n">
        <v>0</v>
      </c>
      <c r="T13" s="24" t="inlineStr">
        <is>
          <t>mlb-elo-trend-lr-v3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0.6018; executable ask 0.5700 (aec-mlb-min-chc-2026-07-18).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NO_CALL_MISSING_UNCERTAINTY</t>
        </is>
      </c>
      <c r="AP13" s="24" t="inlineStr">
        <is>
          <t>mlb-min</t>
        </is>
      </c>
      <c r="AQ13" s="24" t="inlineStr">
        <is>
          <t>Minnesota Twins</t>
        </is>
      </c>
      <c r="AR13" s="24" t="inlineStr">
        <is>
          <t>Minnesota Twins</t>
        </is>
      </c>
      <c r="AS13" s="24" t="inlineStr">
        <is>
          <t>mlb-chc</t>
        </is>
      </c>
      <c r="AT13" s="24" t="inlineStr">
        <is>
          <t>Chicago Cubs</t>
        </is>
      </c>
      <c r="AU13" s="24" t="inlineStr">
        <is>
          <t>Chicago Cubs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a454281ab207d2924d585d6b967363fb8e88af45132e3e9d354e4351fb5c237f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a454281ab207d2924d585d6b967363fb8e88af45132e3e9d354e4351fb5c237f</t>
        </is>
      </c>
      <c r="BE13" s="24" t="inlineStr">
        <is>
          <t>3acab0aa8ac04a91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2026-07-18T05:44:27.731285Z</t>
        </is>
      </c>
      <c r="BI13" s="24" t="inlineStr">
        <is>
          <t>["same_event","same_team_same_day","same_league_same_day"]</t>
        </is>
      </c>
      <c r="BJ13" s="25" t="n"/>
      <c r="BK13" s="26" t="n">
        <v>-133</v>
      </c>
      <c r="BL13" s="27" t="n">
        <v>1.75188</v>
      </c>
      <c r="BM13" s="28" t="n">
        <v>0.570815</v>
      </c>
      <c r="BN13" s="28" t="n">
        <v>0.567164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2026-07-18T05:45:54Z</dcterms:created>
  <dcterms:modified xsi:type="dcterms:W3CDTF">2026-07-18T05:45:55Z</dcterms:modified>
</cp:coreProperties>
</file>