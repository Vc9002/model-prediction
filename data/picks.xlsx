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32">
        <f>IFERROR(COUNTIFS('Picks'!$BX$2:$BX$39,"&gt;0",'Picks'!$V$2:$V$39,"win")/(COUNTIFS('Picks'!$BX$2:$BX$39,"&gt;0",'Picks'!$V$2:$V$39,"win")+COUNTIFS('Picks'!$BX$2:$BX$39,"&gt;0",'Picks'!$V$2:$V$39,"loss")),0)</f>
        <v/>
      </c>
      <c r="G7" s="32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33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34">
        <f>IFERROR(C14/(C14+D14),0)</f>
        <v/>
      </c>
      <c r="F14" s="3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36">
        <f>IFERROR(C15/(C15+D15),0)</f>
        <v/>
      </c>
      <c r="F15" s="37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34">
        <f>IFERROR(C16/(C16+D16),0)</f>
        <v/>
      </c>
      <c r="F16" s="3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ad621924660a4d49</t>
        </is>
      </c>
      <c r="B32" s="24" t="inlineStr">
        <is>
          <t>2026-07-20T15:44:08.951770Z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113</v>
      </c>
      <c r="M32" s="39" t="n">
        <v>2.13</v>
      </c>
      <c r="N32" s="28" t="n">
        <v>0.469484</v>
      </c>
      <c r="O32" s="28" t="n">
        <v>0.5726869999999999</v>
      </c>
      <c r="P32" s="28" t="n"/>
      <c r="Q32" s="28" t="n">
        <v>0.103203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0.5500; executable ask 0.4700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2026-07-20T15:40:37.473344Z</t>
        </is>
      </c>
      <c r="BI32" s="24" t="inlineStr">
        <is>
          <t>["same_event","same_team_same_day","same_league_same_day"]</t>
        </is>
      </c>
      <c r="BJ32" s="38" t="n"/>
      <c r="BK32" s="26" t="n">
        <v>113</v>
      </c>
      <c r="BL32" s="39" t="n">
        <v>2.13</v>
      </c>
      <c r="BM32" s="28" t="n">
        <v>0.469484</v>
      </c>
      <c r="BN32" s="28" t="n">
        <v>0.467662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a72d0dab60924d62</t>
        </is>
      </c>
      <c r="B33" s="24" t="inlineStr">
        <is>
          <t>2026-07-20T15:44:08.951770Z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-108</v>
      </c>
      <c r="M33" s="39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open</t>
        </is>
      </c>
      <c r="V33" s="24" t="n"/>
      <c r="W33" s="26" t="n"/>
      <c r="X33" s="26" t="n"/>
      <c r="Y33" s="38" t="n"/>
      <c r="Z33" s="26" t="n"/>
      <c r="AA33" s="28" t="n"/>
      <c r="AB33" s="28" t="n"/>
      <c r="AC33" s="40" t="n"/>
      <c r="AD33" s="24" t="n"/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2026-07-20T15:40:38.983839Z</t>
        </is>
      </c>
      <c r="BI33" s="24" t="inlineStr">
        <is>
          <t>["same_event","same_team_same_day","same_league_same_day"]</t>
        </is>
      </c>
      <c r="BJ33" s="38" t="n"/>
      <c r="BK33" s="26" t="n">
        <v>-108</v>
      </c>
      <c r="BL33" s="39" t="n">
        <v>1.925926</v>
      </c>
      <c r="BM33" s="28" t="n">
        <v>0.519231</v>
      </c>
      <c r="BN33" s="28" t="n">
        <v>0.517413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f96e5bd1ebcc4c62</t>
        </is>
      </c>
      <c r="B34" s="24" t="inlineStr">
        <is>
          <t>2026-07-20T15:44:08.951770Z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-108</v>
      </c>
      <c r="M34" s="39" t="n">
        <v>1.925926</v>
      </c>
      <c r="N34" s="28" t="n">
        <v>0.519231</v>
      </c>
      <c r="O34" s="28" t="n">
        <v>0.566967</v>
      </c>
      <c r="P34" s="28" t="n"/>
      <c r="Q34" s="28" t="n">
        <v>0.047736</v>
      </c>
      <c r="R34" s="26" t="n">
        <v>44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38" t="n"/>
      <c r="Z34" s="26" t="n"/>
      <c r="AA34" s="28" t="n"/>
      <c r="AB34" s="28" t="n"/>
      <c r="AC34" s="40" t="n"/>
      <c r="AD34" s="24" t="n"/>
      <c r="AE34" s="31" t="inlineStr">
        <is>
          <t>Learned LR call at threshold 0.5500; executable ask 0.5200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2026-07-20T15:40:51.564498Z</t>
        </is>
      </c>
      <c r="BI34" s="24" t="inlineStr">
        <is>
          <t>["same_event","same_team_same_day","same_league_same_day"]</t>
        </is>
      </c>
      <c r="BJ34" s="38" t="n"/>
      <c r="BK34" s="26" t="n">
        <v>-108</v>
      </c>
      <c r="BL34" s="39" t="n">
        <v>1.925926</v>
      </c>
      <c r="BM34" s="28" t="n">
        <v>0.519231</v>
      </c>
      <c r="BN34" s="28" t="n">
        <v>0.5148509999999999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147749d13cbd4451</t>
        </is>
      </c>
      <c r="B35" s="24" t="inlineStr">
        <is>
          <t>2026-07-20T15:44:12.511288Z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150</v>
      </c>
      <c r="M35" s="39" t="n">
        <v>2.5</v>
      </c>
      <c r="N35" s="28" t="n">
        <v>0.4</v>
      </c>
      <c r="O35" s="28" t="n">
        <v>0.688998</v>
      </c>
      <c r="P35" s="28" t="n"/>
      <c r="Q35" s="28" t="n">
        <v>0.288998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open</t>
        </is>
      </c>
      <c r="V35" s="24" t="n"/>
      <c r="W35" s="26" t="n"/>
      <c r="X35" s="26" t="n"/>
      <c r="Y35" s="38" t="n"/>
      <c r="Z35" s="26" t="n"/>
      <c r="AA35" s="28" t="n"/>
      <c r="AB35" s="28" t="n"/>
      <c r="AC35" s="40" t="n"/>
      <c r="AD35" s="24" t="n"/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c20bbb99f1fff741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2026-07-20T15:41:03.863692Z</t>
        </is>
      </c>
      <c r="BI35" s="24" t="inlineStr">
        <is>
          <t>["same_event","same_team_same_day","same_league_same_day"]</t>
        </is>
      </c>
      <c r="BJ35" s="38" t="n"/>
      <c r="BK35" s="26" t="n">
        <v>150</v>
      </c>
      <c r="BL35" s="39" t="n">
        <v>2.5</v>
      </c>
      <c r="BM35" s="28" t="n">
        <v>0.4</v>
      </c>
      <c r="BN35" s="28" t="n">
        <v>0.39604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/>
    <row r="37" ht="36" customHeight="1"/>
    <row r="38" ht="36" customHeight="1"/>
    <row r="39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2026-07-20T16:43:06Z</dcterms:created>
  <dcterms:modified xsi:type="dcterms:W3CDTF">2026-07-20T16:47:12Z</dcterms:modified>
</cp:coreProperties>
</file>