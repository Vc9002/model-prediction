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2" headerRowCount="1">
  <autoFilter ref="A1:CA32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G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COUNTA('Picks'!$A$2:$A$32)</f>
        <v/>
      </c>
      <c r="C4" s="6">
        <f>COUNTIF('Picks'!$U$2:$U$32,"open")</f>
        <v/>
      </c>
      <c r="E4" s="6">
        <f>COUNTIF('Picks'!$U$2:$U$32,"settled")</f>
        <v/>
      </c>
      <c r="G4" s="6">
        <f>IF(COUNTIFS('Picks'!$U$2:$U$32,"settled",'Picks'!$V$2:$V$32,"win")+COUNTIFS('Picks'!$U$2:$U$32,"settled",'Picks'!$V$2:$V$32,"loss")&gt;=$L$2,"Ready","Insufficient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COUNTIF('Picks'!$BX$2:$BX$32,"&gt;0")</f>
        <v/>
      </c>
      <c r="C7" s="6">
        <f>COUNTIFS('Picks'!$BX$2:$BX$32,"&gt;0",'Picks'!$V$2:$V$32,"win")&amp;"-"&amp;COUNTIFS('Picks'!$BX$2:$BX$32,"&gt;0",'Picks'!$V$2:$V$32,"loss")</f>
        <v/>
      </c>
      <c r="E7" s="32">
        <f>IFERROR(COUNTIFS('Picks'!$BX$2:$BX$32,"&gt;0",'Picks'!$V$2:$V$32,"win")/(COUNTIFS('Picks'!$BX$2:$BX$32,"&gt;0",'Picks'!$V$2:$V$32,"win")+COUNTIFS('Picks'!$BX$2:$BX$32,"&gt;0",'Picks'!$V$2:$V$32,"loss")),0)</f>
        <v/>
      </c>
      <c r="G7" s="32">
        <f>IFERROR(SUM('Picks'!$BY$2:$BY$32)/SUM('Picks'!$BX$2:$BX$32),0)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SUM('Picks'!$BY$2:$BY$32)</f>
        <v/>
      </c>
      <c r="C10" s="9">
        <f>IFERROR(AVERAGEIF('Picks'!$AB$2:$AB$32,"&lt;&gt;",'Picks'!$AB$2:$AB$32),0)</f>
        <v/>
      </c>
      <c r="E10" s="6">
        <f>COUNTIFS('Picks'!$AM$2:$AM$32,"QUALIFIED_SHADOW_CALL",'Picks'!$U$2:$U$32,"settled")</f>
        <v/>
      </c>
      <c r="G10" s="33">
        <f>SUMIFS('Picks'!$AC$2:$AC$32,'Picks'!$AM$2:$AM$32,"QUALIFIED_SHADOW_CALL")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COUNTIFS('Picks'!$H$2:$H$32,$A14,'Picks'!$U$2:$U$32,"settled")</f>
        <v/>
      </c>
      <c r="C14" s="13">
        <f>COUNTIFS('Picks'!$H$2:$H$32,$A14,'Picks'!$U$2:$U$32,"settled",'Picks'!$V$2:$V$32,"win")</f>
        <v/>
      </c>
      <c r="D14" s="13">
        <f>COUNTIFS('Picks'!$H$2:$H$32,$A14,'Picks'!$U$2:$U$32,"settled",'Picks'!$V$2:$V$32,"loss")</f>
        <v/>
      </c>
      <c r="E14" s="34">
        <f>IFERROR(C14/(C14+D14),0)</f>
        <v/>
      </c>
      <c r="F14" s="35">
        <f>SUMIFS('Picks'!$BY$2:$BY$32,'Picks'!$H$2:$H$32,$A14)</f>
        <v/>
      </c>
      <c r="G14" s="16">
        <f>IFERROR(AVERAGEIFS('Picks'!$AB$2:$AB$32,'Picks'!$H$2:$H$32,$A14,'Picks'!$U$2:$U$32,"settled"),0)</f>
        <v/>
      </c>
    </row>
    <row r="15">
      <c r="A15" s="17" t="inlineStr">
        <is>
          <t>spread</t>
        </is>
      </c>
      <c r="B15" s="18">
        <f>COUNTIFS('Picks'!$H$2:$H$32,$A15,'Picks'!$U$2:$U$32,"settled")</f>
        <v/>
      </c>
      <c r="C15" s="18">
        <f>COUNTIFS('Picks'!$H$2:$H$32,$A15,'Picks'!$U$2:$U$32,"settled",'Picks'!$V$2:$V$32,"win")</f>
        <v/>
      </c>
      <c r="D15" s="18">
        <f>COUNTIFS('Picks'!$H$2:$H$32,$A15,'Picks'!$U$2:$U$32,"settled",'Picks'!$V$2:$V$32,"loss")</f>
        <v/>
      </c>
      <c r="E15" s="36">
        <f>IFERROR(C15/(C15+D15),0)</f>
        <v/>
      </c>
      <c r="F15" s="37">
        <f>SUMIFS('Picks'!$BY$2:$BY$32,'Picks'!$H$2:$H$32,$A15)</f>
        <v/>
      </c>
      <c r="G15" s="21">
        <f>IFERROR(AVERAGEIFS('Picks'!$AB$2:$AB$32,'Picks'!$H$2:$H$32,$A15,'Picks'!$U$2:$U$32,"settled"),0)</f>
        <v/>
      </c>
    </row>
    <row r="16">
      <c r="A16" s="12" t="inlineStr">
        <is>
          <t>total</t>
        </is>
      </c>
      <c r="B16" s="13">
        <f>COUNTIFS('Picks'!$H$2:$H$32,$A16,'Picks'!$U$2:$U$32,"settled")</f>
        <v/>
      </c>
      <c r="C16" s="13">
        <f>COUNTIFS('Picks'!$H$2:$H$32,$A16,'Picks'!$U$2:$U$32,"settled",'Picks'!$V$2:$V$32,"win")</f>
        <v/>
      </c>
      <c r="D16" s="13">
        <f>COUNTIFS('Picks'!$H$2:$H$32,$A16,'Picks'!$U$2:$U$32,"settled",'Picks'!$V$2:$V$32,"loss")</f>
        <v/>
      </c>
      <c r="E16" s="34">
        <f>IFERROR(C16/(C16+D16),0)</f>
        <v/>
      </c>
      <c r="F16" s="35">
        <f>SUMIFS('Picks'!$BY$2:$BY$32,'Picks'!$H$2:$H$32,$A16)</f>
        <v/>
      </c>
      <c r="G16" s="16">
        <f>IFERROR(AVERAGEIFS('Picks'!$AB$2:$AB$32,'Picks'!$H$2:$H$32,$A16,'Picks'!$U$2:$U$32,"settled"),0)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>
      <c r="M19" t="inlineStr">
        <is>
          <t>mlb-elo-trend-lr-v3</t>
        </is>
      </c>
      <c r="P19" t="inlineStr">
        <is>
          <t>analyst_estimate</t>
        </is>
      </c>
      <c r="Q19" t="inlineStr">
        <is>
          <t>research</t>
        </is>
      </c>
      <c r="U19" t="inlineStr">
        <is>
          <t>identity</t>
        </is>
      </c>
      <c r="V19" t="inlineStr">
        <is>
          <t>identity-v1</t>
        </is>
      </c>
      <c r="X19" t="inlineStr">
        <is>
          <t>1</t>
        </is>
      </c>
      <c r="Y19" t="inlineStr">
        <is>
          <t>1</t>
        </is>
      </c>
      <c r="Z19" t="inlineStr">
        <is>
          <t>unknown</t>
        </is>
      </c>
      <c r="AE19" t="inlineStr">
        <is>
          <t>settled</t>
        </is>
      </c>
      <c r="AF19" t="inlineStr">
        <is>
          <t>win</t>
        </is>
      </c>
      <c r="AG19" t="n">
        <v>0.909091</v>
      </c>
    </row>
    <row r="20">
      <c r="A20" t="inlineStr">
        <is>
          <t>2026-07-16T18:00:00Z</t>
        </is>
      </c>
      <c r="C20" t="inlineStr">
        <is>
          <t>wnba</t>
        </is>
      </c>
      <c r="D20" t="inlineStr">
        <is>
          <t>Portland Fire</t>
        </is>
      </c>
      <c r="E20" t="inlineStr">
        <is>
          <t>Washington Mystics</t>
        </is>
      </c>
      <c r="F20" t="inlineStr">
        <is>
          <t>moneyline</t>
        </is>
      </c>
      <c r="G20" t="inlineStr">
        <is>
          <t>Washington Mystics</t>
        </is>
      </c>
      <c r="I20" t="inlineStr">
        <is>
          <t>polymarket</t>
        </is>
      </c>
      <c r="J20" t="n">
        <v>-110</v>
      </c>
      <c r="K20" t="n">
        <v>0.7009</v>
      </c>
      <c r="M20" t="inlineStr">
        <is>
          <t>wnba-elo-trend-lr-v3</t>
        </is>
      </c>
      <c r="P20" t="inlineStr">
        <is>
          <t>analyst_estimate</t>
        </is>
      </c>
      <c r="Q20" t="inlineStr">
        <is>
          <t>research</t>
        </is>
      </c>
      <c r="U20" t="inlineStr">
        <is>
          <t>identity</t>
        </is>
      </c>
      <c r="V20" t="inlineStr">
        <is>
          <t>identity-v1</t>
        </is>
      </c>
      <c r="X20" t="inlineStr">
        <is>
          <t>1</t>
        </is>
      </c>
      <c r="Y20" t="inlineStr">
        <is>
          <t>1</t>
        </is>
      </c>
      <c r="Z20" t="inlineStr">
        <is>
          <t>unknown</t>
        </is>
      </c>
      <c r="AE20" t="inlineStr">
        <is>
          <t>settled</t>
        </is>
      </c>
      <c r="AF20" t="inlineStr">
        <is>
          <t>loss</t>
        </is>
      </c>
      <c r="AG20" t="n">
        <v>-1</v>
      </c>
    </row>
    <row r="21">
      <c r="A21" t="inlineStr">
        <is>
          <t>2026-07-17T18:00:00Z</t>
        </is>
      </c>
      <c r="C21" t="inlineStr">
        <is>
          <t>mlb</t>
        </is>
      </c>
      <c r="D21" t="inlineStr">
        <is>
          <t>Tampa Bay Rays</t>
        </is>
      </c>
      <c r="E21" t="inlineStr">
        <is>
          <t>Boston Red Sox</t>
        </is>
      </c>
      <c r="F21" t="inlineStr">
        <is>
          <t>moneyline</t>
        </is>
      </c>
      <c r="G21" t="inlineStr">
        <is>
          <t>Boston Red Sox</t>
        </is>
      </c>
      <c r="I21" t="inlineStr">
        <is>
          <t>polymarket</t>
        </is>
      </c>
      <c r="J21" t="n">
        <v>-110</v>
      </c>
      <c r="K21" t="n">
        <v>0.5503</v>
      </c>
      <c r="M21" t="inlineStr">
        <is>
          <t>mlb-elo-trend-lr-v3</t>
        </is>
      </c>
      <c r="P21" t="inlineStr">
        <is>
          <t>analyst_estimate</t>
        </is>
      </c>
      <c r="Q21" t="inlineStr">
        <is>
          <t>research</t>
        </is>
      </c>
      <c r="U21" t="inlineStr">
        <is>
          <t>identity</t>
        </is>
      </c>
      <c r="V21" t="inlineStr">
        <is>
          <t>identity-v1</t>
        </is>
      </c>
      <c r="X21" t="inlineStr">
        <is>
          <t>1</t>
        </is>
      </c>
      <c r="Y21" t="inlineStr">
        <is>
          <t>1</t>
        </is>
      </c>
      <c r="Z21" t="inlineStr">
        <is>
          <t>unknown</t>
        </is>
      </c>
      <c r="AE21" t="inlineStr">
        <is>
          <t>settled</t>
        </is>
      </c>
      <c r="AF21" t="inlineStr">
        <is>
          <t>win</t>
        </is>
      </c>
      <c r="AG21" t="n">
        <v>0.909091</v>
      </c>
    </row>
    <row r="22">
      <c r="A22" t="inlineStr">
        <is>
          <t>2026-07-17T18:00:00Z</t>
        </is>
      </c>
      <c r="C22" t="inlineStr">
        <is>
          <t>mlb</t>
        </is>
      </c>
      <c r="D22" t="inlineStr">
        <is>
          <t>Tampa Bay Rays</t>
        </is>
      </c>
      <c r="E22" t="inlineStr">
        <is>
          <t>Boston Red Sox</t>
        </is>
      </c>
      <c r="F22" t="inlineStr">
        <is>
          <t>moneyline</t>
        </is>
      </c>
      <c r="G22" t="inlineStr">
        <is>
          <t>Boston Red Sox</t>
        </is>
      </c>
      <c r="I22" t="inlineStr">
        <is>
          <t>polymarket</t>
        </is>
      </c>
      <c r="J22" t="n">
        <v>-110</v>
      </c>
      <c r="K22" t="n">
        <v>0.5503</v>
      </c>
      <c r="M22" t="inlineStr">
        <is>
          <t>mlb-elo-trend-lr-v3</t>
        </is>
      </c>
      <c r="P22" t="inlineStr">
        <is>
          <t>analyst_estimate</t>
        </is>
      </c>
      <c r="Q22" t="inlineStr">
        <is>
          <t>research</t>
        </is>
      </c>
      <c r="U22" t="inlineStr">
        <is>
          <t>identity</t>
        </is>
      </c>
      <c r="V22" t="inlineStr">
        <is>
          <t>identity-v1</t>
        </is>
      </c>
      <c r="X22" t="inlineStr">
        <is>
          <t>1</t>
        </is>
      </c>
      <c r="Y22" t="inlineStr">
        <is>
          <t>1</t>
        </is>
      </c>
      <c r="Z22" t="inlineStr">
        <is>
          <t>unknown</t>
        </is>
      </c>
      <c r="AE22" t="inlineStr">
        <is>
          <t>settled</t>
        </is>
      </c>
      <c r="AF22" t="inlineStr">
        <is>
          <t>win</t>
        </is>
      </c>
      <c r="AG22" t="n">
        <v>0.909091</v>
      </c>
    </row>
    <row r="23">
      <c r="A23" t="inlineStr">
        <is>
          <t>2026-07-17T18:00:00Z</t>
        </is>
      </c>
      <c r="C23" t="inlineStr">
        <is>
          <t>mlb</t>
        </is>
      </c>
      <c r="D23" t="inlineStr">
        <is>
          <t>Texas Rangers</t>
        </is>
      </c>
      <c r="E23" t="inlineStr">
        <is>
          <t>Atlanta Braves</t>
        </is>
      </c>
      <c r="F23" t="inlineStr">
        <is>
          <t>moneyline</t>
        </is>
      </c>
      <c r="G23" t="inlineStr">
        <is>
          <t>Atlanta Braves</t>
        </is>
      </c>
      <c r="I23" t="inlineStr">
        <is>
          <t>polymarket</t>
        </is>
      </c>
      <c r="J23" t="n">
        <v>-110</v>
      </c>
      <c r="K23" t="n">
        <v>0.5774</v>
      </c>
      <c r="M23" t="inlineStr">
        <is>
          <t>mlb-elo-trend-lr-v3</t>
        </is>
      </c>
      <c r="P23" t="inlineStr">
        <is>
          <t>analyst_estimate</t>
        </is>
      </c>
      <c r="Q23" t="inlineStr">
        <is>
          <t>research</t>
        </is>
      </c>
      <c r="U23" t="inlineStr">
        <is>
          <t>identity</t>
        </is>
      </c>
      <c r="V23" t="inlineStr">
        <is>
          <t>identity-v1</t>
        </is>
      </c>
      <c r="X23" t="inlineStr">
        <is>
          <t>1</t>
        </is>
      </c>
      <c r="Y23" t="inlineStr">
        <is>
          <t>1</t>
        </is>
      </c>
      <c r="Z23" t="inlineStr">
        <is>
          <t>unknown</t>
        </is>
      </c>
      <c r="AE23" t="inlineStr">
        <is>
          <t>settled</t>
        </is>
      </c>
      <c r="AF23" t="inlineStr">
        <is>
          <t>win</t>
        </is>
      </c>
      <c r="AG23" t="n">
        <v>0.909091</v>
      </c>
    </row>
    <row r="24">
      <c r="A24" t="inlineStr">
        <is>
          <t>2026-07-17T18:00:00Z</t>
        </is>
      </c>
      <c r="C24" t="inlineStr">
        <is>
          <t>mlb</t>
        </is>
      </c>
      <c r="D24" t="inlineStr">
        <is>
          <t>Chicago White Sox</t>
        </is>
      </c>
      <c r="E24" t="inlineStr">
        <is>
          <t>Toronto Blue Jays</t>
        </is>
      </c>
      <c r="F24" t="inlineStr">
        <is>
          <t>moneyline</t>
        </is>
      </c>
      <c r="G24" t="inlineStr">
        <is>
          <t>Toronto Blue Jays</t>
        </is>
      </c>
      <c r="I24" t="inlineStr">
        <is>
          <t>polymarket</t>
        </is>
      </c>
      <c r="J24" t="n">
        <v>-110</v>
      </c>
      <c r="K24" t="n">
        <v>0.5516</v>
      </c>
      <c r="M24" t="inlineStr">
        <is>
          <t>mlb-elo-trend-lr-v3</t>
        </is>
      </c>
      <c r="P24" t="inlineStr">
        <is>
          <t>analyst_estimate</t>
        </is>
      </c>
      <c r="Q24" t="inlineStr">
        <is>
          <t>research</t>
        </is>
      </c>
      <c r="U24" t="inlineStr">
        <is>
          <t>identity</t>
        </is>
      </c>
      <c r="V24" t="inlineStr">
        <is>
          <t>identity-v1</t>
        </is>
      </c>
      <c r="X24" t="inlineStr">
        <is>
          <t>1</t>
        </is>
      </c>
      <c r="Y24" t="inlineStr">
        <is>
          <t>1</t>
        </is>
      </c>
      <c r="Z24" t="inlineStr">
        <is>
          <t>unknown</t>
        </is>
      </c>
      <c r="AE24" t="inlineStr">
        <is>
          <t>settled</t>
        </is>
      </c>
      <c r="AF24" t="inlineStr">
        <is>
          <t>loss</t>
        </is>
      </c>
      <c r="AG24" t="n">
        <v>-1</v>
      </c>
    </row>
    <row r="25">
      <c r="A25" t="inlineStr">
        <is>
          <t>2026-07-17T18:00:00Z</t>
        </is>
      </c>
      <c r="C25" t="inlineStr">
        <is>
          <t>mlb</t>
        </is>
      </c>
      <c r="D25" t="inlineStr">
        <is>
          <t>Miami Marlins</t>
        </is>
      </c>
      <c r="E25" t="inlineStr">
        <is>
          <t>Milwaukee Brewers</t>
        </is>
      </c>
      <c r="F25" t="inlineStr">
        <is>
          <t>moneyline</t>
        </is>
      </c>
      <c r="G25" t="inlineStr">
        <is>
          <t>Milwaukee Brewers</t>
        </is>
      </c>
      <c r="I25" t="inlineStr">
        <is>
          <t>polymarket</t>
        </is>
      </c>
      <c r="J25" t="n">
        <v>-110</v>
      </c>
      <c r="K25" t="n">
        <v>0.6162</v>
      </c>
      <c r="M25" t="inlineStr">
        <is>
          <t>mlb-elo-trend-lr-v3</t>
        </is>
      </c>
      <c r="P25" t="inlineStr">
        <is>
          <t>analyst_estimate</t>
        </is>
      </c>
      <c r="Q25" t="inlineStr">
        <is>
          <t>research</t>
        </is>
      </c>
      <c r="U25" t="inlineStr">
        <is>
          <t>identity</t>
        </is>
      </c>
      <c r="V25" t="inlineStr">
        <is>
          <t>identity-v1</t>
        </is>
      </c>
      <c r="X25" t="inlineStr">
        <is>
          <t>1</t>
        </is>
      </c>
      <c r="Y25" t="inlineStr">
        <is>
          <t>1</t>
        </is>
      </c>
      <c r="Z25" t="inlineStr">
        <is>
          <t>unknown</t>
        </is>
      </c>
      <c r="AE25" t="inlineStr">
        <is>
          <t>settled</t>
        </is>
      </c>
      <c r="AF25" t="inlineStr">
        <is>
          <t>win</t>
        </is>
      </c>
      <c r="AG25" t="n">
        <v>0.909091</v>
      </c>
    </row>
    <row r="26">
      <c r="A26" t="inlineStr">
        <is>
          <t>2026-07-17T18:00:00Z</t>
        </is>
      </c>
      <c r="C26" t="inlineStr">
        <is>
          <t>mlb</t>
        </is>
      </c>
      <c r="D26" t="inlineStr">
        <is>
          <t>Minnesota Twins</t>
        </is>
      </c>
      <c r="E26" t="inlineStr">
        <is>
          <t>Chicago Cubs</t>
        </is>
      </c>
      <c r="F26" t="inlineStr">
        <is>
          <t>moneyline</t>
        </is>
      </c>
      <c r="G26" t="inlineStr">
        <is>
          <t>Chicago Cubs</t>
        </is>
      </c>
      <c r="I26" t="inlineStr">
        <is>
          <t>polymarket</t>
        </is>
      </c>
      <c r="J26" t="n">
        <v>-110</v>
      </c>
      <c r="K26" t="n">
        <v>0.6027</v>
      </c>
      <c r="M26" t="inlineStr">
        <is>
          <t>mlb-elo-trend-lr-v3</t>
        </is>
      </c>
      <c r="P26" t="inlineStr">
        <is>
          <t>analyst_estimate</t>
        </is>
      </c>
      <c r="Q26" t="inlineStr">
        <is>
          <t>research</t>
        </is>
      </c>
      <c r="U26" t="inlineStr">
        <is>
          <t>identity</t>
        </is>
      </c>
      <c r="V26" t="inlineStr">
        <is>
          <t>identity-v1</t>
        </is>
      </c>
      <c r="X26" t="inlineStr">
        <is>
          <t>1</t>
        </is>
      </c>
      <c r="Y26" t="inlineStr">
        <is>
          <t>1</t>
        </is>
      </c>
      <c r="Z26" t="inlineStr">
        <is>
          <t>unknown</t>
        </is>
      </c>
      <c r="AE26" t="inlineStr">
        <is>
          <t>settled</t>
        </is>
      </c>
      <c r="AF26" t="inlineStr">
        <is>
          <t>loss</t>
        </is>
      </c>
      <c r="AG26" t="n">
        <v>-1</v>
      </c>
    </row>
    <row r="27">
      <c r="A27" t="inlineStr">
        <is>
          <t>2026-07-17T18:00:00Z</t>
        </is>
      </c>
      <c r="C27" t="inlineStr">
        <is>
          <t>mlb</t>
        </is>
      </c>
      <c r="D27" t="inlineStr">
        <is>
          <t>San Diego Padres</t>
        </is>
      </c>
      <c r="E27" t="inlineStr">
        <is>
          <t>Kansas City Royals</t>
        </is>
      </c>
      <c r="F27" t="inlineStr">
        <is>
          <t>moneyline</t>
        </is>
      </c>
      <c r="G27" t="inlineStr">
        <is>
          <t>San Diego Padres</t>
        </is>
      </c>
      <c r="I27" t="inlineStr">
        <is>
          <t>polymarket</t>
        </is>
      </c>
      <c r="J27" t="n">
        <v>-110</v>
      </c>
      <c r="K27" t="n">
        <v>0.5212</v>
      </c>
      <c r="M27" t="inlineStr">
        <is>
          <t>mlb-elo-trend-lr-v3</t>
        </is>
      </c>
      <c r="P27" t="inlineStr">
        <is>
          <t>analyst_estimate</t>
        </is>
      </c>
      <c r="Q27" t="inlineStr">
        <is>
          <t>research</t>
        </is>
      </c>
      <c r="U27" t="inlineStr">
        <is>
          <t>identity</t>
        </is>
      </c>
      <c r="V27" t="inlineStr">
        <is>
          <t>identity-v1</t>
        </is>
      </c>
      <c r="X27" t="inlineStr">
        <is>
          <t>1</t>
        </is>
      </c>
      <c r="Y27" t="inlineStr">
        <is>
          <t>1</t>
        </is>
      </c>
      <c r="Z27" t="inlineStr">
        <is>
          <t>unknown</t>
        </is>
      </c>
      <c r="AE27" t="inlineStr">
        <is>
          <t>settled</t>
        </is>
      </c>
      <c r="AF27" t="inlineStr">
        <is>
          <t>loss</t>
        </is>
      </c>
      <c r="AG27" t="n">
        <v>-1</v>
      </c>
    </row>
    <row r="28">
      <c r="A28" t="inlineStr">
        <is>
          <t>2026-07-17T18:00:00Z</t>
        </is>
      </c>
      <c r="C28" t="inlineStr">
        <is>
          <t>mlb</t>
        </is>
      </c>
      <c r="D28" t="inlineStr">
        <is>
          <t>Baltimore Orioles</t>
        </is>
      </c>
      <c r="E28" t="inlineStr">
        <is>
          <t>Houston Astros</t>
        </is>
      </c>
      <c r="F28" t="inlineStr">
        <is>
          <t>moneyline</t>
        </is>
      </c>
      <c r="G28" t="inlineStr">
        <is>
          <t>Houston Astros</t>
        </is>
      </c>
      <c r="I28" t="inlineStr">
        <is>
          <t>polymarket</t>
        </is>
      </c>
      <c r="J28" t="n">
        <v>-110</v>
      </c>
      <c r="K28" t="n">
        <v>0.5246</v>
      </c>
      <c r="M28" t="inlineStr">
        <is>
          <t>mlb-elo-trend-lr-v3</t>
        </is>
      </c>
      <c r="P28" t="inlineStr">
        <is>
          <t>analyst_estimate</t>
        </is>
      </c>
      <c r="Q28" t="inlineStr">
        <is>
          <t>research</t>
        </is>
      </c>
      <c r="U28" t="inlineStr">
        <is>
          <t>identity</t>
        </is>
      </c>
      <c r="V28" t="inlineStr">
        <is>
          <t>identity-v1</t>
        </is>
      </c>
      <c r="X28" t="inlineStr">
        <is>
          <t>1</t>
        </is>
      </c>
      <c r="Y28" t="inlineStr">
        <is>
          <t>1</t>
        </is>
      </c>
      <c r="Z28" t="inlineStr">
        <is>
          <t>unknown</t>
        </is>
      </c>
      <c r="AE28" t="inlineStr">
        <is>
          <t>settled</t>
        </is>
      </c>
      <c r="AF28" t="inlineStr">
        <is>
          <t>loss</t>
        </is>
      </c>
      <c r="AG28" t="n">
        <v>-1</v>
      </c>
    </row>
    <row r="29">
      <c r="A29" t="inlineStr">
        <is>
          <t>2026-07-17T18:00:00Z</t>
        </is>
      </c>
      <c r="C29" t="inlineStr">
        <is>
          <t>mlb</t>
        </is>
      </c>
      <c r="D29" t="inlineStr">
        <is>
          <t>Cincinnati Reds</t>
        </is>
      </c>
      <c r="E29" t="inlineStr">
        <is>
          <t>Colorado Rockies</t>
        </is>
      </c>
      <c r="F29" t="inlineStr">
        <is>
          <t>moneyline</t>
        </is>
      </c>
      <c r="G29" t="inlineStr">
        <is>
          <t>Cincinnati Reds</t>
        </is>
      </c>
      <c r="I29" t="inlineStr">
        <is>
          <t>polymarket</t>
        </is>
      </c>
      <c r="J29" t="n">
        <v>-110</v>
      </c>
      <c r="K29" t="n">
        <v>0.5829</v>
      </c>
      <c r="M29" t="inlineStr">
        <is>
          <t>mlb-elo-trend-lr-v3</t>
        </is>
      </c>
      <c r="P29" t="inlineStr">
        <is>
          <t>analyst_estimate</t>
        </is>
      </c>
      <c r="Q29" t="inlineStr">
        <is>
          <t>research</t>
        </is>
      </c>
      <c r="U29" t="inlineStr">
        <is>
          <t>identity</t>
        </is>
      </c>
      <c r="V29" t="inlineStr">
        <is>
          <t>identity-v1</t>
        </is>
      </c>
      <c r="X29" t="inlineStr">
        <is>
          <t>1</t>
        </is>
      </c>
      <c r="Y29" t="inlineStr">
        <is>
          <t>1</t>
        </is>
      </c>
      <c r="Z29" t="inlineStr">
        <is>
          <t>unknown</t>
        </is>
      </c>
      <c r="AE29" t="inlineStr">
        <is>
          <t>settled</t>
        </is>
      </c>
      <c r="AF29" t="inlineStr">
        <is>
          <t>win</t>
        </is>
      </c>
      <c r="AG29" t="n">
        <v>0.909091</v>
      </c>
    </row>
    <row r="30">
      <c r="A30" t="inlineStr">
        <is>
          <t>2026-07-17T18:00:00Z</t>
        </is>
      </c>
      <c r="C30" t="inlineStr">
        <is>
          <t>mlb</t>
        </is>
      </c>
      <c r="D30" t="inlineStr">
        <is>
          <t>Detroit Tigers</t>
        </is>
      </c>
      <c r="E30" t="inlineStr">
        <is>
          <t>Los Angeles Angels</t>
        </is>
      </c>
      <c r="F30" t="inlineStr">
        <is>
          <t>moneyline</t>
        </is>
      </c>
      <c r="G30" t="inlineStr">
        <is>
          <t>Detroit Tigers</t>
        </is>
      </c>
      <c r="I30" t="inlineStr">
        <is>
          <t>polymarket</t>
        </is>
      </c>
      <c r="J30" t="n">
        <v>-110</v>
      </c>
      <c r="K30" t="n">
        <v>0.5502</v>
      </c>
      <c r="M30" t="inlineStr">
        <is>
          <t>mlb-elo-trend-lr-v3</t>
        </is>
      </c>
      <c r="P30" t="inlineStr">
        <is>
          <t>analyst_estimate</t>
        </is>
      </c>
      <c r="Q30" t="inlineStr">
        <is>
          <t>research</t>
        </is>
      </c>
      <c r="U30" t="inlineStr">
        <is>
          <t>identity</t>
        </is>
      </c>
      <c r="V30" t="inlineStr">
        <is>
          <t>identity-v1</t>
        </is>
      </c>
      <c r="X30" t="inlineStr">
        <is>
          <t>1</t>
        </is>
      </c>
      <c r="Y30" t="inlineStr">
        <is>
          <t>1</t>
        </is>
      </c>
      <c r="Z30" t="inlineStr">
        <is>
          <t>unknown</t>
        </is>
      </c>
      <c r="AE30" t="inlineStr">
        <is>
          <t>settled</t>
        </is>
      </c>
      <c r="AF30" t="inlineStr">
        <is>
          <t>win</t>
        </is>
      </c>
      <c r="AG30" t="n">
        <v>0.909091</v>
      </c>
    </row>
    <row r="31">
      <c r="A31" t="inlineStr">
        <is>
          <t>2026-07-17T18:00:00Z</t>
        </is>
      </c>
      <c r="C31" t="inlineStr">
        <is>
          <t>mlb</t>
        </is>
      </c>
      <c r="D31" t="inlineStr">
        <is>
          <t>Washington Nationals</t>
        </is>
      </c>
      <c r="E31" t="inlineStr">
        <is>
          <t>Athletics</t>
        </is>
      </c>
      <c r="F31" t="inlineStr">
        <is>
          <t>moneyline</t>
        </is>
      </c>
      <c r="G31" t="inlineStr">
        <is>
          <t>Athletics</t>
        </is>
      </c>
      <c r="I31" t="inlineStr">
        <is>
          <t>polymarket</t>
        </is>
      </c>
      <c r="J31" t="n">
        <v>-110</v>
      </c>
      <c r="K31" t="n">
        <v>0.5303</v>
      </c>
      <c r="M31" t="inlineStr">
        <is>
          <t>mlb-elo-trend-lr-v3</t>
        </is>
      </c>
      <c r="P31" t="inlineStr">
        <is>
          <t>analyst_estimate</t>
        </is>
      </c>
      <c r="Q31" t="inlineStr">
        <is>
          <t>research</t>
        </is>
      </c>
      <c r="U31" t="inlineStr">
        <is>
          <t>identity</t>
        </is>
      </c>
      <c r="V31" t="inlineStr">
        <is>
          <t>identity-v1</t>
        </is>
      </c>
      <c r="X31" t="inlineStr">
        <is>
          <t>1</t>
        </is>
      </c>
      <c r="Y31" t="inlineStr">
        <is>
          <t>1</t>
        </is>
      </c>
      <c r="Z31" t="inlineStr">
        <is>
          <t>unknown</t>
        </is>
      </c>
      <c r="AE31" t="inlineStr">
        <is>
          <t>settled</t>
        </is>
      </c>
      <c r="AF31" t="inlineStr">
        <is>
          <t>loss</t>
        </is>
      </c>
      <c r="AG31" t="n">
        <v>-1</v>
      </c>
    </row>
    <row r="32">
      <c r="A32" t="inlineStr">
        <is>
          <t>2026-07-17T18:00:00Z</t>
        </is>
      </c>
      <c r="C32" t="inlineStr">
        <is>
          <t>mlb</t>
        </is>
      </c>
      <c r="D32" t="inlineStr">
        <is>
          <t>St. Louis Cardinals</t>
        </is>
      </c>
      <c r="E32" t="inlineStr">
        <is>
          <t>Arizona Diamondbacks</t>
        </is>
      </c>
      <c r="F32" t="inlineStr">
        <is>
          <t>moneyline</t>
        </is>
      </c>
      <c r="G32" t="inlineStr">
        <is>
          <t>Arizona Diamondbacks</t>
        </is>
      </c>
      <c r="I32" t="inlineStr">
        <is>
          <t>polymarket</t>
        </is>
      </c>
      <c r="J32" t="n">
        <v>-110</v>
      </c>
      <c r="K32" t="n">
        <v>0.5254</v>
      </c>
      <c r="M32" t="inlineStr">
        <is>
          <t>mlb-elo-trend-lr-v3</t>
        </is>
      </c>
      <c r="P32" t="inlineStr">
        <is>
          <t>analyst_estimate</t>
        </is>
      </c>
      <c r="Q32" t="inlineStr">
        <is>
          <t>research</t>
        </is>
      </c>
      <c r="U32" t="inlineStr">
        <is>
          <t>identity</t>
        </is>
      </c>
      <c r="V32" t="inlineStr">
        <is>
          <t>identity-v1</t>
        </is>
      </c>
      <c r="X32" t="inlineStr">
        <is>
          <t>1</t>
        </is>
      </c>
      <c r="Y32" t="inlineStr">
        <is>
          <t>1</t>
        </is>
      </c>
      <c r="Z32" t="inlineStr">
        <is>
          <t>unknown</t>
        </is>
      </c>
      <c r="AE32" t="inlineStr">
        <is>
          <t>settled</t>
        </is>
      </c>
      <c r="AF32" t="inlineStr">
        <is>
          <t>loss</t>
        </is>
      </c>
      <c r="AG32" t="n">
        <v>-1</v>
      </c>
    </row>
    <row r="33">
      <c r="A33" t="inlineStr">
        <is>
          <t>2026-07-17T18:00:00Z</t>
        </is>
      </c>
      <c r="C33" t="inlineStr">
        <is>
          <t>mlb</t>
        </is>
      </c>
      <c r="D33" t="inlineStr">
        <is>
          <t>San Francisco Giants</t>
        </is>
      </c>
      <c r="E33" t="inlineStr">
        <is>
          <t>Seattle Mariners</t>
        </is>
      </c>
      <c r="F33" t="inlineStr">
        <is>
          <t>moneyline</t>
        </is>
      </c>
      <c r="G33" t="inlineStr">
        <is>
          <t>Seattle Mariners</t>
        </is>
      </c>
      <c r="I33" t="inlineStr">
        <is>
          <t>polymarket</t>
        </is>
      </c>
      <c r="J33" t="n">
        <v>-110</v>
      </c>
      <c r="K33" t="n">
        <v>0.5976</v>
      </c>
      <c r="M33" t="inlineStr">
        <is>
          <t>mlb-elo-trend-lr-v3</t>
        </is>
      </c>
      <c r="P33" t="inlineStr">
        <is>
          <t>analyst_estimate</t>
        </is>
      </c>
      <c r="Q33" t="inlineStr">
        <is>
          <t>research</t>
        </is>
      </c>
      <c r="U33" t="inlineStr">
        <is>
          <t>identity</t>
        </is>
      </c>
      <c r="V33" t="inlineStr">
        <is>
          <t>identity-v1</t>
        </is>
      </c>
      <c r="X33" t="inlineStr">
        <is>
          <t>1</t>
        </is>
      </c>
      <c r="Y33" t="inlineStr">
        <is>
          <t>1</t>
        </is>
      </c>
      <c r="Z33" t="inlineStr">
        <is>
          <t>unknown</t>
        </is>
      </c>
      <c r="AE33" t="inlineStr">
        <is>
          <t>settled</t>
        </is>
      </c>
      <c r="AF33" t="inlineStr">
        <is>
          <t>loss</t>
        </is>
      </c>
      <c r="AG33" t="n">
        <v>-1</v>
      </c>
    </row>
    <row r="34">
      <c r="A34" t="inlineStr">
        <is>
          <t>2026-07-17T18:00:00Z</t>
        </is>
      </c>
      <c r="C34" t="inlineStr">
        <is>
          <t>wnba</t>
        </is>
      </c>
      <c r="D34" t="inlineStr">
        <is>
          <t>Seattle Storm</t>
        </is>
      </c>
      <c r="E34" t="inlineStr">
        <is>
          <t>Indiana Fever</t>
        </is>
      </c>
      <c r="F34" t="inlineStr">
        <is>
          <t>moneyline</t>
        </is>
      </c>
      <c r="G34" t="inlineStr">
        <is>
          <t>Indiana Fever</t>
        </is>
      </c>
      <c r="I34" t="inlineStr">
        <is>
          <t>polymarket</t>
        </is>
      </c>
      <c r="J34" t="n">
        <v>-110</v>
      </c>
      <c r="K34" t="n">
        <v>0.7423999999999999</v>
      </c>
      <c r="M34" t="inlineStr">
        <is>
          <t>wnba-elo-trend-lr-v3</t>
        </is>
      </c>
      <c r="P34" t="inlineStr">
        <is>
          <t>analyst_estimate</t>
        </is>
      </c>
      <c r="Q34" t="inlineStr">
        <is>
          <t>research</t>
        </is>
      </c>
      <c r="U34" t="inlineStr">
        <is>
          <t>identity</t>
        </is>
      </c>
      <c r="V34" t="inlineStr">
        <is>
          <t>identity-v1</t>
        </is>
      </c>
      <c r="X34" t="inlineStr">
        <is>
          <t>1</t>
        </is>
      </c>
      <c r="Y34" t="inlineStr">
        <is>
          <t>1</t>
        </is>
      </c>
      <c r="Z34" t="inlineStr">
        <is>
          <t>unknown</t>
        </is>
      </c>
      <c r="AE34" t="inlineStr">
        <is>
          <t>settled</t>
        </is>
      </c>
      <c r="AF34" t="inlineStr">
        <is>
          <t>win</t>
        </is>
      </c>
      <c r="AG34" t="n">
        <v>0.909091</v>
      </c>
    </row>
    <row r="35">
      <c r="A35" t="inlineStr">
        <is>
          <t>2026-07-17T18:00:00Z</t>
        </is>
      </c>
      <c r="C35" t="inlineStr">
        <is>
          <t>wnba</t>
        </is>
      </c>
      <c r="D35" t="inlineStr">
        <is>
          <t>Atlanta Dream</t>
        </is>
      </c>
      <c r="E35" t="inlineStr">
        <is>
          <t>Toronto Tempo</t>
        </is>
      </c>
      <c r="F35" t="inlineStr">
        <is>
          <t>moneyline</t>
        </is>
      </c>
      <c r="G35" t="inlineStr">
        <is>
          <t>Atlanta Dream</t>
        </is>
      </c>
      <c r="I35" t="inlineStr">
        <is>
          <t>polymarket</t>
        </is>
      </c>
      <c r="J35" t="n">
        <v>-110</v>
      </c>
      <c r="K35" t="n">
        <v>0.5345</v>
      </c>
      <c r="M35" t="inlineStr">
        <is>
          <t>wnba-elo-trend-lr-v3</t>
        </is>
      </c>
      <c r="P35" t="inlineStr">
        <is>
          <t>analyst_estimate</t>
        </is>
      </c>
      <c r="Q35" t="inlineStr">
        <is>
          <t>research</t>
        </is>
      </c>
      <c r="U35" t="inlineStr">
        <is>
          <t>identity</t>
        </is>
      </c>
      <c r="V35" t="inlineStr">
        <is>
          <t>identity-v1</t>
        </is>
      </c>
      <c r="X35" t="inlineStr">
        <is>
          <t>1</t>
        </is>
      </c>
      <c r="Y35" t="inlineStr">
        <is>
          <t>1</t>
        </is>
      </c>
      <c r="Z35" t="inlineStr">
        <is>
          <t>unknown</t>
        </is>
      </c>
      <c r="AE35" t="inlineStr">
        <is>
          <t>settled</t>
        </is>
      </c>
      <c r="AF35" t="inlineStr">
        <is>
          <t>win</t>
        </is>
      </c>
      <c r="AG35" t="n">
        <v>0.909091</v>
      </c>
    </row>
    <row r="36">
      <c r="A36" t="inlineStr">
        <is>
          <t>2026-07-17T18:00:00Z</t>
        </is>
      </c>
      <c r="C36" t="inlineStr">
        <is>
          <t>wnba</t>
        </is>
      </c>
      <c r="D36" t="inlineStr">
        <is>
          <t>Los Angeles Sparks</t>
        </is>
      </c>
      <c r="E36" t="inlineStr">
        <is>
          <t>Chicago Sky</t>
        </is>
      </c>
      <c r="F36" t="inlineStr">
        <is>
          <t>moneyline</t>
        </is>
      </c>
      <c r="G36" t="inlineStr">
        <is>
          <t>Chicago Sky</t>
        </is>
      </c>
      <c r="I36" t="inlineStr">
        <is>
          <t>polymarket</t>
        </is>
      </c>
      <c r="J36" t="n">
        <v>-110</v>
      </c>
      <c r="K36" t="n">
        <v>0.5054</v>
      </c>
      <c r="M36" t="inlineStr">
        <is>
          <t>wnba-elo-trend-lr-v3</t>
        </is>
      </c>
      <c r="P36" t="inlineStr">
        <is>
          <t>analyst_estimate</t>
        </is>
      </c>
      <c r="Q36" t="inlineStr">
        <is>
          <t>research</t>
        </is>
      </c>
      <c r="U36" t="inlineStr">
        <is>
          <t>identity</t>
        </is>
      </c>
      <c r="V36" t="inlineStr">
        <is>
          <t>identity-v1</t>
        </is>
      </c>
      <c r="X36" t="inlineStr">
        <is>
          <t>1</t>
        </is>
      </c>
      <c r="Y36" t="inlineStr">
        <is>
          <t>1</t>
        </is>
      </c>
      <c r="Z36" t="inlineStr">
        <is>
          <t>unknown</t>
        </is>
      </c>
      <c r="AE36" t="inlineStr">
        <is>
          <t>settled</t>
        </is>
      </c>
      <c r="AF36" t="inlineStr">
        <is>
          <t>win</t>
        </is>
      </c>
      <c r="AG36" t="n">
        <v>0.909091</v>
      </c>
    </row>
    <row r="37">
      <c r="A37" t="inlineStr">
        <is>
          <t>2026-07-17T18:00:00Z</t>
        </is>
      </c>
      <c r="C37" t="inlineStr">
        <is>
          <t>wnba</t>
        </is>
      </c>
      <c r="D37" t="inlineStr">
        <is>
          <t>Connecticut Sun</t>
        </is>
      </c>
      <c r="E37" t="inlineStr">
        <is>
          <t>Phoenix Mercury</t>
        </is>
      </c>
      <c r="F37" t="inlineStr">
        <is>
          <t>moneyline</t>
        </is>
      </c>
      <c r="G37" t="inlineStr">
        <is>
          <t>Phoenix Mercury</t>
        </is>
      </c>
      <c r="I37" t="inlineStr">
        <is>
          <t>polymarket</t>
        </is>
      </c>
      <c r="J37" t="n">
        <v>-110</v>
      </c>
      <c r="K37" t="n">
        <v>0.6379</v>
      </c>
      <c r="M37" t="inlineStr">
        <is>
          <t>wnba-elo-trend-lr-v3</t>
        </is>
      </c>
      <c r="P37" t="inlineStr">
        <is>
          <t>analyst_estimate</t>
        </is>
      </c>
      <c r="Q37" t="inlineStr">
        <is>
          <t>research</t>
        </is>
      </c>
      <c r="U37" t="inlineStr">
        <is>
          <t>identity</t>
        </is>
      </c>
      <c r="V37" t="inlineStr">
        <is>
          <t>identity-v1</t>
        </is>
      </c>
      <c r="X37" t="inlineStr">
        <is>
          <t>1</t>
        </is>
      </c>
      <c r="Y37" t="inlineStr">
        <is>
          <t>1</t>
        </is>
      </c>
      <c r="Z37" t="inlineStr">
        <is>
          <t>unknown</t>
        </is>
      </c>
      <c r="AE37" t="inlineStr">
        <is>
          <t>settled</t>
        </is>
      </c>
      <c r="AF37" t="inlineStr">
        <is>
          <t>loss</t>
        </is>
      </c>
      <c r="AG37" t="n">
        <v>-1</v>
      </c>
    </row>
    <row r="38">
      <c r="A38" t="inlineStr">
        <is>
          <t>2026-07-18T18:00:00Z</t>
        </is>
      </c>
      <c r="C38" t="inlineStr">
        <is>
          <t>mlb</t>
        </is>
      </c>
      <c r="D38" t="inlineStr">
        <is>
          <t>Pittsburgh Pirates</t>
        </is>
      </c>
      <c r="E38" t="inlineStr">
        <is>
          <t>Cleveland Guardians</t>
        </is>
      </c>
      <c r="F38" t="inlineStr">
        <is>
          <t>moneyline</t>
        </is>
      </c>
      <c r="G38" t="inlineStr">
        <is>
          <t>Cleveland Guardians</t>
        </is>
      </c>
      <c r="I38" t="inlineStr">
        <is>
          <t>polymarket</t>
        </is>
      </c>
      <c r="J38" t="n">
        <v>-110</v>
      </c>
      <c r="K38" t="n">
        <v>0.5688</v>
      </c>
      <c r="M38" t="inlineStr">
        <is>
          <t>mlb-elo-trend-lr-v3</t>
        </is>
      </c>
      <c r="P38" t="inlineStr">
        <is>
          <t>analyst_estimate</t>
        </is>
      </c>
      <c r="Q38" t="inlineStr">
        <is>
          <t>research</t>
        </is>
      </c>
      <c r="U38" t="inlineStr">
        <is>
          <t>identity</t>
        </is>
      </c>
      <c r="V38" t="inlineStr">
        <is>
          <t>identity-v1</t>
        </is>
      </c>
      <c r="X38" t="inlineStr">
        <is>
          <t>1</t>
        </is>
      </c>
      <c r="Y38" t="inlineStr">
        <is>
          <t>1</t>
        </is>
      </c>
      <c r="Z38" t="inlineStr">
        <is>
          <t>unknown</t>
        </is>
      </c>
      <c r="AE38" t="inlineStr">
        <is>
          <t>settled</t>
        </is>
      </c>
      <c r="AF38" t="inlineStr">
        <is>
          <t>loss</t>
        </is>
      </c>
      <c r="AG38" t="n">
        <v>-1</v>
      </c>
    </row>
    <row r="39">
      <c r="A39" t="inlineStr">
        <is>
          <t>2026-07-18T18:00:00Z</t>
        </is>
      </c>
      <c r="C39" t="inlineStr">
        <is>
          <t>mlb</t>
        </is>
      </c>
      <c r="D39" t="inlineStr">
        <is>
          <t>Minnesota Twins</t>
        </is>
      </c>
      <c r="E39" t="inlineStr">
        <is>
          <t>Chicago Cubs</t>
        </is>
      </c>
      <c r="F39" t="inlineStr">
        <is>
          <t>moneyline</t>
        </is>
      </c>
      <c r="G39" t="inlineStr">
        <is>
          <t>Chicago Cubs</t>
        </is>
      </c>
      <c r="I39" t="inlineStr">
        <is>
          <t>polymarket</t>
        </is>
      </c>
      <c r="J39" t="n">
        <v>-110</v>
      </c>
      <c r="K39" t="n">
        <v>0.6027</v>
      </c>
      <c r="M39" t="inlineStr">
        <is>
          <t>mlb-elo-trend-lr-v3</t>
        </is>
      </c>
      <c r="P39" t="inlineStr">
        <is>
          <t>analyst_estimate</t>
        </is>
      </c>
      <c r="Q39" t="inlineStr">
        <is>
          <t>research</t>
        </is>
      </c>
      <c r="U39" t="inlineStr">
        <is>
          <t>identity</t>
        </is>
      </c>
      <c r="V39" t="inlineStr">
        <is>
          <t>identity-v1</t>
        </is>
      </c>
      <c r="X39" t="inlineStr">
        <is>
          <t>1</t>
        </is>
      </c>
      <c r="Y39" t="inlineStr">
        <is>
          <t>1</t>
        </is>
      </c>
      <c r="Z39" t="inlineStr">
        <is>
          <t>unknown</t>
        </is>
      </c>
      <c r="AE39" t="inlineStr">
        <is>
          <t>settled</t>
        </is>
      </c>
      <c r="AF39" t="inlineStr">
        <is>
          <t>win</t>
        </is>
      </c>
      <c r="AG39" t="n">
        <v>0.909091</v>
      </c>
    </row>
    <row r="40">
      <c r="A40" t="inlineStr">
        <is>
          <t>2026-07-18T18:00:00Z</t>
        </is>
      </c>
      <c r="C40" t="inlineStr">
        <is>
          <t>mlb</t>
        </is>
      </c>
      <c r="D40" t="inlineStr">
        <is>
          <t>New York Mets</t>
        </is>
      </c>
      <c r="E40" t="inlineStr">
        <is>
          <t>Philadelphia Phillies</t>
        </is>
      </c>
      <c r="F40" t="inlineStr">
        <is>
          <t>moneyline</t>
        </is>
      </c>
      <c r="G40" t="inlineStr">
        <is>
          <t>Philadelphia Phillies</t>
        </is>
      </c>
      <c r="I40" t="inlineStr">
        <is>
          <t>polymarket</t>
        </is>
      </c>
      <c r="J40" t="n">
        <v>-110</v>
      </c>
      <c r="K40" t="n">
        <v>0.6118</v>
      </c>
      <c r="M40" t="inlineStr">
        <is>
          <t>mlb-elo-trend-lr-v3</t>
        </is>
      </c>
      <c r="P40" t="inlineStr">
        <is>
          <t>analyst_estimate</t>
        </is>
      </c>
      <c r="Q40" t="inlineStr">
        <is>
          <t>research</t>
        </is>
      </c>
      <c r="U40" t="inlineStr">
        <is>
          <t>identity</t>
        </is>
      </c>
      <c r="V40" t="inlineStr">
        <is>
          <t>identity-v1</t>
        </is>
      </c>
      <c r="X40" t="inlineStr">
        <is>
          <t>1</t>
        </is>
      </c>
      <c r="Y40" t="inlineStr">
        <is>
          <t>1</t>
        </is>
      </c>
      <c r="Z40" t="inlineStr">
        <is>
          <t>unknown</t>
        </is>
      </c>
      <c r="AE40" t="inlineStr">
        <is>
          <t>settled</t>
        </is>
      </c>
      <c r="AF40" t="inlineStr">
        <is>
          <t>win</t>
        </is>
      </c>
      <c r="AG40" t="n">
        <v>0.909091</v>
      </c>
    </row>
    <row r="41">
      <c r="A41" t="inlineStr">
        <is>
          <t>2026-07-18T18:00:00Z</t>
        </is>
      </c>
      <c r="C41" t="inlineStr">
        <is>
          <t>mlb</t>
        </is>
      </c>
      <c r="D41" t="inlineStr">
        <is>
          <t>Chicago White Sox</t>
        </is>
      </c>
      <c r="E41" t="inlineStr">
        <is>
          <t>Toronto Blue Jays</t>
        </is>
      </c>
      <c r="F41" t="inlineStr">
        <is>
          <t>moneyline</t>
        </is>
      </c>
      <c r="G41" t="inlineStr">
        <is>
          <t>Toronto Blue Jays</t>
        </is>
      </c>
      <c r="I41" t="inlineStr">
        <is>
          <t>polymarket</t>
        </is>
      </c>
      <c r="J41" t="n">
        <v>-110</v>
      </c>
      <c r="K41" t="n">
        <v>0.5516</v>
      </c>
      <c r="M41" t="inlineStr">
        <is>
          <t>mlb-elo-trend-lr-v3</t>
        </is>
      </c>
      <c r="P41" t="inlineStr">
        <is>
          <t>analyst_estimate</t>
        </is>
      </c>
      <c r="Q41" t="inlineStr">
        <is>
          <t>research</t>
        </is>
      </c>
      <c r="U41" t="inlineStr">
        <is>
          <t>identity</t>
        </is>
      </c>
      <c r="V41" t="inlineStr">
        <is>
          <t>identity-v1</t>
        </is>
      </c>
      <c r="X41" t="inlineStr">
        <is>
          <t>1</t>
        </is>
      </c>
      <c r="Y41" t="inlineStr">
        <is>
          <t>1</t>
        </is>
      </c>
      <c r="Z41" t="inlineStr">
        <is>
          <t>unknown</t>
        </is>
      </c>
      <c r="AE41" t="inlineStr">
        <is>
          <t>settled</t>
        </is>
      </c>
      <c r="AF41" t="inlineStr">
        <is>
          <t>win</t>
        </is>
      </c>
      <c r="AG41" t="n">
        <v>0.909091</v>
      </c>
    </row>
    <row r="42">
      <c r="A42" t="inlineStr">
        <is>
          <t>2026-07-18T18:00:00Z</t>
        </is>
      </c>
      <c r="C42" t="inlineStr">
        <is>
          <t>mlb</t>
        </is>
      </c>
      <c r="D42" t="inlineStr">
        <is>
          <t>Cincinnati Reds</t>
        </is>
      </c>
      <c r="E42" t="inlineStr">
        <is>
          <t>Colorado Rockies</t>
        </is>
      </c>
      <c r="F42" t="inlineStr">
        <is>
          <t>moneyline</t>
        </is>
      </c>
      <c r="G42" t="inlineStr">
        <is>
          <t>Cincinnati Reds</t>
        </is>
      </c>
      <c r="I42" t="inlineStr">
        <is>
          <t>polymarket</t>
        </is>
      </c>
      <c r="J42" t="n">
        <v>-110</v>
      </c>
      <c r="K42" t="n">
        <v>0.5829</v>
      </c>
      <c r="M42" t="inlineStr">
        <is>
          <t>mlb-elo-trend-lr-v3</t>
        </is>
      </c>
      <c r="P42" t="inlineStr">
        <is>
          <t>analyst_estimate</t>
        </is>
      </c>
      <c r="Q42" t="inlineStr">
        <is>
          <t>research</t>
        </is>
      </c>
      <c r="U42" t="inlineStr">
        <is>
          <t>identity</t>
        </is>
      </c>
      <c r="V42" t="inlineStr">
        <is>
          <t>identity-v1</t>
        </is>
      </c>
      <c r="X42" t="inlineStr">
        <is>
          <t>1</t>
        </is>
      </c>
      <c r="Y42" t="inlineStr">
        <is>
          <t>1</t>
        </is>
      </c>
      <c r="Z42" t="inlineStr">
        <is>
          <t>unknown</t>
        </is>
      </c>
      <c r="AE42" t="inlineStr">
        <is>
          <t>settled</t>
        </is>
      </c>
      <c r="AF42" t="inlineStr">
        <is>
          <t>loss</t>
        </is>
      </c>
      <c r="AG42" t="n">
        <v>-1</v>
      </c>
    </row>
    <row r="43">
      <c r="A43" t="inlineStr">
        <is>
          <t>2026-07-18T18:00:00Z</t>
        </is>
      </c>
      <c r="C43" t="inlineStr">
        <is>
          <t>mlb</t>
        </is>
      </c>
      <c r="D43" t="inlineStr">
        <is>
          <t>Texas Rangers</t>
        </is>
      </c>
      <c r="E43" t="inlineStr">
        <is>
          <t>Atlanta Braves</t>
        </is>
      </c>
      <c r="F43" t="inlineStr">
        <is>
          <t>moneyline</t>
        </is>
      </c>
      <c r="G43" t="inlineStr">
        <is>
          <t>Atlanta Braves</t>
        </is>
      </c>
      <c r="I43" t="inlineStr">
        <is>
          <t>polymarket</t>
        </is>
      </c>
      <c r="J43" t="n">
        <v>-110</v>
      </c>
      <c r="K43" t="n">
        <v>0.5774</v>
      </c>
      <c r="M43" t="inlineStr">
        <is>
          <t>mlb-elo-trend-lr-v3</t>
        </is>
      </c>
      <c r="P43" t="inlineStr">
        <is>
          <t>analyst_estimate</t>
        </is>
      </c>
      <c r="Q43" t="inlineStr">
        <is>
          <t>research</t>
        </is>
      </c>
      <c r="U43" t="inlineStr">
        <is>
          <t>identity</t>
        </is>
      </c>
      <c r="V43" t="inlineStr">
        <is>
          <t>identity-v1</t>
        </is>
      </c>
      <c r="X43" t="inlineStr">
        <is>
          <t>1</t>
        </is>
      </c>
      <c r="Y43" t="inlineStr">
        <is>
          <t>1</t>
        </is>
      </c>
      <c r="Z43" t="inlineStr">
        <is>
          <t>unknown</t>
        </is>
      </c>
      <c r="AE43" t="inlineStr">
        <is>
          <t>settled</t>
        </is>
      </c>
      <c r="AF43" t="inlineStr">
        <is>
          <t>loss</t>
        </is>
      </c>
      <c r="AG43" t="n">
        <v>-1</v>
      </c>
    </row>
    <row r="44">
      <c r="A44" t="inlineStr">
        <is>
          <t>2026-07-18T18:00:00Z</t>
        </is>
      </c>
      <c r="C44" t="inlineStr">
        <is>
          <t>mlb</t>
        </is>
      </c>
      <c r="D44" t="inlineStr">
        <is>
          <t>Baltimore Orioles</t>
        </is>
      </c>
      <c r="E44" t="inlineStr">
        <is>
          <t>Houston Astros</t>
        </is>
      </c>
      <c r="F44" t="inlineStr">
        <is>
          <t>moneyline</t>
        </is>
      </c>
      <c r="G44" t="inlineStr">
        <is>
          <t>Houston Astros</t>
        </is>
      </c>
      <c r="I44" t="inlineStr">
        <is>
          <t>polymarket</t>
        </is>
      </c>
      <c r="J44" t="n">
        <v>-110</v>
      </c>
      <c r="K44" t="n">
        <v>0.5246</v>
      </c>
      <c r="M44" t="inlineStr">
        <is>
          <t>mlb-elo-trend-lr-v3</t>
        </is>
      </c>
      <c r="P44" t="inlineStr">
        <is>
          <t>analyst_estimate</t>
        </is>
      </c>
      <c r="Q44" t="inlineStr">
        <is>
          <t>research</t>
        </is>
      </c>
      <c r="U44" t="inlineStr">
        <is>
          <t>identity</t>
        </is>
      </c>
      <c r="V44" t="inlineStr">
        <is>
          <t>identity-v1</t>
        </is>
      </c>
      <c r="X44" t="inlineStr">
        <is>
          <t>1</t>
        </is>
      </c>
      <c r="Y44" t="inlineStr">
        <is>
          <t>1</t>
        </is>
      </c>
      <c r="Z44" t="inlineStr">
        <is>
          <t>unknown</t>
        </is>
      </c>
      <c r="AE44" t="inlineStr">
        <is>
          <t>settled</t>
        </is>
      </c>
      <c r="AF44" t="inlineStr">
        <is>
          <t>loss</t>
        </is>
      </c>
      <c r="AG44" t="n">
        <v>-1</v>
      </c>
    </row>
    <row r="45">
      <c r="A45" t="inlineStr">
        <is>
          <t>2026-07-18T18:00:00Z</t>
        </is>
      </c>
      <c r="C45" t="inlineStr">
        <is>
          <t>mlb</t>
        </is>
      </c>
      <c r="D45" t="inlineStr">
        <is>
          <t>San Diego Padres</t>
        </is>
      </c>
      <c r="E45" t="inlineStr">
        <is>
          <t>Kansas City Royals</t>
        </is>
      </c>
      <c r="F45" t="inlineStr">
        <is>
          <t>moneyline</t>
        </is>
      </c>
      <c r="G45" t="inlineStr">
        <is>
          <t>San Diego Padres</t>
        </is>
      </c>
      <c r="I45" t="inlineStr">
        <is>
          <t>polymarket</t>
        </is>
      </c>
      <c r="J45" t="n">
        <v>-110</v>
      </c>
      <c r="K45" t="n">
        <v>0.5212</v>
      </c>
      <c r="M45" t="inlineStr">
        <is>
          <t>mlb-elo-trend-lr-v3</t>
        </is>
      </c>
      <c r="P45" t="inlineStr">
        <is>
          <t>analyst_estimate</t>
        </is>
      </c>
      <c r="Q45" t="inlineStr">
        <is>
          <t>research</t>
        </is>
      </c>
      <c r="U45" t="inlineStr">
        <is>
          <t>identity</t>
        </is>
      </c>
      <c r="V45" t="inlineStr">
        <is>
          <t>identity-v1</t>
        </is>
      </c>
      <c r="X45" t="inlineStr">
        <is>
          <t>1</t>
        </is>
      </c>
      <c r="Y45" t="inlineStr">
        <is>
          <t>1</t>
        </is>
      </c>
      <c r="Z45" t="inlineStr">
        <is>
          <t>unknown</t>
        </is>
      </c>
      <c r="AE45" t="inlineStr">
        <is>
          <t>settled</t>
        </is>
      </c>
      <c r="AF45" t="inlineStr">
        <is>
          <t>loss</t>
        </is>
      </c>
      <c r="AG45" t="n">
        <v>-1</v>
      </c>
    </row>
    <row r="46">
      <c r="A46" t="inlineStr">
        <is>
          <t>2026-07-18T18:00:00Z</t>
        </is>
      </c>
      <c r="C46" t="inlineStr">
        <is>
          <t>mlb</t>
        </is>
      </c>
      <c r="D46" t="inlineStr">
        <is>
          <t>St. Louis Cardinals</t>
        </is>
      </c>
      <c r="E46" t="inlineStr">
        <is>
          <t>Arizona Diamondbacks</t>
        </is>
      </c>
      <c r="F46" t="inlineStr">
        <is>
          <t>moneyline</t>
        </is>
      </c>
      <c r="G46" t="inlineStr">
        <is>
          <t>Arizona Diamondbacks</t>
        </is>
      </c>
      <c r="I46" t="inlineStr">
        <is>
          <t>polymarket</t>
        </is>
      </c>
      <c r="J46" t="n">
        <v>-110</v>
      </c>
      <c r="K46" t="n">
        <v>0.5254</v>
      </c>
      <c r="M46" t="inlineStr">
        <is>
          <t>mlb-elo-trend-lr-v3</t>
        </is>
      </c>
      <c r="P46" t="inlineStr">
        <is>
          <t>analyst_estimate</t>
        </is>
      </c>
      <c r="Q46" t="inlineStr">
        <is>
          <t>research</t>
        </is>
      </c>
      <c r="U46" t="inlineStr">
        <is>
          <t>identity</t>
        </is>
      </c>
      <c r="V46" t="inlineStr">
        <is>
          <t>identity-v1</t>
        </is>
      </c>
      <c r="X46" t="inlineStr">
        <is>
          <t>1</t>
        </is>
      </c>
      <c r="Y46" t="inlineStr">
        <is>
          <t>1</t>
        </is>
      </c>
      <c r="Z46" t="inlineStr">
        <is>
          <t>unknown</t>
        </is>
      </c>
      <c r="AE46" t="inlineStr">
        <is>
          <t>settled</t>
        </is>
      </c>
      <c r="AF46" t="inlineStr">
        <is>
          <t>win</t>
        </is>
      </c>
      <c r="AG46" t="n">
        <v>0.909091</v>
      </c>
    </row>
    <row r="47">
      <c r="A47" t="inlineStr">
        <is>
          <t>2026-07-18T18:00:00Z</t>
        </is>
      </c>
      <c r="C47" t="inlineStr">
        <is>
          <t>mlb</t>
        </is>
      </c>
      <c r="D47" t="inlineStr">
        <is>
          <t>Tampa Bay Rays</t>
        </is>
      </c>
      <c r="E47" t="inlineStr">
        <is>
          <t>Boston Red Sox</t>
        </is>
      </c>
      <c r="F47" t="inlineStr">
        <is>
          <t>moneyline</t>
        </is>
      </c>
      <c r="G47" t="inlineStr">
        <is>
          <t>Boston Red Sox</t>
        </is>
      </c>
      <c r="I47" t="inlineStr">
        <is>
          <t>polymarket</t>
        </is>
      </c>
      <c r="J47" t="n">
        <v>-110</v>
      </c>
      <c r="K47" t="n">
        <v>0.5503</v>
      </c>
      <c r="M47" t="inlineStr">
        <is>
          <t>mlb-elo-trend-lr-v3</t>
        </is>
      </c>
      <c r="P47" t="inlineStr">
        <is>
          <t>analyst_estimate</t>
        </is>
      </c>
      <c r="Q47" t="inlineStr">
        <is>
          <t>research</t>
        </is>
      </c>
      <c r="U47" t="inlineStr">
        <is>
          <t>identity</t>
        </is>
      </c>
      <c r="V47" t="inlineStr">
        <is>
          <t>identity-v1</t>
        </is>
      </c>
      <c r="X47" t="inlineStr">
        <is>
          <t>1</t>
        </is>
      </c>
      <c r="Y47" t="inlineStr">
        <is>
          <t>1</t>
        </is>
      </c>
      <c r="Z47" t="inlineStr">
        <is>
          <t>unknown</t>
        </is>
      </c>
      <c r="AE47" t="inlineStr">
        <is>
          <t>settled</t>
        </is>
      </c>
      <c r="AF47" t="inlineStr">
        <is>
          <t>win</t>
        </is>
      </c>
      <c r="AG47" t="n">
        <v>0.909091</v>
      </c>
    </row>
    <row r="48">
      <c r="A48" t="inlineStr">
        <is>
          <t>2026-07-18T18:00:00Z</t>
        </is>
      </c>
      <c r="C48" t="inlineStr">
        <is>
          <t>mlb</t>
        </is>
      </c>
      <c r="D48" t="inlineStr">
        <is>
          <t>Miami Marlins</t>
        </is>
      </c>
      <c r="E48" t="inlineStr">
        <is>
          <t>Milwaukee Brewers</t>
        </is>
      </c>
      <c r="F48" t="inlineStr">
        <is>
          <t>moneyline</t>
        </is>
      </c>
      <c r="G48" t="inlineStr">
        <is>
          <t>Milwaukee Brewers</t>
        </is>
      </c>
      <c r="I48" t="inlineStr">
        <is>
          <t>polymarket</t>
        </is>
      </c>
      <c r="J48" t="n">
        <v>-110</v>
      </c>
      <c r="K48" t="n">
        <v>0.6162</v>
      </c>
      <c r="M48" t="inlineStr">
        <is>
          <t>mlb-elo-trend-lr-v3</t>
        </is>
      </c>
      <c r="P48" t="inlineStr">
        <is>
          <t>analyst_estimate</t>
        </is>
      </c>
      <c r="Q48" t="inlineStr">
        <is>
          <t>research</t>
        </is>
      </c>
      <c r="U48" t="inlineStr">
        <is>
          <t>identity</t>
        </is>
      </c>
      <c r="V48" t="inlineStr">
        <is>
          <t>identity-v1</t>
        </is>
      </c>
      <c r="X48" t="inlineStr">
        <is>
          <t>1</t>
        </is>
      </c>
      <c r="Y48" t="inlineStr">
        <is>
          <t>1</t>
        </is>
      </c>
      <c r="Z48" t="inlineStr">
        <is>
          <t>unknown</t>
        </is>
      </c>
      <c r="AE48" t="inlineStr">
        <is>
          <t>settled</t>
        </is>
      </c>
      <c r="AF48" t="inlineStr">
        <is>
          <t>win</t>
        </is>
      </c>
      <c r="AG48" t="n">
        <v>0.909091</v>
      </c>
    </row>
    <row r="49">
      <c r="A49" t="inlineStr">
        <is>
          <t>2026-07-18T18:00:00Z</t>
        </is>
      </c>
      <c r="C49" t="inlineStr">
        <is>
          <t>mlb</t>
        </is>
      </c>
      <c r="D49" t="inlineStr">
        <is>
          <t>Pittsburgh Pirates</t>
        </is>
      </c>
      <c r="E49" t="inlineStr">
        <is>
          <t>Cleveland Guardians</t>
        </is>
      </c>
      <c r="F49" t="inlineStr">
        <is>
          <t>moneyline</t>
        </is>
      </c>
      <c r="G49" t="inlineStr">
        <is>
          <t>Cleveland Guardians</t>
        </is>
      </c>
      <c r="I49" t="inlineStr">
        <is>
          <t>polymarket</t>
        </is>
      </c>
      <c r="J49" t="n">
        <v>-110</v>
      </c>
      <c r="K49" t="n">
        <v>0.5688</v>
      </c>
      <c r="M49" t="inlineStr">
        <is>
          <t>mlb-elo-trend-lr-v3</t>
        </is>
      </c>
      <c r="P49" t="inlineStr">
        <is>
          <t>analyst_estimate</t>
        </is>
      </c>
      <c r="Q49" t="inlineStr">
        <is>
          <t>research</t>
        </is>
      </c>
      <c r="U49" t="inlineStr">
        <is>
          <t>identity</t>
        </is>
      </c>
      <c r="V49" t="inlineStr">
        <is>
          <t>identity-v1</t>
        </is>
      </c>
      <c r="X49" t="inlineStr">
        <is>
          <t>1</t>
        </is>
      </c>
      <c r="Y49" t="inlineStr">
        <is>
          <t>1</t>
        </is>
      </c>
      <c r="Z49" t="inlineStr">
        <is>
          <t>unknown</t>
        </is>
      </c>
      <c r="AE49" t="inlineStr">
        <is>
          <t>settled</t>
        </is>
      </c>
      <c r="AF49" t="inlineStr">
        <is>
          <t>win</t>
        </is>
      </c>
      <c r="AG49" t="n">
        <v>0.909091</v>
      </c>
    </row>
    <row r="50">
      <c r="A50" t="inlineStr">
        <is>
          <t>2026-07-18T18:00:00Z</t>
        </is>
      </c>
      <c r="C50" t="inlineStr">
        <is>
          <t>mlb</t>
        </is>
      </c>
      <c r="D50" t="inlineStr">
        <is>
          <t>San Francisco Giants</t>
        </is>
      </c>
      <c r="E50" t="inlineStr">
        <is>
          <t>Seattle Mariners</t>
        </is>
      </c>
      <c r="F50" t="inlineStr">
        <is>
          <t>moneyline</t>
        </is>
      </c>
      <c r="G50" t="inlineStr">
        <is>
          <t>Seattle Mariners</t>
        </is>
      </c>
      <c r="I50" t="inlineStr">
        <is>
          <t>polymarket</t>
        </is>
      </c>
      <c r="J50" t="n">
        <v>-110</v>
      </c>
      <c r="K50" t="n">
        <v>0.5976</v>
      </c>
      <c r="M50" t="inlineStr">
        <is>
          <t>mlb-elo-trend-lr-v3</t>
        </is>
      </c>
      <c r="P50" t="inlineStr">
        <is>
          <t>analyst_estimate</t>
        </is>
      </c>
      <c r="Q50" t="inlineStr">
        <is>
          <t>research</t>
        </is>
      </c>
      <c r="U50" t="inlineStr">
        <is>
          <t>identity</t>
        </is>
      </c>
      <c r="V50" t="inlineStr">
        <is>
          <t>identity-v1</t>
        </is>
      </c>
      <c r="X50" t="inlineStr">
        <is>
          <t>1</t>
        </is>
      </c>
      <c r="Y50" t="inlineStr">
        <is>
          <t>1</t>
        </is>
      </c>
      <c r="Z50" t="inlineStr">
        <is>
          <t>unknown</t>
        </is>
      </c>
      <c r="AE50" t="inlineStr">
        <is>
          <t>settled</t>
        </is>
      </c>
      <c r="AF50" t="inlineStr">
        <is>
          <t>win</t>
        </is>
      </c>
      <c r="AG50" t="n">
        <v>0.909091</v>
      </c>
    </row>
    <row r="51">
      <c r="A51" t="inlineStr">
        <is>
          <t>2026-07-18T18:00:00Z</t>
        </is>
      </c>
      <c r="C51" t="inlineStr">
        <is>
          <t>mlb</t>
        </is>
      </c>
      <c r="D51" t="inlineStr">
        <is>
          <t>Washington Nationals</t>
        </is>
      </c>
      <c r="E51" t="inlineStr">
        <is>
          <t>Athletics</t>
        </is>
      </c>
      <c r="F51" t="inlineStr">
        <is>
          <t>moneyline</t>
        </is>
      </c>
      <c r="G51" t="inlineStr">
        <is>
          <t>Athletics</t>
        </is>
      </c>
      <c r="I51" t="inlineStr">
        <is>
          <t>polymarket</t>
        </is>
      </c>
      <c r="J51" t="n">
        <v>-110</v>
      </c>
      <c r="K51" t="n">
        <v>0.5303</v>
      </c>
      <c r="M51" t="inlineStr">
        <is>
          <t>mlb-elo-trend-lr-v3</t>
        </is>
      </c>
      <c r="P51" t="inlineStr">
        <is>
          <t>analyst_estimate</t>
        </is>
      </c>
      <c r="Q51" t="inlineStr">
        <is>
          <t>research</t>
        </is>
      </c>
      <c r="U51" t="inlineStr">
        <is>
          <t>identity</t>
        </is>
      </c>
      <c r="V51" t="inlineStr">
        <is>
          <t>identity-v1</t>
        </is>
      </c>
      <c r="X51" t="inlineStr">
        <is>
          <t>1</t>
        </is>
      </c>
      <c r="Y51" t="inlineStr">
        <is>
          <t>1</t>
        </is>
      </c>
      <c r="Z51" t="inlineStr">
        <is>
          <t>unknown</t>
        </is>
      </c>
      <c r="AE51" t="inlineStr">
        <is>
          <t>settled</t>
        </is>
      </c>
      <c r="AF51" t="inlineStr">
        <is>
          <t>loss</t>
        </is>
      </c>
      <c r="AG51" t="n">
        <v>-1</v>
      </c>
    </row>
    <row r="52">
      <c r="A52" t="inlineStr">
        <is>
          <t>2026-07-18T18:00:00Z</t>
        </is>
      </c>
      <c r="C52" t="inlineStr">
        <is>
          <t>mlb</t>
        </is>
      </c>
      <c r="D52" t="inlineStr">
        <is>
          <t>Detroit Tigers</t>
        </is>
      </c>
      <c r="E52" t="inlineStr">
        <is>
          <t>Los Angeles Angels</t>
        </is>
      </c>
      <c r="F52" t="inlineStr">
        <is>
          <t>moneyline</t>
        </is>
      </c>
      <c r="G52" t="inlineStr">
        <is>
          <t>Detroit Tigers</t>
        </is>
      </c>
      <c r="I52" t="inlineStr">
        <is>
          <t>polymarket</t>
        </is>
      </c>
      <c r="J52" t="n">
        <v>-110</v>
      </c>
      <c r="K52" t="n">
        <v>0.5502</v>
      </c>
      <c r="M52" t="inlineStr">
        <is>
          <t>mlb-elo-trend-lr-v3</t>
        </is>
      </c>
      <c r="P52" t="inlineStr">
        <is>
          <t>analyst_estimate</t>
        </is>
      </c>
      <c r="Q52" t="inlineStr">
        <is>
          <t>research</t>
        </is>
      </c>
      <c r="U52" t="inlineStr">
        <is>
          <t>identity</t>
        </is>
      </c>
      <c r="V52" t="inlineStr">
        <is>
          <t>identity-v1</t>
        </is>
      </c>
      <c r="X52" t="inlineStr">
        <is>
          <t>1</t>
        </is>
      </c>
      <c r="Y52" t="inlineStr">
        <is>
          <t>1</t>
        </is>
      </c>
      <c r="Z52" t="inlineStr">
        <is>
          <t>unknown</t>
        </is>
      </c>
      <c r="AE52" t="inlineStr">
        <is>
          <t>settled</t>
        </is>
      </c>
      <c r="AF52" t="inlineStr">
        <is>
          <t>win</t>
        </is>
      </c>
      <c r="AG52" t="n">
        <v>0.909091</v>
      </c>
    </row>
    <row r="53">
      <c r="A53" t="inlineStr">
        <is>
          <t>2026-07-18T18:00:00Z</t>
        </is>
      </c>
      <c r="C53" t="inlineStr">
        <is>
          <t>wnba</t>
        </is>
      </c>
      <c r="D53" t="inlineStr">
        <is>
          <t>Portland Fire</t>
        </is>
      </c>
      <c r="E53" t="inlineStr">
        <is>
          <t>Minnesota Lynx</t>
        </is>
      </c>
      <c r="F53" t="inlineStr">
        <is>
          <t>moneyline</t>
        </is>
      </c>
      <c r="G53" t="inlineStr">
        <is>
          <t>Minnesota Lynx</t>
        </is>
      </c>
      <c r="I53" t="inlineStr">
        <is>
          <t>polymarket</t>
        </is>
      </c>
      <c r="J53" t="n">
        <v>-110</v>
      </c>
      <c r="K53" t="n">
        <v>0.7417</v>
      </c>
      <c r="M53" t="inlineStr">
        <is>
          <t>wnba-elo-trend-lr-v3</t>
        </is>
      </c>
      <c r="P53" t="inlineStr">
        <is>
          <t>analyst_estimate</t>
        </is>
      </c>
      <c r="Q53" t="inlineStr">
        <is>
          <t>research</t>
        </is>
      </c>
      <c r="U53" t="inlineStr">
        <is>
          <t>identity</t>
        </is>
      </c>
      <c r="V53" t="inlineStr">
        <is>
          <t>identity-v1</t>
        </is>
      </c>
      <c r="X53" t="inlineStr">
        <is>
          <t>1</t>
        </is>
      </c>
      <c r="Y53" t="inlineStr">
        <is>
          <t>1</t>
        </is>
      </c>
      <c r="Z53" t="inlineStr">
        <is>
          <t>unknown</t>
        </is>
      </c>
      <c r="AE53" t="inlineStr">
        <is>
          <t>settled</t>
        </is>
      </c>
      <c r="AF53" t="inlineStr">
        <is>
          <t>win</t>
        </is>
      </c>
      <c r="AG53" t="n">
        <v>0.909091</v>
      </c>
    </row>
    <row r="54">
      <c r="A54" t="inlineStr">
        <is>
          <t>2026-07-18T18:00:00Z</t>
        </is>
      </c>
      <c r="C54" t="inlineStr">
        <is>
          <t>wnba</t>
        </is>
      </c>
      <c r="D54" t="inlineStr">
        <is>
          <t>New York Liberty</t>
        </is>
      </c>
      <c r="E54" t="inlineStr">
        <is>
          <t>Indiana Fever</t>
        </is>
      </c>
      <c r="F54" t="inlineStr">
        <is>
          <t>moneyline</t>
        </is>
      </c>
      <c r="G54" t="inlineStr">
        <is>
          <t>New York Liberty</t>
        </is>
      </c>
      <c r="I54" t="inlineStr">
        <is>
          <t>polymarket</t>
        </is>
      </c>
      <c r="J54" t="n">
        <v>-110</v>
      </c>
      <c r="K54" t="n">
        <v>0.4038</v>
      </c>
      <c r="M54" t="inlineStr">
        <is>
          <t>wnba-elo-trend-lr-v3</t>
        </is>
      </c>
      <c r="P54" t="inlineStr">
        <is>
          <t>analyst_estimate</t>
        </is>
      </c>
      <c r="Q54" t="inlineStr">
        <is>
          <t>research</t>
        </is>
      </c>
      <c r="U54" t="inlineStr">
        <is>
          <t>identity</t>
        </is>
      </c>
      <c r="V54" t="inlineStr">
        <is>
          <t>identity-v1</t>
        </is>
      </c>
      <c r="X54" t="inlineStr">
        <is>
          <t>1</t>
        </is>
      </c>
      <c r="Y54" t="inlineStr">
        <is>
          <t>1</t>
        </is>
      </c>
      <c r="Z54" t="inlineStr">
        <is>
          <t>unknown</t>
        </is>
      </c>
      <c r="AE54" t="inlineStr">
        <is>
          <t>settled</t>
        </is>
      </c>
      <c r="AF54" t="inlineStr">
        <is>
          <t>loss</t>
        </is>
      </c>
      <c r="AG54" t="n">
        <v>-1</v>
      </c>
    </row>
    <row r="55">
      <c r="A55" t="inlineStr">
        <is>
          <t>2026-07-18T18:00:00Z</t>
        </is>
      </c>
      <c r="C55" t="inlineStr">
        <is>
          <t>wnba</t>
        </is>
      </c>
      <c r="D55" t="inlineStr">
        <is>
          <t>Washington Mystics</t>
        </is>
      </c>
      <c r="E55" t="inlineStr">
        <is>
          <t>Golden State Valkyries</t>
        </is>
      </c>
      <c r="F55" t="inlineStr">
        <is>
          <t>moneyline</t>
        </is>
      </c>
      <c r="G55" t="inlineStr">
        <is>
          <t>Golden State Valkyries</t>
        </is>
      </c>
      <c r="I55" t="inlineStr">
        <is>
          <t>polymarket</t>
        </is>
      </c>
      <c r="J55" t="n">
        <v>-110</v>
      </c>
      <c r="K55" t="n">
        <v>0.7439</v>
      </c>
      <c r="M55" t="inlineStr">
        <is>
          <t>wnba-elo-trend-lr-v3</t>
        </is>
      </c>
      <c r="P55" t="inlineStr">
        <is>
          <t>analyst_estimate</t>
        </is>
      </c>
      <c r="Q55" t="inlineStr">
        <is>
          <t>research</t>
        </is>
      </c>
      <c r="U55" t="inlineStr">
        <is>
          <t>identity</t>
        </is>
      </c>
      <c r="V55" t="inlineStr">
        <is>
          <t>identity-v1</t>
        </is>
      </c>
      <c r="X55" t="inlineStr">
        <is>
          <t>1</t>
        </is>
      </c>
      <c r="Y55" t="inlineStr">
        <is>
          <t>1</t>
        </is>
      </c>
      <c r="Z55" t="inlineStr">
        <is>
          <t>unknown</t>
        </is>
      </c>
      <c r="AE55" t="inlineStr">
        <is>
          <t>settled</t>
        </is>
      </c>
      <c r="AF55" t="inlineStr">
        <is>
          <t>win</t>
        </is>
      </c>
      <c r="AG55" t="n">
        <v>0.909091</v>
      </c>
    </row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2026-07-19T00:00Z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0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0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18" customHeight="1">
      <c r="A3" s="24" t="inlineStr">
        <is>
          <t>607e61329ed3424c</t>
        </is>
      </c>
      <c r="B3" s="24" t="inlineStr">
        <is>
          <t>2026-07-17T14:02:17Z</t>
        </is>
      </c>
      <c r="C3" s="24" t="inlineStr">
        <is>
          <t>2026-07-17T23:30Z</t>
        </is>
      </c>
      <c r="D3" s="24" t="inlineStr">
        <is>
          <t>401857073</t>
        </is>
      </c>
      <c r="E3" s="24" t="inlineStr">
        <is>
          <t>WNBA</t>
        </is>
      </c>
      <c r="F3" s="24" t="inlineStr">
        <is>
          <t>Seattle Storm</t>
        </is>
      </c>
      <c r="G3" s="24" t="inlineStr">
        <is>
          <t>Indiana Fever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-354</v>
      </c>
      <c r="M3" s="39" t="n">
        <v>1.282</v>
      </c>
      <c r="N3" s="28" t="n">
        <v>0.78</v>
      </c>
      <c r="O3" s="28" t="n">
        <v>0.6207</v>
      </c>
      <c r="P3" s="28" t="n"/>
      <c r="Q3" s="28" t="n">
        <v>-0.1593</v>
      </c>
      <c r="R3" s="26" t="n"/>
      <c r="S3" s="29" t="n">
        <v>1</v>
      </c>
      <c r="T3" s="24" t="inlineStr">
        <is>
          <t>wnba-elo-trend-lr-v3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107</v>
      </c>
      <c r="X3" s="26" t="n">
        <v>110</v>
      </c>
      <c r="Y3" s="38" t="n"/>
      <c r="Z3" s="26" t="n"/>
      <c r="AA3" s="28" t="n"/>
      <c r="AB3" s="28" t="n"/>
      <c r="AC3" s="40" t="n">
        <v>0.282</v>
      </c>
      <c r="AD3" s="24" t="inlineStr">
        <is>
          <t>2026-07-18T14:36:00Z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QUALIFIED_SHADOW_CALL</t>
        </is>
      </c>
      <c r="AL3" s="26" t="n">
        <v>1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CALL_LEARNED_CONFIDENCE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learned</t>
        </is>
      </c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38" t="n"/>
      <c r="BK3" s="26" t="n">
        <v>-354</v>
      </c>
      <c r="BL3" s="39" t="n">
        <v>1.282</v>
      </c>
      <c r="BM3" s="28" t="n">
        <v>0.78</v>
      </c>
      <c r="BN3" s="28" t="n">
        <v>0.78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/>
      <c r="BY3" s="39" t="n"/>
      <c r="BZ3" s="24" t="n"/>
      <c r="CA3" s="31" t="n"/>
    </row>
    <row r="4" ht="36" customHeight="1">
      <c r="A4" s="24" t="inlineStr">
        <is>
          <t>931feaf381a247bc</t>
        </is>
      </c>
      <c r="B4" s="24" t="inlineStr">
        <is>
          <t>2026-07-18T16:16:11.093520Z</t>
        </is>
      </c>
      <c r="C4" s="24" t="inlineStr">
        <is>
          <t>2026-07-18T20:10Z</t>
        </is>
      </c>
      <c r="D4" s="24" t="inlineStr">
        <is>
          <t>401816163</t>
        </is>
      </c>
      <c r="E4" s="24" t="inlineStr">
        <is>
          <t>MLB</t>
        </is>
      </c>
      <c r="F4" s="24" t="inlineStr">
        <is>
          <t>Miami Marlins</t>
        </is>
      </c>
      <c r="G4" s="24" t="inlineStr">
        <is>
          <t>Milwaukee Brewers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-133</v>
      </c>
      <c r="M4" s="39" t="n">
        <v>1.75188</v>
      </c>
      <c r="N4" s="28" t="n">
        <v>0.570815</v>
      </c>
      <c r="O4" s="28" t="n">
        <v>0.608753</v>
      </c>
      <c r="P4" s="28" t="n"/>
      <c r="Q4" s="28" t="n">
        <v>0.037938</v>
      </c>
      <c r="R4" s="26" t="n">
        <v>69</v>
      </c>
      <c r="S4" s="29" t="n">
        <v>0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win</t>
        </is>
      </c>
      <c r="W4" s="26" t="n">
        <v>6</v>
      </c>
      <c r="X4" s="26" t="n">
        <v>8</v>
      </c>
      <c r="Y4" s="38" t="n"/>
      <c r="Z4" s="26" t="n"/>
      <c r="AA4" s="28" t="n"/>
      <c r="AB4" s="28" t="n"/>
      <c r="AC4" s="40" t="n">
        <v>0</v>
      </c>
      <c r="AD4" s="24" t="inlineStr">
        <is>
          <t>2026-07-18T23:59:20.431552Z</t>
        </is>
      </c>
      <c r="AE4" s="31" t="inlineStr">
        <is>
          <t>Learned LR call at threshold 0.6000; executable ask 0.5700 (aec-mlb-mia-mil-2026-07-18).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mlb-mia</t>
        </is>
      </c>
      <c r="AQ4" s="24" t="inlineStr">
        <is>
          <t>Miami Marlins</t>
        </is>
      </c>
      <c r="AR4" s="24" t="inlineStr">
        <is>
          <t>Miami Marlins</t>
        </is>
      </c>
      <c r="AS4" s="24" t="inlineStr">
        <is>
          <t>mlb-mil</t>
        </is>
      </c>
      <c r="AT4" s="24" t="inlineStr">
        <is>
          <t>Milwaukee Brewers</t>
        </is>
      </c>
      <c r="AU4" s="24" t="inlineStr">
        <is>
          <t>Milwaukee Brewers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117c03794b1d1031deec3bd4cce88c9158bebd0622c621defd0aab3eb37c0a6e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117c03794b1d1031deec3bd4cce88c9158bebd0622c621defd0aab3eb37c0a6e</t>
        </is>
      </c>
      <c r="BE4" s="24" t="inlineStr">
        <is>
          <t>0f54459b91a18ff1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2026-07-18T16:15:15.200995Z</t>
        </is>
      </c>
      <c r="BI4" s="24" t="inlineStr">
        <is>
          <t>["same_event","same_team_same_day","same_league_same_day"]</t>
        </is>
      </c>
      <c r="BJ4" s="38" t="n"/>
      <c r="BK4" s="26" t="n">
        <v>-133</v>
      </c>
      <c r="BL4" s="39" t="n">
        <v>1.75188</v>
      </c>
      <c r="BM4" s="28" t="n">
        <v>0.570815</v>
      </c>
      <c r="BN4" s="28" t="n">
        <v>0.567164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0.75188</v>
      </c>
      <c r="BZ4" s="24" t="inlineStr">
        <is>
          <t>2026-07-18T23:59:20.431552Z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8789a71883f94701</t>
        </is>
      </c>
      <c r="B5" s="24" t="inlineStr">
        <is>
          <t>2026-07-18T16:44:20.099051Z</t>
        </is>
      </c>
      <c r="C5" s="24" t="inlineStr">
        <is>
          <t>2026-07-18T17:10Z</t>
        </is>
      </c>
      <c r="D5" s="24" t="inlineStr">
        <is>
          <t>401896568</t>
        </is>
      </c>
      <c r="E5" s="24" t="inlineStr">
        <is>
          <t>MLB</t>
        </is>
      </c>
      <c r="F5" s="24" t="inlineStr">
        <is>
          <t>Pittsburgh Pirates</t>
        </is>
      </c>
      <c r="G5" s="24" t="inlineStr">
        <is>
          <t>Cleveland Guardians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-102</v>
      </c>
      <c r="M5" s="39" t="n">
        <v>1.980392</v>
      </c>
      <c r="N5" s="28" t="n">
        <v>0.50495</v>
      </c>
      <c r="O5" s="28" t="n">
        <v>0.554084</v>
      </c>
      <c r="P5" s="28" t="n"/>
      <c r="Q5" s="28" t="n">
        <v>0.049134</v>
      </c>
      <c r="R5" s="26" t="n">
        <v>75</v>
      </c>
      <c r="S5" s="29" t="n">
        <v>0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1</v>
      </c>
      <c r="Y5" s="38" t="n"/>
      <c r="Z5" s="26" t="n"/>
      <c r="AA5" s="28" t="n"/>
      <c r="AB5" s="28" t="n"/>
      <c r="AC5" s="40" t="n">
        <v>0</v>
      </c>
      <c r="AD5" s="24" t="inlineStr">
        <is>
          <t>2026-07-18T21:05:56.909771Z</t>
        </is>
      </c>
      <c r="AE5" s="31" t="inlineStr">
        <is>
          <t>Learned LR call at threshold 0.5500; executable ask 0.5050 (aec-mlb-pit-cle-2026-07-18).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mlb-pit</t>
        </is>
      </c>
      <c r="AQ5" s="24" t="inlineStr">
        <is>
          <t>Pittsburgh Pirates</t>
        </is>
      </c>
      <c r="AR5" s="24" t="inlineStr">
        <is>
          <t>Pittsburgh Pirates</t>
        </is>
      </c>
      <c r="AS5" s="24" t="inlineStr">
        <is>
          <t>mlb-cle</t>
        </is>
      </c>
      <c r="AT5" s="24" t="inlineStr">
        <is>
          <t>Cleveland Guardians</t>
        </is>
      </c>
      <c r="AU5" s="24" t="inlineStr">
        <is>
          <t>Cleveland Guardians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6df496ff8b2da9c6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2026-07-18T16:42:59.880808Z</t>
        </is>
      </c>
      <c r="BI5" s="24" t="inlineStr">
        <is>
          <t>["same_event","same_team_same_day","same_league_same_day"]</t>
        </is>
      </c>
      <c r="BJ5" s="38" t="n"/>
      <c r="BK5" s="26" t="n">
        <v>-102</v>
      </c>
      <c r="BL5" s="39" t="n">
        <v>1.980392</v>
      </c>
      <c r="BM5" s="28" t="n">
        <v>0.50495</v>
      </c>
      <c r="BN5" s="28" t="n">
        <v>0.502488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-1</v>
      </c>
      <c r="BZ5" s="24" t="inlineStr">
        <is>
          <t>2026-07-18T21:05:56.909771Z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512e4ebfdf1a456e</t>
        </is>
      </c>
      <c r="B6" s="24" t="inlineStr">
        <is>
          <t>2026-07-18T16:44:20.099051Z</t>
        </is>
      </c>
      <c r="C6" s="24" t="inlineStr">
        <is>
          <t>2026-07-18T18:20Z</t>
        </is>
      </c>
      <c r="D6" s="24" t="inlineStr">
        <is>
          <t>401816164</t>
        </is>
      </c>
      <c r="E6" s="24" t="inlineStr">
        <is>
          <t>MLB</t>
        </is>
      </c>
      <c r="F6" s="24" t="inlineStr">
        <is>
          <t>Minnesota Twins</t>
        </is>
      </c>
      <c r="G6" s="24" t="inlineStr">
        <is>
          <t>Chicago Cubs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-133</v>
      </c>
      <c r="M6" s="39" t="n">
        <v>1.75188</v>
      </c>
      <c r="N6" s="28" t="n">
        <v>0.570815</v>
      </c>
      <c r="O6" s="28" t="n">
        <v>0.608363</v>
      </c>
      <c r="P6" s="28" t="n"/>
      <c r="Q6" s="28" t="n">
        <v>0.037548</v>
      </c>
      <c r="R6" s="26" t="n">
        <v>69</v>
      </c>
      <c r="S6" s="29" t="n">
        <v>0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6</v>
      </c>
      <c r="Y6" s="38" t="n"/>
      <c r="Z6" s="26" t="n"/>
      <c r="AA6" s="28" t="n"/>
      <c r="AB6" s="28" t="n"/>
      <c r="AC6" s="40" t="n">
        <v>0</v>
      </c>
      <c r="AD6" s="24" t="inlineStr">
        <is>
          <t>2026-07-18T21:05:56.984438Z</t>
        </is>
      </c>
      <c r="AE6" s="31" t="inlineStr">
        <is>
          <t>Learned LR call at threshold 0.5500; executable ask 0.5700 (aec-mlb-min-chc-2026-07-18).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mlb-min</t>
        </is>
      </c>
      <c r="AQ6" s="24" t="inlineStr">
        <is>
          <t>Minnesota Twins</t>
        </is>
      </c>
      <c r="AR6" s="24" t="inlineStr">
        <is>
          <t>Minnesota Twins</t>
        </is>
      </c>
      <c r="AS6" s="24" t="inlineStr">
        <is>
          <t>mlb-chc</t>
        </is>
      </c>
      <c r="AT6" s="24" t="inlineStr">
        <is>
          <t>Chicago Cubs</t>
        </is>
      </c>
      <c r="AU6" s="24" t="inlineStr">
        <is>
          <t>Chicago Cubs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7166685f6e68e237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2026-07-18T16:42:49.506840Z</t>
        </is>
      </c>
      <c r="BI6" s="24" t="inlineStr">
        <is>
          <t>["same_event","same_team_same_day","same_league_same_day"]</t>
        </is>
      </c>
      <c r="BJ6" s="38" t="n"/>
      <c r="BK6" s="26" t="n">
        <v>-133</v>
      </c>
      <c r="BL6" s="39" t="n">
        <v>1.75188</v>
      </c>
      <c r="BM6" s="28" t="n">
        <v>0.570815</v>
      </c>
      <c r="BN6" s="28" t="n">
        <v>0.567164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0.75188</v>
      </c>
      <c r="BZ6" s="24" t="inlineStr">
        <is>
          <t>2026-07-18T21:05:56.984438Z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80b7c78aaffb4905</t>
        </is>
      </c>
      <c r="B7" s="24" t="inlineStr">
        <is>
          <t>2026-07-18T16:44:20.099051Z</t>
        </is>
      </c>
      <c r="C7" s="24" t="inlineStr">
        <is>
          <t>2026-07-18T19:07Z</t>
        </is>
      </c>
      <c r="D7" s="24" t="inlineStr">
        <is>
          <t>401816156</t>
        </is>
      </c>
      <c r="E7" s="24" t="inlineStr">
        <is>
          <t>MLB</t>
        </is>
      </c>
      <c r="F7" s="24" t="inlineStr">
        <is>
          <t>Chicago White Sox</t>
        </is>
      </c>
      <c r="G7" s="24" t="inlineStr">
        <is>
          <t>Toronto Blue Jays</t>
        </is>
      </c>
      <c r="H7" s="24" t="inlineStr">
        <is>
          <t>moneyline</t>
        </is>
      </c>
      <c r="I7" s="24" t="inlineStr">
        <is>
          <t>home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0.5767679999999999</v>
      </c>
      <c r="P7" s="28" t="n"/>
      <c r="Q7" s="28" t="n">
        <v>0.066964</v>
      </c>
      <c r="R7" s="26" t="n">
        <v>83</v>
      </c>
      <c r="S7" s="29" t="n">
        <v>0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38" t="n"/>
      <c r="Z7" s="26" t="n"/>
      <c r="AA7" s="28" t="n"/>
      <c r="AB7" s="28" t="n"/>
      <c r="AC7" s="40" t="n">
        <v>0</v>
      </c>
      <c r="AD7" s="24" t="inlineStr">
        <is>
          <t>2026-07-18T23:59:20.512474Z</t>
        </is>
      </c>
      <c r="AE7" s="31" t="inlineStr">
        <is>
          <t>Learned LR call at threshold 0.5500; executable ask 0.5100 (aec-mlb-cws-tor-2026-07-18).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mlb-cws</t>
        </is>
      </c>
      <c r="AQ7" s="24" t="inlineStr">
        <is>
          <t>Chicago White Sox</t>
        </is>
      </c>
      <c r="AR7" s="24" t="inlineStr">
        <is>
          <t>Chicago White Sox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990421d336b67011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2026-07-18T16:42:50.404282Z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0.961538</v>
      </c>
      <c r="BZ7" s="24" t="inlineStr">
        <is>
          <t>2026-07-18T23:59:20.512474Z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c7e4de168a8f4e3d</t>
        </is>
      </c>
      <c r="B8" s="24" t="inlineStr">
        <is>
          <t>2026-07-18T16:44:20.099051Z</t>
        </is>
      </c>
      <c r="C8" s="24" t="inlineStr">
        <is>
          <t>2026-07-18T19:10Z</t>
        </is>
      </c>
      <c r="D8" s="24" t="inlineStr">
        <is>
          <t>401816166</t>
        </is>
      </c>
      <c r="E8" s="24" t="inlineStr">
        <is>
          <t>MLB</t>
        </is>
      </c>
      <c r="F8" s="24" t="inlineStr">
        <is>
          <t>Cincinnati Reds</t>
        </is>
      </c>
      <c r="G8" s="24" t="inlineStr">
        <is>
          <t>Colorado Rockies</t>
        </is>
      </c>
      <c r="H8" s="24" t="inlineStr">
        <is>
          <t>moneyline</t>
        </is>
      </c>
      <c r="I8" s="24" t="inlineStr">
        <is>
          <t>away</t>
        </is>
      </c>
      <c r="J8" s="38" t="n"/>
      <c r="K8" s="24" t="inlineStr">
        <is>
          <t>polymarket_us</t>
        </is>
      </c>
      <c r="L8" s="26" t="n">
        <v>-104</v>
      </c>
      <c r="M8" s="39" t="n">
        <v>1.961538</v>
      </c>
      <c r="N8" s="28" t="n">
        <v>0.509804</v>
      </c>
      <c r="O8" s="28" t="n">
        <v>0.582367</v>
      </c>
      <c r="P8" s="28" t="n"/>
      <c r="Q8" s="28" t="n">
        <v>0.072563</v>
      </c>
      <c r="R8" s="26" t="n">
        <v>86</v>
      </c>
      <c r="S8" s="29" t="n">
        <v>0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10</v>
      </c>
      <c r="Y8" s="38" t="n"/>
      <c r="Z8" s="26" t="n"/>
      <c r="AA8" s="28" t="n"/>
      <c r="AB8" s="28" t="n"/>
      <c r="AC8" s="40" t="n">
        <v>0</v>
      </c>
      <c r="AD8" s="24" t="inlineStr">
        <is>
          <t>2026-07-18T23:59:20.572146Z</t>
        </is>
      </c>
      <c r="AE8" s="31" t="inlineStr">
        <is>
          <t>Learned LR call at threshold 0.5500; executable ask 0.5100 (aec-mlb-cin-col-2026-07-18).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mlb-cin</t>
        </is>
      </c>
      <c r="AQ8" s="24" t="inlineStr">
        <is>
          <t>Cincinnati Reds</t>
        </is>
      </c>
      <c r="AR8" s="24" t="inlineStr">
        <is>
          <t>Cincinnati Reds</t>
        </is>
      </c>
      <c r="AS8" s="24" t="inlineStr">
        <is>
          <t>mlb-col</t>
        </is>
      </c>
      <c r="AT8" s="24" t="inlineStr">
        <is>
          <t>Colorado Rockies</t>
        </is>
      </c>
      <c r="AU8" s="24" t="inlineStr">
        <is>
          <t>Colorado Rockies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4215d10b9bfb4b91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2026-07-18T16:42:52.313468Z</t>
        </is>
      </c>
      <c r="BI8" s="24" t="inlineStr">
        <is>
          <t>["same_event","same_team_same_day","same_league_same_day"]</t>
        </is>
      </c>
      <c r="BJ8" s="38" t="n"/>
      <c r="BK8" s="26" t="n">
        <v>-104</v>
      </c>
      <c r="BL8" s="39" t="n">
        <v>1.961538</v>
      </c>
      <c r="BM8" s="28" t="n">
        <v>0.509804</v>
      </c>
      <c r="BN8" s="28" t="n">
        <v>0.507463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2026-07-18T23:59:20.572146Z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2ec6744dbfd84ecf</t>
        </is>
      </c>
      <c r="B9" s="24" t="inlineStr">
        <is>
          <t>2026-07-18T16:44:20.099051Z</t>
        </is>
      </c>
      <c r="C9" s="24" t="inlineStr">
        <is>
          <t>2026-07-18T20:10Z</t>
        </is>
      </c>
      <c r="D9" s="24" t="inlineStr">
        <is>
          <t>401816161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Atlanta Braves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-106</v>
      </c>
      <c r="M9" s="39" t="n">
        <v>1.943396</v>
      </c>
      <c r="N9" s="28" t="n">
        <v>0.514563</v>
      </c>
      <c r="O9" s="28" t="n">
        <v>0.550297</v>
      </c>
      <c r="P9" s="28" t="n"/>
      <c r="Q9" s="28" t="n">
        <v>0.035734</v>
      </c>
      <c r="R9" s="26" t="n">
        <v>68</v>
      </c>
      <c r="S9" s="29" t="n">
        <v>0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loss</t>
        </is>
      </c>
      <c r="W9" s="26" t="n">
        <v>7</v>
      </c>
      <c r="X9" s="26" t="n">
        <v>6</v>
      </c>
      <c r="Y9" s="38" t="n"/>
      <c r="Z9" s="26" t="n"/>
      <c r="AA9" s="28" t="n"/>
      <c r="AB9" s="28" t="n"/>
      <c r="AC9" s="40" t="n">
        <v>0</v>
      </c>
      <c r="AD9" s="24" t="inlineStr">
        <is>
          <t>2026-07-18T23:59:20.634092Z</t>
        </is>
      </c>
      <c r="AE9" s="31" t="inlineStr">
        <is>
          <t>Learned LR call at threshold 0.5500; executable ask 0.5150 (aec-mlb-tex-atl-2026-07-18).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mlb-atl</t>
        </is>
      </c>
      <c r="AT9" s="24" t="inlineStr">
        <is>
          <t>Atlanta Braves</t>
        </is>
      </c>
      <c r="AU9" s="24" t="inlineStr">
        <is>
          <t>Atlanta Braves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a999da31a6f5af28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2026-07-18T16:42:57.199270Z</t>
        </is>
      </c>
      <c r="BI9" s="24" t="inlineStr">
        <is>
          <t>["same_event","same_team_same_day","same_league_same_day"]</t>
        </is>
      </c>
      <c r="BJ9" s="38" t="n"/>
      <c r="BK9" s="26" t="n">
        <v>-106</v>
      </c>
      <c r="BL9" s="39" t="n">
        <v>1.943396</v>
      </c>
      <c r="BM9" s="28" t="n">
        <v>0.514563</v>
      </c>
      <c r="BN9" s="28" t="n">
        <v>0.5124379999999999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-1</v>
      </c>
      <c r="BZ9" s="24" t="inlineStr">
        <is>
          <t>2026-07-18T23:59:20.634092Z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634e9b9c56164f59</t>
        </is>
      </c>
      <c r="B10" s="24" t="inlineStr">
        <is>
          <t>2026-07-18T16:44:20.099051Z</t>
        </is>
      </c>
      <c r="C10" s="24" t="inlineStr">
        <is>
          <t>2026-07-18T23:10Z</t>
        </is>
      </c>
      <c r="D10" s="24" t="inlineStr">
        <is>
          <t>401816159</t>
        </is>
      </c>
      <c r="E10" s="24" t="inlineStr">
        <is>
          <t>MLB</t>
        </is>
      </c>
      <c r="F10" s="24" t="inlineStr">
        <is>
          <t>Pittsburgh Pirates</t>
        </is>
      </c>
      <c r="G10" s="24" t="inlineStr">
        <is>
          <t>Cleveland Guardians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-102</v>
      </c>
      <c r="M10" s="39" t="n">
        <v>1.980392</v>
      </c>
      <c r="N10" s="28" t="n">
        <v>0.50495</v>
      </c>
      <c r="O10" s="28" t="n">
        <v>0.554084</v>
      </c>
      <c r="P10" s="28" t="n"/>
      <c r="Q10" s="28" t="n">
        <v>0.049134</v>
      </c>
      <c r="R10" s="26" t="n">
        <v>75</v>
      </c>
      <c r="S10" s="29" t="n">
        <v>0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1</v>
      </c>
      <c r="Y10" s="38" t="n"/>
      <c r="Z10" s="26" t="n"/>
      <c r="AA10" s="28" t="n"/>
      <c r="AB10" s="28" t="n"/>
      <c r="AC10" s="40" t="n">
        <v>0</v>
      </c>
      <c r="AD10" s="24" t="inlineStr">
        <is>
          <t>2026-07-18T23:59:20.697637Z</t>
        </is>
      </c>
      <c r="AE10" s="31" t="inlineStr">
        <is>
          <t>Learned LR call at threshold 0.5500; executable ask 0.5050 (aec-mlb-pit-cle-2026-07-18).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mlb-pit</t>
        </is>
      </c>
      <c r="AQ10" s="24" t="inlineStr">
        <is>
          <t>Pittsburgh Pirates</t>
        </is>
      </c>
      <c r="AR10" s="24" t="inlineStr">
        <is>
          <t>Pittsburgh Pirates</t>
        </is>
      </c>
      <c r="AS10" s="24" t="inlineStr">
        <is>
          <t>mlb-cle</t>
        </is>
      </c>
      <c r="AT10" s="24" t="inlineStr">
        <is>
          <t>Cleveland Guardians</t>
        </is>
      </c>
      <c r="AU10" s="24" t="inlineStr">
        <is>
          <t>Cleveland Guardians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3c0f9e9f1d0333c4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2026-07-18T16:42:59.880808Z</t>
        </is>
      </c>
      <c r="BI10" s="24" t="inlineStr">
        <is>
          <t>["same_event","same_team_same_day","same_league_same_day"]</t>
        </is>
      </c>
      <c r="BJ10" s="38" t="n"/>
      <c r="BK10" s="26" t="n">
        <v>-102</v>
      </c>
      <c r="BL10" s="39" t="n">
        <v>1.980392</v>
      </c>
      <c r="BM10" s="28" t="n">
        <v>0.50495</v>
      </c>
      <c r="BN10" s="28" t="n">
        <v>0.502488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-1</v>
      </c>
      <c r="BZ10" s="24" t="inlineStr">
        <is>
          <t>2026-07-18T23:59:20.697637Z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0a1abd6e59a84720</t>
        </is>
      </c>
      <c r="B11" s="24" t="inlineStr">
        <is>
          <t>2026-07-18T16:44:20.099051Z</t>
        </is>
      </c>
      <c r="C11" s="24" t="inlineStr">
        <is>
          <t>2026-07-19T00:08Z</t>
        </is>
      </c>
      <c r="D11" s="24" t="inlineStr">
        <is>
          <t>401816168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-138</v>
      </c>
      <c r="M11" s="39" t="n">
        <v>1.724638</v>
      </c>
      <c r="N11" s="28" t="n">
        <v>0.579832</v>
      </c>
      <c r="O11" s="28" t="n">
        <v>0.627758</v>
      </c>
      <c r="P11" s="28" t="n"/>
      <c r="Q11" s="28" t="n">
        <v>0.047926</v>
      </c>
      <c r="R11" s="26" t="n">
        <v>74</v>
      </c>
      <c r="S11" s="29" t="n">
        <v>0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4</v>
      </c>
      <c r="Y11" s="38" t="n"/>
      <c r="Z11" s="26" t="n"/>
      <c r="AA11" s="28" t="n"/>
      <c r="AB11" s="28" t="n"/>
      <c r="AC11" s="40" t="n">
        <v>0</v>
      </c>
      <c r="AD11" s="24" t="inlineStr">
        <is>
          <t>2026-07-19T06:08:38.177875Z</t>
        </is>
      </c>
      <c r="AE11" s="31" t="inlineStr">
        <is>
          <t>Learned LR call at threshold 0.5500; executable ask 0.5800 (aec-mlb-sf-sea-2026-07-18).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mlb-sf</t>
        </is>
      </c>
      <c r="AQ11" s="24" t="inlineStr">
        <is>
          <t>San Francisco Giants</t>
        </is>
      </c>
      <c r="AR11" s="24" t="inlineStr">
        <is>
          <t>San Francisco Giants</t>
        </is>
      </c>
      <c r="AS11" s="24" t="inlineStr">
        <is>
          <t>mlb-sea</t>
        </is>
      </c>
      <c r="AT11" s="24" t="inlineStr">
        <is>
          <t>Seattle Mariners</t>
        </is>
      </c>
      <c r="AU11" s="24" t="inlineStr">
        <is>
          <t>Seattle Mariners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29d502a7704e228f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2026-07-18T16:43:04.779295Z</t>
        </is>
      </c>
      <c r="BI11" s="24" t="inlineStr">
        <is>
          <t>["same_event","same_team_same_day","same_league_same_day"]</t>
        </is>
      </c>
      <c r="BJ11" s="38" t="n"/>
      <c r="BK11" s="26" t="n">
        <v>-138</v>
      </c>
      <c r="BL11" s="39" t="n">
        <v>1.724638</v>
      </c>
      <c r="BM11" s="28" t="n">
        <v>0.579832</v>
      </c>
      <c r="BN11" s="28" t="n">
        <v>0.577114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0.724638</v>
      </c>
      <c r="BZ11" s="24" t="inlineStr">
        <is>
          <t>2026-07-19T06:08:38.177875Z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534daa3057c4428f</t>
        </is>
      </c>
      <c r="B12" s="24" t="inlineStr">
        <is>
          <t>2026-07-18T16:44:20.099051Z</t>
        </is>
      </c>
      <c r="C12" s="24" t="inlineStr">
        <is>
          <t>2026-07-19T02:05Z</t>
        </is>
      </c>
      <c r="D12" s="24" t="inlineStr">
        <is>
          <t>401816170</t>
        </is>
      </c>
      <c r="E12" s="24" t="inlineStr">
        <is>
          <t>MLB</t>
        </is>
      </c>
      <c r="F12" s="24" t="inlineStr">
        <is>
          <t>Washington Nationals</t>
        </is>
      </c>
      <c r="G12" s="24" t="inlineStr">
        <is>
          <t>Athletics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102</v>
      </c>
      <c r="M12" s="39" t="n">
        <v>2.02</v>
      </c>
      <c r="N12" s="28" t="n">
        <v>0.49505</v>
      </c>
      <c r="O12" s="28" t="n">
        <v>0.569735</v>
      </c>
      <c r="P12" s="28" t="n"/>
      <c r="Q12" s="28" t="n">
        <v>0.074685</v>
      </c>
      <c r="R12" s="26" t="n">
        <v>87</v>
      </c>
      <c r="S12" s="29" t="n">
        <v>0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15</v>
      </c>
      <c r="Y12" s="38" t="n"/>
      <c r="Z12" s="26" t="n"/>
      <c r="AA12" s="28" t="n"/>
      <c r="AB12" s="28" t="n"/>
      <c r="AC12" s="40" t="n">
        <v>0</v>
      </c>
      <c r="AD12" s="24" t="inlineStr">
        <is>
          <t>2026-07-19T06:08:38.355137Z</t>
        </is>
      </c>
      <c r="AE12" s="31" t="inlineStr">
        <is>
          <t>Learned LR call at threshold 0.5500; executable ask 0.4950 (aec-mlb-wsh-ath-2026-07-18).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mlb-wsh</t>
        </is>
      </c>
      <c r="AQ12" s="24" t="inlineStr">
        <is>
          <t>Washington Nationals</t>
        </is>
      </c>
      <c r="AR12" s="24" t="inlineStr">
        <is>
          <t>Washington Nationals</t>
        </is>
      </c>
      <c r="AS12" s="24" t="inlineStr">
        <is>
          <t>mlb-ath</t>
        </is>
      </c>
      <c r="AT12" s="24" t="inlineStr">
        <is>
          <t>Athletics</t>
        </is>
      </c>
      <c r="AU12" s="24" t="inlineStr">
        <is>
          <t>Athletics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c97732889cfca1912f8d78791ff63f04ee3fe987951aced9e4fab541932597cd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c97732889cfca1912f8d78791ff63f04ee3fe987951aced9e4fab541932597cd</t>
        </is>
      </c>
      <c r="BE12" s="24" t="inlineStr">
        <is>
          <t>d2faed7be6c04691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2026-07-18T16:43:06.321641Z</t>
        </is>
      </c>
      <c r="BI12" s="24" t="inlineStr">
        <is>
          <t>["same_event","same_team_same_day","same_league_same_day"]</t>
        </is>
      </c>
      <c r="BJ12" s="38" t="n"/>
      <c r="BK12" s="26" t="n">
        <v>102</v>
      </c>
      <c r="BL12" s="39" t="n">
        <v>2.02</v>
      </c>
      <c r="BM12" s="28" t="n">
        <v>0.49505</v>
      </c>
      <c r="BN12" s="28" t="n">
        <v>0.492537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1.02</v>
      </c>
      <c r="BZ12" s="24" t="inlineStr">
        <is>
          <t>2026-07-19T06:08:38.355137Z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5ab4cdd6444d4f9b</t>
        </is>
      </c>
      <c r="B13" s="24" t="inlineStr">
        <is>
          <t>2026-07-18T16:50:38.270483Z</t>
        </is>
      </c>
      <c r="C13" s="24" t="inlineStr">
        <is>
          <t>2026-07-18T20:10Z</t>
        </is>
      </c>
      <c r="D13" s="24" t="inlineStr">
        <is>
          <t>401816162</t>
        </is>
      </c>
      <c r="E13" s="24" t="inlineStr">
        <is>
          <t>MLB</t>
        </is>
      </c>
      <c r="F13" s="24" t="inlineStr">
        <is>
          <t>Baltimore Orioles</t>
        </is>
      </c>
      <c r="G13" s="24" t="inlineStr">
        <is>
          <t>Houston Astros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0.545167</v>
      </c>
      <c r="P13" s="28" t="n"/>
      <c r="Q13" s="28" t="n">
        <v>0.040217</v>
      </c>
      <c r="R13" s="26" t="n">
        <v>70</v>
      </c>
      <c r="S13" s="29" t="n">
        <v>0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38" t="n"/>
      <c r="Z13" s="26" t="n"/>
      <c r="AA13" s="28" t="n"/>
      <c r="AB13" s="28" t="n"/>
      <c r="AC13" s="40" t="n">
        <v>0</v>
      </c>
      <c r="AD13" s="24" t="inlineStr">
        <is>
          <t>2026-07-18T23:59:20.760772Z</t>
        </is>
      </c>
      <c r="AE13" s="31" t="inlineStr">
        <is>
          <t>Learned LR call at threshold 0.5100; executable ask 0.5050 (aec-mlb-bal-hou-2026-07-18).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mlb-bal</t>
        </is>
      </c>
      <c r="AQ13" s="24" t="inlineStr">
        <is>
          <t>Baltimore Orioles</t>
        </is>
      </c>
      <c r="AR13" s="24" t="inlineStr">
        <is>
          <t>Baltimore Orioles</t>
        </is>
      </c>
      <c r="AS13" s="24" t="inlineStr">
        <is>
          <t>mlb-hou</t>
        </is>
      </c>
      <c r="AT13" s="24" t="inlineStr">
        <is>
          <t>Houston Astros</t>
        </is>
      </c>
      <c r="AU13" s="24" t="inlineStr">
        <is>
          <t>Houston Astros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40e5d70a6fae1347ad85569354088d9df4f2d6970f7d7c2f9d4924d65efd0c19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40e5d70a6fae1347ad85569354088d9df4f2d6970f7d7c2f9d4924d65efd0c19</t>
        </is>
      </c>
      <c r="BE13" s="24" t="inlineStr">
        <is>
          <t>f6cae9c590f4ed48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2026-07-18T16:49:31.642864Z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-1</v>
      </c>
      <c r="BZ13" s="24" t="inlineStr">
        <is>
          <t>2026-07-18T23:59:20.760772Z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87feefaaee354c43</t>
        </is>
      </c>
      <c r="B14" s="24" t="inlineStr">
        <is>
          <t>2026-07-18T16:50:38.270483Z</t>
        </is>
      </c>
      <c r="C14" s="24" t="inlineStr">
        <is>
          <t>2026-07-19T00:08Z</t>
        </is>
      </c>
      <c r="D14" s="24" t="inlineStr">
        <is>
          <t>401816157</t>
        </is>
      </c>
      <c r="E14" s="24" t="inlineStr">
        <is>
          <t>MLB</t>
        </is>
      </c>
      <c r="F14" s="24" t="inlineStr">
        <is>
          <t>Los Angeles Dodgers</t>
        </is>
      </c>
      <c r="G14" s="24" t="inlineStr">
        <is>
          <t>New York Yankees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102</v>
      </c>
      <c r="M14" s="39" t="n">
        <v>2.02</v>
      </c>
      <c r="N14" s="28" t="n">
        <v>0.49505</v>
      </c>
      <c r="O14" s="28" t="n">
        <v>0.532568</v>
      </c>
      <c r="P14" s="28" t="n"/>
      <c r="Q14" s="28" t="n">
        <v>0.037518</v>
      </c>
      <c r="R14" s="26" t="n">
        <v>69</v>
      </c>
      <c r="S14" s="29" t="n">
        <v>0</v>
      </c>
      <c r="T14" s="24" t="inlineStr">
        <is>
          <t>mlb-elo-trend-lr-v3</t>
        </is>
      </c>
      <c r="U14" s="24" t="inlineStr">
        <is>
          <t>open</t>
        </is>
      </c>
      <c r="V14" s="24" t="n"/>
      <c r="W14" s="26" t="n"/>
      <c r="X14" s="26" t="n"/>
      <c r="Y14" s="38" t="n"/>
      <c r="Z14" s="26" t="n"/>
      <c r="AA14" s="28" t="n"/>
      <c r="AB14" s="28" t="n"/>
      <c r="AC14" s="40" t="n"/>
      <c r="AD14" s="24" t="n"/>
      <c r="AE14" s="31" t="inlineStr">
        <is>
          <t>Learned LR call at threshold 0.5100; executable ask 0.4950 (aec-mlb-lad-nyy-2026-07-18).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mlb-lad</t>
        </is>
      </c>
      <c r="AQ14" s="24" t="inlineStr">
        <is>
          <t>Los Angeles Dodgers</t>
        </is>
      </c>
      <c r="AR14" s="24" t="inlineStr">
        <is>
          <t>Los Angeles Dodgers</t>
        </is>
      </c>
      <c r="AS14" s="24" t="inlineStr">
        <is>
          <t>mlb-nyy</t>
        </is>
      </c>
      <c r="AT14" s="24" t="inlineStr">
        <is>
          <t>New York Yankees</t>
        </is>
      </c>
      <c r="AU14" s="24" t="inlineStr">
        <is>
          <t>New York Yankees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40e5d70a6fae1347ad85569354088d9df4f2d6970f7d7c2f9d4924d65efd0c19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40e5d70a6fae1347ad85569354088d9df4f2d6970f7d7c2f9d4924d65efd0c19</t>
        </is>
      </c>
      <c r="BE14" s="24" t="inlineStr">
        <is>
          <t>3492e72a2faca7c7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2026-07-18T16:49:36.781770Z</t>
        </is>
      </c>
      <c r="BI14" s="24" t="inlineStr">
        <is>
          <t>["same_event","same_team_same_day","same_league_same_day"]</t>
        </is>
      </c>
      <c r="BJ14" s="38" t="n"/>
      <c r="BK14" s="26" t="n">
        <v>102</v>
      </c>
      <c r="BL14" s="39" t="n">
        <v>2.02</v>
      </c>
      <c r="BM14" s="28" t="n">
        <v>0.49505</v>
      </c>
      <c r="BN14" s="28" t="n">
        <v>0.492537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/>
      <c r="BY14" s="39" t="n"/>
      <c r="BZ14" s="24" t="n"/>
      <c r="CA14" s="31" t="n"/>
    </row>
    <row r="15" ht="36" customHeight="1">
      <c r="A15" s="24" t="inlineStr">
        <is>
          <t>6768ed78d65e4f03</t>
        </is>
      </c>
      <c r="B15" s="24" t="inlineStr">
        <is>
          <t>2026-07-18T17:28:36.828868Z</t>
        </is>
      </c>
      <c r="C15" s="24" t="inlineStr">
        <is>
          <t>2026-07-18T20:10Z</t>
        </is>
      </c>
      <c r="D15" s="24" t="inlineStr">
        <is>
          <t>401816160</t>
        </is>
      </c>
      <c r="E15" s="24" t="inlineStr">
        <is>
          <t>MLB</t>
        </is>
      </c>
      <c r="F15" s="24" t="inlineStr">
        <is>
          <t>Tampa Bay Rays</t>
        </is>
      </c>
      <c r="G15" s="24" t="inlineStr">
        <is>
          <t>Boston Red Sox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-102</v>
      </c>
      <c r="M15" s="39" t="n">
        <v>1.980392</v>
      </c>
      <c r="N15" s="28" t="n">
        <v>0.50495</v>
      </c>
      <c r="O15" s="28" t="n">
        <v>0.5727179999999999</v>
      </c>
      <c r="P15" s="28" t="n"/>
      <c r="Q15" s="28" t="n">
        <v>0.06776799999999999</v>
      </c>
      <c r="R15" s="26" t="n">
        <v>84</v>
      </c>
      <c r="S15" s="29" t="n">
        <v>0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win</t>
        </is>
      </c>
      <c r="W15" s="26" t="n">
        <v>6</v>
      </c>
      <c r="X15" s="26" t="n">
        <v>7</v>
      </c>
      <c r="Y15" s="38" t="n"/>
      <c r="Z15" s="26" t="n"/>
      <c r="AA15" s="28" t="n"/>
      <c r="AB15" s="28" t="n"/>
      <c r="AC15" s="40" t="n">
        <v>0</v>
      </c>
      <c r="AD15" s="24" t="inlineStr">
        <is>
          <t>2026-07-18T23:59:20.822768Z</t>
        </is>
      </c>
      <c r="AE15" s="31" t="inlineStr">
        <is>
          <t>Learned LR call at threshold 0.5100; executable ask 0.5050 (aec-mlb-tb-bos-2026-07-18).</t>
        </is>
      </c>
      <c r="AF15" s="31" t="inlineStr">
        <is>
          <t>Learned model; promotion gate not yet open; zero-unit research until review.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mlb-tb</t>
        </is>
      </c>
      <c r="AQ15" s="24" t="inlineStr">
        <is>
          <t>Tampa Bay Rays</t>
        </is>
      </c>
      <c r="AR15" s="24" t="inlineStr">
        <is>
          <t>Tampa Bay Rays</t>
        </is>
      </c>
      <c r="AS15" s="24" t="inlineStr">
        <is>
          <t>mlb-bos</t>
        </is>
      </c>
      <c r="AT15" s="24" t="inlineStr">
        <is>
          <t>Boston Red Sox</t>
        </is>
      </c>
      <c r="AU15" s="24" t="inlineStr">
        <is>
          <t>Boston Red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db0a002aa4e19b4b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2026-07-18T17:27:47.084596Z</t>
        </is>
      </c>
      <c r="BI15" s="24" t="inlineStr">
        <is>
          <t>["same_event","same_team_same_day","same_league_same_day"]</t>
        </is>
      </c>
      <c r="BJ15" s="38" t="n"/>
      <c r="BK15" s="26" t="n">
        <v>-102</v>
      </c>
      <c r="BL15" s="39" t="n">
        <v>1.980392</v>
      </c>
      <c r="BM15" s="28" t="n">
        <v>0.50495</v>
      </c>
      <c r="BN15" s="28" t="n">
        <v>0.502488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0.980392</v>
      </c>
      <c r="BZ15" s="24" t="inlineStr">
        <is>
          <t>2026-07-18T23:59:20.822768Z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924907abbb534b0a</t>
        </is>
      </c>
      <c r="B16" s="24" t="inlineStr">
        <is>
          <t>2026-07-18T17:28:36.828868Z</t>
        </is>
      </c>
      <c r="C16" s="24" t="inlineStr">
        <is>
          <t>2026-07-18T20:10Z</t>
        </is>
      </c>
      <c r="D16" s="24" t="inlineStr">
        <is>
          <t>401816165</t>
        </is>
      </c>
      <c r="E16" s="24" t="inlineStr">
        <is>
          <t>MLB</t>
        </is>
      </c>
      <c r="F16" s="24" t="inlineStr">
        <is>
          <t>San Diego Padres</t>
        </is>
      </c>
      <c r="G16" s="24" t="inlineStr">
        <is>
          <t>Kansas City Royals</t>
        </is>
      </c>
      <c r="H16" s="24" t="inlineStr">
        <is>
          <t>moneyline</t>
        </is>
      </c>
      <c r="I16" s="24" t="inlineStr">
        <is>
          <t>away</t>
        </is>
      </c>
      <c r="J16" s="38" t="n"/>
      <c r="K16" s="24" t="inlineStr">
        <is>
          <t>polymarket_us</t>
        </is>
      </c>
      <c r="L16" s="26" t="n">
        <v>-104</v>
      </c>
      <c r="M16" s="39" t="n">
        <v>1.961538</v>
      </c>
      <c r="N16" s="28" t="n">
        <v>0.509804</v>
      </c>
      <c r="O16" s="28" t="n">
        <v>0.5306149999999999</v>
      </c>
      <c r="P16" s="28" t="n"/>
      <c r="Q16" s="28" t="n">
        <v>0.020811</v>
      </c>
      <c r="R16" s="26" t="n">
        <v>60</v>
      </c>
      <c r="S16" s="29" t="n">
        <v>0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6</v>
      </c>
      <c r="Y16" s="38" t="n"/>
      <c r="Z16" s="26" t="n"/>
      <c r="AA16" s="28" t="n"/>
      <c r="AB16" s="28" t="n"/>
      <c r="AC16" s="40" t="n">
        <v>0</v>
      </c>
      <c r="AD16" s="24" t="inlineStr">
        <is>
          <t>2026-07-18T23:59:20.891397Z</t>
        </is>
      </c>
      <c r="AE16" s="31" t="inlineStr">
        <is>
          <t>Learned LR call at threshold 0.5100; executable ask 0.5100 (aec-mlb-sd-kc-2026-07-18).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mlb-sd</t>
        </is>
      </c>
      <c r="AQ16" s="24" t="inlineStr">
        <is>
          <t>San Diego Padres</t>
        </is>
      </c>
      <c r="AR16" s="24" t="inlineStr">
        <is>
          <t>San Diego Padres</t>
        </is>
      </c>
      <c r="AS16" s="24" t="inlineStr">
        <is>
          <t>mlb-kc</t>
        </is>
      </c>
      <c r="AT16" s="24" t="inlineStr">
        <is>
          <t>Kansas City Royals</t>
        </is>
      </c>
      <c r="AU16" s="24" t="inlineStr">
        <is>
          <t>Kansas City Royals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ed4675d45b8d4ffe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2026-07-18T17:27:46.135351Z</t>
        </is>
      </c>
      <c r="BI16" s="24" t="inlineStr">
        <is>
          <t>["same_event","same_team_same_day","same_league_same_day"]</t>
        </is>
      </c>
      <c r="BJ16" s="38" t="n"/>
      <c r="BK16" s="26" t="n">
        <v>-104</v>
      </c>
      <c r="BL16" s="39" t="n">
        <v>1.961538</v>
      </c>
      <c r="BM16" s="28" t="n">
        <v>0.509804</v>
      </c>
      <c r="BN16" s="28" t="n">
        <v>0.507463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2026-07-18T23:59:20.891397Z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48c8669ffc2149cc</t>
        </is>
      </c>
      <c r="B17" s="24" t="inlineStr">
        <is>
          <t>2026-07-18T17:37:17.255201Z</t>
        </is>
      </c>
      <c r="C17" s="24" t="inlineStr">
        <is>
          <t>2026-07-19T16:15Z</t>
        </is>
      </c>
      <c r="D17" s="24" t="inlineStr">
        <is>
          <t>401816171</t>
        </is>
      </c>
      <c r="E17" s="24" t="inlineStr">
        <is>
          <t>MLB</t>
        </is>
      </c>
      <c r="F17" s="24" t="inlineStr">
        <is>
          <t>Chicago White Sox</t>
        </is>
      </c>
      <c r="G17" s="24" t="inlineStr">
        <is>
          <t>Toronto Blue Jays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-104</v>
      </c>
      <c r="M17" s="39" t="n">
        <v>1.961538</v>
      </c>
      <c r="N17" s="28" t="n">
        <v>0.509804</v>
      </c>
      <c r="O17" s="28" t="n">
        <v>0.549576</v>
      </c>
      <c r="P17" s="28" t="n"/>
      <c r="Q17" s="28" t="n">
        <v>0.039772</v>
      </c>
      <c r="R17" s="26" t="n">
        <v>70</v>
      </c>
      <c r="S17" s="29" t="n">
        <v>0</v>
      </c>
      <c r="T17" s="24" t="inlineStr">
        <is>
          <t>mlb-elo-trend-lr-v3</t>
        </is>
      </c>
      <c r="U17" s="24" t="inlineStr">
        <is>
          <t>open</t>
        </is>
      </c>
      <c r="V17" s="24" t="n"/>
      <c r="W17" s="26" t="n"/>
      <c r="X17" s="26" t="n"/>
      <c r="Y17" s="38" t="n"/>
      <c r="Z17" s="26" t="n"/>
      <c r="AA17" s="28" t="n"/>
      <c r="AB17" s="28" t="n"/>
      <c r="AC17" s="40" t="n"/>
      <c r="AD17" s="24" t="n"/>
      <c r="AE17" s="31" t="inlineStr">
        <is>
          <t>Learned LR call at threshold 0.5100; executable ask 0.5100 (aec-mlb-cws-tor-2026-07-19).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mlb-cws</t>
        </is>
      </c>
      <c r="AQ17" s="24" t="inlineStr">
        <is>
          <t>Chicago White Sox</t>
        </is>
      </c>
      <c r="AR17" s="24" t="inlineStr">
        <is>
          <t>Chicago White Sox</t>
        </is>
      </c>
      <c r="AS17" s="24" t="inlineStr">
        <is>
          <t>mlb-tor</t>
        </is>
      </c>
      <c r="AT17" s="24" t="inlineStr">
        <is>
          <t>Toronto Blue Jays</t>
        </is>
      </c>
      <c r="AU17" s="24" t="inlineStr">
        <is>
          <t>Toronto Blue Jays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50f6dab0538e7f4a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2026-07-18T17:36:34.425604Z</t>
        </is>
      </c>
      <c r="BI17" s="24" t="inlineStr">
        <is>
          <t>["same_event","same_team_same_day","same_league_same_day"]</t>
        </is>
      </c>
      <c r="BJ17" s="38" t="n"/>
      <c r="BK17" s="26" t="n">
        <v>-104</v>
      </c>
      <c r="BL17" s="39" t="n">
        <v>1.961538</v>
      </c>
      <c r="BM17" s="28" t="n">
        <v>0.509804</v>
      </c>
      <c r="BN17" s="28" t="n">
        <v>0.507463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/>
      <c r="BY17" s="39" t="n"/>
      <c r="BZ17" s="24" t="n"/>
      <c r="CA17" s="31" t="n"/>
    </row>
    <row r="18" ht="36" customHeight="1">
      <c r="A18" s="24" t="inlineStr">
        <is>
          <t>5290104d16c8463b</t>
        </is>
      </c>
      <c r="B18" s="24" t="inlineStr">
        <is>
          <t>2026-07-18T17:37:17.255201Z</t>
        </is>
      </c>
      <c r="C18" s="24" t="inlineStr">
        <is>
          <t>2026-07-19T17:35Z</t>
        </is>
      </c>
      <c r="D18" s="24" t="inlineStr">
        <is>
          <t>401816173</t>
        </is>
      </c>
      <c r="E18" s="24" t="inlineStr">
        <is>
          <t>MLB</t>
        </is>
      </c>
      <c r="F18" s="24" t="inlineStr">
        <is>
          <t>New York Mets</t>
        </is>
      </c>
      <c r="G18" s="24" t="inlineStr">
        <is>
          <t>Philadelphia Phillies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-111</v>
      </c>
      <c r="M18" s="39" t="n">
        <v>1.900901</v>
      </c>
      <c r="N18" s="28" t="n">
        <v>0.526066</v>
      </c>
      <c r="O18" s="28" t="n">
        <v>0.606009</v>
      </c>
      <c r="P18" s="28" t="n"/>
      <c r="Q18" s="28" t="n">
        <v>0.079943</v>
      </c>
      <c r="R18" s="26" t="n">
        <v>90</v>
      </c>
      <c r="S18" s="29" t="n">
        <v>0</v>
      </c>
      <c r="T18" s="24" t="inlineStr">
        <is>
          <t>mlb-elo-trend-lr-v3</t>
        </is>
      </c>
      <c r="U18" s="24" t="inlineStr">
        <is>
          <t>open</t>
        </is>
      </c>
      <c r="V18" s="24" t="n"/>
      <c r="W18" s="26" t="n"/>
      <c r="X18" s="26" t="n"/>
      <c r="Y18" s="38" t="n"/>
      <c r="Z18" s="26" t="n"/>
      <c r="AA18" s="28" t="n"/>
      <c r="AB18" s="28" t="n"/>
      <c r="AC18" s="40" t="n"/>
      <c r="AD18" s="24" t="n"/>
      <c r="AE18" s="31" t="inlineStr">
        <is>
          <t>Learned LR call at threshold 0.5100; executable ask 0.5250 (aec-mlb-nym-phi-2026-07-19).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mlb-nym</t>
        </is>
      </c>
      <c r="AQ18" s="24" t="inlineStr">
        <is>
          <t>New York Mets</t>
        </is>
      </c>
      <c r="AR18" s="24" t="inlineStr">
        <is>
          <t>New York Mets</t>
        </is>
      </c>
      <c r="AS18" s="24" t="inlineStr">
        <is>
          <t>mlb-phi</t>
        </is>
      </c>
      <c r="AT18" s="24" t="inlineStr">
        <is>
          <t>Philadelphia Phillies</t>
        </is>
      </c>
      <c r="AU18" s="24" t="inlineStr">
        <is>
          <t>Philadelphia Phillies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ce93768fc5c8be02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2026-07-18T17:36:34.787099Z</t>
        </is>
      </c>
      <c r="BI18" s="24" t="inlineStr">
        <is>
          <t>["same_event","same_team_same_day","same_league_same_day"]</t>
        </is>
      </c>
      <c r="BJ18" s="38" t="n"/>
      <c r="BK18" s="26" t="n">
        <v>-111</v>
      </c>
      <c r="BL18" s="39" t="n">
        <v>1.900901</v>
      </c>
      <c r="BM18" s="28" t="n">
        <v>0.526066</v>
      </c>
      <c r="BN18" s="28" t="n">
        <v>0.522388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/>
      <c r="BY18" s="39" t="n"/>
      <c r="BZ18" s="24" t="n"/>
      <c r="CA18" s="31" t="n"/>
    </row>
    <row r="19" ht="36" customHeight="1">
      <c r="A19" s="24" t="inlineStr">
        <is>
          <t>7a4271bd40494914</t>
        </is>
      </c>
      <c r="B19" s="24" t="inlineStr">
        <is>
          <t>2026-07-18T17:37:17.255201Z</t>
        </is>
      </c>
      <c r="C19" s="24" t="inlineStr">
        <is>
          <t>2026-07-19T17:35Z</t>
        </is>
      </c>
      <c r="D19" s="24" t="inlineStr">
        <is>
          <t>401816175</t>
        </is>
      </c>
      <c r="E19" s="24" t="inlineStr">
        <is>
          <t>MLB</t>
        </is>
      </c>
      <c r="F19" s="24" t="inlineStr">
        <is>
          <t>Tampa Bay Rays</t>
        </is>
      </c>
      <c r="G19" s="24" t="inlineStr">
        <is>
          <t>Boston Red Sox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-108</v>
      </c>
      <c r="M19" s="39" t="n">
        <v>1.925926</v>
      </c>
      <c r="N19" s="28" t="n">
        <v>0.519231</v>
      </c>
      <c r="O19" s="28" t="n">
        <v>0.550576</v>
      </c>
      <c r="P19" s="28" t="n"/>
      <c r="Q19" s="28" t="n">
        <v>0.031345</v>
      </c>
      <c r="R19" s="26" t="n">
        <v>66</v>
      </c>
      <c r="S19" s="29" t="n">
        <v>0</v>
      </c>
      <c r="T19" s="24" t="inlineStr">
        <is>
          <t>mlb-elo-trend-lr-v3</t>
        </is>
      </c>
      <c r="U19" s="24" t="inlineStr">
        <is>
          <t>open</t>
        </is>
      </c>
      <c r="V19" s="24" t="n"/>
      <c r="W19" s="26" t="n"/>
      <c r="X19" s="26" t="n"/>
      <c r="Y19" s="38" t="n"/>
      <c r="Z19" s="26" t="n"/>
      <c r="AA19" s="28" t="n"/>
      <c r="AB19" s="28" t="n"/>
      <c r="AC19" s="40" t="n"/>
      <c r="AD19" s="24" t="n"/>
      <c r="AE19" s="31" t="inlineStr">
        <is>
          <t>Learned LR call at threshold 0.5100; executable ask 0.5200 (aec-mlb-tb-bos-2026-07-19).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mlb-tb</t>
        </is>
      </c>
      <c r="AQ19" s="24" t="inlineStr">
        <is>
          <t>Tampa Bay Rays</t>
        </is>
      </c>
      <c r="AR19" s="24" t="inlineStr">
        <is>
          <t>Tampa Bay Rays</t>
        </is>
      </c>
      <c r="AS19" s="24" t="inlineStr">
        <is>
          <t>mlb-bos</t>
        </is>
      </c>
      <c r="AT19" s="24" t="inlineStr">
        <is>
          <t>Boston Red Sox</t>
        </is>
      </c>
      <c r="AU19" s="24" t="inlineStr">
        <is>
          <t>Boston Red Sox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1e50d689e0ba0748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2026-07-18T17:36:36.879504Z</t>
        </is>
      </c>
      <c r="BI19" s="24" t="inlineStr">
        <is>
          <t>["same_event","same_team_same_day","same_league_same_day"]</t>
        </is>
      </c>
      <c r="BJ19" s="38" t="n"/>
      <c r="BK19" s="26" t="n">
        <v>-108</v>
      </c>
      <c r="BL19" s="39" t="n">
        <v>1.925926</v>
      </c>
      <c r="BM19" s="28" t="n">
        <v>0.519231</v>
      </c>
      <c r="BN19" s="28" t="n">
        <v>0.5148509999999999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/>
      <c r="BY19" s="39" t="n"/>
      <c r="BZ19" s="24" t="n"/>
      <c r="CA19" s="31" t="n"/>
    </row>
    <row r="20" ht="36" customHeight="1">
      <c r="A20" s="24" t="inlineStr">
        <is>
          <t>6c30433f6943459a</t>
        </is>
      </c>
      <c r="B20" s="24" t="inlineStr">
        <is>
          <t>2026-07-18T17:37:17.255201Z</t>
        </is>
      </c>
      <c r="C20" s="24" t="inlineStr">
        <is>
          <t>2026-07-19T17:40Z</t>
        </is>
      </c>
      <c r="D20" s="24" t="inlineStr">
        <is>
          <t>401816174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Cleveland Guardians</t>
        </is>
      </c>
      <c r="H20" s="24" t="inlineStr">
        <is>
          <t>moneyline</t>
        </is>
      </c>
      <c r="I20" s="24" t="inlineStr">
        <is>
          <t>home</t>
        </is>
      </c>
      <c r="J20" s="38" t="n"/>
      <c r="K20" s="24" t="inlineStr">
        <is>
          <t>polymarket_us</t>
        </is>
      </c>
      <c r="L20" s="26" t="n">
        <v>111</v>
      </c>
      <c r="M20" s="39" t="n">
        <v>2.11</v>
      </c>
      <c r="N20" s="28" t="n">
        <v>0.473934</v>
      </c>
      <c r="O20" s="28" t="n">
        <v>0.564072</v>
      </c>
      <c r="P20" s="28" t="n"/>
      <c r="Q20" s="28" t="n">
        <v>0.090138</v>
      </c>
      <c r="R20" s="26" t="n">
        <v>95</v>
      </c>
      <c r="S20" s="29" t="n">
        <v>0</v>
      </c>
      <c r="T20" s="24" t="inlineStr">
        <is>
          <t>mlb-elo-trend-lr-v3</t>
        </is>
      </c>
      <c r="U20" s="24" t="inlineStr">
        <is>
          <t>open</t>
        </is>
      </c>
      <c r="V20" s="24" t="n"/>
      <c r="W20" s="26" t="n"/>
      <c r="X20" s="26" t="n"/>
      <c r="Y20" s="38" t="n"/>
      <c r="Z20" s="26" t="n"/>
      <c r="AA20" s="28" t="n"/>
      <c r="AB20" s="28" t="n"/>
      <c r="AC20" s="40" t="n"/>
      <c r="AD20" s="24" t="n"/>
      <c r="AE20" s="31" t="inlineStr">
        <is>
          <t>Learned LR call at threshold 0.5100; executable ask 0.4750 (aec-mlb-pit-cle-2026-07-19).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mlb-cle</t>
        </is>
      </c>
      <c r="AT20" s="24" t="inlineStr">
        <is>
          <t>Cleveland Guardians</t>
        </is>
      </c>
      <c r="AU20" s="24" t="inlineStr">
        <is>
          <t>Cleveland Guardians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5e36475e8b7bf75d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2026-07-18T17:36:37.946655Z</t>
        </is>
      </c>
      <c r="BI20" s="24" t="inlineStr">
        <is>
          <t>["same_event","same_team_same_day","same_league_same_day"]</t>
        </is>
      </c>
      <c r="BJ20" s="38" t="n"/>
      <c r="BK20" s="26" t="n">
        <v>111</v>
      </c>
      <c r="BL20" s="39" t="n">
        <v>2.11</v>
      </c>
      <c r="BM20" s="28" t="n">
        <v>0.473934</v>
      </c>
      <c r="BN20" s="28" t="n">
        <v>0.472637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/>
      <c r="BY20" s="39" t="n"/>
      <c r="BZ20" s="24" t="n"/>
      <c r="CA20" s="31" t="n"/>
    </row>
    <row r="21" ht="36" customHeight="1">
      <c r="A21" s="24" t="inlineStr">
        <is>
          <t>a96ea6dd6b144441</t>
        </is>
      </c>
      <c r="B21" s="24" t="inlineStr">
        <is>
          <t>2026-07-18T17:37:17.255201Z</t>
        </is>
      </c>
      <c r="C21" s="24" t="inlineStr">
        <is>
          <t>2026-07-19T18:10Z</t>
        </is>
      </c>
      <c r="D21" s="24" t="inlineStr">
        <is>
          <t>401816178</t>
        </is>
      </c>
      <c r="E21" s="24" t="inlineStr">
        <is>
          <t>MLB</t>
        </is>
      </c>
      <c r="F21" s="24" t="inlineStr">
        <is>
          <t>Miami Marlins</t>
        </is>
      </c>
      <c r="G21" s="24" t="inlineStr">
        <is>
          <t>Milwaukee Brewers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polymarket_us</t>
        </is>
      </c>
      <c r="L21" s="26" t="n">
        <v>-125</v>
      </c>
      <c r="M21" s="39" t="n">
        <v>1.8</v>
      </c>
      <c r="N21" s="28" t="n">
        <v>0.555556</v>
      </c>
      <c r="O21" s="28" t="n">
        <v>0.607169</v>
      </c>
      <c r="P21" s="28" t="n"/>
      <c r="Q21" s="28" t="n">
        <v>0.051613</v>
      </c>
      <c r="R21" s="26" t="n">
        <v>76</v>
      </c>
      <c r="S21" s="29" t="n">
        <v>0</v>
      </c>
      <c r="T21" s="24" t="inlineStr">
        <is>
          <t>mlb-elo-trend-lr-v3</t>
        </is>
      </c>
      <c r="U21" s="24" t="inlineStr">
        <is>
          <t>open</t>
        </is>
      </c>
      <c r="V21" s="24" t="n"/>
      <c r="W21" s="26" t="n"/>
      <c r="X21" s="26" t="n"/>
      <c r="Y21" s="38" t="n"/>
      <c r="Z21" s="26" t="n"/>
      <c r="AA21" s="28" t="n"/>
      <c r="AB21" s="28" t="n"/>
      <c r="AC21" s="40" t="n"/>
      <c r="AD21" s="24" t="n"/>
      <c r="AE21" s="31" t="inlineStr">
        <is>
          <t>Learned LR call at threshold 0.5100; executable ask 0.5550 (aec-mlb-mia-mil-2026-07-19).</t>
        </is>
      </c>
      <c r="AF21" s="31" t="inlineStr">
        <is>
          <t>Learned model; promotion gate not yet open; zero-unit research until review.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mlb-mia</t>
        </is>
      </c>
      <c r="AQ21" s="24" t="inlineStr">
        <is>
          <t>Miami Marlins</t>
        </is>
      </c>
      <c r="AR21" s="24" t="inlineStr">
        <is>
          <t>Miami Marlins</t>
        </is>
      </c>
      <c r="AS21" s="24" t="inlineStr">
        <is>
          <t>mlb-mil</t>
        </is>
      </c>
      <c r="AT21" s="24" t="inlineStr">
        <is>
          <t>Milwaukee Brewers</t>
        </is>
      </c>
      <c r="AU21" s="24" t="inlineStr">
        <is>
          <t>Milwaukee Brewers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21de40f664c548e677d8ffc04521004b3df55963718b1d039537d56f08b84fb1</t>
        </is>
      </c>
      <c r="BB21" s="24" t="inlineStr">
        <is>
          <t>learned_lr</t>
        </is>
      </c>
      <c r="BC21" s="24" t="inlineStr">
        <is>
          <t>mlb-elo-trend-lr-v3</t>
        </is>
      </c>
      <c r="BD21" s="24" t="inlineStr">
        <is>
          <t>21de40f664c548e677d8ffc04521004b3df55963718b1d039537d56f08b84fb1</t>
        </is>
      </c>
      <c r="BE21" s="24" t="inlineStr">
        <is>
          <t>a0d9b1134dce1744</t>
        </is>
      </c>
      <c r="BF21" s="24" t="inlineStr">
        <is>
          <t>1</t>
        </is>
      </c>
      <c r="BG21" s="24" t="inlineStr">
        <is>
          <t>mlb-elo-trend-lr-v3</t>
        </is>
      </c>
      <c r="BH21" s="24" t="inlineStr">
        <is>
          <t>2026-07-18T17:36:41.204729Z</t>
        </is>
      </c>
      <c r="BI21" s="24" t="inlineStr">
        <is>
          <t>["same_event","same_team_same_day","same_league_same_day"]</t>
        </is>
      </c>
      <c r="BJ21" s="38" t="n"/>
      <c r="BK21" s="26" t="n">
        <v>-125</v>
      </c>
      <c r="BL21" s="39" t="n">
        <v>1.8</v>
      </c>
      <c r="BM21" s="28" t="n">
        <v>0.555556</v>
      </c>
      <c r="BN21" s="28" t="n">
        <v>0.552239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04b8c864fb464dd7</t>
        </is>
      </c>
      <c r="B22" s="24" t="inlineStr">
        <is>
          <t>2026-07-18T17:37:17.255201Z</t>
        </is>
      </c>
      <c r="C22" s="24" t="inlineStr">
        <is>
          <t>2026-07-19T18:10Z</t>
        </is>
      </c>
      <c r="D22" s="24" t="inlineStr">
        <is>
          <t>401816180</t>
        </is>
      </c>
      <c r="E22" s="24" t="inlineStr">
        <is>
          <t>MLB</t>
        </is>
      </c>
      <c r="F22" s="24" t="inlineStr">
        <is>
          <t>San Diego Padres</t>
        </is>
      </c>
      <c r="G22" s="24" t="inlineStr">
        <is>
          <t>Kansas City Royals</t>
        </is>
      </c>
      <c r="H22" s="24" t="inlineStr">
        <is>
          <t>moneyline</t>
        </is>
      </c>
      <c r="I22" s="24" t="inlineStr">
        <is>
          <t>away</t>
        </is>
      </c>
      <c r="J22" s="38" t="n"/>
      <c r="K22" s="24" t="inlineStr">
        <is>
          <t>polymarket_us</t>
        </is>
      </c>
      <c r="L22" s="26" t="n">
        <v>106</v>
      </c>
      <c r="M22" s="39" t="n">
        <v>2.06</v>
      </c>
      <c r="N22" s="28" t="n">
        <v>0.485437</v>
      </c>
      <c r="O22" s="28" t="n">
        <v>0.520865</v>
      </c>
      <c r="P22" s="28" t="n"/>
      <c r="Q22" s="28" t="n">
        <v>0.035428</v>
      </c>
      <c r="R22" s="26" t="n">
        <v>68</v>
      </c>
      <c r="S22" s="29" t="n">
        <v>0</v>
      </c>
      <c r="T22" s="24" t="inlineStr">
        <is>
          <t>mlb-elo-trend-lr-v3</t>
        </is>
      </c>
      <c r="U22" s="24" t="inlineStr">
        <is>
          <t>open</t>
        </is>
      </c>
      <c r="V22" s="24" t="n"/>
      <c r="W22" s="26" t="n"/>
      <c r="X22" s="26" t="n"/>
      <c r="Y22" s="38" t="n"/>
      <c r="Z22" s="26" t="n"/>
      <c r="AA22" s="28" t="n"/>
      <c r="AB22" s="28" t="n"/>
      <c r="AC22" s="40" t="n"/>
      <c r="AD22" s="24" t="n"/>
      <c r="AE22" s="31" t="inlineStr">
        <is>
          <t>Learned LR call at threshold 0.5100; executable ask 0.4850 (aec-mlb-sd-kc-2026-07-19).</t>
        </is>
      </c>
      <c r="AF22" s="31" t="inlineStr">
        <is>
          <t>Learned model; promotion gate not yet open; zero-unit research until review.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mlb-sd</t>
        </is>
      </c>
      <c r="AQ22" s="24" t="inlineStr">
        <is>
          <t>San Diego Padres</t>
        </is>
      </c>
      <c r="AR22" s="24" t="inlineStr">
        <is>
          <t>San Diego Padres</t>
        </is>
      </c>
      <c r="AS22" s="24" t="inlineStr">
        <is>
          <t>mlb-kc</t>
        </is>
      </c>
      <c r="AT22" s="24" t="inlineStr">
        <is>
          <t>Kansas City Royals</t>
        </is>
      </c>
      <c r="AU22" s="24" t="inlineStr">
        <is>
          <t>Kansas City Royals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21de40f664c548e677d8ffc04521004b3df55963718b1d039537d56f08b84fb1</t>
        </is>
      </c>
      <c r="BB22" s="24" t="inlineStr">
        <is>
          <t>learned_lr</t>
        </is>
      </c>
      <c r="BC22" s="24" t="inlineStr">
        <is>
          <t>mlb-elo-trend-lr-v3</t>
        </is>
      </c>
      <c r="BD22" s="24" t="inlineStr">
        <is>
          <t>21de40f664c548e677d8ffc04521004b3df55963718b1d039537d56f08b84fb1</t>
        </is>
      </c>
      <c r="BE22" s="24" t="inlineStr">
        <is>
          <t>b9e5139f50e614b7</t>
        </is>
      </c>
      <c r="BF22" s="24" t="inlineStr">
        <is>
          <t>1</t>
        </is>
      </c>
      <c r="BG22" s="24" t="inlineStr">
        <is>
          <t>mlb-elo-trend-lr-v3</t>
        </is>
      </c>
      <c r="BH22" s="24" t="inlineStr">
        <is>
          <t>2026-07-18T17:36:40.632965Z</t>
        </is>
      </c>
      <c r="BI22" s="24" t="inlineStr">
        <is>
          <t>["same_event","same_team_same_day","same_league_same_day"]</t>
        </is>
      </c>
      <c r="BJ22" s="38" t="n"/>
      <c r="BK22" s="26" t="n">
        <v>106</v>
      </c>
      <c r="BL22" s="39" t="n">
        <v>2.06</v>
      </c>
      <c r="BM22" s="28" t="n">
        <v>0.485437</v>
      </c>
      <c r="BN22" s="28" t="n">
        <v>0.482587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ee35adb98f784e59</t>
        </is>
      </c>
      <c r="B23" s="24" t="inlineStr">
        <is>
          <t>2026-07-19T06:08:23.722044Z</t>
        </is>
      </c>
      <c r="C23" s="24" t="inlineStr">
        <is>
          <t>2026-07-19T16:35Z</t>
        </is>
      </c>
      <c r="D23" s="24" t="inlineStr">
        <is>
          <t>401897386</t>
        </is>
      </c>
      <c r="E23" s="24" t="inlineStr">
        <is>
          <t>MLB</t>
        </is>
      </c>
      <c r="F23" s="24" t="inlineStr">
        <is>
          <t>Los Angeles Dodgers</t>
        </is>
      </c>
      <c r="G23" s="24" t="inlineStr">
        <is>
          <t>New York Yankees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polymarket_us</t>
        </is>
      </c>
      <c r="L23" s="26" t="n">
        <v>106</v>
      </c>
      <c r="M23" s="39" t="n">
        <v>2.06</v>
      </c>
      <c r="N23" s="28" t="n">
        <v>0.485437</v>
      </c>
      <c r="O23" s="28" t="n">
        <v>0.795808</v>
      </c>
      <c r="P23" s="28" t="n"/>
      <c r="Q23" s="28" t="n">
        <v>0.310371</v>
      </c>
      <c r="R23" s="26" t="n">
        <v>100</v>
      </c>
      <c r="S23" s="29" t="n">
        <v>0</v>
      </c>
      <c r="T23" s="24" t="inlineStr">
        <is>
          <t>mlb-elo-trend-lr-v3</t>
        </is>
      </c>
      <c r="U23" s="24" t="inlineStr">
        <is>
          <t>open</t>
        </is>
      </c>
      <c r="V23" s="24" t="n"/>
      <c r="W23" s="26" t="n"/>
      <c r="X23" s="26" t="n"/>
      <c r="Y23" s="38" t="n"/>
      <c r="Z23" s="26" t="n"/>
      <c r="AA23" s="28" t="n"/>
      <c r="AB23" s="28" t="n"/>
      <c r="AC23" s="40" t="n"/>
      <c r="AD23" s="24" t="n"/>
      <c r="AE23" s="31" t="inlineStr">
        <is>
          <t>Learned LR call at threshold 0.5100; executable ask 0.4850 (aec-mlb-lad-nyy-2026-07-19).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mlb-lad</t>
        </is>
      </c>
      <c r="AQ23" s="24" t="inlineStr">
        <is>
          <t>Los Angeles Dodgers</t>
        </is>
      </c>
      <c r="AR23" s="24" t="inlineStr">
        <is>
          <t>Los Angeles Dodgers</t>
        </is>
      </c>
      <c r="AS23" s="24" t="inlineStr">
        <is>
          <t>mlb-nyy</t>
        </is>
      </c>
      <c r="AT23" s="24" t="inlineStr">
        <is>
          <t>New York Yankees</t>
        </is>
      </c>
      <c r="AU23" s="24" t="inlineStr">
        <is>
          <t>New York Yankees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298e6dc77b219dd702fb39be7c6e2b5562b2205ff877ee03c281de8ce83baca2</t>
        </is>
      </c>
      <c r="BB23" s="24" t="inlineStr">
        <is>
          <t>learned_lr</t>
        </is>
      </c>
      <c r="BC23" s="24" t="inlineStr">
        <is>
          <t>mlb-elo-trend-lr-v3</t>
        </is>
      </c>
      <c r="BD23" s="24" t="inlineStr">
        <is>
          <t>298e6dc77b219dd702fb39be7c6e2b5562b2205ff877ee03c281de8ce83baca2</t>
        </is>
      </c>
      <c r="BE23" s="24" t="inlineStr">
        <is>
          <t>1b4fa6b69029c7a9</t>
        </is>
      </c>
      <c r="BF23" s="24" t="inlineStr">
        <is>
          <t>1</t>
        </is>
      </c>
      <c r="BG23" s="24" t="inlineStr">
        <is>
          <t>mlb-elo-trend-lr-v3</t>
        </is>
      </c>
      <c r="BH23" s="24" t="inlineStr">
        <is>
          <t>2026-07-19T06:07:56.219448Z</t>
        </is>
      </c>
      <c r="BI23" s="24" t="inlineStr">
        <is>
          <t>["same_event","same_team_same_day","same_league_same_day"]</t>
        </is>
      </c>
      <c r="BJ23" s="38" t="n"/>
      <c r="BK23" s="26" t="n">
        <v>106</v>
      </c>
      <c r="BL23" s="39" t="n">
        <v>2.06</v>
      </c>
      <c r="BM23" s="28" t="n">
        <v>0.485437</v>
      </c>
      <c r="BN23" s="28" t="n">
        <v>0.482587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bff93411c18143bc</t>
        </is>
      </c>
      <c r="B24" s="24" t="inlineStr">
        <is>
          <t>2026-07-19T06:08:23.722044Z</t>
        </is>
      </c>
      <c r="C24" s="24" t="inlineStr">
        <is>
          <t>2026-07-19T17:35Z</t>
        </is>
      </c>
      <c r="D24" s="24" t="inlineStr">
        <is>
          <t>401816176</t>
        </is>
      </c>
      <c r="E24" s="24" t="inlineStr">
        <is>
          <t>MLB</t>
        </is>
      </c>
      <c r="F24" s="24" t="inlineStr">
        <is>
          <t>Texas Rangers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polymarket_us</t>
        </is>
      </c>
      <c r="L24" s="26" t="n">
        <v>106</v>
      </c>
      <c r="M24" s="39" t="n">
        <v>2.06</v>
      </c>
      <c r="N24" s="28" t="n">
        <v>0.485437</v>
      </c>
      <c r="O24" s="28" t="n">
        <v>0.843494</v>
      </c>
      <c r="P24" s="28" t="n"/>
      <c r="Q24" s="28" t="n">
        <v>0.358057</v>
      </c>
      <c r="R24" s="26" t="n">
        <v>100</v>
      </c>
      <c r="S24" s="29" t="n">
        <v>0</v>
      </c>
      <c r="T24" s="24" t="inlineStr">
        <is>
          <t>mlb-elo-trend-lr-v3</t>
        </is>
      </c>
      <c r="U24" s="24" t="inlineStr">
        <is>
          <t>open</t>
        </is>
      </c>
      <c r="V24" s="24" t="n"/>
      <c r="W24" s="26" t="n"/>
      <c r="X24" s="26" t="n"/>
      <c r="Y24" s="38" t="n"/>
      <c r="Z24" s="26" t="n"/>
      <c r="AA24" s="28" t="n"/>
      <c r="AB24" s="28" t="n"/>
      <c r="AC24" s="40" t="n"/>
      <c r="AD24" s="24" t="n"/>
      <c r="AE24" s="31" t="inlineStr">
        <is>
          <t>Learned LR call at threshold 0.5100; executable ask 0.4850 (aec-mlb-tex-atl-2026-07-19).</t>
        </is>
      </c>
      <c r="AF24" s="31" t="inlineStr">
        <is>
          <t>Learned model; promotion gate not yet open; zero-unit research until review.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mlb-tex</t>
        </is>
      </c>
      <c r="AQ24" s="24" t="inlineStr">
        <is>
          <t>Texas Rangers</t>
        </is>
      </c>
      <c r="AR24" s="24" t="inlineStr">
        <is>
          <t>Texas Rangers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298e6dc77b219dd702fb39be7c6e2b5562b2205ff877ee03c281de8ce83baca2</t>
        </is>
      </c>
      <c r="BB24" s="24" t="inlineStr">
        <is>
          <t>learned_lr</t>
        </is>
      </c>
      <c r="BC24" s="24" t="inlineStr">
        <is>
          <t>mlb-elo-trend-lr-v3</t>
        </is>
      </c>
      <c r="BD24" s="24" t="inlineStr">
        <is>
          <t>298e6dc77b219dd702fb39be7c6e2b5562b2205ff877ee03c281de8ce83baca2</t>
        </is>
      </c>
      <c r="BE24" s="24" t="inlineStr">
        <is>
          <t>fba8492dcdf75e51</t>
        </is>
      </c>
      <c r="BF24" s="24" t="inlineStr">
        <is>
          <t>1</t>
        </is>
      </c>
      <c r="BG24" s="24" t="inlineStr">
        <is>
          <t>mlb-elo-trend-lr-v3</t>
        </is>
      </c>
      <c r="BH24" s="24" t="inlineStr">
        <is>
          <t>2026-07-19T06:07:41.207747Z</t>
        </is>
      </c>
      <c r="BI24" s="24" t="inlineStr">
        <is>
          <t>["same_event","same_team_same_day","same_league_same_day"]</t>
        </is>
      </c>
      <c r="BJ24" s="38" t="n"/>
      <c r="BK24" s="26" t="n">
        <v>106</v>
      </c>
      <c r="BL24" s="39" t="n">
        <v>2.06</v>
      </c>
      <c r="BM24" s="28" t="n">
        <v>0.485437</v>
      </c>
      <c r="BN24" s="28" t="n">
        <v>0.482587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7a5321f2e77d458e</t>
        </is>
      </c>
      <c r="B25" s="24" t="inlineStr">
        <is>
          <t>2026-07-19T06:08:23.722044Z</t>
        </is>
      </c>
      <c r="C25" s="24" t="inlineStr">
        <is>
          <t>2026-07-19T18:10Z</t>
        </is>
      </c>
      <c r="D25" s="24" t="inlineStr">
        <is>
          <t>401816177</t>
        </is>
      </c>
      <c r="E25" s="24" t="inlineStr">
        <is>
          <t>MLB</t>
        </is>
      </c>
      <c r="F25" s="24" t="inlineStr">
        <is>
          <t>Baltimore Orioles</t>
        </is>
      </c>
      <c r="G25" s="24" t="inlineStr">
        <is>
          <t>Houston Astros</t>
        </is>
      </c>
      <c r="H25" s="24" t="inlineStr">
        <is>
          <t>moneyline</t>
        </is>
      </c>
      <c r="I25" s="24" t="inlineStr">
        <is>
          <t>home</t>
        </is>
      </c>
      <c r="J25" s="38" t="n"/>
      <c r="K25" s="24" t="inlineStr">
        <is>
          <t>polymarket_us</t>
        </is>
      </c>
      <c r="L25" s="26" t="n">
        <v>-106</v>
      </c>
      <c r="M25" s="39" t="n">
        <v>1.943396</v>
      </c>
      <c r="N25" s="28" t="n">
        <v>0.514563</v>
      </c>
      <c r="O25" s="28" t="n">
        <v>0.815053</v>
      </c>
      <c r="P25" s="28" t="n"/>
      <c r="Q25" s="28" t="n">
        <v>0.30049</v>
      </c>
      <c r="R25" s="26" t="n">
        <v>100</v>
      </c>
      <c r="S25" s="29" t="n">
        <v>0</v>
      </c>
      <c r="T25" s="24" t="inlineStr">
        <is>
          <t>mlb-elo-trend-lr-v3</t>
        </is>
      </c>
      <c r="U25" s="24" t="inlineStr">
        <is>
          <t>open</t>
        </is>
      </c>
      <c r="V25" s="24" t="n"/>
      <c r="W25" s="26" t="n"/>
      <c r="X25" s="26" t="n"/>
      <c r="Y25" s="38" t="n"/>
      <c r="Z25" s="26" t="n"/>
      <c r="AA25" s="28" t="n"/>
      <c r="AB25" s="28" t="n"/>
      <c r="AC25" s="40" t="n"/>
      <c r="AD25" s="24" t="n"/>
      <c r="AE25" s="31" t="inlineStr">
        <is>
          <t>Learned LR call at threshold 0.5100; executable ask 0.5150 (aec-mlb-bal-hou-2026-07-19).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mlb-bal</t>
        </is>
      </c>
      <c r="AQ25" s="24" t="inlineStr">
        <is>
          <t>Baltimore Orioles</t>
        </is>
      </c>
      <c r="AR25" s="24" t="inlineStr">
        <is>
          <t>Baltimore Orioles</t>
        </is>
      </c>
      <c r="AS25" s="24" t="inlineStr">
        <is>
          <t>mlb-hou</t>
        </is>
      </c>
      <c r="AT25" s="24" t="inlineStr">
        <is>
          <t>Houston Astros</t>
        </is>
      </c>
      <c r="AU25" s="24" t="inlineStr">
        <is>
          <t>Houston Astros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298e6dc77b219dd702fb39be7c6e2b5562b2205ff877ee03c281de8ce83baca2</t>
        </is>
      </c>
      <c r="BB25" s="24" t="inlineStr">
        <is>
          <t>learned_lr</t>
        </is>
      </c>
      <c r="BC25" s="24" t="inlineStr">
        <is>
          <t>mlb-elo-trend-lr-v3</t>
        </is>
      </c>
      <c r="BD25" s="24" t="inlineStr">
        <is>
          <t>298e6dc77b219dd702fb39be7c6e2b5562b2205ff877ee03c281de8ce83baca2</t>
        </is>
      </c>
      <c r="BE25" s="24" t="inlineStr">
        <is>
          <t>9775637f9cca3c73</t>
        </is>
      </c>
      <c r="BF25" s="24" t="inlineStr">
        <is>
          <t>1</t>
        </is>
      </c>
      <c r="BG25" s="24" t="inlineStr">
        <is>
          <t>mlb-elo-trend-lr-v3</t>
        </is>
      </c>
      <c r="BH25" s="24" t="inlineStr">
        <is>
          <t>2026-07-19T06:07:46.824228Z</t>
        </is>
      </c>
      <c r="BI25" s="24" t="inlineStr">
        <is>
          <t>["same_event","same_team_same_day","same_league_same_day"]</t>
        </is>
      </c>
      <c r="BJ25" s="38" t="n"/>
      <c r="BK25" s="26" t="n">
        <v>-106</v>
      </c>
      <c r="BL25" s="39" t="n">
        <v>1.943396</v>
      </c>
      <c r="BM25" s="28" t="n">
        <v>0.514563</v>
      </c>
      <c r="BN25" s="28" t="n">
        <v>0.5124379999999999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bbada8fde8a145ab</t>
        </is>
      </c>
      <c r="B26" s="24" t="inlineStr">
        <is>
          <t>2026-07-19T06:08:23.722044Z</t>
        </is>
      </c>
      <c r="C26" s="24" t="inlineStr">
        <is>
          <t>2026-07-19T18:20Z</t>
        </is>
      </c>
      <c r="D26" s="24" t="inlineStr">
        <is>
          <t>401816179</t>
        </is>
      </c>
      <c r="E26" s="24" t="inlineStr">
        <is>
          <t>MLB</t>
        </is>
      </c>
      <c r="F26" s="24" t="inlineStr">
        <is>
          <t>Minnesota Twins</t>
        </is>
      </c>
      <c r="G26" s="24" t="inlineStr">
        <is>
          <t>Chicago Cubs</t>
        </is>
      </c>
      <c r="H26" s="24" t="inlineStr">
        <is>
          <t>moneyline</t>
        </is>
      </c>
      <c r="I26" s="24" t="inlineStr">
        <is>
          <t>home</t>
        </is>
      </c>
      <c r="J26" s="38" t="n"/>
      <c r="K26" s="24" t="inlineStr">
        <is>
          <t>polymarket_us</t>
        </is>
      </c>
      <c r="L26" s="26" t="n">
        <v>-150</v>
      </c>
      <c r="M26" s="39" t="n">
        <v>1.666667</v>
      </c>
      <c r="N26" s="28" t="n">
        <v>0.6</v>
      </c>
      <c r="O26" s="28" t="n">
        <v>0.86067</v>
      </c>
      <c r="P26" s="28" t="n"/>
      <c r="Q26" s="28" t="n">
        <v>0.26067</v>
      </c>
      <c r="R26" s="26" t="n">
        <v>100</v>
      </c>
      <c r="S26" s="29" t="n">
        <v>0</v>
      </c>
      <c r="T26" s="24" t="inlineStr">
        <is>
          <t>mlb-elo-trend-lr-v3</t>
        </is>
      </c>
      <c r="U26" s="24" t="inlineStr">
        <is>
          <t>open</t>
        </is>
      </c>
      <c r="V26" s="24" t="n"/>
      <c r="W26" s="26" t="n"/>
      <c r="X26" s="26" t="n"/>
      <c r="Y26" s="38" t="n"/>
      <c r="Z26" s="26" t="n"/>
      <c r="AA26" s="28" t="n"/>
      <c r="AB26" s="28" t="n"/>
      <c r="AC26" s="40" t="n"/>
      <c r="AD26" s="24" t="n"/>
      <c r="AE26" s="31" t="inlineStr">
        <is>
          <t>Learned LR call at threshold 0.5100; executable ask 0.6000 (aec-mlb-min-chc-2026-07-19).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mlb-min</t>
        </is>
      </c>
      <c r="AQ26" s="24" t="inlineStr">
        <is>
          <t>Minnesota Twins</t>
        </is>
      </c>
      <c r="AR26" s="24" t="inlineStr">
        <is>
          <t>Minnesota Twins</t>
        </is>
      </c>
      <c r="AS26" s="24" t="inlineStr">
        <is>
          <t>mlb-chc</t>
        </is>
      </c>
      <c r="AT26" s="24" t="inlineStr">
        <is>
          <t>Chicago Cubs</t>
        </is>
      </c>
      <c r="AU26" s="24" t="inlineStr">
        <is>
          <t>Chicago Cubs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298e6dc77b219dd702fb39be7c6e2b5562b2205ff877ee03c281de8ce83baca2</t>
        </is>
      </c>
      <c r="BB26" s="24" t="inlineStr">
        <is>
          <t>learned_lr</t>
        </is>
      </c>
      <c r="BC26" s="24" t="inlineStr">
        <is>
          <t>mlb-elo-trend-lr-v3</t>
        </is>
      </c>
      <c r="BD26" s="24" t="inlineStr">
        <is>
          <t>298e6dc77b219dd702fb39be7c6e2b5562b2205ff877ee03c281de8ce83baca2</t>
        </is>
      </c>
      <c r="BE26" s="24" t="inlineStr">
        <is>
          <t>a193f177d825d120</t>
        </is>
      </c>
      <c r="BF26" s="24" t="inlineStr">
        <is>
          <t>1</t>
        </is>
      </c>
      <c r="BG26" s="24" t="inlineStr">
        <is>
          <t>mlb-elo-trend-lr-v3</t>
        </is>
      </c>
      <c r="BH26" s="24" t="inlineStr">
        <is>
          <t>2026-07-19T06:07:49.608581Z</t>
        </is>
      </c>
      <c r="BI26" s="24" t="inlineStr">
        <is>
          <t>["same_event","same_team_same_day","same_league_same_day"]</t>
        </is>
      </c>
      <c r="BJ26" s="38" t="n"/>
      <c r="BK26" s="26" t="n">
        <v>-150</v>
      </c>
      <c r="BL26" s="39" t="n">
        <v>1.666667</v>
      </c>
      <c r="BM26" s="28" t="n">
        <v>0.6</v>
      </c>
      <c r="BN26" s="28" t="n">
        <v>0.597015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e97f5878832e48c1</t>
        </is>
      </c>
      <c r="B27" s="24" t="inlineStr">
        <is>
          <t>2026-07-19T06:08:23.722044Z</t>
        </is>
      </c>
      <c r="C27" s="24" t="inlineStr">
        <is>
          <t>2026-07-19T19:10Z</t>
        </is>
      </c>
      <c r="D27" s="24" t="inlineStr">
        <is>
          <t>401816181</t>
        </is>
      </c>
      <c r="E27" s="24" t="inlineStr">
        <is>
          <t>MLB</t>
        </is>
      </c>
      <c r="F27" s="24" t="inlineStr">
        <is>
          <t>Cincinnati Reds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polymarket_us</t>
        </is>
      </c>
      <c r="L27" s="26" t="n">
        <v>130</v>
      </c>
      <c r="M27" s="39" t="n">
        <v>2.3</v>
      </c>
      <c r="N27" s="28" t="n">
        <v>0.434783</v>
      </c>
      <c r="O27" s="28" t="n">
        <v>0.759352</v>
      </c>
      <c r="P27" s="28" t="n"/>
      <c r="Q27" s="28" t="n">
        <v>0.324569</v>
      </c>
      <c r="R27" s="26" t="n">
        <v>100</v>
      </c>
      <c r="S27" s="29" t="n">
        <v>0</v>
      </c>
      <c r="T27" s="24" t="inlineStr">
        <is>
          <t>mlb-elo-trend-lr-v3</t>
        </is>
      </c>
      <c r="U27" s="24" t="inlineStr">
        <is>
          <t>open</t>
        </is>
      </c>
      <c r="V27" s="24" t="n"/>
      <c r="W27" s="26" t="n"/>
      <c r="X27" s="26" t="n"/>
      <c r="Y27" s="38" t="n"/>
      <c r="Z27" s="26" t="n"/>
      <c r="AA27" s="28" t="n"/>
      <c r="AB27" s="28" t="n"/>
      <c r="AC27" s="40" t="n"/>
      <c r="AD27" s="24" t="n"/>
      <c r="AE27" s="31" t="inlineStr">
        <is>
          <t>Learned LR call at threshold 0.5100; executable ask 0.4350 (aec-mlb-cin-col-2026-07-19).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mlb-cin</t>
        </is>
      </c>
      <c r="AQ27" s="24" t="inlineStr">
        <is>
          <t>Cincinnati Reds</t>
        </is>
      </c>
      <c r="AR27" s="24" t="inlineStr">
        <is>
          <t>Cincinnati Reds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298e6dc77b219dd702fb39be7c6e2b5562b2205ff877ee03c281de8ce83baca2</t>
        </is>
      </c>
      <c r="BB27" s="24" t="inlineStr">
        <is>
          <t>learned_lr</t>
        </is>
      </c>
      <c r="BC27" s="24" t="inlineStr">
        <is>
          <t>mlb-elo-trend-lr-v3</t>
        </is>
      </c>
      <c r="BD27" s="24" t="inlineStr">
        <is>
          <t>298e6dc77b219dd702fb39be7c6e2b5562b2205ff877ee03c281de8ce83baca2</t>
        </is>
      </c>
      <c r="BE27" s="24" t="inlineStr">
        <is>
          <t>a5d99fcc0ef0d299</t>
        </is>
      </c>
      <c r="BF27" s="24" t="inlineStr">
        <is>
          <t>1</t>
        </is>
      </c>
      <c r="BG27" s="24" t="inlineStr">
        <is>
          <t>mlb-elo-trend-lr-v3</t>
        </is>
      </c>
      <c r="BH27" s="24" t="inlineStr">
        <is>
          <t>2026-07-19T06:07:50.536639Z</t>
        </is>
      </c>
      <c r="BI27" s="24" t="inlineStr">
        <is>
          <t>["same_event","same_team_same_day","same_league_same_day"]</t>
        </is>
      </c>
      <c r="BJ27" s="38" t="n"/>
      <c r="BK27" s="26" t="n">
        <v>130</v>
      </c>
      <c r="BL27" s="39" t="n">
        <v>2.3</v>
      </c>
      <c r="BM27" s="28" t="n">
        <v>0.434783</v>
      </c>
      <c r="BN27" s="28" t="n">
        <v>0.432836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910564f41bcf43c7</t>
        </is>
      </c>
      <c r="B28" s="24" t="inlineStr">
        <is>
          <t>2026-07-19T06:08:23.722044Z</t>
        </is>
      </c>
      <c r="C28" s="24" t="inlineStr">
        <is>
          <t>2026-07-19T20:05Z</t>
        </is>
      </c>
      <c r="D28" s="24" t="inlineStr">
        <is>
          <t>401816185</t>
        </is>
      </c>
      <c r="E28" s="24" t="inlineStr">
        <is>
          <t>MLB</t>
        </is>
      </c>
      <c r="F28" s="24" t="inlineStr">
        <is>
          <t>Washington Nationals</t>
        </is>
      </c>
      <c r="G28" s="24" t="inlineStr">
        <is>
          <t>Athletics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polymarket_us</t>
        </is>
      </c>
      <c r="L28" s="26" t="n">
        <v>127</v>
      </c>
      <c r="M28" s="39" t="n">
        <v>2.27</v>
      </c>
      <c r="N28" s="28" t="n">
        <v>0.440529</v>
      </c>
      <c r="O28" s="28" t="n">
        <v>0.808462</v>
      </c>
      <c r="P28" s="28" t="n"/>
      <c r="Q28" s="28" t="n">
        <v>0.367933</v>
      </c>
      <c r="R28" s="26" t="n">
        <v>100</v>
      </c>
      <c r="S28" s="29" t="n">
        <v>0</v>
      </c>
      <c r="T28" s="24" t="inlineStr">
        <is>
          <t>mlb-elo-trend-lr-v3</t>
        </is>
      </c>
      <c r="U28" s="24" t="inlineStr">
        <is>
          <t>open</t>
        </is>
      </c>
      <c r="V28" s="24" t="n"/>
      <c r="W28" s="26" t="n"/>
      <c r="X28" s="26" t="n"/>
      <c r="Y28" s="38" t="n"/>
      <c r="Z28" s="26" t="n"/>
      <c r="AA28" s="28" t="n"/>
      <c r="AB28" s="28" t="n"/>
      <c r="AC28" s="40" t="n"/>
      <c r="AD28" s="24" t="n"/>
      <c r="AE28" s="31" t="inlineStr">
        <is>
          <t>Learned LR call at threshold 0.5100; executable ask 0.4400 (aec-mlb-wsh-ath-2026-07-19).</t>
        </is>
      </c>
      <c r="AF28" s="31" t="inlineStr">
        <is>
          <t>Learned model; promotion gate not yet open; zero-unit research until review.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mlb-wsh</t>
        </is>
      </c>
      <c r="AQ28" s="24" t="inlineStr">
        <is>
          <t>Washington Nationals</t>
        </is>
      </c>
      <c r="AR28" s="24" t="inlineStr">
        <is>
          <t>Washington Nationals</t>
        </is>
      </c>
      <c r="AS28" s="24" t="inlineStr">
        <is>
          <t>mlb-ath</t>
        </is>
      </c>
      <c r="AT28" s="24" t="inlineStr">
        <is>
          <t>Athletics</t>
        </is>
      </c>
      <c r="AU28" s="24" t="inlineStr">
        <is>
          <t>Athletics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298e6dc77b219dd702fb39be7c6e2b5562b2205ff877ee03c281de8ce83baca2</t>
        </is>
      </c>
      <c r="BB28" s="24" t="inlineStr">
        <is>
          <t>learned_lr</t>
        </is>
      </c>
      <c r="BC28" s="24" t="inlineStr">
        <is>
          <t>mlb-elo-trend-lr-v3</t>
        </is>
      </c>
      <c r="BD28" s="24" t="inlineStr">
        <is>
          <t>298e6dc77b219dd702fb39be7c6e2b5562b2205ff877ee03c281de8ce83baca2</t>
        </is>
      </c>
      <c r="BE28" s="24" t="inlineStr">
        <is>
          <t>e07b2180ba865530</t>
        </is>
      </c>
      <c r="BF28" s="24" t="inlineStr">
        <is>
          <t>1</t>
        </is>
      </c>
      <c r="BG28" s="24" t="inlineStr">
        <is>
          <t>mlb-elo-trend-lr-v3</t>
        </is>
      </c>
      <c r="BH28" s="24" t="inlineStr">
        <is>
          <t>2026-07-19T06:07:51.799543Z</t>
        </is>
      </c>
      <c r="BI28" s="24" t="inlineStr">
        <is>
          <t>["same_event","same_team_same_day","same_league_same_day"]</t>
        </is>
      </c>
      <c r="BJ28" s="38" t="n"/>
      <c r="BK28" s="26" t="n">
        <v>127</v>
      </c>
      <c r="BL28" s="39" t="n">
        <v>2.27</v>
      </c>
      <c r="BM28" s="28" t="n">
        <v>0.440529</v>
      </c>
      <c r="BN28" s="28" t="n">
        <v>0.437811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57f7b4677efb4cbc</t>
        </is>
      </c>
      <c r="B29" s="24" t="inlineStr">
        <is>
          <t>2026-07-19T06:08:23.722044Z</t>
        </is>
      </c>
      <c r="C29" s="24" t="inlineStr">
        <is>
          <t>2026-07-19T20:07Z</t>
        </is>
      </c>
      <c r="D29" s="24" t="inlineStr">
        <is>
          <t>401816182</t>
        </is>
      </c>
      <c r="E29" s="24" t="inlineStr">
        <is>
          <t>MLB</t>
        </is>
      </c>
      <c r="F29" s="24" t="inlineStr">
        <is>
          <t>Detroit Tigers</t>
        </is>
      </c>
      <c r="G29" s="24" t="inlineStr">
        <is>
          <t>Los Angeles Angels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138</v>
      </c>
      <c r="M29" s="39" t="n">
        <v>2.38</v>
      </c>
      <c r="N29" s="28" t="n">
        <v>0.420168</v>
      </c>
      <c r="O29" s="28" t="n">
        <v>0.767606</v>
      </c>
      <c r="P29" s="28" t="n"/>
      <c r="Q29" s="28" t="n">
        <v>0.347438</v>
      </c>
      <c r="R29" s="26" t="n">
        <v>100</v>
      </c>
      <c r="S29" s="29" t="n">
        <v>0</v>
      </c>
      <c r="T29" s="24" t="inlineStr">
        <is>
          <t>mlb-elo-trend-lr-v3</t>
        </is>
      </c>
      <c r="U29" s="24" t="inlineStr">
        <is>
          <t>open</t>
        </is>
      </c>
      <c r="V29" s="24" t="n"/>
      <c r="W29" s="26" t="n"/>
      <c r="X29" s="26" t="n"/>
      <c r="Y29" s="38" t="n"/>
      <c r="Z29" s="26" t="n"/>
      <c r="AA29" s="28" t="n"/>
      <c r="AB29" s="28" t="n"/>
      <c r="AC29" s="40" t="n"/>
      <c r="AD29" s="24" t="n"/>
      <c r="AE29" s="31" t="inlineStr">
        <is>
          <t>Learned LR call at threshold 0.5100; executable ask 0.4200 (aec-mlb-det-laa-2026-07-19).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mlb-det</t>
        </is>
      </c>
      <c r="AQ29" s="24" t="inlineStr">
        <is>
          <t>Detroit Tigers</t>
        </is>
      </c>
      <c r="AR29" s="24" t="inlineStr">
        <is>
          <t>Detroit Tigers</t>
        </is>
      </c>
      <c r="AS29" s="24" t="inlineStr">
        <is>
          <t>mlb-laa</t>
        </is>
      </c>
      <c r="AT29" s="24" t="inlineStr">
        <is>
          <t>Los Angeles Angels</t>
        </is>
      </c>
      <c r="AU29" s="24" t="inlineStr">
        <is>
          <t>Los Angeles Angels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298e6dc77b219dd702fb39be7c6e2b5562b2205ff877ee03c281de8ce83baca2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298e6dc77b219dd702fb39be7c6e2b5562b2205ff877ee03c281de8ce83baca2</t>
        </is>
      </c>
      <c r="BE29" s="24" t="inlineStr">
        <is>
          <t>17750595d4baf059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2026-07-19T06:07:52.614925Z</t>
        </is>
      </c>
      <c r="BI29" s="24" t="inlineStr">
        <is>
          <t>["same_event","same_team_same_day","same_league_same_day"]</t>
        </is>
      </c>
      <c r="BJ29" s="38" t="n"/>
      <c r="BK29" s="26" t="n">
        <v>138</v>
      </c>
      <c r="BL29" s="39" t="n">
        <v>2.38</v>
      </c>
      <c r="BM29" s="28" t="n">
        <v>0.420168</v>
      </c>
      <c r="BN29" s="28" t="n">
        <v>0.41791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/>
      <c r="BY29" s="39" t="n"/>
      <c r="BZ29" s="24" t="n"/>
      <c r="CA29" s="31" t="n"/>
    </row>
    <row r="30" ht="36" customHeight="1">
      <c r="A30" s="24" t="inlineStr">
        <is>
          <t>7d8aeb252e2b476d</t>
        </is>
      </c>
      <c r="B30" s="24" t="inlineStr">
        <is>
          <t>2026-07-19T06:08:23.722044Z</t>
        </is>
      </c>
      <c r="C30" s="24" t="inlineStr">
        <is>
          <t>2026-07-19T20:10Z</t>
        </is>
      </c>
      <c r="D30" s="24" t="inlineStr">
        <is>
          <t>401816183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38" t="n"/>
      <c r="K30" s="24" t="inlineStr">
        <is>
          <t>polymarket_us</t>
        </is>
      </c>
      <c r="L30" s="26" t="n">
        <v>-163</v>
      </c>
      <c r="M30" s="39" t="n">
        <v>1.613497</v>
      </c>
      <c r="N30" s="28" t="n">
        <v>0.619772</v>
      </c>
      <c r="O30" s="28" t="n">
        <v>0.848052</v>
      </c>
      <c r="P30" s="28" t="n"/>
      <c r="Q30" s="28" t="n">
        <v>0.22828</v>
      </c>
      <c r="R30" s="26" t="n">
        <v>100</v>
      </c>
      <c r="S30" s="29" t="n">
        <v>0</v>
      </c>
      <c r="T30" s="24" t="inlineStr">
        <is>
          <t>mlb-elo-trend-lr-v3</t>
        </is>
      </c>
      <c r="U30" s="24" t="inlineStr">
        <is>
          <t>open</t>
        </is>
      </c>
      <c r="V30" s="24" t="n"/>
      <c r="W30" s="26" t="n"/>
      <c r="X30" s="26" t="n"/>
      <c r="Y30" s="38" t="n"/>
      <c r="Z30" s="26" t="n"/>
      <c r="AA30" s="28" t="n"/>
      <c r="AB30" s="28" t="n"/>
      <c r="AC30" s="40" t="n"/>
      <c r="AD30" s="24" t="n"/>
      <c r="AE30" s="31" t="inlineStr">
        <is>
          <t>Learned LR call at threshold 0.5100; executable ask 0.6200 (aec-mlb-sf-sea-2026-07-19).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mlb-sf</t>
        </is>
      </c>
      <c r="AQ30" s="24" t="inlineStr">
        <is>
          <t>San Francisco Giants</t>
        </is>
      </c>
      <c r="AR30" s="24" t="inlineStr">
        <is>
          <t>San Francisco Giants</t>
        </is>
      </c>
      <c r="AS30" s="24" t="inlineStr">
        <is>
          <t>mlb-sea</t>
        </is>
      </c>
      <c r="AT30" s="24" t="inlineStr">
        <is>
          <t>Seattle Mariners</t>
        </is>
      </c>
      <c r="AU30" s="24" t="inlineStr">
        <is>
          <t>Seattle Mariners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298e6dc77b219dd702fb39be7c6e2b5562b2205ff877ee03c281de8ce83baca2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298e6dc77b219dd702fb39be7c6e2b5562b2205ff877ee03c281de8ce83baca2</t>
        </is>
      </c>
      <c r="BE30" s="24" t="inlineStr">
        <is>
          <t>069da78a2c9ccc69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2026-07-19T06:07:54.146825Z</t>
        </is>
      </c>
      <c r="BI30" s="24" t="inlineStr">
        <is>
          <t>["same_event","same_team_same_day","same_league_same_day"]</t>
        </is>
      </c>
      <c r="BJ30" s="38" t="n"/>
      <c r="BK30" s="26" t="n">
        <v>-163</v>
      </c>
      <c r="BL30" s="39" t="n">
        <v>1.613497</v>
      </c>
      <c r="BM30" s="28" t="n">
        <v>0.619772</v>
      </c>
      <c r="BN30" s="28" t="n">
        <v>0.616915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/>
      <c r="BY30" s="39" t="n"/>
      <c r="BZ30" s="24" t="n"/>
      <c r="CA30" s="31" t="n"/>
    </row>
    <row r="31" ht="36" customHeight="1">
      <c r="A31" s="24" t="inlineStr">
        <is>
          <t>10db4b9843584130</t>
        </is>
      </c>
      <c r="B31" s="24" t="inlineStr">
        <is>
          <t>2026-07-19T06:08:23.722044Z</t>
        </is>
      </c>
      <c r="C31" s="24" t="inlineStr">
        <is>
          <t>2026-07-19T20:10Z</t>
        </is>
      </c>
      <c r="D31" s="24" t="inlineStr">
        <is>
          <t>401816184</t>
        </is>
      </c>
      <c r="E31" s="24" t="inlineStr">
        <is>
          <t>MLB</t>
        </is>
      </c>
      <c r="F31" s="24" t="inlineStr">
        <is>
          <t>St. Louis Cardinals</t>
        </is>
      </c>
      <c r="G31" s="24" t="inlineStr">
        <is>
          <t>Arizona Diamondbacks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-111</v>
      </c>
      <c r="M31" s="39" t="n">
        <v>1.900901</v>
      </c>
      <c r="N31" s="28" t="n">
        <v>0.526066</v>
      </c>
      <c r="O31" s="28" t="n">
        <v>0.8267409999999999</v>
      </c>
      <c r="P31" s="28" t="n"/>
      <c r="Q31" s="28" t="n">
        <v>0.300675</v>
      </c>
      <c r="R31" s="26" t="n">
        <v>100</v>
      </c>
      <c r="S31" s="29" t="n">
        <v>0</v>
      </c>
      <c r="T31" s="24" t="inlineStr">
        <is>
          <t>mlb-elo-trend-lr-v3</t>
        </is>
      </c>
      <c r="U31" s="24" t="inlineStr">
        <is>
          <t>open</t>
        </is>
      </c>
      <c r="V31" s="24" t="n"/>
      <c r="W31" s="26" t="n"/>
      <c r="X31" s="26" t="n"/>
      <c r="Y31" s="38" t="n"/>
      <c r="Z31" s="26" t="n"/>
      <c r="AA31" s="28" t="n"/>
      <c r="AB31" s="28" t="n"/>
      <c r="AC31" s="40" t="n"/>
      <c r="AD31" s="24" t="n"/>
      <c r="AE31" s="31" t="inlineStr">
        <is>
          <t>Learned LR call at threshold 0.5100; executable ask 0.5250 (aec-mlb-stl-az-2026-07-19).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mlb-stl</t>
        </is>
      </c>
      <c r="AQ31" s="24" t="inlineStr">
        <is>
          <t>St. Louis Cardinals</t>
        </is>
      </c>
      <c r="AR31" s="24" t="inlineStr">
        <is>
          <t>St. Louis Cardinals</t>
        </is>
      </c>
      <c r="AS31" s="24" t="inlineStr">
        <is>
          <t>mlb-ari</t>
        </is>
      </c>
      <c r="AT31" s="24" t="inlineStr">
        <is>
          <t>Arizona Diamondbacks</t>
        </is>
      </c>
      <c r="AU31" s="24" t="inlineStr">
        <is>
          <t>Arizona Diamondbacks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298e6dc77b219dd702fb39be7c6e2b5562b2205ff877ee03c281de8ce83baca2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298e6dc77b219dd702fb39be7c6e2b5562b2205ff877ee03c281de8ce83baca2</t>
        </is>
      </c>
      <c r="BE31" s="24" t="inlineStr">
        <is>
          <t>851049daaf7b9131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2026-07-19T06:07:55.759037Z</t>
        </is>
      </c>
      <c r="BI31" s="24" t="inlineStr">
        <is>
          <t>["same_event","same_team_same_day","same_league_same_day"]</t>
        </is>
      </c>
      <c r="BJ31" s="38" t="n"/>
      <c r="BK31" s="26" t="n">
        <v>-111</v>
      </c>
      <c r="BL31" s="39" t="n">
        <v>1.900901</v>
      </c>
      <c r="BM31" s="28" t="n">
        <v>0.526066</v>
      </c>
      <c r="BN31" s="28" t="n">
        <v>0.522388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/>
      <c r="BY31" s="39" t="n"/>
      <c r="BZ31" s="24" t="n"/>
      <c r="CA31" s="31" t="n"/>
    </row>
    <row r="32" ht="36" customHeight="1">
      <c r="A32" s="24" t="inlineStr">
        <is>
          <t>45668647ec5a4367</t>
        </is>
      </c>
      <c r="B32" s="24" t="inlineStr">
        <is>
          <t>2026-07-19T06:08:23.722044Z</t>
        </is>
      </c>
      <c r="C32" s="24" t="inlineStr">
        <is>
          <t>2026-07-19T23:20Z</t>
        </is>
      </c>
      <c r="D32" s="24" t="inlineStr">
        <is>
          <t>401816172</t>
        </is>
      </c>
      <c r="E32" s="24" t="inlineStr">
        <is>
          <t>MLB</t>
        </is>
      </c>
      <c r="F32" s="24" t="inlineStr">
        <is>
          <t>Los Angeles Dodgers</t>
        </is>
      </c>
      <c r="G32" s="24" t="inlineStr">
        <is>
          <t>New York Yankees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106</v>
      </c>
      <c r="M32" s="39" t="n">
        <v>2.06</v>
      </c>
      <c r="N32" s="28" t="n">
        <v>0.485437</v>
      </c>
      <c r="O32" s="28" t="n">
        <v>0.795808</v>
      </c>
      <c r="P32" s="28" t="n"/>
      <c r="Q32" s="28" t="n">
        <v>0.310371</v>
      </c>
      <c r="R32" s="26" t="n">
        <v>100</v>
      </c>
      <c r="S32" s="29" t="n">
        <v>0</v>
      </c>
      <c r="T32" s="24" t="inlineStr">
        <is>
          <t>mlb-elo-trend-lr-v3</t>
        </is>
      </c>
      <c r="U32" s="24" t="inlineStr">
        <is>
          <t>open</t>
        </is>
      </c>
      <c r="V32" s="24" t="n"/>
      <c r="W32" s="26" t="n"/>
      <c r="X32" s="26" t="n"/>
      <c r="Y32" s="38" t="n"/>
      <c r="Z32" s="26" t="n"/>
      <c r="AA32" s="28" t="n"/>
      <c r="AB32" s="28" t="n"/>
      <c r="AC32" s="40" t="n"/>
      <c r="AD32" s="24" t="n"/>
      <c r="AE32" s="31" t="inlineStr">
        <is>
          <t>Learned LR call at threshold 0.5100; executable ask 0.4850 (aec-mlb-lad-nyy-2026-07-19).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mlb-lad</t>
        </is>
      </c>
      <c r="AQ32" s="24" t="inlineStr">
        <is>
          <t>Los Angeles Dodgers</t>
        </is>
      </c>
      <c r="AR32" s="24" t="inlineStr">
        <is>
          <t>Los Angeles Dodgers</t>
        </is>
      </c>
      <c r="AS32" s="24" t="inlineStr">
        <is>
          <t>mlb-nyy</t>
        </is>
      </c>
      <c r="AT32" s="24" t="inlineStr">
        <is>
          <t>New York Yankees</t>
        </is>
      </c>
      <c r="AU32" s="24" t="inlineStr">
        <is>
          <t>New York Yankees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298e6dc77b219dd702fb39be7c6e2b5562b2205ff877ee03c281de8ce83baca2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298e6dc77b219dd702fb39be7c6e2b5562b2205ff877ee03c281de8ce83baca2</t>
        </is>
      </c>
      <c r="BE32" s="24" t="inlineStr">
        <is>
          <t>9da049fa06f0b7b9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2026-07-19T06:07:56.219448Z</t>
        </is>
      </c>
      <c r="BI32" s="24" t="inlineStr">
        <is>
          <t>["same_event","same_team_same_day","same_league_same_day"]</t>
        </is>
      </c>
      <c r="BJ32" s="38" t="n"/>
      <c r="BK32" s="26" t="n">
        <v>106</v>
      </c>
      <c r="BL32" s="39" t="n">
        <v>2.06</v>
      </c>
      <c r="BM32" s="28" t="n">
        <v>0.485437</v>
      </c>
      <c r="BN32" s="28" t="n">
        <v>0.482587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>
      <c r="A33" t="inlineStr">
        <is>
          <t>2fe604a809ed46d5</t>
        </is>
      </c>
      <c r="B33" t="inlineStr">
        <is>
          <t>2026-07-19T10:49:38.448695+00:00</t>
        </is>
      </c>
      <c r="C33" t="inlineStr">
        <is>
          <t>2026-07-17T18:00:00Z</t>
        </is>
      </c>
      <c r="D33" t="inlineStr">
        <is>
          <t>Tamp-Bost-2026-07-17</t>
        </is>
      </c>
      <c r="E33" t="inlineStr">
        <is>
          <t>MLB</t>
        </is>
      </c>
      <c r="F33" t="inlineStr">
        <is>
          <t>Tampa Bay Rays</t>
        </is>
      </c>
      <c r="G33" t="inlineStr">
        <is>
          <t>Boston Red Sox</t>
        </is>
      </c>
      <c r="H33" t="inlineStr">
        <is>
          <t>moneyline</t>
        </is>
      </c>
      <c r="I33" t="inlineStr">
        <is>
          <t>Boston Red Sox</t>
        </is>
      </c>
      <c r="J33" t="inlineStr"/>
      <c r="K33" t="inlineStr">
        <is>
          <t>polymarket</t>
        </is>
      </c>
      <c r="L33" t="inlineStr">
        <is>
          <t>-110</t>
        </is>
      </c>
      <c r="M33" t="inlineStr"/>
      <c r="N33" t="inlineStr"/>
      <c r="O33" t="inlineStr">
        <is>
          <t>0.550333</t>
        </is>
      </c>
      <c r="P33" t="inlineStr"/>
      <c r="Q33" t="inlineStr"/>
      <c r="R33" t="inlineStr"/>
      <c r="S33" t="inlineStr">
        <is>
          <t>0.909091</t>
        </is>
      </c>
      <c r="T33" t="inlineStr">
        <is>
          <t>mlb-elo-trend-lr-v3</t>
        </is>
      </c>
      <c r="U33" t="inlineStr"/>
      <c r="V33" t="inlineStr">
        <is>
          <t>win</t>
        </is>
      </c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>
        <is>
          <t>backtest</t>
        </is>
      </c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</row>
    <row r="34">
      <c r="A34" t="inlineStr">
        <is>
          <t>47dbb1641a0a4833</t>
        </is>
      </c>
      <c r="B34" t="inlineStr">
        <is>
          <t>2026-07-19T10:49:38.448695+00:00</t>
        </is>
      </c>
      <c r="C34" t="inlineStr">
        <is>
          <t>2026-07-17T18:00:00Z</t>
        </is>
      </c>
      <c r="D34" t="inlineStr">
        <is>
          <t>Tamp-Bost-2026-07-17</t>
        </is>
      </c>
      <c r="E34" t="inlineStr">
        <is>
          <t>MLB</t>
        </is>
      </c>
      <c r="F34" t="inlineStr">
        <is>
          <t>Tampa Bay Rays</t>
        </is>
      </c>
      <c r="G34" t="inlineStr">
        <is>
          <t>Boston Red Sox</t>
        </is>
      </c>
      <c r="H34" t="inlineStr">
        <is>
          <t>moneyline</t>
        </is>
      </c>
      <c r="I34" t="inlineStr">
        <is>
          <t>Boston Red Sox</t>
        </is>
      </c>
      <c r="J34" t="inlineStr"/>
      <c r="K34" t="inlineStr">
        <is>
          <t>polymarket</t>
        </is>
      </c>
      <c r="L34" t="inlineStr">
        <is>
          <t>-110</t>
        </is>
      </c>
      <c r="M34" t="inlineStr"/>
      <c r="N34" t="inlineStr"/>
      <c r="O34" t="inlineStr">
        <is>
          <t>0.550333</t>
        </is>
      </c>
      <c r="P34" t="inlineStr"/>
      <c r="Q34" t="inlineStr"/>
      <c r="R34" t="inlineStr"/>
      <c r="S34" t="inlineStr">
        <is>
          <t>0.909091</t>
        </is>
      </c>
      <c r="T34" t="inlineStr">
        <is>
          <t>mlb-elo-trend-lr-v3</t>
        </is>
      </c>
      <c r="U34" t="inlineStr"/>
      <c r="V34" t="inlineStr">
        <is>
          <t>win</t>
        </is>
      </c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>
        <is>
          <t>backtest</t>
        </is>
      </c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 t="inlineStr"/>
      <c r="BE34" t="inlineStr"/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</row>
    <row r="35">
      <c r="A35" t="inlineStr">
        <is>
          <t>ba6d8918b5e04b6c</t>
        </is>
      </c>
      <c r="B35" t="inlineStr">
        <is>
          <t>2026-07-19T10:49:38.448695+00:00</t>
        </is>
      </c>
      <c r="C35" t="inlineStr">
        <is>
          <t>2026-07-17T18:00:00Z</t>
        </is>
      </c>
      <c r="D35" t="inlineStr">
        <is>
          <t>Texa-Atla-2026-07-17</t>
        </is>
      </c>
      <c r="E35" t="inlineStr">
        <is>
          <t>MLB</t>
        </is>
      </c>
      <c r="F35" t="inlineStr">
        <is>
          <t>Texas Rangers</t>
        </is>
      </c>
      <c r="G35" t="inlineStr">
        <is>
          <t>Atlanta Braves</t>
        </is>
      </c>
      <c r="H35" t="inlineStr">
        <is>
          <t>moneyline</t>
        </is>
      </c>
      <c r="I35" t="inlineStr">
        <is>
          <t>Atlanta Braves</t>
        </is>
      </c>
      <c r="J35" t="inlineStr"/>
      <c r="K35" t="inlineStr">
        <is>
          <t>polymarket</t>
        </is>
      </c>
      <c r="L35" t="inlineStr">
        <is>
          <t>-110</t>
        </is>
      </c>
      <c r="M35" t="inlineStr"/>
      <c r="N35" t="inlineStr"/>
      <c r="O35" t="inlineStr">
        <is>
          <t>0.577396</t>
        </is>
      </c>
      <c r="P35" t="inlineStr"/>
      <c r="Q35" t="inlineStr"/>
      <c r="R35" t="inlineStr"/>
      <c r="S35" t="inlineStr">
        <is>
          <t>0.909091</t>
        </is>
      </c>
      <c r="T35" t="inlineStr">
        <is>
          <t>mlb-elo-trend-lr-v3</t>
        </is>
      </c>
      <c r="U35" t="inlineStr"/>
      <c r="V35" t="inlineStr">
        <is>
          <t>win</t>
        </is>
      </c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>
        <is>
          <t>backtest</t>
        </is>
      </c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 t="inlineStr"/>
      <c r="BE35" t="inlineStr"/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</row>
    <row r="36">
      <c r="A36" t="inlineStr">
        <is>
          <t>713f57aaeede4418</t>
        </is>
      </c>
      <c r="B36" t="inlineStr">
        <is>
          <t>2026-07-19T10:49:38.448695+00:00</t>
        </is>
      </c>
      <c r="C36" t="inlineStr">
        <is>
          <t>2026-07-17T18:00:00Z</t>
        </is>
      </c>
      <c r="D36" t="inlineStr">
        <is>
          <t>Chic-Toro-2026-07-17</t>
        </is>
      </c>
      <c r="E36" t="inlineStr">
        <is>
          <t>MLB</t>
        </is>
      </c>
      <c r="F36" t="inlineStr">
        <is>
          <t>Chicago White Sox</t>
        </is>
      </c>
      <c r="G36" t="inlineStr">
        <is>
          <t>Toronto Blue Jays</t>
        </is>
      </c>
      <c r="H36" t="inlineStr">
        <is>
          <t>moneyline</t>
        </is>
      </c>
      <c r="I36" t="inlineStr">
        <is>
          <t>Toronto Blue Jays</t>
        </is>
      </c>
      <c r="J36" t="inlineStr"/>
      <c r="K36" t="inlineStr">
        <is>
          <t>polymarket</t>
        </is>
      </c>
      <c r="L36" t="inlineStr">
        <is>
          <t>-110</t>
        </is>
      </c>
      <c r="M36" t="inlineStr"/>
      <c r="N36" t="inlineStr"/>
      <c r="O36" t="inlineStr">
        <is>
          <t>0.551581</t>
        </is>
      </c>
      <c r="P36" t="inlineStr"/>
      <c r="Q36" t="inlineStr"/>
      <c r="R36" t="inlineStr"/>
      <c r="S36" t="inlineStr">
        <is>
          <t>-1</t>
        </is>
      </c>
      <c r="T36" t="inlineStr">
        <is>
          <t>mlb-elo-trend-lr-v3</t>
        </is>
      </c>
      <c r="U36" t="inlineStr"/>
      <c r="V36" t="inlineStr">
        <is>
          <t>loss</t>
        </is>
      </c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>
        <is>
          <t>backtest</t>
        </is>
      </c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 t="inlineStr"/>
      <c r="BE36" t="inlineStr"/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</row>
    <row r="37">
      <c r="A37" t="inlineStr">
        <is>
          <t>baee116aa2834b53</t>
        </is>
      </c>
      <c r="B37" t="inlineStr">
        <is>
          <t>2026-07-19T10:49:38.448695+00:00</t>
        </is>
      </c>
      <c r="C37" t="inlineStr">
        <is>
          <t>2026-07-17T18:00:00Z</t>
        </is>
      </c>
      <c r="D37" t="inlineStr">
        <is>
          <t>Miam-Milw-2026-07-17</t>
        </is>
      </c>
      <c r="E37" t="inlineStr">
        <is>
          <t>MLB</t>
        </is>
      </c>
      <c r="F37" t="inlineStr">
        <is>
          <t>Miami Marlins</t>
        </is>
      </c>
      <c r="G37" t="inlineStr">
        <is>
          <t>Milwaukee Brewers</t>
        </is>
      </c>
      <c r="H37" t="inlineStr">
        <is>
          <t>moneyline</t>
        </is>
      </c>
      <c r="I37" t="inlineStr">
        <is>
          <t>Milwaukee Brewers</t>
        </is>
      </c>
      <c r="J37" t="inlineStr"/>
      <c r="K37" t="inlineStr">
        <is>
          <t>polymarket</t>
        </is>
      </c>
      <c r="L37" t="inlineStr">
        <is>
          <t>-110</t>
        </is>
      </c>
      <c r="M37" t="inlineStr"/>
      <c r="N37" t="inlineStr"/>
      <c r="O37" t="inlineStr">
        <is>
          <t>0.616198</t>
        </is>
      </c>
      <c r="P37" t="inlineStr"/>
      <c r="Q37" t="inlineStr"/>
      <c r="R37" t="inlineStr"/>
      <c r="S37" t="inlineStr">
        <is>
          <t>0.909091</t>
        </is>
      </c>
      <c r="T37" t="inlineStr">
        <is>
          <t>mlb-elo-trend-lr-v3</t>
        </is>
      </c>
      <c r="U37" t="inlineStr"/>
      <c r="V37" t="inlineStr">
        <is>
          <t>win</t>
        </is>
      </c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>
        <is>
          <t>backtest</t>
        </is>
      </c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</row>
    <row r="38">
      <c r="A38" t="inlineStr">
        <is>
          <t>509252032f1947b8</t>
        </is>
      </c>
      <c r="B38" t="inlineStr">
        <is>
          <t>2026-07-19T10:49:38.448695+00:00</t>
        </is>
      </c>
      <c r="C38" t="inlineStr">
        <is>
          <t>2026-07-17T18:00:00Z</t>
        </is>
      </c>
      <c r="D38" t="inlineStr">
        <is>
          <t>Minn-Chic-2026-07-17</t>
        </is>
      </c>
      <c r="E38" t="inlineStr">
        <is>
          <t>MLB</t>
        </is>
      </c>
      <c r="F38" t="inlineStr">
        <is>
          <t>Minnesota Twins</t>
        </is>
      </c>
      <c r="G38" t="inlineStr">
        <is>
          <t>Chicago Cubs</t>
        </is>
      </c>
      <c r="H38" t="inlineStr">
        <is>
          <t>moneyline</t>
        </is>
      </c>
      <c r="I38" t="inlineStr">
        <is>
          <t>Chicago Cubs</t>
        </is>
      </c>
      <c r="J38" t="inlineStr"/>
      <c r="K38" t="inlineStr">
        <is>
          <t>polymarket</t>
        </is>
      </c>
      <c r="L38" t="inlineStr">
        <is>
          <t>-110</t>
        </is>
      </c>
      <c r="M38" t="inlineStr"/>
      <c r="N38" t="inlineStr"/>
      <c r="O38" t="inlineStr">
        <is>
          <t>0.60271</t>
        </is>
      </c>
      <c r="P38" t="inlineStr"/>
      <c r="Q38" t="inlineStr"/>
      <c r="R38" t="inlineStr"/>
      <c r="S38" t="inlineStr">
        <is>
          <t>-1</t>
        </is>
      </c>
      <c r="T38" t="inlineStr">
        <is>
          <t>mlb-elo-trend-lr-v3</t>
        </is>
      </c>
      <c r="U38" t="inlineStr"/>
      <c r="V38" t="inlineStr">
        <is>
          <t>loss</t>
        </is>
      </c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>
        <is>
          <t>backtest</t>
        </is>
      </c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</row>
    <row r="39">
      <c r="A39" t="inlineStr">
        <is>
          <t>4224d3689d5b44ed</t>
        </is>
      </c>
      <c r="B39" t="inlineStr">
        <is>
          <t>2026-07-19T10:49:38.448695+00:00</t>
        </is>
      </c>
      <c r="C39" t="inlineStr">
        <is>
          <t>2026-07-17T18:00:00Z</t>
        </is>
      </c>
      <c r="D39" t="inlineStr">
        <is>
          <t>SanD-Kans-2026-07-17</t>
        </is>
      </c>
      <c r="E39" t="inlineStr">
        <is>
          <t>MLB</t>
        </is>
      </c>
      <c r="F39" t="inlineStr">
        <is>
          <t>San Diego Padres</t>
        </is>
      </c>
      <c r="G39" t="inlineStr">
        <is>
          <t>Kansas City Royals</t>
        </is>
      </c>
      <c r="H39" t="inlineStr">
        <is>
          <t>moneyline</t>
        </is>
      </c>
      <c r="I39" t="inlineStr">
        <is>
          <t>San Diego Padres</t>
        </is>
      </c>
      <c r="J39" t="inlineStr"/>
      <c r="K39" t="inlineStr">
        <is>
          <t>polymarket</t>
        </is>
      </c>
      <c r="L39" t="inlineStr">
        <is>
          <t>-110</t>
        </is>
      </c>
      <c r="M39" t="inlineStr"/>
      <c r="N39" t="inlineStr"/>
      <c r="O39" t="inlineStr">
        <is>
          <t>0.521172</t>
        </is>
      </c>
      <c r="P39" t="inlineStr"/>
      <c r="Q39" t="inlineStr"/>
      <c r="R39" t="inlineStr"/>
      <c r="S39" t="inlineStr">
        <is>
          <t>-1</t>
        </is>
      </c>
      <c r="T39" t="inlineStr">
        <is>
          <t>mlb-elo-trend-lr-v3</t>
        </is>
      </c>
      <c r="U39" t="inlineStr"/>
      <c r="V39" t="inlineStr">
        <is>
          <t>loss</t>
        </is>
      </c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>
        <is>
          <t>backtest</t>
        </is>
      </c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</row>
    <row r="40">
      <c r="A40" t="inlineStr">
        <is>
          <t>caa582b839304286</t>
        </is>
      </c>
      <c r="B40" t="inlineStr">
        <is>
          <t>2026-07-19T10:49:38.448695+00:00</t>
        </is>
      </c>
      <c r="C40" t="inlineStr">
        <is>
          <t>2026-07-17T18:00:00Z</t>
        </is>
      </c>
      <c r="D40" t="inlineStr">
        <is>
          <t>Balt-Hous-2026-07-17</t>
        </is>
      </c>
      <c r="E40" t="inlineStr">
        <is>
          <t>MLB</t>
        </is>
      </c>
      <c r="F40" t="inlineStr">
        <is>
          <t>Baltimore Orioles</t>
        </is>
      </c>
      <c r="G40" t="inlineStr">
        <is>
          <t>Houston Astros</t>
        </is>
      </c>
      <c r="H40" t="inlineStr">
        <is>
          <t>moneyline</t>
        </is>
      </c>
      <c r="I40" t="inlineStr">
        <is>
          <t>Houston Astros</t>
        </is>
      </c>
      <c r="J40" t="inlineStr"/>
      <c r="K40" t="inlineStr">
        <is>
          <t>polymarket</t>
        </is>
      </c>
      <c r="L40" t="inlineStr">
        <is>
          <t>-110</t>
        </is>
      </c>
      <c r="M40" t="inlineStr"/>
      <c r="N40" t="inlineStr"/>
      <c r="O40" t="inlineStr">
        <is>
          <t>0.524624</t>
        </is>
      </c>
      <c r="P40" t="inlineStr"/>
      <c r="Q40" t="inlineStr"/>
      <c r="R40" t="inlineStr"/>
      <c r="S40" t="inlineStr">
        <is>
          <t>-1</t>
        </is>
      </c>
      <c r="T40" t="inlineStr">
        <is>
          <t>mlb-elo-trend-lr-v3</t>
        </is>
      </c>
      <c r="U40" t="inlineStr"/>
      <c r="V40" t="inlineStr">
        <is>
          <t>loss</t>
        </is>
      </c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>
        <is>
          <t>backtest</t>
        </is>
      </c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</row>
    <row r="41">
      <c r="A41" t="inlineStr">
        <is>
          <t>19647b771ec94081</t>
        </is>
      </c>
      <c r="B41" t="inlineStr">
        <is>
          <t>2026-07-19T10:49:38.448695+00:00</t>
        </is>
      </c>
      <c r="C41" t="inlineStr">
        <is>
          <t>2026-07-17T18:00:00Z</t>
        </is>
      </c>
      <c r="D41" t="inlineStr">
        <is>
          <t>Cinc-Colo-2026-07-17</t>
        </is>
      </c>
      <c r="E41" t="inlineStr">
        <is>
          <t>MLB</t>
        </is>
      </c>
      <c r="F41" t="inlineStr">
        <is>
          <t>Cincinnati Reds</t>
        </is>
      </c>
      <c r="G41" t="inlineStr">
        <is>
          <t>Colorado Rockies</t>
        </is>
      </c>
      <c r="H41" t="inlineStr">
        <is>
          <t>moneyline</t>
        </is>
      </c>
      <c r="I41" t="inlineStr">
        <is>
          <t>Cincinnati Reds</t>
        </is>
      </c>
      <c r="J41" t="inlineStr"/>
      <c r="K41" t="inlineStr">
        <is>
          <t>polymarket</t>
        </is>
      </c>
      <c r="L41" t="inlineStr">
        <is>
          <t>-110</t>
        </is>
      </c>
      <c r="M41" t="inlineStr"/>
      <c r="N41" t="inlineStr"/>
      <c r="O41" t="inlineStr">
        <is>
          <t>0.582862</t>
        </is>
      </c>
      <c r="P41" t="inlineStr"/>
      <c r="Q41" t="inlineStr"/>
      <c r="R41" t="inlineStr"/>
      <c r="S41" t="inlineStr">
        <is>
          <t>0.909091</t>
        </is>
      </c>
      <c r="T41" t="inlineStr">
        <is>
          <t>mlb-elo-trend-lr-v3</t>
        </is>
      </c>
      <c r="U41" t="inlineStr"/>
      <c r="V41" t="inlineStr">
        <is>
          <t>win</t>
        </is>
      </c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>
        <is>
          <t>backtest</t>
        </is>
      </c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</row>
    <row r="42">
      <c r="A42" t="inlineStr">
        <is>
          <t>632575e6d24b409b</t>
        </is>
      </c>
      <c r="B42" t="inlineStr">
        <is>
          <t>2026-07-19T10:49:38.448695+00:00</t>
        </is>
      </c>
      <c r="C42" t="inlineStr">
        <is>
          <t>2026-07-17T18:00:00Z</t>
        </is>
      </c>
      <c r="D42" t="inlineStr">
        <is>
          <t>Detr-LosA-2026-07-17</t>
        </is>
      </c>
      <c r="E42" t="inlineStr">
        <is>
          <t>MLB</t>
        </is>
      </c>
      <c r="F42" t="inlineStr">
        <is>
          <t>Detroit Tigers</t>
        </is>
      </c>
      <c r="G42" t="inlineStr">
        <is>
          <t>Los Angeles Angels</t>
        </is>
      </c>
      <c r="H42" t="inlineStr">
        <is>
          <t>moneyline</t>
        </is>
      </c>
      <c r="I42" t="inlineStr">
        <is>
          <t>Detroit Tigers</t>
        </is>
      </c>
      <c r="J42" t="inlineStr"/>
      <c r="K42" t="inlineStr">
        <is>
          <t>polymarket</t>
        </is>
      </c>
      <c r="L42" t="inlineStr">
        <is>
          <t>-110</t>
        </is>
      </c>
      <c r="M42" t="inlineStr"/>
      <c r="N42" t="inlineStr"/>
      <c r="O42" t="inlineStr">
        <is>
          <t>0.550233</t>
        </is>
      </c>
      <c r="P42" t="inlineStr"/>
      <c r="Q42" t="inlineStr"/>
      <c r="R42" t="inlineStr"/>
      <c r="S42" t="inlineStr">
        <is>
          <t>0.909091</t>
        </is>
      </c>
      <c r="T42" t="inlineStr">
        <is>
          <t>mlb-elo-trend-lr-v3</t>
        </is>
      </c>
      <c r="U42" t="inlineStr"/>
      <c r="V42" t="inlineStr">
        <is>
          <t>win</t>
        </is>
      </c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>
        <is>
          <t>backtest</t>
        </is>
      </c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</row>
    <row r="43">
      <c r="A43" t="inlineStr">
        <is>
          <t>673ea47c54654f7f</t>
        </is>
      </c>
      <c r="B43" t="inlineStr">
        <is>
          <t>2026-07-19T10:49:38.448695+00:00</t>
        </is>
      </c>
      <c r="C43" t="inlineStr">
        <is>
          <t>2026-07-17T18:00:00Z</t>
        </is>
      </c>
      <c r="D43" t="inlineStr">
        <is>
          <t>Wash-Athl-2026-07-17</t>
        </is>
      </c>
      <c r="E43" t="inlineStr">
        <is>
          <t>MLB</t>
        </is>
      </c>
      <c r="F43" t="inlineStr">
        <is>
          <t>Washington Nationals</t>
        </is>
      </c>
      <c r="G43" t="inlineStr">
        <is>
          <t>Athletics</t>
        </is>
      </c>
      <c r="H43" t="inlineStr">
        <is>
          <t>moneyline</t>
        </is>
      </c>
      <c r="I43" t="inlineStr">
        <is>
          <t>Athletics</t>
        </is>
      </c>
      <c r="J43" t="inlineStr"/>
      <c r="K43" t="inlineStr">
        <is>
          <t>polymarket</t>
        </is>
      </c>
      <c r="L43" t="inlineStr">
        <is>
          <t>-110</t>
        </is>
      </c>
      <c r="M43" t="inlineStr"/>
      <c r="N43" t="inlineStr"/>
      <c r="O43" t="inlineStr">
        <is>
          <t>0.530299</t>
        </is>
      </c>
      <c r="P43" t="inlineStr"/>
      <c r="Q43" t="inlineStr"/>
      <c r="R43" t="inlineStr"/>
      <c r="S43" t="inlineStr">
        <is>
          <t>-1</t>
        </is>
      </c>
      <c r="T43" t="inlineStr">
        <is>
          <t>mlb-elo-trend-lr-v3</t>
        </is>
      </c>
      <c r="U43" t="inlineStr"/>
      <c r="V43" t="inlineStr">
        <is>
          <t>loss</t>
        </is>
      </c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>
        <is>
          <t>backtest</t>
        </is>
      </c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</row>
    <row r="44">
      <c r="A44" t="inlineStr">
        <is>
          <t>f7bfb70dfae84f8f</t>
        </is>
      </c>
      <c r="B44" t="inlineStr">
        <is>
          <t>2026-07-19T10:49:38.448695+00:00</t>
        </is>
      </c>
      <c r="C44" t="inlineStr">
        <is>
          <t>2026-07-17T18:00:00Z</t>
        </is>
      </c>
      <c r="D44" t="inlineStr">
        <is>
          <t>St.L-Ariz-2026-07-17</t>
        </is>
      </c>
      <c r="E44" t="inlineStr">
        <is>
          <t>MLB</t>
        </is>
      </c>
      <c r="F44" t="inlineStr">
        <is>
          <t>St. Louis Cardinals</t>
        </is>
      </c>
      <c r="G44" t="inlineStr">
        <is>
          <t>Arizona Diamondbacks</t>
        </is>
      </c>
      <c r="H44" t="inlineStr">
        <is>
          <t>moneyline</t>
        </is>
      </c>
      <c r="I44" t="inlineStr">
        <is>
          <t>Arizona Diamondbacks</t>
        </is>
      </c>
      <c r="J44" t="inlineStr"/>
      <c r="K44" t="inlineStr">
        <is>
          <t>polymarket</t>
        </is>
      </c>
      <c r="L44" t="inlineStr">
        <is>
          <t>-110</t>
        </is>
      </c>
      <c r="M44" t="inlineStr"/>
      <c r="N44" t="inlineStr"/>
      <c r="O44" t="inlineStr">
        <is>
          <t>0.525388</t>
        </is>
      </c>
      <c r="P44" t="inlineStr"/>
      <c r="Q44" t="inlineStr"/>
      <c r="R44" t="inlineStr"/>
      <c r="S44" t="inlineStr">
        <is>
          <t>-1</t>
        </is>
      </c>
      <c r="T44" t="inlineStr">
        <is>
          <t>mlb-elo-trend-lr-v3</t>
        </is>
      </c>
      <c r="U44" t="inlineStr"/>
      <c r="V44" t="inlineStr">
        <is>
          <t>loss</t>
        </is>
      </c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>
        <is>
          <t>backtest</t>
        </is>
      </c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</row>
    <row r="45">
      <c r="A45" t="inlineStr">
        <is>
          <t>cebdc679239c4a7e</t>
        </is>
      </c>
      <c r="B45" t="inlineStr">
        <is>
          <t>2026-07-19T10:49:38.448695+00:00</t>
        </is>
      </c>
      <c r="C45" t="inlineStr">
        <is>
          <t>2026-07-17T18:00:00Z</t>
        </is>
      </c>
      <c r="D45" t="inlineStr">
        <is>
          <t>SanF-Seat-2026-07-17</t>
        </is>
      </c>
      <c r="E45" t="inlineStr">
        <is>
          <t>MLB</t>
        </is>
      </c>
      <c r="F45" t="inlineStr">
        <is>
          <t>San Francisco Giants</t>
        </is>
      </c>
      <c r="G45" t="inlineStr">
        <is>
          <t>Seattle Mariners</t>
        </is>
      </c>
      <c r="H45" t="inlineStr">
        <is>
          <t>moneyline</t>
        </is>
      </c>
      <c r="I45" t="inlineStr">
        <is>
          <t>Seattle Mariners</t>
        </is>
      </c>
      <c r="J45" t="inlineStr"/>
      <c r="K45" t="inlineStr">
        <is>
          <t>polymarket</t>
        </is>
      </c>
      <c r="L45" t="inlineStr">
        <is>
          <t>-110</t>
        </is>
      </c>
      <c r="M45" t="inlineStr"/>
      <c r="N45" t="inlineStr"/>
      <c r="O45" t="inlineStr">
        <is>
          <t>0.597575</t>
        </is>
      </c>
      <c r="P45" t="inlineStr"/>
      <c r="Q45" t="inlineStr"/>
      <c r="R45" t="inlineStr"/>
      <c r="S45" t="inlineStr">
        <is>
          <t>-1</t>
        </is>
      </c>
      <c r="T45" t="inlineStr">
        <is>
          <t>mlb-elo-trend-lr-v3</t>
        </is>
      </c>
      <c r="U45" t="inlineStr"/>
      <c r="V45" t="inlineStr">
        <is>
          <t>loss</t>
        </is>
      </c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>
        <is>
          <t>backtest</t>
        </is>
      </c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</row>
    <row r="46">
      <c r="A46" t="inlineStr">
        <is>
          <t>deb68aa7d25042de</t>
        </is>
      </c>
      <c r="B46" t="inlineStr">
        <is>
          <t>2026-07-19T10:49:38.448695+00:00</t>
        </is>
      </c>
      <c r="C46" t="inlineStr">
        <is>
          <t>2026-07-17T18:00:00Z</t>
        </is>
      </c>
      <c r="D46" t="inlineStr">
        <is>
          <t>Atla-Toro-2026-07-17</t>
        </is>
      </c>
      <c r="E46" t="inlineStr">
        <is>
          <t>WNBA</t>
        </is>
      </c>
      <c r="F46" t="inlineStr">
        <is>
          <t>Atlanta Dream</t>
        </is>
      </c>
      <c r="G46" t="inlineStr">
        <is>
          <t>Toronto Tempo</t>
        </is>
      </c>
      <c r="H46" t="inlineStr">
        <is>
          <t>moneyline</t>
        </is>
      </c>
      <c r="I46" t="inlineStr">
        <is>
          <t>Atlanta Dream</t>
        </is>
      </c>
      <c r="J46" t="inlineStr"/>
      <c r="K46" t="inlineStr">
        <is>
          <t>polymarket</t>
        </is>
      </c>
      <c r="L46" t="inlineStr">
        <is>
          <t>-110</t>
        </is>
      </c>
      <c r="M46" t="inlineStr"/>
      <c r="N46" t="inlineStr"/>
      <c r="O46" t="inlineStr">
        <is>
          <t>0.534506</t>
        </is>
      </c>
      <c r="P46" t="inlineStr"/>
      <c r="Q46" t="inlineStr"/>
      <c r="R46" t="inlineStr"/>
      <c r="S46" t="inlineStr">
        <is>
          <t>0.909091</t>
        </is>
      </c>
      <c r="T46" t="inlineStr">
        <is>
          <t>wnba-elo-trend-lr-v3</t>
        </is>
      </c>
      <c r="U46" t="inlineStr"/>
      <c r="V46" t="inlineStr">
        <is>
          <t>win</t>
        </is>
      </c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>
        <is>
          <t>backtest</t>
        </is>
      </c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</row>
    <row r="47">
      <c r="A47" t="inlineStr">
        <is>
          <t>9d42b77cda3d44a7</t>
        </is>
      </c>
      <c r="B47" t="inlineStr">
        <is>
          <t>2026-07-19T10:49:38.448695+00:00</t>
        </is>
      </c>
      <c r="C47" t="inlineStr">
        <is>
          <t>2026-07-17T18:00:00Z</t>
        </is>
      </c>
      <c r="D47" t="inlineStr">
        <is>
          <t>LosA-Chic-2026-07-17</t>
        </is>
      </c>
      <c r="E47" t="inlineStr">
        <is>
          <t>WNBA</t>
        </is>
      </c>
      <c r="F47" t="inlineStr">
        <is>
          <t>Los Angeles Sparks</t>
        </is>
      </c>
      <c r="G47" t="inlineStr">
        <is>
          <t>Chicago Sky</t>
        </is>
      </c>
      <c r="H47" t="inlineStr">
        <is>
          <t>moneyline</t>
        </is>
      </c>
      <c r="I47" t="inlineStr">
        <is>
          <t>Chicago Sky</t>
        </is>
      </c>
      <c r="J47" t="inlineStr"/>
      <c r="K47" t="inlineStr">
        <is>
          <t>polymarket</t>
        </is>
      </c>
      <c r="L47" t="inlineStr">
        <is>
          <t>-110</t>
        </is>
      </c>
      <c r="M47" t="inlineStr"/>
      <c r="N47" t="inlineStr"/>
      <c r="O47" t="inlineStr">
        <is>
          <t>0.505358</t>
        </is>
      </c>
      <c r="P47" t="inlineStr"/>
      <c r="Q47" t="inlineStr"/>
      <c r="R47" t="inlineStr"/>
      <c r="S47" t="inlineStr">
        <is>
          <t>0.909091</t>
        </is>
      </c>
      <c r="T47" t="inlineStr">
        <is>
          <t>wnba-elo-trend-lr-v3</t>
        </is>
      </c>
      <c r="U47" t="inlineStr"/>
      <c r="V47" t="inlineStr">
        <is>
          <t>win</t>
        </is>
      </c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>
        <is>
          <t>backtest</t>
        </is>
      </c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</row>
    <row r="48">
      <c r="A48" t="inlineStr">
        <is>
          <t>33934bb67697420b</t>
        </is>
      </c>
      <c r="B48" t="inlineStr">
        <is>
          <t>2026-07-19T10:49:38.448695+00:00</t>
        </is>
      </c>
      <c r="C48" t="inlineStr">
        <is>
          <t>2026-07-17T18:00:00Z</t>
        </is>
      </c>
      <c r="D48" t="inlineStr">
        <is>
          <t>Conn-Phoe-2026-07-17</t>
        </is>
      </c>
      <c r="E48" t="inlineStr">
        <is>
          <t>WNBA</t>
        </is>
      </c>
      <c r="F48" t="inlineStr">
        <is>
          <t>Connecticut Sun</t>
        </is>
      </c>
      <c r="G48" t="inlineStr">
        <is>
          <t>Phoenix Mercury</t>
        </is>
      </c>
      <c r="H48" t="inlineStr">
        <is>
          <t>moneyline</t>
        </is>
      </c>
      <c r="I48" t="inlineStr">
        <is>
          <t>Phoenix Mercury</t>
        </is>
      </c>
      <c r="J48" t="inlineStr"/>
      <c r="K48" t="inlineStr">
        <is>
          <t>polymarket</t>
        </is>
      </c>
      <c r="L48" t="inlineStr">
        <is>
          <t>-110</t>
        </is>
      </c>
      <c r="M48" t="inlineStr"/>
      <c r="N48" t="inlineStr"/>
      <c r="O48" t="inlineStr">
        <is>
          <t>0.637935</t>
        </is>
      </c>
      <c r="P48" t="inlineStr"/>
      <c r="Q48" t="inlineStr"/>
      <c r="R48" t="inlineStr"/>
      <c r="S48" t="inlineStr">
        <is>
          <t>-1</t>
        </is>
      </c>
      <c r="T48" t="inlineStr">
        <is>
          <t>wnba-elo-trend-lr-v3</t>
        </is>
      </c>
      <c r="U48" t="inlineStr"/>
      <c r="V48" t="inlineStr">
        <is>
          <t>loss</t>
        </is>
      </c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>
        <is>
          <t>backtest</t>
        </is>
      </c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</row>
    <row r="49">
      <c r="A49" t="inlineStr">
        <is>
          <t>9e5a3c9d33b2497b</t>
        </is>
      </c>
      <c r="B49" t="inlineStr">
        <is>
          <t>2026-07-19T10:49:38.448695+00:00</t>
        </is>
      </c>
      <c r="C49" t="inlineStr">
        <is>
          <t>2026-07-18T18:00:00Z</t>
        </is>
      </c>
      <c r="D49" t="inlineStr">
        <is>
          <t>NewY-Phil-2026-07-18</t>
        </is>
      </c>
      <c r="E49" t="inlineStr">
        <is>
          <t>MLB</t>
        </is>
      </c>
      <c r="F49" t="inlineStr">
        <is>
          <t>New York Mets</t>
        </is>
      </c>
      <c r="G49" t="inlineStr">
        <is>
          <t>Philadelphia Phillies</t>
        </is>
      </c>
      <c r="H49" t="inlineStr">
        <is>
          <t>moneyline</t>
        </is>
      </c>
      <c r="I49" t="inlineStr">
        <is>
          <t>Philadelphia Phillies</t>
        </is>
      </c>
      <c r="J49" t="inlineStr"/>
      <c r="K49" t="inlineStr">
        <is>
          <t>polymarket</t>
        </is>
      </c>
      <c r="L49" t="inlineStr">
        <is>
          <t>-110</t>
        </is>
      </c>
      <c r="M49" t="inlineStr"/>
      <c r="N49" t="inlineStr"/>
      <c r="O49" t="inlineStr">
        <is>
          <t>0.611768</t>
        </is>
      </c>
      <c r="P49" t="inlineStr"/>
      <c r="Q49" t="inlineStr"/>
      <c r="R49" t="inlineStr"/>
      <c r="S49" t="inlineStr">
        <is>
          <t>0.909091</t>
        </is>
      </c>
      <c r="T49" t="inlineStr">
        <is>
          <t>mlb-elo-trend-lr-v3</t>
        </is>
      </c>
      <c r="U49" t="inlineStr"/>
      <c r="V49" t="inlineStr">
        <is>
          <t>win</t>
        </is>
      </c>
      <c r="W49" t="inlineStr"/>
      <c r="X49" t="inlineStr"/>
      <c r="Y49" t="inlineStr"/>
      <c r="Z49" t="inlineStr"/>
      <c r="AA49" t="inlineStr"/>
      <c r="AB49" t="inlineStr"/>
      <c r="AC49" t="inlineStr"/>
      <c r="AD49" t="inlineStr"/>
      <c r="AE49" t="inlineStr">
        <is>
          <t>backtest</t>
        </is>
      </c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</row>
    <row r="50">
      <c r="A50" t="inlineStr">
        <is>
          <t>f8293c8d16d748f5</t>
        </is>
      </c>
      <c r="B50" t="inlineStr">
        <is>
          <t>2026-07-19T10:49:38.448695+00:00</t>
        </is>
      </c>
      <c r="C50" t="inlineStr">
        <is>
          <t>2026-07-18T18:00:00Z</t>
        </is>
      </c>
      <c r="D50" t="inlineStr">
        <is>
          <t>St.L-Ariz-2026-07-18</t>
        </is>
      </c>
      <c r="E50" t="inlineStr">
        <is>
          <t>MLB</t>
        </is>
      </c>
      <c r="F50" t="inlineStr">
        <is>
          <t>St. Louis Cardinals</t>
        </is>
      </c>
      <c r="G50" t="inlineStr">
        <is>
          <t>Arizona Diamondbacks</t>
        </is>
      </c>
      <c r="H50" t="inlineStr">
        <is>
          <t>moneyline</t>
        </is>
      </c>
      <c r="I50" t="inlineStr">
        <is>
          <t>Arizona Diamondbacks</t>
        </is>
      </c>
      <c r="J50" t="inlineStr"/>
      <c r="K50" t="inlineStr">
        <is>
          <t>polymarket</t>
        </is>
      </c>
      <c r="L50" t="inlineStr">
        <is>
          <t>-110</t>
        </is>
      </c>
      <c r="M50" t="inlineStr"/>
      <c r="N50" t="inlineStr"/>
      <c r="O50" t="inlineStr">
        <is>
          <t>0.525388</t>
        </is>
      </c>
      <c r="P50" t="inlineStr"/>
      <c r="Q50" t="inlineStr"/>
      <c r="R50" t="inlineStr"/>
      <c r="S50" t="inlineStr">
        <is>
          <t>0.909091</t>
        </is>
      </c>
      <c r="T50" t="inlineStr">
        <is>
          <t>mlb-elo-trend-lr-v3</t>
        </is>
      </c>
      <c r="U50" t="inlineStr"/>
      <c r="V50" t="inlineStr">
        <is>
          <t>win</t>
        </is>
      </c>
      <c r="W50" t="inlineStr"/>
      <c r="X50" t="inlineStr"/>
      <c r="Y50" t="inlineStr"/>
      <c r="Z50" t="inlineStr"/>
      <c r="AA50" t="inlineStr"/>
      <c r="AB50" t="inlineStr"/>
      <c r="AC50" t="inlineStr"/>
      <c r="AD50" t="inlineStr"/>
      <c r="AE50" t="inlineStr">
        <is>
          <t>backtest</t>
        </is>
      </c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</row>
    <row r="51">
      <c r="A51" t="inlineStr">
        <is>
          <t>f1019aa0671049ee</t>
        </is>
      </c>
      <c r="B51" t="inlineStr">
        <is>
          <t>2026-07-19T10:49:38.448695+00:00</t>
        </is>
      </c>
      <c r="C51" t="inlineStr">
        <is>
          <t>2026-07-18T18:00:00Z</t>
        </is>
      </c>
      <c r="D51" t="inlineStr">
        <is>
          <t>SanF-Seat-2026-07-18</t>
        </is>
      </c>
      <c r="E51" t="inlineStr">
        <is>
          <t>MLB</t>
        </is>
      </c>
      <c r="F51" t="inlineStr">
        <is>
          <t>San Francisco Giants</t>
        </is>
      </c>
      <c r="G51" t="inlineStr">
        <is>
          <t>Seattle Mariners</t>
        </is>
      </c>
      <c r="H51" t="inlineStr">
        <is>
          <t>moneyline</t>
        </is>
      </c>
      <c r="I51" t="inlineStr">
        <is>
          <t>Seattle Mariners</t>
        </is>
      </c>
      <c r="J51" t="inlineStr"/>
      <c r="K51" t="inlineStr">
        <is>
          <t>polymarket</t>
        </is>
      </c>
      <c r="L51" t="inlineStr">
        <is>
          <t>-110</t>
        </is>
      </c>
      <c r="M51" t="inlineStr"/>
      <c r="N51" t="inlineStr"/>
      <c r="O51" t="inlineStr">
        <is>
          <t>0.597575</t>
        </is>
      </c>
      <c r="P51" t="inlineStr"/>
      <c r="Q51" t="inlineStr"/>
      <c r="R51" t="inlineStr"/>
      <c r="S51" t="inlineStr">
        <is>
          <t>0.909091</t>
        </is>
      </c>
      <c r="T51" t="inlineStr">
        <is>
          <t>mlb-elo-trend-lr-v3</t>
        </is>
      </c>
      <c r="U51" t="inlineStr"/>
      <c r="V51" t="inlineStr">
        <is>
          <t>win</t>
        </is>
      </c>
      <c r="W51" t="inlineStr"/>
      <c r="X51" t="inlineStr"/>
      <c r="Y51" t="inlineStr"/>
      <c r="Z51" t="inlineStr"/>
      <c r="AA51" t="inlineStr"/>
      <c r="AB51" t="inlineStr"/>
      <c r="AC51" t="inlineStr"/>
      <c r="AD51" t="inlineStr"/>
      <c r="AE51" t="inlineStr">
        <is>
          <t>backtest</t>
        </is>
      </c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</row>
    <row r="52">
      <c r="A52" t="inlineStr">
        <is>
          <t>ef9102ddf70441de</t>
        </is>
      </c>
      <c r="B52" t="inlineStr">
        <is>
          <t>2026-07-19T10:49:38.448695+00:00</t>
        </is>
      </c>
      <c r="C52" t="inlineStr">
        <is>
          <t>2026-07-18T18:00:00Z</t>
        </is>
      </c>
      <c r="D52" t="inlineStr">
        <is>
          <t>Wash-Athl-2026-07-18</t>
        </is>
      </c>
      <c r="E52" t="inlineStr">
        <is>
          <t>MLB</t>
        </is>
      </c>
      <c r="F52" t="inlineStr">
        <is>
          <t>Washington Nationals</t>
        </is>
      </c>
      <c r="G52" t="inlineStr">
        <is>
          <t>Athletics</t>
        </is>
      </c>
      <c r="H52" t="inlineStr">
        <is>
          <t>moneyline</t>
        </is>
      </c>
      <c r="I52" t="inlineStr">
        <is>
          <t>Athletics</t>
        </is>
      </c>
      <c r="J52" t="inlineStr"/>
      <c r="K52" t="inlineStr">
        <is>
          <t>polymarket</t>
        </is>
      </c>
      <c r="L52" t="inlineStr">
        <is>
          <t>-110</t>
        </is>
      </c>
      <c r="M52" t="inlineStr"/>
      <c r="N52" t="inlineStr"/>
      <c r="O52" t="inlineStr">
        <is>
          <t>0.530299</t>
        </is>
      </c>
      <c r="P52" t="inlineStr"/>
      <c r="Q52" t="inlineStr"/>
      <c r="R52" t="inlineStr"/>
      <c r="S52" t="inlineStr">
        <is>
          <t>-1</t>
        </is>
      </c>
      <c r="T52" t="inlineStr">
        <is>
          <t>mlb-elo-trend-lr-v3</t>
        </is>
      </c>
      <c r="U52" t="inlineStr"/>
      <c r="V52" t="inlineStr">
        <is>
          <t>loss</t>
        </is>
      </c>
      <c r="W52" t="inlineStr"/>
      <c r="X52" t="inlineStr"/>
      <c r="Y52" t="inlineStr"/>
      <c r="Z52" t="inlineStr"/>
      <c r="AA52" t="inlineStr"/>
      <c r="AB52" t="inlineStr"/>
      <c r="AC52" t="inlineStr"/>
      <c r="AD52" t="inlineStr"/>
      <c r="AE52" t="inlineStr">
        <is>
          <t>backtest</t>
        </is>
      </c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</row>
    <row r="53">
      <c r="A53" t="inlineStr">
        <is>
          <t>7e8754f391d2475e</t>
        </is>
      </c>
      <c r="B53" t="inlineStr">
        <is>
          <t>2026-07-19T10:49:38.448695+00:00</t>
        </is>
      </c>
      <c r="C53" t="inlineStr">
        <is>
          <t>2026-07-18T18:00:00Z</t>
        </is>
      </c>
      <c r="D53" t="inlineStr">
        <is>
          <t>Detr-LosA-2026-07-18</t>
        </is>
      </c>
      <c r="E53" t="inlineStr">
        <is>
          <t>MLB</t>
        </is>
      </c>
      <c r="F53" t="inlineStr">
        <is>
          <t>Detroit Tigers</t>
        </is>
      </c>
      <c r="G53" t="inlineStr">
        <is>
          <t>Los Angeles Angels</t>
        </is>
      </c>
      <c r="H53" t="inlineStr">
        <is>
          <t>moneyline</t>
        </is>
      </c>
      <c r="I53" t="inlineStr">
        <is>
          <t>Detroit Tigers</t>
        </is>
      </c>
      <c r="J53" t="inlineStr"/>
      <c r="K53" t="inlineStr">
        <is>
          <t>polymarket</t>
        </is>
      </c>
      <c r="L53" t="inlineStr">
        <is>
          <t>-110</t>
        </is>
      </c>
      <c r="M53" t="inlineStr"/>
      <c r="N53" t="inlineStr"/>
      <c r="O53" t="inlineStr">
        <is>
          <t>0.550233</t>
        </is>
      </c>
      <c r="P53" t="inlineStr"/>
      <c r="Q53" t="inlineStr"/>
      <c r="R53" t="inlineStr"/>
      <c r="S53" t="inlineStr">
        <is>
          <t>0.909091</t>
        </is>
      </c>
      <c r="T53" t="inlineStr">
        <is>
          <t>mlb-elo-trend-lr-v3</t>
        </is>
      </c>
      <c r="U53" t="inlineStr"/>
      <c r="V53" t="inlineStr">
        <is>
          <t>win</t>
        </is>
      </c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>
        <is>
          <t>backtest</t>
        </is>
      </c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/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</row>
    <row r="54">
      <c r="A54" t="inlineStr">
        <is>
          <t>5c32fca0897f4465</t>
        </is>
      </c>
      <c r="B54" t="inlineStr">
        <is>
          <t>2026-07-19T10:49:38.448695+00:00</t>
        </is>
      </c>
      <c r="C54" t="inlineStr">
        <is>
          <t>2026-07-18T18:00:00Z</t>
        </is>
      </c>
      <c r="D54" t="inlineStr">
        <is>
          <t>Port-Minn-2026-07-18</t>
        </is>
      </c>
      <c r="E54" t="inlineStr">
        <is>
          <t>WNBA</t>
        </is>
      </c>
      <c r="F54" t="inlineStr">
        <is>
          <t>Portland Fire</t>
        </is>
      </c>
      <c r="G54" t="inlineStr">
        <is>
          <t>Minnesota Lynx</t>
        </is>
      </c>
      <c r="H54" t="inlineStr">
        <is>
          <t>moneyline</t>
        </is>
      </c>
      <c r="I54" t="inlineStr">
        <is>
          <t>Minnesota Lynx</t>
        </is>
      </c>
      <c r="J54" t="inlineStr"/>
      <c r="K54" t="inlineStr">
        <is>
          <t>polymarket</t>
        </is>
      </c>
      <c r="L54" t="inlineStr">
        <is>
          <t>-110</t>
        </is>
      </c>
      <c r="M54" t="inlineStr"/>
      <c r="N54" t="inlineStr"/>
      <c r="O54" t="inlineStr">
        <is>
          <t>0.741703</t>
        </is>
      </c>
      <c r="P54" t="inlineStr"/>
      <c r="Q54" t="inlineStr"/>
      <c r="R54" t="inlineStr"/>
      <c r="S54" t="inlineStr">
        <is>
          <t>0.909091</t>
        </is>
      </c>
      <c r="T54" t="inlineStr">
        <is>
          <t>wnba-elo-trend-lr-v3</t>
        </is>
      </c>
      <c r="U54" t="inlineStr"/>
      <c r="V54" t="inlineStr">
        <is>
          <t>win</t>
        </is>
      </c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>
        <is>
          <t>backtest</t>
        </is>
      </c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/>
      <c r="BM54" t="inlineStr"/>
      <c r="BN54" t="inlineStr"/>
      <c r="BO54" t="inlineStr"/>
      <c r="BP54" t="inlineStr"/>
      <c r="BQ54" t="inlineStr"/>
      <c r="BR54" t="inlineStr"/>
      <c r="BS54" t="inlineStr"/>
      <c r="BT54" t="inlineStr"/>
      <c r="BU54" t="inlineStr"/>
      <c r="BV54" t="inlineStr"/>
      <c r="BW54" t="inlineStr"/>
      <c r="BX54" t="inlineStr"/>
      <c r="BY54" t="inlineStr"/>
      <c r="BZ54" t="inlineStr"/>
      <c r="CA54" t="inlineStr"/>
    </row>
    <row r="55">
      <c r="A55" t="inlineStr">
        <is>
          <t>90b65fc52d124bc1</t>
        </is>
      </c>
      <c r="B55" t="inlineStr">
        <is>
          <t>2026-07-19T10:49:38.448695+00:00</t>
        </is>
      </c>
      <c r="C55" t="inlineStr">
        <is>
          <t>2026-07-18T18:00:00Z</t>
        </is>
      </c>
      <c r="D55" t="inlineStr">
        <is>
          <t>NewY-Indi-2026-07-18</t>
        </is>
      </c>
      <c r="E55" t="inlineStr">
        <is>
          <t>WNBA</t>
        </is>
      </c>
      <c r="F55" t="inlineStr">
        <is>
          <t>New York Liberty</t>
        </is>
      </c>
      <c r="G55" t="inlineStr">
        <is>
          <t>Indiana Fever</t>
        </is>
      </c>
      <c r="H55" t="inlineStr">
        <is>
          <t>moneyline</t>
        </is>
      </c>
      <c r="I55" t="inlineStr">
        <is>
          <t>Indiana Fever</t>
        </is>
      </c>
      <c r="J55" t="inlineStr"/>
      <c r="K55" t="inlineStr">
        <is>
          <t>polymarket</t>
        </is>
      </c>
      <c r="L55" t="inlineStr">
        <is>
          <t>-110</t>
        </is>
      </c>
      <c r="M55" t="inlineStr"/>
      <c r="N55" t="inlineStr"/>
      <c r="O55" t="inlineStr">
        <is>
          <t>0.59624</t>
        </is>
      </c>
      <c r="P55" t="inlineStr"/>
      <c r="Q55" t="inlineStr"/>
      <c r="R55" t="inlineStr"/>
      <c r="S55" t="inlineStr">
        <is>
          <t>0.909091</t>
        </is>
      </c>
      <c r="T55" t="inlineStr">
        <is>
          <t>wnba-elo-trend-lr-v3</t>
        </is>
      </c>
      <c r="U55" t="inlineStr"/>
      <c r="V55" t="inlineStr">
        <is>
          <t>win</t>
        </is>
      </c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>
        <is>
          <t>backtest</t>
        </is>
      </c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 t="inlineStr"/>
      <c r="BE55" t="inlineStr"/>
      <c r="BF55" t="inlineStr"/>
      <c r="BG55" t="inlineStr"/>
      <c r="BH55" t="inlineStr"/>
      <c r="BI55" t="inlineStr"/>
      <c r="BJ55" t="inlineStr"/>
      <c r="BK55" t="inlineStr"/>
      <c r="BL55" t="inlineStr"/>
      <c r="BM55" t="inlineStr"/>
      <c r="BN55" t="inlineStr"/>
      <c r="BO55" t="inlineStr"/>
      <c r="BP55" t="inlineStr"/>
      <c r="BQ55" t="inlineStr"/>
      <c r="BR55" t="inlineStr"/>
      <c r="BS55" t="inlineStr"/>
      <c r="BT55" t="inlineStr"/>
      <c r="BU55" t="inlineStr"/>
      <c r="BV55" t="inlineStr"/>
      <c r="BW55" t="inlineStr"/>
      <c r="BX55" t="inlineStr"/>
      <c r="BY55" t="inlineStr"/>
      <c r="BZ55" t="inlineStr"/>
      <c r="CA55" t="inlineStr"/>
    </row>
    <row r="56">
      <c r="A56" t="inlineStr">
        <is>
          <t>413a2bc86aab48de</t>
        </is>
      </c>
      <c r="B56" t="inlineStr">
        <is>
          <t>2026-07-19T10:49:38.448695+00:00</t>
        </is>
      </c>
      <c r="C56" t="inlineStr">
        <is>
          <t>2026-07-18T18:00:00Z</t>
        </is>
      </c>
      <c r="D56" t="inlineStr">
        <is>
          <t>Wash-Gold-2026-07-18</t>
        </is>
      </c>
      <c r="E56" t="inlineStr">
        <is>
          <t>WNBA</t>
        </is>
      </c>
      <c r="F56" t="inlineStr">
        <is>
          <t>Washington Mystics</t>
        </is>
      </c>
      <c r="G56" t="inlineStr">
        <is>
          <t>Golden State Valkyries</t>
        </is>
      </c>
      <c r="H56" t="inlineStr">
        <is>
          <t>moneyline</t>
        </is>
      </c>
      <c r="I56" t="inlineStr">
        <is>
          <t>Golden State Valkyries</t>
        </is>
      </c>
      <c r="J56" t="inlineStr"/>
      <c r="K56" t="inlineStr">
        <is>
          <t>polymarket</t>
        </is>
      </c>
      <c r="L56" t="inlineStr">
        <is>
          <t>-110</t>
        </is>
      </c>
      <c r="M56" t="inlineStr"/>
      <c r="N56" t="inlineStr"/>
      <c r="O56" t="inlineStr">
        <is>
          <t>0.743891</t>
        </is>
      </c>
      <c r="P56" t="inlineStr"/>
      <c r="Q56" t="inlineStr"/>
      <c r="R56" t="inlineStr"/>
      <c r="S56" t="inlineStr">
        <is>
          <t>0.909091</t>
        </is>
      </c>
      <c r="T56" t="inlineStr">
        <is>
          <t>wnba-elo-trend-lr-v3</t>
        </is>
      </c>
      <c r="U56" t="inlineStr"/>
      <c r="V56" t="inlineStr">
        <is>
          <t>win</t>
        </is>
      </c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>
        <is>
          <t>backtest</t>
        </is>
      </c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 t="inlineStr"/>
      <c r="BE56" t="inlineStr"/>
      <c r="BF56" t="inlineStr"/>
      <c r="BG56" t="inlineStr"/>
      <c r="BH56" t="inlineStr"/>
      <c r="BI56" t="inlineStr"/>
      <c r="BJ56" t="inlineStr"/>
      <c r="BK56" t="inlineStr"/>
      <c r="BL56" t="inlineStr"/>
      <c r="BM56" t="inlineStr"/>
      <c r="BN56" t="inlineStr"/>
      <c r="BO56" t="inlineStr"/>
      <c r="BP56" t="inlineStr"/>
      <c r="BQ56" t="inlineStr"/>
      <c r="BR56" t="inlineStr"/>
      <c r="BS56" t="inlineStr"/>
      <c r="BT56" t="inlineStr"/>
      <c r="BU56" t="inlineStr"/>
      <c r="BV56" t="inlineStr"/>
      <c r="BW56" t="inlineStr"/>
      <c r="BX56" t="inlineStr"/>
      <c r="BY56" t="inlineStr"/>
      <c r="BZ56" t="inlineStr"/>
      <c r="CA56" t="inlineStr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2026-07-19T06:08:38Z</dcterms:created>
  <dcterms:modified xsi:type="dcterms:W3CDTF">2026-07-19T10:49:40Z</dcterms:modified>
</cp:coreProperties>
</file>