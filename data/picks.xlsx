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66" headerRowCount="1">
  <autoFilter ref="A1:CM66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COUNTA('Picks'!$A$2:$A$66)</f>
        <v/>
      </c>
      <c r="C4" s="6">
        <f>COUNTIF('Picks'!$U$2:$U$66,"open")</f>
        <v/>
      </c>
      <c r="E4" s="6">
        <f>COUNTIF('Picks'!$U$2:$U$66,"settled")</f>
        <v/>
      </c>
      <c r="G4" s="6">
        <f>IF(COUNTIFS('Picks'!$U$2:$U$66,"settled",'Picks'!$V$2:$V$66,"win")+COUNTIFS('Picks'!$U$2:$U$66,"settled",'Picks'!$V$2:$V$66,"loss")&gt;=$L$2,"Ready","Insufficient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COUNTIF('Picks'!$BX$2:$BX$66,"&gt;0")</f>
        <v/>
      </c>
      <c r="C7" s="6">
        <f>COUNTIFS('Picks'!$BX$2:$BX$66,"&gt;0",'Picks'!$V$2:$V$66,"win")&amp;"-"&amp;COUNTIFS('Picks'!$BX$2:$BX$66,"&gt;0",'Picks'!$V$2:$V$66,"loss")</f>
        <v/>
      </c>
      <c r="E7" s="7">
        <f>IFERROR(COUNTIFS('Picks'!$BX$2:$BX$66,"&gt;0",'Picks'!$V$2:$V$66,"win")/(COUNTIFS('Picks'!$BX$2:$BX$66,"&gt;0",'Picks'!$V$2:$V$66,"win")+COUNTIFS('Picks'!$BX$2:$BX$66,"&gt;0",'Picks'!$V$2:$V$66,"loss")),0)</f>
        <v/>
      </c>
      <c r="G7" s="7">
        <f>IFERROR(SUM('Picks'!$BY$2:$BY$66)/SUM('Picks'!$BX$2:$BX$66),0)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SUM('Picks'!$BY$2:$BY$66)</f>
        <v/>
      </c>
      <c r="C10" s="9">
        <f>IFERROR(AVERAGEIF('Picks'!$AB$2:$AB$66,"&lt;&gt;",'Picks'!$AB$2:$AB$66),0)</f>
        <v/>
      </c>
      <c r="E10" s="6">
        <f>COUNTIFS('Picks'!$AM$2:$AM$66,"QUALIFIED_SHADOW_CALL",'Picks'!$U$2:$U$66,"settled")</f>
        <v/>
      </c>
      <c r="G10" s="8">
        <f>SUMIFS('Picks'!$AC$2:$AC$66,'Picks'!$AM$2:$AM$66,"QUALIFIED_SHADOW_CALL")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COUNTIFS('Picks'!$H$2:$H$66,$A14,'Picks'!$U$2:$U$66,"settled")</f>
        <v/>
      </c>
      <c r="C14" s="13">
        <f>COUNTIFS('Picks'!$H$2:$H$66,$A14,'Picks'!$U$2:$U$66,"settled",'Picks'!$V$2:$V$66,"win")</f>
        <v/>
      </c>
      <c r="D14" s="13">
        <f>COUNTIFS('Picks'!$H$2:$H$66,$A14,'Picks'!$U$2:$U$66,"settled",'Picks'!$V$2:$V$66,"loss")</f>
        <v/>
      </c>
      <c r="E14" s="14">
        <f>IFERROR(C14/(C14+D14),0)</f>
        <v/>
      </c>
      <c r="F14" s="15">
        <f>SUMIFS('Picks'!$BY$2:$BY$66,'Picks'!$H$2:$H$66,$A14)</f>
        <v/>
      </c>
      <c r="G14" s="16">
        <f>IFERROR(AVERAGEIFS('Picks'!$AB$2:$AB$66,'Picks'!$H$2:$H$66,$A14,'Picks'!$U$2:$U$66,"settled"),0)</f>
        <v/>
      </c>
    </row>
    <row r="15">
      <c r="A15" s="17" t="inlineStr">
        <is>
          <t>spread</t>
        </is>
      </c>
      <c r="B15" s="18">
        <f>COUNTIFS('Picks'!$H$2:$H$66,$A15,'Picks'!$U$2:$U$66,"settled")</f>
        <v/>
      </c>
      <c r="C15" s="18">
        <f>COUNTIFS('Picks'!$H$2:$H$66,$A15,'Picks'!$U$2:$U$66,"settled",'Picks'!$V$2:$V$66,"win")</f>
        <v/>
      </c>
      <c r="D15" s="18">
        <f>COUNTIFS('Picks'!$H$2:$H$66,$A15,'Picks'!$U$2:$U$66,"settled",'Picks'!$V$2:$V$66,"loss")</f>
        <v/>
      </c>
      <c r="E15" s="19">
        <f>IFERROR(C15/(C15+D15),0)</f>
        <v/>
      </c>
      <c r="F15" s="20">
        <f>SUMIFS('Picks'!$BY$2:$BY$66,'Picks'!$H$2:$H$66,$A15)</f>
        <v/>
      </c>
      <c r="G15" s="21">
        <f>IFERROR(AVERAGEIFS('Picks'!$AB$2:$AB$66,'Picks'!$H$2:$H$66,$A15,'Picks'!$U$2:$U$66,"settled"),0)</f>
        <v/>
      </c>
    </row>
    <row r="16">
      <c r="A16" s="12" t="inlineStr">
        <is>
          <t>total</t>
        </is>
      </c>
      <c r="B16" s="13">
        <f>COUNTIFS('Picks'!$H$2:$H$66,$A16,'Picks'!$U$2:$U$66,"settled")</f>
        <v/>
      </c>
      <c r="C16" s="13">
        <f>COUNTIFS('Picks'!$H$2:$H$66,$A16,'Picks'!$U$2:$U$66,"settled",'Picks'!$V$2:$V$66,"win")</f>
        <v/>
      </c>
      <c r="D16" s="13">
        <f>COUNTIFS('Picks'!$H$2:$H$66,$A16,'Picks'!$U$2:$U$66,"settled",'Picks'!$V$2:$V$66,"loss")</f>
        <v/>
      </c>
      <c r="E16" s="14">
        <f>IFERROR(C16/(C16+D16),0)</f>
        <v/>
      </c>
      <c r="F16" s="15">
        <f>SUMIFS('Picks'!$BY$2:$BY$66,'Picks'!$H$2:$H$66,$A16)</f>
        <v/>
      </c>
      <c r="G16" s="16">
        <f>IFERROR(AVERAGEIFS('Picks'!$AB$2:$AB$66,'Picks'!$H$2:$H$66,$A16,'Picks'!$U$2:$U$66,"settled"),0)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18" customHeight="1">
      <c r="A2" s="24" t="inlineStr">
        <is>
          <t>7e75d473af19455b</t>
        </is>
      </c>
      <c r="B2" s="24" t="inlineStr">
        <is>
          <t>2026-07-22T22:42:56Z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0.661872</v>
      </c>
      <c r="P2" s="28" t="n">
        <v>0.05</v>
      </c>
      <c r="Q2" s="28" t="n">
        <v>0.07681</v>
      </c>
      <c r="R2" s="26" t="n">
        <v>89</v>
      </c>
      <c r="S2" s="29" t="n">
        <v>2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>
        <v>-110</v>
      </c>
      <c r="AA2" s="28" t="n">
        <v>0.523834</v>
      </c>
      <c r="AB2" s="28" t="n"/>
      <c r="AC2" s="30" t="n">
        <v>1.4184</v>
      </c>
      <c r="AD2" s="24" t="inlineStr">
        <is>
          <t>2026-07-22T23:44:22Z</t>
        </is>
      </c>
      <c r="AE2" s="31" t="n"/>
      <c r="AF2" s="31" t="n"/>
      <c r="AG2" s="24" t="n"/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-141</v>
      </c>
      <c r="BL2" s="27" t="n">
        <v>1.70922</v>
      </c>
      <c r="BM2" s="28" t="n">
        <v>0.585062</v>
      </c>
      <c r="BN2" s="28" t="n">
        <v>0.523834</v>
      </c>
      <c r="BO2" s="28" t="n">
        <v>0.523834</v>
      </c>
      <c r="BP2" s="25" t="n"/>
      <c r="BQ2" s="27" t="n">
        <v>1.909</v>
      </c>
      <c r="BR2" s="28" t="n"/>
      <c r="BS2" s="28" t="n"/>
      <c r="BT2" s="28" t="n"/>
      <c r="BU2" s="25" t="n"/>
      <c r="BV2" s="29" t="n">
        <v>2</v>
      </c>
      <c r="BW2" s="24" t="n"/>
      <c r="BX2" s="30" t="n"/>
      <c r="BY2" s="27" t="n"/>
      <c r="BZ2" s="24" t="n"/>
      <c r="CA2" s="31" t="n"/>
      <c r="CB2" s="24" t="n"/>
      <c r="CC2" s="24" t="inlineStr">
        <is>
          <t>0.632316</t>
        </is>
      </c>
      <c r="CD2" s="24" t="inlineStr">
        <is>
          <t>0.356445</t>
        </is>
      </c>
      <c r="CE2" s="24" t="inlineStr">
        <is>
          <t>0.98</t>
        </is>
      </c>
      <c r="CF2" s="24" t="inlineStr">
        <is>
          <t>1.0</t>
        </is>
      </c>
      <c r="CG2" s="24" t="inlineStr">
        <is>
          <t>3.4</t>
        </is>
      </c>
      <c r="CH2" s="24" t="n"/>
      <c r="CI2" s="24" t="n"/>
      <c r="CJ2" s="24" t="n"/>
      <c r="CK2" s="24" t="n"/>
      <c r="CL2" s="24" t="n"/>
      <c r="CM2" s="24" t="n"/>
    </row>
    <row r="3" ht="18" customHeight="1">
      <c r="A3" s="24" t="inlineStr">
        <is>
          <t>3300fd7cef0c40e4</t>
        </is>
      </c>
      <c r="B3" s="24" t="inlineStr">
        <is>
          <t>2026-07-22T22:42:56Z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-141</v>
      </c>
      <c r="M3" s="27" t="n">
        <v>1.70922</v>
      </c>
      <c r="N3" s="28" t="n">
        <v>0.585062</v>
      </c>
      <c r="O3" s="28" t="n">
        <v>0.597579</v>
      </c>
      <c r="P3" s="28" t="n">
        <v>0.05</v>
      </c>
      <c r="Q3" s="28" t="n">
        <v>0.012517</v>
      </c>
      <c r="R3" s="26" t="n">
        <v>57</v>
      </c>
      <c r="S3" s="29" t="n">
        <v>1.5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6</v>
      </c>
      <c r="Y3" s="25" t="n"/>
      <c r="Z3" s="26" t="n">
        <v>-110</v>
      </c>
      <c r="AA3" s="28" t="n">
        <v>0.523834</v>
      </c>
      <c r="AB3" s="28" t="n"/>
      <c r="AC3" s="30" t="n">
        <v>1.0638</v>
      </c>
      <c r="AD3" s="24" t="inlineStr">
        <is>
          <t>2026-07-22T23:44:22Z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QUALIFIED_RETROACTIVE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-141</v>
      </c>
      <c r="BL3" s="27" t="n">
        <v>1.70922</v>
      </c>
      <c r="BM3" s="28" t="n">
        <v>0.585062</v>
      </c>
      <c r="BN3" s="28" t="n">
        <v>0.523834</v>
      </c>
      <c r="BO3" s="28" t="n">
        <v>0.523834</v>
      </c>
      <c r="BP3" s="25" t="n"/>
      <c r="BQ3" s="27" t="n">
        <v>1.909</v>
      </c>
      <c r="BR3" s="28" t="n"/>
      <c r="BS3" s="28" t="n"/>
      <c r="BT3" s="28" t="n"/>
      <c r="BU3" s="25" t="n"/>
      <c r="BV3" s="29" t="n">
        <v>1.59</v>
      </c>
      <c r="BW3" s="24" t="n"/>
      <c r="BX3" s="30" t="n"/>
      <c r="BY3" s="27" t="n"/>
      <c r="BZ3" s="24" t="n"/>
      <c r="CA3" s="31" t="n"/>
      <c r="CB3" s="24" t="n"/>
      <c r="CC3" s="24" t="inlineStr">
        <is>
          <t>0.624392</t>
        </is>
      </c>
      <c r="CD3" s="24" t="inlineStr">
        <is>
          <t>0.696168</t>
        </is>
      </c>
      <c r="CE3" s="24" t="inlineStr">
        <is>
          <t>1.0</t>
        </is>
      </c>
      <c r="CF3" s="24" t="inlineStr">
        <is>
          <t>1.0004</t>
        </is>
      </c>
      <c r="CG3" s="24" t="inlineStr">
        <is>
          <t>0.4</t>
        </is>
      </c>
      <c r="CH3" s="24" t="n"/>
      <c r="CI3" s="24" t="n"/>
      <c r="CJ3" s="24" t="n"/>
      <c r="CK3" s="24" t="n"/>
      <c r="CL3" s="24" t="n"/>
      <c r="CM3" s="24" t="n"/>
    </row>
    <row r="4" ht="18" customHeight="1">
      <c r="A4" s="24" t="inlineStr">
        <is>
          <t>525b0a1380a24628</t>
        </is>
      </c>
      <c r="B4" s="24" t="inlineStr">
        <is>
          <t>2026-07-22T22:42:56Z</t>
        </is>
      </c>
      <c r="C4" s="24" t="inlineStr">
        <is>
          <t>2026-07-18T02:10Z</t>
        </is>
      </c>
      <c r="D4" s="24" t="inlineStr">
        <is>
          <t>401816153</t>
        </is>
      </c>
      <c r="E4" s="24" t="inlineStr">
        <is>
          <t>MLB</t>
        </is>
      </c>
      <c r="F4" s="24" t="inlineStr">
        <is>
          <t>San Francisco Giants</t>
        </is>
      </c>
      <c r="G4" s="24" t="inlineStr">
        <is>
          <t>Seattle Mariners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-174</v>
      </c>
      <c r="M4" s="27" t="n">
        <v>1.574713</v>
      </c>
      <c r="N4" s="28" t="n">
        <v>0.635036</v>
      </c>
      <c r="O4" s="28" t="n">
        <v>0.603011</v>
      </c>
      <c r="P4" s="28" t="n">
        <v>0.05</v>
      </c>
      <c r="Q4" s="28" t="n">
        <v>-0.032025</v>
      </c>
      <c r="R4" s="26" t="n">
        <v>60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>
        <v>-110</v>
      </c>
      <c r="AA4" s="28" t="n">
        <v>0.523834</v>
      </c>
      <c r="AB4" s="28" t="n"/>
      <c r="AC4" s="30" t="n">
        <v>0.8621</v>
      </c>
      <c r="AD4" s="24" t="inlineStr">
        <is>
          <t>2026-07-22T23:44:22Z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QUALIFIED_RETROACTIVE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-174</v>
      </c>
      <c r="BL4" s="27" t="n">
        <v>1.574713</v>
      </c>
      <c r="BM4" s="28" t="n">
        <v>0.635036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1.58</v>
      </c>
      <c r="BW4" s="24" t="n"/>
      <c r="BX4" s="30" t="n"/>
      <c r="BY4" s="27" t="n"/>
      <c r="BZ4" s="24" t="n"/>
      <c r="CA4" s="31" t="n"/>
      <c r="CB4" s="24" t="n"/>
      <c r="CC4" s="24" t="inlineStr">
        <is>
          <t>0.594036</t>
        </is>
      </c>
      <c r="CD4" s="24" t="inlineStr">
        <is>
          <t>0.843822</t>
        </is>
      </c>
      <c r="CE4" s="24" t="inlineStr">
        <is>
          <t>0.92</t>
        </is>
      </c>
      <c r="CF4" s="24" t="inlineStr">
        <is>
          <t>1.0</t>
        </is>
      </c>
      <c r="CG4" s="24" t="inlineStr">
        <is>
          <t>1.2</t>
        </is>
      </c>
      <c r="CH4" s="24" t="n"/>
      <c r="CI4" s="24" t="n"/>
      <c r="CJ4" s="24" t="n"/>
      <c r="CK4" s="24" t="n"/>
      <c r="CL4" s="24" t="n"/>
      <c r="CM4" s="24" t="n"/>
    </row>
    <row r="5" ht="18" customHeight="1">
      <c r="A5" s="24" t="inlineStr">
        <is>
          <t>0a24f3923565422e</t>
        </is>
      </c>
      <c r="B5" s="24" t="inlineStr">
        <is>
          <t>2026-07-22T22:42:56Z</t>
        </is>
      </c>
      <c r="C5" s="24" t="inlineStr">
        <is>
          <t>2026-07-18T18:20Z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-141</v>
      </c>
      <c r="M5" s="27" t="n">
        <v>1.70922</v>
      </c>
      <c r="N5" s="28" t="n">
        <v>0.585062</v>
      </c>
      <c r="O5" s="28" t="n">
        <v>0.610546</v>
      </c>
      <c r="P5" s="28" t="n">
        <v>0.05</v>
      </c>
      <c r="Q5" s="28" t="n">
        <v>0.025484</v>
      </c>
      <c r="R5" s="26" t="n">
        <v>63</v>
      </c>
      <c r="S5" s="29" t="n">
        <v>1.5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1.0638</v>
      </c>
      <c r="AD5" s="24" t="inlineStr">
        <is>
          <t>2026-07-22T23:40:11.530383Z</t>
        </is>
      </c>
      <c r="AE5" s="31" t="n"/>
      <c r="AF5" s="31" t="n"/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QUALIFIED_RETROACTIVE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-141</v>
      </c>
      <c r="BL5" s="27" t="n">
        <v>1.70922</v>
      </c>
      <c r="BM5" s="28" t="n">
        <v>0.585062</v>
      </c>
      <c r="BN5" s="28" t="n">
        <v>0.523834</v>
      </c>
      <c r="BO5" s="28" t="n">
        <v>0.523834</v>
      </c>
      <c r="BP5" s="25" t="n"/>
      <c r="BQ5" s="27" t="n"/>
      <c r="BR5" s="28" t="n"/>
      <c r="BS5" s="28" t="n"/>
      <c r="BT5" s="28" t="n"/>
      <c r="BU5" s="25" t="n"/>
      <c r="BV5" s="29" t="n">
        <v>1.58</v>
      </c>
      <c r="BW5" s="24" t="n"/>
      <c r="BX5" s="30" t="n"/>
      <c r="BY5" s="27" t="n"/>
      <c r="BZ5" s="24" t="n"/>
      <c r="CA5" s="31" t="n"/>
      <c r="CB5" s="24" t="n"/>
      <c r="CC5" s="24" t="inlineStr">
        <is>
          <t>0.614603</t>
        </is>
      </c>
      <c r="CD5" s="24" t="inlineStr">
        <is>
          <t>-0.109187</t>
        </is>
      </c>
      <c r="CE5" s="24" t="inlineStr">
        <is>
          <t>1.0</t>
        </is>
      </c>
      <c r="CF5" s="24" t="inlineStr">
        <is>
          <t>1.0004</t>
        </is>
      </c>
      <c r="CG5" s="24" t="inlineStr">
        <is>
          <t>0.6</t>
        </is>
      </c>
      <c r="CH5" s="24" t="n"/>
      <c r="CI5" s="24" t="n"/>
      <c r="CJ5" s="24" t="n"/>
      <c r="CK5" s="24" t="n"/>
      <c r="CL5" s="24" t="n"/>
      <c r="CM5" s="24" t="n"/>
    </row>
    <row r="6" ht="18" customHeight="1">
      <c r="A6" s="24" t="inlineStr">
        <is>
          <t>d63e516398b143c6</t>
        </is>
      </c>
      <c r="B6" s="24" t="inlineStr">
        <is>
          <t>2026-07-22T22:42:56Z</t>
        </is>
      </c>
      <c r="C6" s="24" t="inlineStr">
        <is>
          <t>2026-07-18T19:05Z</t>
        </is>
      </c>
      <c r="D6" s="24" t="inlineStr">
        <is>
          <t>401816158</t>
        </is>
      </c>
      <c r="E6" s="24" t="inlineStr">
        <is>
          <t>MLB</t>
        </is>
      </c>
      <c r="F6" s="24" t="inlineStr">
        <is>
          <t>New York Mets</t>
        </is>
      </c>
      <c r="G6" s="24" t="inlineStr">
        <is>
          <t>Philadelphia Phillies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0.63014</v>
      </c>
      <c r="P6" s="28" t="n">
        <v>0.05</v>
      </c>
      <c r="Q6" s="28" t="n">
        <v>0.010368</v>
      </c>
      <c r="R6" s="26" t="n">
        <v>73</v>
      </c>
      <c r="S6" s="29" t="n">
        <v>1.75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6</v>
      </c>
      <c r="Y6" s="25" t="n"/>
      <c r="Z6" s="26" t="n"/>
      <c r="AA6" s="28" t="n"/>
      <c r="AB6" s="28" t="n"/>
      <c r="AC6" s="30" t="n">
        <v>1.0736</v>
      </c>
      <c r="AD6" s="24" t="inlineStr">
        <is>
          <t>2026-07-22T23:40:12.219751Z</t>
        </is>
      </c>
      <c r="AE6" s="31" t="n"/>
      <c r="AF6" s="31" t="n"/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QUALIFIED_RETROACTIVE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-163</v>
      </c>
      <c r="BL6" s="27" t="n">
        <v>1.613497</v>
      </c>
      <c r="BM6" s="28" t="n">
        <v>0.619772</v>
      </c>
      <c r="BN6" s="28" t="n">
        <v>0.523834</v>
      </c>
      <c r="BO6" s="28" t="n">
        <v>0.523834</v>
      </c>
      <c r="BP6" s="25" t="n"/>
      <c r="BQ6" s="27" t="n"/>
      <c r="BR6" s="28" t="n"/>
      <c r="BS6" s="28" t="n"/>
      <c r="BT6" s="28" t="n"/>
      <c r="BU6" s="25" t="n"/>
      <c r="BV6" s="29" t="n">
        <v>1.83</v>
      </c>
      <c r="BW6" s="24" t="n"/>
      <c r="BX6" s="30" t="n"/>
      <c r="BY6" s="27" t="n"/>
      <c r="BZ6" s="24" t="n"/>
      <c r="CA6" s="31" t="n"/>
      <c r="CB6" s="24" t="n"/>
      <c r="CC6" s="24" t="inlineStr">
        <is>
          <t>0.630826</t>
        </is>
      </c>
      <c r="CD6" s="24" t="inlineStr">
        <is>
          <t>-0.299369</t>
        </is>
      </c>
      <c r="CE6" s="24" t="inlineStr">
        <is>
          <t>1.01</t>
        </is>
      </c>
      <c r="CF6" s="24" t="inlineStr">
        <is>
          <t>1.0126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</row>
    <row r="7" ht="18" customHeight="1">
      <c r="A7" s="24" t="inlineStr">
        <is>
          <t>a40237e6d3f74334</t>
        </is>
      </c>
      <c r="B7" s="24" t="inlineStr">
        <is>
          <t>2026-07-22T22:42:56Z</t>
        </is>
      </c>
      <c r="C7" s="24" t="inlineStr">
        <is>
          <t>2026-07-18T20:10Z</t>
        </is>
      </c>
      <c r="D7" s="24" t="inlineStr">
        <is>
          <t>401816163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0.64599</v>
      </c>
      <c r="P7" s="28" t="n">
        <v>0.05</v>
      </c>
      <c r="Q7" s="28" t="n">
        <v>0.07517500000000001</v>
      </c>
      <c r="R7" s="26" t="n">
        <v>81</v>
      </c>
      <c r="S7" s="29" t="n">
        <v>2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6</v>
      </c>
      <c r="X7" s="26" t="n">
        <v>8</v>
      </c>
      <c r="Y7" s="25" t="n"/>
      <c r="Z7" s="26" t="n">
        <v>-110</v>
      </c>
      <c r="AA7" s="28" t="n">
        <v>0.523834</v>
      </c>
      <c r="AB7" s="28" t="n"/>
      <c r="AC7" s="30" t="n">
        <v>1.5038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QUALIFIED_RETROACTIVE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-133</v>
      </c>
      <c r="BL7" s="27" t="n">
        <v>1.75188</v>
      </c>
      <c r="BM7" s="28" t="n">
        <v>0.570815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2</v>
      </c>
      <c r="BW7" s="24" t="n"/>
      <c r="BX7" s="30" t="n"/>
      <c r="BY7" s="27" t="n"/>
      <c r="BZ7" s="24" t="n"/>
      <c r="CA7" s="31" t="n"/>
      <c r="CB7" s="24" t="n"/>
      <c r="CC7" s="24" t="inlineStr">
        <is>
          <t>0.634929</t>
        </is>
      </c>
      <c r="CD7" s="24" t="inlineStr">
        <is>
          <t>0.353542</t>
        </is>
      </c>
      <c r="CE7" s="24" t="inlineStr">
        <is>
          <t>0.98</t>
        </is>
      </c>
      <c r="CF7" s="24" t="inlineStr">
        <is>
          <t>1.0</t>
        </is>
      </c>
      <c r="CG7" s="24" t="inlineStr">
        <is>
          <t>2.2</t>
        </is>
      </c>
      <c r="CH7" s="24" t="n"/>
      <c r="CI7" s="24" t="n"/>
      <c r="CJ7" s="24" t="n"/>
      <c r="CK7" s="24" t="n"/>
      <c r="CL7" s="24" t="n"/>
      <c r="CM7" s="24" t="n"/>
    </row>
    <row r="8" ht="18" customHeight="1">
      <c r="A8" s="24" t="inlineStr">
        <is>
          <t>7a892682e8434b91</t>
        </is>
      </c>
      <c r="B8" s="24" t="inlineStr">
        <is>
          <t>2026-07-22T22:42:56Z</t>
        </is>
      </c>
      <c r="C8" s="24" t="inlineStr">
        <is>
          <t>2026-07-19T00:08Z</t>
        </is>
      </c>
      <c r="D8" s="24" t="inlineStr">
        <is>
          <t>401816168</t>
        </is>
      </c>
      <c r="E8" s="24" t="inlineStr">
        <is>
          <t>MLB</t>
        </is>
      </c>
      <c r="F8" s="24" t="inlineStr">
        <is>
          <t>San Francisco Giants</t>
        </is>
      </c>
      <c r="G8" s="24" t="inlineStr">
        <is>
          <t>Seattle Mariners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0.669207</v>
      </c>
      <c r="P8" s="28" t="n">
        <v>0.05</v>
      </c>
      <c r="Q8" s="28" t="n">
        <v>0.069207</v>
      </c>
      <c r="R8" s="26" t="n">
        <v>93</v>
      </c>
      <c r="S8" s="29" t="n">
        <v>2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6</v>
      </c>
      <c r="Y8" s="25" t="n"/>
      <c r="Z8" s="26" t="n">
        <v>-110</v>
      </c>
      <c r="AA8" s="28" t="n">
        <v>0.523834</v>
      </c>
      <c r="AB8" s="28" t="n"/>
      <c r="AC8" s="30" t="n">
        <v>1.3333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-150</v>
      </c>
      <c r="BL8" s="27" t="n">
        <v>1.666667</v>
      </c>
      <c r="BM8" s="28" t="n">
        <v>0.6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1.88</v>
      </c>
      <c r="BW8" s="24" t="n"/>
      <c r="BX8" s="30" t="n"/>
      <c r="BY8" s="27" t="n"/>
      <c r="BZ8" s="24" t="n"/>
      <c r="CA8" s="31" t="n"/>
      <c r="CB8" s="24" t="n"/>
      <c r="CC8" s="24" t="inlineStr">
        <is>
          <t>0.579818</t>
        </is>
      </c>
      <c r="CD8" s="24" t="inlineStr">
        <is>
          <t>-0.645258</t>
        </is>
      </c>
      <c r="CE8" s="24" t="inlineStr">
        <is>
          <t>0.92</t>
        </is>
      </c>
      <c r="CF8" s="24" t="inlineStr">
        <is>
          <t>1.0</t>
        </is>
      </c>
      <c r="CG8" s="24" t="inlineStr">
        <is>
          <t>4.2</t>
        </is>
      </c>
      <c r="CH8" s="24" t="n"/>
      <c r="CI8" s="24" t="n"/>
      <c r="CJ8" s="24" t="n"/>
      <c r="CK8" s="24" t="n"/>
      <c r="CL8" s="24" t="n"/>
      <c r="CM8" s="24" t="n"/>
    </row>
    <row r="9" ht="18" customHeight="1">
      <c r="A9" s="24" t="inlineStr">
        <is>
          <t>9831b49fabd04381</t>
        </is>
      </c>
      <c r="B9" s="24" t="inlineStr">
        <is>
          <t>2026-07-22T22:42:56Z</t>
        </is>
      </c>
      <c r="C9" s="24" t="inlineStr">
        <is>
          <t>2026-07-19T18:10Z</t>
        </is>
      </c>
      <c r="D9" s="24" t="inlineStr">
        <is>
          <t>401816178</t>
        </is>
      </c>
      <c r="E9" s="24" t="inlineStr">
        <is>
          <t>MLB</t>
        </is>
      </c>
      <c r="F9" s="24" t="inlineStr">
        <is>
          <t>Miami Marlins</t>
        </is>
      </c>
      <c r="G9" s="24" t="inlineStr">
        <is>
          <t>Milwaukee Brewers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-120</v>
      </c>
      <c r="M9" s="27" t="n">
        <v>1.833333</v>
      </c>
      <c r="N9" s="28" t="n">
        <v>0.545455</v>
      </c>
      <c r="O9" s="28" t="n">
        <v>0.644369</v>
      </c>
      <c r="P9" s="28" t="n">
        <v>0.05</v>
      </c>
      <c r="Q9" s="28" t="n">
        <v>0.098914</v>
      </c>
      <c r="R9" s="26" t="n">
        <v>80</v>
      </c>
      <c r="S9" s="29" t="n">
        <v>2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3</v>
      </c>
      <c r="Y9" s="25" t="n"/>
      <c r="Z9" s="26" t="n">
        <v>-110</v>
      </c>
      <c r="AA9" s="28" t="n">
        <v>0.523834</v>
      </c>
      <c r="AB9" s="28" t="n"/>
      <c r="AC9" s="30" t="n">
        <v>1.6667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QUALIFIED_RETROACTIVE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-120</v>
      </c>
      <c r="BL9" s="27" t="n">
        <v>1.833333</v>
      </c>
      <c r="BM9" s="28" t="n">
        <v>0.545455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2</v>
      </c>
      <c r="BW9" s="24" t="n"/>
      <c r="BX9" s="30" t="n"/>
      <c r="BY9" s="27" t="n"/>
      <c r="BZ9" s="24" t="n"/>
      <c r="CA9" s="31" t="n"/>
      <c r="CB9" s="24" t="n"/>
      <c r="CC9" s="24" t="inlineStr">
        <is>
          <t>0.639021</t>
        </is>
      </c>
      <c r="CD9" s="24" t="inlineStr">
        <is>
          <t>0.290983</t>
        </is>
      </c>
      <c r="CE9" s="24" t="inlineStr">
        <is>
          <t>0.98</t>
        </is>
      </c>
      <c r="CF9" s="24" t="inlineStr">
        <is>
          <t>1.0</t>
        </is>
      </c>
      <c r="CG9" s="24" t="inlineStr">
        <is>
          <t>1.8</t>
        </is>
      </c>
      <c r="CH9" s="24" t="n"/>
      <c r="CI9" s="24" t="n"/>
      <c r="CJ9" s="24" t="n"/>
      <c r="CK9" s="24" t="n"/>
      <c r="CL9" s="24" t="n"/>
      <c r="CM9" s="24" t="n"/>
    </row>
    <row r="10" ht="18" customHeight="1">
      <c r="A10" s="24" t="inlineStr">
        <is>
          <t>b78c096430454518</t>
        </is>
      </c>
      <c r="B10" s="24" t="inlineStr">
        <is>
          <t>2026-07-22T22:42:56Z</t>
        </is>
      </c>
      <c r="C10" s="24" t="inlineStr">
        <is>
          <t>2026-07-19T18:20Z</t>
        </is>
      </c>
      <c r="D10" s="24" t="inlineStr">
        <is>
          <t>401816179</t>
        </is>
      </c>
      <c r="E10" s="24" t="inlineStr">
        <is>
          <t>MLB</t>
        </is>
      </c>
      <c r="F10" s="24" t="inlineStr">
        <is>
          <t>Minnesota Twins</t>
        </is>
      </c>
      <c r="G10" s="24" t="inlineStr">
        <is>
          <t>Chicago Cubs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-153</v>
      </c>
      <c r="M10" s="27" t="n">
        <v>1.653595</v>
      </c>
      <c r="N10" s="28" t="n">
        <v>0.604743</v>
      </c>
      <c r="O10" s="28" t="n">
        <v>0.596494</v>
      </c>
      <c r="P10" s="28" t="n">
        <v>0.05</v>
      </c>
      <c r="Q10" s="28" t="n">
        <v>-0.008248999999999999</v>
      </c>
      <c r="R10" s="26" t="n">
        <v>56</v>
      </c>
      <c r="S10" s="29" t="n">
        <v>1.5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10</v>
      </c>
      <c r="Y10" s="25" t="n"/>
      <c r="Z10" s="26" t="n">
        <v>-110</v>
      </c>
      <c r="AA10" s="28" t="n">
        <v>0.523834</v>
      </c>
      <c r="AB10" s="28" t="n"/>
      <c r="AC10" s="30" t="n">
        <v>0.9804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QUALIFIED_RETROACTIVE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-153</v>
      </c>
      <c r="BL10" s="27" t="n">
        <v>1.653595</v>
      </c>
      <c r="BM10" s="28" t="n">
        <v>0.604743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1.55</v>
      </c>
      <c r="BW10" s="24" t="n"/>
      <c r="BX10" s="30" t="n"/>
      <c r="BY10" s="27" t="n"/>
      <c r="BZ10" s="24" t="n"/>
      <c r="CA10" s="31" t="n"/>
      <c r="CB10" s="24" t="n"/>
      <c r="CC10" s="24" t="inlineStr">
        <is>
          <t>0.621108</t>
        </is>
      </c>
      <c r="CD10" s="24" t="inlineStr">
        <is>
          <t>0.482065</t>
        </is>
      </c>
      <c r="CE10" s="24" t="inlineStr">
        <is>
          <t>1.0</t>
        </is>
      </c>
      <c r="CF10" s="24" t="inlineStr">
        <is>
          <t>1.0003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</row>
    <row r="11" ht="18" customHeight="1">
      <c r="A11" s="24" t="inlineStr">
        <is>
          <t>db2b490660464a99</t>
        </is>
      </c>
      <c r="B11" s="24" t="inlineStr">
        <is>
          <t>2026-07-22T22:42:56Z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-182</v>
      </c>
      <c r="M11" s="27" t="n">
        <v>1.549451</v>
      </c>
      <c r="N11" s="28" t="n">
        <v>0.64539</v>
      </c>
      <c r="O11" s="28" t="n">
        <v>0.64408</v>
      </c>
      <c r="P11" s="28" t="n">
        <v>0.05</v>
      </c>
      <c r="Q11" s="28" t="n">
        <v>-0.00131</v>
      </c>
      <c r="R11" s="26" t="n">
        <v>80</v>
      </c>
      <c r="S11" s="29" t="n">
        <v>2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6</v>
      </c>
      <c r="Y11" s="25" t="n"/>
      <c r="Z11" s="26" t="n">
        <v>-110</v>
      </c>
      <c r="AA11" s="28" t="n">
        <v>0.523834</v>
      </c>
      <c r="AB11" s="28" t="n"/>
      <c r="AC11" s="30" t="n">
        <v>1.0989</v>
      </c>
      <c r="AD11" s="24" t="inlineStr">
        <is>
          <t>2026-07-22T23:44:22Z</t>
        </is>
      </c>
      <c r="AE11" s="31" t="n"/>
      <c r="AF11" s="31" t="n"/>
      <c r="AG11" s="24" t="n"/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-182</v>
      </c>
      <c r="BL11" s="27" t="n">
        <v>1.549451</v>
      </c>
      <c r="BM11" s="28" t="n">
        <v>0.64539</v>
      </c>
      <c r="BN11" s="28" t="n">
        <v>0.523834</v>
      </c>
      <c r="BO11" s="28" t="n">
        <v>0.523834</v>
      </c>
      <c r="BP11" s="25" t="n"/>
      <c r="BQ11" s="27" t="n">
        <v>1.909</v>
      </c>
      <c r="BR11" s="28" t="n"/>
      <c r="BS11" s="28" t="n"/>
      <c r="BT11" s="28" t="n"/>
      <c r="BU11" s="25" t="n"/>
      <c r="BV11" s="29" t="n">
        <v>1.74</v>
      </c>
      <c r="BW11" s="24" t="n"/>
      <c r="BX11" s="30" t="n"/>
      <c r="BY11" s="27" t="n"/>
      <c r="BZ11" s="24" t="n"/>
      <c r="CA11" s="31" t="n"/>
      <c r="CB11" s="24" t="n"/>
      <c r="CC11" s="24" t="inlineStr">
        <is>
          <t>0.583001</t>
        </is>
      </c>
      <c r="CD11" s="24" t="inlineStr">
        <is>
          <t>-0.319596</t>
        </is>
      </c>
      <c r="CE11" s="24" t="inlineStr">
        <is>
          <t>0.92</t>
        </is>
      </c>
      <c r="CF11" s="24" t="inlineStr">
        <is>
          <t>1.0</t>
        </is>
      </c>
      <c r="CG11" s="24" t="inlineStr">
        <is>
          <t>2.8</t>
        </is>
      </c>
      <c r="CH11" s="24" t="n"/>
      <c r="CI11" s="24" t="n"/>
      <c r="CJ11" s="24" t="n"/>
      <c r="CK11" s="24" t="n"/>
      <c r="CL11" s="24" t="n"/>
      <c r="CM11" s="24" t="n"/>
    </row>
    <row r="12" ht="18" customHeight="1">
      <c r="A12" s="24" t="inlineStr">
        <is>
          <t>8e4b1d6c2a1e4162</t>
        </is>
      </c>
      <c r="B12" s="24" t="inlineStr">
        <is>
          <t>2026-07-22T22:42:56Z</t>
        </is>
      </c>
      <c r="C12" s="24" t="inlineStr">
        <is>
          <t>2026-07-20T23:05Z</t>
        </is>
      </c>
      <c r="D12" s="24" t="inlineStr">
        <is>
          <t>401816189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New York Yankees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-108</v>
      </c>
      <c r="M12" s="27" t="n">
        <v>1.925926</v>
      </c>
      <c r="N12" s="28" t="n">
        <v>0.519231</v>
      </c>
      <c r="O12" s="28" t="n">
        <v>0.625068</v>
      </c>
      <c r="P12" s="28" t="n">
        <v>0.05</v>
      </c>
      <c r="Q12" s="28" t="n">
        <v>0.105837</v>
      </c>
      <c r="R12" s="26" t="n">
        <v>71</v>
      </c>
      <c r="S12" s="29" t="n">
        <v>1.75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5</v>
      </c>
      <c r="X12" s="26" t="n">
        <v>8</v>
      </c>
      <c r="Y12" s="25" t="n"/>
      <c r="Z12" s="26" t="n">
        <v>-110</v>
      </c>
      <c r="AA12" s="28" t="n">
        <v>0.523834</v>
      </c>
      <c r="AB12" s="28" t="n"/>
      <c r="AC12" s="30" t="n">
        <v>1.6204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QUALIFIED_RETROACTIVE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-108</v>
      </c>
      <c r="BL12" s="27" t="n">
        <v>1.925926</v>
      </c>
      <c r="BM12" s="28" t="n">
        <v>0.519231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1.18</v>
      </c>
      <c r="BW12" s="24" t="n"/>
      <c r="BX12" s="30" t="n"/>
      <c r="BY12" s="27" t="n"/>
      <c r="BZ12" s="24" t="n"/>
      <c r="CA12" s="31" t="n"/>
      <c r="CB12" s="24" t="n"/>
      <c r="CC12" s="24" t="inlineStr">
        <is>
          <t>0.567089</t>
        </is>
      </c>
      <c r="CD12" s="24" t="inlineStr">
        <is>
          <t>-2.597864</t>
        </is>
      </c>
      <c r="CE12" s="24" t="inlineStr">
        <is>
          <t>0.99</t>
        </is>
      </c>
      <c r="CF12" s="24" t="inlineStr">
        <is>
          <t>1.0171</t>
        </is>
      </c>
      <c r="CG12" s="24" t="inlineStr">
        <is>
          <t>0.4</t>
        </is>
      </c>
      <c r="CH12" s="24" t="n"/>
      <c r="CI12" s="24" t="n"/>
      <c r="CJ12" s="24" t="n"/>
      <c r="CK12" s="24" t="n"/>
      <c r="CL12" s="24" t="n"/>
      <c r="CM12" s="24" t="n"/>
    </row>
    <row r="13" ht="18" customHeight="1">
      <c r="A13" s="24" t="inlineStr">
        <is>
          <t>b6940decf86747b6</t>
        </is>
      </c>
      <c r="B13" s="24" t="inlineStr">
        <is>
          <t>2026-07-22T22:42:56Z</t>
        </is>
      </c>
      <c r="C13" s="24" t="inlineStr">
        <is>
          <t>2026-07-20T23:40Z</t>
        </is>
      </c>
      <c r="D13" s="24" t="inlineStr">
        <is>
          <t>401816195</t>
        </is>
      </c>
      <c r="E13" s="24" t="inlineStr">
        <is>
          <t>MLB</t>
        </is>
      </c>
      <c r="F13" s="24" t="inlineStr">
        <is>
          <t>New York Mets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-203</v>
      </c>
      <c r="M13" s="27" t="n">
        <v>1.492611</v>
      </c>
      <c r="N13" s="28" t="n">
        <v>0.669967</v>
      </c>
      <c r="O13" s="28" t="n">
        <v>0.67463</v>
      </c>
      <c r="P13" s="28" t="n">
        <v>0.05</v>
      </c>
      <c r="Q13" s="28" t="n">
        <v>0.004663</v>
      </c>
      <c r="R13" s="26" t="n">
        <v>95</v>
      </c>
      <c r="S13" s="29" t="n">
        <v>2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3</v>
      </c>
      <c r="X13" s="26" t="n">
        <v>8</v>
      </c>
      <c r="Y13" s="25" t="n"/>
      <c r="Z13" s="26" t="n">
        <v>-110</v>
      </c>
      <c r="AA13" s="28" t="n">
        <v>0.523834</v>
      </c>
      <c r="AB13" s="28" t="n"/>
      <c r="AC13" s="30" t="n">
        <v>0.9852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QUALIFIED_RETROACTIVE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-203</v>
      </c>
      <c r="BL13" s="27" t="n">
        <v>1.492611</v>
      </c>
      <c r="BM13" s="28" t="n">
        <v>0.669967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2</v>
      </c>
      <c r="BW13" s="24" t="n"/>
      <c r="BX13" s="30" t="n"/>
      <c r="BY13" s="27" t="n"/>
      <c r="BZ13" s="24" t="n"/>
      <c r="CA13" s="31" t="n"/>
      <c r="CB13" s="24" t="n"/>
      <c r="CC13" s="24" t="inlineStr">
        <is>
          <t>0.683237</t>
        </is>
      </c>
      <c r="CD13" s="24" t="inlineStr">
        <is>
          <t>-0.156038</t>
        </is>
      </c>
      <c r="CE13" s="24" t="inlineStr">
        <is>
          <t>0.98</t>
        </is>
      </c>
      <c r="CF13" s="24" t="inlineStr">
        <is>
          <t>1.0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</row>
    <row r="14" ht="18" customHeight="1">
      <c r="A14" s="24" t="inlineStr">
        <is>
          <t>4d2256513cd941a8</t>
        </is>
      </c>
      <c r="B14" s="24" t="inlineStr">
        <is>
          <t>2026-07-22T22:42:56Z</t>
        </is>
      </c>
      <c r="C14" s="24" t="inlineStr">
        <is>
          <t>2026-07-21T23:05Z</t>
        </is>
      </c>
      <c r="D14" s="24" t="inlineStr">
        <is>
          <t>401816204</t>
        </is>
      </c>
      <c r="E14" s="24" t="inlineStr">
        <is>
          <t>MLB</t>
        </is>
      </c>
      <c r="F14" s="24" t="inlineStr">
        <is>
          <t>Pittsburgh Pirates</t>
        </is>
      </c>
      <c r="G14" s="24" t="inlineStr">
        <is>
          <t>New York Yankees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122</v>
      </c>
      <c r="M14" s="27" t="n">
        <v>2.22</v>
      </c>
      <c r="N14" s="28" t="n">
        <v>0.45045</v>
      </c>
      <c r="O14" s="28" t="n">
        <v>0.593809</v>
      </c>
      <c r="P14" s="28" t="n">
        <v>0.05</v>
      </c>
      <c r="Q14" s="28" t="n">
        <v>0.143359</v>
      </c>
      <c r="R14" s="26" t="n">
        <v>55</v>
      </c>
      <c r="S14" s="29" t="n">
        <v>1.5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0</v>
      </c>
      <c r="Y14" s="25" t="n"/>
      <c r="Z14" s="26" t="n">
        <v>-110</v>
      </c>
      <c r="AA14" s="28" t="n">
        <v>0.523834</v>
      </c>
      <c r="AB14" s="28" t="n"/>
      <c r="AC14" s="30" t="n">
        <v>1.83</v>
      </c>
      <c r="AD14" s="24" t="inlineStr">
        <is>
          <t>2026-07-23T00:01:14Z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QUALIFIED_RETROACTIVE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122</v>
      </c>
      <c r="BL14" s="27" t="n">
        <v>2.22</v>
      </c>
      <c r="BM14" s="28" t="n">
        <v>0.45045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1.04</v>
      </c>
      <c r="BW14" s="24" t="n"/>
      <c r="BX14" s="30" t="n"/>
      <c r="BY14" s="27" t="n"/>
      <c r="BZ14" s="24" t="n"/>
      <c r="CA14" s="31" t="n"/>
      <c r="CB14" s="24" t="n"/>
      <c r="CC14" s="24" t="inlineStr">
        <is>
          <t>0.57372</t>
        </is>
      </c>
      <c r="CD14" s="24" t="inlineStr">
        <is>
          <t>-1.351066</t>
        </is>
      </c>
      <c r="CE14" s="24" t="inlineStr">
        <is>
          <t>0.99</t>
        </is>
      </c>
      <c r="CF14" s="24" t="inlineStr">
        <is>
          <t>1.0171</t>
        </is>
      </c>
      <c r="CG14" s="24" t="inlineStr">
        <is>
          <t>-0.2</t>
        </is>
      </c>
      <c r="CH14" s="24" t="n"/>
      <c r="CI14" s="24" t="n"/>
      <c r="CJ14" s="24" t="n"/>
      <c r="CK14" s="24" t="n"/>
      <c r="CL14" s="24" t="n"/>
      <c r="CM14" s="24" t="n"/>
    </row>
    <row r="15" ht="18" customHeight="1">
      <c r="A15" s="24" t="inlineStr">
        <is>
          <t>0c5ee6867c454c0f</t>
        </is>
      </c>
      <c r="B15" s="24" t="inlineStr">
        <is>
          <t>2026-07-22T22:42:56Z</t>
        </is>
      </c>
      <c r="C15" s="24" t="inlineStr">
        <is>
          <t>2026-07-21T23:40Z</t>
        </is>
      </c>
      <c r="D15" s="24" t="inlineStr">
        <is>
          <t>401816210</t>
        </is>
      </c>
      <c r="E15" s="24" t="inlineStr">
        <is>
          <t>MLB</t>
        </is>
      </c>
      <c r="F15" s="24" t="inlineStr">
        <is>
          <t>New York Mets</t>
        </is>
      </c>
      <c r="G15" s="24" t="inlineStr">
        <is>
          <t>Milwaukee Brewers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-130</v>
      </c>
      <c r="M15" s="27" t="n">
        <v>1.769231</v>
      </c>
      <c r="N15" s="28" t="n">
        <v>0.565217</v>
      </c>
      <c r="O15" s="28" t="n">
        <v>0.657843</v>
      </c>
      <c r="P15" s="28" t="n">
        <v>0.05</v>
      </c>
      <c r="Q15" s="28" t="n">
        <v>0.092626</v>
      </c>
      <c r="R15" s="26" t="n">
        <v>87</v>
      </c>
      <c r="S15" s="29" t="n">
        <v>2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0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2026-07-22T23:40:26.713424Z</t>
        </is>
      </c>
      <c r="AE15" s="31" t="n"/>
      <c r="AF15" s="31" t="n"/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QUALIFIED_RETROACTIVE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-130</v>
      </c>
      <c r="BL15" s="27" t="n">
        <v>1.769231</v>
      </c>
      <c r="BM15" s="28" t="n">
        <v>0.565217</v>
      </c>
      <c r="BN15" s="28" t="n">
        <v>0.523834</v>
      </c>
      <c r="BO15" s="28" t="n">
        <v>0.523834</v>
      </c>
      <c r="BP15" s="25" t="n"/>
      <c r="BQ15" s="27" t="n"/>
      <c r="BR15" s="28" t="n"/>
      <c r="BS15" s="28" t="n"/>
      <c r="BT15" s="28" t="n"/>
      <c r="BU15" s="25" t="n"/>
      <c r="BV15" s="29" t="n">
        <v>2</v>
      </c>
      <c r="BW15" s="24" t="n"/>
      <c r="BX15" s="30" t="n"/>
      <c r="BY15" s="27" t="n"/>
      <c r="BZ15" s="24" t="n"/>
      <c r="CA15" s="31" t="n"/>
      <c r="CB15" s="24" t="n"/>
      <c r="CC15" s="24" t="inlineStr">
        <is>
          <t>0.688545</t>
        </is>
      </c>
      <c r="CD15" s="24" t="inlineStr">
        <is>
          <t>0.575043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0.6</t>
        </is>
      </c>
      <c r="CH15" s="24" t="n"/>
      <c r="CI15" s="24" t="n"/>
      <c r="CJ15" s="24" t="n"/>
      <c r="CK15" s="24" t="n"/>
      <c r="CL15" s="24" t="n"/>
      <c r="CM15" s="24" t="n"/>
    </row>
    <row r="16" ht="18" customHeight="1">
      <c r="A16" s="24" t="inlineStr">
        <is>
          <t>5b518a98a7d546bf</t>
        </is>
      </c>
      <c r="B16" s="24" t="inlineStr">
        <is>
          <t>2026-07-22T22:42:56Z</t>
        </is>
      </c>
      <c r="C16" s="24" t="inlineStr">
        <is>
          <t>2026-07-22T17:05Z</t>
        </is>
      </c>
      <c r="D16" s="24" t="inlineStr">
        <is>
          <t>401816219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-110</v>
      </c>
      <c r="M16" s="27" t="n">
        <v>1.909091</v>
      </c>
      <c r="N16" s="28" t="n">
        <v>0.52381</v>
      </c>
      <c r="O16" s="28" t="n">
        <v>0.593809</v>
      </c>
      <c r="P16" s="28" t="n">
        <v>0.05</v>
      </c>
      <c r="Q16" s="28" t="n">
        <v>0.06999900000000001</v>
      </c>
      <c r="R16" s="26" t="n">
        <v>55</v>
      </c>
      <c r="S16" s="29" t="n">
        <v>1.5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loss</t>
        </is>
      </c>
      <c r="W16" s="26" t="n">
        <v>5</v>
      </c>
      <c r="X16" s="26" t="n">
        <v>3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2026-07-23T00:05:50.622878Z</t>
        </is>
      </c>
      <c r="AE16" s="31" t="n"/>
      <c r="AF16" s="31" t="n"/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QUALIFIED_RETROACTIVE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-110</v>
      </c>
      <c r="BL16" s="27" t="n">
        <v>1.909091</v>
      </c>
      <c r="BM16" s="28" t="n">
        <v>0.52381</v>
      </c>
      <c r="BN16" s="28" t="n">
        <v>0.523834</v>
      </c>
      <c r="BO16" s="28" t="n">
        <v>0.523834</v>
      </c>
      <c r="BP16" s="25" t="n"/>
      <c r="BQ16" s="27" t="n"/>
      <c r="BR16" s="28" t="n"/>
      <c r="BS16" s="28" t="n"/>
      <c r="BT16" s="28" t="n"/>
      <c r="BU16" s="25" t="n"/>
      <c r="BV16" s="29" t="n">
        <v>1.04</v>
      </c>
      <c r="BW16" s="24" t="n"/>
      <c r="BX16" s="30" t="n"/>
      <c r="BY16" s="27" t="n"/>
      <c r="BZ16" s="24" t="n"/>
      <c r="CA16" s="31" t="n"/>
      <c r="CB16" s="24" t="n"/>
      <c r="CC16" s="24" t="inlineStr">
        <is>
          <t>0.57372</t>
        </is>
      </c>
      <c r="CD16" s="24" t="inlineStr">
        <is>
          <t>-1.351066</t>
        </is>
      </c>
      <c r="CE16" s="24" t="inlineStr">
        <is>
          <t>0.99</t>
        </is>
      </c>
      <c r="CF16" s="24" t="inlineStr">
        <is>
          <t>1.0171</t>
        </is>
      </c>
      <c r="CG16" s="24" t="inlineStr">
        <is>
          <t>-0.2</t>
        </is>
      </c>
      <c r="CH16" s="24" t="n"/>
      <c r="CI16" s="24" t="n"/>
      <c r="CJ16" s="24" t="n"/>
      <c r="CK16" s="24" t="n"/>
      <c r="CL16" s="24" t="n"/>
      <c r="CM16" s="24" t="n"/>
    </row>
    <row r="17" ht="18" customHeight="1">
      <c r="A17" s="24" t="inlineStr">
        <is>
          <t>2641464737044139</t>
        </is>
      </c>
      <c r="B17" s="24" t="inlineStr">
        <is>
          <t>2026-07-22T22:42:56Z</t>
        </is>
      </c>
      <c r="C17" s="24" t="inlineStr">
        <is>
          <t>2026-07-22T18:10Z</t>
        </is>
      </c>
      <c r="D17" s="24" t="inlineStr">
        <is>
          <t>401816225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Milwaukee Brewers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0.657843</v>
      </c>
      <c r="P17" s="28" t="n">
        <v>0.05</v>
      </c>
      <c r="Q17" s="28" t="n">
        <v>0.072781</v>
      </c>
      <c r="R17" s="26" t="n">
        <v>87</v>
      </c>
      <c r="S17" s="29" t="n">
        <v>2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win</t>
        </is>
      </c>
      <c r="W17" s="26" t="n">
        <v>3</v>
      </c>
      <c r="X17" s="26" t="n">
        <v>4</v>
      </c>
      <c r="Y17" s="25" t="n"/>
      <c r="Z17" s="26" t="n"/>
      <c r="AA17" s="28" t="n"/>
      <c r="AB17" s="28" t="n"/>
      <c r="AC17" s="30" t="n">
        <v>1.4184</v>
      </c>
      <c r="AD17" s="24" t="inlineStr">
        <is>
          <t>2026-07-23T00:05:50.896341Z</t>
        </is>
      </c>
      <c r="AE17" s="31" t="n"/>
      <c r="AF17" s="31" t="n"/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QUALIFIED_RETROACTIVE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-141</v>
      </c>
      <c r="BL17" s="27" t="n">
        <v>1.70922</v>
      </c>
      <c r="BM17" s="28" t="n">
        <v>0.585062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2</v>
      </c>
      <c r="BW17" s="24" t="n"/>
      <c r="BX17" s="30" t="n"/>
      <c r="BY17" s="27" t="n"/>
      <c r="BZ17" s="24" t="n"/>
      <c r="CA17" s="31" t="n"/>
      <c r="CB17" s="24" t="n"/>
      <c r="CC17" s="24" t="inlineStr">
        <is>
          <t>0.688545</t>
        </is>
      </c>
      <c r="CD17" s="24" t="inlineStr">
        <is>
          <t>0.575043</t>
        </is>
      </c>
      <c r="CE17" s="24" t="inlineStr">
        <is>
          <t>0.98</t>
        </is>
      </c>
      <c r="CF17" s="24" t="inlineStr">
        <is>
          <t>1.0</t>
        </is>
      </c>
      <c r="CG17" s="24" t="inlineStr">
        <is>
          <t>0.6</t>
        </is>
      </c>
      <c r="CH17" s="24" t="n"/>
      <c r="CI17" s="24" t="n"/>
      <c r="CJ17" s="24" t="n"/>
      <c r="CK17" s="24" t="n"/>
      <c r="CL17" s="24" t="n"/>
      <c r="CM17" s="24" t="n"/>
    </row>
    <row r="18" ht="18" customHeight="1">
      <c r="A18" s="24" t="inlineStr">
        <is>
          <t>cb5e58f29a5e45ee</t>
        </is>
      </c>
      <c r="B18" s="24" t="inlineStr">
        <is>
          <t>2026-07-22T22:42:56Z</t>
        </is>
      </c>
      <c r="C18" s="24" t="inlineStr">
        <is>
          <t>2026-07-22T23:05Z</t>
        </is>
      </c>
      <c r="D18" s="24" t="inlineStr">
        <is>
          <t>401898714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New York Yankees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-110</v>
      </c>
      <c r="M18" s="27" t="n">
        <v>1.909091</v>
      </c>
      <c r="N18" s="28" t="n">
        <v>0.52381</v>
      </c>
      <c r="O18" s="28" t="n">
        <v>0.593809</v>
      </c>
      <c r="P18" s="28" t="n">
        <v>0.05</v>
      </c>
      <c r="Q18" s="28" t="n">
        <v>0.06999900000000001</v>
      </c>
      <c r="R18" s="26" t="n">
        <v>55</v>
      </c>
      <c r="S18" s="29" t="n">
        <v>1.5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3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2026-07-23T00:05:51.285937Z</t>
        </is>
      </c>
      <c r="AE18" s="31" t="n"/>
      <c r="AF18" s="31" t="n"/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QUALIFIED_RETROACTIVE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-110</v>
      </c>
      <c r="BL18" s="27" t="n">
        <v>1.909091</v>
      </c>
      <c r="BM18" s="28" t="n">
        <v>0.52381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1.04</v>
      </c>
      <c r="BW18" s="24" t="n"/>
      <c r="BX18" s="30" t="n"/>
      <c r="BY18" s="27" t="n"/>
      <c r="BZ18" s="24" t="n"/>
      <c r="CA18" s="31" t="n"/>
      <c r="CB18" s="24" t="n"/>
      <c r="CC18" s="24" t="inlineStr">
        <is>
          <t>0.57372</t>
        </is>
      </c>
      <c r="CD18" s="24" t="inlineStr">
        <is>
          <t>-1.351066</t>
        </is>
      </c>
      <c r="CE18" s="24" t="inlineStr">
        <is>
          <t>0.99</t>
        </is>
      </c>
      <c r="CF18" s="24" t="inlineStr">
        <is>
          <t>1.0171</t>
        </is>
      </c>
      <c r="CG18" s="24" t="inlineStr">
        <is>
          <t>-0.2</t>
        </is>
      </c>
      <c r="CH18" s="24" t="n"/>
      <c r="CI18" s="24" t="n"/>
      <c r="CJ18" s="24" t="n"/>
      <c r="CK18" s="24" t="n"/>
      <c r="CL18" s="24" t="n"/>
      <c r="CM18" s="24" t="n"/>
    </row>
    <row r="19" ht="18" customHeight="1">
      <c r="A19" s="24" t="inlineStr">
        <is>
          <t>be0f50453d194a1d</t>
        </is>
      </c>
      <c r="B19" s="24" t="inlineStr">
        <is>
          <t>2026-07-22T22:42:56Z</t>
        </is>
      </c>
      <c r="C19" s="24" t="inlineStr">
        <is>
          <t>2026-07-17T23:30Z</t>
        </is>
      </c>
      <c r="D19" s="24" t="inlineStr">
        <is>
          <t>401857073</t>
        </is>
      </c>
      <c r="E19" s="24" t="inlineStr">
        <is>
          <t>WNBA</t>
        </is>
      </c>
      <c r="F19" s="24" t="inlineStr">
        <is>
          <t>Seattle Storm</t>
        </is>
      </c>
      <c r="G19" s="24" t="inlineStr">
        <is>
          <t>Indiana Fever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-355</v>
      </c>
      <c r="M19" s="27" t="n">
        <v>1.28169</v>
      </c>
      <c r="N19" s="28" t="n">
        <v>0.78022</v>
      </c>
      <c r="O19" s="28" t="n">
        <v>0.739063</v>
      </c>
      <c r="P19" s="28" t="n">
        <v>0.05</v>
      </c>
      <c r="Q19" s="28" t="n">
        <v>-0.041157</v>
      </c>
      <c r="R19" s="26" t="n">
        <v>100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107</v>
      </c>
      <c r="X19" s="26" t="n">
        <v>110</v>
      </c>
      <c r="Y19" s="25" t="n"/>
      <c r="Z19" s="26" t="n"/>
      <c r="AA19" s="28" t="n"/>
      <c r="AB19" s="28" t="n"/>
      <c r="AC19" s="30" t="n">
        <v>0.5634</v>
      </c>
      <c r="AD19" s="24" t="inlineStr">
        <is>
          <t>2026-07-22T23:40:33.680264Z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QUALIFIED_RETROACTIVE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-355</v>
      </c>
      <c r="BL19" s="27" t="n">
        <v>1.28169</v>
      </c>
      <c r="BM19" s="28" t="n">
        <v>0.78022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2</v>
      </c>
      <c r="BW19" s="24" t="n"/>
      <c r="BX19" s="30" t="n"/>
      <c r="BY19" s="27" t="n"/>
      <c r="BZ19" s="24" t="n"/>
      <c r="CA19" s="31" t="n"/>
      <c r="CB19" s="24" t="n"/>
      <c r="CC19" s="24" t="inlineStr">
        <is>
          <t>0.842</t>
        </is>
      </c>
      <c r="CD19" s="24" t="inlineStr">
        <is>
          <t>2.908359</t>
        </is>
      </c>
      <c r="CE19" s="24" t="n"/>
      <c r="CF19" s="24" t="n"/>
      <c r="CG19" s="24" t="n"/>
      <c r="CH19" s="24" t="inlineStr">
        <is>
          <t>2.250675</t>
        </is>
      </c>
      <c r="CI19" s="24" t="n"/>
      <c r="CJ19" s="24" t="n"/>
      <c r="CK19" s="24" t="n"/>
      <c r="CL19" s="24" t="n"/>
      <c r="CM19" s="24" t="n"/>
    </row>
    <row r="20" ht="18" customHeight="1">
      <c r="A20" s="24" t="inlineStr">
        <is>
          <t>640243f733784e02</t>
        </is>
      </c>
      <c r="B20" s="24" t="inlineStr">
        <is>
          <t>2026-07-22T22:42:56Z</t>
        </is>
      </c>
      <c r="C20" s="24" t="inlineStr">
        <is>
          <t>2026-07-18T02:00Z</t>
        </is>
      </c>
      <c r="D20" s="24" t="inlineStr">
        <is>
          <t>401857076</t>
        </is>
      </c>
      <c r="E20" s="24" t="inlineStr">
        <is>
          <t>WNBA</t>
        </is>
      </c>
      <c r="F20" s="24" t="inlineStr">
        <is>
          <t>Connecticut Sun</t>
        </is>
      </c>
      <c r="G20" s="24" t="inlineStr">
        <is>
          <t>Phoenix Mercury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0.647753</v>
      </c>
      <c r="P20" s="28" t="n">
        <v>0.05</v>
      </c>
      <c r="Q20" s="28" t="n">
        <v>0.007465</v>
      </c>
      <c r="R20" s="26" t="n">
        <v>82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loss</t>
        </is>
      </c>
      <c r="W20" s="26" t="n">
        <v>96</v>
      </c>
      <c r="X20" s="26" t="n">
        <v>83</v>
      </c>
      <c r="Y20" s="25" t="n"/>
      <c r="Z20" s="26" t="n">
        <v>-110</v>
      </c>
      <c r="AA20" s="28" t="n">
        <v>0.523834</v>
      </c>
      <c r="AB20" s="28" t="n"/>
      <c r="AC20" s="30" t="n">
        <v>-2</v>
      </c>
      <c r="AD20" s="24" t="inlineStr">
        <is>
          <t>2026-07-23T00:02:09Z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QUALIFIED_RETROACTIVE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-178</v>
      </c>
      <c r="BL20" s="27" t="n">
        <v>1.561798</v>
      </c>
      <c r="BM20" s="28" t="n">
        <v>0.640288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2</v>
      </c>
      <c r="BW20" s="24" t="n"/>
      <c r="BX20" s="30" t="n"/>
      <c r="BY20" s="27" t="n"/>
      <c r="BZ20" s="24" t="n"/>
      <c r="CA20" s="31" t="n"/>
      <c r="CB20" s="24" t="n"/>
      <c r="CC20" s="24" t="inlineStr">
        <is>
          <t>0.686754</t>
        </is>
      </c>
      <c r="CD20" s="24" t="inlineStr">
        <is>
          <t>-1.583278</t>
        </is>
      </c>
      <c r="CE20" s="24" t="n"/>
      <c r="CF20" s="24" t="n"/>
      <c r="CG20" s="24" t="n"/>
      <c r="CH20" s="24" t="inlineStr">
        <is>
          <t>-6.029632</t>
        </is>
      </c>
      <c r="CI20" s="24" t="n"/>
      <c r="CJ20" s="24" t="n"/>
      <c r="CK20" s="24" t="n"/>
      <c r="CL20" s="24" t="n"/>
      <c r="CM20" s="24" t="n"/>
    </row>
    <row r="21" ht="18" customHeight="1">
      <c r="A21" s="24" t="inlineStr">
        <is>
          <t>6ac9d751394445d2</t>
        </is>
      </c>
      <c r="B21" s="24" t="inlineStr">
        <is>
          <t>2026-07-22T22:42:56Z</t>
        </is>
      </c>
      <c r="C21" s="24" t="inlineStr">
        <is>
          <t>2026-07-19T00:00Z</t>
        </is>
      </c>
      <c r="D21" s="24" t="inlineStr">
        <is>
          <t>401857077</t>
        </is>
      </c>
      <c r="E21" s="24" t="inlineStr">
        <is>
          <t>WNBA</t>
        </is>
      </c>
      <c r="F21" s="24" t="inlineStr">
        <is>
          <t>New York Liberty</t>
        </is>
      </c>
      <c r="G21" s="24" t="inlineStr">
        <is>
          <t>Indiana Fever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108</v>
      </c>
      <c r="M21" s="27" t="n">
        <v>2.08</v>
      </c>
      <c r="N21" s="28" t="n">
        <v>0.480769</v>
      </c>
      <c r="O21" s="28" t="n">
        <v>0.608474</v>
      </c>
      <c r="P21" s="28" t="n">
        <v>0.05</v>
      </c>
      <c r="Q21" s="28" t="n">
        <v>0.127705</v>
      </c>
      <c r="R21" s="26" t="n">
        <v>62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88</v>
      </c>
      <c r="X21" s="26" t="n">
        <v>108</v>
      </c>
      <c r="Y21" s="25" t="n"/>
      <c r="Z21" s="26" t="n"/>
      <c r="AA21" s="28" t="n"/>
      <c r="AB21" s="28" t="n"/>
      <c r="AC21" s="30" t="n">
        <v>1.62</v>
      </c>
      <c r="AD21" s="24" t="inlineStr">
        <is>
          <t>2026-07-22T23:40:35.288113Z</t>
        </is>
      </c>
      <c r="AE21" s="31" t="n"/>
      <c r="AF21" s="31" t="n"/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QUALIFIED_RETROACTIVE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108</v>
      </c>
      <c r="BL21" s="27" t="n">
        <v>2.08</v>
      </c>
      <c r="BM21" s="28" t="n">
        <v>0.480769</v>
      </c>
      <c r="BN21" s="28" t="n">
        <v>0.523834</v>
      </c>
      <c r="BO21" s="28" t="n">
        <v>0.523834</v>
      </c>
      <c r="BP21" s="25" t="n"/>
      <c r="BQ21" s="27" t="n"/>
      <c r="BR21" s="28" t="n"/>
      <c r="BS21" s="28" t="n"/>
      <c r="BT21" s="28" t="n"/>
      <c r="BU21" s="25" t="n"/>
      <c r="BV21" s="29" t="n">
        <v>1.69</v>
      </c>
      <c r="BW21" s="24" t="n"/>
      <c r="BX21" s="30" t="n"/>
      <c r="BY21" s="27" t="n"/>
      <c r="BZ21" s="24" t="n"/>
      <c r="CA21" s="31" t="n"/>
      <c r="CB21" s="24" t="n"/>
      <c r="CC21" s="24" t="inlineStr">
        <is>
          <t>0.651403</t>
        </is>
      </c>
      <c r="CD21" s="24" t="inlineStr">
        <is>
          <t>5.093446</t>
        </is>
      </c>
      <c r="CE21" s="24" t="n"/>
      <c r="CF21" s="24" t="n"/>
      <c r="CG21" s="24" t="n"/>
      <c r="CH21" s="24" t="inlineStr">
        <is>
          <t>-1.819385</t>
        </is>
      </c>
      <c r="CI21" s="24" t="n"/>
      <c r="CJ21" s="24" t="n"/>
      <c r="CK21" s="24" t="n"/>
      <c r="CL21" s="24" t="n"/>
      <c r="CM21" s="24" t="n"/>
    </row>
    <row r="22" ht="18" customHeight="1">
      <c r="A22" s="24" t="inlineStr">
        <is>
          <t>1a16c2cf30fd46f6</t>
        </is>
      </c>
      <c r="B22" s="24" t="inlineStr">
        <is>
          <t>2026-07-22T22:42:56Z</t>
        </is>
      </c>
      <c r="C22" s="24" t="inlineStr">
        <is>
          <t>2026-07-19T00:00Z</t>
        </is>
      </c>
      <c r="D22" s="24" t="inlineStr">
        <is>
          <t>401857078</t>
        </is>
      </c>
      <c r="E22" s="24" t="inlineStr">
        <is>
          <t>WNBA</t>
        </is>
      </c>
      <c r="F22" s="24" t="inlineStr">
        <is>
          <t>Portland Fire</t>
        </is>
      </c>
      <c r="G22" s="24" t="inlineStr">
        <is>
          <t>Minnesota Lynx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-669</v>
      </c>
      <c r="M22" s="27" t="n">
        <v>1.149477</v>
      </c>
      <c r="N22" s="28" t="n">
        <v>0.869961</v>
      </c>
      <c r="O22" s="28" t="n">
        <v>0.76009</v>
      </c>
      <c r="P22" s="28" t="n">
        <v>0.05</v>
      </c>
      <c r="Q22" s="28" t="n">
        <v>-0.109871</v>
      </c>
      <c r="R22" s="26" t="n">
        <v>100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93</v>
      </c>
      <c r="X22" s="26" t="n">
        <v>101</v>
      </c>
      <c r="Y22" s="25" t="n"/>
      <c r="Z22" s="26" t="n">
        <v>-110</v>
      </c>
      <c r="AA22" s="28" t="n">
        <v>0.523834</v>
      </c>
      <c r="AB22" s="28" t="n"/>
      <c r="AC22" s="30" t="n">
        <v>0.299</v>
      </c>
      <c r="AD22" s="24" t="inlineStr">
        <is>
          <t>2026-07-23T00:02:09Z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QUALIFIED_RETROACTIVE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-669</v>
      </c>
      <c r="BL22" s="27" t="n">
        <v>1.149477</v>
      </c>
      <c r="BM22" s="28" t="n">
        <v>0.869961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2</v>
      </c>
      <c r="BW22" s="24" t="n"/>
      <c r="BX22" s="30" t="n"/>
      <c r="BY22" s="27" t="n"/>
      <c r="BZ22" s="24" t="n"/>
      <c r="CA22" s="31" t="n"/>
      <c r="CB22" s="24" t="n"/>
      <c r="CC22" s="24" t="inlineStr">
        <is>
          <t>0.866104</t>
        </is>
      </c>
      <c r="CD22" s="24" t="inlineStr">
        <is>
          <t>2.001573</t>
        </is>
      </c>
      <c r="CE22" s="24" t="n"/>
      <c r="CF22" s="24" t="n"/>
      <c r="CG22" s="24" t="n"/>
      <c r="CH22" s="24" t="inlineStr">
        <is>
          <t>-8.096233</t>
        </is>
      </c>
      <c r="CI22" s="24" t="n"/>
      <c r="CJ22" s="24" t="n"/>
      <c r="CK22" s="24" t="n"/>
      <c r="CL22" s="24" t="n"/>
      <c r="CM22" s="24" t="n"/>
    </row>
    <row r="23" ht="18" customHeight="1">
      <c r="A23" s="24" t="inlineStr">
        <is>
          <t>d58c66fbb09245da</t>
        </is>
      </c>
      <c r="B23" s="24" t="inlineStr">
        <is>
          <t>2026-07-22T22:42:56Z</t>
        </is>
      </c>
      <c r="C23" s="24" t="inlineStr">
        <is>
          <t>2026-07-19T00:30Z</t>
        </is>
      </c>
      <c r="D23" s="24" t="inlineStr">
        <is>
          <t>401857079</t>
        </is>
      </c>
      <c r="E23" s="24" t="inlineStr">
        <is>
          <t>WNBA</t>
        </is>
      </c>
      <c r="F23" s="24" t="inlineStr">
        <is>
          <t>Washington Mystics</t>
        </is>
      </c>
      <c r="G23" s="24" t="inlineStr">
        <is>
          <t>Golden State Valkyries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-355</v>
      </c>
      <c r="M23" s="27" t="n">
        <v>1.28169</v>
      </c>
      <c r="N23" s="28" t="n">
        <v>0.78022</v>
      </c>
      <c r="O23" s="28" t="n">
        <v>0.75064</v>
      </c>
      <c r="P23" s="28" t="n">
        <v>0.05</v>
      </c>
      <c r="Q23" s="28" t="n">
        <v>-0.02958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69</v>
      </c>
      <c r="X23" s="26" t="n">
        <v>74</v>
      </c>
      <c r="Y23" s="25" t="n"/>
      <c r="Z23" s="26" t="n">
        <v>-110</v>
      </c>
      <c r="AA23" s="28" t="n">
        <v>0.523834</v>
      </c>
      <c r="AB23" s="28" t="n"/>
      <c r="AC23" s="30" t="n">
        <v>0.5634</v>
      </c>
      <c r="AD23" s="24" t="inlineStr">
        <is>
          <t>2026-07-23T00:02:09Z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QUALIFIED_RETROACTIVE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-355</v>
      </c>
      <c r="BL23" s="27" t="n">
        <v>1.28169</v>
      </c>
      <c r="BM23" s="28" t="n">
        <v>0.78022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2</v>
      </c>
      <c r="BW23" s="24" t="n"/>
      <c r="BX23" s="30" t="n"/>
      <c r="BY23" s="27" t="n"/>
      <c r="BZ23" s="24" t="n"/>
      <c r="CA23" s="31" t="n"/>
      <c r="CB23" s="24" t="n"/>
      <c r="CC23" s="24" t="inlineStr">
        <is>
          <t>0.862414</t>
        </is>
      </c>
      <c r="CD23" s="24" t="inlineStr">
        <is>
          <t>4.720226</t>
        </is>
      </c>
      <c r="CE23" s="24" t="n"/>
      <c r="CF23" s="24" t="n"/>
      <c r="CG23" s="24" t="n"/>
      <c r="CH23" s="24" t="inlineStr">
        <is>
          <t>-0.874447</t>
        </is>
      </c>
      <c r="CI23" s="24" t="n"/>
      <c r="CJ23" s="24" t="n"/>
      <c r="CK23" s="24" t="n"/>
      <c r="CL23" s="24" t="n"/>
      <c r="CM23" s="24" t="n"/>
    </row>
    <row r="24" ht="18" customHeight="1">
      <c r="A24" s="24" t="inlineStr">
        <is>
          <t>799d5c7b3c034c63</t>
        </is>
      </c>
      <c r="B24" s="24" t="inlineStr">
        <is>
          <t>2026-07-22T22:42:56Z</t>
        </is>
      </c>
      <c r="C24" s="24" t="inlineStr">
        <is>
          <t>2026-07-19T17:00Z</t>
        </is>
      </c>
      <c r="D24" s="24" t="inlineStr">
        <is>
          <t>401857080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Dallas Wings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-400</v>
      </c>
      <c r="M24" s="27" t="n">
        <v>1.25</v>
      </c>
      <c r="N24" s="28" t="n">
        <v>0.8</v>
      </c>
      <c r="O24" s="28" t="n">
        <v>0.738341</v>
      </c>
      <c r="P24" s="28" t="n">
        <v>0.05</v>
      </c>
      <c r="Q24" s="28" t="n">
        <v>-0.061659</v>
      </c>
      <c r="R24" s="26" t="n">
        <v>100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90</v>
      </c>
      <c r="Y24" s="25" t="n"/>
      <c r="Z24" s="26" t="n"/>
      <c r="AA24" s="28" t="n"/>
      <c r="AB24" s="28" t="n"/>
      <c r="AC24" s="30" t="n">
        <v>0.5</v>
      </c>
      <c r="AD24" s="24" t="inlineStr">
        <is>
          <t>2026-07-22T23:40:36.780212Z</t>
        </is>
      </c>
      <c r="AE24" s="31" t="n"/>
      <c r="AF24" s="31" t="n"/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QUALIFIED_RETROACTIVE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-400</v>
      </c>
      <c r="BL24" s="27" t="n">
        <v>1.25</v>
      </c>
      <c r="BM24" s="28" t="n">
        <v>0.8</v>
      </c>
      <c r="BN24" s="28" t="n">
        <v>0.523834</v>
      </c>
      <c r="BO24" s="28" t="n">
        <v>0.523834</v>
      </c>
      <c r="BP24" s="25" t="n"/>
      <c r="BQ24" s="27" t="n"/>
      <c r="BR24" s="28" t="n"/>
      <c r="BS24" s="28" t="n"/>
      <c r="BT24" s="28" t="n"/>
      <c r="BU24" s="25" t="n"/>
      <c r="BV24" s="29" t="n">
        <v>2</v>
      </c>
      <c r="BW24" s="24" t="n"/>
      <c r="BX24" s="30" t="n"/>
      <c r="BY24" s="27" t="n"/>
      <c r="BZ24" s="24" t="n"/>
      <c r="CA24" s="31" t="n"/>
      <c r="CB24" s="24" t="n"/>
      <c r="CC24" s="24" t="inlineStr">
        <is>
          <t>0.839957</t>
        </is>
      </c>
      <c r="CD24" s="24" t="inlineStr">
        <is>
          <t>1.256293</t>
        </is>
      </c>
      <c r="CE24" s="24" t="n"/>
      <c r="CF24" s="24" t="n"/>
      <c r="CG24" s="24" t="n"/>
      <c r="CH24" s="24" t="inlineStr">
        <is>
          <t>5.144466</t>
        </is>
      </c>
      <c r="CI24" s="24" t="n"/>
      <c r="CJ24" s="24" t="n"/>
      <c r="CK24" s="24" t="n"/>
      <c r="CL24" s="24" t="n"/>
      <c r="CM24" s="24" t="n"/>
    </row>
    <row r="25" ht="18" customHeight="1">
      <c r="A25" s="24" t="inlineStr">
        <is>
          <t>680efa02a40242f1</t>
        </is>
      </c>
      <c r="B25" s="24" t="inlineStr">
        <is>
          <t>2026-07-22T22:42:56Z</t>
        </is>
      </c>
      <c r="C25" s="24" t="inlineStr">
        <is>
          <t>2026-07-19T20:00Z</t>
        </is>
      </c>
      <c r="D25" s="24" t="inlineStr">
        <is>
          <t>401857081</t>
        </is>
      </c>
      <c r="E25" s="24" t="inlineStr">
        <is>
          <t>WNBA</t>
        </is>
      </c>
      <c r="F25" s="24" t="inlineStr">
        <is>
          <t>Chicago Sky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-488</v>
      </c>
      <c r="M25" s="27" t="n">
        <v>1.204918</v>
      </c>
      <c r="N25" s="28" t="n">
        <v>0.829932</v>
      </c>
      <c r="O25" s="28" t="n">
        <v>0.684245</v>
      </c>
      <c r="P25" s="28" t="n">
        <v>0.05</v>
      </c>
      <c r="Q25" s="28" t="n">
        <v>-0.145687</v>
      </c>
      <c r="R25" s="26" t="n">
        <v>100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91</v>
      </c>
      <c r="X25" s="26" t="n">
        <v>93</v>
      </c>
      <c r="Y25" s="25" t="n"/>
      <c r="Z25" s="26" t="n">
        <v>-110</v>
      </c>
      <c r="AA25" s="28" t="n">
        <v>0.523834</v>
      </c>
      <c r="AB25" s="28" t="n"/>
      <c r="AC25" s="30" t="n">
        <v>0.4098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QUALIFIED_RETROACTIVE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-488</v>
      </c>
      <c r="BL25" s="27" t="n">
        <v>1.204918</v>
      </c>
      <c r="BM25" s="28" t="n">
        <v>0.829932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/>
      <c r="BY25" s="27" t="n"/>
      <c r="BZ25" s="24" t="n"/>
      <c r="CA25" s="31" t="n"/>
      <c r="CB25" s="24" t="n"/>
      <c r="CC25" s="24" t="inlineStr">
        <is>
          <t>0.740089</t>
        </is>
      </c>
      <c r="CD25" s="24" t="inlineStr">
        <is>
          <t>-1.350894</t>
        </is>
      </c>
      <c r="CE25" s="24" t="n"/>
      <c r="CF25" s="24" t="n"/>
      <c r="CG25" s="24" t="n"/>
      <c r="CH25" s="24" t="inlineStr">
        <is>
          <t>-5.543573</t>
        </is>
      </c>
      <c r="CI25" s="24" t="n"/>
      <c r="CJ25" s="24" t="n"/>
      <c r="CK25" s="24" t="n"/>
      <c r="CL25" s="24" t="n"/>
      <c r="CM25" s="24" t="n"/>
    </row>
    <row r="26" ht="18" customHeight="1">
      <c r="A26" s="24" t="inlineStr">
        <is>
          <t>e8f8db98dd0249b3</t>
        </is>
      </c>
      <c r="B26" s="24" t="inlineStr">
        <is>
          <t>2026-07-22T22:42:56Z</t>
        </is>
      </c>
      <c r="C26" s="24" t="inlineStr">
        <is>
          <t>2026-07-19T23:00Z</t>
        </is>
      </c>
      <c r="D26" s="24" t="inlineStr">
        <is>
          <t>401857082</t>
        </is>
      </c>
      <c r="E26" s="24" t="inlineStr">
        <is>
          <t>WNBA</t>
        </is>
      </c>
      <c r="F26" s="24" t="inlineStr">
        <is>
          <t>Connecticut Sun</t>
        </is>
      </c>
      <c r="G26" s="24" t="inlineStr">
        <is>
          <t>Phoenix Mercury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0.576234</v>
      </c>
      <c r="P26" s="28" t="n">
        <v>0.05</v>
      </c>
      <c r="Q26" s="28" t="n">
        <v>-0.043538</v>
      </c>
      <c r="R26" s="26" t="n">
        <v>46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63</v>
      </c>
      <c r="X26" s="26" t="n">
        <v>72</v>
      </c>
      <c r="Y26" s="25" t="n"/>
      <c r="Z26" s="26" t="n">
        <v>-110</v>
      </c>
      <c r="AA26" s="28" t="n">
        <v>0.523834</v>
      </c>
      <c r="AB26" s="28" t="n"/>
      <c r="AC26" s="30" t="n">
        <v>0.7669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QUALIFIED_RETROACTIVE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-163</v>
      </c>
      <c r="BL26" s="27" t="n">
        <v>1.613497</v>
      </c>
      <c r="BM26" s="28" t="n">
        <v>0.619772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1.05</v>
      </c>
      <c r="BW26" s="24" t="n"/>
      <c r="BX26" s="30" t="n"/>
      <c r="BY26" s="27" t="n"/>
      <c r="BZ26" s="24" t="n"/>
      <c r="CA26" s="31" t="n"/>
      <c r="CB26" s="24" t="n"/>
      <c r="CC26" s="24" t="inlineStr">
        <is>
          <t>0.584213</t>
        </is>
      </c>
      <c r="CD26" s="24" t="inlineStr">
        <is>
          <t>-3.773353</t>
        </is>
      </c>
      <c r="CE26" s="24" t="n"/>
      <c r="CF26" s="24" t="n"/>
      <c r="CG26" s="24" t="n"/>
      <c r="CH26" s="24" t="inlineStr">
        <is>
          <t>-7.650785</t>
        </is>
      </c>
      <c r="CI26" s="24" t="n"/>
      <c r="CJ26" s="24" t="n"/>
      <c r="CK26" s="24" t="n"/>
      <c r="CL26" s="24" t="n"/>
      <c r="CM26" s="24" t="n"/>
    </row>
    <row r="27" ht="18" customHeight="1">
      <c r="A27" s="24" t="inlineStr">
        <is>
          <t>e761b72b1f3441ff</t>
        </is>
      </c>
      <c r="B27" s="24" t="inlineStr">
        <is>
          <t>2026-07-22T22:42:56Z</t>
        </is>
      </c>
      <c r="C27" s="24" t="inlineStr">
        <is>
          <t>2026-07-21T00:00Z</t>
        </is>
      </c>
      <c r="D27" s="24" t="inlineStr">
        <is>
          <t>401892393</t>
        </is>
      </c>
      <c r="E27" s="24" t="inlineStr">
        <is>
          <t>WNBA</t>
        </is>
      </c>
      <c r="F27" s="24" t="inlineStr">
        <is>
          <t>New York Liberty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0.6690160000000001</v>
      </c>
      <c r="P27" s="28" t="n">
        <v>0.05</v>
      </c>
      <c r="Q27" s="28" t="n">
        <v>0.319366</v>
      </c>
      <c r="R27" s="26" t="n">
        <v>93</v>
      </c>
      <c r="S27" s="29" t="n">
        <v>2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99</v>
      </c>
      <c r="X27" s="26" t="n">
        <v>98</v>
      </c>
      <c r="Y27" s="25" t="n"/>
      <c r="Z27" s="26" t="n"/>
      <c r="AA27" s="28" t="n"/>
      <c r="AB27" s="28" t="n"/>
      <c r="AC27" s="30" t="n">
        <v>-2</v>
      </c>
      <c r="AD27" s="24" t="inlineStr">
        <is>
          <t>2026-07-22T23:40:38.872966Z</t>
        </is>
      </c>
      <c r="AE27" s="31" t="n"/>
      <c r="AF27" s="31" t="n"/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QUALIFIED_RETROACTIVE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186</v>
      </c>
      <c r="BL27" s="27" t="n">
        <v>2.86</v>
      </c>
      <c r="BM27" s="28" t="n">
        <v>0.34965</v>
      </c>
      <c r="BN27" s="28" t="n">
        <v>0.523834</v>
      </c>
      <c r="BO27" s="28" t="n">
        <v>0.523834</v>
      </c>
      <c r="BP27" s="25" t="n"/>
      <c r="BQ27" s="27" t="n"/>
      <c r="BR27" s="28" t="n"/>
      <c r="BS27" s="28" t="n"/>
      <c r="BT27" s="28" t="n"/>
      <c r="BU27" s="25" t="n"/>
      <c r="BV27" s="29" t="n">
        <v>2</v>
      </c>
      <c r="BW27" s="24" t="n"/>
      <c r="BX27" s="30" t="n"/>
      <c r="BY27" s="27" t="n"/>
      <c r="BZ27" s="24" t="n"/>
      <c r="CA27" s="31" t="n"/>
      <c r="CB27" s="24" t="n"/>
      <c r="CC27" s="24" t="inlineStr">
        <is>
          <t>0.73469</t>
        </is>
      </c>
      <c r="CD27" s="24" t="inlineStr">
        <is>
          <t>0.959059</t>
        </is>
      </c>
      <c r="CE27" s="24" t="n"/>
      <c r="CF27" s="24" t="n"/>
      <c r="CG27" s="24" t="n"/>
      <c r="CH27" s="24" t="inlineStr">
        <is>
          <t>7.081581</t>
        </is>
      </c>
      <c r="CI27" s="24" t="n"/>
      <c r="CJ27" s="24" t="n"/>
      <c r="CK27" s="24" t="n"/>
      <c r="CL27" s="24" t="n"/>
      <c r="CM27" s="24" t="n"/>
    </row>
    <row r="28" ht="18" customHeight="1">
      <c r="A28" s="24" t="inlineStr">
        <is>
          <t>7bfd8a5fe7284c73</t>
        </is>
      </c>
      <c r="B28" s="24" t="inlineStr">
        <is>
          <t>2026-07-22T22:42:56Z</t>
        </is>
      </c>
      <c r="C28" s="24" t="inlineStr">
        <is>
          <t>2026-07-21T02:00Z</t>
        </is>
      </c>
      <c r="D28" s="24" t="inlineStr">
        <is>
          <t>401857084</t>
        </is>
      </c>
      <c r="E28" s="24" t="inlineStr">
        <is>
          <t>WNBA</t>
        </is>
      </c>
      <c r="F28" s="24" t="inlineStr">
        <is>
          <t>Washington Mystics</t>
        </is>
      </c>
      <c r="G28" s="24" t="inlineStr">
        <is>
          <t>Golden State Valkyries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-335</v>
      </c>
      <c r="M28" s="27" t="n">
        <v>1.298507</v>
      </c>
      <c r="N28" s="28" t="n">
        <v>0.770115</v>
      </c>
      <c r="O28" s="28" t="n">
        <v>0.755526</v>
      </c>
      <c r="P28" s="28" t="n">
        <v>0.05</v>
      </c>
      <c r="Q28" s="28" t="n">
        <v>-0.014589</v>
      </c>
      <c r="R28" s="26" t="n">
        <v>100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90</v>
      </c>
      <c r="X28" s="26" t="n">
        <v>82</v>
      </c>
      <c r="Y28" s="25" t="n"/>
      <c r="Z28" s="26" t="n">
        <v>-110</v>
      </c>
      <c r="AA28" s="28" t="n">
        <v>0.523834</v>
      </c>
      <c r="AB28" s="28" t="n"/>
      <c r="AC28" s="30" t="n">
        <v>-2</v>
      </c>
      <c r="AD28" s="24" t="inlineStr">
        <is>
          <t>2026-07-23T00:02:09Z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QUALIFIED_RETROACTIVE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-335</v>
      </c>
      <c r="BL28" s="27" t="n">
        <v>1.298507</v>
      </c>
      <c r="BM28" s="28" t="n">
        <v>0.770115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2</v>
      </c>
      <c r="BW28" s="24" t="n"/>
      <c r="BX28" s="30" t="n"/>
      <c r="BY28" s="27" t="n"/>
      <c r="BZ28" s="24" t="n"/>
      <c r="CA28" s="31" t="n"/>
      <c r="CB28" s="24" t="n"/>
      <c r="CC28" s="24" t="inlineStr">
        <is>
          <t>0.868191</t>
        </is>
      </c>
      <c r="CD28" s="24" t="inlineStr">
        <is>
          <t>3.569622</t>
        </is>
      </c>
      <c r="CE28" s="24" t="n"/>
      <c r="CF28" s="24" t="n"/>
      <c r="CG28" s="24" t="n"/>
      <c r="CH28" s="24" t="inlineStr">
        <is>
          <t>-1.008413</t>
        </is>
      </c>
      <c r="CI28" s="24" t="n"/>
      <c r="CJ28" s="24" t="n"/>
      <c r="CK28" s="24" t="n"/>
      <c r="CL28" s="24" t="n"/>
      <c r="CM28" s="24" t="n"/>
    </row>
    <row r="29" ht="18" customHeight="1">
      <c r="A29" s="24" t="inlineStr">
        <is>
          <t>9a64685fc95f4ab7</t>
        </is>
      </c>
      <c r="B29" s="24" t="inlineStr">
        <is>
          <t>2026-07-22T22:42:56Z</t>
        </is>
      </c>
      <c r="C29" s="24" t="inlineStr">
        <is>
          <t>2026-07-22T19:00Z</t>
        </is>
      </c>
      <c r="D29" s="24" t="inlineStr">
        <is>
          <t>401857086</t>
        </is>
      </c>
      <c r="E29" s="24" t="inlineStr">
        <is>
          <t>WNBA</t>
        </is>
      </c>
      <c r="F29" s="24" t="inlineStr">
        <is>
          <t>Phoenix Mercury</t>
        </is>
      </c>
      <c r="G29" s="24" t="inlineStr">
        <is>
          <t>Los Angeles Sparks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-127</v>
      </c>
      <c r="M29" s="27" t="n">
        <v>1.787402</v>
      </c>
      <c r="N29" s="28" t="n">
        <v>0.5594710000000001</v>
      </c>
      <c r="O29" s="28" t="n">
        <v>0.5725980000000001</v>
      </c>
      <c r="P29" s="28" t="n">
        <v>0.05</v>
      </c>
      <c r="Q29" s="28" t="n">
        <v>0.013127</v>
      </c>
      <c r="R29" s="26" t="n">
        <v>44</v>
      </c>
      <c r="S29" s="29" t="n">
        <v>1.25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82</v>
      </c>
      <c r="Y29" s="25" t="n"/>
      <c r="Z29" s="26" t="n"/>
      <c r="AA29" s="28" t="n"/>
      <c r="AB29" s="28" t="n"/>
      <c r="AC29" s="30" t="n">
        <v>-1.25</v>
      </c>
      <c r="AD29" s="24" t="inlineStr">
        <is>
          <t>2026-07-23T00:05:51.648429Z</t>
        </is>
      </c>
      <c r="AE29" s="31" t="n"/>
      <c r="AF29" s="31" t="n"/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QUALIFIED_RETROACTIVE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-127</v>
      </c>
      <c r="BL29" s="27" t="n">
        <v>1.787402</v>
      </c>
      <c r="BM29" s="28" t="n">
        <v>0.5594710000000001</v>
      </c>
      <c r="BN29" s="28" t="n">
        <v>0.523834</v>
      </c>
      <c r="BO29" s="28" t="n">
        <v>0.523834</v>
      </c>
      <c r="BP29" s="25" t="n"/>
      <c r="BQ29" s="27" t="n"/>
      <c r="BR29" s="28" t="n"/>
      <c r="BS29" s="28" t="n"/>
      <c r="BT29" s="28" t="n"/>
      <c r="BU29" s="25" t="n"/>
      <c r="BV29" s="29" t="n">
        <v>0.98</v>
      </c>
      <c r="BW29" s="24" t="n"/>
      <c r="BX29" s="30" t="n"/>
      <c r="BY29" s="27" t="n"/>
      <c r="BZ29" s="24" t="n"/>
      <c r="CA29" s="31" t="n"/>
      <c r="CB29" s="24" t="n"/>
      <c r="CC29" s="24" t="inlineStr">
        <is>
          <t>0.597061</t>
        </is>
      </c>
      <c r="CD29" s="24" t="inlineStr">
        <is>
          <t>1.440922</t>
        </is>
      </c>
      <c r="CE29" s="24" t="n"/>
      <c r="CF29" s="24" t="n"/>
      <c r="CG29" s="24" t="n"/>
      <c r="CH29" s="24" t="inlineStr">
        <is>
          <t>-0.87024</t>
        </is>
      </c>
      <c r="CI29" s="24" t="n"/>
      <c r="CJ29" s="24" t="n"/>
      <c r="CK29" s="24" t="n"/>
      <c r="CL29" s="24" t="n"/>
      <c r="CM29" s="24" t="n"/>
    </row>
    <row r="30" ht="18" customHeight="1">
      <c r="A30" s="24" t="inlineStr">
        <is>
          <t>b045f8d31f314714</t>
        </is>
      </c>
      <c r="B30" s="24" t="inlineStr">
        <is>
          <t>2026-07-22T22:42:56Z</t>
        </is>
      </c>
      <c r="C30" s="24" t="inlineStr">
        <is>
          <t>2026-07-22T23:00Z</t>
        </is>
      </c>
      <c r="D30" s="24" t="inlineStr">
        <is>
          <t>401857088</t>
        </is>
      </c>
      <c r="E30" s="24" t="inlineStr">
        <is>
          <t>WNBA</t>
        </is>
      </c>
      <c r="F30" s="24" t="inlineStr">
        <is>
          <t>Chicago Sky</t>
        </is>
      </c>
      <c r="G30" s="24" t="inlineStr">
        <is>
          <t>New York Liberty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0.689532</v>
      </c>
      <c r="P30" s="28" t="n">
        <v>0.05</v>
      </c>
      <c r="Q30" s="28" t="n">
        <v>-0.050728</v>
      </c>
      <c r="R30" s="26" t="n">
        <v>100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94</v>
      </c>
      <c r="X30" s="26" t="n">
        <v>95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2026-07-23T04:43:08.361509Z</t>
        </is>
      </c>
      <c r="AE30" s="31" t="n"/>
      <c r="AF30" s="31" t="n"/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QUALIFIED_RETROACTIVE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-285</v>
      </c>
      <c r="BL30" s="27" t="n">
        <v>1.350877</v>
      </c>
      <c r="BM30" s="28" t="n">
        <v>0.74026</v>
      </c>
      <c r="BN30" s="28" t="n">
        <v>0.523834</v>
      </c>
      <c r="BO30" s="28" t="n">
        <v>0.523834</v>
      </c>
      <c r="BP30" s="25" t="n"/>
      <c r="BQ30" s="27" t="n"/>
      <c r="BR30" s="28" t="n"/>
      <c r="BS30" s="28" t="n"/>
      <c r="BT30" s="28" t="n"/>
      <c r="BU30" s="25" t="n"/>
      <c r="BV30" s="29" t="n">
        <v>2</v>
      </c>
      <c r="BW30" s="24" t="n"/>
      <c r="BX30" s="30" t="n"/>
      <c r="BY30" s="27" t="n"/>
      <c r="BZ30" s="24" t="n"/>
      <c r="CA30" s="31" t="n"/>
      <c r="CB30" s="24" t="n"/>
      <c r="CC30" s="24" t="inlineStr">
        <is>
          <t>0.740367</t>
        </is>
      </c>
      <c r="CD30" s="24" t="inlineStr">
        <is>
          <t>-5.650512</t>
        </is>
      </c>
      <c r="CE30" s="24" t="n"/>
      <c r="CF30" s="24" t="n"/>
      <c r="CG30" s="24" t="n"/>
      <c r="CH30" s="24" t="inlineStr">
        <is>
          <t>-3.727661</t>
        </is>
      </c>
      <c r="CI30" s="24" t="n"/>
      <c r="CJ30" s="24" t="n"/>
      <c r="CK30" s="24" t="n"/>
      <c r="CL30" s="24" t="n"/>
      <c r="CM30" s="24" t="n"/>
    </row>
    <row r="31" ht="18" customHeight="1">
      <c r="A31" s="24" t="inlineStr">
        <is>
          <t>45729c873fa64cfb</t>
        </is>
      </c>
      <c r="B31" s="24" t="inlineStr">
        <is>
          <t>2026-07-22T22:42:56Z</t>
        </is>
      </c>
      <c r="C31" s="24" t="inlineStr">
        <is>
          <t>2026-07-18T01:40Z</t>
        </is>
      </c>
      <c r="D31" s="24" t="inlineStr">
        <is>
          <t>401816155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120</v>
      </c>
      <c r="M31" s="27" t="n">
        <v>2.2</v>
      </c>
      <c r="N31" s="28" t="n">
        <v>0.454545</v>
      </c>
      <c r="O31" s="28" t="n">
        <v>0.595782</v>
      </c>
      <c r="P31" s="28" t="n">
        <v>0.05</v>
      </c>
      <c r="Q31" s="28" t="n">
        <v>0.141237</v>
      </c>
      <c r="R31" s="26" t="n">
        <v>56</v>
      </c>
      <c r="S31" s="29" t="n">
        <v>1.5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>
        <v>-110</v>
      </c>
      <c r="AA31" s="28" t="n">
        <v>0.523834</v>
      </c>
      <c r="AB31" s="28" t="n"/>
      <c r="AC31" s="30" t="n">
        <v>1.8</v>
      </c>
      <c r="AD31" s="24" t="inlineStr">
        <is>
          <t>2026-07-22T23:44:22Z</t>
        </is>
      </c>
      <c r="AE31" s="31" t="n"/>
      <c r="AF31" s="31" t="n"/>
      <c r="AG31" s="24" t="n"/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QUALIFIED_RETROACTIVE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120</v>
      </c>
      <c r="BL31" s="27" t="n">
        <v>2.2</v>
      </c>
      <c r="BM31" s="28" t="n">
        <v>0.454545</v>
      </c>
      <c r="BN31" s="28" t="n">
        <v>0.523834</v>
      </c>
      <c r="BO31" s="28" t="n">
        <v>0.523834</v>
      </c>
      <c r="BP31" s="25" t="n"/>
      <c r="BQ31" s="27" t="n">
        <v>1.909</v>
      </c>
      <c r="BR31" s="28" t="n"/>
      <c r="BS31" s="28" t="n"/>
      <c r="BT31" s="28" t="n"/>
      <c r="BU31" s="25" t="n"/>
      <c r="BV31" s="29" t="n">
        <v>0.5</v>
      </c>
      <c r="BW31" s="24" t="n"/>
      <c r="BX31" s="30" t="n"/>
      <c r="BY31" s="27" t="n"/>
      <c r="BZ31" s="24" t="n"/>
      <c r="CA31" s="31" t="n"/>
      <c r="CB31" s="24" t="n"/>
      <c r="CC31" s="24" t="inlineStr">
        <is>
          <t>0.510455</t>
        </is>
      </c>
      <c r="CD31" s="24" t="inlineStr">
        <is>
          <t>-1.688456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2.4</t>
        </is>
      </c>
      <c r="CH31" s="24" t="n"/>
      <c r="CI31" s="24" t="n"/>
      <c r="CJ31" s="24" t="n"/>
      <c r="CK31" s="24" t="n"/>
      <c r="CL31" s="24" t="n"/>
      <c r="CM31" s="24" t="n"/>
    </row>
    <row r="32" ht="18" customHeight="1">
      <c r="A32" s="24" t="inlineStr">
        <is>
          <t>282ea2aa392544a6</t>
        </is>
      </c>
      <c r="B32" s="24" t="inlineStr">
        <is>
          <t>2026-07-22T22:42:56Z</t>
        </is>
      </c>
      <c r="C32" s="24" t="inlineStr">
        <is>
          <t>2026-07-18T19:07Z</t>
        </is>
      </c>
      <c r="D32" s="24" t="inlineStr">
        <is>
          <t>401816156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106</v>
      </c>
      <c r="M32" s="27" t="n">
        <v>2.06</v>
      </c>
      <c r="N32" s="28" t="n">
        <v>0.485437</v>
      </c>
      <c r="O32" s="28" t="n">
        <v>0.619498</v>
      </c>
      <c r="P32" s="28" t="n">
        <v>0.05</v>
      </c>
      <c r="Q32" s="28" t="n">
        <v>0.134061</v>
      </c>
      <c r="R32" s="26" t="n">
        <v>68</v>
      </c>
      <c r="S32" s="29" t="n">
        <v>1.75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-110</v>
      </c>
      <c r="AA32" s="28" t="n">
        <v>0.523834</v>
      </c>
      <c r="AB32" s="28" t="n"/>
      <c r="AC32" s="30" t="n">
        <v>1.855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106</v>
      </c>
      <c r="BL32" s="27" t="n">
        <v>2.06</v>
      </c>
      <c r="BM32" s="28" t="n">
        <v>0.485437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0.95</v>
      </c>
      <c r="BW32" s="24" t="n"/>
      <c r="BX32" s="30" t="n"/>
      <c r="BY32" s="27" t="n"/>
      <c r="BZ32" s="24" t="n"/>
      <c r="CA32" s="31" t="n"/>
      <c r="CB32" s="24" t="n"/>
      <c r="CC32" s="24" t="inlineStr">
        <is>
          <t>0.550556</t>
        </is>
      </c>
      <c r="CD32" s="24" t="inlineStr">
        <is>
          <t>-0.394811</t>
        </is>
      </c>
      <c r="CE32" s="24" t="inlineStr">
        <is>
          <t>1.0</t>
        </is>
      </c>
      <c r="CF32" s="24" t="inlineStr">
        <is>
          <t>1.0</t>
        </is>
      </c>
      <c r="CG32" s="24" t="inlineStr">
        <is>
          <t>4.0</t>
        </is>
      </c>
      <c r="CH32" s="24" t="n"/>
      <c r="CI32" s="24" t="n"/>
      <c r="CJ32" s="24" t="n"/>
      <c r="CK32" s="24" t="n"/>
      <c r="CL32" s="24" t="n"/>
      <c r="CM32" s="24" t="n"/>
    </row>
    <row r="33" ht="18" customHeight="1">
      <c r="A33" s="24" t="inlineStr">
        <is>
          <t>37ac9106f3c4406f</t>
        </is>
      </c>
      <c r="B33" s="24" t="inlineStr">
        <is>
          <t>2026-07-22T22:42:56Z</t>
        </is>
      </c>
      <c r="C33" s="24" t="inlineStr">
        <is>
          <t>2026-07-18T20:10Z</t>
        </is>
      </c>
      <c r="D33" s="24" t="inlineStr">
        <is>
          <t>401816162</t>
        </is>
      </c>
      <c r="E33" s="24" t="inlineStr">
        <is>
          <t>MLB</t>
        </is>
      </c>
      <c r="F33" s="24" t="inlineStr">
        <is>
          <t>Baltimore Orioles</t>
        </is>
      </c>
      <c r="G33" s="24" t="inlineStr">
        <is>
          <t>Houston Astros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-102</v>
      </c>
      <c r="M33" s="27" t="n">
        <v>1.980392</v>
      </c>
      <c r="N33" s="28" t="n">
        <v>0.50495</v>
      </c>
      <c r="O33" s="28" t="n">
        <v>0.581151</v>
      </c>
      <c r="P33" s="28" t="n">
        <v>0.05</v>
      </c>
      <c r="Q33" s="28" t="n">
        <v>0.076201</v>
      </c>
      <c r="R33" s="26" t="n">
        <v>49</v>
      </c>
      <c r="S33" s="29" t="n">
        <v>1.25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2</v>
      </c>
      <c r="Y33" s="25" t="n"/>
      <c r="Z33" s="26" t="n">
        <v>-110</v>
      </c>
      <c r="AA33" s="28" t="n">
        <v>0.523834</v>
      </c>
      <c r="AB33" s="28" t="n"/>
      <c r="AC33" s="30" t="n">
        <v>-1.25</v>
      </c>
      <c r="AD33" s="24" t="inlineStr">
        <is>
          <t>2026-07-22T23:44:22Z</t>
        </is>
      </c>
      <c r="AE33" s="31" t="n"/>
      <c r="AF33" s="31" t="n"/>
      <c r="AG33" s="24" t="n"/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-102</v>
      </c>
      <c r="BL33" s="27" t="n">
        <v>1.980392</v>
      </c>
      <c r="BM33" s="28" t="n">
        <v>0.50495</v>
      </c>
      <c r="BN33" s="28" t="n">
        <v>0.523834</v>
      </c>
      <c r="BO33" s="28" t="n">
        <v>0.523834</v>
      </c>
      <c r="BP33" s="25" t="n"/>
      <c r="BQ33" s="27" t="n">
        <v>1.909</v>
      </c>
      <c r="BR33" s="28" t="n"/>
      <c r="BS33" s="28" t="n"/>
      <c r="BT33" s="28" t="n"/>
      <c r="BU33" s="25" t="n"/>
      <c r="BV33" s="29" t="n">
        <v>0.5</v>
      </c>
      <c r="BW33" s="24" t="n"/>
      <c r="BX33" s="30" t="n"/>
      <c r="BY33" s="27" t="n"/>
      <c r="BZ33" s="24" t="n"/>
      <c r="CA33" s="31" t="n"/>
      <c r="CB33" s="24" t="n"/>
      <c r="CC33" s="24" t="inlineStr">
        <is>
          <t>0.519162</t>
        </is>
      </c>
      <c r="CD33" s="24" t="inlineStr">
        <is>
          <t>-0.217918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3.4</t>
        </is>
      </c>
      <c r="CH33" s="24" t="n"/>
      <c r="CI33" s="24" t="n"/>
      <c r="CJ33" s="24" t="n"/>
      <c r="CK33" s="24" t="n"/>
      <c r="CL33" s="24" t="n"/>
      <c r="CM33" s="24" t="n"/>
    </row>
    <row r="34" ht="18" customHeight="1">
      <c r="A34" s="24" t="inlineStr">
        <is>
          <t>05ebd1c015874fbf</t>
        </is>
      </c>
      <c r="B34" s="24" t="inlineStr">
        <is>
          <t>2026-07-22T22:42:56Z</t>
        </is>
      </c>
      <c r="C34" s="24" t="inlineStr">
        <is>
          <t>2026-07-19T02:05Z</t>
        </is>
      </c>
      <c r="D34" s="24" t="inlineStr">
        <is>
          <t>401816170</t>
        </is>
      </c>
      <c r="E34" s="24" t="inlineStr">
        <is>
          <t>MLB</t>
        </is>
      </c>
      <c r="F34" s="24" t="inlineStr">
        <is>
          <t>Washington Nationals</t>
        </is>
      </c>
      <c r="G34" s="24" t="inlineStr">
        <is>
          <t>Athletics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-100</v>
      </c>
      <c r="M34" s="27" t="n">
        <v>2</v>
      </c>
      <c r="N34" s="28" t="n">
        <v>0.5</v>
      </c>
      <c r="O34" s="28" t="n">
        <v>0.686028</v>
      </c>
      <c r="P34" s="28" t="n">
        <v>0.05</v>
      </c>
      <c r="Q34" s="28" t="n">
        <v>0.186028</v>
      </c>
      <c r="R34" s="26" t="n">
        <v>100</v>
      </c>
      <c r="S34" s="29" t="n">
        <v>2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15</v>
      </c>
      <c r="Y34" s="25" t="n"/>
      <c r="Z34" s="26" t="n"/>
      <c r="AA34" s="28" t="n"/>
      <c r="AB34" s="28" t="n"/>
      <c r="AC34" s="30" t="n">
        <v>2</v>
      </c>
      <c r="AD34" s="24" t="inlineStr">
        <is>
          <t>2026-07-22T23:40:14.758560Z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-100</v>
      </c>
      <c r="BL34" s="27" t="n">
        <v>2</v>
      </c>
      <c r="BM34" s="28" t="n">
        <v>0.5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0.87</v>
      </c>
      <c r="BW34" s="24" t="n"/>
      <c r="BX34" s="30" t="n"/>
      <c r="BY34" s="27" t="n"/>
      <c r="BZ34" s="24" t="n"/>
      <c r="CA34" s="31" t="n"/>
      <c r="CB34" s="24" t="n"/>
      <c r="CC34" s="24" t="inlineStr">
        <is>
          <t>0.492793</t>
        </is>
      </c>
      <c r="CD34" s="24" t="inlineStr">
        <is>
          <t>-3.898252</t>
        </is>
      </c>
      <c r="CE34" s="24" t="inlineStr">
        <is>
          <t>0.98</t>
        </is>
      </c>
      <c r="CF34" s="24" t="inlineStr">
        <is>
          <t>1.0</t>
        </is>
      </c>
      <c r="CG34" s="24" t="inlineStr">
        <is>
          <t>6.2</t>
        </is>
      </c>
      <c r="CH34" s="24" t="n"/>
      <c r="CI34" s="24" t="n"/>
      <c r="CJ34" s="24" t="n"/>
      <c r="CK34" s="24" t="n"/>
      <c r="CL34" s="24" t="n"/>
      <c r="CM34" s="24" t="n"/>
    </row>
    <row r="35" ht="18" customHeight="1">
      <c r="A35" s="24" t="inlineStr">
        <is>
          <t>3d36f9ab09ac4b54</t>
        </is>
      </c>
      <c r="B35" s="24" t="inlineStr">
        <is>
          <t>2026-07-22T22:42:56Z</t>
        </is>
      </c>
      <c r="C35" s="24" t="inlineStr">
        <is>
          <t>2026-07-19T16:15Z</t>
        </is>
      </c>
      <c r="D35" s="24" t="inlineStr">
        <is>
          <t>401816171</t>
        </is>
      </c>
      <c r="E35" s="24" t="inlineStr">
        <is>
          <t>MLB</t>
        </is>
      </c>
      <c r="F35" s="24" t="inlineStr">
        <is>
          <t>Chicago White Sox</t>
        </is>
      </c>
      <c r="G35" s="24" t="inlineStr">
        <is>
          <t>Toronto Blue Jays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-104</v>
      </c>
      <c r="M35" s="27" t="n">
        <v>1.961538</v>
      </c>
      <c r="N35" s="28" t="n">
        <v>0.509804</v>
      </c>
      <c r="O35" s="28" t="n">
        <v>0.617167</v>
      </c>
      <c r="P35" s="28" t="n">
        <v>0.05</v>
      </c>
      <c r="Q35" s="28" t="n">
        <v>0.107363</v>
      </c>
      <c r="R35" s="26" t="n">
        <v>67</v>
      </c>
      <c r="S35" s="29" t="n">
        <v>1.75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0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2026-07-22T23:40:15.987791Z</t>
        </is>
      </c>
      <c r="AE35" s="31" t="n"/>
      <c r="AF35" s="31" t="n"/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-104</v>
      </c>
      <c r="BL35" s="27" t="n">
        <v>1.961538</v>
      </c>
      <c r="BM35" s="28" t="n">
        <v>0.509804</v>
      </c>
      <c r="BN35" s="28" t="n">
        <v>0.523834</v>
      </c>
      <c r="BO35" s="28" t="n">
        <v>0.523834</v>
      </c>
      <c r="BP35" s="25" t="n"/>
      <c r="BQ35" s="27" t="n"/>
      <c r="BR35" s="28" t="n"/>
      <c r="BS35" s="28" t="n"/>
      <c r="BT35" s="28" t="n"/>
      <c r="BU35" s="25" t="n"/>
      <c r="BV35" s="29" t="n">
        <v>0.97</v>
      </c>
      <c r="BW35" s="24" t="n"/>
      <c r="BX35" s="30" t="n"/>
      <c r="BY35" s="27" t="n"/>
      <c r="BZ35" s="24" t="n"/>
      <c r="CA35" s="31" t="n"/>
      <c r="CB35" s="24" t="n"/>
      <c r="CC35" s="24" t="inlineStr">
        <is>
          <t>0.554047</t>
        </is>
      </c>
      <c r="CD35" s="24" t="inlineStr">
        <is>
          <t>-0.015246</t>
        </is>
      </c>
      <c r="CE35" s="24" t="inlineStr">
        <is>
          <t>1.0</t>
        </is>
      </c>
      <c r="CF35" s="24" t="inlineStr">
        <is>
          <t>1.0</t>
        </is>
      </c>
      <c r="CG35" s="24" t="inlineStr">
        <is>
          <t>4.2</t>
        </is>
      </c>
      <c r="CH35" s="24" t="n"/>
      <c r="CI35" s="24" t="n"/>
      <c r="CJ35" s="24" t="n"/>
      <c r="CK35" s="24" t="n"/>
      <c r="CL35" s="24" t="n"/>
      <c r="CM35" s="24" t="n"/>
    </row>
    <row r="36" ht="18" customHeight="1">
      <c r="A36" s="24" t="inlineStr">
        <is>
          <t>10458264b05f47d5</t>
        </is>
      </c>
      <c r="B36" s="24" t="inlineStr">
        <is>
          <t>2026-07-22T22:42:56Z</t>
        </is>
      </c>
      <c r="C36" s="24" t="inlineStr">
        <is>
          <t>2026-07-19T20:05Z</t>
        </is>
      </c>
      <c r="D36" s="24" t="inlineStr">
        <is>
          <t>401816185</t>
        </is>
      </c>
      <c r="E36" s="24" t="inlineStr">
        <is>
          <t>MLB</t>
        </is>
      </c>
      <c r="F36" s="24" t="inlineStr">
        <is>
          <t>Washington Nationals</t>
        </is>
      </c>
      <c r="G36" s="24" t="inlineStr">
        <is>
          <t>Athletics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135</v>
      </c>
      <c r="M36" s="27" t="n">
        <v>2.35</v>
      </c>
      <c r="N36" s="28" t="n">
        <v>0.425532</v>
      </c>
      <c r="O36" s="28" t="n">
        <v>0.583901</v>
      </c>
      <c r="P36" s="28" t="n">
        <v>0.05</v>
      </c>
      <c r="Q36" s="28" t="n">
        <v>0.158369</v>
      </c>
      <c r="R36" s="26" t="n">
        <v>50</v>
      </c>
      <c r="S36" s="29" t="n">
        <v>1.25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25" t="n"/>
      <c r="Z36" s="26" t="n">
        <v>-110</v>
      </c>
      <c r="AA36" s="28" t="n">
        <v>0.523834</v>
      </c>
      <c r="AB36" s="28" t="n"/>
      <c r="AC36" s="30" t="n">
        <v>-1.25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135</v>
      </c>
      <c r="BL36" s="27" t="n">
        <v>2.35</v>
      </c>
      <c r="BM36" s="28" t="n">
        <v>0.425532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/>
      <c r="BY36" s="27" t="n"/>
      <c r="BZ36" s="24" t="n"/>
      <c r="CA36" s="31" t="n"/>
      <c r="CB36" s="24" t="n"/>
      <c r="CC36" s="24" t="inlineStr">
        <is>
          <t>0.508642</t>
        </is>
      </c>
      <c r="CD36" s="24" t="inlineStr">
        <is>
          <t>-0.783088</t>
        </is>
      </c>
      <c r="CE36" s="24" t="inlineStr">
        <is>
          <t>0.98</t>
        </is>
      </c>
      <c r="CF36" s="24" t="inlineStr">
        <is>
          <t>1.0</t>
        </is>
      </c>
      <c r="CG36" s="24" t="inlineStr">
        <is>
          <t>3.0</t>
        </is>
      </c>
      <c r="CH36" s="24" t="n"/>
      <c r="CI36" s="24" t="n"/>
      <c r="CJ36" s="24" t="n"/>
      <c r="CK36" s="24" t="n"/>
      <c r="CL36" s="24" t="n"/>
      <c r="CM36" s="24" t="n"/>
    </row>
    <row r="37" ht="18" customHeight="1">
      <c r="A37" s="24" t="inlineStr">
        <is>
          <t>7dc982a529364398</t>
        </is>
      </c>
      <c r="B37" s="24" t="inlineStr">
        <is>
          <t>2026-07-22T22:42:56Z</t>
        </is>
      </c>
      <c r="C37" s="24" t="inlineStr">
        <is>
          <t>2026-07-20T23:40Z</t>
        </is>
      </c>
      <c r="D37" s="24" t="inlineStr">
        <is>
          <t>401816196</t>
        </is>
      </c>
      <c r="E37" s="24" t="inlineStr">
        <is>
          <t>MLB</t>
        </is>
      </c>
      <c r="F37" s="24" t="inlineStr">
        <is>
          <t>San Francisco Giants</t>
        </is>
      </c>
      <c r="G37" s="24" t="inlineStr">
        <is>
          <t>Kansas City Royals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-117</v>
      </c>
      <c r="M37" s="27" t="n">
        <v>1.854701</v>
      </c>
      <c r="N37" s="28" t="n">
        <v>0.539171</v>
      </c>
      <c r="O37" s="28" t="n">
        <v>0.595328</v>
      </c>
      <c r="P37" s="28" t="n">
        <v>0.05</v>
      </c>
      <c r="Q37" s="28" t="n">
        <v>0.056157</v>
      </c>
      <c r="R37" s="26" t="n">
        <v>56</v>
      </c>
      <c r="S37" s="29" t="n">
        <v>1.5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25" t="n"/>
      <c r="Z37" s="26" t="n">
        <v>-110</v>
      </c>
      <c r="AA37" s="28" t="n">
        <v>0.523834</v>
      </c>
      <c r="AB37" s="28" t="n"/>
      <c r="AC37" s="30" t="n">
        <v>1.2821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-117</v>
      </c>
      <c r="BL37" s="27" t="n">
        <v>1.854701</v>
      </c>
      <c r="BM37" s="28" t="n">
        <v>0.539171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/>
      <c r="BY37" s="27" t="n"/>
      <c r="BZ37" s="24" t="n"/>
      <c r="CA37" s="31" t="n"/>
      <c r="CB37" s="24" t="n"/>
      <c r="CC37" s="24" t="inlineStr">
        <is>
          <t>0.516421</t>
        </is>
      </c>
      <c r="CD37" s="24" t="inlineStr">
        <is>
          <t>0.102087</t>
        </is>
      </c>
      <c r="CE37" s="24" t="inlineStr">
        <is>
          <t>1.03</t>
        </is>
      </c>
      <c r="CF37" s="24" t="inlineStr">
        <is>
          <t>1.0111</t>
        </is>
      </c>
      <c r="CG37" s="24" t="inlineStr">
        <is>
          <t>5.4</t>
        </is>
      </c>
      <c r="CH37" s="24" t="n"/>
      <c r="CI37" s="24" t="n"/>
      <c r="CJ37" s="24" t="n"/>
      <c r="CK37" s="24" t="n"/>
      <c r="CL37" s="24" t="n"/>
      <c r="CM37" s="24" t="n"/>
    </row>
    <row r="38" ht="18" customHeight="1">
      <c r="A38" s="24" t="inlineStr">
        <is>
          <t>b1c503bf376848b6</t>
        </is>
      </c>
      <c r="B38" s="24" t="inlineStr">
        <is>
          <t>2026-07-22T22:42:56Z</t>
        </is>
      </c>
      <c r="C38" s="24" t="inlineStr">
        <is>
          <t>2026-07-21T00:05Z</t>
        </is>
      </c>
      <c r="D38" s="24" t="inlineStr">
        <is>
          <t>401816192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Texas Rangers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-160</v>
      </c>
      <c r="M38" s="27" t="n">
        <v>1.625</v>
      </c>
      <c r="N38" s="28" t="n">
        <v>0.615385</v>
      </c>
      <c r="O38" s="28" t="n">
        <v>0.6185310000000001</v>
      </c>
      <c r="P38" s="28" t="n">
        <v>0.05</v>
      </c>
      <c r="Q38" s="28" t="n">
        <v>0.003146</v>
      </c>
      <c r="R38" s="26" t="n">
        <v>67</v>
      </c>
      <c r="S38" s="29" t="n">
        <v>1.75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10</v>
      </c>
      <c r="Y38" s="25" t="n"/>
      <c r="Z38" s="26" t="n">
        <v>-110</v>
      </c>
      <c r="AA38" s="28" t="n">
        <v>0.523834</v>
      </c>
      <c r="AB38" s="28" t="n"/>
      <c r="AC38" s="30" t="n">
        <v>1.0938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-160</v>
      </c>
      <c r="BL38" s="27" t="n">
        <v>1.625</v>
      </c>
      <c r="BM38" s="28" t="n">
        <v>0.615385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0.59</v>
      </c>
      <c r="BW38" s="24" t="n"/>
      <c r="BX38" s="30" t="n"/>
      <c r="BY38" s="27" t="n"/>
      <c r="BZ38" s="24" t="n"/>
      <c r="CA38" s="31" t="n"/>
      <c r="CB38" s="24" t="n"/>
      <c r="CC38" s="24" t="inlineStr">
        <is>
          <t>0.524777</t>
        </is>
      </c>
      <c r="CD38" s="24" t="inlineStr">
        <is>
          <t>0.938429</t>
        </is>
      </c>
      <c r="CE38" s="24" t="inlineStr">
        <is>
          <t>1.02</t>
        </is>
      </c>
      <c r="CF38" s="24" t="inlineStr">
        <is>
          <t>1.0</t>
        </is>
      </c>
      <c r="CG38" s="24" t="inlineStr">
        <is>
          <t>7.4</t>
        </is>
      </c>
      <c r="CH38" s="24" t="n"/>
      <c r="CI38" s="24" t="n"/>
      <c r="CJ38" s="24" t="n"/>
      <c r="CK38" s="24" t="n"/>
      <c r="CL38" s="24" t="n"/>
      <c r="CM38" s="24" t="n"/>
    </row>
    <row r="39" ht="18" customHeight="1">
      <c r="A39" s="24" t="inlineStr">
        <is>
          <t>0ff10ba8507a4354</t>
        </is>
      </c>
      <c r="B39" s="24" t="inlineStr">
        <is>
          <t>2026-07-22T22:42:56Z</t>
        </is>
      </c>
      <c r="C39" s="24" t="inlineStr">
        <is>
          <t>2026-07-21T23:40Z</t>
        </is>
      </c>
      <c r="D39" s="24" t="inlineStr">
        <is>
          <t>401816211</t>
        </is>
      </c>
      <c r="E39" s="24" t="inlineStr">
        <is>
          <t>MLB</t>
        </is>
      </c>
      <c r="F39" s="24" t="inlineStr">
        <is>
          <t>San Francisco Giants</t>
        </is>
      </c>
      <c r="G39" s="24" t="inlineStr">
        <is>
          <t>Kansas City Royals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0.581277</v>
      </c>
      <c r="P39" s="28" t="n">
        <v>0.05</v>
      </c>
      <c r="Q39" s="28" t="n">
        <v>0.086227</v>
      </c>
      <c r="R39" s="26" t="n">
        <v>49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3</v>
      </c>
      <c r="Y39" s="25" t="n"/>
      <c r="Z39" s="26" t="n">
        <v>-110</v>
      </c>
      <c r="AA39" s="28" t="n">
        <v>0.523834</v>
      </c>
      <c r="AB39" s="28" t="n"/>
      <c r="AC39" s="30" t="n">
        <v>1.275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102</v>
      </c>
      <c r="BL39" s="27" t="n">
        <v>2.02</v>
      </c>
      <c r="BM39" s="28" t="n">
        <v>0.49505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/>
      <c r="BY39" s="27" t="n"/>
      <c r="BZ39" s="24" t="n"/>
      <c r="CA39" s="31" t="n"/>
      <c r="CB39" s="24" t="n"/>
      <c r="CC39" s="24" t="inlineStr">
        <is>
          <t>0.520255</t>
        </is>
      </c>
      <c r="CD39" s="24" t="inlineStr">
        <is>
          <t>0.154719</t>
        </is>
      </c>
      <c r="CE39" s="24" t="inlineStr">
        <is>
          <t>1.03</t>
        </is>
      </c>
      <c r="CF39" s="24" t="inlineStr">
        <is>
          <t>1.0111</t>
        </is>
      </c>
      <c r="CG39" s="24" t="inlineStr">
        <is>
          <t>4.4</t>
        </is>
      </c>
      <c r="CH39" s="24" t="n"/>
      <c r="CI39" s="24" t="n"/>
      <c r="CJ39" s="24" t="n"/>
      <c r="CK39" s="24" t="n"/>
      <c r="CL39" s="24" t="n"/>
      <c r="CM39" s="24" t="n"/>
    </row>
    <row r="40" ht="18" customHeight="1">
      <c r="A40" s="24" t="inlineStr">
        <is>
          <t>f43802bcd96a416d</t>
        </is>
      </c>
      <c r="B40" s="24" t="inlineStr">
        <is>
          <t>2026-07-22T22:42:56Z</t>
        </is>
      </c>
      <c r="C40" s="24" t="inlineStr">
        <is>
          <t>2026-07-22T18:10Z</t>
        </is>
      </c>
      <c r="D40" s="24" t="inlineStr">
        <is>
          <t>401816226</t>
        </is>
      </c>
      <c r="E40" s="24" t="inlineStr">
        <is>
          <t>MLB</t>
        </is>
      </c>
      <c r="F40" s="24" t="inlineStr">
        <is>
          <t>San Francisco Giants</t>
        </is>
      </c>
      <c r="G40" s="24" t="inlineStr">
        <is>
          <t>Kansas City Royals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115</v>
      </c>
      <c r="M40" s="27" t="n">
        <v>2.15</v>
      </c>
      <c r="N40" s="28" t="n">
        <v>0.465116</v>
      </c>
      <c r="O40" s="28" t="n">
        <v>0.581277</v>
      </c>
      <c r="P40" s="28" t="n">
        <v>0.05</v>
      </c>
      <c r="Q40" s="28" t="n">
        <v>0.116161</v>
      </c>
      <c r="R40" s="26" t="n">
        <v>49</v>
      </c>
      <c r="S40" s="29" t="n">
        <v>1.25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4</v>
      </c>
      <c r="X40" s="26" t="n">
        <v>5</v>
      </c>
      <c r="Y40" s="25" t="n"/>
      <c r="Z40" s="26" t="n"/>
      <c r="AA40" s="28" t="n"/>
      <c r="AB40" s="28" t="n"/>
      <c r="AC40" s="30" t="n">
        <v>1.4375</v>
      </c>
      <c r="AD40" s="24" t="inlineStr">
        <is>
          <t>2026-07-23T04:43:15.189950Z</t>
        </is>
      </c>
      <c r="AE40" s="31" t="n"/>
      <c r="AF40" s="31" t="n"/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115</v>
      </c>
      <c r="BL40" s="27" t="n">
        <v>2.15</v>
      </c>
      <c r="BM40" s="28" t="n">
        <v>0.465116</v>
      </c>
      <c r="BN40" s="28" t="n">
        <v>0.523834</v>
      </c>
      <c r="BO40" s="28" t="n">
        <v>0.523834</v>
      </c>
      <c r="BP40" s="25" t="n"/>
      <c r="BQ40" s="27" t="n"/>
      <c r="BR40" s="28" t="n"/>
      <c r="BS40" s="28" t="n"/>
      <c r="BT40" s="28" t="n"/>
      <c r="BU40" s="25" t="n"/>
      <c r="BV40" s="29" t="n">
        <v>0.5</v>
      </c>
      <c r="BW40" s="24" t="n"/>
      <c r="BX40" s="30" t="n"/>
      <c r="BY40" s="27" t="n"/>
      <c r="BZ40" s="24" t="n"/>
      <c r="CA40" s="31" t="n"/>
      <c r="CB40" s="24" t="n"/>
      <c r="CC40" s="24" t="inlineStr">
        <is>
          <t>0.520255</t>
        </is>
      </c>
      <c r="CD40" s="24" t="inlineStr">
        <is>
          <t>0.154719</t>
        </is>
      </c>
      <c r="CE40" s="24" t="inlineStr">
        <is>
          <t>1.03</t>
        </is>
      </c>
      <c r="CF40" s="24" t="inlineStr">
        <is>
          <t>1.0111</t>
        </is>
      </c>
      <c r="CG40" s="24" t="inlineStr">
        <is>
          <t>4.4</t>
        </is>
      </c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44151cf5c911413f</t>
        </is>
      </c>
      <c r="B41" s="24" t="inlineStr">
        <is>
          <t>2026-07-23T07:19:40.966816Z</t>
        </is>
      </c>
      <c r="C41" s="24" t="inlineStr">
        <is>
          <t>2026-07-23T09:00:00Z</t>
        </is>
      </c>
      <c r="D41" s="24" t="inlineStr">
        <is>
          <t>56810</t>
        </is>
      </c>
      <c r="E41" s="24" t="inlineStr">
        <is>
          <t>LOL</t>
        </is>
      </c>
      <c r="F41" s="24" t="inlineStr">
        <is>
          <t>Anyone's Legend</t>
        </is>
      </c>
      <c r="G41" s="24" t="inlineStr">
        <is>
          <t>JD Gaming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104</v>
      </c>
      <c r="M41" s="27" t="n">
        <v>2.04</v>
      </c>
      <c r="N41" s="28" t="n">
        <v>0.490196</v>
      </c>
      <c r="O41" s="28" t="n">
        <v>0.529047</v>
      </c>
      <c r="P41" s="28" t="n"/>
      <c r="Q41" s="28" t="n">
        <v>0.038851</v>
      </c>
      <c r="R41" s="26" t="n">
        <v>39</v>
      </c>
      <c r="S41" s="29" t="n">
        <v>0</v>
      </c>
      <c r="T41" s="24" t="inlineStr">
        <is>
          <t>lol-tiered-elo-v3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0.4900 (market_slug=aec-lol-jdg-al-2026-07-23).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Anyone's Legend</t>
        </is>
      </c>
      <c r="AQ41" s="24" t="inlineStr">
        <is>
          <t>Anyone's Legend</t>
        </is>
      </c>
      <c r="AR41" s="24" t="inlineStr">
        <is>
          <t>Anyone's Legend</t>
        </is>
      </c>
      <c r="AS41" s="24" t="inlineStr">
        <is>
          <t>JD Gaming</t>
        </is>
      </c>
      <c r="AT41" s="24" t="inlineStr">
        <is>
          <t>JD Gaming</t>
        </is>
      </c>
      <c r="AU41" s="24" t="inlineStr">
        <is>
          <t>JD Gaming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dbc38ecdb090b63690db810d40eb29d0a69435c83dfbf24eb00d22aa42c177ae</t>
        </is>
      </c>
      <c r="BB41" s="24" t="inlineStr">
        <is>
          <t>neutral_elo</t>
        </is>
      </c>
      <c r="BC41" s="24" t="inlineStr">
        <is>
          <t>lol-tiered-elo-v3</t>
        </is>
      </c>
      <c r="BD41" s="24" t="inlineStr">
        <is>
          <t>dbc38ecdb090b63690db810d40eb29d0a69435c83dfbf24eb00d22aa42c177ae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lol-tiered-elo-v3</t>
        </is>
      </c>
      <c r="BH41" s="24" t="inlineStr">
        <is>
          <t>2026-07-23T07:19:09.188062Z</t>
        </is>
      </c>
      <c r="BI41" s="24" t="inlineStr">
        <is>
          <t>["same_event","same_team_same_day","same_league_same_day"]</t>
        </is>
      </c>
      <c r="BJ41" s="25" t="n"/>
      <c r="BK41" s="26" t="n">
        <v>104</v>
      </c>
      <c r="BL41" s="27" t="n">
        <v>2.04</v>
      </c>
      <c r="BM41" s="28" t="n">
        <v>0.490196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d6b9048395ba4f70</t>
        </is>
      </c>
      <c r="B42" s="24" t="inlineStr">
        <is>
          <t>2026-07-23T07:19:40.966816Z</t>
        </is>
      </c>
      <c r="C42" s="24" t="inlineStr">
        <is>
          <t>2026-07-23T16:00:00Z</t>
        </is>
      </c>
      <c r="D42" s="24" t="inlineStr">
        <is>
          <t>57023</t>
        </is>
      </c>
      <c r="E42" s="24" t="inlineStr">
        <is>
          <t>LOL</t>
        </is>
      </c>
      <c r="F42" s="24" t="inlineStr">
        <is>
          <t>Esprit Shōnen</t>
        </is>
      </c>
      <c r="G42" s="24" t="inlineStr">
        <is>
          <t>Skillcamp Esport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0.598228</v>
      </c>
      <c r="P42" s="28" t="n"/>
      <c r="Q42" s="28" t="n">
        <v>0.188392</v>
      </c>
      <c r="R42" s="26" t="n">
        <v>100</v>
      </c>
      <c r="S42" s="29" t="n">
        <v>0</v>
      </c>
      <c r="T42" s="24" t="inlineStr">
        <is>
          <t>lol-tiered-elo-v3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0.4100 (market_slug=aec-lol-sc-ess-2026-07-23).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NO_CALL_LARGE_DISAGREEMENT_REVIEW</t>
        </is>
      </c>
      <c r="AP42" s="24" t="inlineStr">
        <is>
          <t>Esprit Shōnen</t>
        </is>
      </c>
      <c r="AQ42" s="24" t="inlineStr">
        <is>
          <t>Esprit Shōnen</t>
        </is>
      </c>
      <c r="AR42" s="24" t="inlineStr">
        <is>
          <t>Esprit Shōnen</t>
        </is>
      </c>
      <c r="AS42" s="24" t="inlineStr">
        <is>
          <t>Skillcamp Esport</t>
        </is>
      </c>
      <c r="AT42" s="24" t="inlineStr">
        <is>
          <t>Skillcamp Esport</t>
        </is>
      </c>
      <c r="AU42" s="24" t="inlineStr">
        <is>
          <t>Skillcamp Esport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dbc38ecdb090b63690db810d40eb29d0a69435c83dfbf24eb00d22aa42c177ae</t>
        </is>
      </c>
      <c r="BB42" s="24" t="inlineStr">
        <is>
          <t>neutral_elo</t>
        </is>
      </c>
      <c r="BC42" s="24" t="inlineStr">
        <is>
          <t>lol-tiered-elo-v3</t>
        </is>
      </c>
      <c r="BD42" s="24" t="inlineStr">
        <is>
          <t>dbc38ecdb090b63690db810d40eb29d0a69435c83dfbf24eb00d22aa42c177ae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lol-tiered-elo-v3</t>
        </is>
      </c>
      <c r="BH42" s="24" t="inlineStr">
        <is>
          <t>2026-07-23T07:19:11.879111Z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1d45f066aa5e4ee0</t>
        </is>
      </c>
      <c r="B43" s="24" t="inlineStr">
        <is>
          <t>2026-07-23T07:19:40.966816Z</t>
        </is>
      </c>
      <c r="C43" s="24" t="inlineStr">
        <is>
          <t>2026-07-23T17:00:00Z</t>
        </is>
      </c>
      <c r="D43" s="24" t="inlineStr">
        <is>
          <t>57086</t>
        </is>
      </c>
      <c r="E43" s="24" t="inlineStr">
        <is>
          <t>LOL</t>
        </is>
      </c>
      <c r="F43" s="24" t="inlineStr">
        <is>
          <t>Ici Japon Corp. Esport</t>
        </is>
      </c>
      <c r="G43" s="24" t="inlineStr">
        <is>
          <t>Joblife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186</v>
      </c>
      <c r="M43" s="27" t="n">
        <v>2.86</v>
      </c>
      <c r="N43" s="28" t="n">
        <v>0.34965</v>
      </c>
      <c r="O43" s="28" t="n">
        <v>0.549847</v>
      </c>
      <c r="P43" s="28" t="n"/>
      <c r="Q43" s="28" t="n">
        <v>0.200197</v>
      </c>
      <c r="R43" s="26" t="n">
        <v>100</v>
      </c>
      <c r="S43" s="29" t="n">
        <v>0</v>
      </c>
      <c r="T43" s="24" t="inlineStr">
        <is>
          <t>lol-tiered-elo-v3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0.3500 (market_slug=aec-lol-jl-ijc-2026-07-23).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NO_CALL_LARGE_DISAGREEMENT_REVIEW</t>
        </is>
      </c>
      <c r="AP43" s="24" t="inlineStr">
        <is>
          <t>Ici Japon Corp. Esport</t>
        </is>
      </c>
      <c r="AQ43" s="24" t="inlineStr">
        <is>
          <t>Ici Japon Corp. Esport</t>
        </is>
      </c>
      <c r="AR43" s="24" t="inlineStr">
        <is>
          <t>Ici Japon Corp. Esport</t>
        </is>
      </c>
      <c r="AS43" s="24" t="inlineStr">
        <is>
          <t>Joblife</t>
        </is>
      </c>
      <c r="AT43" s="24" t="inlineStr">
        <is>
          <t>Joblife</t>
        </is>
      </c>
      <c r="AU43" s="24" t="inlineStr">
        <is>
          <t>Joblife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dbc38ecdb090b63690db810d40eb29d0a69435c83dfbf24eb00d22aa42c177ae</t>
        </is>
      </c>
      <c r="BB43" s="24" t="inlineStr">
        <is>
          <t>neutral_elo</t>
        </is>
      </c>
      <c r="BC43" s="24" t="inlineStr">
        <is>
          <t>lol-tiered-elo-v3</t>
        </is>
      </c>
      <c r="BD43" s="24" t="inlineStr">
        <is>
          <t>dbc38ecdb090b63690db810d40eb29d0a69435c83dfbf24eb00d22aa42c177ae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lol-tiered-elo-v3</t>
        </is>
      </c>
      <c r="BH43" s="24" t="inlineStr">
        <is>
          <t>2026-07-23T07:19:15.348357Z</t>
        </is>
      </c>
      <c r="BI43" s="24" t="inlineStr">
        <is>
          <t>["same_event","same_team_same_day","same_league_same_day"]</t>
        </is>
      </c>
      <c r="BJ43" s="25" t="n"/>
      <c r="BK43" s="26" t="n">
        <v>186</v>
      </c>
      <c r="BL43" s="27" t="n">
        <v>2.86</v>
      </c>
      <c r="BM43" s="28" t="n">
        <v>0.34965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9775e1763adf4911</t>
        </is>
      </c>
      <c r="B44" s="24" t="inlineStr">
        <is>
          <t>2026-07-23T07:19:40.966816Z</t>
        </is>
      </c>
      <c r="C44" s="24" t="inlineStr">
        <is>
          <t>2026-07-23T17:00:00Z</t>
        </is>
      </c>
      <c r="D44" s="24" t="inlineStr">
        <is>
          <t>57088</t>
        </is>
      </c>
      <c r="E44" s="24" t="inlineStr">
        <is>
          <t>LOL</t>
        </is>
      </c>
      <c r="F44" s="24" t="inlineStr">
        <is>
          <t>Dynasty</t>
        </is>
      </c>
      <c r="G44" s="24" t="inlineStr">
        <is>
          <t>Myth Esports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203</v>
      </c>
      <c r="M44" s="27" t="n">
        <v>3.03</v>
      </c>
      <c r="N44" s="28" t="n">
        <v>0.330033</v>
      </c>
      <c r="O44" s="28" t="n">
        <v>0.501096</v>
      </c>
      <c r="P44" s="28" t="n"/>
      <c r="Q44" s="28" t="n">
        <v>0.171063</v>
      </c>
      <c r="R44" s="26" t="n">
        <v>100</v>
      </c>
      <c r="S44" s="29" t="n">
        <v>0</v>
      </c>
      <c r="T44" s="24" t="inlineStr">
        <is>
          <t>lol-tiered-elo-v3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0.3300 (market_slug=aec-lol-myth-dyn-2026-07-23).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NO_CALL_LARGE_DISAGREEMENT_REVIEW</t>
        </is>
      </c>
      <c r="AP44" s="24" t="inlineStr">
        <is>
          <t>Dynasty</t>
        </is>
      </c>
      <c r="AQ44" s="24" t="inlineStr">
        <is>
          <t>Dynasty</t>
        </is>
      </c>
      <c r="AR44" s="24" t="inlineStr">
        <is>
          <t>Dynasty</t>
        </is>
      </c>
      <c r="AS44" s="24" t="inlineStr">
        <is>
          <t>Myth Esports</t>
        </is>
      </c>
      <c r="AT44" s="24" t="inlineStr">
        <is>
          <t>Myth Esports</t>
        </is>
      </c>
      <c r="AU44" s="24" t="inlineStr">
        <is>
          <t>Myth Esports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dbc38ecdb090b63690db810d40eb29d0a69435c83dfbf24eb00d22aa42c177ae</t>
        </is>
      </c>
      <c r="BB44" s="24" t="inlineStr">
        <is>
          <t>neutral_elo</t>
        </is>
      </c>
      <c r="BC44" s="24" t="inlineStr">
        <is>
          <t>lol-tiered-elo-v3</t>
        </is>
      </c>
      <c r="BD44" s="24" t="inlineStr">
        <is>
          <t>dbc38ecdb090b63690db810d40eb29d0a69435c83dfbf24eb00d22aa42c177ae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lol-tiered-elo-v3</t>
        </is>
      </c>
      <c r="BH44" s="24" t="inlineStr">
        <is>
          <t>2026-07-23T07:19:17.018506Z</t>
        </is>
      </c>
      <c r="BI44" s="24" t="inlineStr">
        <is>
          <t>["same_event","same_team_same_day","same_league_same_day"]</t>
        </is>
      </c>
      <c r="BJ44" s="25" t="n"/>
      <c r="BK44" s="26" t="n">
        <v>203</v>
      </c>
      <c r="BL44" s="27" t="n">
        <v>3.03</v>
      </c>
      <c r="BM44" s="28" t="n">
        <v>0.330033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4abf5cf067fa41ac</t>
        </is>
      </c>
      <c r="B45" s="24" t="inlineStr">
        <is>
          <t>2026-07-23T07:20:39.530092Z</t>
        </is>
      </c>
      <c r="C45" s="24" t="inlineStr">
        <is>
          <t>2026-07-23T08:00:00Z</t>
        </is>
      </c>
      <c r="D45" s="24" t="inlineStr">
        <is>
          <t>59672</t>
        </is>
      </c>
      <c r="E45" s="24" t="inlineStr">
        <is>
          <t>CS2</t>
        </is>
      </c>
      <c r="F45" s="24" t="inlineStr">
        <is>
          <t>Entropy</t>
        </is>
      </c>
      <c r="G45" s="24" t="inlineStr">
        <is>
          <t>Rune Eaters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0.517948</v>
      </c>
      <c r="P45" s="28" t="n"/>
      <c r="Q45" s="28" t="n">
        <v>0.057119</v>
      </c>
      <c r="R45" s="26" t="n">
        <v>49</v>
      </c>
      <c r="S45" s="29" t="n">
        <v>0</v>
      </c>
      <c r="T45" s="24" t="inlineStr">
        <is>
          <t>cs2-tiered-elo-v3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0.4600 (market_slug=aec-cs2-re-ent-2026-07-23).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Entropy</t>
        </is>
      </c>
      <c r="AQ45" s="24" t="inlineStr">
        <is>
          <t>Entropy</t>
        </is>
      </c>
      <c r="AR45" s="24" t="inlineStr">
        <is>
          <t>Entropy</t>
        </is>
      </c>
      <c r="AS45" s="24" t="inlineStr">
        <is>
          <t>Rune Eaters</t>
        </is>
      </c>
      <c r="AT45" s="24" t="inlineStr">
        <is>
          <t>Rune Eaters</t>
        </is>
      </c>
      <c r="AU45" s="24" t="inlineStr">
        <is>
          <t>Rune Eaters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48424b79d75fc1173c9c465d95feb6fc041a2ccfbc64455058b3f74905ce28d5</t>
        </is>
      </c>
      <c r="BB45" s="24" t="inlineStr">
        <is>
          <t>neutral_elo</t>
        </is>
      </c>
      <c r="BC45" s="24" t="inlineStr">
        <is>
          <t>cs2-tiered-elo-v3</t>
        </is>
      </c>
      <c r="BD45" s="24" t="inlineStr">
        <is>
          <t>48424b79d75fc1173c9c465d95feb6fc041a2ccfbc64455058b3f74905ce28d5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cs2-tiered-elo-v3</t>
        </is>
      </c>
      <c r="BH45" s="24" t="inlineStr">
        <is>
          <t>2026-07-23T07:19:53.300087Z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c06a28256d0a4a72</t>
        </is>
      </c>
      <c r="B46" s="24" t="inlineStr">
        <is>
          <t>2026-07-23T07:20:39.530092Z</t>
        </is>
      </c>
      <c r="C46" s="24" t="inlineStr">
        <is>
          <t>2026-07-23T11:00:00Z</t>
        </is>
      </c>
      <c r="D46" s="24" t="inlineStr">
        <is>
          <t>56870</t>
        </is>
      </c>
      <c r="E46" s="24" t="inlineStr">
        <is>
          <t>CS2</t>
        </is>
      </c>
      <c r="F46" s="24" t="inlineStr">
        <is>
          <t>Benched gods</t>
        </is>
      </c>
      <c r="G46" s="24" t="inlineStr">
        <is>
          <t>NEW VISION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-122</v>
      </c>
      <c r="M46" s="27" t="n">
        <v>1.819672</v>
      </c>
      <c r="N46" s="28" t="n">
        <v>0.54955</v>
      </c>
      <c r="O46" s="28" t="n">
        <v>0.682691</v>
      </c>
      <c r="P46" s="28" t="n"/>
      <c r="Q46" s="28" t="n">
        <v>0.133141</v>
      </c>
      <c r="R46" s="26" t="n">
        <v>100</v>
      </c>
      <c r="S46" s="29" t="n">
        <v>0</v>
      </c>
      <c r="T46" s="24" t="inlineStr">
        <is>
          <t>cs2-tiered-elo-v3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0.5500 (market_slug=aec-cs2-nve-bge-2026-07-23).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Benched gods</t>
        </is>
      </c>
      <c r="AQ46" s="24" t="inlineStr">
        <is>
          <t>Benched gods</t>
        </is>
      </c>
      <c r="AR46" s="24" t="inlineStr">
        <is>
          <t>Benched gods</t>
        </is>
      </c>
      <c r="AS46" s="24" t="inlineStr">
        <is>
          <t>NEW VISION</t>
        </is>
      </c>
      <c r="AT46" s="24" t="inlineStr">
        <is>
          <t>NEW VISION</t>
        </is>
      </c>
      <c r="AU46" s="24" t="inlineStr">
        <is>
          <t>NEW VISION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48424b79d75fc1173c9c465d95feb6fc041a2ccfbc64455058b3f74905ce28d5</t>
        </is>
      </c>
      <c r="BB46" s="24" t="inlineStr">
        <is>
          <t>neutral_elo</t>
        </is>
      </c>
      <c r="BC46" s="24" t="inlineStr">
        <is>
          <t>cs2-tiered-elo-v3</t>
        </is>
      </c>
      <c r="BD46" s="24" t="inlineStr">
        <is>
          <t>48424b79d75fc1173c9c465d95feb6fc041a2ccfbc64455058b3f74905ce28d5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cs2-tiered-elo-v3</t>
        </is>
      </c>
      <c r="BH46" s="24" t="inlineStr">
        <is>
          <t>2026-07-23T07:19:56.117565Z</t>
        </is>
      </c>
      <c r="BI46" s="24" t="inlineStr">
        <is>
          <t>["same_event","same_team_same_day","same_league_same_day"]</t>
        </is>
      </c>
      <c r="BJ46" s="25" t="n"/>
      <c r="BK46" s="26" t="n">
        <v>-122</v>
      </c>
      <c r="BL46" s="27" t="n">
        <v>1.819672</v>
      </c>
      <c r="BM46" s="28" t="n">
        <v>0.54955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48b186b9b9b44f05</t>
        </is>
      </c>
      <c r="B47" s="24" t="inlineStr">
        <is>
          <t>2026-07-23T07:20:39.530092Z</t>
        </is>
      </c>
      <c r="C47" s="24" t="inlineStr">
        <is>
          <t>2026-07-23T11:00:00Z</t>
        </is>
      </c>
      <c r="D47" s="24" t="inlineStr">
        <is>
          <t>59036</t>
        </is>
      </c>
      <c r="E47" s="24" t="inlineStr">
        <is>
          <t>CS2</t>
        </is>
      </c>
      <c r="F47" s="24" t="inlineStr">
        <is>
          <t>ex-RUSTEC</t>
        </is>
      </c>
      <c r="G47" s="24" t="inlineStr">
        <is>
          <t>Lavked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0.692685</v>
      </c>
      <c r="P47" s="28" t="n"/>
      <c r="Q47" s="28" t="n">
        <v>0.223201</v>
      </c>
      <c r="R47" s="26" t="n">
        <v>100</v>
      </c>
      <c r="S47" s="29" t="n">
        <v>0</v>
      </c>
      <c r="T47" s="24" t="inlineStr">
        <is>
          <t>cs2-tiered-elo-v3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0.4700 (market_slug=aec-cs2-lav-erx-2026-07-23).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NO_CALL_LARGE_DISAGREEMENT_REVIEW</t>
        </is>
      </c>
      <c r="AP47" s="24" t="inlineStr">
        <is>
          <t>ex-RUSTEC</t>
        </is>
      </c>
      <c r="AQ47" s="24" t="inlineStr">
        <is>
          <t>ex-RUSTEC</t>
        </is>
      </c>
      <c r="AR47" s="24" t="inlineStr">
        <is>
          <t>ex-RUSTEC</t>
        </is>
      </c>
      <c r="AS47" s="24" t="inlineStr">
        <is>
          <t>Lavked</t>
        </is>
      </c>
      <c r="AT47" s="24" t="inlineStr">
        <is>
          <t>Lavked</t>
        </is>
      </c>
      <c r="AU47" s="24" t="inlineStr">
        <is>
          <t>Lavked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48424b79d75fc1173c9c465d95feb6fc041a2ccfbc64455058b3f74905ce28d5</t>
        </is>
      </c>
      <c r="BB47" s="24" t="inlineStr">
        <is>
          <t>neutral_elo</t>
        </is>
      </c>
      <c r="BC47" s="24" t="inlineStr">
        <is>
          <t>cs2-tiered-elo-v3</t>
        </is>
      </c>
      <c r="BD47" s="24" t="inlineStr">
        <is>
          <t>48424b79d75fc1173c9c465d95feb6fc041a2ccfbc64455058b3f74905ce28d5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cs2-tiered-elo-v3</t>
        </is>
      </c>
      <c r="BH47" s="24" t="inlineStr">
        <is>
          <t>2026-07-23T07:19:56.934670Z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450565bf55b1476b</t>
        </is>
      </c>
      <c r="B48" s="24" t="inlineStr">
        <is>
          <t>2026-07-23T07:20:39.530092Z</t>
        </is>
      </c>
      <c r="C48" s="24" t="inlineStr">
        <is>
          <t>2026-07-23T13:00:00Z</t>
        </is>
      </c>
      <c r="D48" s="24" t="inlineStr">
        <is>
          <t>59442</t>
        </is>
      </c>
      <c r="E48" s="24" t="inlineStr">
        <is>
          <t>CS2</t>
        </is>
      </c>
      <c r="F48" s="24" t="inlineStr">
        <is>
          <t>Nuclear TigeRES</t>
        </is>
      </c>
      <c r="G48" s="24" t="inlineStr">
        <is>
          <t>100 Thieves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0.5681389999999999</v>
      </c>
      <c r="P48" s="28" t="n"/>
      <c r="Q48" s="28" t="n">
        <v>0.168139</v>
      </c>
      <c r="R48" s="26" t="n">
        <v>100</v>
      </c>
      <c r="S48" s="29" t="n">
        <v>0</v>
      </c>
      <c r="T48" s="24" t="inlineStr">
        <is>
          <t>cs2-tiered-elo-v3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0.4000 (market_slug=aec-cs2-100t-ntr-2026-07-23).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NO_CALL_LARGE_DISAGREEMENT_REVIEW</t>
        </is>
      </c>
      <c r="AP48" s="24" t="inlineStr">
        <is>
          <t>Nuclear TigeRES</t>
        </is>
      </c>
      <c r="AQ48" s="24" t="inlineStr">
        <is>
          <t>Nuclear TigeRES</t>
        </is>
      </c>
      <c r="AR48" s="24" t="inlineStr">
        <is>
          <t>Nuclear TigeRES</t>
        </is>
      </c>
      <c r="AS48" s="24" t="inlineStr">
        <is>
          <t>100 Thieves</t>
        </is>
      </c>
      <c r="AT48" s="24" t="inlineStr">
        <is>
          <t>100 Thieves</t>
        </is>
      </c>
      <c r="AU48" s="24" t="inlineStr">
        <is>
          <t>100 Thieves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48424b79d75fc1173c9c465d95feb6fc041a2ccfbc64455058b3f74905ce28d5</t>
        </is>
      </c>
      <c r="BB48" s="24" t="inlineStr">
        <is>
          <t>neutral_elo</t>
        </is>
      </c>
      <c r="BC48" s="24" t="inlineStr">
        <is>
          <t>cs2-tiered-elo-v3</t>
        </is>
      </c>
      <c r="BD48" s="24" t="inlineStr">
        <is>
          <t>48424b79d75fc1173c9c465d95feb6fc041a2ccfbc64455058b3f74905ce28d5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cs2-tiered-elo-v3</t>
        </is>
      </c>
      <c r="BH48" s="24" t="inlineStr">
        <is>
          <t>2026-07-23T07:20:01.184225Z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61731992c1874734</t>
        </is>
      </c>
      <c r="B49" s="24" t="inlineStr">
        <is>
          <t>2026-07-23T07:20:39.530092Z</t>
        </is>
      </c>
      <c r="C49" s="24" t="inlineStr">
        <is>
          <t>2026-07-23T14:00:00Z</t>
        </is>
      </c>
      <c r="D49" s="24" t="inlineStr">
        <is>
          <t>59038</t>
        </is>
      </c>
      <c r="E49" s="24" t="inlineStr">
        <is>
          <t>CS2</t>
        </is>
      </c>
      <c r="F49" s="24" t="inlineStr">
        <is>
          <t>SPARTA</t>
        </is>
      </c>
      <c r="G49" s="24" t="inlineStr">
        <is>
          <t>BET-M 33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0.524292</v>
      </c>
      <c r="P49" s="28" t="n"/>
      <c r="Q49" s="28" t="n">
        <v>0.043523</v>
      </c>
      <c r="R49" s="26" t="n">
        <v>42</v>
      </c>
      <c r="S49" s="29" t="n">
        <v>0</v>
      </c>
      <c r="T49" s="24" t="inlineStr">
        <is>
          <t>cs2-tiered-elo-v3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0.4800 (market_slug=aec-cs2-33-sparta-2026-07-23).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SPARTA</t>
        </is>
      </c>
      <c r="AQ49" s="24" t="inlineStr">
        <is>
          <t>SPARTA</t>
        </is>
      </c>
      <c r="AR49" s="24" t="inlineStr">
        <is>
          <t>SPARTA</t>
        </is>
      </c>
      <c r="AS49" s="24" t="inlineStr">
        <is>
          <t>BET-M 33</t>
        </is>
      </c>
      <c r="AT49" s="24" t="inlineStr">
        <is>
          <t>BET-M 33</t>
        </is>
      </c>
      <c r="AU49" s="24" t="inlineStr">
        <is>
          <t>BET-M 33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48424b79d75fc1173c9c465d95feb6fc041a2ccfbc64455058b3f74905ce28d5</t>
        </is>
      </c>
      <c r="BB49" s="24" t="inlineStr">
        <is>
          <t>neutral_elo</t>
        </is>
      </c>
      <c r="BC49" s="24" t="inlineStr">
        <is>
          <t>cs2-tiered-elo-v3</t>
        </is>
      </c>
      <c r="BD49" s="24" t="inlineStr">
        <is>
          <t>48424b79d75fc1173c9c465d95feb6fc041a2ccfbc64455058b3f74905ce28d5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cs2-tiered-elo-v3</t>
        </is>
      </c>
      <c r="BH49" s="24" t="inlineStr">
        <is>
          <t>2026-07-23T07:20:05.735307Z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4b1175c03baa474d</t>
        </is>
      </c>
      <c r="B50" s="24" t="inlineStr">
        <is>
          <t>2026-07-23T07:20:39.530092Z</t>
        </is>
      </c>
      <c r="C50" s="24" t="inlineStr">
        <is>
          <t>2026-07-23T14:00:00Z</t>
        </is>
      </c>
      <c r="D50" s="24" t="inlineStr">
        <is>
          <t>56895</t>
        </is>
      </c>
      <c r="E50" s="24" t="inlineStr">
        <is>
          <t>CS2</t>
        </is>
      </c>
      <c r="F50" s="24" t="inlineStr">
        <is>
          <t>Privateer Gaming</t>
        </is>
      </c>
      <c r="G50" s="24" t="inlineStr">
        <is>
          <t>megoshort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127</v>
      </c>
      <c r="M50" s="27" t="n">
        <v>2.27</v>
      </c>
      <c r="N50" s="28" t="n">
        <v>0.440529</v>
      </c>
      <c r="O50" s="28" t="n">
        <v>0.586941</v>
      </c>
      <c r="P50" s="28" t="n"/>
      <c r="Q50" s="28" t="n">
        <v>0.146412</v>
      </c>
      <c r="R50" s="26" t="n">
        <v>100</v>
      </c>
      <c r="S50" s="29" t="n">
        <v>0</v>
      </c>
      <c r="T50" s="24" t="inlineStr">
        <is>
          <t>cs2-tiered-elo-v3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0.4400 (market_slug=aec-cs2-mego-pg-2026-07-23).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NO_CALL_LARGE_DISAGREEMENT_REVIEW</t>
        </is>
      </c>
      <c r="AP50" s="24" t="inlineStr">
        <is>
          <t>Privateer Gaming</t>
        </is>
      </c>
      <c r="AQ50" s="24" t="inlineStr">
        <is>
          <t>Privateer Gaming</t>
        </is>
      </c>
      <c r="AR50" s="24" t="inlineStr">
        <is>
          <t>Privateer Gaming</t>
        </is>
      </c>
      <c r="AS50" s="24" t="inlineStr">
        <is>
          <t>megoshort</t>
        </is>
      </c>
      <c r="AT50" s="24" t="inlineStr">
        <is>
          <t>megoshort</t>
        </is>
      </c>
      <c r="AU50" s="24" t="inlineStr">
        <is>
          <t>megoshort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48424b79d75fc1173c9c465d95feb6fc041a2ccfbc64455058b3f74905ce28d5</t>
        </is>
      </c>
      <c r="BB50" s="24" t="inlineStr">
        <is>
          <t>neutral_elo</t>
        </is>
      </c>
      <c r="BC50" s="24" t="inlineStr">
        <is>
          <t>cs2-tiered-elo-v3</t>
        </is>
      </c>
      <c r="BD50" s="24" t="inlineStr">
        <is>
          <t>48424b79d75fc1173c9c465d95feb6fc041a2ccfbc64455058b3f74905ce28d5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cs2-tiered-elo-v3</t>
        </is>
      </c>
      <c r="BH50" s="24" t="inlineStr">
        <is>
          <t>2026-07-23T07:20:06.778014Z</t>
        </is>
      </c>
      <c r="BI50" s="24" t="inlineStr">
        <is>
          <t>["same_event","same_team_same_day","same_league_same_day"]</t>
        </is>
      </c>
      <c r="BJ50" s="25" t="n"/>
      <c r="BK50" s="26" t="n">
        <v>127</v>
      </c>
      <c r="BL50" s="27" t="n">
        <v>2.27</v>
      </c>
      <c r="BM50" s="28" t="n">
        <v>0.440529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7e331e3092b54f39</t>
        </is>
      </c>
      <c r="B51" s="24" t="inlineStr">
        <is>
          <t>2026-07-23T07:20:39.530092Z</t>
        </is>
      </c>
      <c r="C51" s="24" t="inlineStr">
        <is>
          <t>2026-07-23T15:00:00Z</t>
        </is>
      </c>
      <c r="D51" s="24" t="inlineStr">
        <is>
          <t>56958</t>
        </is>
      </c>
      <c r="E51" s="24" t="inlineStr">
        <is>
          <t>CS2</t>
        </is>
      </c>
      <c r="F51" s="24" t="inlineStr">
        <is>
          <t>paiN</t>
        </is>
      </c>
      <c r="G51" s="24" t="inlineStr">
        <is>
          <t>Gentle Mates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133</v>
      </c>
      <c r="M51" s="27" t="n">
        <v>2.33</v>
      </c>
      <c r="N51" s="28" t="n">
        <v>0.429185</v>
      </c>
      <c r="O51" s="28" t="n">
        <v>0.524605</v>
      </c>
      <c r="P51" s="28" t="n"/>
      <c r="Q51" s="28" t="n">
        <v>0.09542</v>
      </c>
      <c r="R51" s="26" t="n">
        <v>68</v>
      </c>
      <c r="S51" s="29" t="n">
        <v>0.75</v>
      </c>
      <c r="T51" s="24" t="inlineStr">
        <is>
          <t>cs2-tiered-elo-v3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0.4300 (market_slug=aec-cs2-m8-pain-2026-07-23).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paiN</t>
        </is>
      </c>
      <c r="AQ51" s="24" t="inlineStr">
        <is>
          <t>paiN</t>
        </is>
      </c>
      <c r="AR51" s="24" t="inlineStr">
        <is>
          <t>paiN</t>
        </is>
      </c>
      <c r="AS51" s="24" t="inlineStr">
        <is>
          <t>Gentle Mates</t>
        </is>
      </c>
      <c r="AT51" s="24" t="inlineStr">
        <is>
          <t>Gentle Mates</t>
        </is>
      </c>
      <c r="AU51" s="24" t="inlineStr">
        <is>
          <t>Gentle Mates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48424b79d75fc1173c9c465d95feb6fc041a2ccfbc64455058b3f74905ce28d5</t>
        </is>
      </c>
      <c r="BB51" s="24" t="inlineStr">
        <is>
          <t>neutral_elo</t>
        </is>
      </c>
      <c r="BC51" s="24" t="inlineStr">
        <is>
          <t>cs2-tiered-elo-v3</t>
        </is>
      </c>
      <c r="BD51" s="24" t="inlineStr">
        <is>
          <t>48424b79d75fc1173c9c465d95feb6fc041a2ccfbc64455058b3f74905ce28d5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cs2-tiered-elo-v3</t>
        </is>
      </c>
      <c r="BH51" s="24" t="inlineStr">
        <is>
          <t>2026-07-23T07:20:08.563260Z</t>
        </is>
      </c>
      <c r="BI51" s="24" t="inlineStr">
        <is>
          <t>["same_event","same_team_same_day","same_league_same_day"]</t>
        </is>
      </c>
      <c r="BJ51" s="25" t="n"/>
      <c r="BK51" s="26" t="n">
        <v>133</v>
      </c>
      <c r="BL51" s="27" t="n">
        <v>2.33</v>
      </c>
      <c r="BM51" s="28" t="n">
        <v>0.429185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785b91cd35224c25</t>
        </is>
      </c>
      <c r="B52" s="24" t="inlineStr">
        <is>
          <t>2026-07-23T07:20:39.530092Z</t>
        </is>
      </c>
      <c r="C52" s="24" t="inlineStr">
        <is>
          <t>2026-07-23T17:00:00Z</t>
        </is>
      </c>
      <c r="D52" s="24" t="inlineStr">
        <is>
          <t>59678</t>
        </is>
      </c>
      <c r="E52" s="24" t="inlineStr">
        <is>
          <t>CS2</t>
        </is>
      </c>
      <c r="F52" s="24" t="inlineStr">
        <is>
          <t>Benched gods</t>
        </is>
      </c>
      <c r="G52" s="24" t="inlineStr">
        <is>
          <t>CYBERSHOKE Prospects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-144</v>
      </c>
      <c r="M52" s="27" t="n">
        <v>1.694444</v>
      </c>
      <c r="N52" s="28" t="n">
        <v>0.590164</v>
      </c>
      <c r="O52" s="28" t="n">
        <v>0.63774</v>
      </c>
      <c r="P52" s="28" t="n"/>
      <c r="Q52" s="28" t="n">
        <v>0.047576</v>
      </c>
      <c r="R52" s="26" t="n">
        <v>44</v>
      </c>
      <c r="S52" s="29" t="n">
        <v>0</v>
      </c>
      <c r="T52" s="24" t="inlineStr">
        <is>
          <t>cs2-tiered-elo-v3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0.5900 (market_slug=aec-cs2-cshp-bge-2026-07-23).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Benched gods</t>
        </is>
      </c>
      <c r="AQ52" s="24" t="inlineStr">
        <is>
          <t>Benched gods</t>
        </is>
      </c>
      <c r="AR52" s="24" t="inlineStr">
        <is>
          <t>Benched gods</t>
        </is>
      </c>
      <c r="AS52" s="24" t="inlineStr">
        <is>
          <t>CYBERSHOKE Prospects</t>
        </is>
      </c>
      <c r="AT52" s="24" t="inlineStr">
        <is>
          <t>CYBERSHOKE Prospects</t>
        </is>
      </c>
      <c r="AU52" s="24" t="inlineStr">
        <is>
          <t>CYBERSHOKE Prospects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48424b79d75fc1173c9c465d95feb6fc041a2ccfbc64455058b3f74905ce28d5</t>
        </is>
      </c>
      <c r="BB52" s="24" t="inlineStr">
        <is>
          <t>neutral_elo</t>
        </is>
      </c>
      <c r="BC52" s="24" t="inlineStr">
        <is>
          <t>cs2-tiered-elo-v3</t>
        </is>
      </c>
      <c r="BD52" s="24" t="inlineStr">
        <is>
          <t>48424b79d75fc1173c9c465d95feb6fc041a2ccfbc64455058b3f74905ce28d5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cs2-tiered-elo-v3</t>
        </is>
      </c>
      <c r="BH52" s="24" t="inlineStr">
        <is>
          <t>2026-07-23T07:20:13.459542Z</t>
        </is>
      </c>
      <c r="BI52" s="24" t="inlineStr">
        <is>
          <t>["same_event","same_team_same_day","same_league_same_day"]</t>
        </is>
      </c>
      <c r="BJ52" s="25" t="n"/>
      <c r="BK52" s="26" t="n">
        <v>-144</v>
      </c>
      <c r="BL52" s="27" t="n">
        <v>1.694444</v>
      </c>
      <c r="BM52" s="28" t="n">
        <v>0.590164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7af09bb274ab4660</t>
        </is>
      </c>
      <c r="B53" s="24" t="inlineStr">
        <is>
          <t>2026-07-23T07:20:39.530092Z</t>
        </is>
      </c>
      <c r="C53" s="24" t="inlineStr">
        <is>
          <t>2026-07-23T17:00:00Z</t>
        </is>
      </c>
      <c r="D53" s="24" t="inlineStr">
        <is>
          <t>59039</t>
        </is>
      </c>
      <c r="E53" s="24" t="inlineStr">
        <is>
          <t>CS2</t>
        </is>
      </c>
      <c r="F53" s="24" t="inlineStr">
        <is>
          <t>Just Players</t>
        </is>
      </c>
      <c r="G53" s="24" t="inlineStr">
        <is>
          <t>Butterfly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-144</v>
      </c>
      <c r="M53" s="27" t="n">
        <v>1.694444</v>
      </c>
      <c r="N53" s="28" t="n">
        <v>0.590164</v>
      </c>
      <c r="O53" s="28" t="n">
        <v>0.685765</v>
      </c>
      <c r="P53" s="28" t="n"/>
      <c r="Q53" s="28" t="n">
        <v>0.09560100000000001</v>
      </c>
      <c r="R53" s="26" t="n">
        <v>68</v>
      </c>
      <c r="S53" s="29" t="n">
        <v>2</v>
      </c>
      <c r="T53" s="24" t="inlineStr">
        <is>
          <t>cs2-tiered-elo-v3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0.5900 (market_slug=aec-cs2-btf-jpu-2026-07-23).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Just Players</t>
        </is>
      </c>
      <c r="AQ53" s="24" t="inlineStr">
        <is>
          <t>Just Players</t>
        </is>
      </c>
      <c r="AR53" s="24" t="inlineStr">
        <is>
          <t>Just Players</t>
        </is>
      </c>
      <c r="AS53" s="24" t="inlineStr">
        <is>
          <t>Butterfly</t>
        </is>
      </c>
      <c r="AT53" s="24" t="inlineStr">
        <is>
          <t>Butterfly</t>
        </is>
      </c>
      <c r="AU53" s="24" t="inlineStr">
        <is>
          <t>Butterfly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48424b79d75fc1173c9c465d95feb6fc041a2ccfbc64455058b3f74905ce28d5</t>
        </is>
      </c>
      <c r="BB53" s="24" t="inlineStr">
        <is>
          <t>neutral_elo</t>
        </is>
      </c>
      <c r="BC53" s="24" t="inlineStr">
        <is>
          <t>cs2-tiered-elo-v3</t>
        </is>
      </c>
      <c r="BD53" s="24" t="inlineStr">
        <is>
          <t>48424b79d75fc1173c9c465d95feb6fc041a2ccfbc64455058b3f74905ce28d5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cs2-tiered-elo-v3</t>
        </is>
      </c>
      <c r="BH53" s="24" t="inlineStr">
        <is>
          <t>2026-07-23T07:20:15.985178Z</t>
        </is>
      </c>
      <c r="BI53" s="24" t="inlineStr">
        <is>
          <t>["same_event","same_team_same_day","same_league_same_day"]</t>
        </is>
      </c>
      <c r="BJ53" s="25" t="n"/>
      <c r="BK53" s="26" t="n">
        <v>-144</v>
      </c>
      <c r="BL53" s="27" t="n">
        <v>1.694444</v>
      </c>
      <c r="BM53" s="28" t="n">
        <v>0.590164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59cf95be24aa4f71</t>
        </is>
      </c>
      <c r="B54" s="24" t="inlineStr">
        <is>
          <t>2026-07-23T07:20:39.530092Z</t>
        </is>
      </c>
      <c r="C54" s="24" t="inlineStr">
        <is>
          <t>2026-07-23T22:00:00Z</t>
        </is>
      </c>
      <c r="D54" s="24" t="inlineStr">
        <is>
          <t>59964</t>
        </is>
      </c>
      <c r="E54" s="24" t="inlineStr">
        <is>
          <t>CS2</t>
        </is>
      </c>
      <c r="F54" s="24" t="inlineStr">
        <is>
          <t>Patins da Ferrari</t>
        </is>
      </c>
      <c r="G54" s="24" t="inlineStr">
        <is>
          <t>Isurus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133</v>
      </c>
      <c r="M54" s="27" t="n">
        <v>2.33</v>
      </c>
      <c r="N54" s="28" t="n">
        <v>0.429185</v>
      </c>
      <c r="O54" s="28" t="n">
        <v>0.502768</v>
      </c>
      <c r="P54" s="28" t="n"/>
      <c r="Q54" s="28" t="n">
        <v>0.073583</v>
      </c>
      <c r="R54" s="26" t="n">
        <v>57</v>
      </c>
      <c r="S54" s="29" t="n">
        <v>0</v>
      </c>
      <c r="T54" s="24" t="inlineStr">
        <is>
          <t>cs2-tiered-elo-v3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0.4300 (market_slug=aec-cs2-isg-pdaf-2026-07-23).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NO_CALL_EXPOSURE_LIMIT</t>
        </is>
      </c>
      <c r="AP54" s="24" t="inlineStr">
        <is>
          <t>Patins da Ferrari</t>
        </is>
      </c>
      <c r="AQ54" s="24" t="inlineStr">
        <is>
          <t>Patins da Ferrari</t>
        </is>
      </c>
      <c r="AR54" s="24" t="inlineStr">
        <is>
          <t>Patins da Ferrari</t>
        </is>
      </c>
      <c r="AS54" s="24" t="inlineStr">
        <is>
          <t>Isurus</t>
        </is>
      </c>
      <c r="AT54" s="24" t="inlineStr">
        <is>
          <t>Isurus</t>
        </is>
      </c>
      <c r="AU54" s="24" t="inlineStr">
        <is>
          <t>Isurus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48424b79d75fc1173c9c465d95feb6fc041a2ccfbc64455058b3f74905ce28d5</t>
        </is>
      </c>
      <c r="BB54" s="24" t="inlineStr">
        <is>
          <t>neutral_elo</t>
        </is>
      </c>
      <c r="BC54" s="24" t="inlineStr">
        <is>
          <t>cs2-tiered-elo-v3</t>
        </is>
      </c>
      <c r="BD54" s="24" t="inlineStr">
        <is>
          <t>48424b79d75fc1173c9c465d95feb6fc041a2ccfbc64455058b3f74905ce28d5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cs2-tiered-elo-v3</t>
        </is>
      </c>
      <c r="BH54" s="24" t="inlineStr">
        <is>
          <t>2026-07-23T07:20:26.998884Z</t>
        </is>
      </c>
      <c r="BI54" s="24" t="inlineStr">
        <is>
          <t>["same_event","same_team_same_day","same_league_same_day"]</t>
        </is>
      </c>
      <c r="BJ54" s="25" t="n"/>
      <c r="BK54" s="26" t="n">
        <v>133</v>
      </c>
      <c r="BL54" s="27" t="n">
        <v>2.33</v>
      </c>
      <c r="BM54" s="28" t="n">
        <v>0.429185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81a328b8d84a4505</t>
        </is>
      </c>
      <c r="B55" s="24" t="inlineStr">
        <is>
          <t>2026-07-23T07:20:39.530092Z</t>
        </is>
      </c>
      <c r="C55" s="24" t="inlineStr">
        <is>
          <t>2026-07-24T08:00:00Z</t>
        </is>
      </c>
      <c r="D55" s="24" t="inlineStr">
        <is>
          <t>59681</t>
        </is>
      </c>
      <c r="E55" s="24" t="inlineStr">
        <is>
          <t>CS2</t>
        </is>
      </c>
      <c r="F55" s="24" t="inlineStr">
        <is>
          <t>ex-RUSTEC</t>
        </is>
      </c>
      <c r="G55" s="24" t="inlineStr">
        <is>
          <t>INOX Division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-178</v>
      </c>
      <c r="M55" s="27" t="n">
        <v>1.561798</v>
      </c>
      <c r="N55" s="28" t="n">
        <v>0.640288</v>
      </c>
      <c r="O55" s="28" t="n">
        <v>0.677314</v>
      </c>
      <c r="P55" s="28" t="n"/>
      <c r="Q55" s="28" t="n">
        <v>0.037026</v>
      </c>
      <c r="R55" s="26" t="n">
        <v>39</v>
      </c>
      <c r="S55" s="29" t="n">
        <v>0</v>
      </c>
      <c r="T55" s="24" t="inlineStr">
        <is>
          <t>cs2-tiered-elo-v3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0.6400 (market_slug=aec-cs2-inox-erx-2026-07-24).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ex-RUSTEC</t>
        </is>
      </c>
      <c r="AQ55" s="24" t="inlineStr">
        <is>
          <t>ex-RUSTEC</t>
        </is>
      </c>
      <c r="AR55" s="24" t="inlineStr">
        <is>
          <t>ex-RUSTEC</t>
        </is>
      </c>
      <c r="AS55" s="24" t="inlineStr">
        <is>
          <t>INOX Division</t>
        </is>
      </c>
      <c r="AT55" s="24" t="inlineStr">
        <is>
          <t>INOX Division</t>
        </is>
      </c>
      <c r="AU55" s="24" t="inlineStr">
        <is>
          <t>INOX Division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48424b79d75fc1173c9c465d95feb6fc041a2ccfbc64455058b3f74905ce28d5</t>
        </is>
      </c>
      <c r="BB55" s="24" t="inlineStr">
        <is>
          <t>neutral_elo</t>
        </is>
      </c>
      <c r="BC55" s="24" t="inlineStr">
        <is>
          <t>cs2-tiered-elo-v3</t>
        </is>
      </c>
      <c r="BD55" s="24" t="inlineStr">
        <is>
          <t>48424b79d75fc1173c9c465d95feb6fc041a2ccfbc64455058b3f74905ce28d5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cs2-tiered-elo-v3</t>
        </is>
      </c>
      <c r="BH55" s="24" t="inlineStr">
        <is>
          <t>2026-07-23T07:20:27.867010Z</t>
        </is>
      </c>
      <c r="BI55" s="24" t="inlineStr">
        <is>
          <t>["same_event","same_team_same_day","same_league_same_day"]</t>
        </is>
      </c>
      <c r="BJ55" s="25" t="n"/>
      <c r="BK55" s="26" t="n">
        <v>-178</v>
      </c>
      <c r="BL55" s="27" t="n">
        <v>1.561798</v>
      </c>
      <c r="BM55" s="28" t="n">
        <v>0.640288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a232e14d96984007</t>
        </is>
      </c>
      <c r="B56" s="24" t="inlineStr">
        <is>
          <t>2026-07-23T07:20:39.530092Z</t>
        </is>
      </c>
      <c r="C56" s="24" t="inlineStr">
        <is>
          <t>2026-07-24T08:00:00Z</t>
        </is>
      </c>
      <c r="D56" s="24" t="inlineStr">
        <is>
          <t>59323</t>
        </is>
      </c>
      <c r="E56" s="24" t="inlineStr">
        <is>
          <t>CS2</t>
        </is>
      </c>
      <c r="F56" s="24" t="inlineStr">
        <is>
          <t>Eternal Fire</t>
        </is>
      </c>
      <c r="G56" s="24" t="inlineStr">
        <is>
          <t>1WIN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117</v>
      </c>
      <c r="M56" s="27" t="n">
        <v>2.17</v>
      </c>
      <c r="N56" s="28" t="n">
        <v>0.460829</v>
      </c>
      <c r="O56" s="28" t="n">
        <v>0.5965279999999999</v>
      </c>
      <c r="P56" s="28" t="n"/>
      <c r="Q56" s="28" t="n">
        <v>0.135699</v>
      </c>
      <c r="R56" s="26" t="n">
        <v>100</v>
      </c>
      <c r="S56" s="29" t="n">
        <v>0</v>
      </c>
      <c r="T56" s="24" t="inlineStr">
        <is>
          <t>cs2-tiered-elo-v3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0.4600 (market_slug=aec-cs2-1win-ef-2026-07-24).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NO_CALL_LARGE_DISAGREEMENT_REVIEW</t>
        </is>
      </c>
      <c r="AP56" s="24" t="inlineStr">
        <is>
          <t>Eternal Fire</t>
        </is>
      </c>
      <c r="AQ56" s="24" t="inlineStr">
        <is>
          <t>Eternal Fire</t>
        </is>
      </c>
      <c r="AR56" s="24" t="inlineStr">
        <is>
          <t>Eternal Fire</t>
        </is>
      </c>
      <c r="AS56" s="24" t="inlineStr">
        <is>
          <t>1WIN</t>
        </is>
      </c>
      <c r="AT56" s="24" t="inlineStr">
        <is>
          <t>1WIN</t>
        </is>
      </c>
      <c r="AU56" s="24" t="inlineStr">
        <is>
          <t>1WIN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48424b79d75fc1173c9c465d95feb6fc041a2ccfbc64455058b3f74905ce28d5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2026-07-23T07:20:28.828828Z</t>
        </is>
      </c>
      <c r="BI56" s="24" t="inlineStr">
        <is>
          <t>["same_event","same_team_same_day","same_league_same_day"]</t>
        </is>
      </c>
      <c r="BJ56" s="25" t="n"/>
      <c r="BK56" s="26" t="n">
        <v>117</v>
      </c>
      <c r="BL56" s="27" t="n">
        <v>2.17</v>
      </c>
      <c r="BM56" s="28" t="n">
        <v>0.460829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d90d48e1a8cc4623</t>
        </is>
      </c>
      <c r="B57" s="24" t="inlineStr">
        <is>
          <t>2026-07-23T07:20:39.530092Z</t>
        </is>
      </c>
      <c r="C57" s="24" t="inlineStr">
        <is>
          <t>2026-07-24T10:00:00Z</t>
        </is>
      </c>
      <c r="D57" s="24" t="inlineStr">
        <is>
          <t>58248</t>
        </is>
      </c>
      <c r="E57" s="24" t="inlineStr">
        <is>
          <t>CS2</t>
        </is>
      </c>
      <c r="F57" s="24" t="inlineStr">
        <is>
          <t>3DMAX</t>
        </is>
      </c>
      <c r="G57" s="24" t="inlineStr">
        <is>
          <t>magic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0.624985</v>
      </c>
      <c r="P57" s="28" t="n"/>
      <c r="Q57" s="28" t="n">
        <v>0.045153</v>
      </c>
      <c r="R57" s="26" t="n">
        <v>43</v>
      </c>
      <c r="S57" s="29" t="n">
        <v>0</v>
      </c>
      <c r="T57" s="24" t="inlineStr">
        <is>
          <t>cs2-tiered-elo-v3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0.5800 (market_slug=aec-cs2-mgc-3dmax-2026-07-24).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3DMAX</t>
        </is>
      </c>
      <c r="AQ57" s="24" t="inlineStr">
        <is>
          <t>3DMAX</t>
        </is>
      </c>
      <c r="AR57" s="24" t="inlineStr">
        <is>
          <t>3DMAX</t>
        </is>
      </c>
      <c r="AS57" s="24" t="inlineStr">
        <is>
          <t>magic</t>
        </is>
      </c>
      <c r="AT57" s="24" t="inlineStr">
        <is>
          <t>magic</t>
        </is>
      </c>
      <c r="AU57" s="24" t="inlineStr">
        <is>
          <t>magic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48424b79d75fc1173c9c465d95feb6fc041a2ccfbc64455058b3f74905ce28d5</t>
        </is>
      </c>
      <c r="BB57" s="24" t="inlineStr">
        <is>
          <t>neutral_elo</t>
        </is>
      </c>
      <c r="BC57" s="24" t="inlineStr">
        <is>
          <t>cs2-tiered-elo-v3</t>
        </is>
      </c>
      <c r="BD57" s="24" t="inlineStr">
        <is>
          <t>48424b79d75fc1173c9c465d95feb6fc041a2ccfbc64455058b3f74905ce28d5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cs2-tiered-elo-v3</t>
        </is>
      </c>
      <c r="BH57" s="24" t="inlineStr">
        <is>
          <t>2026-07-23T07:20:31.167816Z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3b498ded64774a56</t>
        </is>
      </c>
      <c r="B58" s="24" t="inlineStr">
        <is>
          <t>2026-07-23T07:20:39.530092Z</t>
        </is>
      </c>
      <c r="C58" s="24" t="inlineStr">
        <is>
          <t>2026-07-24T12:30:00Z</t>
        </is>
      </c>
      <c r="D58" s="24" t="inlineStr">
        <is>
          <t>58309</t>
        </is>
      </c>
      <c r="E58" s="24" t="inlineStr">
        <is>
          <t>CS2</t>
        </is>
      </c>
      <c r="F58" s="24" t="inlineStr">
        <is>
          <t>TheMongolz</t>
        </is>
      </c>
      <c r="G58" s="24" t="inlineStr">
        <is>
          <t>Heroic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144</v>
      </c>
      <c r="M58" s="27" t="n">
        <v>2.44</v>
      </c>
      <c r="N58" s="28" t="n">
        <v>0.409836</v>
      </c>
      <c r="O58" s="28" t="n">
        <v>0.633024</v>
      </c>
      <c r="P58" s="28" t="n"/>
      <c r="Q58" s="28" t="n">
        <v>0.223188</v>
      </c>
      <c r="R58" s="26" t="n">
        <v>100</v>
      </c>
      <c r="S58" s="29" t="n">
        <v>0</v>
      </c>
      <c r="T58" s="24" t="inlineStr">
        <is>
          <t>cs2-tiered-elo-v3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0.4100 (market_slug=aec-cs2-hero-mglz-2026-07-24).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NO_CALL_LARGE_DISAGREEMENT_REVIEW</t>
        </is>
      </c>
      <c r="AP58" s="24" t="inlineStr">
        <is>
          <t>TheMongolz</t>
        </is>
      </c>
      <c r="AQ58" s="24" t="inlineStr">
        <is>
          <t>TheMongolz</t>
        </is>
      </c>
      <c r="AR58" s="24" t="inlineStr">
        <is>
          <t>TheMongolz</t>
        </is>
      </c>
      <c r="AS58" s="24" t="inlineStr">
        <is>
          <t>Heroic</t>
        </is>
      </c>
      <c r="AT58" s="24" t="inlineStr">
        <is>
          <t>Heroic</t>
        </is>
      </c>
      <c r="AU58" s="24" t="inlineStr">
        <is>
          <t>Heroic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48424b79d75fc1173c9c465d95feb6fc041a2ccfbc64455058b3f74905ce28d5</t>
        </is>
      </c>
      <c r="BB58" s="24" t="inlineStr">
        <is>
          <t>neutral_elo</t>
        </is>
      </c>
      <c r="BC58" s="24" t="inlineStr">
        <is>
          <t>cs2-tiered-elo-v3</t>
        </is>
      </c>
      <c r="BD58" s="24" t="inlineStr">
        <is>
          <t>48424b79d75fc1173c9c465d95feb6fc041a2ccfbc64455058b3f74905ce28d5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cs2-tiered-elo-v3</t>
        </is>
      </c>
      <c r="BH58" s="24" t="inlineStr">
        <is>
          <t>2026-07-23T07:20:34.856171Z</t>
        </is>
      </c>
      <c r="BI58" s="24" t="inlineStr">
        <is>
          <t>["same_event","same_team_same_day","same_league_same_day"]</t>
        </is>
      </c>
      <c r="BJ58" s="25" t="n"/>
      <c r="BK58" s="26" t="n">
        <v>144</v>
      </c>
      <c r="BL58" s="27" t="n">
        <v>2.44</v>
      </c>
      <c r="BM58" s="28" t="n">
        <v>0.409836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a2ecee09f466426a</t>
        </is>
      </c>
      <c r="B59" s="24" t="inlineStr">
        <is>
          <t>2026-07-23T07:21:10.371129Z</t>
        </is>
      </c>
      <c r="C59" s="24" t="inlineStr">
        <is>
          <t>2026-07-23T13:00:00Z</t>
        </is>
      </c>
      <c r="D59" s="24" t="inlineStr">
        <is>
          <t>56888</t>
        </is>
      </c>
      <c r="E59" s="24" t="inlineStr">
        <is>
          <t>DOTA2</t>
        </is>
      </c>
      <c r="F59" s="24" t="inlineStr">
        <is>
          <t>Inner Circle x Insanity</t>
        </is>
      </c>
      <c r="G59" s="24" t="inlineStr">
        <is>
          <t>Team Jenz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212</v>
      </c>
      <c r="M59" s="27" t="n">
        <v>3.12</v>
      </c>
      <c r="N59" s="28" t="n">
        <v>0.320513</v>
      </c>
      <c r="O59" s="28" t="n">
        <v>0.5</v>
      </c>
      <c r="P59" s="28" t="n"/>
      <c r="Q59" s="28" t="n">
        <v>0.179487</v>
      </c>
      <c r="R59" s="26" t="n">
        <v>100</v>
      </c>
      <c r="S59" s="29" t="n">
        <v>0</v>
      </c>
      <c r="T59" s="24" t="inlineStr">
        <is>
          <t>dota2-tiered-elo-v3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0.3200 (market_slug=aec-dota2-tje-icxi-2026-07-23).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NO_CALL_LARGE_DISAGREEMENT_REVIEW</t>
        </is>
      </c>
      <c r="AP59" s="24" t="inlineStr">
        <is>
          <t>Inner Circle x Insanity</t>
        </is>
      </c>
      <c r="AQ59" s="24" t="inlineStr">
        <is>
          <t>Inner Circle x Insanity</t>
        </is>
      </c>
      <c r="AR59" s="24" t="inlineStr">
        <is>
          <t>Inner Circle x Insanity</t>
        </is>
      </c>
      <c r="AS59" s="24" t="inlineStr">
        <is>
          <t>Team Jenz</t>
        </is>
      </c>
      <c r="AT59" s="24" t="inlineStr">
        <is>
          <t>Team Jenz</t>
        </is>
      </c>
      <c r="AU59" s="24" t="inlineStr">
        <is>
          <t>Team Jenz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a799fd6b531f6a50433d392237bace95036714f80bb3516384271ef275ed7763</t>
        </is>
      </c>
      <c r="BB59" s="24" t="inlineStr">
        <is>
          <t>neutral_elo</t>
        </is>
      </c>
      <c r="BC59" s="24" t="inlineStr">
        <is>
          <t>dota2-tiered-elo-v3</t>
        </is>
      </c>
      <c r="BD59" s="24" t="inlineStr">
        <is>
          <t>a799fd6b531f6a50433d392237bace95036714f80bb3516384271ef275ed7763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dota2-tiered-elo-v3</t>
        </is>
      </c>
      <c r="BH59" s="24" t="inlineStr">
        <is>
          <t>2026-07-23T07:21:04.162632Z</t>
        </is>
      </c>
      <c r="BI59" s="24" t="inlineStr">
        <is>
          <t>["same_event","same_team_same_day","same_league_same_day"]</t>
        </is>
      </c>
      <c r="BJ59" s="25" t="n"/>
      <c r="BK59" s="26" t="n">
        <v>212</v>
      </c>
      <c r="BL59" s="27" t="n">
        <v>3.12</v>
      </c>
      <c r="BM59" s="28" t="n">
        <v>0.320513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4a643321b24f4278</t>
        </is>
      </c>
      <c r="B60" s="24" t="inlineStr">
        <is>
          <t>2026-07-23T07:21:34.143456Z</t>
        </is>
      </c>
      <c r="C60" s="24" t="inlineStr">
        <is>
          <t>2026-07-23T08:00:00Z</t>
        </is>
      </c>
      <c r="D60" s="24" t="inlineStr">
        <is>
          <t>56787</t>
        </is>
      </c>
      <c r="E60" s="24" t="inlineStr">
        <is>
          <t>VALORANT</t>
        </is>
      </c>
      <c r="F60" s="24" t="inlineStr">
        <is>
          <t>FULL SENSE</t>
        </is>
      </c>
      <c r="G60" s="24" t="inlineStr">
        <is>
          <t>Global Esports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117</v>
      </c>
      <c r="M60" s="27" t="n">
        <v>2.17</v>
      </c>
      <c r="N60" s="28" t="n">
        <v>0.460829</v>
      </c>
      <c r="O60" s="28" t="n">
        <v>0.5</v>
      </c>
      <c r="P60" s="28" t="n"/>
      <c r="Q60" s="28" t="n">
        <v>0.039171</v>
      </c>
      <c r="R60" s="26" t="n">
        <v>40</v>
      </c>
      <c r="S60" s="29" t="n">
        <v>0</v>
      </c>
      <c r="T60" s="24" t="inlineStr">
        <is>
          <t>valorant-tiered-elo-v3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0.4600 (market_slug=aec-valorant-ge-fs-2026-07-23).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FULL SENSE</t>
        </is>
      </c>
      <c r="AQ60" s="24" t="inlineStr">
        <is>
          <t>FULL SENSE</t>
        </is>
      </c>
      <c r="AR60" s="24" t="inlineStr">
        <is>
          <t>FULL SENSE</t>
        </is>
      </c>
      <c r="AS60" s="24" t="inlineStr">
        <is>
          <t>Global Esports</t>
        </is>
      </c>
      <c r="AT60" s="24" t="inlineStr">
        <is>
          <t>Global Esports</t>
        </is>
      </c>
      <c r="AU60" s="24" t="inlineStr">
        <is>
          <t>Global Esports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df5a226c64918a54c70b8af3e0cd4abb6c4f42b67acb5547da319458502b0ed4</t>
        </is>
      </c>
      <c r="BB60" s="24" t="inlineStr">
        <is>
          <t>neutral_elo</t>
        </is>
      </c>
      <c r="BC60" s="24" t="inlineStr">
        <is>
          <t>valorant-tiered-elo-v3</t>
        </is>
      </c>
      <c r="BD60" s="24" t="inlineStr">
        <is>
          <t>df5a226c64918a54c70b8af3e0cd4abb6c4f42b67acb5547da319458502b0ed4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valorant-tiered-elo-v3</t>
        </is>
      </c>
      <c r="BH60" s="24" t="inlineStr">
        <is>
          <t>2026-07-23T07:21:16.291113Z</t>
        </is>
      </c>
      <c r="BI60" s="24" t="inlineStr">
        <is>
          <t>["same_event","same_team_same_day","same_league_same_day"]</t>
        </is>
      </c>
      <c r="BJ60" s="25" t="n"/>
      <c r="BK60" s="26" t="n">
        <v>117</v>
      </c>
      <c r="BL60" s="27" t="n">
        <v>2.17</v>
      </c>
      <c r="BM60" s="28" t="n">
        <v>0.460829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e0b7f3e51a944d45</t>
        </is>
      </c>
      <c r="B61" s="24" t="inlineStr">
        <is>
          <t>2026-07-23T07:21:34.143456Z</t>
        </is>
      </c>
      <c r="C61" s="24" t="inlineStr">
        <is>
          <t>2026-07-23T15:00:00Z</t>
        </is>
      </c>
      <c r="D61" s="24" t="inlineStr">
        <is>
          <t>56966</t>
        </is>
      </c>
      <c r="E61" s="24" t="inlineStr">
        <is>
          <t>VALORANT</t>
        </is>
      </c>
      <c r="F61" s="24" t="inlineStr">
        <is>
          <t>Team Heretics</t>
        </is>
      </c>
      <c r="G61" s="24" t="inlineStr">
        <is>
          <t>Eternal Fire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144</v>
      </c>
      <c r="M61" s="27" t="n">
        <v>2.44</v>
      </c>
      <c r="N61" s="28" t="n">
        <v>0.409836</v>
      </c>
      <c r="O61" s="28" t="n">
        <v>0.5</v>
      </c>
      <c r="P61" s="28" t="n"/>
      <c r="Q61" s="28" t="n">
        <v>0.09016399999999999</v>
      </c>
      <c r="R61" s="26" t="n">
        <v>65</v>
      </c>
      <c r="S61" s="29" t="n">
        <v>0.5</v>
      </c>
      <c r="T61" s="24" t="inlineStr">
        <is>
          <t>valorant-tiered-elo-v3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0.4100 (market_slug=aec-valorant-ef-th-2026-07-23).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Team Heretics</t>
        </is>
      </c>
      <c r="AQ61" s="24" t="inlineStr">
        <is>
          <t>Team Heretics</t>
        </is>
      </c>
      <c r="AR61" s="24" t="inlineStr">
        <is>
          <t>Team Heretics</t>
        </is>
      </c>
      <c r="AS61" s="24" t="inlineStr">
        <is>
          <t>Eternal Fire</t>
        </is>
      </c>
      <c r="AT61" s="24" t="inlineStr">
        <is>
          <t>Eternal Fire</t>
        </is>
      </c>
      <c r="AU61" s="24" t="inlineStr">
        <is>
          <t>Eternal Fire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df5a226c64918a54c70b8af3e0cd4abb6c4f42b67acb5547da319458502b0ed4</t>
        </is>
      </c>
      <c r="BB61" s="24" t="inlineStr">
        <is>
          <t>neutral_elo</t>
        </is>
      </c>
      <c r="BC61" s="24" t="inlineStr">
        <is>
          <t>valorant-tiered-elo-v3</t>
        </is>
      </c>
      <c r="BD61" s="24" t="inlineStr">
        <is>
          <t>df5a226c64918a54c70b8af3e0cd4abb6c4f42b67acb5547da319458502b0ed4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valorant-tiered-elo-v3</t>
        </is>
      </c>
      <c r="BH61" s="24" t="inlineStr">
        <is>
          <t>2026-07-23T07:21:21.528202Z</t>
        </is>
      </c>
      <c r="BI61" s="24" t="inlineStr">
        <is>
          <t>["same_event","same_team_same_day","same_league_same_day"]</t>
        </is>
      </c>
      <c r="BJ61" s="25" t="n"/>
      <c r="BK61" s="26" t="n">
        <v>144</v>
      </c>
      <c r="BL61" s="27" t="n">
        <v>2.44</v>
      </c>
      <c r="BM61" s="28" t="n">
        <v>0.409836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2a13950c7f3c4575</t>
        </is>
      </c>
      <c r="B62" s="24" t="inlineStr">
        <is>
          <t>2026-07-23T07:21:34.143456Z</t>
        </is>
      </c>
      <c r="C62" s="24" t="inlineStr">
        <is>
          <t>2026-07-23T18:00:00Z</t>
        </is>
      </c>
      <c r="D62" s="24" t="inlineStr">
        <is>
          <t>57151</t>
        </is>
      </c>
      <c r="E62" s="24" t="inlineStr">
        <is>
          <t>VALORANT</t>
        </is>
      </c>
      <c r="F62" s="24" t="inlineStr">
        <is>
          <t>Twisted Minds Orchid</t>
        </is>
      </c>
      <c r="G62" s="24" t="inlineStr">
        <is>
          <t>GIANTX GC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0.5043260000000001</v>
      </c>
      <c r="P62" s="28" t="n"/>
      <c r="Q62" s="28" t="n">
        <v>0.09449</v>
      </c>
      <c r="R62" s="26" t="n">
        <v>67</v>
      </c>
      <c r="S62" s="29" t="n">
        <v>0.5</v>
      </c>
      <c r="T62" s="24" t="inlineStr">
        <is>
          <t>valorant-tiered-elo-v3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0.4100 (market_slug=aec-valorant-gxgc-tmo-2026-07-23).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Twisted Minds Orchid</t>
        </is>
      </c>
      <c r="AQ62" s="24" t="inlineStr">
        <is>
          <t>Twisted Minds Orchid</t>
        </is>
      </c>
      <c r="AR62" s="24" t="inlineStr">
        <is>
          <t>Twisted Minds Orchid</t>
        </is>
      </c>
      <c r="AS62" s="24" t="inlineStr">
        <is>
          <t>GIANTX GC</t>
        </is>
      </c>
      <c r="AT62" s="24" t="inlineStr">
        <is>
          <t>GIANTX GC</t>
        </is>
      </c>
      <c r="AU62" s="24" t="inlineStr">
        <is>
          <t>GIANTX GC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df5a226c64918a54c70b8af3e0cd4abb6c4f42b67acb5547da319458502b0ed4</t>
        </is>
      </c>
      <c r="BB62" s="24" t="inlineStr">
        <is>
          <t>neutral_elo</t>
        </is>
      </c>
      <c r="BC62" s="24" t="inlineStr">
        <is>
          <t>valorant-tiered-elo-v3</t>
        </is>
      </c>
      <c r="BD62" s="24" t="inlineStr">
        <is>
          <t>df5a226c64918a54c70b8af3e0cd4abb6c4f42b67acb5547da319458502b0ed4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valorant-tiered-elo-v3</t>
        </is>
      </c>
      <c r="BH62" s="24" t="inlineStr">
        <is>
          <t>2026-07-23T07:21:22.385691Z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5d0f3f7a2dcb4750</t>
        </is>
      </c>
      <c r="B63" s="24" t="inlineStr">
        <is>
          <t>2026-07-23T07:21:34.143456Z</t>
        </is>
      </c>
      <c r="C63" s="24" t="inlineStr">
        <is>
          <t>2026-07-23T18:00:00Z</t>
        </is>
      </c>
      <c r="D63" s="24" t="inlineStr">
        <is>
          <t>57153</t>
        </is>
      </c>
      <c r="E63" s="24" t="inlineStr">
        <is>
          <t>VALORANT</t>
        </is>
      </c>
      <c r="F63" s="24" t="inlineStr">
        <is>
          <t>Natus Vincere</t>
        </is>
      </c>
      <c r="G63" s="24" t="inlineStr">
        <is>
          <t>Gentle Mates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-113</v>
      </c>
      <c r="M63" s="27" t="n">
        <v>1.884956</v>
      </c>
      <c r="N63" s="28" t="n">
        <v>0.530516</v>
      </c>
      <c r="O63" s="28" t="n">
        <v>0.681625</v>
      </c>
      <c r="P63" s="28" t="n"/>
      <c r="Q63" s="28" t="n">
        <v>0.151109</v>
      </c>
      <c r="R63" s="26" t="n">
        <v>100</v>
      </c>
      <c r="S63" s="29" t="n">
        <v>0</v>
      </c>
      <c r="T63" s="24" t="inlineStr">
        <is>
          <t>valorant-tiered-elo-v3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0.5300 (market_slug=aec-valorant-gm-navi-2026-07-23).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NO_CALL_LARGE_DISAGREEMENT_REVIEW</t>
        </is>
      </c>
      <c r="AP63" s="24" t="inlineStr">
        <is>
          <t>Natus Vincere</t>
        </is>
      </c>
      <c r="AQ63" s="24" t="inlineStr">
        <is>
          <t>Natus Vincere</t>
        </is>
      </c>
      <c r="AR63" s="24" t="inlineStr">
        <is>
          <t>Natus Vincere</t>
        </is>
      </c>
      <c r="AS63" s="24" t="inlineStr">
        <is>
          <t>Gentle Mates</t>
        </is>
      </c>
      <c r="AT63" s="24" t="inlineStr">
        <is>
          <t>Gentle Mates</t>
        </is>
      </c>
      <c r="AU63" s="24" t="inlineStr">
        <is>
          <t>Gentle Mates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df5a226c64918a54c70b8af3e0cd4abb6c4f42b67acb5547da319458502b0ed4</t>
        </is>
      </c>
      <c r="BB63" s="24" t="inlineStr">
        <is>
          <t>neutral_elo</t>
        </is>
      </c>
      <c r="BC63" s="24" t="inlineStr">
        <is>
          <t>valorant-tiered-elo-v3</t>
        </is>
      </c>
      <c r="BD63" s="24" t="inlineStr">
        <is>
          <t>df5a226c64918a54c70b8af3e0cd4abb6c4f42b67acb5547da319458502b0ed4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valorant-tiered-elo-v3</t>
        </is>
      </c>
      <c r="BH63" s="24" t="inlineStr">
        <is>
          <t>2026-07-23T07:21:24.447106Z</t>
        </is>
      </c>
      <c r="BI63" s="24" t="inlineStr">
        <is>
          <t>["same_event","same_team_same_day","same_league_same_day"]</t>
        </is>
      </c>
      <c r="BJ63" s="25" t="n"/>
      <c r="BK63" s="26" t="n">
        <v>-113</v>
      </c>
      <c r="BL63" s="27" t="n">
        <v>1.884956</v>
      </c>
      <c r="BM63" s="28" t="n">
        <v>0.530516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ed8294a6bbd4411f</t>
        </is>
      </c>
      <c r="B64" s="24" t="inlineStr">
        <is>
          <t>2026-07-23T07:21:34.143456Z</t>
        </is>
      </c>
      <c r="C64" s="24" t="inlineStr">
        <is>
          <t>2026-07-24T09:00:00Z</t>
        </is>
      </c>
      <c r="D64" s="24" t="inlineStr">
        <is>
          <t>58553</t>
        </is>
      </c>
      <c r="E64" s="24" t="inlineStr">
        <is>
          <t>VALORANT</t>
        </is>
      </c>
      <c r="F64" s="24" t="inlineStr">
        <is>
          <t>TEC Esports</t>
        </is>
      </c>
      <c r="G64" s="24" t="inlineStr">
        <is>
          <t>Trace Esports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117</v>
      </c>
      <c r="M64" s="27" t="n">
        <v>2.17</v>
      </c>
      <c r="N64" s="28" t="n">
        <v>0.460829</v>
      </c>
      <c r="O64" s="28" t="n">
        <v>0.5</v>
      </c>
      <c r="P64" s="28" t="n"/>
      <c r="Q64" s="28" t="n">
        <v>0.039171</v>
      </c>
      <c r="R64" s="26" t="n">
        <v>40</v>
      </c>
      <c r="S64" s="29" t="n">
        <v>0</v>
      </c>
      <c r="T64" s="24" t="inlineStr">
        <is>
          <t>valorant-tiered-elo-v3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0.4600 (market_slug=aec-valorant-te-tec-2026-07-24).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TEC Esports</t>
        </is>
      </c>
      <c r="AQ64" s="24" t="inlineStr">
        <is>
          <t>TEC Esports</t>
        </is>
      </c>
      <c r="AR64" s="24" t="inlineStr">
        <is>
          <t>TEC Esports</t>
        </is>
      </c>
      <c r="AS64" s="24" t="inlineStr">
        <is>
          <t>Trace Esports</t>
        </is>
      </c>
      <c r="AT64" s="24" t="inlineStr">
        <is>
          <t>Trace Esports</t>
        </is>
      </c>
      <c r="AU64" s="24" t="inlineStr">
        <is>
          <t>Trace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df5a226c64918a54c70b8af3e0cd4abb6c4f42b67acb5547da319458502b0ed4</t>
        </is>
      </c>
      <c r="BB64" s="24" t="inlineStr">
        <is>
          <t>neutral_elo</t>
        </is>
      </c>
      <c r="BC64" s="24" t="inlineStr">
        <is>
          <t>valorant-tiered-elo-v3</t>
        </is>
      </c>
      <c r="BD64" s="24" t="inlineStr">
        <is>
          <t>df5a226c64918a54c70b8af3e0cd4abb6c4f42b67acb5547da319458502b0ed4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valorant-tiered-elo-v3</t>
        </is>
      </c>
      <c r="BH64" s="24" t="inlineStr">
        <is>
          <t>2026-07-23T07:21:28.500430Z</t>
        </is>
      </c>
      <c r="BI64" s="24" t="inlineStr">
        <is>
          <t>["same_event","same_team_same_day","same_league_same_day"]</t>
        </is>
      </c>
      <c r="BJ64" s="25" t="n"/>
      <c r="BK64" s="26" t="n">
        <v>117</v>
      </c>
      <c r="BL64" s="27" t="n">
        <v>2.17</v>
      </c>
      <c r="BM64" s="28" t="n">
        <v>0.460829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536cf218b26447d6</t>
        </is>
      </c>
      <c r="B65" s="24" t="inlineStr">
        <is>
          <t>2026-07-23T07:21:34.143456Z</t>
        </is>
      </c>
      <c r="C65" s="24" t="inlineStr">
        <is>
          <t>2026-07-24T15:00:00Z</t>
        </is>
      </c>
      <c r="D65" s="24" t="inlineStr">
        <is>
          <t>58399</t>
        </is>
      </c>
      <c r="E65" s="24" t="inlineStr">
        <is>
          <t>VALORANT</t>
        </is>
      </c>
      <c r="F65" s="24" t="inlineStr">
        <is>
          <t>BBL Esports</t>
        </is>
      </c>
      <c r="G65" s="24" t="inlineStr">
        <is>
          <t>FUT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144</v>
      </c>
      <c r="M65" s="27" t="n">
        <v>2.44</v>
      </c>
      <c r="N65" s="28" t="n">
        <v>0.409836</v>
      </c>
      <c r="O65" s="28" t="n">
        <v>0.5</v>
      </c>
      <c r="P65" s="28" t="n"/>
      <c r="Q65" s="28" t="n">
        <v>0.09016399999999999</v>
      </c>
      <c r="R65" s="26" t="n">
        <v>65</v>
      </c>
      <c r="S65" s="29" t="n">
        <v>0.5</v>
      </c>
      <c r="T65" s="24" t="inlineStr">
        <is>
          <t>valorant-tiered-elo-v3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0.4100 (market_slug=aec-valorant-fut-bbl-2026-07-24).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BBL Esports</t>
        </is>
      </c>
      <c r="AQ65" s="24" t="inlineStr">
        <is>
          <t>BBL Esports</t>
        </is>
      </c>
      <c r="AR65" s="24" t="inlineStr">
        <is>
          <t>BBL Esports</t>
        </is>
      </c>
      <c r="AS65" s="24" t="inlineStr">
        <is>
          <t>FUT Esports</t>
        </is>
      </c>
      <c r="AT65" s="24" t="inlineStr">
        <is>
          <t>FUT Esports</t>
        </is>
      </c>
      <c r="AU65" s="24" t="inlineStr">
        <is>
          <t>FUT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df5a226c64918a54c70b8af3e0cd4abb6c4f42b67acb5547da319458502b0ed4</t>
        </is>
      </c>
      <c r="BB65" s="24" t="inlineStr">
        <is>
          <t>neutral_elo</t>
        </is>
      </c>
      <c r="BC65" s="24" t="inlineStr">
        <is>
          <t>valorant-tiered-elo-v3</t>
        </is>
      </c>
      <c r="BD65" s="24" t="inlineStr">
        <is>
          <t>df5a226c64918a54c70b8af3e0cd4abb6c4f42b67acb5547da319458502b0ed4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valorant-tiered-elo-v3</t>
        </is>
      </c>
      <c r="BH65" s="24" t="inlineStr">
        <is>
          <t>2026-07-23T07:21:30.221057Z</t>
        </is>
      </c>
      <c r="BI65" s="24" t="inlineStr">
        <is>
          <t>["same_event","same_team_same_day","same_league_same_day"]</t>
        </is>
      </c>
      <c r="BJ65" s="25" t="n"/>
      <c r="BK65" s="26" t="n">
        <v>144</v>
      </c>
      <c r="BL65" s="27" t="n">
        <v>2.44</v>
      </c>
      <c r="BM65" s="28" t="n">
        <v>0.409836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e1960e2ad8944a67</t>
        </is>
      </c>
      <c r="B66" s="24" t="inlineStr">
        <is>
          <t>2026-07-23T07:21:34.143456Z</t>
        </is>
      </c>
      <c r="C66" s="24" t="inlineStr">
        <is>
          <t>2026-07-24T18:00:00Z</t>
        </is>
      </c>
      <c r="D66" s="24" t="inlineStr">
        <is>
          <t>58554</t>
        </is>
      </c>
      <c r="E66" s="24" t="inlineStr">
        <is>
          <t>VALORANT</t>
        </is>
      </c>
      <c r="F66" s="24" t="inlineStr">
        <is>
          <t>Fnatic</t>
        </is>
      </c>
      <c r="G66" s="24" t="inlineStr">
        <is>
          <t>Team Liquid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138</v>
      </c>
      <c r="M66" s="27" t="n">
        <v>2.38</v>
      </c>
      <c r="N66" s="28" t="n">
        <v>0.420168</v>
      </c>
      <c r="O66" s="28" t="n">
        <v>0.696373</v>
      </c>
      <c r="P66" s="28" t="n"/>
      <c r="Q66" s="28" t="n">
        <v>0.276205</v>
      </c>
      <c r="R66" s="26" t="n">
        <v>100</v>
      </c>
      <c r="S66" s="29" t="n">
        <v>0</v>
      </c>
      <c r="T66" s="24" t="inlineStr">
        <is>
          <t>valorant-tiered-elo-v3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0.4200 (market_slug=aec-valorant-tl-fnc-2026-07-24).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NO_CALL_LARGE_DISAGREEMENT_REVIEW</t>
        </is>
      </c>
      <c r="AP66" s="24" t="inlineStr">
        <is>
          <t>Fnatic</t>
        </is>
      </c>
      <c r="AQ66" s="24" t="inlineStr">
        <is>
          <t>Fnatic</t>
        </is>
      </c>
      <c r="AR66" s="24" t="inlineStr">
        <is>
          <t>Fnatic</t>
        </is>
      </c>
      <c r="AS66" s="24" t="inlineStr">
        <is>
          <t>Team Liquid</t>
        </is>
      </c>
      <c r="AT66" s="24" t="inlineStr">
        <is>
          <t>Team Liquid</t>
        </is>
      </c>
      <c r="AU66" s="24" t="inlineStr">
        <is>
          <t>Team Liquid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df5a226c64918a54c70b8af3e0cd4abb6c4f42b67acb5547da319458502b0ed4</t>
        </is>
      </c>
      <c r="BB66" s="24" t="inlineStr">
        <is>
          <t>neutral_elo</t>
        </is>
      </c>
      <c r="BC66" s="24" t="inlineStr">
        <is>
          <t>valorant-tiered-elo-v3</t>
        </is>
      </c>
      <c r="BD66" s="24" t="inlineStr">
        <is>
          <t>df5a226c64918a54c70b8af3e0cd4abb6c4f42b67acb5547da319458502b0ed4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valorant-tiered-elo-v3</t>
        </is>
      </c>
      <c r="BH66" s="24" t="inlineStr">
        <is>
          <t>2026-07-23T07:21:31.220238Z</t>
        </is>
      </c>
      <c r="BI66" s="24" t="inlineStr">
        <is>
          <t>["same_event","same_team_same_day","same_league_same_day"]</t>
        </is>
      </c>
      <c r="BJ66" s="25" t="n"/>
      <c r="BK66" s="26" t="n">
        <v>138</v>
      </c>
      <c r="BL66" s="27" t="n">
        <v>2.38</v>
      </c>
      <c r="BM66" s="28" t="n">
        <v>0.420168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2026-07-23T07:30:56Z</dcterms:created>
  <dcterms:modified xsi:type="dcterms:W3CDTF">2026-07-23T07:30:56Z</dcterms:modified>
</cp:coreProperties>
</file>