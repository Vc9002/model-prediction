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78" headerRowCount="1">
  <autoFilter ref="A1:CP78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COUNTA('Picks'!$A$2:$A$78)</f>
        <v/>
      </c>
      <c r="C4" s="6">
        <f>COUNTIF('Picks'!$U$2:$U$78,"open")</f>
        <v/>
      </c>
      <c r="E4" s="6">
        <f>COUNTIF('Picks'!$U$2:$U$78,"settled")</f>
        <v/>
      </c>
      <c r="G4" s="6">
        <f>IF(COUNTIFS('Picks'!$U$2:$U$78,"settled",'Picks'!$V$2:$V$78,"win")+COUNTIFS('Picks'!$U$2:$U$78,"settled",'Picks'!$V$2:$V$78,"loss")&gt;=$L$2,"Ready","Insufficient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COUNTIF('Picks'!$BX$2:$BX$78,"&gt;0")</f>
        <v/>
      </c>
      <c r="C7" s="6">
        <f>COUNTIFS('Picks'!$BX$2:$BX$78,"&gt;0",'Picks'!$V$2:$V$78,"win")&amp;"-"&amp;COUNTIFS('Picks'!$BX$2:$BX$78,"&gt;0",'Picks'!$V$2:$V$78,"loss")</f>
        <v/>
      </c>
      <c r="E7" s="7">
        <f>IFERROR(COUNTIFS('Picks'!$BX$2:$BX$78,"&gt;0",'Picks'!$V$2:$V$78,"win")/(COUNTIFS('Picks'!$BX$2:$BX$78,"&gt;0",'Picks'!$V$2:$V$78,"win")+COUNTIFS('Picks'!$BX$2:$BX$78,"&gt;0",'Picks'!$V$2:$V$78,"loss")),0)</f>
        <v/>
      </c>
      <c r="G7" s="7">
        <f>IFERROR(SUM('Picks'!$BY$2:$BY$78)/SUM('Picks'!$BX$2:$BX$78),0)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SUM('Picks'!$BY$2:$BY$78)</f>
        <v/>
      </c>
      <c r="C10" s="9">
        <f>IFERROR(AVERAGEIF('Picks'!$AB$2:$AB$78,"&lt;&gt;",'Picks'!$AB$2:$AB$78),0)</f>
        <v/>
      </c>
      <c r="E10" s="6">
        <f>COUNTIFS('Picks'!$AM$2:$AM$78,"QUALIFIED_SHADOW_CALL",'Picks'!$U$2:$U$78,"settled")</f>
        <v/>
      </c>
      <c r="G10" s="8">
        <f>SUMIFS('Picks'!$AC$2:$AC$78,'Picks'!$AM$2:$AM$78,"QUALIFIED_SHADOW_CALL")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COUNTIFS('Picks'!$H$2:$H$78,$A14,'Picks'!$U$2:$U$78,"settled")</f>
        <v/>
      </c>
      <c r="C14" s="13">
        <f>COUNTIFS('Picks'!$H$2:$H$78,$A14,'Picks'!$U$2:$U$78,"settled",'Picks'!$V$2:$V$78,"win")</f>
        <v/>
      </c>
      <c r="D14" s="13">
        <f>COUNTIFS('Picks'!$H$2:$H$78,$A14,'Picks'!$U$2:$U$78,"settled",'Picks'!$V$2:$V$78,"loss")</f>
        <v/>
      </c>
      <c r="E14" s="14">
        <f>IFERROR(C14/(C14+D14),0)</f>
        <v/>
      </c>
      <c r="F14" s="15">
        <f>SUMIFS('Picks'!$BY$2:$BY$78,'Picks'!$H$2:$H$78,$A14)</f>
        <v/>
      </c>
      <c r="G14" s="16">
        <f>IFERROR(AVERAGEIFS('Picks'!$AB$2:$AB$78,'Picks'!$H$2:$H$78,$A14,'Picks'!$U$2:$U$78,"settled"),0)</f>
        <v/>
      </c>
    </row>
    <row r="15">
      <c r="A15" s="17" t="inlineStr">
        <is>
          <t>spread</t>
        </is>
      </c>
      <c r="B15" s="18">
        <f>COUNTIFS('Picks'!$H$2:$H$78,$A15,'Picks'!$U$2:$U$78,"settled")</f>
        <v/>
      </c>
      <c r="C15" s="18">
        <f>COUNTIFS('Picks'!$H$2:$H$78,$A15,'Picks'!$U$2:$U$78,"settled",'Picks'!$V$2:$V$78,"win")</f>
        <v/>
      </c>
      <c r="D15" s="18">
        <f>COUNTIFS('Picks'!$H$2:$H$78,$A15,'Picks'!$U$2:$U$78,"settled",'Picks'!$V$2:$V$78,"loss")</f>
        <v/>
      </c>
      <c r="E15" s="19">
        <f>IFERROR(C15/(C15+D15),0)</f>
        <v/>
      </c>
      <c r="F15" s="20">
        <f>SUMIFS('Picks'!$BY$2:$BY$78,'Picks'!$H$2:$H$78,$A15)</f>
        <v/>
      </c>
      <c r="G15" s="21">
        <f>IFERROR(AVERAGEIFS('Picks'!$AB$2:$AB$78,'Picks'!$H$2:$H$78,$A15,'Picks'!$U$2:$U$78,"settled"),0)</f>
        <v/>
      </c>
    </row>
    <row r="16">
      <c r="A16" s="12" t="inlineStr">
        <is>
          <t>total</t>
        </is>
      </c>
      <c r="B16" s="13">
        <f>COUNTIFS('Picks'!$H$2:$H$78,$A16,'Picks'!$U$2:$U$78,"settled")</f>
        <v/>
      </c>
      <c r="C16" s="13">
        <f>COUNTIFS('Picks'!$H$2:$H$78,$A16,'Picks'!$U$2:$U$78,"settled",'Picks'!$V$2:$V$78,"win")</f>
        <v/>
      </c>
      <c r="D16" s="13">
        <f>COUNTIFS('Picks'!$H$2:$H$78,$A16,'Picks'!$U$2:$U$78,"settled",'Picks'!$V$2:$V$78,"loss")</f>
        <v/>
      </c>
      <c r="E16" s="14">
        <f>IFERROR(C16/(C16+D16),0)</f>
        <v/>
      </c>
      <c r="F16" s="15">
        <f>SUMIFS('Picks'!$BY$2:$BY$78,'Picks'!$H$2:$H$78,$A16)</f>
        <v/>
      </c>
      <c r="G16" s="16">
        <f>IFERROR(AVERAGEIFS('Picks'!$AB$2:$AB$78,'Picks'!$H$2:$H$78,$A16,'Picks'!$U$2:$U$78,"settled"),0)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5a671d3d6aa743bd</t>
        </is>
      </c>
      <c r="B52" s="24" t="inlineStr">
        <is>
          <t>2026-08-02T12:28:25.454250Z</t>
        </is>
      </c>
      <c r="C52" s="24" t="inlineStr">
        <is>
          <t>2026-08-02T13:00Z</t>
        </is>
      </c>
      <c r="D52" s="24" t="inlineStr">
        <is>
          <t>401886551</t>
        </is>
      </c>
      <c r="E52" s="24" t="inlineStr">
        <is>
          <t>SOCCER</t>
        </is>
      </c>
      <c r="F52" s="24" t="inlineStr">
        <is>
          <t>Atalanta</t>
        </is>
      </c>
      <c r="G52" s="24" t="inlineStr">
        <is>
          <t>Feyenoord Rotterdam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194</v>
      </c>
      <c r="M52" s="27" t="n">
        <v>2.94</v>
      </c>
      <c r="N52" s="28" t="n">
        <v>0.340136</v>
      </c>
      <c r="O52" s="28" t="n">
        <v>0.575359</v>
      </c>
      <c r="P52" s="28" t="n">
        <v>0.04</v>
      </c>
      <c r="Q52" s="28" t="n">
        <v>0.235223</v>
      </c>
      <c r="R52" s="26" t="n">
        <v>100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2</v>
      </c>
      <c r="Y52" s="25" t="n"/>
      <c r="Z52" s="26" t="n"/>
      <c r="AA52" s="28" t="n"/>
      <c r="AB52" s="28" t="n"/>
      <c r="AC52" s="30" t="n">
        <v>2.425</v>
      </c>
      <c r="AD52" s="24" t="inlineStr">
        <is>
          <t>2026-08-02T15:52:33.778676Z</t>
        </is>
      </c>
      <c r="AE52" s="31" t="inlineStr">
        <is>
          <t>Poisson-DC rates 1.92 (home) / 1.01 (away) from EWMA attack/defense strengths. Executable ask 0.3400 (atc-clbf-fey-ata-2026-08-02-fey).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Atalanta</t>
        </is>
      </c>
      <c r="AQ52" s="24" t="inlineStr">
        <is>
          <t>Atalanta</t>
        </is>
      </c>
      <c r="AR52" s="24" t="inlineStr">
        <is>
          <t>Atalanta</t>
        </is>
      </c>
      <c r="AS52" s="24" t="inlineStr">
        <is>
          <t>Feyenoord Rotterdam</t>
        </is>
      </c>
      <c r="AT52" s="24" t="inlineStr">
        <is>
          <t>Feyenoord Rotterdam</t>
        </is>
      </c>
      <c r="AU52" s="24" t="inlineStr">
        <is>
          <t>Feyenoord Rotterdam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2026-08-02T12:25:27.610137Z</t>
        </is>
      </c>
      <c r="BI52" s="24" t="inlineStr">
        <is>
          <t>["same_event","same_team_same_day","same_league_same_day"]</t>
        </is>
      </c>
      <c r="BJ52" s="25" t="n"/>
      <c r="BK52" s="26" t="n">
        <v>194</v>
      </c>
      <c r="BL52" s="27" t="n">
        <v>2.94</v>
      </c>
      <c r="BM52" s="28" t="n">
        <v>0.340136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e0d15cf8b9934c95</t>
        </is>
      </c>
      <c r="B53" s="24" t="inlineStr">
        <is>
          <t>2026-08-02T15:47:12.114060Z</t>
        </is>
      </c>
      <c r="C53" s="24" t="inlineStr">
        <is>
          <t>2026-08-02T13:00:00-0400</t>
        </is>
      </c>
      <c r="D53" s="24" t="inlineStr">
        <is>
          <t>401857107</t>
        </is>
      </c>
      <c r="E53" s="24" t="inlineStr">
        <is>
          <t>WNBA</t>
        </is>
      </c>
      <c r="F53" s="24" t="inlineStr">
        <is>
          <t>Indiana Fever</t>
        </is>
      </c>
      <c r="G53" s="24" t="inlineStr">
        <is>
          <t>Minnesota Lynx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-194</v>
      </c>
      <c r="M53" s="27" t="n">
        <v>1.515464</v>
      </c>
      <c r="N53" s="28" t="n">
        <v>0.659864</v>
      </c>
      <c r="O53" s="28" t="n">
        <v>0.643489</v>
      </c>
      <c r="P53" s="28" t="n"/>
      <c r="Q53" s="28" t="n">
        <v>-0.016375</v>
      </c>
      <c r="R53" s="26" t="n">
        <v>15</v>
      </c>
      <c r="S53" s="29" t="n">
        <v>1.5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0.6600 (aec-wnba-ind-min-2026-08-02); model edge vs ask -0.0165. NOTE: NO_CALL_AVAILABILITY_PLAYER_UNMAPPED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wnba-ind</t>
        </is>
      </c>
      <c r="AQ53" s="24" t="inlineStr">
        <is>
          <t>Indiana Fever</t>
        </is>
      </c>
      <c r="AR53" s="24" t="inlineStr">
        <is>
          <t>Indiana Fever</t>
        </is>
      </c>
      <c r="AS53" s="24" t="inlineStr">
        <is>
          <t>wnba-min</t>
        </is>
      </c>
      <c r="AT53" s="24" t="inlineStr">
        <is>
          <t>Minnesota Lynx</t>
        </is>
      </c>
      <c r="AU53" s="24" t="inlineStr">
        <is>
          <t>Minnesota Lynx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cb6d856341c7efe7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2026-08-02T15:46:25.259050Z</t>
        </is>
      </c>
      <c r="BI53" s="24" t="inlineStr">
        <is>
          <t>["same_event","same_team_same_day","same_league_same_day"]</t>
        </is>
      </c>
      <c r="BJ53" s="25" t="n"/>
      <c r="BK53" s="26" t="n">
        <v>-194</v>
      </c>
      <c r="BL53" s="27" t="n">
        <v>1.515464</v>
      </c>
      <c r="BM53" s="28" t="n">
        <v>0.659864</v>
      </c>
      <c r="BN53" s="28" t="n">
        <v>0.653465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0.6810434571</t>
        </is>
      </c>
      <c r="CD53" s="24" t="inlineStr">
        <is>
          <t>-4.330577</t>
        </is>
      </c>
      <c r="CE53" s="24" t="n"/>
      <c r="CF53" s="24" t="n"/>
      <c r="CG53" s="24" t="n"/>
      <c r="CH53" s="24" t="n"/>
      <c r="CI53" s="24" t="inlineStr">
        <is>
          <t>NO_CALL_AVAILABILITY_PLAYER_UNMAPPED</t>
        </is>
      </c>
      <c r="CJ53" s="24" t="n"/>
      <c r="CK53" s="24" t="n"/>
      <c r="CL53" s="24" t="n"/>
      <c r="CM53" s="24" t="n"/>
      <c r="CN53" s="24" t="n"/>
      <c r="CO53" s="24" t="n"/>
      <c r="CP53" s="24" t="inlineStr">
        <is>
          <t>False</t>
        </is>
      </c>
    </row>
    <row r="54" ht="36" customHeight="1">
      <c r="A54" s="24" t="inlineStr">
        <is>
          <t>cba20e308b3e4f97</t>
        </is>
      </c>
      <c r="B54" s="24" t="inlineStr">
        <is>
          <t>2026-08-02T15:47:12.114060Z</t>
        </is>
      </c>
      <c r="C54" s="24" t="inlineStr">
        <is>
          <t>2026-08-02T15:30:00-0400</t>
        </is>
      </c>
      <c r="D54" s="24" t="inlineStr">
        <is>
          <t>401857108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Portland Fire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0.57112</v>
      </c>
      <c r="P54" s="28" t="n"/>
      <c r="Q54" s="28" t="n">
        <v>0.07112</v>
      </c>
      <c r="R54" s="26" t="n">
        <v>58</v>
      </c>
      <c r="S54" s="29" t="n">
        <v>1.25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wnba-las</t>
        </is>
      </c>
      <c r="AQ54" s="24" t="inlineStr">
        <is>
          <t>Los Angeles Sparks</t>
        </is>
      </c>
      <c r="AR54" s="24" t="inlineStr">
        <is>
          <t>Los Angeles Sparks</t>
        </is>
      </c>
      <c r="AS54" s="24" t="inlineStr">
        <is>
          <t>wnba-por</t>
        </is>
      </c>
      <c r="AT54" s="24" t="inlineStr">
        <is>
          <t>Portland Fire</t>
        </is>
      </c>
      <c r="AU54" s="24" t="inlineStr">
        <is>
          <t>Portland Fire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58d7c01d51192db8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2026-08-02T15:46:26.229088Z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>
        <v>0.49505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0.5937045717</t>
        </is>
      </c>
      <c r="CD54" s="24" t="inlineStr">
        <is>
          <t>-1.420483</t>
        </is>
      </c>
      <c r="CE54" s="24" t="n"/>
      <c r="CF54" s="24" t="n"/>
      <c r="CG54" s="24" t="n"/>
      <c r="CH54" s="24" t="n"/>
      <c r="CI54" s="24" t="inlineStr">
        <is>
          <t>NO_CALL_AVAILABILITY_PLAYER_UNMAPPED</t>
        </is>
      </c>
      <c r="CJ54" s="24" t="n"/>
      <c r="CK54" s="24" t="n"/>
      <c r="CL54" s="24" t="n"/>
      <c r="CM54" s="24" t="n"/>
      <c r="CN54" s="24" t="n"/>
      <c r="CO54" s="24" t="n"/>
      <c r="CP54" s="24" t="inlineStr">
        <is>
          <t>True</t>
        </is>
      </c>
    </row>
    <row r="55" ht="36" customHeight="1">
      <c r="A55" s="24" t="inlineStr">
        <is>
          <t>1e5e60d81aea451d</t>
        </is>
      </c>
      <c r="B55" s="24" t="inlineStr">
        <is>
          <t>2026-08-02T15:47:12.114060Z</t>
        </is>
      </c>
      <c r="C55" s="24" t="inlineStr">
        <is>
          <t>2026-08-02T19:00:00-0400</t>
        </is>
      </c>
      <c r="D55" s="24" t="inlineStr">
        <is>
          <t>401857109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Dallas Wings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-525</v>
      </c>
      <c r="M55" s="27" t="n">
        <v>1.190476</v>
      </c>
      <c r="N55" s="28" t="n">
        <v>0.84</v>
      </c>
      <c r="O55" s="28" t="n">
        <v>0.758559</v>
      </c>
      <c r="P55" s="28" t="n"/>
      <c r="Q55" s="28" t="n">
        <v>-0.081441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wnba-con</t>
        </is>
      </c>
      <c r="AQ55" s="24" t="inlineStr">
        <is>
          <t>Connecticut Sun</t>
        </is>
      </c>
      <c r="AR55" s="24" t="inlineStr">
        <is>
          <t>Connecticut Sun</t>
        </is>
      </c>
      <c r="AS55" s="24" t="inlineStr">
        <is>
          <t>wnba-dal</t>
        </is>
      </c>
      <c r="AT55" s="24" t="inlineStr">
        <is>
          <t>Dallas Wings</t>
        </is>
      </c>
      <c r="AU55" s="24" t="inlineStr">
        <is>
          <t>Dallas Wings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9c0c7cfe02317de7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2026-08-02T15:46:27.644884Z</t>
        </is>
      </c>
      <c r="BI55" s="24" t="inlineStr">
        <is>
          <t>["same_event","same_team_same_day","same_league_same_day"]</t>
        </is>
      </c>
      <c r="BJ55" s="25" t="n"/>
      <c r="BK55" s="26" t="n">
        <v>-525</v>
      </c>
      <c r="BL55" s="27" t="n">
        <v>1.190476</v>
      </c>
      <c r="BM55" s="28" t="n">
        <v>0.84</v>
      </c>
      <c r="BN55" s="28" t="n">
        <v>0.831683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0.8648169599</t>
        </is>
      </c>
      <c r="CD55" s="24" t="inlineStr">
        <is>
          <t>-2.14749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n"/>
      <c r="CK55" s="24" t="n"/>
      <c r="CL55" s="24" t="n"/>
      <c r="CM55" s="24" t="n"/>
      <c r="CN55" s="24" t="n"/>
      <c r="CO55" s="24" t="n"/>
      <c r="CP55" s="24" t="inlineStr">
        <is>
          <t>False</t>
        </is>
      </c>
    </row>
    <row r="56" ht="36" customHeight="1">
      <c r="A56" s="24" t="inlineStr">
        <is>
          <t>597f1f04f4f34d5e</t>
        </is>
      </c>
      <c r="B56" s="24" t="inlineStr">
        <is>
          <t>2026-08-02T15:47:12.114060Z</t>
        </is>
      </c>
      <c r="C56" s="24" t="inlineStr">
        <is>
          <t>2026-08-02T20:30:00-0400</t>
        </is>
      </c>
      <c r="D56" s="24" t="inlineStr">
        <is>
          <t>401857110</t>
        </is>
      </c>
      <c r="E56" s="24" t="inlineStr">
        <is>
          <t>WNBA</t>
        </is>
      </c>
      <c r="F56" s="24" t="inlineStr">
        <is>
          <t>Toronto Tempo</t>
        </is>
      </c>
      <c r="G56" s="24" t="inlineStr">
        <is>
          <t>Golden State Valkyries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-669</v>
      </c>
      <c r="M56" s="27" t="n">
        <v>1.149477</v>
      </c>
      <c r="N56" s="28" t="n">
        <v>0.869961</v>
      </c>
      <c r="O56" s="28" t="n">
        <v>0.772803</v>
      </c>
      <c r="P56" s="28" t="n"/>
      <c r="Q56" s="28" t="n">
        <v>-0.09715799999999999</v>
      </c>
      <c r="R56" s="26" t="n">
        <v>0</v>
      </c>
      <c r="S56" s="29" t="n">
        <v>2</v>
      </c>
      <c r="T56" s="24" t="inlineStr">
        <is>
          <t>wnba-elo-trend-lr-v4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wnba-tor</t>
        </is>
      </c>
      <c r="AQ56" s="24" t="inlineStr">
        <is>
          <t>Toronto Tempo</t>
        </is>
      </c>
      <c r="AR56" s="24" t="inlineStr">
        <is>
          <t>Toronto Tempo</t>
        </is>
      </c>
      <c r="AS56" s="24" t="inlineStr">
        <is>
          <t>wnba-gsv</t>
        </is>
      </c>
      <c r="AT56" s="24" t="inlineStr">
        <is>
          <t>Golden State Valkyries</t>
        </is>
      </c>
      <c r="AU56" s="24" t="inlineStr">
        <is>
          <t>Golden State Valkyries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7afd5274214b58b7efd7f7febc7be3ab33b92351cda5cc6403c0a39faea0cc8c</t>
        </is>
      </c>
      <c r="BB56" s="24" t="inlineStr">
        <is>
          <t>learned_lr</t>
        </is>
      </c>
      <c r="BC56" s="24" t="inlineStr">
        <is>
          <t>wnba-elo-trend-lr-v4</t>
        </is>
      </c>
      <c r="BD56" s="24" t="inlineStr">
        <is>
          <t>7afd5274214b58b7efd7f7febc7be3ab33b92351cda5cc6403c0a39faea0cc8c</t>
        </is>
      </c>
      <c r="BE56" s="24" t="inlineStr">
        <is>
          <t>c1ef9fc1d2a3714a</t>
        </is>
      </c>
      <c r="BF56" s="24" t="inlineStr">
        <is>
          <t>1</t>
        </is>
      </c>
      <c r="BG56" s="24" t="inlineStr">
        <is>
          <t>wnba-elo-trend-lr-v4</t>
        </is>
      </c>
      <c r="BH56" s="24" t="inlineStr">
        <is>
          <t>2026-08-02T15:46:28.797893Z</t>
        </is>
      </c>
      <c r="BI56" s="24" t="inlineStr">
        <is>
          <t>["same_event","same_team_same_day","same_league_same_day"]</t>
        </is>
      </c>
      <c r="BJ56" s="25" t="n"/>
      <c r="BK56" s="26" t="n">
        <v>-669</v>
      </c>
      <c r="BL56" s="27" t="n">
        <v>1.149477</v>
      </c>
      <c r="BM56" s="28" t="n">
        <v>0.869961</v>
      </c>
      <c r="BN56" s="28" t="n">
        <v>0.861386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0.8973864278</t>
        </is>
      </c>
      <c r="CD56" s="24" t="inlineStr">
        <is>
          <t>2.248193</t>
        </is>
      </c>
      <c r="CE56" s="24" t="n"/>
      <c r="CF56" s="24" t="n"/>
      <c r="CG56" s="24" t="n"/>
      <c r="CH56" s="24" t="n"/>
      <c r="CI56" s="24" t="inlineStr">
        <is>
          <t>NO_CALL_AVAILABILITY_PLAYER_UNMAPPED</t>
        </is>
      </c>
      <c r="CJ56" s="24" t="n"/>
      <c r="CK56" s="24" t="n"/>
      <c r="CL56" s="24" t="n"/>
      <c r="CM56" s="24" t="n"/>
      <c r="CN56" s="24" t="n"/>
      <c r="CO56" s="24" t="n"/>
      <c r="CP56" s="24" t="inlineStr">
        <is>
          <t>False</t>
        </is>
      </c>
    </row>
    <row r="57" ht="36" customHeight="1">
      <c r="A57" s="24" t="inlineStr">
        <is>
          <t>26d75e02023f4712</t>
        </is>
      </c>
      <c r="B57" s="24" t="inlineStr">
        <is>
          <t>2026-08-02T15:47:12.114060Z</t>
        </is>
      </c>
      <c r="C57" s="24" t="inlineStr">
        <is>
          <t>2026-08-02T13:35:00-0400</t>
        </is>
      </c>
      <c r="D57" s="24" t="inlineStr">
        <is>
          <t>401816365</t>
        </is>
      </c>
      <c r="E57" s="24" t="inlineStr">
        <is>
          <t>MLB</t>
        </is>
      </c>
      <c r="F57" s="24" t="inlineStr">
        <is>
          <t>Philadelphia Phillies</t>
        </is>
      </c>
      <c r="G57" s="24" t="inlineStr">
        <is>
          <t>Baltimore Orioles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-130</v>
      </c>
      <c r="M57" s="27" t="n">
        <v>1.769231</v>
      </c>
      <c r="N57" s="28" t="n">
        <v>0.565217</v>
      </c>
      <c r="O57" s="28" t="n">
        <v>0.510402</v>
      </c>
      <c r="P57" s="28" t="n"/>
      <c r="Q57" s="28" t="n">
        <v>-0.054815</v>
      </c>
      <c r="R57" s="26" t="n">
        <v>0</v>
      </c>
      <c r="S57" s="29" t="n">
        <v>1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0.5650 (aec-mlb-phi-bal-2026-08-02); model edge vs ask -0.0546.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mlb-phi</t>
        </is>
      </c>
      <c r="AQ57" s="24" t="inlineStr">
        <is>
          <t>Philadelphia Phillies</t>
        </is>
      </c>
      <c r="AR57" s="24" t="inlineStr">
        <is>
          <t>Philadelphia Phillies</t>
        </is>
      </c>
      <c r="AS57" s="24" t="inlineStr">
        <is>
          <t>mlb-bal</t>
        </is>
      </c>
      <c r="AT57" s="24" t="inlineStr">
        <is>
          <t>Baltimore Orioles</t>
        </is>
      </c>
      <c r="AU57" s="24" t="inlineStr">
        <is>
          <t>Baltimore Orioles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396e9b6ed64f1f86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2026-08-02T15:46:10.204146Z</t>
        </is>
      </c>
      <c r="BI57" s="24" t="inlineStr">
        <is>
          <t>["same_event","same_team_same_day","same_league_same_day"]</t>
        </is>
      </c>
      <c r="BJ57" s="25" t="n"/>
      <c r="BK57" s="26" t="n">
        <v>-130</v>
      </c>
      <c r="BL57" s="27" t="n">
        <v>1.769231</v>
      </c>
      <c r="BM57" s="28" t="n">
        <v>0.565217</v>
      </c>
      <c r="BN57" s="28" t="n">
        <v>0.562189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0.4831243511</t>
        </is>
      </c>
      <c r="CD57" s="24" t="inlineStr">
        <is>
          <t>-0.050102</t>
        </is>
      </c>
      <c r="CE57" s="24" t="inlineStr">
        <is>
          <t>1.03</t>
        </is>
      </c>
      <c r="CF57" s="24" t="inlineStr">
        <is>
          <t>1.0236</t>
        </is>
      </c>
      <c r="CG57" s="24" t="inlineStr">
        <is>
          <t>2.8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inlineStr">
        <is>
          <t>False</t>
        </is>
      </c>
    </row>
    <row r="58" ht="36" customHeight="1">
      <c r="A58" s="24" t="inlineStr">
        <is>
          <t>da298e7b834048cc</t>
        </is>
      </c>
      <c r="B58" s="24" t="inlineStr">
        <is>
          <t>2026-08-02T15:47:12.114060Z</t>
        </is>
      </c>
      <c r="C58" s="24" t="inlineStr">
        <is>
          <t>2026-08-02T13:35:00-0400</t>
        </is>
      </c>
      <c r="D58" s="24" t="inlineStr">
        <is>
          <t>401816368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-113</v>
      </c>
      <c r="M58" s="27" t="n">
        <v>1.884956</v>
      </c>
      <c r="N58" s="28" t="n">
        <v>0.530516</v>
      </c>
      <c r="O58" s="28" t="n">
        <v>0.600545</v>
      </c>
      <c r="P58" s="28" t="n"/>
      <c r="Q58" s="28" t="n">
        <v>0.07002899999999999</v>
      </c>
      <c r="R58" s="26" t="n">
        <v>57</v>
      </c>
      <c r="S58" s="29" t="n">
        <v>1.25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0.5300 (aec-mlb-wsh-atl-2026-08-02); model edge vs ask +0.0705.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2ab775901513f2c3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2026-08-02T15:46:11.267614Z</t>
        </is>
      </c>
      <c r="BI58" s="24" t="inlineStr">
        <is>
          <t>["same_event","same_team_same_day","same_league_same_day"]</t>
        </is>
      </c>
      <c r="BJ58" s="25" t="n"/>
      <c r="BK58" s="26" t="n">
        <v>-113</v>
      </c>
      <c r="BL58" s="27" t="n">
        <v>1.884956</v>
      </c>
      <c r="BM58" s="28" t="n">
        <v>0.530516</v>
      </c>
      <c r="BN58" s="28" t="n">
        <v>0.527363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0.6335187094</t>
        </is>
      </c>
      <c r="CD58" s="24" t="inlineStr">
        <is>
          <t>1.061773</t>
        </is>
      </c>
      <c r="CE58" s="24" t="inlineStr">
        <is>
          <t>0.929</t>
        </is>
      </c>
      <c r="CF58" s="24" t="inlineStr">
        <is>
          <t>1.0167</t>
        </is>
      </c>
      <c r="CG58" s="24" t="inlineStr">
        <is>
          <t>-3.6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inlineStr">
        <is>
          <t>True</t>
        </is>
      </c>
    </row>
    <row r="59" ht="36" customHeight="1">
      <c r="A59" s="24" t="inlineStr">
        <is>
          <t>b869ac225f5a4b52</t>
        </is>
      </c>
      <c r="B59" s="24" t="inlineStr">
        <is>
          <t>2026-08-02T15:47:12.114060Z</t>
        </is>
      </c>
      <c r="C59" s="24" t="inlineStr">
        <is>
          <t>2026-08-02T13:37:00-0400</t>
        </is>
      </c>
      <c r="D59" s="24" t="inlineStr">
        <is>
          <t>401816367</t>
        </is>
      </c>
      <c r="E59" s="24" t="inlineStr">
        <is>
          <t>MLB</t>
        </is>
      </c>
      <c r="F59" s="24" t="inlineStr">
        <is>
          <t>St. Louis Cardinals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-120</v>
      </c>
      <c r="M59" s="27" t="n">
        <v>1.833333</v>
      </c>
      <c r="N59" s="28" t="n">
        <v>0.545455</v>
      </c>
      <c r="O59" s="28" t="n">
        <v>0.536276</v>
      </c>
      <c r="P59" s="28" t="n"/>
      <c r="Q59" s="28" t="n">
        <v>-0.009179</v>
      </c>
      <c r="R59" s="26" t="n">
        <v>17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0.5450 (aec-mlb-stl-tor-2026-08-02); model edge vs ask -0.0087.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mlb-stl</t>
        </is>
      </c>
      <c r="AQ59" s="24" t="inlineStr">
        <is>
          <t>St. Louis Cardinals</t>
        </is>
      </c>
      <c r="AR59" s="24" t="inlineStr">
        <is>
          <t>St. Louis Cardinals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429c13d4c562f5e8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2026-08-02T15:46:12.237303Z</t>
        </is>
      </c>
      <c r="BI59" s="24" t="inlineStr">
        <is>
          <t>["same_event","same_team_same_day","same_league_same_day"]</t>
        </is>
      </c>
      <c r="BJ59" s="25" t="n"/>
      <c r="BK59" s="26" t="n">
        <v>-120</v>
      </c>
      <c r="BL59" s="27" t="n">
        <v>1.833333</v>
      </c>
      <c r="BM59" s="28" t="n">
        <v>0.545455</v>
      </c>
      <c r="BN59" s="28" t="n">
        <v>0.542289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0.5658417148</t>
        </is>
      </c>
      <c r="CD59" s="24" t="inlineStr">
        <is>
          <t>1.499161</t>
        </is>
      </c>
      <c r="CE59" s="24" t="inlineStr">
        <is>
          <t>1.019</t>
        </is>
      </c>
      <c r="CF59" s="24" t="inlineStr">
        <is>
          <t>1.0</t>
        </is>
      </c>
      <c r="CG59" s="24" t="inlineStr">
        <is>
          <t>-2.0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inlineStr">
        <is>
          <t>False</t>
        </is>
      </c>
    </row>
    <row r="60" ht="36" customHeight="1">
      <c r="A60" s="24" t="inlineStr">
        <is>
          <t>e67a642ab043468c</t>
        </is>
      </c>
      <c r="B60" s="24" t="inlineStr">
        <is>
          <t>2026-08-02T15:47:12.114060Z</t>
        </is>
      </c>
      <c r="C60" s="24" t="inlineStr">
        <is>
          <t>2026-08-02T13:40:00-0400</t>
        </is>
      </c>
      <c r="D60" s="24" t="inlineStr">
        <is>
          <t>401816362</t>
        </is>
      </c>
      <c r="E60" s="24" t="inlineStr">
        <is>
          <t>MLB</t>
        </is>
      </c>
      <c r="F60" s="24" t="inlineStr">
        <is>
          <t>Arizona Diamondbacks</t>
        </is>
      </c>
      <c r="G60" s="24" t="inlineStr">
        <is>
          <t>Cleveland Guardians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-160</v>
      </c>
      <c r="M60" s="27" t="n">
        <v>1.625</v>
      </c>
      <c r="N60" s="28" t="n">
        <v>0.615385</v>
      </c>
      <c r="O60" s="28" t="n">
        <v>0.54198</v>
      </c>
      <c r="P60" s="28" t="n"/>
      <c r="Q60" s="28" t="n">
        <v>-0.073405</v>
      </c>
      <c r="R60" s="26" t="n">
        <v>0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0.6150 (aec-mlb-az-cle-2026-08-02); model edge vs ask -0.0730.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mlb-ari</t>
        </is>
      </c>
      <c r="AQ60" s="24" t="inlineStr">
        <is>
          <t>Arizona Diamondbacks</t>
        </is>
      </c>
      <c r="AR60" s="24" t="inlineStr">
        <is>
          <t>Arizona Diamondbacks</t>
        </is>
      </c>
      <c r="AS60" s="24" t="inlineStr">
        <is>
          <t>mlb-cle</t>
        </is>
      </c>
      <c r="AT60" s="24" t="inlineStr">
        <is>
          <t>Cleveland Guardians</t>
        </is>
      </c>
      <c r="AU60" s="24" t="inlineStr">
        <is>
          <t>Cleveland Guardians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78f97c83c3bab22d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2026-08-02T15:46:13.303313Z</t>
        </is>
      </c>
      <c r="BI60" s="24" t="inlineStr">
        <is>
          <t>["same_event","same_team_same_day","same_league_same_day"]</t>
        </is>
      </c>
      <c r="BJ60" s="25" t="n"/>
      <c r="BK60" s="26" t="n">
        <v>-160</v>
      </c>
      <c r="BL60" s="27" t="n">
        <v>1.625</v>
      </c>
      <c r="BM60" s="28" t="n">
        <v>0.615385</v>
      </c>
      <c r="BN60" s="28" t="n">
        <v>0.61194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0.5147263352</t>
        </is>
      </c>
      <c r="CD60" s="24" t="inlineStr">
        <is>
          <t>-1.620545</t>
        </is>
      </c>
      <c r="CE60" s="24" t="inlineStr">
        <is>
          <t>0.966</t>
        </is>
      </c>
      <c r="CF60" s="24" t="inlineStr">
        <is>
          <t>1.0119</t>
        </is>
      </c>
      <c r="CG60" s="24" t="inlineStr">
        <is>
          <t>1.0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inlineStr">
        <is>
          <t>False</t>
        </is>
      </c>
    </row>
    <row r="61" ht="36" customHeight="1">
      <c r="A61" s="24" t="inlineStr">
        <is>
          <t>77286e491e414ba6</t>
        </is>
      </c>
      <c r="B61" s="24" t="inlineStr">
        <is>
          <t>2026-08-02T15:47:12.114060Z</t>
        </is>
      </c>
      <c r="C61" s="24" t="inlineStr">
        <is>
          <t>2026-08-02T13:40:00-0400</t>
        </is>
      </c>
      <c r="D61" s="24" t="inlineStr">
        <is>
          <t>401816363</t>
        </is>
      </c>
      <c r="E61" s="24" t="inlineStr">
        <is>
          <t>MLB</t>
        </is>
      </c>
      <c r="F61" s="24" t="inlineStr">
        <is>
          <t>Chicago White Sox</t>
        </is>
      </c>
      <c r="G61" s="24" t="inlineStr">
        <is>
          <t>Tampa Bay Rays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-138</v>
      </c>
      <c r="M61" s="27" t="n">
        <v>1.724638</v>
      </c>
      <c r="N61" s="28" t="n">
        <v>0.579832</v>
      </c>
      <c r="O61" s="28" t="n">
        <v>0.565508</v>
      </c>
      <c r="P61" s="28" t="n"/>
      <c r="Q61" s="28" t="n">
        <v>-0.014324</v>
      </c>
      <c r="R61" s="26" t="n">
        <v>14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0.5800 (aec-mlb-cws-tb-2026-08-02); model edge vs ask -0.0145.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mlb-cws</t>
        </is>
      </c>
      <c r="AQ61" s="24" t="inlineStr">
        <is>
          <t>Chicago White Sox</t>
        </is>
      </c>
      <c r="AR61" s="24" t="inlineStr">
        <is>
          <t>Chicago White Sox</t>
        </is>
      </c>
      <c r="AS61" s="24" t="inlineStr">
        <is>
          <t>mlb-tb</t>
        </is>
      </c>
      <c r="AT61" s="24" t="inlineStr">
        <is>
          <t>Tampa Bay Rays</t>
        </is>
      </c>
      <c r="AU61" s="24" t="inlineStr">
        <is>
          <t>Tampa Bay Rays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adafae297aed5d6c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2026-08-02T15:46:16.183877Z</t>
        </is>
      </c>
      <c r="BI61" s="24" t="inlineStr">
        <is>
          <t>["same_event","same_team_same_day","same_league_same_day"]</t>
        </is>
      </c>
      <c r="BJ61" s="25" t="n"/>
      <c r="BK61" s="26" t="n">
        <v>-138</v>
      </c>
      <c r="BL61" s="27" t="n">
        <v>1.724638</v>
      </c>
      <c r="BM61" s="28" t="n">
        <v>0.579832</v>
      </c>
      <c r="BN61" s="28" t="n">
        <v>0.577114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0.5503982216</t>
        </is>
      </c>
      <c r="CD61" s="24" t="inlineStr">
        <is>
          <t>-0.597101</t>
        </is>
      </c>
      <c r="CE61" s="24" t="inlineStr">
        <is>
          <t>0.965</t>
        </is>
      </c>
      <c r="CF61" s="24" t="inlineStr">
        <is>
          <t>1.0</t>
        </is>
      </c>
      <c r="CG61" s="24" t="inlineStr">
        <is>
          <t>0.2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inlineStr">
        <is>
          <t>False</t>
        </is>
      </c>
    </row>
    <row r="62" ht="36" customHeight="1">
      <c r="A62" s="24" t="inlineStr">
        <is>
          <t>a09ce6c925cc409a</t>
        </is>
      </c>
      <c r="B62" s="24" t="inlineStr">
        <is>
          <t>2026-08-02T15:47:12.114060Z</t>
        </is>
      </c>
      <c r="C62" s="24" t="inlineStr">
        <is>
          <t>2026-08-02T13:40:00-0400</t>
        </is>
      </c>
      <c r="D62" s="24" t="inlineStr">
        <is>
          <t>401816364</t>
        </is>
      </c>
      <c r="E62" s="24" t="inlineStr">
        <is>
          <t>MLB</t>
        </is>
      </c>
      <c r="F62" s="24" t="inlineStr">
        <is>
          <t>Miami Marlins</t>
        </is>
      </c>
      <c r="G62" s="24" t="inlineStr">
        <is>
          <t>New York Mets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108</v>
      </c>
      <c r="M62" s="27" t="n">
        <v>2.08</v>
      </c>
      <c r="N62" s="28" t="n">
        <v>0.480769</v>
      </c>
      <c r="O62" s="28" t="n">
        <v>0.519099</v>
      </c>
      <c r="P62" s="28" t="n"/>
      <c r="Q62" s="28" t="n">
        <v>0.03833</v>
      </c>
      <c r="R62" s="26" t="n">
        <v>41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0.4800 (aec-mlb-mia-nym-2026-08-02); model edge vs ask +0.0391.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mlb-mia</t>
        </is>
      </c>
      <c r="AQ62" s="24" t="inlineStr">
        <is>
          <t>Miami Marlins</t>
        </is>
      </c>
      <c r="AR62" s="24" t="inlineStr">
        <is>
          <t>Miami Marlins</t>
        </is>
      </c>
      <c r="AS62" s="24" t="inlineStr">
        <is>
          <t>mlb-nym</t>
        </is>
      </c>
      <c r="AT62" s="24" t="inlineStr">
        <is>
          <t>New York Mets</t>
        </is>
      </c>
      <c r="AU62" s="24" t="inlineStr">
        <is>
          <t>New York Mets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013a86e9f49cbd87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2026-08-02T15:46:15.017661Z</t>
        </is>
      </c>
      <c r="BI62" s="24" t="inlineStr">
        <is>
          <t>["same_event","same_team_same_day","same_league_same_day"]</t>
        </is>
      </c>
      <c r="BJ62" s="25" t="n"/>
      <c r="BK62" s="26" t="n">
        <v>108</v>
      </c>
      <c r="BL62" s="27" t="n">
        <v>2.08</v>
      </c>
      <c r="BM62" s="28" t="n">
        <v>0.480769</v>
      </c>
      <c r="BN62" s="28" t="n">
        <v>0.477612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0.4938777222</t>
        </is>
      </c>
      <c r="CD62" s="24" t="inlineStr">
        <is>
          <t>-0.998113</t>
        </is>
      </c>
      <c r="CE62" s="24" t="inlineStr">
        <is>
          <t>0.978</t>
        </is>
      </c>
      <c r="CF62" s="24" t="inlineStr">
        <is>
          <t>1.0245</t>
        </is>
      </c>
      <c r="CG62" s="24" t="inlineStr">
        <is>
          <t>0.4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inlineStr">
        <is>
          <t>True</t>
        </is>
      </c>
    </row>
    <row r="63" ht="36" customHeight="1">
      <c r="A63" s="24" t="inlineStr">
        <is>
          <t>1dc7236400314660</t>
        </is>
      </c>
      <c r="B63" s="24" t="inlineStr">
        <is>
          <t>2026-08-02T15:47:12.114060Z</t>
        </is>
      </c>
      <c r="C63" s="24" t="inlineStr">
        <is>
          <t>2026-08-02T13:40:00-0400</t>
        </is>
      </c>
      <c r="D63" s="24" t="inlineStr">
        <is>
          <t>401816366</t>
        </is>
      </c>
      <c r="E63" s="24" t="inlineStr">
        <is>
          <t>MLB</t>
        </is>
      </c>
      <c r="F63" s="24" t="inlineStr">
        <is>
          <t>Pittsburgh Pirates</t>
        </is>
      </c>
      <c r="G63" s="24" t="inlineStr">
        <is>
          <t>Cincinnati Reds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127</v>
      </c>
      <c r="M63" s="27" t="n">
        <v>2.27</v>
      </c>
      <c r="N63" s="28" t="n">
        <v>0.440529</v>
      </c>
      <c r="O63" s="28" t="n">
        <v>0.518492</v>
      </c>
      <c r="P63" s="28" t="n"/>
      <c r="Q63" s="28" t="n">
        <v>0.077963</v>
      </c>
      <c r="R63" s="26" t="n">
        <v>60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0.4400 (aec-mlb-pit-cin-2026-08-02); model edge vs ask +0.0785.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mlb-pit</t>
        </is>
      </c>
      <c r="AQ63" s="24" t="inlineStr">
        <is>
          <t>Pittsburgh Pirates</t>
        </is>
      </c>
      <c r="AR63" s="24" t="inlineStr">
        <is>
          <t>Pittsburgh Pirates</t>
        </is>
      </c>
      <c r="AS63" s="24" t="inlineStr">
        <is>
          <t>mlb-cin</t>
        </is>
      </c>
      <c r="AT63" s="24" t="inlineStr">
        <is>
          <t>Cincinnati Reds</t>
        </is>
      </c>
      <c r="AU63" s="24" t="inlineStr">
        <is>
          <t>Cincinnati Reds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0929ee2ba98690ba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2026-08-02T15:46:14.205645Z</t>
        </is>
      </c>
      <c r="BI63" s="24" t="inlineStr">
        <is>
          <t>["same_event","same_team_same_day","same_league_same_day"]</t>
        </is>
      </c>
      <c r="BJ63" s="25" t="n"/>
      <c r="BK63" s="26" t="n">
        <v>127</v>
      </c>
      <c r="BL63" s="27" t="n">
        <v>2.27</v>
      </c>
      <c r="BM63" s="28" t="n">
        <v>0.440529</v>
      </c>
      <c r="BN63" s="28" t="n">
        <v>0.437811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0.4891381657</t>
        </is>
      </c>
      <c r="CD63" s="24" t="inlineStr">
        <is>
          <t>0.471311</t>
        </is>
      </c>
      <c r="CE63" s="24" t="inlineStr">
        <is>
          <t>1.036</t>
        </is>
      </c>
      <c r="CF63" s="24" t="inlineStr">
        <is>
          <t>1.0038</t>
        </is>
      </c>
      <c r="CG63" s="24" t="inlineStr">
        <is>
          <t>-0.8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inlineStr">
        <is>
          <t>True</t>
        </is>
      </c>
    </row>
    <row r="64" ht="36" customHeight="1">
      <c r="A64" s="24" t="inlineStr">
        <is>
          <t>6cfbeacfc39a42f5</t>
        </is>
      </c>
      <c r="B64" s="24" t="inlineStr">
        <is>
          <t>2026-08-02T15:47:12.114060Z</t>
        </is>
      </c>
      <c r="C64" s="24" t="inlineStr">
        <is>
          <t>2026-08-02T14:10:00-0400</t>
        </is>
      </c>
      <c r="D64" s="24" t="inlineStr">
        <is>
          <t>401816370</t>
        </is>
      </c>
      <c r="E64" s="24" t="inlineStr">
        <is>
          <t>MLB</t>
        </is>
      </c>
      <c r="F64" s="24" t="inlineStr">
        <is>
          <t>Texas Rangers</t>
        </is>
      </c>
      <c r="G64" s="24" t="inlineStr">
        <is>
          <t>Houston Astros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-127</v>
      </c>
      <c r="M64" s="27" t="n">
        <v>1.787402</v>
      </c>
      <c r="N64" s="28" t="n">
        <v>0.5594710000000001</v>
      </c>
      <c r="O64" s="28" t="n">
        <v>0.538187</v>
      </c>
      <c r="P64" s="28" t="n"/>
      <c r="Q64" s="28" t="n">
        <v>-0.021284</v>
      </c>
      <c r="R64" s="26" t="n">
        <v>10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0.5600 (aec-mlb-tex-hou-2026-08-02); model edge vs ask -0.0218.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mlb-tex</t>
        </is>
      </c>
      <c r="AQ64" s="24" t="inlineStr">
        <is>
          <t>Texas Rangers</t>
        </is>
      </c>
      <c r="AR64" s="24" t="inlineStr">
        <is>
          <t>Texas Rangers</t>
        </is>
      </c>
      <c r="AS64" s="24" t="inlineStr">
        <is>
          <t>mlb-hou</t>
        </is>
      </c>
      <c r="AT64" s="24" t="inlineStr">
        <is>
          <t>Houston Astros</t>
        </is>
      </c>
      <c r="AU64" s="24" t="inlineStr">
        <is>
          <t>Houston Astros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2d42dfba300c1668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2026-08-02T15:46:17.051792Z</t>
        </is>
      </c>
      <c r="BI64" s="24" t="inlineStr">
        <is>
          <t>["same_event","same_team_same_day","same_league_same_day"]</t>
        </is>
      </c>
      <c r="BJ64" s="25" t="n"/>
      <c r="BK64" s="26" t="n">
        <v>-127</v>
      </c>
      <c r="BL64" s="27" t="n">
        <v>1.787402</v>
      </c>
      <c r="BM64" s="28" t="n">
        <v>0.5594710000000001</v>
      </c>
      <c r="BN64" s="28" t="n">
        <v>0.557214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0.5570987062</t>
        </is>
      </c>
      <c r="CD64" s="24" t="inlineStr">
        <is>
          <t>1.976345</t>
        </is>
      </c>
      <c r="CE64" s="24" t="inlineStr">
        <is>
          <t>0.956</t>
        </is>
      </c>
      <c r="CF64" s="24" t="inlineStr">
        <is>
          <t>1.0</t>
        </is>
      </c>
      <c r="CG64" s="24" t="inlineStr">
        <is>
          <t>-1.4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inlineStr">
        <is>
          <t>False</t>
        </is>
      </c>
    </row>
    <row r="65" ht="36" customHeight="1">
      <c r="A65" s="24" t="inlineStr">
        <is>
          <t>7167d03c44e24846</t>
        </is>
      </c>
      <c r="B65" s="24" t="inlineStr">
        <is>
          <t>2026-08-02T15:47:12.114060Z</t>
        </is>
      </c>
      <c r="C65" s="24" t="inlineStr">
        <is>
          <t>2026-08-02T14:20:00-0400</t>
        </is>
      </c>
      <c r="D65" s="24" t="inlineStr">
        <is>
          <t>401816369</t>
        </is>
      </c>
      <c r="E65" s="24" t="inlineStr">
        <is>
          <t>MLB</t>
        </is>
      </c>
      <c r="F65" s="24" t="inlineStr">
        <is>
          <t>New York Yankees</t>
        </is>
      </c>
      <c r="G65" s="24" t="inlineStr">
        <is>
          <t>Chicago Cubs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115</v>
      </c>
      <c r="M65" s="27" t="n">
        <v>2.15</v>
      </c>
      <c r="N65" s="28" t="n">
        <v>0.465116</v>
      </c>
      <c r="O65" s="28" t="n">
        <v>0.549233</v>
      </c>
      <c r="P65" s="28" t="n"/>
      <c r="Q65" s="28" t="n">
        <v>0.084117</v>
      </c>
      <c r="R65" s="26" t="n">
        <v>63</v>
      </c>
      <c r="S65" s="29" t="n">
        <v>1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0.4650 (aec-mlb-nyy-chc-2026-08-02); model edge vs ask +0.0842.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mlb-nyy</t>
        </is>
      </c>
      <c r="AQ65" s="24" t="inlineStr">
        <is>
          <t>New York Yankees</t>
        </is>
      </c>
      <c r="AR65" s="24" t="inlineStr">
        <is>
          <t>New York Yankees</t>
        </is>
      </c>
      <c r="AS65" s="24" t="inlineStr">
        <is>
          <t>mlb-chc</t>
        </is>
      </c>
      <c r="AT65" s="24" t="inlineStr">
        <is>
          <t>Chicago Cubs</t>
        </is>
      </c>
      <c r="AU65" s="24" t="inlineStr">
        <is>
          <t>Chicago Cubs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d88c9d9a1fbe820c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2026-08-02T15:46:17.714917Z</t>
        </is>
      </c>
      <c r="BI65" s="24" t="inlineStr">
        <is>
          <t>["same_event","same_team_same_day","same_league_same_day"]</t>
        </is>
      </c>
      <c r="BJ65" s="25" t="n"/>
      <c r="BK65" s="26" t="n">
        <v>115</v>
      </c>
      <c r="BL65" s="27" t="n">
        <v>2.15</v>
      </c>
      <c r="BM65" s="28" t="n">
        <v>0.465116</v>
      </c>
      <c r="BN65" s="28" t="n">
        <v>0.462687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0.5479631024</t>
        </is>
      </c>
      <c r="CD65" s="24" t="inlineStr">
        <is>
          <t>0.358864</t>
        </is>
      </c>
      <c r="CE65" s="24" t="inlineStr">
        <is>
          <t>0.986</t>
        </is>
      </c>
      <c r="CF65" s="24" t="inlineStr">
        <is>
          <t>1.0137</t>
        </is>
      </c>
      <c r="CG65" s="24" t="inlineStr">
        <is>
          <t>-0.8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inlineStr">
        <is>
          <t>True</t>
        </is>
      </c>
    </row>
    <row r="66" ht="36" customHeight="1">
      <c r="A66" s="24" t="inlineStr">
        <is>
          <t>2bf8f40148ce43a7</t>
        </is>
      </c>
      <c r="B66" s="24" t="inlineStr">
        <is>
          <t>2026-08-02T15:47:12.114060Z</t>
        </is>
      </c>
      <c r="C66" s="24" t="inlineStr">
        <is>
          <t>2026-08-02T15:10:00-0400</t>
        </is>
      </c>
      <c r="D66" s="24" t="inlineStr">
        <is>
          <t>401816371</t>
        </is>
      </c>
      <c r="E66" s="24" t="inlineStr">
        <is>
          <t>MLB</t>
        </is>
      </c>
      <c r="F66" s="24" t="inlineStr">
        <is>
          <t>Kansas City Royals</t>
        </is>
      </c>
      <c r="G66" s="24" t="inlineStr">
        <is>
          <t>Colorado Rockies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120</v>
      </c>
      <c r="M66" s="27" t="n">
        <v>2.2</v>
      </c>
      <c r="N66" s="28" t="n">
        <v>0.454545</v>
      </c>
      <c r="O66" s="28" t="n">
        <v>0.60006</v>
      </c>
      <c r="P66" s="28" t="n"/>
      <c r="Q66" s="28" t="n">
        <v>0.145515</v>
      </c>
      <c r="R66" s="26" t="n">
        <v>94</v>
      </c>
      <c r="S66" s="29" t="n">
        <v>1.25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0.4550 (aec-mlb-kc-col-2026-08-02); model edge vs ask +0.1451.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mlb-kc</t>
        </is>
      </c>
      <c r="AQ66" s="24" t="inlineStr">
        <is>
          <t>Kansas City Royals</t>
        </is>
      </c>
      <c r="AR66" s="24" t="inlineStr">
        <is>
          <t>Kansas City Royals</t>
        </is>
      </c>
      <c r="AS66" s="24" t="inlineStr">
        <is>
          <t>mlb-col</t>
        </is>
      </c>
      <c r="AT66" s="24" t="inlineStr">
        <is>
          <t>Colorado Rockies</t>
        </is>
      </c>
      <c r="AU66" s="24" t="inlineStr">
        <is>
          <t>Colorado Rockies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62dbe7754fcae735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2026-08-02T15:46:19.019436Z</t>
        </is>
      </c>
      <c r="BI66" s="24" t="inlineStr">
        <is>
          <t>["same_event","same_team_same_day","same_league_same_day"]</t>
        </is>
      </c>
      <c r="BJ66" s="25" t="n"/>
      <c r="BK66" s="26" t="n">
        <v>120</v>
      </c>
      <c r="BL66" s="27" t="n">
        <v>2.2</v>
      </c>
      <c r="BM66" s="28" t="n">
        <v>0.454545</v>
      </c>
      <c r="BN66" s="28" t="n">
        <v>0.452736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0.4463973804</t>
        </is>
      </c>
      <c r="CD66" s="24" t="inlineStr">
        <is>
          <t>1.55286</t>
        </is>
      </c>
      <c r="CE66" s="24" t="inlineStr">
        <is>
          <t>1.193</t>
        </is>
      </c>
      <c r="CF66" s="24" t="inlineStr">
        <is>
          <t>1.0315</t>
        </is>
      </c>
      <c r="CG66" s="24" t="inlineStr">
        <is>
          <t>1.4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inlineStr">
        <is>
          <t>True</t>
        </is>
      </c>
    </row>
    <row r="67" ht="36" customHeight="1">
      <c r="A67" s="24" t="inlineStr">
        <is>
          <t>ceeed1e68c8f464b</t>
        </is>
      </c>
      <c r="B67" s="24" t="inlineStr">
        <is>
          <t>2026-08-02T15:47:12.114060Z</t>
        </is>
      </c>
      <c r="C67" s="24" t="inlineStr">
        <is>
          <t>2026-08-02T15:15:00-0400</t>
        </is>
      </c>
      <c r="D67" s="24" t="inlineStr">
        <is>
          <t>401816374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-217</v>
      </c>
      <c r="M67" s="27" t="n">
        <v>1.460829</v>
      </c>
      <c r="N67" s="28" t="n">
        <v>0.684543</v>
      </c>
      <c r="O67" s="28" t="n">
        <v>0.625622</v>
      </c>
      <c r="P67" s="28" t="n"/>
      <c r="Q67" s="28" t="n">
        <v>-0.058921</v>
      </c>
      <c r="R67" s="26" t="n">
        <v>0</v>
      </c>
      <c r="S67" s="29" t="n">
        <v>1.5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0.6850 (aec-mlb-mil-laa-2026-08-02); model edge vs ask -0.0594.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82a9ab0f1e6ef134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2026-08-02T15:46:19.636487Z</t>
        </is>
      </c>
      <c r="BI67" s="24" t="inlineStr">
        <is>
          <t>["same_event","same_team_same_day","same_league_same_day"]</t>
        </is>
      </c>
      <c r="BJ67" s="25" t="n"/>
      <c r="BK67" s="26" t="n">
        <v>-217</v>
      </c>
      <c r="BL67" s="27" t="n">
        <v>1.460829</v>
      </c>
      <c r="BM67" s="28" t="n">
        <v>0.684543</v>
      </c>
      <c r="BN67" s="28" t="n">
        <v>0.681592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0.3268450055</t>
        </is>
      </c>
      <c r="CD67" s="24" t="inlineStr">
        <is>
          <t>-0.59379</t>
        </is>
      </c>
      <c r="CE67" s="24" t="inlineStr">
        <is>
          <t>1.01</t>
        </is>
      </c>
      <c r="CF67" s="24" t="inlineStr">
        <is>
          <t>1.0178</t>
        </is>
      </c>
      <c r="CG67" s="24" t="inlineStr">
        <is>
          <t>0.2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inlineStr">
        <is>
          <t>False</t>
        </is>
      </c>
    </row>
    <row r="68" ht="36" customHeight="1">
      <c r="A68" s="24" t="inlineStr">
        <is>
          <t>ea2152bb0f0f433d</t>
        </is>
      </c>
      <c r="B68" s="24" t="inlineStr">
        <is>
          <t>2026-08-02T15:47:12.114060Z</t>
        </is>
      </c>
      <c r="C68" s="24" t="inlineStr">
        <is>
          <t>2026-08-02T16:05:00-0400</t>
        </is>
      </c>
      <c r="D68" s="24" t="inlineStr">
        <is>
          <t>401816373</t>
        </is>
      </c>
      <c r="E68" s="24" t="inlineStr">
        <is>
          <t>MLB</t>
        </is>
      </c>
      <c r="F68" s="24" t="inlineStr">
        <is>
          <t>Detroit Tigers</t>
        </is>
      </c>
      <c r="G68" s="24" t="inlineStr">
        <is>
          <t>Athletics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0.559409</v>
      </c>
      <c r="P68" s="28" t="n"/>
      <c r="Q68" s="28" t="n">
        <v>0.040178</v>
      </c>
      <c r="R68" s="26" t="n">
        <v>41</v>
      </c>
      <c r="S68" s="29" t="n">
        <v>1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0.5200 (aec-mlb-det-ath-2026-08-02); model edge vs ask +0.0394.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mlb-det</t>
        </is>
      </c>
      <c r="AQ68" s="24" t="inlineStr">
        <is>
          <t>Detroit Tigers</t>
        </is>
      </c>
      <c r="AR68" s="24" t="inlineStr">
        <is>
          <t>Detroit Tigers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4c763ac6e835dcdb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2026-08-02T15:46:20.858339Z</t>
        </is>
      </c>
      <c r="BI68" s="24" t="inlineStr">
        <is>
          <t>["same_event","same_team_same_day","same_league_same_day"]</t>
        </is>
      </c>
      <c r="BJ68" s="25" t="n"/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0.4182489247</t>
        </is>
      </c>
      <c r="CD68" s="24" t="inlineStr">
        <is>
          <t>-3.449013</t>
        </is>
      </c>
      <c r="CE68" s="24" t="inlineStr">
        <is>
          <t>1.153</t>
        </is>
      </c>
      <c r="CF68" s="24" t="inlineStr">
        <is>
          <t>1.0282</t>
        </is>
      </c>
      <c r="CG68" s="24" t="inlineStr">
        <is>
          <t>1.0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inlineStr">
        <is>
          <t>True</t>
        </is>
      </c>
    </row>
    <row r="69" ht="36" customHeight="1">
      <c r="A69" s="24" t="inlineStr">
        <is>
          <t>9d8c8302731c4a42</t>
        </is>
      </c>
      <c r="B69" s="24" t="inlineStr">
        <is>
          <t>2026-08-02T15:47:12.114060Z</t>
        </is>
      </c>
      <c r="C69" s="24" t="inlineStr">
        <is>
          <t>2026-08-02T16:10:00-0400</t>
        </is>
      </c>
      <c r="D69" s="24" t="inlineStr">
        <is>
          <t>401816375</t>
        </is>
      </c>
      <c r="E69" s="24" t="inlineStr">
        <is>
          <t>MLB</t>
        </is>
      </c>
      <c r="F69" s="24" t="inlineStr">
        <is>
          <t>Minnesota Twins</t>
        </is>
      </c>
      <c r="G69" s="24" t="inlineStr">
        <is>
          <t>Seattle Mariners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0.596425</v>
      </c>
      <c r="P69" s="28" t="n"/>
      <c r="Q69" s="28" t="n">
        <v>0.036954</v>
      </c>
      <c r="R69" s="26" t="n">
        <v>40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0.5600 (aec-mlb-min-sea-2026-08-02); model edge vs ask +0.0364.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mlb-min</t>
        </is>
      </c>
      <c r="AQ69" s="24" t="inlineStr">
        <is>
          <t>Minnesota Twins</t>
        </is>
      </c>
      <c r="AR69" s="24" t="inlineStr">
        <is>
          <t>Minnesota Twins</t>
        </is>
      </c>
      <c r="AS69" s="24" t="inlineStr">
        <is>
          <t>mlb-sea</t>
        </is>
      </c>
      <c r="AT69" s="24" t="inlineStr">
        <is>
          <t>Seattle Mariners</t>
        </is>
      </c>
      <c r="AU69" s="24" t="inlineStr">
        <is>
          <t>Seattle Mariners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e58bfb84888a3f7a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2026-08-02T15:46:22.683047Z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>
        <v>0.557214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0.5819178739</t>
        </is>
      </c>
      <c r="CD69" s="24" t="inlineStr">
        <is>
          <t>0.703281</t>
        </is>
      </c>
      <c r="CE69" s="24" t="inlineStr">
        <is>
          <t>0.936</t>
        </is>
      </c>
      <c r="CF69" s="24" t="inlineStr">
        <is>
          <t>1.0</t>
        </is>
      </c>
      <c r="CG69" s="24" t="inlineStr">
        <is>
          <t>1.8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inlineStr">
        <is>
          <t>True</t>
        </is>
      </c>
    </row>
    <row r="70" ht="36" customHeight="1">
      <c r="A70" s="24" t="inlineStr">
        <is>
          <t>14410263dfac4016</t>
        </is>
      </c>
      <c r="B70" s="24" t="inlineStr">
        <is>
          <t>2026-08-02T15:47:12.114060Z</t>
        </is>
      </c>
      <c r="C70" s="24" t="inlineStr">
        <is>
          <t>2026-08-02T16:10:00-0400</t>
        </is>
      </c>
      <c r="D70" s="24" t="inlineStr">
        <is>
          <t>401816376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0.589154</v>
      </c>
      <c r="P70" s="28" t="n"/>
      <c r="Q70" s="28" t="n">
        <v>0.009322</v>
      </c>
      <c r="R70" s="26" t="n">
        <v>26</v>
      </c>
      <c r="S70" s="29" t="n">
        <v>1.25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0.5800 (aec-mlb-sf-sd-2026-08-02); model edge vs ask +0.0092.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be3929e3cfe65fa0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2026-08-02T15:46:21.851531Z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0.5952401601</t>
        </is>
      </c>
      <c r="CD70" s="24" t="inlineStr">
        <is>
          <t>0.046644</t>
        </is>
      </c>
      <c r="CE70" s="24" t="inlineStr">
        <is>
          <t>0.945</t>
        </is>
      </c>
      <c r="CF70" s="24" t="inlineStr">
        <is>
          <t>1.0095</t>
        </is>
      </c>
      <c r="CG70" s="24" t="inlineStr">
        <is>
          <t>-1.6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inlineStr">
        <is>
          <t>True</t>
        </is>
      </c>
    </row>
    <row r="71" ht="36" customHeight="1">
      <c r="A71" s="24" t="inlineStr">
        <is>
          <t>68d34bd631ae4766</t>
        </is>
      </c>
      <c r="B71" s="24" t="inlineStr">
        <is>
          <t>2026-08-02T15:47:12.114060Z</t>
        </is>
      </c>
      <c r="C71" s="24" t="inlineStr">
        <is>
          <t>2026-08-02T19:20:00-0400</t>
        </is>
      </c>
      <c r="D71" s="24" t="inlineStr">
        <is>
          <t>401816372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-167</v>
      </c>
      <c r="M71" s="27" t="n">
        <v>1.598802</v>
      </c>
      <c r="N71" s="28" t="n">
        <v>0.625468</v>
      </c>
      <c r="O71" s="28" t="n">
        <v>0.559397</v>
      </c>
      <c r="P71" s="28" t="n"/>
      <c r="Q71" s="28" t="n">
        <v>-0.066071</v>
      </c>
      <c r="R71" s="26" t="n">
        <v>0</v>
      </c>
      <c r="S71" s="29" t="n">
        <v>1</v>
      </c>
      <c r="T71" s="24" t="inlineStr">
        <is>
          <t>mlb-elo-trend-lr-v7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0.6242; executable ask 0.6250 (aec-mlb-bos-lad-2026-08-02); model edge vs ask -0.0656.</t>
        </is>
      </c>
      <c r="AF71" s="31" t="inlineStr">
        <is>
          <t>Learned model; shadow-qualified via operator override.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8ffc7cccca1bf73e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2026-08-02T15:46:23.855093Z</t>
        </is>
      </c>
      <c r="BI71" s="24" t="inlineStr">
        <is>
          <t>["same_event","same_team_same_day","same_league_same_day"]</t>
        </is>
      </c>
      <c r="BJ71" s="25" t="n"/>
      <c r="BK71" s="26" t="n">
        <v>-167</v>
      </c>
      <c r="BL71" s="27" t="n">
        <v>1.598802</v>
      </c>
      <c r="BM71" s="28" t="n">
        <v>0.625468</v>
      </c>
      <c r="BN71" s="28" t="n">
        <v>0.621891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0.5465616607</t>
        </is>
      </c>
      <c r="CD71" s="24" t="inlineStr">
        <is>
          <t>-0.812713</t>
        </is>
      </c>
      <c r="CE71" s="24" t="inlineStr">
        <is>
          <t>1.026</t>
        </is>
      </c>
      <c r="CF71" s="24" t="inlineStr">
        <is>
          <t>1.0169</t>
        </is>
      </c>
      <c r="CG71" s="24" t="inlineStr">
        <is>
          <t>2.6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inlineStr">
        <is>
          <t>False</t>
        </is>
      </c>
    </row>
    <row r="72" ht="36" customHeight="1">
      <c r="A72" s="24" t="inlineStr">
        <is>
          <t>dd2cf74e417f4cee</t>
        </is>
      </c>
      <c r="B72" s="24" t="inlineStr">
        <is>
          <t>2026-08-02T15:49:40.829108Z</t>
        </is>
      </c>
      <c r="C72" s="24" t="inlineStr">
        <is>
          <t>2026-08-02T17:30Z</t>
        </is>
      </c>
      <c r="D72" s="24" t="inlineStr">
        <is>
          <t>401841470</t>
        </is>
      </c>
      <c r="E72" s="24" t="inlineStr">
        <is>
          <t>SOCCER</t>
        </is>
      </c>
      <c r="F72" s="24" t="inlineStr">
        <is>
          <t>Gimnasia La Plata</t>
        </is>
      </c>
      <c r="G72" s="24" t="inlineStr">
        <is>
          <t>Aldosivi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233</v>
      </c>
      <c r="M72" s="27" t="n">
        <v>3.33</v>
      </c>
      <c r="N72" s="28" t="n">
        <v>0.3003</v>
      </c>
      <c r="O72" s="28" t="n">
        <v>0.456135</v>
      </c>
      <c r="P72" s="28" t="n">
        <v>0.2</v>
      </c>
      <c r="Q72" s="28" t="n">
        <v>0.155835</v>
      </c>
      <c r="R72" s="26" t="n">
        <v>8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0.3000 (atc-lpa-ald-gim-2026-08-02-ald).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Gimnasia La Plata</t>
        </is>
      </c>
      <c r="AQ72" s="24" t="inlineStr">
        <is>
          <t>Gimnasia La Plata</t>
        </is>
      </c>
      <c r="AR72" s="24" t="inlineStr">
        <is>
          <t>Gimnasia La Plata</t>
        </is>
      </c>
      <c r="AS72" s="24" t="inlineStr">
        <is>
          <t>Aldosivi</t>
        </is>
      </c>
      <c r="AT72" s="24" t="inlineStr">
        <is>
          <t>Aldosivi</t>
        </is>
      </c>
      <c r="AU72" s="24" t="inlineStr">
        <is>
          <t>Aldosivi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2026-08-02T15:46:29.596146Z</t>
        </is>
      </c>
      <c r="BI72" s="24" t="inlineStr">
        <is>
          <t>["same_event","same_team_same_day","same_league_same_day"]</t>
        </is>
      </c>
      <c r="BJ72" s="25" t="n"/>
      <c r="BK72" s="26" t="n">
        <v>233</v>
      </c>
      <c r="BL72" s="27" t="n">
        <v>3.33</v>
      </c>
      <c r="BM72" s="28" t="n">
        <v>0.3003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inlineStr">
        <is>
          <t>True</t>
        </is>
      </c>
    </row>
    <row r="73" ht="36" customHeight="1">
      <c r="A73" s="24" t="inlineStr">
        <is>
          <t>bcd0c74dea2043e0</t>
        </is>
      </c>
      <c r="B73" s="24" t="inlineStr">
        <is>
          <t>2026-08-02T15:49:40.829108Z</t>
        </is>
      </c>
      <c r="C73" s="24" t="inlineStr">
        <is>
          <t>2026-08-02T20:00Z</t>
        </is>
      </c>
      <c r="D73" s="24" t="inlineStr">
        <is>
          <t>401841473</t>
        </is>
      </c>
      <c r="E73" s="24" t="inlineStr">
        <is>
          <t>SOCCER</t>
        </is>
      </c>
      <c r="F73" s="24" t="inlineStr">
        <is>
          <t>Boca Juniors</t>
        </is>
      </c>
      <c r="G73" s="24" t="inlineStr">
        <is>
          <t>Newell's Old Boys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335</v>
      </c>
      <c r="M73" s="27" t="n">
        <v>4.35</v>
      </c>
      <c r="N73" s="28" t="n">
        <v>0.229885</v>
      </c>
      <c r="O73" s="28" t="n">
        <v>0.398039</v>
      </c>
      <c r="P73" s="28" t="n">
        <v>0.2</v>
      </c>
      <c r="Q73" s="28" t="n">
        <v>0.168154</v>
      </c>
      <c r="R73" s="26" t="n">
        <v>14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1.46 (home) / 1.30 (away) from EWMA attack/defense strengths. Executable ask 0.2300 (atc-lpa-new-boc-2026-08-02-new).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Boca Juniors</t>
        </is>
      </c>
      <c r="AQ73" s="24" t="inlineStr">
        <is>
          <t>Boca Juniors</t>
        </is>
      </c>
      <c r="AR73" s="24" t="inlineStr">
        <is>
          <t>Boca Juniors</t>
        </is>
      </c>
      <c r="AS73" s="24" t="inlineStr">
        <is>
          <t>Newell's Old Boys</t>
        </is>
      </c>
      <c r="AT73" s="24" t="inlineStr">
        <is>
          <t>Newell's Old Boys</t>
        </is>
      </c>
      <c r="AU73" s="24" t="inlineStr">
        <is>
          <t>Newell's Old Boys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2026-08-02T15:46:29.646850Z</t>
        </is>
      </c>
      <c r="BI73" s="24" t="inlineStr">
        <is>
          <t>["same_event","same_team_same_day","same_league_same_day"]</t>
        </is>
      </c>
      <c r="BJ73" s="25" t="n"/>
      <c r="BK73" s="26" t="n">
        <v>335</v>
      </c>
      <c r="BL73" s="27" t="n">
        <v>4.35</v>
      </c>
      <c r="BM73" s="28" t="n">
        <v>0.229885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inlineStr">
        <is>
          <t>True</t>
        </is>
      </c>
    </row>
    <row r="74" ht="36" customHeight="1">
      <c r="A74" s="24" t="inlineStr">
        <is>
          <t>e13c238530584bba</t>
        </is>
      </c>
      <c r="B74" s="24" t="inlineStr">
        <is>
          <t>2026-08-02T15:49:40.829108Z</t>
        </is>
      </c>
      <c r="C74" s="24" t="inlineStr">
        <is>
          <t>2026-08-02T22:15Z</t>
        </is>
      </c>
      <c r="D74" s="24" t="inlineStr">
        <is>
          <t>401841476</t>
        </is>
      </c>
      <c r="E74" s="24" t="inlineStr">
        <is>
          <t>SOCCER</t>
        </is>
      </c>
      <c r="F74" s="24" t="inlineStr">
        <is>
          <t>Rosario Central</t>
        </is>
      </c>
      <c r="G74" s="24" t="inlineStr">
        <is>
          <t>River Plate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0.5359159999999999</v>
      </c>
      <c r="P74" s="28" t="n">
        <v>0.2</v>
      </c>
      <c r="Q74" s="28" t="n">
        <v>0.066432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1.84 (home) / 1.10 (away) from EWMA attack/defense strengths. Executable ask 0.4700 (atc-lpa-riv-ros-2026-08-02-riv).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Rosario Central</t>
        </is>
      </c>
      <c r="AQ74" s="24" t="inlineStr">
        <is>
          <t>Rosario Central</t>
        </is>
      </c>
      <c r="AR74" s="24" t="inlineStr">
        <is>
          <t>Rosario Central</t>
        </is>
      </c>
      <c r="AS74" s="24" t="inlineStr">
        <is>
          <t>River Plate</t>
        </is>
      </c>
      <c r="AT74" s="24" t="inlineStr">
        <is>
          <t>River Plate</t>
        </is>
      </c>
      <c r="AU74" s="24" t="inlineStr">
        <is>
          <t>River Plate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2026-08-02T15:46:30.158682Z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inlineStr">
        <is>
          <t>True</t>
        </is>
      </c>
    </row>
    <row r="75" ht="36" customHeight="1">
      <c r="A75" s="24" t="inlineStr">
        <is>
          <t>bf349d7ef19d46ba</t>
        </is>
      </c>
      <c r="B75" s="24" t="inlineStr">
        <is>
          <t>2026-08-02T15:49:40.829108Z</t>
        </is>
      </c>
      <c r="C75" s="24" t="inlineStr">
        <is>
          <t>2026-08-02T18:00Z</t>
        </is>
      </c>
      <c r="D75" s="24" t="inlineStr">
        <is>
          <t>401844019</t>
        </is>
      </c>
      <c r="E75" s="24" t="inlineStr">
        <is>
          <t>SOCCER</t>
        </is>
      </c>
      <c r="F75" s="24" t="inlineStr">
        <is>
          <t>San Miguel</t>
        </is>
      </c>
      <c r="G75" s="24" t="inlineStr">
        <is>
          <t>San Telmo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170</v>
      </c>
      <c r="M75" s="27" t="n">
        <v>2.7</v>
      </c>
      <c r="N75" s="28" t="n">
        <v>0.37037</v>
      </c>
      <c r="O75" s="28" t="n">
        <v>0.456135</v>
      </c>
      <c r="P75" s="28" t="n">
        <v>0.2</v>
      </c>
      <c r="Q75" s="28" t="n">
        <v>0.08576499999999999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1.64 (home) / 1.24 (away) from EWMA attack/defense strengths. Executable ask 0.3700 (atc-arg2-ste-casm-2026-08-02-ste).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San Miguel</t>
        </is>
      </c>
      <c r="AQ75" s="24" t="inlineStr">
        <is>
          <t>San Miguel</t>
        </is>
      </c>
      <c r="AR75" s="24" t="inlineStr">
        <is>
          <t>San Miguel</t>
        </is>
      </c>
      <c r="AS75" s="24" t="inlineStr">
        <is>
          <t>San Telmo</t>
        </is>
      </c>
      <c r="AT75" s="24" t="inlineStr">
        <is>
          <t>San Telmo</t>
        </is>
      </c>
      <c r="AU75" s="24" t="inlineStr">
        <is>
          <t>San Telmo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2026-08-02T15:46:31.355163Z</t>
        </is>
      </c>
      <c r="BI75" s="24" t="inlineStr">
        <is>
          <t>["same_event","same_team_same_day","same_league_same_day"]</t>
        </is>
      </c>
      <c r="BJ75" s="25" t="n"/>
      <c r="BK75" s="26" t="n">
        <v>170</v>
      </c>
      <c r="BL75" s="27" t="n">
        <v>2.7</v>
      </c>
      <c r="BM75" s="28" t="n">
        <v>0.37037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inlineStr">
        <is>
          <t>True</t>
        </is>
      </c>
    </row>
    <row r="76" ht="36" customHeight="1">
      <c r="A76" s="24" t="inlineStr">
        <is>
          <t>edbb690717cf438f</t>
        </is>
      </c>
      <c r="B76" s="24" t="inlineStr">
        <is>
          <t>2026-08-02T15:49:40.829108Z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150</v>
      </c>
      <c r="M76" s="27" t="n">
        <v>2.5</v>
      </c>
      <c r="N76" s="28" t="n">
        <v>0.4</v>
      </c>
      <c r="O76" s="28" t="n">
        <v>0.456135</v>
      </c>
      <c r="P76" s="28" t="n">
        <v>0.2</v>
      </c>
      <c r="Q76" s="28" t="n">
        <v>0.056135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0.4000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2026-08-02T15:46:32.444165Z</t>
        </is>
      </c>
      <c r="BI76" s="24" t="inlineStr">
        <is>
          <t>["same_event","same_team_same_day","same_league_same_day"]</t>
        </is>
      </c>
      <c r="BJ76" s="25" t="n"/>
      <c r="BK76" s="26" t="n">
        <v>150</v>
      </c>
      <c r="BL76" s="27" t="n">
        <v>2.5</v>
      </c>
      <c r="BM76" s="28" t="n">
        <v>0.4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inlineStr">
        <is>
          <t>True</t>
        </is>
      </c>
    </row>
    <row r="77" ht="36" customHeight="1">
      <c r="A77" s="24" t="inlineStr">
        <is>
          <t>fc86e21c33c74db3</t>
        </is>
      </c>
      <c r="B77" s="24" t="inlineStr">
        <is>
          <t>2026-08-02T15:49:40.829108Z</t>
        </is>
      </c>
      <c r="C77" s="24" t="inlineStr">
        <is>
          <t>2026-08-02T19:00Z</t>
        </is>
      </c>
      <c r="D77" s="24" t="inlineStr">
        <is>
          <t>401850609</t>
        </is>
      </c>
      <c r="E77" s="24" t="inlineStr">
        <is>
          <t>SOCCER</t>
        </is>
      </c>
      <c r="F77" s="24" t="inlineStr">
        <is>
          <t>O'Higgins</t>
        </is>
      </c>
      <c r="G77" s="24" t="inlineStr">
        <is>
          <t>La Serena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156</v>
      </c>
      <c r="M77" s="27" t="n">
        <v>2.56</v>
      </c>
      <c r="N77" s="28" t="n">
        <v>0.390625</v>
      </c>
      <c r="O77" s="28" t="n">
        <v>0.5359159999999999</v>
      </c>
      <c r="P77" s="28" t="n">
        <v>0.2</v>
      </c>
      <c r="Q77" s="28" t="n">
        <v>0.145291</v>
      </c>
      <c r="R77" s="26" t="n">
        <v>3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1.84 (home) / 1.10 (away) from EWMA attack/defense strengths. Executable ask 0.3900 (atc-pdc-ser-ohi-2026-08-02-ser).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O'Higgins</t>
        </is>
      </c>
      <c r="AQ77" s="24" t="inlineStr">
        <is>
          <t>O'Higgins</t>
        </is>
      </c>
      <c r="AR77" s="24" t="inlineStr">
        <is>
          <t>O'Higgins</t>
        </is>
      </c>
      <c r="AS77" s="24" t="inlineStr">
        <is>
          <t>La Serena</t>
        </is>
      </c>
      <c r="AT77" s="24" t="inlineStr">
        <is>
          <t>La Serena</t>
        </is>
      </c>
      <c r="AU77" s="24" t="inlineStr">
        <is>
          <t>La Serena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2026-08-02T15:46:34.034224Z</t>
        </is>
      </c>
      <c r="BI77" s="24" t="inlineStr">
        <is>
          <t>["same_event","same_team_same_day","same_league_same_day"]</t>
        </is>
      </c>
      <c r="BJ77" s="25" t="n"/>
      <c r="BK77" s="26" t="n">
        <v>156</v>
      </c>
      <c r="BL77" s="27" t="n">
        <v>2.56</v>
      </c>
      <c r="BM77" s="28" t="n">
        <v>0.390625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inlineStr">
        <is>
          <t>True</t>
        </is>
      </c>
    </row>
    <row r="78" ht="36" customHeight="1">
      <c r="A78" s="24" t="inlineStr">
        <is>
          <t>1b0da72fb3a74ffe</t>
        </is>
      </c>
      <c r="B78" s="24" t="inlineStr">
        <is>
          <t>2026-08-02T15:49:40.829108Z</t>
        </is>
      </c>
      <c r="C78" s="24" t="inlineStr">
        <is>
          <t>2026-08-02T23:10Z</t>
        </is>
      </c>
      <c r="D78" s="24" t="inlineStr">
        <is>
          <t>401859718</t>
        </is>
      </c>
      <c r="E78" s="24" t="inlineStr">
        <is>
          <t>SOCCER</t>
        </is>
      </c>
      <c r="F78" s="24" t="inlineStr">
        <is>
          <t>Barcelona SC</t>
        </is>
      </c>
      <c r="G78" s="24" t="inlineStr">
        <is>
          <t>Leones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203</v>
      </c>
      <c r="M78" s="27" t="n">
        <v>3.03</v>
      </c>
      <c r="N78" s="28" t="n">
        <v>0.330033</v>
      </c>
      <c r="O78" s="28" t="n">
        <v>0.406677</v>
      </c>
      <c r="P78" s="28" t="n">
        <v>0.19</v>
      </c>
      <c r="Q78" s="28" t="n">
        <v>0.076644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1.38 (home) / 1.56 (away) from EWMA attack/defense strengths. Executable ask 0.3300 (atc-ecu1-leo-bsc-2026-08-02-bsc).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Barcelona SC</t>
        </is>
      </c>
      <c r="AQ78" s="24" t="inlineStr">
        <is>
          <t>Barcelona SC</t>
        </is>
      </c>
      <c r="AR78" s="24" t="inlineStr">
        <is>
          <t>Barcelona SC</t>
        </is>
      </c>
      <c r="AS78" s="24" t="inlineStr">
        <is>
          <t>Leones</t>
        </is>
      </c>
      <c r="AT78" s="24" t="inlineStr">
        <is>
          <t>Leones</t>
        </is>
      </c>
      <c r="AU78" s="24" t="inlineStr">
        <is>
          <t>Leones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2026-08-02T15:46:36.285171Z</t>
        </is>
      </c>
      <c r="BI78" s="24" t="inlineStr">
        <is>
          <t>["same_event","same_team_same_day","same_league_same_day"]</t>
        </is>
      </c>
      <c r="BJ78" s="25" t="n"/>
      <c r="BK78" s="26" t="n">
        <v>203</v>
      </c>
      <c r="BL78" s="27" t="n">
        <v>3.03</v>
      </c>
      <c r="BM78" s="28" t="n">
        <v>0.330033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2026-08-02T15:52:33Z</dcterms:created>
  <dcterms:modified xsi:type="dcterms:W3CDTF">2026-08-02T15:52:33Z</dcterms:modified>
</cp:coreProperties>
</file>