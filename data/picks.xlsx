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31" headerRowCount="1">
  <autoFilter ref="A1:CA31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COUNTA('Picks'!$A$2:$A$31)</f>
        <v/>
      </c>
      <c r="C4" s="6">
        <f>COUNTIF('Picks'!$U$2:$U$31,"open")</f>
        <v/>
      </c>
      <c r="E4" s="6">
        <f>COUNTIF('Picks'!$U$2:$U$31,"settled")</f>
        <v/>
      </c>
      <c r="G4" s="6">
        <f>IF(COUNTIFS('Picks'!$U$2:$U$31,"settled",'Picks'!$V$2:$V$31,"win")+COUNTIFS('Picks'!$U$2:$U$31,"settled",'Picks'!$V$2:$V$31,"loss")&gt;=$L$2,"Ready","Insufficient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COUNTIF('Picks'!$BX$2:$BX$31,"&gt;0")</f>
        <v/>
      </c>
      <c r="C7" s="6">
        <f>COUNTIFS('Picks'!$BX$2:$BX$31,"&gt;0",'Picks'!$V$2:$V$31,"win")&amp;"-"&amp;COUNTIFS('Picks'!$BX$2:$BX$31,"&gt;0",'Picks'!$V$2:$V$31,"loss")</f>
        <v/>
      </c>
      <c r="E7" s="32">
        <f>IFERROR(COUNTIFS('Picks'!$BX$2:$BX$31,"&gt;0",'Picks'!$V$2:$V$31,"win")/(COUNTIFS('Picks'!$BX$2:$BX$31,"&gt;0",'Picks'!$V$2:$V$31,"win")+COUNTIFS('Picks'!$BX$2:$BX$31,"&gt;0",'Picks'!$V$2:$V$31,"loss")),0)</f>
        <v/>
      </c>
      <c r="G7" s="32">
        <f>IFERROR(SUM('Picks'!$BY$2:$BY$31)/SUM('Picks'!$BX$2:$BX$31),0)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SUM('Picks'!$BY$2:$BY$31)</f>
        <v/>
      </c>
      <c r="C10" s="9">
        <f>IFERROR(AVERAGEIF('Picks'!$AB$2:$AB$31,"&lt;&gt;",'Picks'!$AB$2:$AB$31),0)</f>
        <v/>
      </c>
      <c r="E10" s="6">
        <f>COUNTIFS('Picks'!$AM$2:$AM$31,"QUALIFIED_SHADOW_CALL",'Picks'!$U$2:$U$31,"settled")</f>
        <v/>
      </c>
      <c r="G10" s="33">
        <f>SUMIFS('Picks'!$AC$2:$AC$31,'Picks'!$AM$2:$AM$31,"QUALIFIED_SHADOW_CALL")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COUNTIFS('Picks'!$H$2:$H$31,$A14,'Picks'!$U$2:$U$31,"settled")</f>
        <v/>
      </c>
      <c r="C14" s="13">
        <f>COUNTIFS('Picks'!$H$2:$H$31,$A14,'Picks'!$U$2:$U$31,"settled",'Picks'!$V$2:$V$31,"win")</f>
        <v/>
      </c>
      <c r="D14" s="13">
        <f>COUNTIFS('Picks'!$H$2:$H$31,$A14,'Picks'!$U$2:$U$31,"settled",'Picks'!$V$2:$V$31,"loss")</f>
        <v/>
      </c>
      <c r="E14" s="34">
        <f>IFERROR(C14/(C14+D14),0)</f>
        <v/>
      </c>
      <c r="F14" s="35">
        <f>SUMIFS('Picks'!$BY$2:$BY$31,'Picks'!$H$2:$H$31,$A14)</f>
        <v/>
      </c>
      <c r="G14" s="16">
        <f>IFERROR(AVERAGEIFS('Picks'!$AB$2:$AB$31,'Picks'!$H$2:$H$31,$A14,'Picks'!$U$2:$U$31,"settled"),0)</f>
        <v/>
      </c>
    </row>
    <row r="15">
      <c r="A15" s="17" t="inlineStr">
        <is>
          <t>spread</t>
        </is>
      </c>
      <c r="B15" s="18">
        <f>COUNTIFS('Picks'!$H$2:$H$31,$A15,'Picks'!$U$2:$U$31,"settled")</f>
        <v/>
      </c>
      <c r="C15" s="18">
        <f>COUNTIFS('Picks'!$H$2:$H$31,$A15,'Picks'!$U$2:$U$31,"settled",'Picks'!$V$2:$V$31,"win")</f>
        <v/>
      </c>
      <c r="D15" s="18">
        <f>COUNTIFS('Picks'!$H$2:$H$31,$A15,'Picks'!$U$2:$U$31,"settled",'Picks'!$V$2:$V$31,"loss")</f>
        <v/>
      </c>
      <c r="E15" s="36">
        <f>IFERROR(C15/(C15+D15),0)</f>
        <v/>
      </c>
      <c r="F15" s="37">
        <f>SUMIFS('Picks'!$BY$2:$BY$31,'Picks'!$H$2:$H$31,$A15)</f>
        <v/>
      </c>
      <c r="G15" s="21">
        <f>IFERROR(AVERAGEIFS('Picks'!$AB$2:$AB$31,'Picks'!$H$2:$H$31,$A15,'Picks'!$U$2:$U$31,"settled"),0)</f>
        <v/>
      </c>
    </row>
    <row r="16">
      <c r="A16" s="12" t="inlineStr">
        <is>
          <t>total</t>
        </is>
      </c>
      <c r="B16" s="13">
        <f>COUNTIFS('Picks'!$H$2:$H$31,$A16,'Picks'!$U$2:$U$31,"settled")</f>
        <v/>
      </c>
      <c r="C16" s="13">
        <f>COUNTIFS('Picks'!$H$2:$H$31,$A16,'Picks'!$U$2:$U$31,"settled",'Picks'!$V$2:$V$31,"win")</f>
        <v/>
      </c>
      <c r="D16" s="13">
        <f>COUNTIFS('Picks'!$H$2:$H$31,$A16,'Picks'!$U$2:$U$31,"settled",'Picks'!$V$2:$V$31,"loss")</f>
        <v/>
      </c>
      <c r="E16" s="34">
        <f>IFERROR(C16/(C16+D16),0)</f>
        <v/>
      </c>
      <c r="F16" s="35">
        <f>SUMIFS('Picks'!$BY$2:$BY$31,'Picks'!$H$2:$H$31,$A16)</f>
        <v/>
      </c>
      <c r="G16" s="16">
        <f>IFERROR(AVERAGEIFS('Picks'!$AB$2:$AB$31,'Picks'!$H$2:$H$31,$A16,'Picks'!$U$2:$U$31,"settled"),0)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69</v>
      </c>
      <c r="S3" s="29" t="n">
        <v>1.5</v>
      </c>
      <c r="T3" s="24" t="inlineStr">
        <is>
          <t>mlb-elo-trend-lr-v3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117c03794b1d1031deec3bd4cce88c9158bebd0622c621defd0aab3eb37c0a6e</t>
        </is>
      </c>
      <c r="BB3" s="24" t="inlineStr">
        <is>
          <t>learned_lr</t>
        </is>
      </c>
      <c r="BC3" s="24" t="inlineStr">
        <is>
          <t>mlb-elo-trend-lr-v3</t>
        </is>
      </c>
      <c r="BD3" s="24" t="inlineStr">
        <is>
          <t>117c03794b1d1031deec3bd4cce88c9158bebd0622c621defd0aab3eb37c0a6e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75</v>
      </c>
      <c r="S4" s="29" t="n">
        <v>1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c97732889cfca1912f8d78791ff63f04ee3fe987951aced9e4fab541932597cd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c97732889cfca1912f8d78791ff63f04ee3fe987951aced9e4fab541932597cd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69</v>
      </c>
      <c r="S5" s="29" t="n">
        <v>1.5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c97732889cfca1912f8d78791ff63f04ee3fe987951aced9e4fab541932597cd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c97732889cfca1912f8d78791ff63f04ee3fe987951aced9e4fab541932597cd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83</v>
      </c>
      <c r="S6" s="29" t="n">
        <v>1.25</v>
      </c>
      <c r="T6" s="24" t="inlineStr">
        <is>
          <t>mlb-elo-trend-lr-v3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c97732889cfca1912f8d78791ff63f04ee3fe987951aced9e4fab541932597cd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c97732889cfca1912f8d78791ff63f04ee3fe987951aced9e4fab541932597cd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86</v>
      </c>
      <c r="S7" s="29" t="n">
        <v>1.25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c97732889cfca1912f8d78791ff63f04ee3fe987951aced9e4fab541932597cd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c97732889cfca1912f8d78791ff63f04ee3fe987951aced9e4fab541932597cd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68</v>
      </c>
      <c r="S8" s="29" t="n">
        <v>1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c97732889cfca1912f8d78791ff63f04ee3fe987951aced9e4fab541932597cd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c97732889cfca1912f8d78791ff63f04ee3fe987951aced9e4fab541932597cd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75</v>
      </c>
      <c r="S9" s="29" t="n">
        <v>1</v>
      </c>
      <c r="T9" s="24" t="inlineStr">
        <is>
          <t>mlb-elo-trend-lr-v3</t>
        </is>
      </c>
      <c r="U9" s="24" t="inlineStr">
        <is>
          <t>settled</t>
        </is>
      </c>
      <c r="V9" s="24" t="inlineStr">
        <is>
          <t>loss</t>
        </is>
      </c>
      <c r="W9" s="26" t="n">
        <v>7</v>
      </c>
      <c r="X9" s="26" t="n">
        <v>1</v>
      </c>
      <c r="Y9" s="38" t="n"/>
      <c r="Z9" s="26" t="n"/>
      <c r="AA9" s="28" t="n"/>
      <c r="AB9" s="28" t="n"/>
      <c r="AC9" s="40" t="n">
        <v>-1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c97732889cfca1912f8d78791ff63f04ee3fe987951aced9e4fab541932597cd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c97732889cfca1912f8d78791ff63f04ee3fe987951aced9e4fab541932597cd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-1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74</v>
      </c>
      <c r="S10" s="29" t="n">
        <v>1.75</v>
      </c>
      <c r="T10" s="24" t="inlineStr">
        <is>
          <t>mlb-elo-trend-lr-v3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c97732889cfca1912f8d78791ff63f04ee3fe987951aced9e4fab541932597cd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c97732889cfca1912f8d78791ff63f04ee3fe987951aced9e4fab541932597cd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87</v>
      </c>
      <c r="S11" s="29" t="n">
        <v>1.25</v>
      </c>
      <c r="T11" s="24" t="inlineStr">
        <is>
          <t>mlb-elo-trend-lr-v3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c97732889cfca1912f8d78791ff63f04ee3fe987951aced9e4fab541932597cd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c97732889cfca1912f8d78791ff63f04ee3fe987951aced9e4fab541932597cd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70</v>
      </c>
      <c r="S12" s="29" t="n">
        <v>1</v>
      </c>
      <c r="T12" s="24" t="inlineStr">
        <is>
          <t>mlb-elo-trend-lr-v3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40e5d70a6fae1347ad85569354088d9df4f2d6970f7d7c2f9d4924d65efd0c19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40e5d70a6fae1347ad85569354088d9df4f2d6970f7d7c2f9d4924d65efd0c19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84</v>
      </c>
      <c r="S13" s="29" t="n">
        <v>1.25</v>
      </c>
      <c r="T13" s="24" t="inlineStr">
        <is>
          <t>mlb-elo-trend-lr-v3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21de40f664c548e677d8ffc04521004b3df55963718b1d039537d56f08b84fb1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21de40f664c548e677d8ffc04521004b3df55963718b1d039537d56f08b84fb1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60</v>
      </c>
      <c r="S14" s="29" t="n">
        <v>0.75</v>
      </c>
      <c r="T14" s="24" t="inlineStr">
        <is>
          <t>mlb-elo-trend-lr-v3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21de40f664c548e677d8ffc04521004b3df55963718b1d039537d56f08b84fb1</t>
        </is>
      </c>
      <c r="BB14" s="24" t="inlineStr">
        <is>
          <t>learned_lr</t>
        </is>
      </c>
      <c r="BC14" s="24" t="inlineStr">
        <is>
          <t>mlb-elo-trend-lr-v3</t>
        </is>
      </c>
      <c r="BD14" s="24" t="inlineStr">
        <is>
          <t>21de40f664c548e677d8ffc04521004b3df55963718b1d039537d56f08b84fb1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-104</v>
      </c>
      <c r="M15" s="39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70</v>
      </c>
      <c r="S15" s="29" t="n">
        <v>0</v>
      </c>
      <c r="T15" s="24" t="inlineStr">
        <is>
          <t>mlb-elo-trend-lr-v3</t>
        </is>
      </c>
      <c r="U15" s="24" t="inlineStr">
        <is>
          <t>open</t>
        </is>
      </c>
      <c r="V15" s="24" t="n"/>
      <c r="W15" s="26" t="n"/>
      <c r="X15" s="26" t="n"/>
      <c r="Y15" s="38" t="n"/>
      <c r="Z15" s="26" t="n"/>
      <c r="AA15" s="28" t="n"/>
      <c r="AB15" s="28" t="n"/>
      <c r="AC15" s="40" t="n"/>
      <c r="AD15" s="24" t="n"/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21de40f664c548e677d8ffc04521004b3df55963718b1d039537d56f08b84fb1</t>
        </is>
      </c>
      <c r="BB15" s="24" t="inlineStr">
        <is>
          <t>learned_lr</t>
        </is>
      </c>
      <c r="BC15" s="24" t="inlineStr">
        <is>
          <t>mlb-elo-trend-lr-v3</t>
        </is>
      </c>
      <c r="BD15" s="24" t="inlineStr">
        <is>
          <t>21de40f664c548e677d8ffc04521004b3df55963718b1d039537d56f08b84fb1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38" t="n"/>
      <c r="BK15" s="26" t="n">
        <v>-104</v>
      </c>
      <c r="BL15" s="39" t="n">
        <v>1.961538</v>
      </c>
      <c r="BM15" s="28" t="n">
        <v>0.509804</v>
      </c>
      <c r="BN15" s="28" t="n">
        <v>0.507463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/>
      <c r="BY15" s="39" t="n"/>
      <c r="BZ15" s="24" t="n"/>
      <c r="CA15" s="31" t="n"/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-111</v>
      </c>
      <c r="M16" s="39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90</v>
      </c>
      <c r="S16" s="29" t="n">
        <v>0</v>
      </c>
      <c r="T16" s="24" t="inlineStr">
        <is>
          <t>mlb-elo-trend-lr-v3</t>
        </is>
      </c>
      <c r="U16" s="24" t="inlineStr">
        <is>
          <t>open</t>
        </is>
      </c>
      <c r="V16" s="24" t="n"/>
      <c r="W16" s="26" t="n"/>
      <c r="X16" s="26" t="n"/>
      <c r="Y16" s="38" t="n"/>
      <c r="Z16" s="26" t="n"/>
      <c r="AA16" s="28" t="n"/>
      <c r="AB16" s="28" t="n"/>
      <c r="AC16" s="40" t="n"/>
      <c r="AD16" s="24" t="n"/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21de40f664c548e677d8ffc04521004b3df55963718b1d039537d56f08b84fb1</t>
        </is>
      </c>
      <c r="BB16" s="24" t="inlineStr">
        <is>
          <t>learned_lr</t>
        </is>
      </c>
      <c r="BC16" s="24" t="inlineStr">
        <is>
          <t>mlb-elo-trend-lr-v3</t>
        </is>
      </c>
      <c r="BD16" s="24" t="inlineStr">
        <is>
          <t>21de40f664c548e677d8ffc04521004b3df55963718b1d039537d56f08b84fb1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38" t="n"/>
      <c r="BK16" s="26" t="n">
        <v>-111</v>
      </c>
      <c r="BL16" s="39" t="n">
        <v>1.900901</v>
      </c>
      <c r="BM16" s="28" t="n">
        <v>0.526066</v>
      </c>
      <c r="BN16" s="28" t="n">
        <v>0.522388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/>
      <c r="BY16" s="39" t="n"/>
      <c r="BZ16" s="24" t="n"/>
      <c r="CA16" s="31" t="n"/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-108</v>
      </c>
      <c r="M17" s="39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66</v>
      </c>
      <c r="S17" s="29" t="n">
        <v>0</v>
      </c>
      <c r="T17" s="24" t="inlineStr">
        <is>
          <t>mlb-elo-trend-lr-v3</t>
        </is>
      </c>
      <c r="U17" s="24" t="inlineStr">
        <is>
          <t>open</t>
        </is>
      </c>
      <c r="V17" s="24" t="n"/>
      <c r="W17" s="26" t="n"/>
      <c r="X17" s="26" t="n"/>
      <c r="Y17" s="38" t="n"/>
      <c r="Z17" s="26" t="n"/>
      <c r="AA17" s="28" t="n"/>
      <c r="AB17" s="28" t="n"/>
      <c r="AC17" s="40" t="n"/>
      <c r="AD17" s="24" t="n"/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21de40f664c548e677d8ffc04521004b3df55963718b1d039537d56f08b84fb1</t>
        </is>
      </c>
      <c r="BB17" s="24" t="inlineStr">
        <is>
          <t>learned_lr</t>
        </is>
      </c>
      <c r="BC17" s="24" t="inlineStr">
        <is>
          <t>mlb-elo-trend-lr-v3</t>
        </is>
      </c>
      <c r="BD17" s="24" t="inlineStr">
        <is>
          <t>21de40f664c548e677d8ffc04521004b3df55963718b1d039537d56f08b84fb1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38" t="n"/>
      <c r="BK17" s="26" t="n">
        <v>-108</v>
      </c>
      <c r="BL17" s="39" t="n">
        <v>1.925926</v>
      </c>
      <c r="BM17" s="28" t="n">
        <v>0.519231</v>
      </c>
      <c r="BN17" s="28" t="n">
        <v>0.5148509999999999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/>
      <c r="BY17" s="39" t="n"/>
      <c r="BZ17" s="24" t="n"/>
      <c r="CA17" s="31" t="n"/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111</v>
      </c>
      <c r="M18" s="39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95</v>
      </c>
      <c r="S18" s="29" t="n">
        <v>0</v>
      </c>
      <c r="T18" s="24" t="inlineStr">
        <is>
          <t>mlb-elo-trend-lr-v3</t>
        </is>
      </c>
      <c r="U18" s="24" t="inlineStr">
        <is>
          <t>open</t>
        </is>
      </c>
      <c r="V18" s="24" t="n"/>
      <c r="W18" s="26" t="n"/>
      <c r="X18" s="26" t="n"/>
      <c r="Y18" s="38" t="n"/>
      <c r="Z18" s="26" t="n"/>
      <c r="AA18" s="28" t="n"/>
      <c r="AB18" s="28" t="n"/>
      <c r="AC18" s="40" t="n"/>
      <c r="AD18" s="24" t="n"/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21de40f664c548e677d8ffc04521004b3df55963718b1d039537d56f08b84fb1</t>
        </is>
      </c>
      <c r="BB18" s="24" t="inlineStr">
        <is>
          <t>learned_lr</t>
        </is>
      </c>
      <c r="BC18" s="24" t="inlineStr">
        <is>
          <t>mlb-elo-trend-lr-v3</t>
        </is>
      </c>
      <c r="BD18" s="24" t="inlineStr">
        <is>
          <t>21de40f664c548e677d8ffc04521004b3df55963718b1d039537d56f08b84fb1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38" t="n"/>
      <c r="BK18" s="26" t="n">
        <v>111</v>
      </c>
      <c r="BL18" s="39" t="n">
        <v>2.11</v>
      </c>
      <c r="BM18" s="28" t="n">
        <v>0.473934</v>
      </c>
      <c r="BN18" s="28" t="n">
        <v>0.472637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/>
      <c r="BY18" s="39" t="n"/>
      <c r="BZ18" s="24" t="n"/>
      <c r="CA18" s="31" t="n"/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-125</v>
      </c>
      <c r="M19" s="39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76</v>
      </c>
      <c r="S19" s="29" t="n">
        <v>0</v>
      </c>
      <c r="T19" s="24" t="inlineStr">
        <is>
          <t>mlb-elo-trend-lr-v3</t>
        </is>
      </c>
      <c r="U19" s="24" t="inlineStr">
        <is>
          <t>open</t>
        </is>
      </c>
      <c r="V19" s="24" t="n"/>
      <c r="W19" s="26" t="n"/>
      <c r="X19" s="26" t="n"/>
      <c r="Y19" s="38" t="n"/>
      <c r="Z19" s="26" t="n"/>
      <c r="AA19" s="28" t="n"/>
      <c r="AB19" s="28" t="n"/>
      <c r="AC19" s="40" t="n"/>
      <c r="AD19" s="24" t="n"/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21de40f664c548e677d8ffc04521004b3df55963718b1d039537d56f08b84fb1</t>
        </is>
      </c>
      <c r="BB19" s="24" t="inlineStr">
        <is>
          <t>learned_lr</t>
        </is>
      </c>
      <c r="BC19" s="24" t="inlineStr">
        <is>
          <t>mlb-elo-trend-lr-v3</t>
        </is>
      </c>
      <c r="BD19" s="24" t="inlineStr">
        <is>
          <t>21de40f664c548e677d8ffc04521004b3df55963718b1d039537d56f08b84fb1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38" t="n"/>
      <c r="BK19" s="26" t="n">
        <v>-125</v>
      </c>
      <c r="BL19" s="39" t="n">
        <v>1.8</v>
      </c>
      <c r="BM19" s="28" t="n">
        <v>0.555556</v>
      </c>
      <c r="BN19" s="28" t="n">
        <v>0.552239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/>
      <c r="BY19" s="39" t="n"/>
      <c r="BZ19" s="24" t="n"/>
      <c r="CA19" s="31" t="n"/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68</v>
      </c>
      <c r="S20" s="29" t="n">
        <v>0</v>
      </c>
      <c r="T20" s="24" t="inlineStr">
        <is>
          <t>mlb-elo-trend-lr-v3</t>
        </is>
      </c>
      <c r="U20" s="24" t="inlineStr">
        <is>
          <t>open</t>
        </is>
      </c>
      <c r="V20" s="24" t="n"/>
      <c r="W20" s="26" t="n"/>
      <c r="X20" s="26" t="n"/>
      <c r="Y20" s="38" t="n"/>
      <c r="Z20" s="26" t="n"/>
      <c r="AA20" s="28" t="n"/>
      <c r="AB20" s="28" t="n"/>
      <c r="AC20" s="40" t="n"/>
      <c r="AD20" s="24" t="n"/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21de40f664c548e677d8ffc04521004b3df55963718b1d039537d56f08b84fb1</t>
        </is>
      </c>
      <c r="BB20" s="24" t="inlineStr">
        <is>
          <t>learned_lr</t>
        </is>
      </c>
      <c r="BC20" s="24" t="inlineStr">
        <is>
          <t>mlb-elo-trend-lr-v3</t>
        </is>
      </c>
      <c r="BD20" s="24" t="inlineStr">
        <is>
          <t>21de40f664c548e677d8ffc04521004b3df55963718b1d039537d56f08b84fb1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38" t="n"/>
      <c r="BK20" s="26" t="n">
        <v>106</v>
      </c>
      <c r="BL20" s="39" t="n">
        <v>2.06</v>
      </c>
      <c r="BM20" s="28" t="n">
        <v>0.485437</v>
      </c>
      <c r="BN20" s="28" t="n">
        <v>0.482587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/>
      <c r="BY20" s="39" t="n"/>
      <c r="BZ20" s="24" t="n"/>
      <c r="CA20" s="31" t="n"/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1.941748</v>
      </c>
      <c r="N21" s="28" t="n">
        <v>0.515</v>
      </c>
      <c r="O21" s="28" t="n">
        <v>0.550333</v>
      </c>
      <c r="P21" s="28" t="n">
        <v>0.05</v>
      </c>
      <c r="Q21" s="28" t="n">
        <v>0.035333</v>
      </c>
      <c r="R21" s="26" t="n"/>
      <c r="S21" s="29" t="n">
        <v>1</v>
      </c>
      <c r="T21" s="24" t="inlineStr">
        <is>
          <t>mlb-elo-trend-lr-v3</t>
        </is>
      </c>
      <c r="U21" s="24" t="inlineStr">
        <is>
          <t>settled</t>
        </is>
      </c>
      <c r="V21" s="24" t="inlineStr">
        <is>
          <t>win</t>
        </is>
      </c>
      <c r="W21" s="26" t="n"/>
      <c r="X21" s="26" t="n"/>
      <c r="Y21" s="38" t="n"/>
      <c r="Z21" s="26" t="n"/>
      <c r="AA21" s="28" t="n"/>
      <c r="AB21" s="28" t="n"/>
      <c r="AC21" s="40" t="n">
        <v>0.9417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inlineStr">
        <is>
          <t>2026-07-17T16:26:03.970000Z</t>
        </is>
      </c>
      <c r="BI21" s="24" t="n"/>
      <c r="BJ21" s="38" t="n"/>
      <c r="BK21" s="26" t="n">
        <v>-106</v>
      </c>
      <c r="BL21" s="39" t="n">
        <v>1.941748</v>
      </c>
      <c r="BM21" s="28" t="n">
        <v>0.515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-106</v>
      </c>
      <c r="M22" s="39" t="n">
        <v>1.941748</v>
      </c>
      <c r="N22" s="28" t="n">
        <v>0.515</v>
      </c>
      <c r="O22" s="28" t="n">
        <v>0.550333</v>
      </c>
      <c r="P22" s="28" t="n">
        <v>0.05</v>
      </c>
      <c r="Q22" s="28" t="n">
        <v>0.035333</v>
      </c>
      <c r="R22" s="26" t="n"/>
      <c r="S22" s="29" t="n">
        <v>1</v>
      </c>
      <c r="T22" s="24" t="inlineStr">
        <is>
          <t>mlb-elo-trend-lr-v3</t>
        </is>
      </c>
      <c r="U22" s="24" t="inlineStr">
        <is>
          <t>settled</t>
        </is>
      </c>
      <c r="V22" s="24" t="inlineStr">
        <is>
          <t>win</t>
        </is>
      </c>
      <c r="W22" s="26" t="n"/>
      <c r="X22" s="26" t="n"/>
      <c r="Y22" s="38" t="n"/>
      <c r="Z22" s="26" t="n"/>
      <c r="AA22" s="28" t="n"/>
      <c r="AB22" s="28" t="n"/>
      <c r="AC22" s="40" t="n">
        <v>0.9417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inlineStr">
        <is>
          <t>2026-07-17T16:26:03.970000Z</t>
        </is>
      </c>
      <c r="BI22" s="24" t="n"/>
      <c r="BJ22" s="38" t="n"/>
      <c r="BK22" s="26" t="n">
        <v>-106</v>
      </c>
      <c r="BL22" s="39" t="n">
        <v>1.941748</v>
      </c>
      <c r="BM22" s="28" t="n">
        <v>0.515</v>
      </c>
      <c r="BN22" s="28" t="n">
        <v>0.5124379999999999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</t>
        </is>
      </c>
      <c r="L23" s="26" t="n">
        <v>-141</v>
      </c>
      <c r="M23" s="39" t="n">
        <v>1.709402</v>
      </c>
      <c r="N23" s="28" t="n">
        <v>0.585</v>
      </c>
      <c r="O23" s="28" t="n">
        <v>0.616198</v>
      </c>
      <c r="P23" s="28" t="n">
        <v>0.05</v>
      </c>
      <c r="Q23" s="28" t="n">
        <v>0.031198</v>
      </c>
      <c r="R23" s="26" t="n"/>
      <c r="S23" s="29" t="n">
        <v>1.75</v>
      </c>
      <c r="T23" s="24" t="inlineStr">
        <is>
          <t>mlb-elo-trend-lr-v3</t>
        </is>
      </c>
      <c r="U23" s="24" t="inlineStr">
        <is>
          <t>settled</t>
        </is>
      </c>
      <c r="V23" s="24" t="inlineStr">
        <is>
          <t>win</t>
        </is>
      </c>
      <c r="W23" s="26" t="n"/>
      <c r="X23" s="26" t="n"/>
      <c r="Y23" s="38" t="n"/>
      <c r="Z23" s="26" t="n"/>
      <c r="AA23" s="28" t="n"/>
      <c r="AB23" s="28" t="n"/>
      <c r="AC23" s="40" t="n">
        <v>1.2415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inlineStr">
        <is>
          <t>2026-07-17T17:12:44.293402Z</t>
        </is>
      </c>
      <c r="BI23" s="24" t="n"/>
      <c r="BJ23" s="38" t="n"/>
      <c r="BK23" s="26" t="n">
        <v>-141</v>
      </c>
      <c r="BL23" s="39" t="n">
        <v>1.709402</v>
      </c>
      <c r="BM23" s="28" t="n">
        <v>0.585</v>
      </c>
      <c r="BN23" s="28" t="n">
        <v>0.58209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-133</v>
      </c>
      <c r="M24" s="39" t="n">
        <v>1.754386</v>
      </c>
      <c r="N24" s="28" t="n">
        <v>0.57</v>
      </c>
      <c r="O24" s="28" t="n">
        <v>0.60271</v>
      </c>
      <c r="P24" s="28" t="n">
        <v>0.05</v>
      </c>
      <c r="Q24" s="28" t="n">
        <v>0.03271</v>
      </c>
      <c r="R24" s="26" t="n"/>
      <c r="S24" s="29" t="n">
        <v>1.5</v>
      </c>
      <c r="T24" s="24" t="inlineStr">
        <is>
          <t>mlb-elo-trend-lr-v3</t>
        </is>
      </c>
      <c r="U24" s="24" t="inlineStr">
        <is>
          <t>settled</t>
        </is>
      </c>
      <c r="V24" s="24" t="inlineStr">
        <is>
          <t>loss</t>
        </is>
      </c>
      <c r="W24" s="26" t="n"/>
      <c r="X24" s="26" t="n"/>
      <c r="Y24" s="38" t="n"/>
      <c r="Z24" s="26" t="n"/>
      <c r="AA24" s="28" t="n"/>
      <c r="AB24" s="28" t="n"/>
      <c r="AC24" s="4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inlineStr">
        <is>
          <t>2026-07-17T17:12:44.967723Z</t>
        </is>
      </c>
      <c r="BI24" s="24" t="n"/>
      <c r="BJ24" s="38" t="n"/>
      <c r="BK24" s="26" t="n">
        <v>-133</v>
      </c>
      <c r="BL24" s="39" t="n">
        <v>1.754386</v>
      </c>
      <c r="BM24" s="28" t="n">
        <v>0.57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</t>
        </is>
      </c>
      <c r="L25" s="26" t="n">
        <v>104</v>
      </c>
      <c r="M25" s="39" t="n">
        <v>2.040816</v>
      </c>
      <c r="N25" s="28" t="n">
        <v>0.49</v>
      </c>
      <c r="O25" s="28" t="n">
        <v>0.582862</v>
      </c>
      <c r="P25" s="28" t="n">
        <v>0.05</v>
      </c>
      <c r="Q25" s="28" t="n">
        <v>0.092862</v>
      </c>
      <c r="R25" s="26" t="n"/>
      <c r="S25" s="29" t="n">
        <v>1.25</v>
      </c>
      <c r="T25" s="24" t="inlineStr">
        <is>
          <t>mlb-elo-trend-lr-v3</t>
        </is>
      </c>
      <c r="U25" s="24" t="inlineStr">
        <is>
          <t>settled</t>
        </is>
      </c>
      <c r="V25" s="24" t="inlineStr">
        <is>
          <t>win</t>
        </is>
      </c>
      <c r="W25" s="26" t="n"/>
      <c r="X25" s="26" t="n"/>
      <c r="Y25" s="38" t="n"/>
      <c r="Z25" s="26" t="n"/>
      <c r="AA25" s="28" t="n"/>
      <c r="AB25" s="28" t="n"/>
      <c r="AC25" s="40" t="n">
        <v>1.301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inlineStr">
        <is>
          <t>2026-07-17T16:26:11.935150Z</t>
        </is>
      </c>
      <c r="BI25" s="24" t="n"/>
      <c r="BJ25" s="38" t="n"/>
      <c r="BK25" s="26" t="n">
        <v>104</v>
      </c>
      <c r="BL25" s="39" t="n">
        <v>2.040816</v>
      </c>
      <c r="BM25" s="28" t="n">
        <v>0.49</v>
      </c>
      <c r="BN25" s="28" t="n">
        <v>0.487562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</t>
        </is>
      </c>
      <c r="L26" s="26" t="n">
        <v>-104</v>
      </c>
      <c r="M26" s="39" t="n">
        <v>1.960784</v>
      </c>
      <c r="N26" s="28" t="n">
        <v>0.51</v>
      </c>
      <c r="O26" s="28" t="n">
        <v>0.550233</v>
      </c>
      <c r="P26" s="28" t="n">
        <v>0.05</v>
      </c>
      <c r="Q26" s="28" t="n">
        <v>0.040233</v>
      </c>
      <c r="R26" s="26" t="n"/>
      <c r="S26" s="29" t="n">
        <v>1</v>
      </c>
      <c r="T26" s="24" t="inlineStr">
        <is>
          <t>mlb-elo-trend-lr-v3</t>
        </is>
      </c>
      <c r="U26" s="24" t="inlineStr">
        <is>
          <t>settled</t>
        </is>
      </c>
      <c r="V26" s="24" t="inlineStr">
        <is>
          <t>win</t>
        </is>
      </c>
      <c r="W26" s="26" t="n"/>
      <c r="X26" s="26" t="n"/>
      <c r="Y26" s="38" t="n"/>
      <c r="Z26" s="26" t="n"/>
      <c r="AA26" s="28" t="n"/>
      <c r="AB26" s="28" t="n"/>
      <c r="AC26" s="40" t="n">
        <v>0.9608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inlineStr">
        <is>
          <t>2026-07-17T16:26:12.761758Z</t>
        </is>
      </c>
      <c r="BI26" s="24" t="n"/>
      <c r="BJ26" s="38" t="n"/>
      <c r="BK26" s="26" t="n">
        <v>-104</v>
      </c>
      <c r="BL26" s="39" t="n">
        <v>1.960784</v>
      </c>
      <c r="BM26" s="28" t="n">
        <v>0.51</v>
      </c>
      <c r="BN26" s="28" t="n">
        <v>0.507463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120</v>
      </c>
      <c r="M27" s="39" t="n">
        <v>2.197802</v>
      </c>
      <c r="N27" s="28" t="n">
        <v>0.455</v>
      </c>
      <c r="O27" s="28" t="n">
        <v>0.530299</v>
      </c>
      <c r="P27" s="28" t="n">
        <v>0.05</v>
      </c>
      <c r="Q27" s="28" t="n">
        <v>0.075299</v>
      </c>
      <c r="R27" s="26" t="n"/>
      <c r="S27" s="29" t="n">
        <v>0.75</v>
      </c>
      <c r="T27" s="24" t="inlineStr">
        <is>
          <t>mlb-elo-trend-lr-v3</t>
        </is>
      </c>
      <c r="U27" s="24" t="inlineStr">
        <is>
          <t>settled</t>
        </is>
      </c>
      <c r="V27" s="24" t="inlineStr">
        <is>
          <t>loss</t>
        </is>
      </c>
      <c r="W27" s="26" t="n"/>
      <c r="X27" s="26" t="n"/>
      <c r="Y27" s="38" t="n"/>
      <c r="Z27" s="26" t="n"/>
      <c r="AA27" s="28" t="n"/>
      <c r="AB27" s="28" t="n"/>
      <c r="AC27" s="4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inlineStr">
        <is>
          <t>2026-07-17T16:26:14.658660Z</t>
        </is>
      </c>
      <c r="BI27" s="24" t="n"/>
      <c r="BJ27" s="38" t="n"/>
      <c r="BK27" s="26" t="n">
        <v>120</v>
      </c>
      <c r="BL27" s="39" t="n">
        <v>2.197802</v>
      </c>
      <c r="BM27" s="28" t="n">
        <v>0.455</v>
      </c>
      <c r="BN27" s="28" t="n">
        <v>0.452736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100</v>
      </c>
      <c r="M28" s="39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/>
      <c r="S28" s="29" t="n">
        <v>0.75</v>
      </c>
      <c r="T28" s="24" t="inlineStr">
        <is>
          <t>mlb-elo-trend-lr-v3</t>
        </is>
      </c>
      <c r="U28" s="24" t="inlineStr">
        <is>
          <t>settled</t>
        </is>
      </c>
      <c r="V28" s="24" t="inlineStr">
        <is>
          <t>loss</t>
        </is>
      </c>
      <c r="W28" s="26" t="n"/>
      <c r="X28" s="26" t="n"/>
      <c r="Y28" s="38" t="n"/>
      <c r="Z28" s="26" t="n"/>
      <c r="AA28" s="28" t="n"/>
      <c r="AB28" s="28" t="n"/>
      <c r="AC28" s="4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inlineStr">
        <is>
          <t>2026-07-17T16:26:13.837104Z</t>
        </is>
      </c>
      <c r="BI28" s="24" t="n"/>
      <c r="BJ28" s="38" t="n"/>
      <c r="BK28" s="26" t="n">
        <v>100</v>
      </c>
      <c r="BL28" s="39" t="n">
        <v>2</v>
      </c>
      <c r="BM28" s="28" t="n">
        <v>0.5</v>
      </c>
      <c r="BN28" s="28" t="n">
        <v>0.497512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108</v>
      </c>
      <c r="M29" s="39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93</v>
      </c>
      <c r="S29" s="29" t="n">
        <v>0</v>
      </c>
      <c r="T29" s="24" t="inlineStr">
        <is>
          <t>mlb-elo-trend-lr-v3</t>
        </is>
      </c>
      <c r="U29" s="24" t="inlineStr">
        <is>
          <t>open</t>
        </is>
      </c>
      <c r="V29" s="24" t="n"/>
      <c r="W29" s="26" t="n"/>
      <c r="X29" s="26" t="n"/>
      <c r="Y29" s="38" t="n"/>
      <c r="Z29" s="26" t="n"/>
      <c r="AA29" s="28" t="n"/>
      <c r="AB29" s="28" t="n"/>
      <c r="AC29" s="40" t="n"/>
      <c r="AD29" s="24" t="n"/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ebdb392c90fd9a9414a97c1b39024e1a4f2c894aee118b3b4598ecd7e5e96695</t>
        </is>
      </c>
      <c r="BB29" s="24" t="inlineStr">
        <is>
          <t>learned_lr</t>
        </is>
      </c>
      <c r="BC29" s="24" t="inlineStr">
        <is>
          <t>mlb-elo-trend-lr-v3</t>
        </is>
      </c>
      <c r="BD29" s="24" t="inlineStr">
        <is>
          <t>ebdb392c90fd9a9414a97c1b39024e1a4f2c894aee118b3b4598ecd7e5e96695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38" t="n"/>
      <c r="BK29" s="26" t="n">
        <v>108</v>
      </c>
      <c r="BL29" s="39" t="n">
        <v>2.08</v>
      </c>
      <c r="BM29" s="28" t="n">
        <v>0.480769</v>
      </c>
      <c r="BN29" s="28" t="n">
        <v>0.477612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/>
      <c r="BY29" s="39" t="n"/>
      <c r="BZ29" s="24" t="n"/>
      <c r="CA29" s="31" t="n"/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-133</v>
      </c>
      <c r="M30" s="39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65</v>
      </c>
      <c r="S30" s="29" t="n">
        <v>0</v>
      </c>
      <c r="T30" s="24" t="inlineStr">
        <is>
          <t>mlb-elo-trend-lr-v3</t>
        </is>
      </c>
      <c r="U30" s="24" t="inlineStr">
        <is>
          <t>open</t>
        </is>
      </c>
      <c r="V30" s="24" t="n"/>
      <c r="W30" s="26" t="n"/>
      <c r="X30" s="26" t="n"/>
      <c r="Y30" s="38" t="n"/>
      <c r="Z30" s="26" t="n"/>
      <c r="AA30" s="28" t="n"/>
      <c r="AB30" s="28" t="n"/>
      <c r="AC30" s="40" t="n"/>
      <c r="AD30" s="24" t="n"/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ebdb392c90fd9a9414a97c1b39024e1a4f2c894aee118b3b4598ecd7e5e96695</t>
        </is>
      </c>
      <c r="BB30" s="24" t="inlineStr">
        <is>
          <t>learned_lr</t>
        </is>
      </c>
      <c r="BC30" s="24" t="inlineStr">
        <is>
          <t>mlb-elo-trend-lr-v3</t>
        </is>
      </c>
      <c r="BD30" s="24" t="inlineStr">
        <is>
          <t>ebdb392c90fd9a9414a97c1b39024e1a4f2c894aee118b3b4598ecd7e5e96695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38" t="n"/>
      <c r="BK30" s="26" t="n">
        <v>-133</v>
      </c>
      <c r="BL30" s="39" t="n">
        <v>1.75188</v>
      </c>
      <c r="BM30" s="28" t="n">
        <v>0.570815</v>
      </c>
      <c r="BN30" s="28" t="n">
        <v>0.567164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/>
      <c r="BY30" s="39" t="n"/>
      <c r="BZ30" s="24" t="n"/>
      <c r="CA30" s="31" t="n"/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130</v>
      </c>
      <c r="M31" s="39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0</v>
      </c>
      <c r="T31" s="24" t="inlineStr">
        <is>
          <t>mlb-elo-trend-lr-v3</t>
        </is>
      </c>
      <c r="U31" s="24" t="inlineStr">
        <is>
          <t>open</t>
        </is>
      </c>
      <c r="V31" s="24" t="n"/>
      <c r="W31" s="26" t="n"/>
      <c r="X31" s="26" t="n"/>
      <c r="Y31" s="38" t="n"/>
      <c r="Z31" s="26" t="n"/>
      <c r="AA31" s="28" t="n"/>
      <c r="AB31" s="28" t="n"/>
      <c r="AC31" s="40" t="n"/>
      <c r="AD31" s="24" t="n"/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ebdb392c90fd9a9414a97c1b39024e1a4f2c894aee118b3b4598ecd7e5e96695</t>
        </is>
      </c>
      <c r="BB31" s="24" t="inlineStr">
        <is>
          <t>learned_lr</t>
        </is>
      </c>
      <c r="BC31" s="24" t="inlineStr">
        <is>
          <t>mlb-elo-trend-lr-v3</t>
        </is>
      </c>
      <c r="BD31" s="24" t="inlineStr">
        <is>
          <t>ebdb392c90fd9a9414a97c1b39024e1a4f2c894aee118b3b4598ecd7e5e96695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38" t="n"/>
      <c r="BK31" s="26" t="n">
        <v>130</v>
      </c>
      <c r="BL31" s="39" t="n">
        <v>2.3</v>
      </c>
      <c r="BM31" s="28" t="n">
        <v>0.434783</v>
      </c>
      <c r="BN31" s="28" t="n">
        <v>0.432836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/>
      <c r="BY31" s="39" t="n"/>
      <c r="BZ31" s="24" t="n"/>
      <c r="CA31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2026-07-19T13:23:07Z</dcterms:created>
  <dcterms:modified xsi:type="dcterms:W3CDTF">2026-07-19T13:25:08Z</dcterms:modified>
</cp:coreProperties>
</file>