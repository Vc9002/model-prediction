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13" headerRowCount="1">
  <autoFilter ref="A1:CA13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COUNTA('Picks'!$A$2:$A$13)</f>
        <v/>
      </c>
      <c r="C4" s="6">
        <f>COUNTIF('Picks'!$U$2:$U$13,"open")</f>
        <v/>
      </c>
      <c r="E4" s="6">
        <f>COUNTIF('Picks'!$U$2:$U$13,"settled")</f>
        <v/>
      </c>
      <c r="G4" s="6">
        <f>IF(COUNTIFS('Picks'!$U$2:$U$13,"settled",'Picks'!$V$2:$V$13,"win")+COUNTIFS('Picks'!$U$2:$U$13,"settled",'Picks'!$V$2:$V$13,"loss")&gt;=$L$2,"Ready","Insufficient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COUNTIF('Picks'!$BX$2:$BX$13,"&gt;0")</f>
        <v/>
      </c>
      <c r="C7" s="6">
        <f>COUNTIFS('Picks'!$BX$2:$BX$13,"&gt;0",'Picks'!$V$2:$V$13,"win")&amp;"-"&amp;COUNTIFS('Picks'!$BX$2:$BX$13,"&gt;0",'Picks'!$V$2:$V$13,"loss")</f>
        <v/>
      </c>
      <c r="E7" s="32">
        <f>IFERROR(COUNTIFS('Picks'!$BX$2:$BX$13,"&gt;0",'Picks'!$V$2:$V$13,"win")/(COUNTIFS('Picks'!$BX$2:$BX$13,"&gt;0",'Picks'!$V$2:$V$13,"win")+COUNTIFS('Picks'!$BX$2:$BX$13,"&gt;0",'Picks'!$V$2:$V$13,"loss")),0)</f>
        <v/>
      </c>
      <c r="G7" s="32">
        <f>IFERROR(SUM('Picks'!$BY$2:$BY$13)/SUM('Picks'!$BX$2:$BX$13),0)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SUM('Picks'!$BY$2:$BY$13)</f>
        <v/>
      </c>
      <c r="C10" s="9">
        <f>IFERROR(AVERAGEIF('Picks'!$AB$2:$AB$13,"&lt;&gt;",'Picks'!$AB$2:$AB$13),0)</f>
        <v/>
      </c>
      <c r="E10" s="6">
        <f>COUNTIFS('Picks'!$AM$2:$AM$13,"QUALIFIED_SHADOW_CALL",'Picks'!$U$2:$U$13,"settled")</f>
        <v/>
      </c>
      <c r="G10" s="33">
        <f>SUMIFS('Picks'!$AC$2:$AC$13,'Picks'!$AM$2:$AM$13,"QUALIFIED_SHADOW_CALL")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COUNTIFS('Picks'!$H$2:$H$13,$A14,'Picks'!$U$2:$U$13,"settled")</f>
        <v/>
      </c>
      <c r="C14" s="13">
        <f>COUNTIFS('Picks'!$H$2:$H$13,$A14,'Picks'!$U$2:$U$13,"settled",'Picks'!$V$2:$V$13,"win")</f>
        <v/>
      </c>
      <c r="D14" s="13">
        <f>COUNTIFS('Picks'!$H$2:$H$13,$A14,'Picks'!$U$2:$U$13,"settled",'Picks'!$V$2:$V$13,"loss")</f>
        <v/>
      </c>
      <c r="E14" s="34">
        <f>IFERROR(C14/(C14+D14),0)</f>
        <v/>
      </c>
      <c r="F14" s="35">
        <f>SUMIFS('Picks'!$BY$2:$BY$13,'Picks'!$H$2:$H$13,$A14)</f>
        <v/>
      </c>
      <c r="G14" s="16">
        <f>IFERROR(AVERAGEIFS('Picks'!$AB$2:$AB$13,'Picks'!$H$2:$H$13,$A14,'Picks'!$U$2:$U$13,"settled"),0)</f>
        <v/>
      </c>
    </row>
    <row r="15">
      <c r="A15" s="17" t="inlineStr">
        <is>
          <t>spread</t>
        </is>
      </c>
      <c r="B15" s="18">
        <f>COUNTIFS('Picks'!$H$2:$H$13,$A15,'Picks'!$U$2:$U$13,"settled")</f>
        <v/>
      </c>
      <c r="C15" s="18">
        <f>COUNTIFS('Picks'!$H$2:$H$13,$A15,'Picks'!$U$2:$U$13,"settled",'Picks'!$V$2:$V$13,"win")</f>
        <v/>
      </c>
      <c r="D15" s="18">
        <f>COUNTIFS('Picks'!$H$2:$H$13,$A15,'Picks'!$U$2:$U$13,"settled",'Picks'!$V$2:$V$13,"loss")</f>
        <v/>
      </c>
      <c r="E15" s="36">
        <f>IFERROR(C15/(C15+D15),0)</f>
        <v/>
      </c>
      <c r="F15" s="37">
        <f>SUMIFS('Picks'!$BY$2:$BY$13,'Picks'!$H$2:$H$13,$A15)</f>
        <v/>
      </c>
      <c r="G15" s="21">
        <f>IFERROR(AVERAGEIFS('Picks'!$AB$2:$AB$13,'Picks'!$H$2:$H$13,$A15,'Picks'!$U$2:$U$13,"settled"),0)</f>
        <v/>
      </c>
    </row>
    <row r="16">
      <c r="A16" s="12" t="inlineStr">
        <is>
          <t>total</t>
        </is>
      </c>
      <c r="B16" s="13">
        <f>COUNTIFS('Picks'!$H$2:$H$13,$A16,'Picks'!$U$2:$U$13,"settled")</f>
        <v/>
      </c>
      <c r="C16" s="13">
        <f>COUNTIFS('Picks'!$H$2:$H$13,$A16,'Picks'!$U$2:$U$13,"settled",'Picks'!$V$2:$V$13,"win")</f>
        <v/>
      </c>
      <c r="D16" s="13">
        <f>COUNTIFS('Picks'!$H$2:$H$13,$A16,'Picks'!$U$2:$U$13,"settled",'Picks'!$V$2:$V$13,"loss")</f>
        <v/>
      </c>
      <c r="E16" s="34">
        <f>IFERROR(C16/(C16+D16),0)</f>
        <v/>
      </c>
      <c r="F16" s="35">
        <f>SUMIFS('Picks'!$BY$2:$BY$13,'Picks'!$H$2:$H$13,$A16)</f>
        <v/>
      </c>
      <c r="G16" s="16">
        <f>IFERROR(AVERAGEIFS('Picks'!$AB$2:$AB$13,'Picks'!$H$2:$H$13,$A16,'Picks'!$U$2:$U$13,"settled"),0)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103bf81cbfea407b</t>
        </is>
      </c>
      <c r="B2" s="24" t="inlineStr">
        <is>
          <t>2026-07-17T10:46:59.346636Z</t>
        </is>
      </c>
      <c r="C2" s="24" t="inlineStr">
        <is>
          <t>2026-07-17T23:40Z</t>
        </is>
      </c>
      <c r="D2" s="24" t="inlineStr">
        <is>
          <t>401816148</t>
        </is>
      </c>
      <c r="E2" s="24" t="inlineStr">
        <is>
          <t>MLB</t>
        </is>
      </c>
      <c r="F2" s="24" t="inlineStr">
        <is>
          <t>Miami Marlins</t>
        </is>
      </c>
      <c r="G2" s="24" t="inlineStr">
        <is>
          <t>Milwaukee Brewers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-141</v>
      </c>
      <c r="M2" s="39" t="n">
        <v>1.70922</v>
      </c>
      <c r="N2" s="28" t="n">
        <v>0.585062</v>
      </c>
      <c r="O2" s="28" t="n">
        <v>0.605633</v>
      </c>
      <c r="P2" s="28" t="n"/>
      <c r="Q2" s="28" t="n">
        <v>0.020571</v>
      </c>
      <c r="R2" s="26" t="n">
        <v>60</v>
      </c>
      <c r="S2" s="29" t="n">
        <v>0</v>
      </c>
      <c r="T2" s="24" t="inlineStr">
        <is>
          <t>mlb-elo-trend-lr-v2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2</v>
      </c>
      <c r="Y2" s="38" t="n"/>
      <c r="Z2" s="26" t="n">
        <v>-147</v>
      </c>
      <c r="AA2" s="28" t="n">
        <v>0.595</v>
      </c>
      <c r="AB2" s="28" t="n">
        <v>0.009938000000000001</v>
      </c>
      <c r="AC2" s="40" t="n">
        <v>0</v>
      </c>
      <c r="AD2" s="24" t="inlineStr">
        <is>
          <t>2026-07-18T05:45:53.690448Z</t>
        </is>
      </c>
      <c r="AE2" s="31" t="inlineStr">
        <is>
          <t>Learned LR call at threshold 0.6018; executable ask 0.5850 (aec-mlb-mia-mil-2026-07-17).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NO_CALL_MISSING_UNCERTAINTY</t>
        </is>
      </c>
      <c r="AP2" s="24" t="inlineStr">
        <is>
          <t>mlb-mia</t>
        </is>
      </c>
      <c r="AQ2" s="24" t="inlineStr">
        <is>
          <t>Miami Marlins</t>
        </is>
      </c>
      <c r="AR2" s="24" t="inlineStr">
        <is>
          <t>Miami Marlins</t>
        </is>
      </c>
      <c r="AS2" s="24" t="inlineStr">
        <is>
          <t>mlb-mil</t>
        </is>
      </c>
      <c r="AT2" s="24" t="inlineStr">
        <is>
          <t>Milwaukee Brewers</t>
        </is>
      </c>
      <c r="AU2" s="24" t="inlineStr">
        <is>
          <t>Milwaukee Brewers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eed4b7c819bfee0eef9a6f0eed227768ba9753462e9402edf6af8e42fcd378dd</t>
        </is>
      </c>
      <c r="BB2" s="24" t="inlineStr">
        <is>
          <t>learned_lr</t>
        </is>
      </c>
      <c r="BC2" s="24" t="inlineStr">
        <is>
          <t>mlb-elo-trend-lr-v2</t>
        </is>
      </c>
      <c r="BD2" s="24" t="inlineStr">
        <is>
          <t>eed4b7c819bfee0eef9a6f0eed227768ba9753462e9402edf6af8e42fcd378dd</t>
        </is>
      </c>
      <c r="BE2" s="24" t="inlineStr">
        <is>
          <t>27ad4a1da893e4b8</t>
        </is>
      </c>
      <c r="BF2" s="24" t="inlineStr">
        <is>
          <t>1</t>
        </is>
      </c>
      <c r="BG2" s="24" t="inlineStr">
        <is>
          <t>mlb-elo-trend-lr-v2</t>
        </is>
      </c>
      <c r="BH2" s="24" t="inlineStr">
        <is>
          <t>2026-07-17T10:46:42.600125Z</t>
        </is>
      </c>
      <c r="BI2" s="24" t="inlineStr">
        <is>
          <t>["same_event","same_team_same_day","same_league_same_day"]</t>
        </is>
      </c>
      <c r="BJ2" s="38" t="n"/>
      <c r="BK2" s="26" t="n">
        <v>-141</v>
      </c>
      <c r="BL2" s="39" t="n">
        <v>1.70922</v>
      </c>
      <c r="BM2" s="28" t="n">
        <v>0.585062</v>
      </c>
      <c r="BN2" s="28" t="n">
        <v>0.58209</v>
      </c>
      <c r="BO2" s="28" t="n"/>
      <c r="BP2" s="38" t="n"/>
      <c r="BQ2" s="39" t="n">
        <v>1.680272</v>
      </c>
      <c r="BR2" s="28" t="n">
        <v>0.595</v>
      </c>
      <c r="BS2" s="28" t="n"/>
      <c r="BT2" s="28" t="n"/>
      <c r="BU2" s="38" t="n"/>
      <c r="BV2" s="29" t="n"/>
      <c r="BW2" s="24" t="n"/>
      <c r="BX2" s="40" t="n">
        <v>1</v>
      </c>
      <c r="BY2" s="39" t="n">
        <v>0.70922</v>
      </c>
      <c r="BZ2" s="24" t="inlineStr">
        <is>
          <t>2026-07-18T05:45:53.690448Z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69b8edc361c5483f</t>
        </is>
      </c>
      <c r="B3" s="24" t="inlineStr">
        <is>
          <t>2026-07-17T10:46:59.346636Z</t>
        </is>
      </c>
      <c r="C3" s="24" t="inlineStr">
        <is>
          <t>2026-07-18T00:05Z</t>
        </is>
      </c>
      <c r="D3" s="24" t="inlineStr">
        <is>
          <t>401816149</t>
        </is>
      </c>
      <c r="E3" s="24" t="inlineStr">
        <is>
          <t>MLB</t>
        </is>
      </c>
      <c r="F3" s="24" t="inlineStr">
        <is>
          <t>Minnesota Twins</t>
        </is>
      </c>
      <c r="G3" s="24" t="inlineStr">
        <is>
          <t>Chicago Cubs</t>
        </is>
      </c>
      <c r="H3" s="24" t="inlineStr">
        <is>
          <t>moneyline</t>
        </is>
      </c>
      <c r="I3" s="24" t="inlineStr">
        <is>
          <t>home</t>
        </is>
      </c>
      <c r="J3" s="38" t="n"/>
      <c r="K3" s="24" t="inlineStr">
        <is>
          <t>polymarket_us</t>
        </is>
      </c>
      <c r="L3" s="26" t="n">
        <v>-130</v>
      </c>
      <c r="M3" s="39" t="n">
        <v>1.769231</v>
      </c>
      <c r="N3" s="28" t="n">
        <v>0.565217</v>
      </c>
      <c r="O3" s="28" t="n">
        <v>0.606876</v>
      </c>
      <c r="P3" s="28" t="n"/>
      <c r="Q3" s="28" t="n">
        <v>0.041659</v>
      </c>
      <c r="R3" s="26" t="n">
        <v>71</v>
      </c>
      <c r="S3" s="29" t="n">
        <v>0</v>
      </c>
      <c r="T3" s="24" t="inlineStr">
        <is>
          <t>mlb-elo-trend-lr-v2</t>
        </is>
      </c>
      <c r="U3" s="24" t="inlineStr">
        <is>
          <t>settled</t>
        </is>
      </c>
      <c r="V3" s="24" t="inlineStr">
        <is>
          <t>loss</t>
        </is>
      </c>
      <c r="W3" s="26" t="n">
        <v>5</v>
      </c>
      <c r="X3" s="26" t="n">
        <v>2</v>
      </c>
      <c r="Y3" s="38" t="n"/>
      <c r="Z3" s="26" t="n">
        <v>-133</v>
      </c>
      <c r="AA3" s="28" t="n">
        <v>0.57</v>
      </c>
      <c r="AB3" s="28" t="n">
        <v>0.004783</v>
      </c>
      <c r="AC3" s="40" t="n">
        <v>0</v>
      </c>
      <c r="AD3" s="24" t="inlineStr">
        <is>
          <t>2026-07-18T05:45:53.777767Z</t>
        </is>
      </c>
      <c r="AE3" s="31" t="inlineStr">
        <is>
          <t>Learned LR call at threshold 0.6018; executable ask 0.5650 (aec-mlb-min-chc-2026-07-17).</t>
        </is>
      </c>
      <c r="AF3" s="31" t="inlineStr">
        <is>
          <t>Learned model; promotion gate not yet open; zero-unit research until review.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NO_CALL_MISSING_UNCERTAINTY</t>
        </is>
      </c>
      <c r="AP3" s="24" t="inlineStr">
        <is>
          <t>mlb-min</t>
        </is>
      </c>
      <c r="AQ3" s="24" t="inlineStr">
        <is>
          <t>Minnesota Twins</t>
        </is>
      </c>
      <c r="AR3" s="24" t="inlineStr">
        <is>
          <t>Minnesota Twins</t>
        </is>
      </c>
      <c r="AS3" s="24" t="inlineStr">
        <is>
          <t>mlb-chc</t>
        </is>
      </c>
      <c r="AT3" s="24" t="inlineStr">
        <is>
          <t>Chicago Cubs</t>
        </is>
      </c>
      <c r="AU3" s="24" t="inlineStr">
        <is>
          <t>Chicago Cubs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eed4b7c819bfee0eef9a6f0eed227768ba9753462e9402edf6af8e42fcd378dd</t>
        </is>
      </c>
      <c r="BB3" s="24" t="inlineStr">
        <is>
          <t>learned_lr</t>
        </is>
      </c>
      <c r="BC3" s="24" t="inlineStr">
        <is>
          <t>mlb-elo-trend-lr-v2</t>
        </is>
      </c>
      <c r="BD3" s="24" t="inlineStr">
        <is>
          <t>eed4b7c819bfee0eef9a6f0eed227768ba9753462e9402edf6af8e42fcd378dd</t>
        </is>
      </c>
      <c r="BE3" s="24" t="inlineStr">
        <is>
          <t>8438bc3f26be5eae</t>
        </is>
      </c>
      <c r="BF3" s="24" t="inlineStr">
        <is>
          <t>1</t>
        </is>
      </c>
      <c r="BG3" s="24" t="inlineStr">
        <is>
          <t>mlb-elo-trend-lr-v2</t>
        </is>
      </c>
      <c r="BH3" s="24" t="inlineStr">
        <is>
          <t>2026-07-17T10:46:43.720462Z</t>
        </is>
      </c>
      <c r="BI3" s="24" t="inlineStr">
        <is>
          <t>["same_event","same_team_same_day","same_league_same_day"]</t>
        </is>
      </c>
      <c r="BJ3" s="38" t="n"/>
      <c r="BK3" s="26" t="n">
        <v>-130</v>
      </c>
      <c r="BL3" s="39" t="n">
        <v>1.769231</v>
      </c>
      <c r="BM3" s="28" t="n">
        <v>0.565217</v>
      </c>
      <c r="BN3" s="28" t="n">
        <v>0.562189</v>
      </c>
      <c r="BO3" s="28" t="n"/>
      <c r="BP3" s="38" t="n"/>
      <c r="BQ3" s="39" t="n">
        <v>1.75188</v>
      </c>
      <c r="BR3" s="28" t="n">
        <v>0.57</v>
      </c>
      <c r="BS3" s="28" t="n"/>
      <c r="BT3" s="28" t="n"/>
      <c r="BU3" s="38" t="n"/>
      <c r="BV3" s="29" t="n"/>
      <c r="BW3" s="24" t="n"/>
      <c r="BX3" s="40" t="n">
        <v>1</v>
      </c>
      <c r="BY3" s="39" t="n">
        <v>-1</v>
      </c>
      <c r="BZ3" s="24" t="inlineStr">
        <is>
          <t>2026-07-18T05:45:53.777767Z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d0e98df55d684f7a</t>
        </is>
      </c>
      <c r="B4" s="24" t="inlineStr">
        <is>
          <t>2026-07-17T14:02:14.862720Z</t>
        </is>
      </c>
      <c r="C4" s="24" t="inlineStr">
        <is>
          <t>2026-07-17T23:40Z</t>
        </is>
      </c>
      <c r="D4" s="24" t="inlineStr">
        <is>
          <t>401816148</t>
        </is>
      </c>
      <c r="E4" s="24" t="inlineStr">
        <is>
          <t>MLB</t>
        </is>
      </c>
      <c r="F4" s="24" t="inlineStr">
        <is>
          <t>Miami Marlins</t>
        </is>
      </c>
      <c r="G4" s="24" t="inlineStr">
        <is>
          <t>Milwaukee Brewers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-141</v>
      </c>
      <c r="M4" s="39" t="n">
        <v>1.70922</v>
      </c>
      <c r="N4" s="28" t="n">
        <v>0.585062</v>
      </c>
      <c r="O4" s="28" t="n">
        <v>0.605633</v>
      </c>
      <c r="P4" s="28" t="n"/>
      <c r="Q4" s="28" t="n">
        <v>0.020571</v>
      </c>
      <c r="R4" s="26" t="n">
        <v>60</v>
      </c>
      <c r="S4" s="29" t="n">
        <v>0</v>
      </c>
      <c r="T4" s="24" t="inlineStr">
        <is>
          <t>mlb-elo-trend-lr-v3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2</v>
      </c>
      <c r="Y4" s="38" t="n"/>
      <c r="Z4" s="26" t="n">
        <v>-147</v>
      </c>
      <c r="AA4" s="28" t="n">
        <v>0.595</v>
      </c>
      <c r="AB4" s="28" t="n">
        <v>0.009938000000000001</v>
      </c>
      <c r="AC4" s="40" t="n">
        <v>0</v>
      </c>
      <c r="AD4" s="24" t="inlineStr">
        <is>
          <t>2026-07-18T05:45:54.715857Z</t>
        </is>
      </c>
      <c r="AE4" s="31" t="inlineStr">
        <is>
          <t>Learned LR call at threshold 0.6018; executable ask 0.5850 (aec-mlb-mia-mil-2026-07-17).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NO_CALL_MISSING_UNCERTAINTY</t>
        </is>
      </c>
      <c r="AP4" s="24" t="inlineStr">
        <is>
          <t>mlb-mia</t>
        </is>
      </c>
      <c r="AQ4" s="24" t="inlineStr">
        <is>
          <t>Miami Marlins</t>
        </is>
      </c>
      <c r="AR4" s="24" t="inlineStr">
        <is>
          <t>Miami Marlins</t>
        </is>
      </c>
      <c r="AS4" s="24" t="inlineStr">
        <is>
          <t>mlb-mil</t>
        </is>
      </c>
      <c r="AT4" s="24" t="inlineStr">
        <is>
          <t>Milwaukee Brewers</t>
        </is>
      </c>
      <c r="AU4" s="24" t="inlineStr">
        <is>
          <t>Milwaukee Brewers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a454281ab207d2924d585d6b967363fb8e88af45132e3e9d354e4351fb5c237f</t>
        </is>
      </c>
      <c r="BB4" s="24" t="inlineStr">
        <is>
          <t>learned_lr</t>
        </is>
      </c>
      <c r="BC4" s="24" t="inlineStr">
        <is>
          <t>mlb-elo-trend-lr-v3</t>
        </is>
      </c>
      <c r="BD4" s="24" t="inlineStr">
        <is>
          <t>a454281ab207d2924d585d6b967363fb8e88af45132e3e9d354e4351fb5c237f</t>
        </is>
      </c>
      <c r="BE4" s="24" t="inlineStr">
        <is>
          <t>27ad4a1da893e4b8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2026-07-17T14:01:56.626918Z</t>
        </is>
      </c>
      <c r="BI4" s="24" t="inlineStr">
        <is>
          <t>["same_event","same_team_same_day","same_league_same_day"]</t>
        </is>
      </c>
      <c r="BJ4" s="38" t="n"/>
      <c r="BK4" s="26" t="n">
        <v>-141</v>
      </c>
      <c r="BL4" s="39" t="n">
        <v>1.70922</v>
      </c>
      <c r="BM4" s="28" t="n">
        <v>0.585062</v>
      </c>
      <c r="BN4" s="28" t="n">
        <v>0.58209</v>
      </c>
      <c r="BO4" s="28" t="n"/>
      <c r="BP4" s="38" t="n"/>
      <c r="BQ4" s="39" t="n">
        <v>1.680272</v>
      </c>
      <c r="BR4" s="28" t="n">
        <v>0.595</v>
      </c>
      <c r="BS4" s="28" t="n"/>
      <c r="BT4" s="28" t="n"/>
      <c r="BU4" s="38" t="n"/>
      <c r="BV4" s="29" t="n"/>
      <c r="BW4" s="24" t="n"/>
      <c r="BX4" s="40" t="n">
        <v>1.5</v>
      </c>
      <c r="BY4" s="39" t="n">
        <v>1.06383</v>
      </c>
      <c r="BZ4" s="24" t="inlineStr">
        <is>
          <t>2026-07-18T06:03:40.307635Z</t>
        </is>
      </c>
      <c r="CA4" s="31" t="inlineStr">
        <is>
          <t>decision-time model-sized hypothetical scoring; migrated 2026-07-18; no real exposure</t>
        </is>
      </c>
    </row>
    <row r="5" ht="36" customHeight="1">
      <c r="A5" s="24" t="inlineStr">
        <is>
          <t>3b98081a1ff04c62</t>
        </is>
      </c>
      <c r="B5" s="24" t="inlineStr">
        <is>
          <t>2026-07-17T14:02:14.862720Z</t>
        </is>
      </c>
      <c r="C5" s="24" t="inlineStr">
        <is>
          <t>2026-07-18T00:05Z</t>
        </is>
      </c>
      <c r="D5" s="24" t="inlineStr">
        <is>
          <t>401816149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-130</v>
      </c>
      <c r="M5" s="39" t="n">
        <v>1.769231</v>
      </c>
      <c r="N5" s="28" t="n">
        <v>0.565217</v>
      </c>
      <c r="O5" s="28" t="n">
        <v>0.606876</v>
      </c>
      <c r="P5" s="28" t="n"/>
      <c r="Q5" s="28" t="n">
        <v>0.041659</v>
      </c>
      <c r="R5" s="26" t="n">
        <v>71</v>
      </c>
      <c r="S5" s="29" t="n">
        <v>0</v>
      </c>
      <c r="T5" s="24" t="inlineStr">
        <is>
          <t>mlb-elo-trend-lr-v3</t>
        </is>
      </c>
      <c r="U5" s="24" t="inlineStr">
        <is>
          <t>settled</t>
        </is>
      </c>
      <c r="V5" s="24" t="inlineStr">
        <is>
          <t>loss</t>
        </is>
      </c>
      <c r="W5" s="26" t="n">
        <v>5</v>
      </c>
      <c r="X5" s="26" t="n">
        <v>2</v>
      </c>
      <c r="Y5" s="38" t="n"/>
      <c r="Z5" s="26" t="n">
        <v>-133</v>
      </c>
      <c r="AA5" s="28" t="n">
        <v>0.57</v>
      </c>
      <c r="AB5" s="28" t="n">
        <v>0.004783</v>
      </c>
      <c r="AC5" s="40" t="n">
        <v>0</v>
      </c>
      <c r="AD5" s="24" t="inlineStr">
        <is>
          <t>2026-07-18T05:45:54.800172Z</t>
        </is>
      </c>
      <c r="AE5" s="31" t="inlineStr">
        <is>
          <t>Learned LR call at threshold 0.6018; executable ask 0.5650 (aec-mlb-min-chc-2026-07-17).</t>
        </is>
      </c>
      <c r="AF5" s="31" t="inlineStr">
        <is>
          <t>Learned model; promotion gate not yet open; zero-unit research until review.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NO_CALL_MISSING_UNCERTAINTY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a454281ab207d2924d585d6b967363fb8e88af45132e3e9d354e4351fb5c237f</t>
        </is>
      </c>
      <c r="BB5" s="24" t="inlineStr">
        <is>
          <t>learned_lr</t>
        </is>
      </c>
      <c r="BC5" s="24" t="inlineStr">
        <is>
          <t>mlb-elo-trend-lr-v3</t>
        </is>
      </c>
      <c r="BD5" s="24" t="inlineStr">
        <is>
          <t>a454281ab207d2924d585d6b967363fb8e88af45132e3e9d354e4351fb5c237f</t>
        </is>
      </c>
      <c r="BE5" s="24" t="inlineStr">
        <is>
          <t>8438bc3f26be5eae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2026-07-17T14:01:57.663980Z</t>
        </is>
      </c>
      <c r="BI5" s="24" t="inlineStr">
        <is>
          <t>["same_event","same_team_same_day","same_league_same_day"]</t>
        </is>
      </c>
      <c r="BJ5" s="38" t="n"/>
      <c r="BK5" s="26" t="n">
        <v>-130</v>
      </c>
      <c r="BL5" s="39" t="n">
        <v>1.769231</v>
      </c>
      <c r="BM5" s="28" t="n">
        <v>0.565217</v>
      </c>
      <c r="BN5" s="28" t="n">
        <v>0.562189</v>
      </c>
      <c r="BO5" s="28" t="n"/>
      <c r="BP5" s="38" t="n"/>
      <c r="BQ5" s="39" t="n">
        <v>1.75188</v>
      </c>
      <c r="BR5" s="28" t="n">
        <v>0.57</v>
      </c>
      <c r="BS5" s="28" t="n"/>
      <c r="BT5" s="28" t="n"/>
      <c r="BU5" s="38" t="n"/>
      <c r="BV5" s="29" t="n"/>
      <c r="BW5" s="24" t="n"/>
      <c r="BX5" s="40" t="n">
        <v>1.5</v>
      </c>
      <c r="BY5" s="39" t="n">
        <v>-1.5</v>
      </c>
      <c r="BZ5" s="24" t="inlineStr">
        <is>
          <t>2026-07-18T06:03:40.307635Z</t>
        </is>
      </c>
      <c r="CA5" s="31" t="inlineStr">
        <is>
          <t>decision-time model-sized hypothetical scoring; migrated 2026-07-18; no real exposure</t>
        </is>
      </c>
    </row>
    <row r="6" ht="36" customHeight="1">
      <c r="A6" s="24" t="inlineStr">
        <is>
          <t>93a3540bf0dd49bb</t>
        </is>
      </c>
      <c r="B6" s="24" t="inlineStr">
        <is>
          <t>2026-07-17T16:21:24.725309Z</t>
        </is>
      </c>
      <c r="C6" s="24" t="inlineStr">
        <is>
          <t>2026-07-18T20:10Z</t>
        </is>
      </c>
      <c r="D6" s="24" t="inlineStr">
        <is>
          <t>401816163</t>
        </is>
      </c>
      <c r="E6" s="24" t="inlineStr">
        <is>
          <t>MLB</t>
        </is>
      </c>
      <c r="F6" s="24" t="inlineStr">
        <is>
          <t>Miami Marlins</t>
        </is>
      </c>
      <c r="G6" s="24" t="inlineStr">
        <is>
          <t>Milwaukee Brewers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-130</v>
      </c>
      <c r="M6" s="39" t="n">
        <v>1.769231</v>
      </c>
      <c r="N6" s="28" t="n">
        <v>0.565217</v>
      </c>
      <c r="O6" s="28" t="n">
        <v>0.605633</v>
      </c>
      <c r="P6" s="28" t="n"/>
      <c r="Q6" s="28" t="n">
        <v>0.040416</v>
      </c>
      <c r="R6" s="26" t="n">
        <v>70</v>
      </c>
      <c r="S6" s="29" t="n">
        <v>0</v>
      </c>
      <c r="T6" s="24" t="inlineStr">
        <is>
          <t>mlb-elo-trend-lr-v3</t>
        </is>
      </c>
      <c r="U6" s="24" t="inlineStr">
        <is>
          <t>open</t>
        </is>
      </c>
      <c r="V6" s="24" t="n"/>
      <c r="W6" s="26" t="n"/>
      <c r="X6" s="26" t="n"/>
      <c r="Y6" s="38" t="n"/>
      <c r="Z6" s="26" t="n"/>
      <c r="AA6" s="28" t="n"/>
      <c r="AB6" s="28" t="n"/>
      <c r="AC6" s="40" t="n"/>
      <c r="AD6" s="24" t="n"/>
      <c r="AE6" s="31" t="inlineStr">
        <is>
          <t>Learned LR call at threshold 0.6018; executable ask 0.5650 (aec-mlb-mia-mil-2026-07-18).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NO_CALL_MISSING_UNCERTAINTY</t>
        </is>
      </c>
      <c r="AP6" s="24" t="inlineStr">
        <is>
          <t>mlb-mia</t>
        </is>
      </c>
      <c r="AQ6" s="24" t="inlineStr">
        <is>
          <t>Miami Marlins</t>
        </is>
      </c>
      <c r="AR6" s="24" t="inlineStr">
        <is>
          <t>Miami Marlins</t>
        </is>
      </c>
      <c r="AS6" s="24" t="inlineStr">
        <is>
          <t>mlb-mil</t>
        </is>
      </c>
      <c r="AT6" s="24" t="inlineStr">
        <is>
          <t>Milwaukee Brewers</t>
        </is>
      </c>
      <c r="AU6" s="24" t="inlineStr">
        <is>
          <t>Milwaukee Brewers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a454281ab207d2924d585d6b967363fb8e88af45132e3e9d354e4351fb5c237f</t>
        </is>
      </c>
      <c r="BB6" s="24" t="inlineStr">
        <is>
          <t>learned_lr</t>
        </is>
      </c>
      <c r="BC6" s="24" t="inlineStr">
        <is>
          <t>mlb-elo-trend-lr-v3</t>
        </is>
      </c>
      <c r="BD6" s="24" t="inlineStr">
        <is>
          <t>a454281ab207d2924d585d6b967363fb8e88af45132e3e9d354e4351fb5c237f</t>
        </is>
      </c>
      <c r="BE6" s="24" t="inlineStr">
        <is>
          <t>c7348ce29d666909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2026-07-17T16:21:07.161405Z</t>
        </is>
      </c>
      <c r="BI6" s="24" t="inlineStr">
        <is>
          <t>["same_event","same_team_same_day","same_league_same_day"]</t>
        </is>
      </c>
      <c r="BJ6" s="38" t="n"/>
      <c r="BK6" s="26" t="n">
        <v>-130</v>
      </c>
      <c r="BL6" s="39" t="n">
        <v>1.769231</v>
      </c>
      <c r="BM6" s="28" t="n">
        <v>0.565217</v>
      </c>
      <c r="BN6" s="28" t="n">
        <v>0.562189</v>
      </c>
      <c r="BO6" s="28" t="n"/>
      <c r="BP6" s="38" t="n"/>
      <c r="BQ6" s="39" t="n"/>
      <c r="BR6" s="28" t="n"/>
      <c r="BS6" s="28" t="n"/>
      <c r="BT6" s="28" t="n"/>
      <c r="BU6" s="38" t="n"/>
      <c r="BV6" s="29" t="n"/>
      <c r="BW6" s="24" t="n"/>
      <c r="BX6" s="40" t="n"/>
      <c r="BY6" s="39" t="n"/>
      <c r="BZ6" s="24" t="n"/>
      <c r="CA6" s="31" t="n"/>
    </row>
    <row r="7" ht="36" customHeight="1">
      <c r="A7" s="24" t="inlineStr">
        <is>
          <t>4c2ec934da05478b</t>
        </is>
      </c>
      <c r="B7" s="24" t="inlineStr">
        <is>
          <t>2026-07-18T05:45:47.429402Z</t>
        </is>
      </c>
      <c r="C7" s="24" t="inlineStr">
        <is>
          <t>2026-07-18T18:20Z</t>
        </is>
      </c>
      <c r="D7" s="24" t="inlineStr">
        <is>
          <t>401816164</t>
        </is>
      </c>
      <c r="E7" s="24" t="inlineStr">
        <is>
          <t>MLB</t>
        </is>
      </c>
      <c r="F7" s="24" t="inlineStr">
        <is>
          <t>Minnesota Twins</t>
        </is>
      </c>
      <c r="G7" s="24" t="inlineStr">
        <is>
          <t>Chicago Cubs</t>
        </is>
      </c>
      <c r="H7" s="24" t="inlineStr">
        <is>
          <t>moneyline</t>
        </is>
      </c>
      <c r="I7" s="24" t="inlineStr">
        <is>
          <t>home</t>
        </is>
      </c>
      <c r="J7" s="38" t="n"/>
      <c r="K7" s="24" t="inlineStr">
        <is>
          <t>polymarket_us</t>
        </is>
      </c>
      <c r="L7" s="26" t="n">
        <v>-133</v>
      </c>
      <c r="M7" s="39" t="n">
        <v>1.75188</v>
      </c>
      <c r="N7" s="28" t="n">
        <v>0.570815</v>
      </c>
      <c r="O7" s="28" t="n">
        <v>0.606876</v>
      </c>
      <c r="P7" s="28" t="n"/>
      <c r="Q7" s="28" t="n">
        <v>0.036061</v>
      </c>
      <c r="R7" s="26" t="n">
        <v>68</v>
      </c>
      <c r="S7" s="29" t="n">
        <v>0</v>
      </c>
      <c r="T7" s="24" t="inlineStr">
        <is>
          <t>mlb-elo-trend-lr-v3</t>
        </is>
      </c>
      <c r="U7" s="24" t="inlineStr">
        <is>
          <t>open</t>
        </is>
      </c>
      <c r="V7" s="24" t="n"/>
      <c r="W7" s="26" t="n"/>
      <c r="X7" s="26" t="n"/>
      <c r="Y7" s="38" t="n"/>
      <c r="Z7" s="26" t="n"/>
      <c r="AA7" s="28" t="n"/>
      <c r="AB7" s="28" t="n"/>
      <c r="AC7" s="40" t="n"/>
      <c r="AD7" s="24" t="n"/>
      <c r="AE7" s="31" t="inlineStr">
        <is>
          <t>Learned LR call at threshold 0.6018; executable ask 0.5700 (aec-mlb-min-chc-2026-07-18).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NO_CALL_MISSING_UNCERTAINTY</t>
        </is>
      </c>
      <c r="AP7" s="24" t="inlineStr">
        <is>
          <t>mlb-min</t>
        </is>
      </c>
      <c r="AQ7" s="24" t="inlineStr">
        <is>
          <t>Minnesota Twins</t>
        </is>
      </c>
      <c r="AR7" s="24" t="inlineStr">
        <is>
          <t>Minnesota Twins</t>
        </is>
      </c>
      <c r="AS7" s="24" t="inlineStr">
        <is>
          <t>mlb-chc</t>
        </is>
      </c>
      <c r="AT7" s="24" t="inlineStr">
        <is>
          <t>Chicago Cubs</t>
        </is>
      </c>
      <c r="AU7" s="24" t="inlineStr">
        <is>
          <t>Chicago Cubs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a454281ab207d2924d585d6b967363fb8e88af45132e3e9d354e4351fb5c237f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a454281ab207d2924d585d6b967363fb8e88af45132e3e9d354e4351fb5c237f</t>
        </is>
      </c>
      <c r="BE7" s="24" t="inlineStr">
        <is>
          <t>3acab0aa8ac04a91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2026-07-18T05:44:27.731285Z</t>
        </is>
      </c>
      <c r="BI7" s="24" t="inlineStr">
        <is>
          <t>["same_event","same_team_same_day","same_league_same_day"]</t>
        </is>
      </c>
      <c r="BJ7" s="38" t="n"/>
      <c r="BK7" s="26" t="n">
        <v>-133</v>
      </c>
      <c r="BL7" s="39" t="n">
        <v>1.75188</v>
      </c>
      <c r="BM7" s="28" t="n">
        <v>0.570815</v>
      </c>
      <c r="BN7" s="28" t="n">
        <v>0.567164</v>
      </c>
      <c r="BO7" s="28" t="n"/>
      <c r="BP7" s="38" t="n"/>
      <c r="BQ7" s="39" t="n"/>
      <c r="BR7" s="28" t="n"/>
      <c r="BS7" s="28" t="n"/>
      <c r="BT7" s="28" t="n"/>
      <c r="BU7" s="38" t="n"/>
      <c r="BV7" s="29" t="n"/>
      <c r="BW7" s="24" t="n"/>
      <c r="BX7" s="40" t="n"/>
      <c r="BY7" s="39" t="n"/>
      <c r="BZ7" s="24" t="n"/>
      <c r="CA7" s="31" t="n"/>
    </row>
    <row r="8" ht="36" customHeight="1"/>
    <row r="9" ht="36" customHeight="1"/>
    <row r="10" ht="36" customHeight="1"/>
    <row r="11" ht="36" customHeight="1"/>
    <row r="12" ht="36" customHeight="1"/>
    <row r="13" ht="36" customHeight="1"/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2026-07-18T06:03:42Z</dcterms:created>
  <dcterms:modified xsi:type="dcterms:W3CDTF">2026-07-18T06:59:25Z</dcterms:modified>
</cp:coreProperties>
</file>