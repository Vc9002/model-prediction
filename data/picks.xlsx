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02" headerRowCount="1">
  <autoFilter ref="A1:CQ10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COUNTA('Picks'!$A$2:$A$102)</f>
        <v/>
      </c>
      <c r="C4" s="6">
        <f>COUNTIF('Picks'!$U$2:$U$102,"open")</f>
        <v/>
      </c>
      <c r="E4" s="6">
        <f>COUNTIF('Picks'!$U$2:$U$102,"settled")</f>
        <v/>
      </c>
      <c r="G4" s="6">
        <f>IF(COUNTIFS('Picks'!$U$2:$U$102,"settled",'Picks'!$V$2:$V$102,"win")+COUNTIFS('Picks'!$U$2:$U$102,"settled",'Picks'!$V$2:$V$102,"loss")&gt;=$L$2,"Ready","Insufficient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COUNTIF('Picks'!$BX$2:$BX$102,"&gt;0")</f>
        <v/>
      </c>
      <c r="C7" s="6">
        <f>COUNTIFS('Picks'!$BX$2:$BX$102,"&gt;0",'Picks'!$V$2:$V$102,"win")&amp;"-"&amp;COUNTIFS('Picks'!$BX$2:$BX$102,"&gt;0",'Picks'!$V$2:$V$102,"loss")</f>
        <v/>
      </c>
      <c r="E7" s="7">
        <f>IFERROR(COUNTIFS('Picks'!$BX$2:$BX$102,"&gt;0",'Picks'!$V$2:$V$102,"win")/(COUNTIFS('Picks'!$BX$2:$BX$102,"&gt;0",'Picks'!$V$2:$V$102,"win")+COUNTIFS('Picks'!$BX$2:$BX$102,"&gt;0",'Picks'!$V$2:$V$102,"loss")),0)</f>
        <v/>
      </c>
      <c r="G7" s="7">
        <f>IFERROR(SUM('Picks'!$BY$2:$BY$102)/SUM('Picks'!$BX$2:$BX$102),0)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SUM('Picks'!$BY$2:$BY$102)</f>
        <v/>
      </c>
      <c r="C10" s="9">
        <f>IFERROR(AVERAGEIF('Picks'!$AB$2:$AB$102,"&lt;&gt;",'Picks'!$AB$2:$AB$102),0)</f>
        <v/>
      </c>
      <c r="E10" s="6">
        <f>COUNTIFS('Picks'!$AM$2:$AM$102,"QUALIFIED_SHADOW_CALL",'Picks'!$U$2:$U$102,"settled")</f>
        <v/>
      </c>
      <c r="G10" s="8">
        <f>SUMIFS('Picks'!$AC$2:$AC$102,'Picks'!$AM$2:$AM$102,"QUALIFIED_SHADOW_CALL")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COUNTIFS('Picks'!$H$2:$H$102,$A14,'Picks'!$U$2:$U$102,"settled")</f>
        <v/>
      </c>
      <c r="C14" s="13">
        <f>COUNTIFS('Picks'!$H$2:$H$102,$A14,'Picks'!$U$2:$U$102,"settled",'Picks'!$V$2:$V$102,"win")</f>
        <v/>
      </c>
      <c r="D14" s="13">
        <f>COUNTIFS('Picks'!$H$2:$H$102,$A14,'Picks'!$U$2:$U$102,"settled",'Picks'!$V$2:$V$102,"loss")</f>
        <v/>
      </c>
      <c r="E14" s="14">
        <f>IFERROR(C14/(C14+D14),0)</f>
        <v/>
      </c>
      <c r="F14" s="15">
        <f>SUMIFS('Picks'!$BY$2:$BY$102,'Picks'!$H$2:$H$102,$A14)</f>
        <v/>
      </c>
      <c r="G14" s="16">
        <f>IFERROR(AVERAGEIFS('Picks'!$AB$2:$AB$102,'Picks'!$H$2:$H$102,$A14,'Picks'!$U$2:$U$102,"settled"),0)</f>
        <v/>
      </c>
    </row>
    <row r="15">
      <c r="A15" s="17" t="inlineStr">
        <is>
          <t>spread</t>
        </is>
      </c>
      <c r="B15" s="18">
        <f>COUNTIFS('Picks'!$H$2:$H$102,$A15,'Picks'!$U$2:$U$102,"settled")</f>
        <v/>
      </c>
      <c r="C15" s="18">
        <f>COUNTIFS('Picks'!$H$2:$H$102,$A15,'Picks'!$U$2:$U$102,"settled",'Picks'!$V$2:$V$102,"win")</f>
        <v/>
      </c>
      <c r="D15" s="18">
        <f>COUNTIFS('Picks'!$H$2:$H$102,$A15,'Picks'!$U$2:$U$102,"settled",'Picks'!$V$2:$V$102,"loss")</f>
        <v/>
      </c>
      <c r="E15" s="19">
        <f>IFERROR(C15/(C15+D15),0)</f>
        <v/>
      </c>
      <c r="F15" s="20">
        <f>SUMIFS('Picks'!$BY$2:$BY$102,'Picks'!$H$2:$H$102,$A15)</f>
        <v/>
      </c>
      <c r="G15" s="21">
        <f>IFERROR(AVERAGEIFS('Picks'!$AB$2:$AB$102,'Picks'!$H$2:$H$102,$A15,'Picks'!$U$2:$U$102,"settled"),0)</f>
        <v/>
      </c>
    </row>
    <row r="16">
      <c r="A16" s="12" t="inlineStr">
        <is>
          <t>total</t>
        </is>
      </c>
      <c r="B16" s="13">
        <f>COUNTIFS('Picks'!$H$2:$H$102,$A16,'Picks'!$U$2:$U$102,"settled")</f>
        <v/>
      </c>
      <c r="C16" s="13">
        <f>COUNTIFS('Picks'!$H$2:$H$102,$A16,'Picks'!$U$2:$U$102,"settled",'Picks'!$V$2:$V$102,"win")</f>
        <v/>
      </c>
      <c r="D16" s="13">
        <f>COUNTIFS('Picks'!$H$2:$H$102,$A16,'Picks'!$U$2:$U$102,"settled",'Picks'!$V$2:$V$102,"loss")</f>
        <v/>
      </c>
      <c r="E16" s="14">
        <f>IFERROR(C16/(C16+D16),0)</f>
        <v/>
      </c>
      <c r="F16" s="15">
        <f>SUMIFS('Picks'!$BY$2:$BY$102,'Picks'!$H$2:$H$102,$A16)</f>
        <v/>
      </c>
      <c r="G16" s="16">
        <f>IFERROR(AVERAGEIFS('Picks'!$AB$2:$AB$102,'Picks'!$H$2:$H$102,$A16,'Picks'!$U$2:$U$102,"settled"),0)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f34743eccf0143a3</t>
        </is>
      </c>
      <c r="B53" s="24" t="inlineStr">
        <is>
          <t>2026-08-02T16:48:43.908788Z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0.643489</v>
      </c>
      <c r="P53" s="28" t="n"/>
      <c r="Q53" s="28" t="n">
        <v>-0.006861</v>
      </c>
      <c r="R53" s="26" t="n">
        <v>20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2026-08-02T16:47:30.539614Z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0.643564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inlineStr">
        <is>
          <t>0.643489</t>
        </is>
      </c>
      <c r="CQ53" s="24" t="inlineStr">
        <is>
          <t>0</t>
        </is>
      </c>
    </row>
    <row r="54" ht="36" customHeight="1">
      <c r="A54" s="24" t="inlineStr">
        <is>
          <t>f7b150997a264103</t>
        </is>
      </c>
      <c r="B54" s="24" t="inlineStr">
        <is>
          <t>2026-08-02T12:28:25.454250Z</t>
        </is>
      </c>
      <c r="C54" s="24" t="inlineStr">
        <is>
          <t>2026-08-02T13:00Z</t>
        </is>
      </c>
      <c r="D54" s="24" t="inlineStr">
        <is>
          <t>401886551</t>
        </is>
      </c>
      <c r="E54" s="24" t="inlineStr">
        <is>
          <t>SOCCER</t>
        </is>
      </c>
      <c r="F54" s="24" t="inlineStr">
        <is>
          <t>Atalanta</t>
        </is>
      </c>
      <c r="G54" s="24" t="inlineStr">
        <is>
          <t>Feyenoord Rotterdam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194</v>
      </c>
      <c r="M54" s="27" t="n">
        <v>2.94</v>
      </c>
      <c r="N54" s="28" t="n">
        <v>0.340136</v>
      </c>
      <c r="O54" s="28" t="n">
        <v>0.575359</v>
      </c>
      <c r="P54" s="28" t="n">
        <v>0.04</v>
      </c>
      <c r="Q54" s="28" t="n">
        <v>0.235223</v>
      </c>
      <c r="R54" s="26" t="n">
        <v>100</v>
      </c>
      <c r="S54" s="29" t="n">
        <v>1.25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2.425</v>
      </c>
      <c r="AD54" s="24" t="inlineStr">
        <is>
          <t>2026-08-02T15:52:40.668054Z</t>
        </is>
      </c>
      <c r="AE54" s="31" t="inlineStr">
        <is>
          <t>Poisson-DC rates 1.92 (home) / 1.01 (away) from EWMA attack/defense strengths. Executable ask 0.3400 (atc-clbf-fey-ata-2026-08-02-fey).</t>
        </is>
      </c>
      <c r="AF54" s="31" t="inlineStr">
        <is>
          <t>Research-only soccer score model; draw-aware, but not yet locked-holdout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Atalanta</t>
        </is>
      </c>
      <c r="AQ54" s="24" t="inlineStr">
        <is>
          <t>Atalanta</t>
        </is>
      </c>
      <c r="AR54" s="24" t="inlineStr">
        <is>
          <t>Atalanta</t>
        </is>
      </c>
      <c r="AS54" s="24" t="inlineStr">
        <is>
          <t>Feyenoord Rotterdam</t>
        </is>
      </c>
      <c r="AT54" s="24" t="inlineStr">
        <is>
          <t>Feyenoord Rotterdam</t>
        </is>
      </c>
      <c r="AU54" s="24" t="inlineStr">
        <is>
          <t>Feyenoord Rotterdam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2026-08-02T12:25:27.610137Z</t>
        </is>
      </c>
      <c r="BI54" s="24" t="inlineStr">
        <is>
          <t>["same_event","same_team_same_day","same_league_same_day"]</t>
        </is>
      </c>
      <c r="BJ54" s="25" t="n"/>
      <c r="BK54" s="26" t="n">
        <v>194</v>
      </c>
      <c r="BL54" s="27" t="n">
        <v>2.94</v>
      </c>
      <c r="BM54" s="28" t="n">
        <v>0.340136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b93cfe1d302c48e3</t>
        </is>
      </c>
      <c r="B55" s="24" t="inlineStr">
        <is>
          <t>2026-08-02T12:28:25.454250Z</t>
        </is>
      </c>
      <c r="C55" s="24" t="inlineStr">
        <is>
          <t>2026-08-02T13:00Z</t>
        </is>
      </c>
      <c r="D55" s="24" t="inlineStr">
        <is>
          <t>401886551</t>
        </is>
      </c>
      <c r="E55" s="24" t="inlineStr">
        <is>
          <t>SOCCER</t>
        </is>
      </c>
      <c r="F55" s="24" t="inlineStr">
        <is>
          <t>Atalanta</t>
        </is>
      </c>
      <c r="G55" s="24" t="inlineStr">
        <is>
          <t>Feyenoord Rotterdam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194</v>
      </c>
      <c r="M55" s="27" t="n">
        <v>2.94</v>
      </c>
      <c r="N55" s="28" t="n">
        <v>0.340136</v>
      </c>
      <c r="O55" s="28" t="n">
        <v>0.575359</v>
      </c>
      <c r="P55" s="28" t="n">
        <v>0.04</v>
      </c>
      <c r="Q55" s="28" t="n">
        <v>0.235223</v>
      </c>
      <c r="R55" s="26" t="n">
        <v>100</v>
      </c>
      <c r="S55" s="29" t="n">
        <v>1.25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2.425</v>
      </c>
      <c r="AD55" s="24" t="inlineStr">
        <is>
          <t>2026-08-02T15:53:28.234366Z</t>
        </is>
      </c>
      <c r="AE55" s="31" t="inlineStr">
        <is>
          <t>Poisson-DC rates 1.92 (home) / 1.01 (away) from EWMA attack/defense strengths. Executable ask 0.3400 (atc-clbf-fey-ata-2026-08-02-fey).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Atalanta</t>
        </is>
      </c>
      <c r="AQ55" s="24" t="inlineStr">
        <is>
          <t>Atalanta</t>
        </is>
      </c>
      <c r="AR55" s="24" t="inlineStr">
        <is>
          <t>Atalanta</t>
        </is>
      </c>
      <c r="AS55" s="24" t="inlineStr">
        <is>
          <t>Feyenoord Rotterdam</t>
        </is>
      </c>
      <c r="AT55" s="24" t="inlineStr">
        <is>
          <t>Feyenoord Rotterdam</t>
        </is>
      </c>
      <c r="AU55" s="24" t="inlineStr">
        <is>
          <t>Feyenoord Rotterdam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2026-08-02T12:25:27.610137Z</t>
        </is>
      </c>
      <c r="BI55" s="24" t="inlineStr">
        <is>
          <t>["same_event","same_team_same_day","same_league_same_day"]</t>
        </is>
      </c>
      <c r="BJ55" s="25" t="n"/>
      <c r="BK55" s="26" t="n">
        <v>194</v>
      </c>
      <c r="BL55" s="27" t="n">
        <v>2.94</v>
      </c>
      <c r="BM55" s="28" t="n">
        <v>0.340136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2ccf46ab0ab040ed</t>
        </is>
      </c>
      <c r="B56" s="24" t="inlineStr">
        <is>
          <t>2026-08-02T15:50:00.179683Z</t>
        </is>
      </c>
      <c r="C56" s="24" t="inlineStr">
        <is>
          <t>2026-08-02T16:00Z</t>
        </is>
      </c>
      <c r="D56" s="24" t="inlineStr">
        <is>
          <t>888-2026:179014</t>
        </is>
      </c>
      <c r="E56" s="24" t="inlineStr">
        <is>
          <t>TENNIS</t>
        </is>
      </c>
      <c r="F56" s="24" t="inlineStr">
        <is>
          <t>Alexandra Eala</t>
        </is>
      </c>
      <c r="G56" s="24" t="inlineStr">
        <is>
          <t>Jessica Pegula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0.821797</v>
      </c>
      <c r="P56" s="28" t="n">
        <v>0.05</v>
      </c>
      <c r="Q56" s="28" t="n">
        <v>0.231633</v>
      </c>
      <c r="R56" s="26" t="n">
        <v>100</v>
      </c>
      <c r="S56" s="29" t="n">
        <v>2</v>
      </c>
      <c r="T56" s="24" t="inlineStr">
        <is>
          <t>tennis-surface-elo-v1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Surface-blended Elo on Hard: Alexandra Eala p=0.178 vs Jessica Pegula. Executable ask 0.5900 (aec-wta-jespeg-aleeal-2026-08-02).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Alexandra Eala</t>
        </is>
      </c>
      <c r="AQ56" s="24" t="inlineStr">
        <is>
          <t>Alexandra Eala</t>
        </is>
      </c>
      <c r="AR56" s="24" t="inlineStr">
        <is>
          <t>Alexandra Eala</t>
        </is>
      </c>
      <c r="AS56" s="24" t="inlineStr">
        <is>
          <t>Jessica Pegula</t>
        </is>
      </c>
      <c r="AT56" s="24" t="inlineStr">
        <is>
          <t>Jessica Pegula</t>
        </is>
      </c>
      <c r="AU56" s="24" t="inlineStr">
        <is>
          <t>Jessica Pegula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999faa03e2fa83bdf40e3760cb8645b4c314e4cc37c2050b8320d6582c4d8167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999faa03e2fa83bdf40e3760cb8645b4c314e4cc37c2050b8320d6582c4d8167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999faa03e2fa83bdf40e3760cb8645b4c314e4cc37c2050b8320d6582c4d8167</t>
        </is>
      </c>
      <c r="BH56" s="24" t="inlineStr">
        <is>
          <t>2026-08-02T15:46:52.794231Z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inlineStr">
        <is>
          <t>1</t>
        </is>
      </c>
    </row>
    <row r="57" ht="36" customHeight="1">
      <c r="A57" s="24" t="inlineStr">
        <is>
          <t>29c08a4207594d27</t>
        </is>
      </c>
      <c r="B57" s="24" t="inlineStr">
        <is>
          <t>2026-08-02T17:27:52.928541Z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0.510159</v>
      </c>
      <c r="P57" s="28" t="n"/>
      <c r="Q57" s="28" t="n">
        <v>-0.055058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-0.0548.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49479e987644e024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2026-08-02T17:26:18.691417Z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1.019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inlineStr">
        <is>
          <t>0.510159</t>
        </is>
      </c>
      <c r="CQ57" s="24" t="inlineStr">
        <is>
          <t>False</t>
        </is>
      </c>
    </row>
    <row r="58" ht="36" customHeight="1">
      <c r="A58" s="24" t="inlineStr">
        <is>
          <t>e3f80e8d56b34ff6</t>
        </is>
      </c>
      <c r="B58" s="24" t="inlineStr">
        <is>
          <t>2026-08-02T17:27:52.928541Z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0.600464</v>
      </c>
      <c r="P58" s="28" t="n"/>
      <c r="Q58" s="28" t="n">
        <v>0.050914</v>
      </c>
      <c r="R58" s="26" t="n">
        <v>47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0.5500 (aec-mlb-wsh-atl-2026-08-02); model edge vs ask +0.0505.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73dc550984f25411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2026-08-02T17:26:19.692469Z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>
        <v>0.547264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1.0183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inlineStr">
        <is>
          <t>0.600464</t>
        </is>
      </c>
      <c r="CQ58" s="24" t="inlineStr">
        <is>
          <t>True</t>
        </is>
      </c>
    </row>
    <row r="59" ht="36" customHeight="1">
      <c r="A59" s="24" t="inlineStr">
        <is>
          <t>90687a4fb41d48bb</t>
        </is>
      </c>
      <c r="B59" s="24" t="inlineStr">
        <is>
          <t>2026-08-02T17:27:52.928541Z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2026-08-02T17:26:20.623512Z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</t>
        </is>
      </c>
      <c r="CG59" s="24" t="inlineStr">
        <is>
          <t>-2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inlineStr">
        <is>
          <t>0.536276</t>
        </is>
      </c>
      <c r="CQ59" s="24" t="inlineStr">
        <is>
          <t>False</t>
        </is>
      </c>
    </row>
    <row r="60" ht="36" customHeight="1">
      <c r="A60" s="24" t="inlineStr">
        <is>
          <t>c740af404ec64599</t>
        </is>
      </c>
      <c r="B60" s="24" t="inlineStr">
        <is>
          <t>2026-08-02T17:28:55.256054Z</t>
        </is>
      </c>
      <c r="C60" s="24" t="inlineStr">
        <is>
          <t>2026-08-02T17:35Z</t>
        </is>
      </c>
      <c r="D60" s="24" t="inlineStr">
        <is>
          <t>401816365</t>
        </is>
      </c>
      <c r="E60" s="24" t="inlineStr">
        <is>
          <t>MLB</t>
        </is>
      </c>
      <c r="F60" s="24" t="inlineStr">
        <is>
          <t>Philadelphia Phillies</t>
        </is>
      </c>
      <c r="G60" s="24" t="inlineStr">
        <is>
          <t>Baltimore Orioles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-130</v>
      </c>
      <c r="M60" s="27" t="n">
        <v>1.769231</v>
      </c>
      <c r="N60" s="28" t="n">
        <v>0.565217</v>
      </c>
      <c r="O60" s="28" t="n">
        <v>0.614868</v>
      </c>
      <c r="P60" s="28" t="n">
        <v>0.042131</v>
      </c>
      <c r="Q60" s="28" t="n">
        <v>0.049651</v>
      </c>
      <c r="R60" s="26" t="n">
        <v>51</v>
      </c>
      <c r="S60" s="29" t="n">
        <v>1.5</v>
      </c>
      <c r="T60" s="24" t="inlineStr">
        <is>
          <t>measured-edge-margin-v2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4.52-4.52; raw selected-side p=0.6750, calibrated p=0.6149.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mlb-phi</t>
        </is>
      </c>
      <c r="AQ60" s="24" t="inlineStr">
        <is>
          <t>Philadelphia Phillies</t>
        </is>
      </c>
      <c r="AR60" s="24" t="inlineStr">
        <is>
          <t>Philadelphia Phillies</t>
        </is>
      </c>
      <c r="AS60" s="24" t="inlineStr">
        <is>
          <t>mlb-bal</t>
        </is>
      </c>
      <c r="AT60" s="24" t="inlineStr">
        <is>
          <t>Baltimore Orioles</t>
        </is>
      </c>
      <c r="AU60" s="24" t="inlineStr">
        <is>
          <t>Baltimore Orioles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8360b122264b796b0fb193095cfe4506c7e064e5f3f8c0a659aec41efd08dd25</t>
        </is>
      </c>
      <c r="BB60" s="24" t="inlineStr">
        <is>
          <t>flat_probability_shrinkage_toward_half</t>
        </is>
      </c>
      <c r="BC60" s="24" t="inlineStr">
        <is>
          <t>measured-edge-margin-v2</t>
        </is>
      </c>
      <c r="BD60" s="24" t="inlineStr">
        <is>
          <t>8360b122264b796b0fb193095cfe4506c7e064e5f3f8c0a659aec41efd08dd25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2026-08-02T17:28:55.256054Z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-130</v>
      </c>
      <c r="BL60" s="27" t="n">
        <v>1.769231</v>
      </c>
      <c r="BM60" s="28" t="n">
        <v>0.565217</v>
      </c>
      <c r="BN60" s="28" t="n">
        <v>0.562189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inlineStr">
        <is>
          <t>True</t>
        </is>
      </c>
    </row>
    <row r="61" ht="36" customHeight="1">
      <c r="A61" s="24" t="inlineStr">
        <is>
          <t>c9e690e0dd8f4f19</t>
        </is>
      </c>
      <c r="B61" s="24" t="inlineStr">
        <is>
          <t>2026-08-02T17:28:55.256054Z</t>
        </is>
      </c>
      <c r="C61" s="24" t="inlineStr">
        <is>
          <t>2026-08-02T17:35Z</t>
        </is>
      </c>
      <c r="D61" s="24" t="inlineStr">
        <is>
          <t>401816365</t>
        </is>
      </c>
      <c r="E61" s="24" t="inlineStr">
        <is>
          <t>MLB</t>
        </is>
      </c>
      <c r="F61" s="24" t="inlineStr">
        <is>
          <t>Philadelphia Phillies</t>
        </is>
      </c>
      <c r="G61" s="24" t="inlineStr">
        <is>
          <t>Baltimore Orioles</t>
        </is>
      </c>
      <c r="H61" s="24" t="inlineStr">
        <is>
          <t>total</t>
        </is>
      </c>
      <c r="I61" s="24" t="inlineStr">
        <is>
          <t>over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0.515126</v>
      </c>
      <c r="P61" s="28" t="n">
        <v>0.042131</v>
      </c>
      <c r="Q61" s="28" t="n">
        <v>0.045642</v>
      </c>
      <c r="R61" s="26" t="n">
        <v>48</v>
      </c>
      <c r="S61" s="29" t="n">
        <v>1</v>
      </c>
      <c r="T61" s="24" t="inlineStr">
        <is>
          <t>measured-edge-totals-v2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4.52-4.52; raw selected-side p=0.5210, calibrated p=0.5151.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mlb-phi</t>
        </is>
      </c>
      <c r="AQ61" s="24" t="inlineStr">
        <is>
          <t>Philadelphia Phillies</t>
        </is>
      </c>
      <c r="AR61" s="24" t="inlineStr">
        <is>
          <t>Philadelphia Phillies</t>
        </is>
      </c>
      <c r="AS61" s="24" t="inlineStr">
        <is>
          <t>mlb-bal</t>
        </is>
      </c>
      <c r="AT61" s="24" t="inlineStr">
        <is>
          <t>Baltimore Orioles</t>
        </is>
      </c>
      <c r="AU61" s="24" t="inlineStr">
        <is>
          <t>Baltimore Orioles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433578016242b27f9c1c7132cc6b5a2bcc7dd1b0234590c12a944455a88e71bd</t>
        </is>
      </c>
      <c r="BB61" s="24" t="inlineStr">
        <is>
          <t>flat_probability_shrinkage_toward_half</t>
        </is>
      </c>
      <c r="BC61" s="24" t="inlineStr">
        <is>
          <t>measured-edge-totals-v2</t>
        </is>
      </c>
      <c r="BD61" s="24" t="inlineStr">
        <is>
          <t>433578016242b27f9c1c7132cc6b5a2bcc7dd1b0234590c12a944455a88e71bd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2026-08-02T17:28:55.256054Z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inlineStr">
        <is>
          <t>True</t>
        </is>
      </c>
    </row>
    <row r="62" ht="36" customHeight="1">
      <c r="A62" s="24" t="inlineStr">
        <is>
          <t>1164132b25cf4b39</t>
        </is>
      </c>
      <c r="B62" s="24" t="inlineStr">
        <is>
          <t>2026-08-02T17:28:55.256054Z</t>
        </is>
      </c>
      <c r="C62" s="24" t="inlineStr">
        <is>
          <t>2026-08-02T17:35Z</t>
        </is>
      </c>
      <c r="D62" s="24" t="inlineStr">
        <is>
          <t>401816368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0.612965</v>
      </c>
      <c r="P62" s="28" t="n">
        <v>0.042131</v>
      </c>
      <c r="Q62" s="28" t="n">
        <v>-0.027323</v>
      </c>
      <c r="R62" s="26" t="n">
        <v>13</v>
      </c>
      <c r="S62" s="29" t="n">
        <v>1.5</v>
      </c>
      <c r="T62" s="24" t="inlineStr">
        <is>
          <t>measured-edge-margin-v2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4.45-4.46; raw selected-side p=0.6721, calibrated p=0.6130.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8360b122264b796b0fb193095cfe4506c7e064e5f3f8c0a659aec41efd08dd25</t>
        </is>
      </c>
      <c r="BB62" s="24" t="inlineStr">
        <is>
          <t>flat_probability_shrinkage_toward_half</t>
        </is>
      </c>
      <c r="BC62" s="24" t="inlineStr">
        <is>
          <t>measured-edge-margin-v2</t>
        </is>
      </c>
      <c r="BD62" s="24" t="inlineStr">
        <is>
          <t>8360b122264b796b0fb193095cfe4506c7e064e5f3f8c0a659aec41efd08dd25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2026-08-02T17:28:55.256054Z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-178</v>
      </c>
      <c r="BL62" s="27" t="n">
        <v>1.561798</v>
      </c>
      <c r="BM62" s="28" t="n">
        <v>0.640288</v>
      </c>
      <c r="BN62" s="28" t="n">
        <v>0.636816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inlineStr">
        <is>
          <t>False</t>
        </is>
      </c>
    </row>
    <row r="63" ht="36" customHeight="1">
      <c r="A63" s="24" t="inlineStr">
        <is>
          <t>ac5cb612d538407f</t>
        </is>
      </c>
      <c r="B63" s="24" t="inlineStr">
        <is>
          <t>2026-08-02T17:28:55.256054Z</t>
        </is>
      </c>
      <c r="C63" s="24" t="inlineStr">
        <is>
          <t>2026-08-02T17:35Z</t>
        </is>
      </c>
      <c r="D63" s="24" t="inlineStr">
        <is>
          <t>401816368</t>
        </is>
      </c>
      <c r="E63" s="24" t="inlineStr">
        <is>
          <t>MLB</t>
        </is>
      </c>
      <c r="F63" s="24" t="inlineStr">
        <is>
          <t>Washington Nationals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-122</v>
      </c>
      <c r="M63" s="27" t="n">
        <v>1.819672</v>
      </c>
      <c r="N63" s="28" t="n">
        <v>0.54955</v>
      </c>
      <c r="O63" s="28" t="n">
        <v>0.510393</v>
      </c>
      <c r="P63" s="28" t="n">
        <v>0.042131</v>
      </c>
      <c r="Q63" s="28" t="n">
        <v>-0.039157</v>
      </c>
      <c r="R63" s="26" t="n">
        <v>6</v>
      </c>
      <c r="S63" s="29" t="n">
        <v>1</v>
      </c>
      <c r="T63" s="24" t="inlineStr">
        <is>
          <t>measured-edge-totals-v2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4.45-4.46; raw selected-side p=0.5071, calibrated p=0.5104.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mlb-wsh</t>
        </is>
      </c>
      <c r="AQ63" s="24" t="inlineStr">
        <is>
          <t>Washington Nationals</t>
        </is>
      </c>
      <c r="AR63" s="24" t="inlineStr">
        <is>
          <t>Washington Nationals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433578016242b27f9c1c7132cc6b5a2bcc7dd1b0234590c12a944455a88e71bd</t>
        </is>
      </c>
      <c r="BB63" s="24" t="inlineStr">
        <is>
          <t>flat_probability_shrinkage_toward_half</t>
        </is>
      </c>
      <c r="BC63" s="24" t="inlineStr">
        <is>
          <t>measured-edge-totals-v2</t>
        </is>
      </c>
      <c r="BD63" s="24" t="inlineStr">
        <is>
          <t>433578016242b27f9c1c7132cc6b5a2bcc7dd1b0234590c12a944455a88e71bd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2026-08-02T17:28:55.256054Z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-122</v>
      </c>
      <c r="BL63" s="27" t="n">
        <v>1.819672</v>
      </c>
      <c r="BM63" s="28" t="n">
        <v>0.54955</v>
      </c>
      <c r="BN63" s="28" t="n">
        <v>0.547264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inlineStr">
        <is>
          <t>False</t>
        </is>
      </c>
    </row>
    <row r="64" ht="36" customHeight="1">
      <c r="A64" s="24" t="inlineStr">
        <is>
          <t>67caed1263934524</t>
        </is>
      </c>
      <c r="B64" s="24" t="inlineStr">
        <is>
          <t>2026-08-02T17:28:55.256054Z</t>
        </is>
      </c>
      <c r="C64" s="24" t="inlineStr">
        <is>
          <t>2026-08-02T17:37Z</t>
        </is>
      </c>
      <c r="D64" s="24" t="inlineStr">
        <is>
          <t>401816367</t>
        </is>
      </c>
      <c r="E64" s="24" t="inlineStr">
        <is>
          <t>MLB</t>
        </is>
      </c>
      <c r="F64" s="24" t="inlineStr">
        <is>
          <t>St. Louis Cardinals</t>
        </is>
      </c>
      <c r="G64" s="24" t="inlineStr">
        <is>
          <t>Toronto Blue Jays</t>
        </is>
      </c>
      <c r="H64" s="24" t="inlineStr">
        <is>
          <t>spread</t>
        </is>
      </c>
      <c r="I64" s="24" t="inlineStr">
        <is>
          <t>away</t>
        </is>
      </c>
      <c r="J64" s="25" t="n">
        <v>1.5</v>
      </c>
      <c r="K64" s="24" t="inlineStr">
        <is>
          <t>polymarket_us</t>
        </is>
      </c>
      <c r="L64" s="26" t="n">
        <v>-174</v>
      </c>
      <c r="M64" s="27" t="n">
        <v>1.574713</v>
      </c>
      <c r="N64" s="28" t="n">
        <v>0.635036</v>
      </c>
      <c r="O64" s="28" t="n">
        <v>0.6256930000000001</v>
      </c>
      <c r="P64" s="28" t="n">
        <v>0.05172</v>
      </c>
      <c r="Q64" s="28" t="n">
        <v>-0.009343000000000001</v>
      </c>
      <c r="R64" s="26" t="n">
        <v>16</v>
      </c>
      <c r="S64" s="29" t="n">
        <v>1.5</v>
      </c>
      <c r="T64" s="24" t="inlineStr">
        <is>
          <t>measured-edge-margin-v2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5.24-4.85; raw selected-side p=0.6915, calibrated p=0.6257.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mlb-stl</t>
        </is>
      </c>
      <c r="AQ64" s="24" t="inlineStr">
        <is>
          <t>St. Louis Cardinals</t>
        </is>
      </c>
      <c r="AR64" s="24" t="inlineStr">
        <is>
          <t>St. Louis Cardinals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8360b122264b796b0fb193095cfe4506c7e064e5f3f8c0a659aec41efd08dd25</t>
        </is>
      </c>
      <c r="BB64" s="24" t="inlineStr">
        <is>
          <t>flat_probability_shrinkage_toward_half</t>
        </is>
      </c>
      <c r="BC64" s="24" t="inlineStr">
        <is>
          <t>measured-edge-margin-v2</t>
        </is>
      </c>
      <c r="BD64" s="24" t="inlineStr">
        <is>
          <t>8360b122264b796b0fb193095cfe4506c7e064e5f3f8c0a659aec41efd08dd25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2026-08-02T17:28:55.256054Z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-174</v>
      </c>
      <c r="BL64" s="27" t="n">
        <v>1.574713</v>
      </c>
      <c r="BM64" s="28" t="n">
        <v>0.635036</v>
      </c>
      <c r="BN64" s="28" t="n">
        <v>0.631841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inlineStr">
        <is>
          <t>False</t>
        </is>
      </c>
    </row>
    <row r="65" ht="36" customHeight="1">
      <c r="A65" s="24" t="inlineStr">
        <is>
          <t>21e6aacbcab447e9</t>
        </is>
      </c>
      <c r="B65" s="24" t="inlineStr">
        <is>
          <t>2026-08-02T17:28:55.256054Z</t>
        </is>
      </c>
      <c r="C65" s="24" t="inlineStr">
        <is>
          <t>2026-08-02T17:37Z</t>
        </is>
      </c>
      <c r="D65" s="24" t="inlineStr">
        <is>
          <t>401816367</t>
        </is>
      </c>
      <c r="E65" s="24" t="inlineStr">
        <is>
          <t>MLB</t>
        </is>
      </c>
      <c r="F65" s="24" t="inlineStr">
        <is>
          <t>St. Louis Cardinals</t>
        </is>
      </c>
      <c r="G65" s="24" t="inlineStr">
        <is>
          <t>Toronto Blue Jays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-106</v>
      </c>
      <c r="M65" s="27" t="n">
        <v>1.943396</v>
      </c>
      <c r="N65" s="28" t="n">
        <v>0.514563</v>
      </c>
      <c r="O65" s="28" t="n">
        <v>0.5447340000000001</v>
      </c>
      <c r="P65" s="28" t="n">
        <v>0.05172</v>
      </c>
      <c r="Q65" s="28" t="n">
        <v>0.030171</v>
      </c>
      <c r="R65" s="26" t="n">
        <v>35</v>
      </c>
      <c r="S65" s="29" t="n">
        <v>1</v>
      </c>
      <c r="T65" s="24" t="inlineStr">
        <is>
          <t>measured-edge-totals-v2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5.24-4.85; raw selected-side p=0.6077, calibrated p=0.5447.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mlb-stl</t>
        </is>
      </c>
      <c r="AQ65" s="24" t="inlineStr">
        <is>
          <t>St. Louis Cardinals</t>
        </is>
      </c>
      <c r="AR65" s="24" t="inlineStr">
        <is>
          <t>St. Louis Cardinals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433578016242b27f9c1c7132cc6b5a2bcc7dd1b0234590c12a944455a88e71bd</t>
        </is>
      </c>
      <c r="BB65" s="24" t="inlineStr">
        <is>
          <t>flat_probability_shrinkage_toward_half</t>
        </is>
      </c>
      <c r="BC65" s="24" t="inlineStr">
        <is>
          <t>measured-edge-totals-v2</t>
        </is>
      </c>
      <c r="BD65" s="24" t="inlineStr">
        <is>
          <t>433578016242b27f9c1c7132cc6b5a2bcc7dd1b0234590c12a944455a88e71bd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2026-08-02T17:28:55.256054Z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-106</v>
      </c>
      <c r="BL65" s="27" t="n">
        <v>1.943396</v>
      </c>
      <c r="BM65" s="28" t="n">
        <v>0.514563</v>
      </c>
      <c r="BN65" s="28" t="n">
        <v>0.5124379999999999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inlineStr">
        <is>
          <t>True</t>
        </is>
      </c>
    </row>
    <row r="66" ht="36" customHeight="1">
      <c r="A66" s="24" t="inlineStr">
        <is>
          <t>3f2d19c627324610</t>
        </is>
      </c>
      <c r="B66" s="24" t="inlineStr">
        <is>
          <t>2026-08-02T17:39:31.703776Z</t>
        </is>
      </c>
      <c r="C66" s="24" t="inlineStr">
        <is>
          <t>2026-08-02T13:40:00-0400</t>
        </is>
      </c>
      <c r="D66" s="24" t="inlineStr">
        <is>
          <t>401816362</t>
        </is>
      </c>
      <c r="E66" s="24" t="inlineStr">
        <is>
          <t>MLB</t>
        </is>
      </c>
      <c r="F66" s="24" t="inlineStr">
        <is>
          <t>Arizona Diamondbacks</t>
        </is>
      </c>
      <c r="G66" s="24" t="inlineStr">
        <is>
          <t>Cleveland Guardians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-167</v>
      </c>
      <c r="M66" s="27" t="n">
        <v>1.598802</v>
      </c>
      <c r="N66" s="28" t="n">
        <v>0.625468</v>
      </c>
      <c r="O66" s="28" t="n">
        <v>0.541975</v>
      </c>
      <c r="P66" s="28" t="n"/>
      <c r="Q66" s="28" t="n">
        <v>-0.083493</v>
      </c>
      <c r="R66" s="26" t="n">
        <v>0</v>
      </c>
      <c r="S66" s="29" t="n">
        <v>1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0.6250 (aec-mlb-az-cle-2026-08-02); model edge vs ask -0.0830.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mlb-ari</t>
        </is>
      </c>
      <c r="AQ66" s="24" t="inlineStr">
        <is>
          <t>Arizona Diamondbacks</t>
        </is>
      </c>
      <c r="AR66" s="24" t="inlineStr">
        <is>
          <t>Arizona Diamondbacks</t>
        </is>
      </c>
      <c r="AS66" s="24" t="inlineStr">
        <is>
          <t>mlb-cle</t>
        </is>
      </c>
      <c r="AT66" s="24" t="inlineStr">
        <is>
          <t>Cleveland Guardians</t>
        </is>
      </c>
      <c r="AU66" s="24" t="inlineStr">
        <is>
          <t>Cleveland Guardians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3abf364aadf2cd68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2026-08-02T17:38:04.655437Z</t>
        </is>
      </c>
      <c r="BI66" s="24" t="inlineStr">
        <is>
          <t>["same_event","same_team_same_day","same_league_same_day"]</t>
        </is>
      </c>
      <c r="BJ66" s="25" t="n"/>
      <c r="BK66" s="26" t="n">
        <v>-167</v>
      </c>
      <c r="BL66" s="27" t="n">
        <v>1.598802</v>
      </c>
      <c r="BM66" s="28" t="n">
        <v>0.625468</v>
      </c>
      <c r="BN66" s="28" t="n">
        <v>0.621891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0.5147263352</t>
        </is>
      </c>
      <c r="CD66" s="24" t="inlineStr">
        <is>
          <t>-1.620545</t>
        </is>
      </c>
      <c r="CE66" s="24" t="inlineStr">
        <is>
          <t>0.966</t>
        </is>
      </c>
      <c r="CF66" s="24" t="inlineStr">
        <is>
          <t>1.012</t>
        </is>
      </c>
      <c r="CG66" s="24" t="inlineStr">
        <is>
          <t>1.0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inlineStr">
        <is>
          <t>0.541975</t>
        </is>
      </c>
      <c r="CQ66" s="24" t="inlineStr">
        <is>
          <t>False</t>
        </is>
      </c>
    </row>
    <row r="67" ht="36" customHeight="1">
      <c r="A67" s="24" t="inlineStr">
        <is>
          <t>ff291c878eab4b7f</t>
        </is>
      </c>
      <c r="B67" s="24" t="inlineStr">
        <is>
          <t>2026-08-02T17:39:31.703776Z</t>
        </is>
      </c>
      <c r="C67" s="24" t="inlineStr">
        <is>
          <t>2026-08-02T13:40:00-0400</t>
        </is>
      </c>
      <c r="D67" s="24" t="inlineStr">
        <is>
          <t>401816363</t>
        </is>
      </c>
      <c r="E67" s="24" t="inlineStr">
        <is>
          <t>MLB</t>
        </is>
      </c>
      <c r="F67" s="24" t="inlineStr">
        <is>
          <t>Chicago White Sox</t>
        </is>
      </c>
      <c r="G67" s="24" t="inlineStr">
        <is>
          <t>Tampa Bay Rays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0.565508</v>
      </c>
      <c r="P67" s="28" t="n"/>
      <c r="Q67" s="28" t="n">
        <v>-0.014324</v>
      </c>
      <c r="R67" s="26" t="n">
        <v>14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0.5800 (aec-mlb-cws-tb-2026-08-02); model edge vs ask -0.0145.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mlb-cws</t>
        </is>
      </c>
      <c r="AQ67" s="24" t="inlineStr">
        <is>
          <t>Chicago White Sox</t>
        </is>
      </c>
      <c r="AR67" s="24" t="inlineStr">
        <is>
          <t>Chicago White Sox</t>
        </is>
      </c>
      <c r="AS67" s="24" t="inlineStr">
        <is>
          <t>mlb-tb</t>
        </is>
      </c>
      <c r="AT67" s="24" t="inlineStr">
        <is>
          <t>Tampa Bay Rays</t>
        </is>
      </c>
      <c r="AU67" s="24" t="inlineStr">
        <is>
          <t>Tampa Bay Rays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adafae297aed5d6c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2026-08-02T17:38:07.328919Z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>
        <v>0.577114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0.5503982216</t>
        </is>
      </c>
      <c r="CD67" s="24" t="inlineStr">
        <is>
          <t>-0.597101</t>
        </is>
      </c>
      <c r="CE67" s="24" t="inlineStr">
        <is>
          <t>0.965</t>
        </is>
      </c>
      <c r="CF67" s="24" t="inlineStr">
        <is>
          <t>1.0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inlineStr">
        <is>
          <t>0.565508</t>
        </is>
      </c>
      <c r="CQ67" s="24" t="inlineStr">
        <is>
          <t>False</t>
        </is>
      </c>
    </row>
    <row r="68" ht="36" customHeight="1">
      <c r="A68" s="24" t="inlineStr">
        <is>
          <t>fc6de4219cdb47fb</t>
        </is>
      </c>
      <c r="B68" s="24" t="inlineStr">
        <is>
          <t>2026-08-02T17:39:31.703776Z</t>
        </is>
      </c>
      <c r="C68" s="24" t="inlineStr">
        <is>
          <t>2026-08-02T13:40:00-0400</t>
        </is>
      </c>
      <c r="D68" s="24" t="inlineStr">
        <is>
          <t>401816364</t>
        </is>
      </c>
      <c r="E68" s="24" t="inlineStr">
        <is>
          <t>MLB</t>
        </is>
      </c>
      <c r="F68" s="24" t="inlineStr">
        <is>
          <t>Miami Marlins</t>
        </is>
      </c>
      <c r="G68" s="24" t="inlineStr">
        <is>
          <t>New York Mets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111</v>
      </c>
      <c r="M68" s="27" t="n">
        <v>2.11</v>
      </c>
      <c r="N68" s="28" t="n">
        <v>0.473934</v>
      </c>
      <c r="O68" s="28" t="n">
        <v>0.519289</v>
      </c>
      <c r="P68" s="28" t="n"/>
      <c r="Q68" s="28" t="n">
        <v>0.045355</v>
      </c>
      <c r="R68" s="26" t="n">
        <v>43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0.4750 (aec-mlb-mia-nym-2026-08-02); model edge vs ask +0.0443.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mlb-mia</t>
        </is>
      </c>
      <c r="AQ68" s="24" t="inlineStr">
        <is>
          <t>Miami Marlins</t>
        </is>
      </c>
      <c r="AR68" s="24" t="inlineStr">
        <is>
          <t>Miami Marlins</t>
        </is>
      </c>
      <c r="AS68" s="24" t="inlineStr">
        <is>
          <t>mlb-nym</t>
        </is>
      </c>
      <c r="AT68" s="24" t="inlineStr">
        <is>
          <t>New York Mets</t>
        </is>
      </c>
      <c r="AU68" s="24" t="inlineStr">
        <is>
          <t>New York Mets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4f285de198a5830f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2026-08-02T17:38:06.224274Z</t>
        </is>
      </c>
      <c r="BI68" s="24" t="inlineStr">
        <is>
          <t>["same_event","same_team_same_day","same_league_same_day"]</t>
        </is>
      </c>
      <c r="BJ68" s="25" t="n"/>
      <c r="BK68" s="26" t="n">
        <v>111</v>
      </c>
      <c r="BL68" s="27" t="n">
        <v>2.11</v>
      </c>
      <c r="BM68" s="28" t="n">
        <v>0.473934</v>
      </c>
      <c r="BN68" s="28" t="n">
        <v>0.472637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0.4938777222</t>
        </is>
      </c>
      <c r="CD68" s="24" t="inlineStr">
        <is>
          <t>-0.998113</t>
        </is>
      </c>
      <c r="CE68" s="24" t="inlineStr">
        <is>
          <t>0.978</t>
        </is>
      </c>
      <c r="CF68" s="24" t="inlineStr">
        <is>
          <t>1.0209</t>
        </is>
      </c>
      <c r="CG68" s="24" t="inlineStr">
        <is>
          <t>0.4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0.519289</t>
        </is>
      </c>
      <c r="CQ68" s="24" t="inlineStr">
        <is>
          <t>True</t>
        </is>
      </c>
    </row>
    <row r="69" ht="36" customHeight="1">
      <c r="A69" s="24" t="inlineStr">
        <is>
          <t>59c02c231a21404d</t>
        </is>
      </c>
      <c r="B69" s="24" t="inlineStr">
        <is>
          <t>2026-08-02T17:39:31.703776Z</t>
        </is>
      </c>
      <c r="C69" s="24" t="inlineStr">
        <is>
          <t>2026-08-02T13:40:00-0400</t>
        </is>
      </c>
      <c r="D69" s="24" t="inlineStr">
        <is>
          <t>401816366</t>
        </is>
      </c>
      <c r="E69" s="24" t="inlineStr">
        <is>
          <t>MLB</t>
        </is>
      </c>
      <c r="F69" s="24" t="inlineStr">
        <is>
          <t>Pittsburgh Pirates</t>
        </is>
      </c>
      <c r="G69" s="24" t="inlineStr">
        <is>
          <t>Cincinnati Reds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127</v>
      </c>
      <c r="M69" s="27" t="n">
        <v>2.27</v>
      </c>
      <c r="N69" s="28" t="n">
        <v>0.440529</v>
      </c>
      <c r="O69" s="28" t="n">
        <v>0.518519</v>
      </c>
      <c r="P69" s="28" t="n"/>
      <c r="Q69" s="28" t="n">
        <v>0.07799</v>
      </c>
      <c r="R69" s="26" t="n">
        <v>60</v>
      </c>
      <c r="S69" s="29" t="n">
        <v>1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0.4400 (aec-mlb-pit-cin-2026-08-02); model edge vs ask +0.0785.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mlb-pit</t>
        </is>
      </c>
      <c r="AQ69" s="24" t="inlineStr">
        <is>
          <t>Pittsburgh Pirates</t>
        </is>
      </c>
      <c r="AR69" s="24" t="inlineStr">
        <is>
          <t>Pittsburgh Pirates</t>
        </is>
      </c>
      <c r="AS69" s="24" t="inlineStr">
        <is>
          <t>mlb-cin</t>
        </is>
      </c>
      <c r="AT69" s="24" t="inlineStr">
        <is>
          <t>Cincinnati Reds</t>
        </is>
      </c>
      <c r="AU69" s="24" t="inlineStr">
        <is>
          <t>Cincinnati Reds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2316e9a0ae11b344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2026-08-02T17:38:05.375042Z</t>
        </is>
      </c>
      <c r="BI69" s="24" t="inlineStr">
        <is>
          <t>["same_event","same_team_same_day","same_league_same_day"]</t>
        </is>
      </c>
      <c r="BJ69" s="25" t="n"/>
      <c r="BK69" s="26" t="n">
        <v>127</v>
      </c>
      <c r="BL69" s="27" t="n">
        <v>2.27</v>
      </c>
      <c r="BM69" s="28" t="n">
        <v>0.440529</v>
      </c>
      <c r="BN69" s="28" t="n">
        <v>0.437811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0.4891381657</t>
        </is>
      </c>
      <c r="CD69" s="24" t="inlineStr">
        <is>
          <t>0.471311</t>
        </is>
      </c>
      <c r="CE69" s="24" t="inlineStr">
        <is>
          <t>1.036</t>
        </is>
      </c>
      <c r="CF69" s="24" t="inlineStr">
        <is>
          <t>1.0043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0.518519</t>
        </is>
      </c>
      <c r="CQ69" s="24" t="inlineStr">
        <is>
          <t>True</t>
        </is>
      </c>
    </row>
    <row r="70" ht="36" customHeight="1">
      <c r="A70" s="24" t="inlineStr">
        <is>
          <t>140fb544dec04917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7899a42a1c944370</t>
        </is>
      </c>
      <c r="B71" s="24" t="inlineStr">
        <is>
          <t>2026-08-02T18:09:00.555377Z</t>
        </is>
      </c>
      <c r="C71" s="24" t="inlineStr">
        <is>
          <t>2026-08-02T14:10:00-0400</t>
        </is>
      </c>
      <c r="D71" s="24" t="inlineStr">
        <is>
          <t>401816370</t>
        </is>
      </c>
      <c r="E71" s="24" t="inlineStr">
        <is>
          <t>MLB</t>
        </is>
      </c>
      <c r="F71" s="24" t="inlineStr">
        <is>
          <t>Texas Rangers</t>
        </is>
      </c>
      <c r="G71" s="24" t="inlineStr">
        <is>
          <t>Houston Astros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-127</v>
      </c>
      <c r="M71" s="27" t="n">
        <v>1.787402</v>
      </c>
      <c r="N71" s="28" t="n">
        <v>0.5594710000000001</v>
      </c>
      <c r="O71" s="28" t="n">
        <v>0.538187</v>
      </c>
      <c r="P71" s="28" t="n"/>
      <c r="Q71" s="28" t="n">
        <v>-0.021284</v>
      </c>
      <c r="R71" s="26" t="n">
        <v>10</v>
      </c>
      <c r="S71" s="29" t="n">
        <v>1</v>
      </c>
      <c r="T71" s="24" t="inlineStr">
        <is>
          <t>mlb-elo-trend-lr-v7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0.6242; executable ask 0.5600 (aec-mlb-tex-hou-2026-08-02); model edge vs ask -0.0218.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mlb-tex</t>
        </is>
      </c>
      <c r="AQ71" s="24" t="inlineStr">
        <is>
          <t>Texas Rangers</t>
        </is>
      </c>
      <c r="AR71" s="24" t="inlineStr">
        <is>
          <t>Texas Rangers</t>
        </is>
      </c>
      <c r="AS71" s="24" t="inlineStr">
        <is>
          <t>mlb-hou</t>
        </is>
      </c>
      <c r="AT71" s="24" t="inlineStr">
        <is>
          <t>Houston Astros</t>
        </is>
      </c>
      <c r="AU71" s="24" t="inlineStr">
        <is>
          <t>Houston Astros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2d42dfba300c1668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2026-08-02T18:07:38.400166Z</t>
        </is>
      </c>
      <c r="BI71" s="24" t="inlineStr">
        <is>
          <t>["same_event","same_team_same_day","same_league_same_day"]</t>
        </is>
      </c>
      <c r="BJ71" s="25" t="n"/>
      <c r="BK71" s="26" t="n">
        <v>-127</v>
      </c>
      <c r="BL71" s="27" t="n">
        <v>1.787402</v>
      </c>
      <c r="BM71" s="28" t="n">
        <v>0.5594710000000001</v>
      </c>
      <c r="BN71" s="28" t="n">
        <v>0.557214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0.5570987062</t>
        </is>
      </c>
      <c r="CD71" s="24" t="inlineStr">
        <is>
          <t>1.976345</t>
        </is>
      </c>
      <c r="CE71" s="24" t="inlineStr">
        <is>
          <t>0.956</t>
        </is>
      </c>
      <c r="CF71" s="24" t="inlineStr">
        <is>
          <t>1.0</t>
        </is>
      </c>
      <c r="CG71" s="24" t="inlineStr">
        <is>
          <t>-1.4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inlineStr">
        <is>
          <t>0.538187</t>
        </is>
      </c>
      <c r="CQ71" s="24" t="inlineStr">
        <is>
          <t>False</t>
        </is>
      </c>
    </row>
    <row r="72" ht="36" customHeight="1">
      <c r="A72" s="24" t="inlineStr">
        <is>
          <t>1e04dddfaa854e4c</t>
        </is>
      </c>
      <c r="B72" s="24" t="inlineStr">
        <is>
          <t>2026-08-02T18:09:00.555377Z</t>
        </is>
      </c>
      <c r="C72" s="24" t="inlineStr">
        <is>
          <t>2026-08-02T14:20:00-0400</t>
        </is>
      </c>
      <c r="D72" s="24" t="inlineStr">
        <is>
          <t>401816369</t>
        </is>
      </c>
      <c r="E72" s="24" t="inlineStr">
        <is>
          <t>MLB</t>
        </is>
      </c>
      <c r="F72" s="24" t="inlineStr">
        <is>
          <t>New York Yankees</t>
        </is>
      </c>
      <c r="G72" s="24" t="inlineStr">
        <is>
          <t>Chicago Cubs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108</v>
      </c>
      <c r="M72" s="27" t="n">
        <v>2.08</v>
      </c>
      <c r="N72" s="28" t="n">
        <v>0.480769</v>
      </c>
      <c r="O72" s="28" t="n">
        <v>0.549522</v>
      </c>
      <c r="P72" s="28" t="n"/>
      <c r="Q72" s="28" t="n">
        <v>0.06875299999999999</v>
      </c>
      <c r="R72" s="26" t="n">
        <v>56</v>
      </c>
      <c r="S72" s="29" t="n">
        <v>1</v>
      </c>
      <c r="T72" s="24" t="inlineStr">
        <is>
          <t>mlb-elo-trend-lr-v7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0.6242; executable ask 0.4800 (aec-mlb-nyy-chc-2026-08-02); model edge vs ask +0.0695.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mlb-nyy</t>
        </is>
      </c>
      <c r="AQ72" s="24" t="inlineStr">
        <is>
          <t>New York Yankees</t>
        </is>
      </c>
      <c r="AR72" s="24" t="inlineStr">
        <is>
          <t>New York Yankees</t>
        </is>
      </c>
      <c r="AS72" s="24" t="inlineStr">
        <is>
          <t>mlb-chc</t>
        </is>
      </c>
      <c r="AT72" s="24" t="inlineStr">
        <is>
          <t>Chicago Cubs</t>
        </is>
      </c>
      <c r="AU72" s="24" t="inlineStr">
        <is>
          <t>Chicago Cubs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6803e5ed5586b9a1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2026-08-02T18:07:39.064650Z</t>
        </is>
      </c>
      <c r="BI72" s="24" t="inlineStr">
        <is>
          <t>["same_event","same_team_same_day","same_league_same_day"]</t>
        </is>
      </c>
      <c r="BJ72" s="25" t="n"/>
      <c r="BK72" s="26" t="n">
        <v>108</v>
      </c>
      <c r="BL72" s="27" t="n">
        <v>2.08</v>
      </c>
      <c r="BM72" s="28" t="n">
        <v>0.480769</v>
      </c>
      <c r="BN72" s="28" t="n">
        <v>0.477612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0.5479631024</t>
        </is>
      </c>
      <c r="CD72" s="24" t="inlineStr">
        <is>
          <t>0.358864</t>
        </is>
      </c>
      <c r="CE72" s="24" t="inlineStr">
        <is>
          <t>0.986</t>
        </is>
      </c>
      <c r="CF72" s="24" t="inlineStr">
        <is>
          <t>1.0082</t>
        </is>
      </c>
      <c r="CG72" s="24" t="inlineStr">
        <is>
          <t>-0.8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inlineStr">
        <is>
          <t>0.549522</t>
        </is>
      </c>
      <c r="CQ72" s="24" t="inlineStr">
        <is>
          <t>True</t>
        </is>
      </c>
    </row>
    <row r="73" ht="36" customHeight="1">
      <c r="A73" s="24" t="inlineStr">
        <is>
          <t>0aac86de8b74407b</t>
        </is>
      </c>
      <c r="B73" s="24" t="inlineStr">
        <is>
          <t>2026-08-02T18:09:31.256815Z</t>
        </is>
      </c>
      <c r="C73" s="24" t="inlineStr">
        <is>
          <t>2026-08-02T18:10Z</t>
        </is>
      </c>
      <c r="D73" s="24" t="inlineStr">
        <is>
          <t>401816370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-167</v>
      </c>
      <c r="M73" s="27" t="n">
        <v>1.598802</v>
      </c>
      <c r="N73" s="28" t="n">
        <v>0.625468</v>
      </c>
      <c r="O73" s="28" t="n">
        <v>0.580882</v>
      </c>
      <c r="P73" s="28" t="n">
        <v>0.042131</v>
      </c>
      <c r="Q73" s="28" t="n">
        <v>-0.044586</v>
      </c>
      <c r="R73" s="26" t="n">
        <v>4</v>
      </c>
      <c r="S73" s="29" t="n">
        <v>1.25</v>
      </c>
      <c r="T73" s="24" t="inlineStr">
        <is>
          <t>measured-edge-margin-v2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Measured Edge Margin: Trend Engine projected 4.10-4.64; raw selected-side p=0.6232, calibrated p=0.5809.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8360b122264b796b0fb193095cfe4506c7e064e5f3f8c0a659aec41efd08dd25</t>
        </is>
      </c>
      <c r="BB73" s="24" t="inlineStr">
        <is>
          <t>flat_probability_shrinkage_toward_half</t>
        </is>
      </c>
      <c r="BC73" s="24" t="inlineStr">
        <is>
          <t>measured-edge-margin-v2</t>
        </is>
      </c>
      <c r="BD73" s="24" t="inlineStr">
        <is>
          <t>8360b122264b796b0fb193095cfe4506c7e064e5f3f8c0a659aec41efd08dd25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2026-08-02T18:09:31.256815Z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-167</v>
      </c>
      <c r="BL73" s="27" t="n">
        <v>1.598802</v>
      </c>
      <c r="BM73" s="28" t="n">
        <v>0.625468</v>
      </c>
      <c r="BN73" s="28" t="n">
        <v>0.621891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False</t>
        </is>
      </c>
    </row>
    <row r="74" ht="36" customHeight="1">
      <c r="A74" s="24" t="inlineStr">
        <is>
          <t>46b39617345b47a6</t>
        </is>
      </c>
      <c r="B74" s="24" t="inlineStr">
        <is>
          <t>2026-08-02T18:09:31.256815Z</t>
        </is>
      </c>
      <c r="C74" s="24" t="inlineStr">
        <is>
          <t>2026-08-02T18:10Z</t>
        </is>
      </c>
      <c r="D74" s="24" t="inlineStr">
        <is>
          <t>401816370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under</t>
        </is>
      </c>
      <c r="J74" s="25" t="n">
        <v>8.5</v>
      </c>
      <c r="K74" s="24" t="inlineStr">
        <is>
          <t>polymarket_us</t>
        </is>
      </c>
      <c r="L74" s="26" t="n">
        <v>-102</v>
      </c>
      <c r="M74" s="27" t="n">
        <v>1.980392</v>
      </c>
      <c r="N74" s="28" t="n">
        <v>0.50495</v>
      </c>
      <c r="O74" s="28" t="n">
        <v>0.511521</v>
      </c>
      <c r="P74" s="28" t="n">
        <v>0.042131</v>
      </c>
      <c r="Q74" s="28" t="n">
        <v>0.006571</v>
      </c>
      <c r="R74" s="26" t="n">
        <v>29</v>
      </c>
      <c r="S74" s="29" t="n">
        <v>1</v>
      </c>
      <c r="T74" s="24" t="inlineStr">
        <is>
          <t>measured-edge-totals-v2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Measured Edge Totals: Trend Engine projected 4.10-4.64; raw selected-side p=0.5104, calibrated p=0.5115.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433578016242b27f9c1c7132cc6b5a2bcc7dd1b0234590c12a944455a88e71bd</t>
        </is>
      </c>
      <c r="BB74" s="24" t="inlineStr">
        <is>
          <t>flat_probability_shrinkage_toward_half</t>
        </is>
      </c>
      <c r="BC74" s="24" t="inlineStr">
        <is>
          <t>measured-edge-totals-v2</t>
        </is>
      </c>
      <c r="BD74" s="24" t="inlineStr">
        <is>
          <t>433578016242b27f9c1c7132cc6b5a2bcc7dd1b0234590c12a944455a88e71bd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2026-08-02T18:09:31.256815Z</t>
        </is>
      </c>
      <c r="BI74" s="24" t="inlineStr">
        <is>
          <t>["same_event","same_team_same_day","same_league_same_day"]</t>
        </is>
      </c>
      <c r="BJ74" s="25" t="n">
        <v>8.5</v>
      </c>
      <c r="BK74" s="26" t="n">
        <v>-102</v>
      </c>
      <c r="BL74" s="27" t="n">
        <v>1.980392</v>
      </c>
      <c r="BM74" s="28" t="n">
        <v>0.50495</v>
      </c>
      <c r="BN74" s="28" t="n">
        <v>0.502488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True</t>
        </is>
      </c>
    </row>
    <row r="75" ht="36" customHeight="1">
      <c r="A75" s="24" t="inlineStr">
        <is>
          <t>732cf8f5d9b94b6d</t>
        </is>
      </c>
      <c r="B75" s="24" t="inlineStr">
        <is>
          <t>2026-08-02T18:09:31.256815Z</t>
        </is>
      </c>
      <c r="C75" s="24" t="inlineStr">
        <is>
          <t>2026-08-02T18:20Z</t>
        </is>
      </c>
      <c r="D75" s="24" t="inlineStr">
        <is>
          <t>401816369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Chicago Cubs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-167</v>
      </c>
      <c r="M75" s="27" t="n">
        <v>1.598802</v>
      </c>
      <c r="N75" s="28" t="n">
        <v>0.625468</v>
      </c>
      <c r="O75" s="28" t="n">
        <v>0.605256</v>
      </c>
      <c r="P75" s="28" t="n">
        <v>0.042131</v>
      </c>
      <c r="Q75" s="28" t="n">
        <v>-0.020212</v>
      </c>
      <c r="R75" s="26" t="n">
        <v>16</v>
      </c>
      <c r="S75" s="29" t="n">
        <v>1.5</v>
      </c>
      <c r="T75" s="24" t="inlineStr">
        <is>
          <t>measured-edge-margin-v2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Measured Edge Margin: Trend Engine projected 4.57-4.52; raw selected-side p=0.6603, calibrated p=0.6053.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mlb-chc</t>
        </is>
      </c>
      <c r="AT75" s="24" t="inlineStr">
        <is>
          <t>Chicago Cubs</t>
        </is>
      </c>
      <c r="AU75" s="24" t="inlineStr">
        <is>
          <t>Chicago Cubs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8360b122264b796b0fb193095cfe4506c7e064e5f3f8c0a659aec41efd08dd25</t>
        </is>
      </c>
      <c r="BB75" s="24" t="inlineStr">
        <is>
          <t>flat_probability_shrinkage_toward_half</t>
        </is>
      </c>
      <c r="BC75" s="24" t="inlineStr">
        <is>
          <t>measured-edge-margin-v2</t>
        </is>
      </c>
      <c r="BD75" s="24" t="inlineStr">
        <is>
          <t>8360b122264b796b0fb193095cfe4506c7e064e5f3f8c0a659aec41efd08dd25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2026-08-02T18:09:31.256815Z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-167</v>
      </c>
      <c r="BL75" s="27" t="n">
        <v>1.598802</v>
      </c>
      <c r="BM75" s="28" t="n">
        <v>0.625468</v>
      </c>
      <c r="BN75" s="28" t="n">
        <v>0.621891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False</t>
        </is>
      </c>
    </row>
    <row r="76" ht="36" customHeight="1">
      <c r="A76" s="24" t="inlineStr">
        <is>
          <t>4090e9468cc44150</t>
        </is>
      </c>
      <c r="B76" s="24" t="inlineStr">
        <is>
          <t>2026-08-02T18:09:31.256815Z</t>
        </is>
      </c>
      <c r="C76" s="24" t="inlineStr">
        <is>
          <t>2026-08-02T18:20Z</t>
        </is>
      </c>
      <c r="D76" s="24" t="inlineStr">
        <is>
          <t>401816369</t>
        </is>
      </c>
      <c r="E76" s="24" t="inlineStr">
        <is>
          <t>MLB</t>
        </is>
      </c>
      <c r="F76" s="24" t="inlineStr">
        <is>
          <t>New York Yankees</t>
        </is>
      </c>
      <c r="G76" s="24" t="inlineStr">
        <is>
          <t>Chicago Cubs</t>
        </is>
      </c>
      <c r="H76" s="24" t="inlineStr">
        <is>
          <t>total</t>
        </is>
      </c>
      <c r="I76" s="24" t="inlineStr">
        <is>
          <t>over</t>
        </is>
      </c>
      <c r="J76" s="25" t="n">
        <v>6.5</v>
      </c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0.584337</v>
      </c>
      <c r="P76" s="28" t="n">
        <v>0.042131</v>
      </c>
      <c r="Q76" s="28" t="n">
        <v>0.053821</v>
      </c>
      <c r="R76" s="26" t="n">
        <v>53</v>
      </c>
      <c r="S76" s="29" t="n">
        <v>1.25</v>
      </c>
      <c r="T76" s="24" t="inlineStr">
        <is>
          <t>measured-edge-totals-v2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Measured Edge Totals: Trend Engine projected 4.57-4.52; raw selected-side p=0.7236, calibrated p=0.5843.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mlb-nyy</t>
        </is>
      </c>
      <c r="AQ76" s="24" t="inlineStr">
        <is>
          <t>New York Yankees</t>
        </is>
      </c>
      <c r="AR76" s="24" t="inlineStr">
        <is>
          <t>New York Yankees</t>
        </is>
      </c>
      <c r="AS76" s="24" t="inlineStr">
        <is>
          <t>mlb-chc</t>
        </is>
      </c>
      <c r="AT76" s="24" t="inlineStr">
        <is>
          <t>Chicago Cubs</t>
        </is>
      </c>
      <c r="AU76" s="24" t="inlineStr">
        <is>
          <t>Chicago Cubs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433578016242b27f9c1c7132cc6b5a2bcc7dd1b0234590c12a944455a88e71bd</t>
        </is>
      </c>
      <c r="BB76" s="24" t="inlineStr">
        <is>
          <t>flat_probability_shrinkage_toward_half</t>
        </is>
      </c>
      <c r="BC76" s="24" t="inlineStr">
        <is>
          <t>measured-edge-totals-v2</t>
        </is>
      </c>
      <c r="BD76" s="24" t="inlineStr">
        <is>
          <t>433578016242b27f9c1c7132cc6b5a2bcc7dd1b0234590c12a944455a88e71bd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2026-08-02T18:09:31.256815Z</t>
        </is>
      </c>
      <c r="BI76" s="24" t="inlineStr">
        <is>
          <t>["same_event","same_team_same_day","same_league_same_day"]</t>
        </is>
      </c>
      <c r="BJ76" s="25" t="n">
        <v>6.5</v>
      </c>
      <c r="BK76" s="26" t="n">
        <v>-113</v>
      </c>
      <c r="BL76" s="27" t="n">
        <v>1.884956</v>
      </c>
      <c r="BM76" s="28" t="n">
        <v>0.530516</v>
      </c>
      <c r="BN76" s="28" t="n">
        <v>0.527363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6146bf25f7b44064</t>
        </is>
      </c>
      <c r="B77" s="24" t="inlineStr">
        <is>
          <t>2026-08-02T18:21:05.729666Z</t>
        </is>
      </c>
      <c r="C77" s="24" t="inlineStr">
        <is>
          <t>2026-08-02T15:30:00-0400</t>
        </is>
      </c>
      <c r="D77" s="24" t="inlineStr">
        <is>
          <t>401857108</t>
        </is>
      </c>
      <c r="E77" s="24" t="inlineStr">
        <is>
          <t>WNBA</t>
        </is>
      </c>
      <c r="F77" s="24" t="inlineStr">
        <is>
          <t>Los Angeles Sparks</t>
        </is>
      </c>
      <c r="G77" s="24" t="inlineStr">
        <is>
          <t>Portland Fire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0.57112</v>
      </c>
      <c r="P77" s="28" t="n"/>
      <c r="Q77" s="28" t="n">
        <v>0.07112</v>
      </c>
      <c r="R77" s="26" t="n">
        <v>58</v>
      </c>
      <c r="S77" s="29" t="n">
        <v>1.25</v>
      </c>
      <c r="T77" s="24" t="inlineStr">
        <is>
          <t>wnba-elo-trend-lr-v4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wnba-las</t>
        </is>
      </c>
      <c r="AQ77" s="24" t="inlineStr">
        <is>
          <t>Los Angeles Sparks</t>
        </is>
      </c>
      <c r="AR77" s="24" t="inlineStr">
        <is>
          <t>Los Angeles Sparks</t>
        </is>
      </c>
      <c r="AS77" s="24" t="inlineStr">
        <is>
          <t>wnba-por</t>
        </is>
      </c>
      <c r="AT77" s="24" t="inlineStr">
        <is>
          <t>Portland Fire</t>
        </is>
      </c>
      <c r="AU77" s="24" t="inlineStr">
        <is>
          <t>Portland Fire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7afd5274214b58b7efd7f7febc7be3ab33b92351cda5cc6403c0a39faea0cc8c</t>
        </is>
      </c>
      <c r="BB77" s="24" t="inlineStr">
        <is>
          <t>learned_lr</t>
        </is>
      </c>
      <c r="BC77" s="24" t="inlineStr">
        <is>
          <t>wnba-elo-trend-lr-v4</t>
        </is>
      </c>
      <c r="BD77" s="24" t="inlineStr">
        <is>
          <t>7afd5274214b58b7efd7f7febc7be3ab33b92351cda5cc6403c0a39faea0cc8c</t>
        </is>
      </c>
      <c r="BE77" s="24" t="inlineStr">
        <is>
          <t>58d7c01d51192db8</t>
        </is>
      </c>
      <c r="BF77" s="24" t="inlineStr">
        <is>
          <t>1</t>
        </is>
      </c>
      <c r="BG77" s="24" t="inlineStr">
        <is>
          <t>wnba-elo-trend-lr-v4</t>
        </is>
      </c>
      <c r="BH77" s="24" t="inlineStr">
        <is>
          <t>2026-08-02T18:19:54.486650Z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>
        <v>0.49505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0.5937045717</t>
        </is>
      </c>
      <c r="CD77" s="24" t="inlineStr">
        <is>
          <t>-1.420483</t>
        </is>
      </c>
      <c r="CE77" s="24" t="n"/>
      <c r="CF77" s="24" t="n"/>
      <c r="CG77" s="24" t="n"/>
      <c r="CH77" s="24" t="n"/>
      <c r="CI77" s="24" t="inlineStr">
        <is>
          <t>NO_CALL_AVAILABILITY_PLAYER_UNMAPPED</t>
        </is>
      </c>
      <c r="CJ77" s="24" t="n"/>
      <c r="CK77" s="24" t="n"/>
      <c r="CL77" s="24" t="n"/>
      <c r="CM77" s="24" t="n"/>
      <c r="CN77" s="24" t="n"/>
      <c r="CO77" s="24" t="n"/>
      <c r="CP77" s="24" t="inlineStr">
        <is>
          <t>0.57112</t>
        </is>
      </c>
      <c r="CQ77" s="24" t="inlineStr">
        <is>
          <t>True</t>
        </is>
      </c>
    </row>
    <row r="78" ht="36" customHeight="1">
      <c r="A78" s="24" t="inlineStr">
        <is>
          <t>e029b3f66d62488d</t>
        </is>
      </c>
      <c r="B78" s="24" t="inlineStr">
        <is>
          <t>2026-08-02T18:21:05.729666Z</t>
        </is>
      </c>
      <c r="C78" s="24" t="inlineStr">
        <is>
          <t>2026-08-02T19:00:00-0400</t>
        </is>
      </c>
      <c r="D78" s="24" t="inlineStr">
        <is>
          <t>401857109</t>
        </is>
      </c>
      <c r="E78" s="24" t="inlineStr">
        <is>
          <t>WNBA</t>
        </is>
      </c>
      <c r="F78" s="24" t="inlineStr">
        <is>
          <t>Connecticut Sun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-525</v>
      </c>
      <c r="M78" s="27" t="n">
        <v>1.190476</v>
      </c>
      <c r="N78" s="28" t="n">
        <v>0.84</v>
      </c>
      <c r="O78" s="28" t="n">
        <v>0.758559</v>
      </c>
      <c r="P78" s="28" t="n"/>
      <c r="Q78" s="28" t="n">
        <v>-0.081441</v>
      </c>
      <c r="R78" s="26" t="n">
        <v>0</v>
      </c>
      <c r="S78" s="29" t="n">
        <v>2</v>
      </c>
      <c r="T78" s="24" t="inlineStr">
        <is>
          <t>wnba-elo-trend-lr-v4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wnba-con</t>
        </is>
      </c>
      <c r="AQ78" s="24" t="inlineStr">
        <is>
          <t>Connecticut Sun</t>
        </is>
      </c>
      <c r="AR78" s="24" t="inlineStr">
        <is>
          <t>Connecticut Sun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7afd5274214b58b7efd7f7febc7be3ab33b92351cda5cc6403c0a39faea0cc8c</t>
        </is>
      </c>
      <c r="BB78" s="24" t="inlineStr">
        <is>
          <t>learned_lr</t>
        </is>
      </c>
      <c r="BC78" s="24" t="inlineStr">
        <is>
          <t>wnba-elo-trend-lr-v4</t>
        </is>
      </c>
      <c r="BD78" s="24" t="inlineStr">
        <is>
          <t>7afd5274214b58b7efd7f7febc7be3ab33b92351cda5cc6403c0a39faea0cc8c</t>
        </is>
      </c>
      <c r="BE78" s="24" t="inlineStr">
        <is>
          <t>9c0c7cfe02317de7</t>
        </is>
      </c>
      <c r="BF78" s="24" t="inlineStr">
        <is>
          <t>1</t>
        </is>
      </c>
      <c r="BG78" s="24" t="inlineStr">
        <is>
          <t>wnba-elo-trend-lr-v4</t>
        </is>
      </c>
      <c r="BH78" s="24" t="inlineStr">
        <is>
          <t>2026-08-02T18:19:55.737449Z</t>
        </is>
      </c>
      <c r="BI78" s="24" t="inlineStr">
        <is>
          <t>["same_event","same_team_same_day","same_league_same_day"]</t>
        </is>
      </c>
      <c r="BJ78" s="25" t="n"/>
      <c r="BK78" s="26" t="n">
        <v>-525</v>
      </c>
      <c r="BL78" s="27" t="n">
        <v>1.190476</v>
      </c>
      <c r="BM78" s="28" t="n">
        <v>0.84</v>
      </c>
      <c r="BN78" s="28" t="n">
        <v>0.831683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0.8648169599</t>
        </is>
      </c>
      <c r="CD78" s="24" t="inlineStr">
        <is>
          <t>-2.14749</t>
        </is>
      </c>
      <c r="CE78" s="24" t="n"/>
      <c r="CF78" s="24" t="n"/>
      <c r="CG78" s="24" t="n"/>
      <c r="CH78" s="24" t="n"/>
      <c r="CI78" s="24" t="inlineStr">
        <is>
          <t>NO_CALL_AVAILABILITY_PLAYER_UNMAPPED</t>
        </is>
      </c>
      <c r="CJ78" s="24" t="n"/>
      <c r="CK78" s="24" t="n"/>
      <c r="CL78" s="24" t="n"/>
      <c r="CM78" s="24" t="n"/>
      <c r="CN78" s="24" t="n"/>
      <c r="CO78" s="24" t="n"/>
      <c r="CP78" s="24" t="inlineStr">
        <is>
          <t>0.758559</t>
        </is>
      </c>
      <c r="CQ78" s="24" t="inlineStr">
        <is>
          <t>False</t>
        </is>
      </c>
    </row>
    <row r="79" ht="36" customHeight="1">
      <c r="A79" s="24" t="inlineStr">
        <is>
          <t>3caa7c7454764ead</t>
        </is>
      </c>
      <c r="B79" s="24" t="inlineStr">
        <is>
          <t>2026-08-02T18:21:05.729666Z</t>
        </is>
      </c>
      <c r="C79" s="24" t="inlineStr">
        <is>
          <t>2026-08-02T20:30:00-0400</t>
        </is>
      </c>
      <c r="D79" s="24" t="inlineStr">
        <is>
          <t>401857110</t>
        </is>
      </c>
      <c r="E79" s="24" t="inlineStr">
        <is>
          <t>WNBA</t>
        </is>
      </c>
      <c r="F79" s="24" t="inlineStr">
        <is>
          <t>Toronto Tempo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-669</v>
      </c>
      <c r="M79" s="27" t="n">
        <v>1.149477</v>
      </c>
      <c r="N79" s="28" t="n">
        <v>0.869961</v>
      </c>
      <c r="O79" s="28" t="n">
        <v>0.772803</v>
      </c>
      <c r="P79" s="28" t="n"/>
      <c r="Q79" s="28" t="n">
        <v>-0.09715799999999999</v>
      </c>
      <c r="R79" s="26" t="n">
        <v>0</v>
      </c>
      <c r="S79" s="29" t="n">
        <v>2</v>
      </c>
      <c r="T79" s="24" t="inlineStr">
        <is>
          <t>wnba-elo-trend-lr-v4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wnba-tor</t>
        </is>
      </c>
      <c r="AQ79" s="24" t="inlineStr">
        <is>
          <t>Toronto Tempo</t>
        </is>
      </c>
      <c r="AR79" s="24" t="inlineStr">
        <is>
          <t>Toronto Tempo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7afd5274214b58b7efd7f7febc7be3ab33b92351cda5cc6403c0a39faea0cc8c</t>
        </is>
      </c>
      <c r="BB79" s="24" t="inlineStr">
        <is>
          <t>learned_lr</t>
        </is>
      </c>
      <c r="BC79" s="24" t="inlineStr">
        <is>
          <t>wnba-elo-trend-lr-v4</t>
        </is>
      </c>
      <c r="BD79" s="24" t="inlineStr">
        <is>
          <t>7afd5274214b58b7efd7f7febc7be3ab33b92351cda5cc6403c0a39faea0cc8c</t>
        </is>
      </c>
      <c r="BE79" s="24" t="inlineStr">
        <is>
          <t>c1ef9fc1d2a3714a</t>
        </is>
      </c>
      <c r="BF79" s="24" t="inlineStr">
        <is>
          <t>1</t>
        </is>
      </c>
      <c r="BG79" s="24" t="inlineStr">
        <is>
          <t>wnba-elo-trend-lr-v4</t>
        </is>
      </c>
      <c r="BH79" s="24" t="inlineStr">
        <is>
          <t>2026-08-02T18:19:56.928216Z</t>
        </is>
      </c>
      <c r="BI79" s="24" t="inlineStr">
        <is>
          <t>["same_event","same_team_same_day","same_league_same_day"]</t>
        </is>
      </c>
      <c r="BJ79" s="25" t="n"/>
      <c r="BK79" s="26" t="n">
        <v>-669</v>
      </c>
      <c r="BL79" s="27" t="n">
        <v>1.149477</v>
      </c>
      <c r="BM79" s="28" t="n">
        <v>0.869961</v>
      </c>
      <c r="BN79" s="28" t="n">
        <v>0.861386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0.8973864278</t>
        </is>
      </c>
      <c r="CD79" s="24" t="inlineStr">
        <is>
          <t>2.248193</t>
        </is>
      </c>
      <c r="CE79" s="24" t="n"/>
      <c r="CF79" s="24" t="n"/>
      <c r="CG79" s="24" t="n"/>
      <c r="CH79" s="24" t="n"/>
      <c r="CI79" s="24" t="inlineStr">
        <is>
          <t>NO_CALL_AVAILABILITY_PLAYER_UNMAPPED</t>
        </is>
      </c>
      <c r="CJ79" s="24" t="n"/>
      <c r="CK79" s="24" t="n"/>
      <c r="CL79" s="24" t="n"/>
      <c r="CM79" s="24" t="n"/>
      <c r="CN79" s="24" t="n"/>
      <c r="CO79" s="24" t="n"/>
      <c r="CP79" s="24" t="inlineStr">
        <is>
          <t>0.772803</t>
        </is>
      </c>
      <c r="CQ79" s="24" t="inlineStr">
        <is>
          <t>False</t>
        </is>
      </c>
    </row>
    <row r="80" ht="36" customHeight="1">
      <c r="A80" s="24" t="inlineStr">
        <is>
          <t>e0b8099dabb3420f</t>
        </is>
      </c>
      <c r="B80" s="24" t="inlineStr">
        <is>
          <t>2026-08-02T18:21:05.729666Z</t>
        </is>
      </c>
      <c r="C80" s="24" t="inlineStr">
        <is>
          <t>2026-08-02T15:10:00-0400</t>
        </is>
      </c>
      <c r="D80" s="24" t="inlineStr">
        <is>
          <t>401816371</t>
        </is>
      </c>
      <c r="E80" s="24" t="inlineStr">
        <is>
          <t>MLB</t>
        </is>
      </c>
      <c r="F80" s="24" t="inlineStr">
        <is>
          <t>Kansas City Royals</t>
        </is>
      </c>
      <c r="G80" s="24" t="inlineStr">
        <is>
          <t>Colorado Rockies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0.60003</v>
      </c>
      <c r="P80" s="28" t="n"/>
      <c r="Q80" s="28" t="n">
        <v>0.134914</v>
      </c>
      <c r="R80" s="26" t="n">
        <v>89</v>
      </c>
      <c r="S80" s="29" t="n">
        <v>1.25</v>
      </c>
      <c r="T80" s="24" t="inlineStr">
        <is>
          <t>mlb-elo-trend-lr-v7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0.6242; executable ask 0.4650 (aec-mlb-kc-col-2026-08-02); model edge vs ask +0.1350.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mlb-kc</t>
        </is>
      </c>
      <c r="AQ80" s="24" t="inlineStr">
        <is>
          <t>Kansas City Royals</t>
        </is>
      </c>
      <c r="AR80" s="24" t="inlineStr">
        <is>
          <t>Kansas City Royals</t>
        </is>
      </c>
      <c r="AS80" s="24" t="inlineStr">
        <is>
          <t>mlb-col</t>
        </is>
      </c>
      <c r="AT80" s="24" t="inlineStr">
        <is>
          <t>Colorado Rockies</t>
        </is>
      </c>
      <c r="AU80" s="24" t="inlineStr">
        <is>
          <t>Colorado Rockies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464eef695bfbbdaa819ec6f5e4c5bd1068ed20b92915fb2677220ae91e20d8b6</t>
        </is>
      </c>
      <c r="BB80" s="24" t="inlineStr">
        <is>
          <t>learned_lr</t>
        </is>
      </c>
      <c r="BC80" s="24" t="inlineStr">
        <is>
          <t>mlb-elo-trend-lr-v7</t>
        </is>
      </c>
      <c r="BD80" s="24" t="inlineStr">
        <is>
          <t>464eef695bfbbdaa819ec6f5e4c5bd1068ed20b92915fb2677220ae91e20d8b6</t>
        </is>
      </c>
      <c r="BE80" s="24" t="inlineStr">
        <is>
          <t>07cce04c03d59f93</t>
        </is>
      </c>
      <c r="BF80" s="24" t="inlineStr">
        <is>
          <t>1</t>
        </is>
      </c>
      <c r="BG80" s="24" t="inlineStr">
        <is>
          <t>mlb-elo-trend-lr-v7</t>
        </is>
      </c>
      <c r="BH80" s="24" t="inlineStr">
        <is>
          <t>2026-08-02T18:19:47.535760Z</t>
        </is>
      </c>
      <c r="BI80" s="24" t="inlineStr">
        <is>
          <t>["same_event","same_team_same_day","same_league_same_day"]</t>
        </is>
      </c>
      <c r="BJ80" s="25" t="n"/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0.4463973804</t>
        </is>
      </c>
      <c r="CD80" s="24" t="inlineStr">
        <is>
          <t>1.55286</t>
        </is>
      </c>
      <c r="CE80" s="24" t="inlineStr">
        <is>
          <t>1.193</t>
        </is>
      </c>
      <c r="CF80" s="24" t="inlineStr">
        <is>
          <t>1.0309</t>
        </is>
      </c>
      <c r="CG80" s="24" t="inlineStr">
        <is>
          <t>1.4</t>
        </is>
      </c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inlineStr">
        <is>
          <t>0.60003</t>
        </is>
      </c>
      <c r="CQ80" s="24" t="inlineStr">
        <is>
          <t>True</t>
        </is>
      </c>
    </row>
    <row r="81" ht="36" customHeight="1">
      <c r="A81" s="24" t="inlineStr">
        <is>
          <t>3201d3e2d43540d4</t>
        </is>
      </c>
      <c r="B81" s="24" t="inlineStr">
        <is>
          <t>2026-08-02T18:21:05.729666Z</t>
        </is>
      </c>
      <c r="C81" s="24" t="inlineStr">
        <is>
          <t>2026-08-02T15:15:00-0400</t>
        </is>
      </c>
      <c r="D81" s="24" t="inlineStr">
        <is>
          <t>401816374</t>
        </is>
      </c>
      <c r="E81" s="24" t="inlineStr">
        <is>
          <t>MLB</t>
        </is>
      </c>
      <c r="F81" s="24" t="inlineStr">
        <is>
          <t>Milwaukee Brewers</t>
        </is>
      </c>
      <c r="G81" s="24" t="inlineStr">
        <is>
          <t>Los Angeles Angels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-208</v>
      </c>
      <c r="M81" s="27" t="n">
        <v>1.480769</v>
      </c>
      <c r="N81" s="28" t="n">
        <v>0.675325</v>
      </c>
      <c r="O81" s="28" t="n">
        <v>0.625602</v>
      </c>
      <c r="P81" s="28" t="n"/>
      <c r="Q81" s="28" t="n">
        <v>-0.049723</v>
      </c>
      <c r="R81" s="26" t="n">
        <v>0</v>
      </c>
      <c r="S81" s="29" t="n">
        <v>1.5</v>
      </c>
      <c r="T81" s="24" t="inlineStr">
        <is>
          <t>mlb-elo-trend-lr-v7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0.6242; executable ask 0.6750 (aec-mlb-mil-laa-2026-08-02); model edge vs ask -0.0494.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mlb-mil</t>
        </is>
      </c>
      <c r="AQ81" s="24" t="inlineStr">
        <is>
          <t>Milwaukee Brewers</t>
        </is>
      </c>
      <c r="AR81" s="24" t="inlineStr">
        <is>
          <t>Milwaukee Brewers</t>
        </is>
      </c>
      <c r="AS81" s="24" t="inlineStr">
        <is>
          <t>mlb-laa</t>
        </is>
      </c>
      <c r="AT81" s="24" t="inlineStr">
        <is>
          <t>Los Angeles Angels</t>
        </is>
      </c>
      <c r="AU81" s="24" t="inlineStr">
        <is>
          <t>Los Angeles Angels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464eef695bfbbdaa819ec6f5e4c5bd1068ed20b92915fb2677220ae91e20d8b6</t>
        </is>
      </c>
      <c r="BB81" s="24" t="inlineStr">
        <is>
          <t>learned_lr</t>
        </is>
      </c>
      <c r="BC81" s="24" t="inlineStr">
        <is>
          <t>mlb-elo-trend-lr-v7</t>
        </is>
      </c>
      <c r="BD81" s="24" t="inlineStr">
        <is>
          <t>464eef695bfbbdaa819ec6f5e4c5bd1068ed20b92915fb2677220ae91e20d8b6</t>
        </is>
      </c>
      <c r="BE81" s="24" t="inlineStr">
        <is>
          <t>6989455cd566cbdd</t>
        </is>
      </c>
      <c r="BF81" s="24" t="inlineStr">
        <is>
          <t>1</t>
        </is>
      </c>
      <c r="BG81" s="24" t="inlineStr">
        <is>
          <t>mlb-elo-trend-lr-v7</t>
        </is>
      </c>
      <c r="BH81" s="24" t="inlineStr">
        <is>
          <t>2026-08-02T18:19:48.128113Z</t>
        </is>
      </c>
      <c r="BI81" s="24" t="inlineStr">
        <is>
          <t>["same_event","same_team_same_day","same_league_same_day"]</t>
        </is>
      </c>
      <c r="BJ81" s="25" t="n"/>
      <c r="BK81" s="26" t="n">
        <v>-208</v>
      </c>
      <c r="BL81" s="27" t="n">
        <v>1.480769</v>
      </c>
      <c r="BM81" s="28" t="n">
        <v>0.675325</v>
      </c>
      <c r="BN81" s="28" t="n">
        <v>0.671642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0.3268450055</t>
        </is>
      </c>
      <c r="CD81" s="24" t="inlineStr">
        <is>
          <t>-0.59379</t>
        </is>
      </c>
      <c r="CE81" s="24" t="inlineStr">
        <is>
          <t>1.01</t>
        </is>
      </c>
      <c r="CF81" s="24" t="inlineStr">
        <is>
          <t>1.0174</t>
        </is>
      </c>
      <c r="CG81" s="24" t="inlineStr">
        <is>
          <t>0.2</t>
        </is>
      </c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inlineStr">
        <is>
          <t>0.625602</t>
        </is>
      </c>
      <c r="CQ81" s="24" t="inlineStr">
        <is>
          <t>False</t>
        </is>
      </c>
    </row>
    <row r="82" ht="36" customHeight="1">
      <c r="A82" s="24" t="inlineStr">
        <is>
          <t>a85bc05b268448f7</t>
        </is>
      </c>
      <c r="B82" s="24" t="inlineStr">
        <is>
          <t>2026-08-02T18:21:05.729666Z</t>
        </is>
      </c>
      <c r="C82" s="24" t="inlineStr">
        <is>
          <t>2026-08-02T16:05:00-0400</t>
        </is>
      </c>
      <c r="D82" s="24" t="inlineStr">
        <is>
          <t>401816373</t>
        </is>
      </c>
      <c r="E82" s="24" t="inlineStr">
        <is>
          <t>MLB</t>
        </is>
      </c>
      <c r="F82" s="24" t="inlineStr">
        <is>
          <t>Detroit Tigers</t>
        </is>
      </c>
      <c r="G82" s="24" t="inlineStr">
        <is>
          <t>Athletics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0.5593939999999999</v>
      </c>
      <c r="P82" s="28" t="n"/>
      <c r="Q82" s="28" t="n">
        <v>0.028878</v>
      </c>
      <c r="R82" s="26" t="n">
        <v>36</v>
      </c>
      <c r="S82" s="29" t="n">
        <v>1</v>
      </c>
      <c r="T82" s="24" t="inlineStr">
        <is>
          <t>mlb-elo-trend-lr-v7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Learned LR call at threshold 0.6242; executable ask 0.5300 (aec-mlb-det-ath-2026-08-02); model edge vs ask +0.0294.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mlb-det</t>
        </is>
      </c>
      <c r="AQ82" s="24" t="inlineStr">
        <is>
          <t>Detroit Tigers</t>
        </is>
      </c>
      <c r="AR82" s="24" t="inlineStr">
        <is>
          <t>Detroit Tigers</t>
        </is>
      </c>
      <c r="AS82" s="24" t="inlineStr">
        <is>
          <t>mlb-ath</t>
        </is>
      </c>
      <c r="AT82" s="24" t="inlineStr">
        <is>
          <t>Athletics</t>
        </is>
      </c>
      <c r="AU82" s="24" t="inlineStr">
        <is>
          <t>Athletics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464eef695bfbbdaa819ec6f5e4c5bd1068ed20b92915fb2677220ae91e20d8b6</t>
        </is>
      </c>
      <c r="BB82" s="24" t="inlineStr">
        <is>
          <t>learned_lr</t>
        </is>
      </c>
      <c r="BC82" s="24" t="inlineStr">
        <is>
          <t>mlb-elo-trend-lr-v7</t>
        </is>
      </c>
      <c r="BD82" s="24" t="inlineStr">
        <is>
          <t>464eef695bfbbdaa819ec6f5e4c5bd1068ed20b92915fb2677220ae91e20d8b6</t>
        </is>
      </c>
      <c r="BE82" s="24" t="inlineStr">
        <is>
          <t>23be85c1ab78fadc</t>
        </is>
      </c>
      <c r="BF82" s="24" t="inlineStr">
        <is>
          <t>1</t>
        </is>
      </c>
      <c r="BG82" s="24" t="inlineStr">
        <is>
          <t>mlb-elo-trend-lr-v7</t>
        </is>
      </c>
      <c r="BH82" s="24" t="inlineStr">
        <is>
          <t>2026-08-02T18:19:49.178604Z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>
        <v>0.527363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0.4182489247</t>
        </is>
      </c>
      <c r="CD82" s="24" t="inlineStr">
        <is>
          <t>-3.449013</t>
        </is>
      </c>
      <c r="CE82" s="24" t="inlineStr">
        <is>
          <t>1.153</t>
        </is>
      </c>
      <c r="CF82" s="24" t="inlineStr">
        <is>
          <t>1.0279</t>
        </is>
      </c>
      <c r="CG82" s="24" t="inlineStr">
        <is>
          <t>1.0</t>
        </is>
      </c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inlineStr">
        <is>
          <t>0.559394</t>
        </is>
      </c>
      <c r="CQ82" s="24" t="inlineStr">
        <is>
          <t>True</t>
        </is>
      </c>
    </row>
    <row r="83" ht="36" customHeight="1">
      <c r="A83" s="24" t="inlineStr">
        <is>
          <t>5ad174584d5a45a7</t>
        </is>
      </c>
      <c r="B83" s="24" t="inlineStr">
        <is>
          <t>2026-08-02T18:21:05.729666Z</t>
        </is>
      </c>
      <c r="C83" s="24" t="inlineStr">
        <is>
          <t>2026-08-02T16:10:00-0400</t>
        </is>
      </c>
      <c r="D83" s="24" t="inlineStr">
        <is>
          <t>401816375</t>
        </is>
      </c>
      <c r="E83" s="24" t="inlineStr">
        <is>
          <t>MLB</t>
        </is>
      </c>
      <c r="F83" s="24" t="inlineStr">
        <is>
          <t>Minnesota Twins</t>
        </is>
      </c>
      <c r="G83" s="24" t="inlineStr">
        <is>
          <t>Seattle Mariners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-130</v>
      </c>
      <c r="M83" s="27" t="n">
        <v>1.769231</v>
      </c>
      <c r="N83" s="28" t="n">
        <v>0.565217</v>
      </c>
      <c r="O83" s="28" t="n">
        <v>0.596425</v>
      </c>
      <c r="P83" s="28" t="n"/>
      <c r="Q83" s="28" t="n">
        <v>0.031208</v>
      </c>
      <c r="R83" s="26" t="n">
        <v>37</v>
      </c>
      <c r="S83" s="29" t="n">
        <v>1.25</v>
      </c>
      <c r="T83" s="24" t="inlineStr">
        <is>
          <t>mlb-elo-trend-lr-v7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0.6242; executable ask 0.5650 (aec-mlb-min-sea-2026-08-02); model edge vs ask +0.0314.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mlb-min</t>
        </is>
      </c>
      <c r="AQ83" s="24" t="inlineStr">
        <is>
          <t>Minnesota Twins</t>
        </is>
      </c>
      <c r="AR83" s="24" t="inlineStr">
        <is>
          <t>Minnesota Twins</t>
        </is>
      </c>
      <c r="AS83" s="24" t="inlineStr">
        <is>
          <t>mlb-sea</t>
        </is>
      </c>
      <c r="AT83" s="24" t="inlineStr">
        <is>
          <t>Seattle Mariners</t>
        </is>
      </c>
      <c r="AU83" s="24" t="inlineStr">
        <is>
          <t>Seattle Mariners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464eef695bfbbdaa819ec6f5e4c5bd1068ed20b92915fb2677220ae91e20d8b6</t>
        </is>
      </c>
      <c r="BB83" s="24" t="inlineStr">
        <is>
          <t>learned_lr</t>
        </is>
      </c>
      <c r="BC83" s="24" t="inlineStr">
        <is>
          <t>mlb-elo-trend-lr-v7</t>
        </is>
      </c>
      <c r="BD83" s="24" t="inlineStr">
        <is>
          <t>464eef695bfbbdaa819ec6f5e4c5bd1068ed20b92915fb2677220ae91e20d8b6</t>
        </is>
      </c>
      <c r="BE83" s="24" t="inlineStr">
        <is>
          <t>e58bfb84888a3f7a</t>
        </is>
      </c>
      <c r="BF83" s="24" t="inlineStr">
        <is>
          <t>1</t>
        </is>
      </c>
      <c r="BG83" s="24" t="inlineStr">
        <is>
          <t>mlb-elo-trend-lr-v7</t>
        </is>
      </c>
      <c r="BH83" s="24" t="inlineStr">
        <is>
          <t>2026-08-02T18:19:51.107083Z</t>
        </is>
      </c>
      <c r="BI83" s="24" t="inlineStr">
        <is>
          <t>["same_event","same_team_same_day","same_league_same_day"]</t>
        </is>
      </c>
      <c r="BJ83" s="25" t="n"/>
      <c r="BK83" s="26" t="n">
        <v>-130</v>
      </c>
      <c r="BL83" s="27" t="n">
        <v>1.769231</v>
      </c>
      <c r="BM83" s="28" t="n">
        <v>0.565217</v>
      </c>
      <c r="BN83" s="28" t="n">
        <v>0.562189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0.5819178739</t>
        </is>
      </c>
      <c r="CD83" s="24" t="inlineStr">
        <is>
          <t>0.703281</t>
        </is>
      </c>
      <c r="CE83" s="24" t="inlineStr">
        <is>
          <t>0.936</t>
        </is>
      </c>
      <c r="CF83" s="24" t="inlineStr">
        <is>
          <t>1.0</t>
        </is>
      </c>
      <c r="CG83" s="24" t="inlineStr">
        <is>
          <t>1.8</t>
        </is>
      </c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inlineStr">
        <is>
          <t>0.596425</t>
        </is>
      </c>
      <c r="CQ83" s="24" t="inlineStr">
        <is>
          <t>True</t>
        </is>
      </c>
    </row>
    <row r="84" ht="36" customHeight="1">
      <c r="A84" s="24" t="inlineStr">
        <is>
          <t>338536d65f574625</t>
        </is>
      </c>
      <c r="B84" s="24" t="inlineStr">
        <is>
          <t>2026-08-02T18:21:05.729666Z</t>
        </is>
      </c>
      <c r="C84" s="24" t="inlineStr">
        <is>
          <t>2026-08-02T16:10:00-0400</t>
        </is>
      </c>
      <c r="D84" s="24" t="inlineStr">
        <is>
          <t>401816376</t>
        </is>
      </c>
      <c r="E84" s="24" t="inlineStr">
        <is>
          <t>MLB</t>
        </is>
      </c>
      <c r="F84" s="24" t="inlineStr">
        <is>
          <t>San Francisco Giants</t>
        </is>
      </c>
      <c r="G84" s="24" t="inlineStr">
        <is>
          <t>San Diego Padres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-120</v>
      </c>
      <c r="M84" s="27" t="n">
        <v>1.833333</v>
      </c>
      <c r="N84" s="28" t="n">
        <v>0.545455</v>
      </c>
      <c r="O84" s="28" t="n">
        <v>0.5891999999999999</v>
      </c>
      <c r="P84" s="28" t="n"/>
      <c r="Q84" s="28" t="n">
        <v>0.043745</v>
      </c>
      <c r="R84" s="26" t="n">
        <v>43</v>
      </c>
      <c r="S84" s="29" t="n">
        <v>1.25</v>
      </c>
      <c r="T84" s="24" t="inlineStr">
        <is>
          <t>mlb-elo-trend-lr-v7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0.6242; executable ask 0.5450 (aec-mlb-sf-sd-2026-08-02); model edge vs ask +0.0442.</t>
        </is>
      </c>
      <c r="AF84" s="31" t="inlineStr">
        <is>
          <t>Learned model; shadow-qualified via operator override.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mlb-sf</t>
        </is>
      </c>
      <c r="AQ84" s="24" t="inlineStr">
        <is>
          <t>San Francisco Giants</t>
        </is>
      </c>
      <c r="AR84" s="24" t="inlineStr">
        <is>
          <t>San Francisco Giants</t>
        </is>
      </c>
      <c r="AS84" s="24" t="inlineStr">
        <is>
          <t>mlb-sd</t>
        </is>
      </c>
      <c r="AT84" s="24" t="inlineStr">
        <is>
          <t>San Diego Padres</t>
        </is>
      </c>
      <c r="AU84" s="24" t="inlineStr">
        <is>
          <t>San Diego Padres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464eef695bfbbdaa819ec6f5e4c5bd1068ed20b92915fb2677220ae91e20d8b6</t>
        </is>
      </c>
      <c r="BB84" s="24" t="inlineStr">
        <is>
          <t>learned_lr</t>
        </is>
      </c>
      <c r="BC84" s="24" t="inlineStr">
        <is>
          <t>mlb-elo-trend-lr-v7</t>
        </is>
      </c>
      <c r="BD84" s="24" t="inlineStr">
        <is>
          <t>464eef695bfbbdaa819ec6f5e4c5bd1068ed20b92915fb2677220ae91e20d8b6</t>
        </is>
      </c>
      <c r="BE84" s="24" t="inlineStr">
        <is>
          <t>271d9df1881144a7</t>
        </is>
      </c>
      <c r="BF84" s="24" t="inlineStr">
        <is>
          <t>1</t>
        </is>
      </c>
      <c r="BG84" s="24" t="inlineStr">
        <is>
          <t>mlb-elo-trend-lr-v7</t>
        </is>
      </c>
      <c r="BH84" s="24" t="inlineStr">
        <is>
          <t>2026-08-02T18:19:50.139618Z</t>
        </is>
      </c>
      <c r="BI84" s="24" t="inlineStr">
        <is>
          <t>["same_event","same_team_same_day","same_league_same_day"]</t>
        </is>
      </c>
      <c r="BJ84" s="25" t="n"/>
      <c r="BK84" s="26" t="n">
        <v>-120</v>
      </c>
      <c r="BL84" s="27" t="n">
        <v>1.833333</v>
      </c>
      <c r="BM84" s="28" t="n">
        <v>0.545455</v>
      </c>
      <c r="BN84" s="28" t="n">
        <v>0.542289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0.5952401601</t>
        </is>
      </c>
      <c r="CD84" s="24" t="inlineStr">
        <is>
          <t>0.046644</t>
        </is>
      </c>
      <c r="CE84" s="24" t="inlineStr">
        <is>
          <t>0.945</t>
        </is>
      </c>
      <c r="CF84" s="24" t="inlineStr">
        <is>
          <t>1.0086</t>
        </is>
      </c>
      <c r="CG84" s="24" t="inlineStr">
        <is>
          <t>-1.6</t>
        </is>
      </c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inlineStr">
        <is>
          <t>0.5892</t>
        </is>
      </c>
      <c r="CQ84" s="24" t="inlineStr">
        <is>
          <t>True</t>
        </is>
      </c>
    </row>
    <row r="85" ht="36" customHeight="1">
      <c r="A85" s="24" t="inlineStr">
        <is>
          <t>c0002c6438ff4e87</t>
        </is>
      </c>
      <c r="B85" s="24" t="inlineStr">
        <is>
          <t>2026-08-02T18:21:05.729666Z</t>
        </is>
      </c>
      <c r="C85" s="24" t="inlineStr">
        <is>
          <t>2026-08-02T19:20:00-0400</t>
        </is>
      </c>
      <c r="D85" s="24" t="inlineStr">
        <is>
          <t>401816372</t>
        </is>
      </c>
      <c r="E85" s="24" t="inlineStr">
        <is>
          <t>MLB</t>
        </is>
      </c>
      <c r="F85" s="24" t="inlineStr">
        <is>
          <t>Boston Red Sox</t>
        </is>
      </c>
      <c r="G85" s="24" t="inlineStr">
        <is>
          <t>Los Angeles Dodgers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-167</v>
      </c>
      <c r="M85" s="27" t="n">
        <v>1.598802</v>
      </c>
      <c r="N85" s="28" t="n">
        <v>0.625468</v>
      </c>
      <c r="O85" s="28" t="n">
        <v>0.5594749999999999</v>
      </c>
      <c r="P85" s="28" t="n"/>
      <c r="Q85" s="28" t="n">
        <v>-0.065993</v>
      </c>
      <c r="R85" s="26" t="n">
        <v>0</v>
      </c>
      <c r="S85" s="29" t="n">
        <v>1</v>
      </c>
      <c r="T85" s="24" t="inlineStr">
        <is>
          <t>mlb-elo-trend-lr-v7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0.6242; executable ask 0.6250 (aec-mlb-bos-lad-2026-08-02); model edge vs ask -0.0655.</t>
        </is>
      </c>
      <c r="AF85" s="31" t="inlineStr">
        <is>
          <t>Learned model; shadow-qualified via operator override.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mlb-bos</t>
        </is>
      </c>
      <c r="AQ85" s="24" t="inlineStr">
        <is>
          <t>Boston Red Sox</t>
        </is>
      </c>
      <c r="AR85" s="24" t="inlineStr">
        <is>
          <t>Boston Red Sox</t>
        </is>
      </c>
      <c r="AS85" s="24" t="inlineStr">
        <is>
          <t>mlb-lad</t>
        </is>
      </c>
      <c r="AT85" s="24" t="inlineStr">
        <is>
          <t>Los Angeles Dodgers</t>
        </is>
      </c>
      <c r="AU85" s="24" t="inlineStr">
        <is>
          <t>Los Angeles Dodgers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464eef695bfbbdaa819ec6f5e4c5bd1068ed20b92915fb2677220ae91e20d8b6</t>
        </is>
      </c>
      <c r="BB85" s="24" t="inlineStr">
        <is>
          <t>learned_lr</t>
        </is>
      </c>
      <c r="BC85" s="24" t="inlineStr">
        <is>
          <t>mlb-elo-trend-lr-v7</t>
        </is>
      </c>
      <c r="BD85" s="24" t="inlineStr">
        <is>
          <t>464eef695bfbbdaa819ec6f5e4c5bd1068ed20b92915fb2677220ae91e20d8b6</t>
        </is>
      </c>
      <c r="BE85" s="24" t="inlineStr">
        <is>
          <t>c5bf60384c9800b8</t>
        </is>
      </c>
      <c r="BF85" s="24" t="inlineStr">
        <is>
          <t>1</t>
        </is>
      </c>
      <c r="BG85" s="24" t="inlineStr">
        <is>
          <t>mlb-elo-trend-lr-v7</t>
        </is>
      </c>
      <c r="BH85" s="24" t="inlineStr">
        <is>
          <t>2026-08-02T18:19:52.209046Z</t>
        </is>
      </c>
      <c r="BI85" s="24" t="inlineStr">
        <is>
          <t>["same_event","same_team_same_day","same_league_same_day"]</t>
        </is>
      </c>
      <c r="BJ85" s="25" t="n"/>
      <c r="BK85" s="26" t="n">
        <v>-167</v>
      </c>
      <c r="BL85" s="27" t="n">
        <v>1.598802</v>
      </c>
      <c r="BM85" s="28" t="n">
        <v>0.625468</v>
      </c>
      <c r="BN85" s="28" t="n">
        <v>0.621891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inlineStr">
        <is>
          <t>0.5465616607</t>
        </is>
      </c>
      <c r="CD85" s="24" t="inlineStr">
        <is>
          <t>-0.812713</t>
        </is>
      </c>
      <c r="CE85" s="24" t="inlineStr">
        <is>
          <t>1.026</t>
        </is>
      </c>
      <c r="CF85" s="24" t="inlineStr">
        <is>
          <t>1.0154</t>
        </is>
      </c>
      <c r="CG85" s="24" t="inlineStr">
        <is>
          <t>2.6</t>
        </is>
      </c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inlineStr">
        <is>
          <t>0.559475</t>
        </is>
      </c>
      <c r="CQ85" s="24" t="inlineStr">
        <is>
          <t>False</t>
        </is>
      </c>
    </row>
    <row r="86" ht="36" customHeight="1">
      <c r="A86" s="24" t="inlineStr">
        <is>
          <t>20101b76bc704094</t>
        </is>
      </c>
      <c r="B86" s="24" t="inlineStr">
        <is>
          <t>2026-08-02T18:21:29.169757Z</t>
        </is>
      </c>
      <c r="C86" s="24" t="inlineStr">
        <is>
          <t>2026-08-02T19:10Z</t>
        </is>
      </c>
      <c r="D86" s="24" t="inlineStr">
        <is>
          <t>401816371</t>
        </is>
      </c>
      <c r="E86" s="24" t="inlineStr">
        <is>
          <t>MLB</t>
        </is>
      </c>
      <c r="F86" s="24" t="inlineStr">
        <is>
          <t>Kansas City Royals</t>
        </is>
      </c>
      <c r="G86" s="24" t="inlineStr">
        <is>
          <t>Colorado Rockies</t>
        </is>
      </c>
      <c r="H86" s="24" t="inlineStr">
        <is>
          <t>spread</t>
        </is>
      </c>
      <c r="I86" s="24" t="inlineStr">
        <is>
          <t>away</t>
        </is>
      </c>
      <c r="J86" s="25" t="n">
        <v>1.5</v>
      </c>
      <c r="K86" s="24" t="inlineStr">
        <is>
          <t>polymarket_us</t>
        </is>
      </c>
      <c r="L86" s="26" t="n">
        <v>-163</v>
      </c>
      <c r="M86" s="27" t="n">
        <v>1.613497</v>
      </c>
      <c r="N86" s="28" t="n">
        <v>0.619772</v>
      </c>
      <c r="O86" s="28" t="n">
        <v>0.619067</v>
      </c>
      <c r="P86" s="28" t="n">
        <v>0.042131</v>
      </c>
      <c r="Q86" s="28" t="n">
        <v>-0.000705</v>
      </c>
      <c r="R86" s="26" t="n">
        <v>26</v>
      </c>
      <c r="S86" s="29" t="n">
        <v>1.5</v>
      </c>
      <c r="T86" s="24" t="inlineStr">
        <is>
          <t>measured-edge-margin-v2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Measured Edge Margin: Trend Engine projected 5.19-4.94; raw selected-side p=0.6814, calibrated p=0.6191.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mlb-kc</t>
        </is>
      </c>
      <c r="AQ86" s="24" t="inlineStr">
        <is>
          <t>Kansas City Royals</t>
        </is>
      </c>
      <c r="AR86" s="24" t="inlineStr">
        <is>
          <t>Kansas City Royals</t>
        </is>
      </c>
      <c r="AS86" s="24" t="inlineStr">
        <is>
          <t>mlb-col</t>
        </is>
      </c>
      <c r="AT86" s="24" t="inlineStr">
        <is>
          <t>Colorado Rockies</t>
        </is>
      </c>
      <c r="AU86" s="24" t="inlineStr">
        <is>
          <t>Colorado Rockies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8360b122264b796b0fb193095cfe4506c7e064e5f3f8c0a659aec41efd08dd25</t>
        </is>
      </c>
      <c r="BB86" s="24" t="inlineStr">
        <is>
          <t>flat_probability_shrinkage_toward_half</t>
        </is>
      </c>
      <c r="BC86" s="24" t="inlineStr">
        <is>
          <t>measured-edge-margin-v2</t>
        </is>
      </c>
      <c r="BD86" s="24" t="inlineStr">
        <is>
          <t>8360b122264b796b0fb193095cfe4506c7e064e5f3f8c0a659aec41efd08dd25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2026-08-02T18:21:29.169757Z</t>
        </is>
      </c>
      <c r="BI86" s="24" t="inlineStr">
        <is>
          <t>["same_event","same_team_same_day","same_league_same_day"]</t>
        </is>
      </c>
      <c r="BJ86" s="25" t="n">
        <v>1.5</v>
      </c>
      <c r="BK86" s="26" t="n">
        <v>-163</v>
      </c>
      <c r="BL86" s="27" t="n">
        <v>1.613497</v>
      </c>
      <c r="BM86" s="28" t="n">
        <v>0.619772</v>
      </c>
      <c r="BN86" s="28" t="n">
        <v>0.616915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inlineStr">
        <is>
          <t>False</t>
        </is>
      </c>
    </row>
    <row r="87" ht="36" customHeight="1">
      <c r="A87" s="24" t="inlineStr">
        <is>
          <t>c23fabd6ae574131</t>
        </is>
      </c>
      <c r="B87" s="24" t="inlineStr">
        <is>
          <t>2026-08-02T18:21:29.169757Z</t>
        </is>
      </c>
      <c r="C87" s="24" t="inlineStr">
        <is>
          <t>2026-08-02T19:10Z</t>
        </is>
      </c>
      <c r="D87" s="24" t="inlineStr">
        <is>
          <t>401816371</t>
        </is>
      </c>
      <c r="E87" s="24" t="inlineStr">
        <is>
          <t>MLB</t>
        </is>
      </c>
      <c r="F87" s="24" t="inlineStr">
        <is>
          <t>Kansas City Royals</t>
        </is>
      </c>
      <c r="G87" s="24" t="inlineStr">
        <is>
          <t>Colorado Rockies</t>
        </is>
      </c>
      <c r="H87" s="24" t="inlineStr">
        <is>
          <t>total</t>
        </is>
      </c>
      <c r="I87" s="24" t="inlineStr">
        <is>
          <t>under</t>
        </is>
      </c>
      <c r="J87" s="25" t="n">
        <v>11.5</v>
      </c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0.562707</v>
      </c>
      <c r="P87" s="28" t="n">
        <v>0.042131</v>
      </c>
      <c r="Q87" s="28" t="n">
        <v>0.052903</v>
      </c>
      <c r="R87" s="26" t="n">
        <v>52</v>
      </c>
      <c r="S87" s="29" t="n">
        <v>1.25</v>
      </c>
      <c r="T87" s="24" t="inlineStr">
        <is>
          <t>measured-edge-totals-v2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Measured Edge Totals: Trend Engine projected 5.19-4.94; raw selected-side p=0.6603, calibrated p=0.5627.</t>
        </is>
      </c>
      <c r="AF87" s="31" t="inlineStr">
        <is>
          <t>Research-only; lineup, bullpen, park, weather, xFIP, and wRC+ may be neutral fallbacks; market availability and BBO depth may change before first pitch.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mlb-kc</t>
        </is>
      </c>
      <c r="AQ87" s="24" t="inlineStr">
        <is>
          <t>Kansas City Royals</t>
        </is>
      </c>
      <c r="AR87" s="24" t="inlineStr">
        <is>
          <t>Kansas City Royals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433578016242b27f9c1c7132cc6b5a2bcc7dd1b0234590c12a944455a88e71bd</t>
        </is>
      </c>
      <c r="BB87" s="24" t="inlineStr">
        <is>
          <t>flat_probability_shrinkage_toward_half</t>
        </is>
      </c>
      <c r="BC87" s="24" t="inlineStr">
        <is>
          <t>measured-edge-totals-v2</t>
        </is>
      </c>
      <c r="BD87" s="24" t="inlineStr">
        <is>
          <t>433578016242b27f9c1c7132cc6b5a2bcc7dd1b0234590c12a944455a88e71bd</t>
        </is>
      </c>
      <c r="BE87" s="24" t="inlineStr">
        <is>
          <t>v3</t>
        </is>
      </c>
      <c r="BF87" s="24" t="inlineStr">
        <is>
          <t>1</t>
        </is>
      </c>
      <c r="BG87" s="24" t="inlineStr">
        <is>
          <t>measured-edge-paired-v1</t>
        </is>
      </c>
      <c r="BH87" s="24" t="inlineStr">
        <is>
          <t>2026-08-02T18:21:29.169757Z</t>
        </is>
      </c>
      <c r="BI87" s="24" t="inlineStr">
        <is>
          <t>["same_event","same_team_same_day","same_league_same_day"]</t>
        </is>
      </c>
      <c r="BJ87" s="25" t="n">
        <v>11.5</v>
      </c>
      <c r="BK87" s="26" t="n">
        <v>-104</v>
      </c>
      <c r="BL87" s="27" t="n">
        <v>1.961538</v>
      </c>
      <c r="BM87" s="28" t="n">
        <v>0.509804</v>
      </c>
      <c r="BN87" s="28" t="n">
        <v>0.507463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inlineStr">
        <is>
          <t>True</t>
        </is>
      </c>
    </row>
    <row r="88" ht="36" customHeight="1">
      <c r="A88" s="24" t="inlineStr">
        <is>
          <t>db302c3ce4a84aff</t>
        </is>
      </c>
      <c r="B88" s="24" t="inlineStr">
        <is>
          <t>2026-08-02T18:21:29.169757Z</t>
        </is>
      </c>
      <c r="C88" s="24" t="inlineStr">
        <is>
          <t>2026-08-02T19:15Z</t>
        </is>
      </c>
      <c r="D88" s="24" t="inlineStr">
        <is>
          <t>401816374</t>
        </is>
      </c>
      <c r="E88" s="24" t="inlineStr">
        <is>
          <t>MLB</t>
        </is>
      </c>
      <c r="F88" s="24" t="inlineStr">
        <is>
          <t>Milwaukee Brewers</t>
        </is>
      </c>
      <c r="G88" s="24" t="inlineStr">
        <is>
          <t>Los Angeles Angels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117</v>
      </c>
      <c r="M88" s="27" t="n">
        <v>2.17</v>
      </c>
      <c r="N88" s="28" t="n">
        <v>0.460829</v>
      </c>
      <c r="O88" s="28" t="n">
        <v>0.598367</v>
      </c>
      <c r="P88" s="28" t="n">
        <v>0.042131</v>
      </c>
      <c r="Q88" s="28" t="n">
        <v>0.137538</v>
      </c>
      <c r="R88" s="26" t="n">
        <v>95</v>
      </c>
      <c r="S88" s="29" t="n">
        <v>1.25</v>
      </c>
      <c r="T88" s="24" t="inlineStr">
        <is>
          <t>measured-edge-margin-v2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Measured Edge Margin: Trend Engine projected 4.33-4.07; raw selected-side p=0.6499, calibrated p=0.5984.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mlb-mil</t>
        </is>
      </c>
      <c r="AQ88" s="24" t="inlineStr">
        <is>
          <t>Milwaukee Brewers</t>
        </is>
      </c>
      <c r="AR88" s="24" t="inlineStr">
        <is>
          <t>Milwaukee Brewers</t>
        </is>
      </c>
      <c r="AS88" s="24" t="inlineStr">
        <is>
          <t>mlb-laa</t>
        </is>
      </c>
      <c r="AT88" s="24" t="inlineStr">
        <is>
          <t>Los Angeles Angels</t>
        </is>
      </c>
      <c r="AU88" s="24" t="inlineStr">
        <is>
          <t>Los Angeles Angels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8360b122264b796b0fb193095cfe4506c7e064e5f3f8c0a659aec41efd08dd25</t>
        </is>
      </c>
      <c r="BB88" s="24" t="inlineStr">
        <is>
          <t>flat_probability_shrinkage_toward_half</t>
        </is>
      </c>
      <c r="BC88" s="24" t="inlineStr">
        <is>
          <t>measured-edge-margin-v2</t>
        </is>
      </c>
      <c r="BD88" s="24" t="inlineStr">
        <is>
          <t>8360b122264b796b0fb193095cfe4506c7e064e5f3f8c0a659aec41efd08dd25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2026-08-02T18:21:29.169757Z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117</v>
      </c>
      <c r="BL88" s="27" t="n">
        <v>2.17</v>
      </c>
      <c r="BM88" s="28" t="n">
        <v>0.460829</v>
      </c>
      <c r="BN88" s="28" t="n">
        <v>0.457711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inlineStr">
        <is>
          <t>True</t>
        </is>
      </c>
    </row>
    <row r="89" ht="36" customHeight="1">
      <c r="A89" s="24" t="inlineStr">
        <is>
          <t>afab1421f3e149a5</t>
        </is>
      </c>
      <c r="B89" s="24" t="inlineStr">
        <is>
          <t>2026-08-02T18:21:29.169757Z</t>
        </is>
      </c>
      <c r="C89" s="24" t="inlineStr">
        <is>
          <t>2026-08-02T19:15Z</t>
        </is>
      </c>
      <c r="D89" s="24" t="inlineStr">
        <is>
          <t>401816374</t>
        </is>
      </c>
      <c r="E89" s="24" t="inlineStr">
        <is>
          <t>MLB</t>
        </is>
      </c>
      <c r="F89" s="24" t="inlineStr">
        <is>
          <t>Milwaukee Brewers</t>
        </is>
      </c>
      <c r="G89" s="24" t="inlineStr">
        <is>
          <t>Los Angeles Angels</t>
        </is>
      </c>
      <c r="H89" s="24" t="inlineStr">
        <is>
          <t>total</t>
        </is>
      </c>
      <c r="I89" s="24" t="inlineStr">
        <is>
          <t>over</t>
        </is>
      </c>
      <c r="J89" s="25" t="n">
        <v>7.5</v>
      </c>
      <c r="K89" s="24" t="inlineStr">
        <is>
          <t>polymarket_us</t>
        </is>
      </c>
      <c r="L89" s="26" t="n">
        <v>104</v>
      </c>
      <c r="M89" s="27" t="n">
        <v>2.04</v>
      </c>
      <c r="N89" s="28" t="n">
        <v>0.490196</v>
      </c>
      <c r="O89" s="28" t="n">
        <v>0.5189009999999999</v>
      </c>
      <c r="P89" s="28" t="n">
        <v>0.042131</v>
      </c>
      <c r="Q89" s="28" t="n">
        <v>0.028705</v>
      </c>
      <c r="R89" s="26" t="n">
        <v>40</v>
      </c>
      <c r="S89" s="29" t="n">
        <v>1</v>
      </c>
      <c r="T89" s="24" t="inlineStr">
        <is>
          <t>measured-edge-totals-v2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Measured Edge Totals: Trend Engine projected 4.33-4.07; raw selected-side p=0.5321, calibrated p=0.5189.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mlb-mil</t>
        </is>
      </c>
      <c r="AQ89" s="24" t="inlineStr">
        <is>
          <t>Milwaukee Brewers</t>
        </is>
      </c>
      <c r="AR89" s="24" t="inlineStr">
        <is>
          <t>Milwaukee Brewers</t>
        </is>
      </c>
      <c r="AS89" s="24" t="inlineStr">
        <is>
          <t>mlb-laa</t>
        </is>
      </c>
      <c r="AT89" s="24" t="inlineStr">
        <is>
          <t>Los Angeles Angels</t>
        </is>
      </c>
      <c r="AU89" s="24" t="inlineStr">
        <is>
          <t>Los Angeles Angels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433578016242b27f9c1c7132cc6b5a2bcc7dd1b0234590c12a944455a88e71bd</t>
        </is>
      </c>
      <c r="BB89" s="24" t="inlineStr">
        <is>
          <t>flat_probability_shrinkage_toward_half</t>
        </is>
      </c>
      <c r="BC89" s="24" t="inlineStr">
        <is>
          <t>measured-edge-totals-v2</t>
        </is>
      </c>
      <c r="BD89" s="24" t="inlineStr">
        <is>
          <t>433578016242b27f9c1c7132cc6b5a2bcc7dd1b0234590c12a944455a88e71bd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2026-08-02T18:21:29.169757Z</t>
        </is>
      </c>
      <c r="BI89" s="24" t="inlineStr">
        <is>
          <t>["same_event","same_team_same_day","same_league_same_day"]</t>
        </is>
      </c>
      <c r="BJ89" s="25" t="n">
        <v>7.5</v>
      </c>
      <c r="BK89" s="26" t="n">
        <v>104</v>
      </c>
      <c r="BL89" s="27" t="n">
        <v>2.04</v>
      </c>
      <c r="BM89" s="28" t="n">
        <v>0.490196</v>
      </c>
      <c r="BN89" s="28" t="n">
        <v>0.487562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inlineStr">
        <is>
          <t>True</t>
        </is>
      </c>
    </row>
    <row r="90" ht="36" customHeight="1">
      <c r="A90" s="24" t="inlineStr">
        <is>
          <t>fb1655bc4d9d45cd</t>
        </is>
      </c>
      <c r="B90" s="24" t="inlineStr">
        <is>
          <t>2026-08-02T18:21:29.169757Z</t>
        </is>
      </c>
      <c r="C90" s="24" t="inlineStr">
        <is>
          <t>2026-08-02T20:05Z</t>
        </is>
      </c>
      <c r="D90" s="24" t="inlineStr">
        <is>
          <t>401816373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Athletics</t>
        </is>
      </c>
      <c r="H90" s="24" t="inlineStr">
        <is>
          <t>spread</t>
        </is>
      </c>
      <c r="I90" s="24" t="inlineStr">
        <is>
          <t>home</t>
        </is>
      </c>
      <c r="J90" s="25" t="n">
        <v>1.5</v>
      </c>
      <c r="K90" s="24" t="inlineStr">
        <is>
          <t>polymarket_us</t>
        </is>
      </c>
      <c r="L90" s="26" t="n">
        <v>-141</v>
      </c>
      <c r="M90" s="27" t="n">
        <v>1.70922</v>
      </c>
      <c r="N90" s="28" t="n">
        <v>0.585062</v>
      </c>
      <c r="O90" s="28" t="n">
        <v>0.6017130000000001</v>
      </c>
      <c r="P90" s="28" t="n">
        <v>0.042131</v>
      </c>
      <c r="Q90" s="28" t="n">
        <v>0.016651</v>
      </c>
      <c r="R90" s="26" t="n">
        <v>35</v>
      </c>
      <c r="S90" s="29" t="n">
        <v>1.5</v>
      </c>
      <c r="T90" s="24" t="inlineStr">
        <is>
          <t>measured-edge-margin-v2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Measured Edge Margin: Trend Engine projected 4.86-4.74; raw selected-side p=0.6550, calibrated p=0.6017.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mlb-ath</t>
        </is>
      </c>
      <c r="AT90" s="24" t="inlineStr">
        <is>
          <t>Athletics</t>
        </is>
      </c>
      <c r="AU90" s="24" t="inlineStr">
        <is>
          <t>Athletics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8360b122264b796b0fb193095cfe4506c7e064e5f3f8c0a659aec41efd08dd25</t>
        </is>
      </c>
      <c r="BB90" s="24" t="inlineStr">
        <is>
          <t>flat_probability_shrinkage_toward_half</t>
        </is>
      </c>
      <c r="BC90" s="24" t="inlineStr">
        <is>
          <t>measured-edge-margin-v2</t>
        </is>
      </c>
      <c r="BD90" s="24" t="inlineStr">
        <is>
          <t>8360b122264b796b0fb193095cfe4506c7e064e5f3f8c0a659aec41efd08dd25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2026-08-02T18:21:29.169757Z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-141</v>
      </c>
      <c r="BL90" s="27" t="n">
        <v>1.70922</v>
      </c>
      <c r="BM90" s="28" t="n">
        <v>0.585062</v>
      </c>
      <c r="BN90" s="28" t="n">
        <v>0.58209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inlineStr">
        <is>
          <t>True</t>
        </is>
      </c>
    </row>
    <row r="91" ht="36" customHeight="1">
      <c r="A91" s="24" t="inlineStr">
        <is>
          <t>6473eb85a30d4267</t>
        </is>
      </c>
      <c r="B91" s="24" t="inlineStr">
        <is>
          <t>2026-08-02T18:21:29.169757Z</t>
        </is>
      </c>
      <c r="C91" s="24" t="inlineStr">
        <is>
          <t>2026-08-02T20:05Z</t>
        </is>
      </c>
      <c r="D91" s="24" t="inlineStr">
        <is>
          <t>401816373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Athletics</t>
        </is>
      </c>
      <c r="H91" s="24" t="inlineStr">
        <is>
          <t>total</t>
        </is>
      </c>
      <c r="I91" s="24" t="inlineStr">
        <is>
          <t>under</t>
        </is>
      </c>
      <c r="J91" s="25" t="n">
        <v>10.5</v>
      </c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0.548219</v>
      </c>
      <c r="P91" s="28" t="n">
        <v>0.042131</v>
      </c>
      <c r="Q91" s="28" t="n">
        <v>0.017703</v>
      </c>
      <c r="R91" s="26" t="n">
        <v>35</v>
      </c>
      <c r="S91" s="29" t="n">
        <v>1</v>
      </c>
      <c r="T91" s="24" t="inlineStr">
        <is>
          <t>measured-edge-totals-v2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Measured Edge Totals: Trend Engine projected 4.86-4.74; raw selected-side p=0.6179, calibrated p=0.5482.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mlb-ath</t>
        </is>
      </c>
      <c r="AT91" s="24" t="inlineStr">
        <is>
          <t>Athletics</t>
        </is>
      </c>
      <c r="AU91" s="24" t="inlineStr">
        <is>
          <t>Athletics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433578016242b27f9c1c7132cc6b5a2bcc7dd1b0234590c12a944455a88e71bd</t>
        </is>
      </c>
      <c r="BB91" s="24" t="inlineStr">
        <is>
          <t>flat_probability_shrinkage_toward_half</t>
        </is>
      </c>
      <c r="BC91" s="24" t="inlineStr">
        <is>
          <t>measured-edge-totals-v2</t>
        </is>
      </c>
      <c r="BD91" s="24" t="inlineStr">
        <is>
          <t>433578016242b27f9c1c7132cc6b5a2bcc7dd1b0234590c12a944455a88e71bd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2026-08-02T18:21:29.169757Z</t>
        </is>
      </c>
      <c r="BI91" s="24" t="inlineStr">
        <is>
          <t>["same_event","same_team_same_day","same_league_same_day"]</t>
        </is>
      </c>
      <c r="BJ91" s="25" t="n">
        <v>10.5</v>
      </c>
      <c r="BK91" s="26" t="n">
        <v>-113</v>
      </c>
      <c r="BL91" s="27" t="n">
        <v>1.884956</v>
      </c>
      <c r="BM91" s="28" t="n">
        <v>0.530516</v>
      </c>
      <c r="BN91" s="28" t="n">
        <v>0.527363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inlineStr">
        <is>
          <t>True</t>
        </is>
      </c>
    </row>
    <row r="92" ht="36" customHeight="1">
      <c r="A92" s="24" t="inlineStr">
        <is>
          <t>afe41df1fdc949fd</t>
        </is>
      </c>
      <c r="B92" s="24" t="inlineStr">
        <is>
          <t>2026-08-02T18:21:29.169757Z</t>
        </is>
      </c>
      <c r="C92" s="24" t="inlineStr">
        <is>
          <t>2026-08-02T20:10Z</t>
        </is>
      </c>
      <c r="D92" s="24" t="inlineStr">
        <is>
          <t>401816375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-174</v>
      </c>
      <c r="M92" s="27" t="n">
        <v>1.574713</v>
      </c>
      <c r="N92" s="28" t="n">
        <v>0.635036</v>
      </c>
      <c r="O92" s="28" t="n">
        <v>0.607421</v>
      </c>
      <c r="P92" s="28" t="n">
        <v>0.042131</v>
      </c>
      <c r="Q92" s="28" t="n">
        <v>-0.027615</v>
      </c>
      <c r="R92" s="26" t="n">
        <v>13</v>
      </c>
      <c r="S92" s="29" t="n">
        <v>1.5</v>
      </c>
      <c r="T92" s="24" t="inlineStr">
        <is>
          <t>measured-edge-margin-v2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Measured Edge Margin: Trend Engine projected 4.39-4.46; raw selected-side p=0.6636, calibrated p=0.6074.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2026-08-02T18:21:29.169757Z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-174</v>
      </c>
      <c r="BL92" s="27" t="n">
        <v>1.574713</v>
      </c>
      <c r="BM92" s="28" t="n">
        <v>0.635036</v>
      </c>
      <c r="BN92" s="28" t="n">
        <v>0.631841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inlineStr">
        <is>
          <t>False</t>
        </is>
      </c>
    </row>
    <row r="93" ht="36" customHeight="1">
      <c r="A93" s="24" t="inlineStr">
        <is>
          <t>e8beed30df824ac6</t>
        </is>
      </c>
      <c r="B93" s="24" t="inlineStr">
        <is>
          <t>2026-08-02T18:21:29.169757Z</t>
        </is>
      </c>
      <c r="C93" s="24" t="inlineStr">
        <is>
          <t>2026-08-02T20:10Z</t>
        </is>
      </c>
      <c r="D93" s="24" t="inlineStr">
        <is>
          <t>401816375</t>
        </is>
      </c>
      <c r="E93" s="24" t="inlineStr">
        <is>
          <t>MLB</t>
        </is>
      </c>
      <c r="F93" s="24" t="inlineStr">
        <is>
          <t>Minnesota Twins</t>
        </is>
      </c>
      <c r="G93" s="24" t="inlineStr">
        <is>
          <t>Seattle Mariners</t>
        </is>
      </c>
      <c r="H93" s="24" t="inlineStr">
        <is>
          <t>total</t>
        </is>
      </c>
      <c r="I93" s="24" t="inlineStr">
        <is>
          <t>over</t>
        </is>
      </c>
      <c r="J93" s="25" t="n">
        <v>6.5</v>
      </c>
      <c r="K93" s="24" t="inlineStr">
        <is>
          <t>polymarket_us</t>
        </is>
      </c>
      <c r="L93" s="26" t="n">
        <v>-130</v>
      </c>
      <c r="M93" s="27" t="n">
        <v>1.769231</v>
      </c>
      <c r="N93" s="28" t="n">
        <v>0.565217</v>
      </c>
      <c r="O93" s="28" t="n">
        <v>0.578357</v>
      </c>
      <c r="P93" s="28" t="n">
        <v>0.042131</v>
      </c>
      <c r="Q93" s="28" t="n">
        <v>0.01314</v>
      </c>
      <c r="R93" s="26" t="n">
        <v>33</v>
      </c>
      <c r="S93" s="29" t="n">
        <v>1.25</v>
      </c>
      <c r="T93" s="24" t="inlineStr">
        <is>
          <t>measured-edge-totals-v2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Totals: Trend Engine projected 4.39-4.46; raw selected-side p=0.7060, calibrated p=0.5784.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mlb-min</t>
        </is>
      </c>
      <c r="AQ93" s="24" t="inlineStr">
        <is>
          <t>Minnesota Twins</t>
        </is>
      </c>
      <c r="AR93" s="24" t="inlineStr">
        <is>
          <t>Minnesota Twins</t>
        </is>
      </c>
      <c r="AS93" s="24" t="inlineStr">
        <is>
          <t>mlb-sea</t>
        </is>
      </c>
      <c r="AT93" s="24" t="inlineStr">
        <is>
          <t>Seattle Mariners</t>
        </is>
      </c>
      <c r="AU93" s="24" t="inlineStr">
        <is>
          <t>Seattle Mariners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2026-08-02T18:21:29.169757Z</t>
        </is>
      </c>
      <c r="BI93" s="24" t="inlineStr">
        <is>
          <t>["same_event","same_team_same_day","same_league_same_day"]</t>
        </is>
      </c>
      <c r="BJ93" s="25" t="n">
        <v>6.5</v>
      </c>
      <c r="BK93" s="26" t="n">
        <v>-130</v>
      </c>
      <c r="BL93" s="27" t="n">
        <v>1.769231</v>
      </c>
      <c r="BM93" s="28" t="n">
        <v>0.565217</v>
      </c>
      <c r="BN93" s="28" t="n">
        <v>0.562189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inlineStr">
        <is>
          <t>True</t>
        </is>
      </c>
    </row>
    <row r="94" ht="36" customHeight="1">
      <c r="A94" s="24" t="inlineStr">
        <is>
          <t>818e62654f62404c</t>
        </is>
      </c>
      <c r="B94" s="24" t="inlineStr">
        <is>
          <t>2026-08-02T18:21:29.169757Z</t>
        </is>
      </c>
      <c r="C94" s="24" t="inlineStr">
        <is>
          <t>2026-08-02T20:10Z</t>
        </is>
      </c>
      <c r="D94" s="24" t="inlineStr">
        <is>
          <t>401816376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San Diego Padres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-178</v>
      </c>
      <c r="M94" s="27" t="n">
        <v>1.561798</v>
      </c>
      <c r="N94" s="28" t="n">
        <v>0.640288</v>
      </c>
      <c r="O94" s="28" t="n">
        <v>0.601746</v>
      </c>
      <c r="P94" s="28" t="n">
        <v>0.042131</v>
      </c>
      <c r="Q94" s="28" t="n">
        <v>-0.038542</v>
      </c>
      <c r="R94" s="26" t="n">
        <v>7</v>
      </c>
      <c r="S94" s="29" t="n">
        <v>1.5</v>
      </c>
      <c r="T94" s="24" t="inlineStr">
        <is>
          <t>measured-edge-margin-v2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Margin: Trend Engine projected 4.55-4.69; raw selected-side p=0.6550, calibrated p=0.6017.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mlb-sd</t>
        </is>
      </c>
      <c r="AT94" s="24" t="inlineStr">
        <is>
          <t>San Diego Padres</t>
        </is>
      </c>
      <c r="AU94" s="24" t="inlineStr">
        <is>
          <t>San Diego Padres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2026-08-02T18:21:29.169757Z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-178</v>
      </c>
      <c r="BL94" s="27" t="n">
        <v>1.561798</v>
      </c>
      <c r="BM94" s="28" t="n">
        <v>0.640288</v>
      </c>
      <c r="BN94" s="28" t="n">
        <v>0.636816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inlineStr">
        <is>
          <t>False</t>
        </is>
      </c>
    </row>
    <row r="95" ht="36" customHeight="1">
      <c r="A95" s="24" t="inlineStr">
        <is>
          <t>c21287ac0c3d498b</t>
        </is>
      </c>
      <c r="B95" s="24" t="inlineStr">
        <is>
          <t>2026-08-02T18:21:29.169757Z</t>
        </is>
      </c>
      <c r="C95" s="24" t="inlineStr">
        <is>
          <t>2026-08-02T20:10Z</t>
        </is>
      </c>
      <c r="D95" s="24" t="inlineStr">
        <is>
          <t>401816376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San Diego Padres</t>
        </is>
      </c>
      <c r="H95" s="24" t="inlineStr">
        <is>
          <t>total</t>
        </is>
      </c>
      <c r="I95" s="24" t="inlineStr">
        <is>
          <t>over</t>
        </is>
      </c>
      <c r="J95" s="25" t="n">
        <v>7.5</v>
      </c>
      <c r="K95" s="24" t="inlineStr">
        <is>
          <t>polymarket_us</t>
        </is>
      </c>
      <c r="L95" s="26" t="n">
        <v>-120</v>
      </c>
      <c r="M95" s="27" t="n">
        <v>1.833333</v>
      </c>
      <c r="N95" s="28" t="n">
        <v>0.545455</v>
      </c>
      <c r="O95" s="28" t="n">
        <v>0.544409</v>
      </c>
      <c r="P95" s="28" t="n">
        <v>0.042131</v>
      </c>
      <c r="Q95" s="28" t="n">
        <v>-0.001046</v>
      </c>
      <c r="R95" s="26" t="n">
        <v>26</v>
      </c>
      <c r="S95" s="29" t="n">
        <v>1</v>
      </c>
      <c r="T95" s="24" t="inlineStr">
        <is>
          <t>measured-edge-totals-v2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Totals: Trend Engine projected 4.55-4.69; raw selected-side p=0.6067, calibrated p=0.5444.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mlb-sd</t>
        </is>
      </c>
      <c r="AT95" s="24" t="inlineStr">
        <is>
          <t>San Diego Padres</t>
        </is>
      </c>
      <c r="AU95" s="24" t="inlineStr">
        <is>
          <t>San Diego Padres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2026-08-02T18:21:29.169757Z</t>
        </is>
      </c>
      <c r="BI95" s="24" t="inlineStr">
        <is>
          <t>["same_event","same_team_same_day","same_league_same_day"]</t>
        </is>
      </c>
      <c r="BJ95" s="25" t="n">
        <v>7.5</v>
      </c>
      <c r="BK95" s="26" t="n">
        <v>-120</v>
      </c>
      <c r="BL95" s="27" t="n">
        <v>1.833333</v>
      </c>
      <c r="BM95" s="28" t="n">
        <v>0.545455</v>
      </c>
      <c r="BN95" s="28" t="n">
        <v>0.542289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inlineStr">
        <is>
          <t>False</t>
        </is>
      </c>
    </row>
    <row r="96" ht="36" customHeight="1">
      <c r="A96" s="24" t="inlineStr">
        <is>
          <t>2533080b8c384c9c</t>
        </is>
      </c>
      <c r="B96" s="24" t="inlineStr">
        <is>
          <t>2026-08-02T18:21:29.169757Z</t>
        </is>
      </c>
      <c r="C96" s="24" t="inlineStr">
        <is>
          <t>2026-08-02T23:20Z</t>
        </is>
      </c>
      <c r="D96" s="24" t="inlineStr">
        <is>
          <t>401816372</t>
        </is>
      </c>
      <c r="E96" s="24" t="inlineStr">
        <is>
          <t>MLB</t>
        </is>
      </c>
      <c r="F96" s="24" t="inlineStr">
        <is>
          <t>Boston Red Sox</t>
        </is>
      </c>
      <c r="G96" s="24" t="inlineStr">
        <is>
          <t>Los Angeles Dodgers</t>
        </is>
      </c>
      <c r="H96" s="24" t="inlineStr">
        <is>
          <t>spread</t>
        </is>
      </c>
      <c r="I96" s="24" t="inlineStr">
        <is>
          <t>away</t>
        </is>
      </c>
      <c r="J96" s="25" t="n">
        <v>1.5</v>
      </c>
      <c r="K96" s="24" t="inlineStr">
        <is>
          <t>polymarket_us</t>
        </is>
      </c>
      <c r="L96" s="26" t="n">
        <v>-130</v>
      </c>
      <c r="M96" s="27" t="n">
        <v>1.769231</v>
      </c>
      <c r="N96" s="28" t="n">
        <v>0.565217</v>
      </c>
      <c r="O96" s="28" t="n">
        <v>0.624545</v>
      </c>
      <c r="P96" s="28" t="n">
        <v>0.042131</v>
      </c>
      <c r="Q96" s="28" t="n">
        <v>0.059328</v>
      </c>
      <c r="R96" s="26" t="n">
        <v>56</v>
      </c>
      <c r="S96" s="29" t="n">
        <v>1.5</v>
      </c>
      <c r="T96" s="24" t="inlineStr">
        <is>
          <t>measured-edge-margin-v2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Margin: Trend Engine projected 4.62-4.38; raw selected-side p=0.6897, calibrated p=0.6245.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mlb-bos</t>
        </is>
      </c>
      <c r="AQ96" s="24" t="inlineStr">
        <is>
          <t>Boston Red Sox</t>
        </is>
      </c>
      <c r="AR96" s="24" t="inlineStr">
        <is>
          <t>Boston Red Sox</t>
        </is>
      </c>
      <c r="AS96" s="24" t="inlineStr">
        <is>
          <t>mlb-lad</t>
        </is>
      </c>
      <c r="AT96" s="24" t="inlineStr">
        <is>
          <t>Los Angeles Dodgers</t>
        </is>
      </c>
      <c r="AU96" s="24" t="inlineStr">
        <is>
          <t>Los Angeles Dodgers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2026-08-02T18:21:29.169757Z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-130</v>
      </c>
      <c r="BL96" s="27" t="n">
        <v>1.769231</v>
      </c>
      <c r="BM96" s="28" t="n">
        <v>0.565217</v>
      </c>
      <c r="BN96" s="28" t="n">
        <v>0.562189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inlineStr">
        <is>
          <t>True</t>
        </is>
      </c>
    </row>
    <row r="97" ht="36" customHeight="1">
      <c r="A97" s="24" t="inlineStr">
        <is>
          <t>0123fab021c14157</t>
        </is>
      </c>
      <c r="B97" s="24" t="inlineStr">
        <is>
          <t>2026-08-02T18:21:29.169757Z</t>
        </is>
      </c>
      <c r="C97" s="24" t="inlineStr">
        <is>
          <t>2026-08-02T23:20Z</t>
        </is>
      </c>
      <c r="D97" s="24" t="inlineStr">
        <is>
          <t>401816372</t>
        </is>
      </c>
      <c r="E97" s="24" t="inlineStr">
        <is>
          <t>MLB</t>
        </is>
      </c>
      <c r="F97" s="24" t="inlineStr">
        <is>
          <t>Boston Red Sox</t>
        </is>
      </c>
      <c r="G97" s="24" t="inlineStr">
        <is>
          <t>Los Angeles Dodgers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0.512939</v>
      </c>
      <c r="P97" s="28" t="n">
        <v>0.042131</v>
      </c>
      <c r="Q97" s="28" t="n">
        <v>0.022743</v>
      </c>
      <c r="R97" s="26" t="n">
        <v>37</v>
      </c>
      <c r="S97" s="29" t="n">
        <v>1</v>
      </c>
      <c r="T97" s="24" t="inlineStr">
        <is>
          <t>measured-edge-totals-v2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Measured Edge Totals: Trend Engine projected 4.62-4.38; raw selected-side p=0.5146, calibrated p=0.5129.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mlb-bos</t>
        </is>
      </c>
      <c r="AQ97" s="24" t="inlineStr">
        <is>
          <t>Boston Red Sox</t>
        </is>
      </c>
      <c r="AR97" s="24" t="inlineStr">
        <is>
          <t>Boston Red Sox</t>
        </is>
      </c>
      <c r="AS97" s="24" t="inlineStr">
        <is>
          <t>mlb-lad</t>
        </is>
      </c>
      <c r="AT97" s="24" t="inlineStr">
        <is>
          <t>Los Angeles Dodgers</t>
        </is>
      </c>
      <c r="AU97" s="24" t="inlineStr">
        <is>
          <t>Los Angeles Dodgers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2026-08-02T18:21:29.169757Z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104</v>
      </c>
      <c r="BL97" s="27" t="n">
        <v>2.04</v>
      </c>
      <c r="BM97" s="28" t="n">
        <v>0.490196</v>
      </c>
      <c r="BN97" s="28" t="n">
        <v>0.487562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inlineStr">
        <is>
          <t>True</t>
        </is>
      </c>
    </row>
    <row r="98" ht="36" customHeight="1">
      <c r="A98" s="24" t="inlineStr">
        <is>
          <t>fdd906560af94c3f</t>
        </is>
      </c>
      <c r="B98" s="24" t="inlineStr">
        <is>
          <t>2026-08-02T18:22:29.404735Z</t>
        </is>
      </c>
      <c r="C98" s="24" t="inlineStr">
        <is>
          <t>2026-08-02T20:00Z</t>
        </is>
      </c>
      <c r="D98" s="24" t="inlineStr">
        <is>
          <t>401841473</t>
        </is>
      </c>
      <c r="E98" s="24" t="inlineStr">
        <is>
          <t>SOCCER</t>
        </is>
      </c>
      <c r="F98" s="24" t="inlineStr">
        <is>
          <t>Boca Juniors</t>
        </is>
      </c>
      <c r="G98" s="24" t="inlineStr">
        <is>
          <t>Newell's Old Boys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355</v>
      </c>
      <c r="M98" s="27" t="n">
        <v>4.55</v>
      </c>
      <c r="N98" s="28" t="n">
        <v>0.21978</v>
      </c>
      <c r="O98" s="28" t="n">
        <v>0.398039</v>
      </c>
      <c r="P98" s="28" t="n">
        <v>0.2</v>
      </c>
      <c r="Q98" s="28" t="n">
        <v>0.178259</v>
      </c>
      <c r="R98" s="26" t="n">
        <v>19</v>
      </c>
      <c r="S98" s="29" t="n">
        <v>1</v>
      </c>
      <c r="T98" s="24" t="inlineStr">
        <is>
          <t>soccer-poisson-dc-v1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Poisson-DC rates 1.46 (home) / 1.30 (away) from EWMA attack/defense strengths. Executable ask 0.2200 (atc-lpa-new-boc-2026-08-02-new).</t>
        </is>
      </c>
      <c r="AF98" s="31" t="inlineStr">
        <is>
          <t>Research-only soccer score model; draw-aware, but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Boca Juniors</t>
        </is>
      </c>
      <c r="AQ98" s="24" t="inlineStr">
        <is>
          <t>Boca Juniors</t>
        </is>
      </c>
      <c r="AR98" s="24" t="inlineStr">
        <is>
          <t>Boca Juniors</t>
        </is>
      </c>
      <c r="AS98" s="24" t="inlineStr">
        <is>
          <t>Newell's Old Boys</t>
        </is>
      </c>
      <c r="AT98" s="24" t="inlineStr">
        <is>
          <t>Newell's Old Boys</t>
        </is>
      </c>
      <c r="AU98" s="24" t="inlineStr">
        <is>
          <t>Newell's Old Boys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34d1568aad0ff11b5db35f118324684f93281e1c21fa7b80be7a4a4e2cb4bb03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34d1568aad0ff11b5db35f118324684f93281e1c21fa7b80be7a4a4e2cb4bb03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34d1568aad0ff11b5db35f118324684f93281e1c21fa7b80be7a4a4e2cb4bb03</t>
        </is>
      </c>
      <c r="BH98" s="24" t="inlineStr">
        <is>
          <t>2026-08-02T18:19:57.657891Z</t>
        </is>
      </c>
      <c r="BI98" s="24" t="inlineStr">
        <is>
          <t>["same_event","same_team_same_day","same_league_same_day"]</t>
        </is>
      </c>
      <c r="BJ98" s="25" t="n"/>
      <c r="BK98" s="26" t="n">
        <v>355</v>
      </c>
      <c r="BL98" s="27" t="n">
        <v>4.55</v>
      </c>
      <c r="BM98" s="28" t="n">
        <v>0.21978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inlineStr">
        <is>
          <t>True</t>
        </is>
      </c>
    </row>
    <row r="99" ht="36" customHeight="1">
      <c r="A99" s="24" t="inlineStr">
        <is>
          <t>cb39f2f6b19f4d5f</t>
        </is>
      </c>
      <c r="B99" s="24" t="inlineStr">
        <is>
          <t>2026-08-02T18:22:29.404735Z</t>
        </is>
      </c>
      <c r="C99" s="24" t="inlineStr">
        <is>
          <t>2026-08-02T19:00Z</t>
        </is>
      </c>
      <c r="D99" s="24" t="inlineStr">
        <is>
          <t>401850609</t>
        </is>
      </c>
      <c r="E99" s="24" t="inlineStr">
        <is>
          <t>SOCCER</t>
        </is>
      </c>
      <c r="F99" s="24" t="inlineStr">
        <is>
          <t>O'Higgins</t>
        </is>
      </c>
      <c r="G99" s="24" t="inlineStr">
        <is>
          <t>La Serena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144</v>
      </c>
      <c r="M99" s="27" t="n">
        <v>2.44</v>
      </c>
      <c r="N99" s="28" t="n">
        <v>0.409836</v>
      </c>
      <c r="O99" s="28" t="n">
        <v>0.5359159999999999</v>
      </c>
      <c r="P99" s="28" t="n">
        <v>0.2</v>
      </c>
      <c r="Q99" s="28" t="n">
        <v>0.12608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Poisson-DC rates 1.84 (home) / 1.10 (away) from EWMA attack/defense strengths. Executable ask 0.4100 (atc-pdc-ser-ohi-2026-08-02-ser).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O'Higgins</t>
        </is>
      </c>
      <c r="AQ99" s="24" t="inlineStr">
        <is>
          <t>O'Higgins</t>
        </is>
      </c>
      <c r="AR99" s="24" t="inlineStr">
        <is>
          <t>O'Higgins</t>
        </is>
      </c>
      <c r="AS99" s="24" t="inlineStr">
        <is>
          <t>La Serena</t>
        </is>
      </c>
      <c r="AT99" s="24" t="inlineStr">
        <is>
          <t>La Serena</t>
        </is>
      </c>
      <c r="AU99" s="24" t="inlineStr">
        <is>
          <t>La Serena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34d1568aad0ff11b5db35f118324684f93281e1c21fa7b80be7a4a4e2cb4bb03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34d1568aad0ff11b5db35f118324684f93281e1c21fa7b80be7a4a4e2cb4bb03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34d1568aad0ff11b5db35f118324684f93281e1c21fa7b80be7a4a4e2cb4bb03</t>
        </is>
      </c>
      <c r="BH99" s="24" t="inlineStr">
        <is>
          <t>2026-08-02T18:20:02.097668Z</t>
        </is>
      </c>
      <c r="BI99" s="24" t="inlineStr">
        <is>
          <t>["same_event","same_team_same_day","same_league_same_day"]</t>
        </is>
      </c>
      <c r="BJ99" s="25" t="n"/>
      <c r="BK99" s="26" t="n">
        <v>144</v>
      </c>
      <c r="BL99" s="27" t="n">
        <v>2.44</v>
      </c>
      <c r="BM99" s="28" t="n">
        <v>0.409836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inlineStr">
        <is>
          <t>True</t>
        </is>
      </c>
    </row>
    <row r="100" ht="36" customHeight="1">
      <c r="A100" s="24" t="inlineStr">
        <is>
          <t>236ada5abce444f6</t>
        </is>
      </c>
      <c r="B100" s="24" t="inlineStr">
        <is>
          <t>2026-08-02T18:22:29.404735Z</t>
        </is>
      </c>
      <c r="C100" s="24" t="inlineStr">
        <is>
          <t>2026-08-02T23:10Z</t>
        </is>
      </c>
      <c r="D100" s="24" t="inlineStr">
        <is>
          <t>401859718</t>
        </is>
      </c>
      <c r="E100" s="24" t="inlineStr">
        <is>
          <t>SOCCER</t>
        </is>
      </c>
      <c r="F100" s="24" t="inlineStr">
        <is>
          <t>Barcelona SC</t>
        </is>
      </c>
      <c r="G100" s="24" t="inlineStr">
        <is>
          <t>Leones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203</v>
      </c>
      <c r="M100" s="27" t="n">
        <v>3.03</v>
      </c>
      <c r="N100" s="28" t="n">
        <v>0.330033</v>
      </c>
      <c r="O100" s="28" t="n">
        <v>0.406677</v>
      </c>
      <c r="P100" s="28" t="n">
        <v>0.19</v>
      </c>
      <c r="Q100" s="28" t="n">
        <v>0.076644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Poisson-DC rates 1.38 (home) / 1.56 (away) from EWMA attack/defense strengths. Executable ask 0.3300 (atc-ecu1-leo-bsc-2026-08-02-bsc).</t>
        </is>
      </c>
      <c r="AF100" s="31" t="inlineStr">
        <is>
          <t>Research-only soccer score model; draw-aware, but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Barcelona SC</t>
        </is>
      </c>
      <c r="AQ100" s="24" t="inlineStr">
        <is>
          <t>Barcelona SC</t>
        </is>
      </c>
      <c r="AR100" s="24" t="inlineStr">
        <is>
          <t>Barcelona SC</t>
        </is>
      </c>
      <c r="AS100" s="24" t="inlineStr">
        <is>
          <t>Leones</t>
        </is>
      </c>
      <c r="AT100" s="24" t="inlineStr">
        <is>
          <t>Leones</t>
        </is>
      </c>
      <c r="AU100" s="24" t="inlineStr">
        <is>
          <t>Leones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34d1568aad0ff11b5db35f118324684f93281e1c21fa7b80be7a4a4e2cb4bb03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34d1568aad0ff11b5db35f118324684f93281e1c21fa7b80be7a4a4e2cb4bb03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34d1568aad0ff11b5db35f118324684f93281e1c21fa7b80be7a4a4e2cb4bb03</t>
        </is>
      </c>
      <c r="BH100" s="24" t="inlineStr">
        <is>
          <t>2026-08-02T18:20:03.706476Z</t>
        </is>
      </c>
      <c r="BI100" s="24" t="inlineStr">
        <is>
          <t>["same_event","same_team_same_day","same_league_same_day"]</t>
        </is>
      </c>
      <c r="BJ100" s="25" t="n"/>
      <c r="BK100" s="26" t="n">
        <v>203</v>
      </c>
      <c r="BL100" s="27" t="n">
        <v>3.03</v>
      </c>
      <c r="BM100" s="28" t="n">
        <v>0.330033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4277c5743cff4ccc</t>
        </is>
      </c>
      <c r="B101" s="24" t="inlineStr">
        <is>
          <t>2026-08-02T18:22:47.359675Z</t>
        </is>
      </c>
      <c r="C101" s="24" t="inlineStr">
        <is>
          <t>2026-08-02T20:00Z</t>
        </is>
      </c>
      <c r="D101" s="24" t="inlineStr">
        <is>
          <t>421-2026:182273</t>
        </is>
      </c>
      <c r="E101" s="24" t="inlineStr">
        <is>
          <t>TENNIS</t>
        </is>
      </c>
      <c r="F101" s="24" t="inlineStr">
        <is>
          <t>Lanlana Tararudee</t>
        </is>
      </c>
      <c r="G101" s="24" t="inlineStr">
        <is>
          <t>Emerson Jones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-194</v>
      </c>
      <c r="M101" s="27" t="n">
        <v>1.515464</v>
      </c>
      <c r="N101" s="28" t="n">
        <v>0.659864</v>
      </c>
      <c r="O101" s="28" t="n">
        <v>0.756798</v>
      </c>
      <c r="P101" s="28" t="n">
        <v>0.05</v>
      </c>
      <c r="Q101" s="28" t="n">
        <v>0.09693400000000001</v>
      </c>
      <c r="R101" s="26" t="n">
        <v>68</v>
      </c>
      <c r="S101" s="29" t="n">
        <v>2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Lanlana Tararudee p=0.757 vs Emerson Jones. Executable ask 0.6600 (aec-wta-emejon-lantar-2026-08-02).</t>
        </is>
      </c>
      <c r="AF101" s="31" t="inlineStr">
        <is>
          <t>Surface-blended Elo model; singles only, WTA+ATP market coverage, not yet locked-holdout qualified -- promoted by explicit operator directive, not genuine walk-forward validation.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Lanlana Tararudee</t>
        </is>
      </c>
      <c r="AQ101" s="24" t="inlineStr">
        <is>
          <t>Lanlana Tararudee</t>
        </is>
      </c>
      <c r="AR101" s="24" t="inlineStr">
        <is>
          <t>Lanlana Tararudee</t>
        </is>
      </c>
      <c r="AS101" s="24" t="inlineStr">
        <is>
          <t>Emerson Jones</t>
        </is>
      </c>
      <c r="AT101" s="24" t="inlineStr">
        <is>
          <t>Emerson Jones</t>
        </is>
      </c>
      <c r="AU101" s="24" t="inlineStr">
        <is>
          <t>Emerson Jones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1c05a3c4f76bde5de709ff6bb1937b3c4c67149c2ea621b7c90ca07898e048e8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1c05a3c4f76bde5de709ff6bb1937b3c4c67149c2ea621b7c90ca07898e048e8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1c05a3c4f76bde5de709ff6bb1937b3c4c67149c2ea621b7c90ca07898e048e8</t>
        </is>
      </c>
      <c r="BH101" s="24" t="inlineStr">
        <is>
          <t>2026-08-02T18:20:22.826331Z</t>
        </is>
      </c>
      <c r="BI101" s="24" t="inlineStr">
        <is>
          <t>["same_event","same_team_same_day","same_league_same_day"]</t>
        </is>
      </c>
      <c r="BJ101" s="25" t="n"/>
      <c r="BK101" s="26" t="n">
        <v>-194</v>
      </c>
      <c r="BL101" s="27" t="n">
        <v>1.515464</v>
      </c>
      <c r="BM101" s="28" t="n">
        <v>0.659864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1ddc4ac2b8344407</t>
        </is>
      </c>
      <c r="B102" s="24" t="inlineStr">
        <is>
          <t>2026-08-02T18:22:47.359675Z</t>
        </is>
      </c>
      <c r="C102" s="24" t="inlineStr">
        <is>
          <t>2026-08-03T00:30Z</t>
        </is>
      </c>
      <c r="D102" s="24" t="inlineStr">
        <is>
          <t>421-2026:181839</t>
        </is>
      </c>
      <c r="E102" s="24" t="inlineStr">
        <is>
          <t>TENNIS</t>
        </is>
      </c>
      <c r="F102" s="24" t="inlineStr">
        <is>
          <t>Vit Kopriva</t>
        </is>
      </c>
      <c r="G102" s="24" t="inlineStr">
        <is>
          <t>Alexis Galarneau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104</v>
      </c>
      <c r="M102" s="27" t="n">
        <v>2.04</v>
      </c>
      <c r="N102" s="28" t="n">
        <v>0.490196</v>
      </c>
      <c r="O102" s="28" t="n">
        <v>0.57909</v>
      </c>
      <c r="P102" s="28" t="n">
        <v>0.05</v>
      </c>
      <c r="Q102" s="28" t="n">
        <v>0.088894</v>
      </c>
      <c r="R102" s="26" t="n">
        <v>64</v>
      </c>
      <c r="S102" s="29" t="n">
        <v>1.25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Vit Kopriva p=0.579 vs Alexis Galarneau. Executable ask 0.4900 (aec-atp-alegal-vitkop-2026-08-03).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Vit Kopriva</t>
        </is>
      </c>
      <c r="AQ102" s="24" t="inlineStr">
        <is>
          <t>Vit Kopriva</t>
        </is>
      </c>
      <c r="AR102" s="24" t="inlineStr">
        <is>
          <t>Vit Kopriva</t>
        </is>
      </c>
      <c r="AS102" s="24" t="inlineStr">
        <is>
          <t>Alexis Galarneau</t>
        </is>
      </c>
      <c r="AT102" s="24" t="inlineStr">
        <is>
          <t>Alexis Galarneau</t>
        </is>
      </c>
      <c r="AU102" s="24" t="inlineStr">
        <is>
          <t>Alexis Galarneau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1c05a3c4f76bde5de709ff6bb1937b3c4c67149c2ea621b7c90ca07898e048e8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1c05a3c4f76bde5de709ff6bb1937b3c4c67149c2ea621b7c90ca07898e048e8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1c05a3c4f76bde5de709ff6bb1937b3c4c67149c2ea621b7c90ca07898e048e8</t>
        </is>
      </c>
      <c r="BH102" s="24" t="inlineStr">
        <is>
          <t>2026-08-02T18:20:46.306688Z</t>
        </is>
      </c>
      <c r="BI102" s="24" t="inlineStr">
        <is>
          <t>["same_event","same_team_same_day","same_league_same_day"]</t>
        </is>
      </c>
      <c r="BJ102" s="25" t="n"/>
      <c r="BK102" s="26" t="n">
        <v>104</v>
      </c>
      <c r="BL102" s="27" t="n">
        <v>2.04</v>
      </c>
      <c r="BM102" s="28" t="n">
        <v>0.490196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2026-08-02T18:23:01Z</dcterms:created>
  <dcterms:modified xsi:type="dcterms:W3CDTF">2026-08-02T18:23:01Z</dcterms:modified>
</cp:coreProperties>
</file>