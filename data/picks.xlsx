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P78" headerRowCount="1">
  <autoFilter ref="A1:CP78"/>
  <tableColumns count="94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COUNTA('Picks'!$A$2:$A$78)</f>
        <v/>
      </c>
      <c r="C4" s="6">
        <f>COUNTIF('Picks'!$U$2:$U$78,"open")</f>
        <v/>
      </c>
      <c r="E4" s="6">
        <f>COUNTIF('Picks'!$U$2:$U$78,"settled")</f>
        <v/>
      </c>
      <c r="G4" s="6">
        <f>IF(COUNTIFS('Picks'!$U$2:$U$78,"settled",'Picks'!$V$2:$V$78,"win")+COUNTIFS('Picks'!$U$2:$U$78,"settled",'Picks'!$V$2:$V$78,"loss")&gt;=$L$2,"Ready","Insufficient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COUNTIF('Picks'!$BX$2:$BX$78,"&gt;0")</f>
        <v/>
      </c>
      <c r="C7" s="6">
        <f>COUNTIFS('Picks'!$BX$2:$BX$78,"&gt;0",'Picks'!$V$2:$V$78,"win")&amp;"-"&amp;COUNTIFS('Picks'!$BX$2:$BX$78,"&gt;0",'Picks'!$V$2:$V$78,"loss")</f>
        <v/>
      </c>
      <c r="E7" s="7">
        <f>IFERROR(COUNTIFS('Picks'!$BX$2:$BX$78,"&gt;0",'Picks'!$V$2:$V$78,"win")/(COUNTIFS('Picks'!$BX$2:$BX$78,"&gt;0",'Picks'!$V$2:$V$78,"win")+COUNTIFS('Picks'!$BX$2:$BX$78,"&gt;0",'Picks'!$V$2:$V$78,"loss")),0)</f>
        <v/>
      </c>
      <c r="G7" s="7">
        <f>IFERROR(SUM('Picks'!$BY$2:$BY$78)/SUM('Picks'!$BX$2:$BX$78),0)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SUM('Picks'!$BY$2:$BY$78)</f>
        <v/>
      </c>
      <c r="C10" s="9">
        <f>IFERROR(AVERAGEIF('Picks'!$AB$2:$AB$78,"&lt;&gt;",'Picks'!$AB$2:$AB$78),0)</f>
        <v/>
      </c>
      <c r="E10" s="6">
        <f>COUNTIFS('Picks'!$AM$2:$AM$78,"QUALIFIED_SHADOW_CALL",'Picks'!$U$2:$U$78,"settled")</f>
        <v/>
      </c>
      <c r="G10" s="8">
        <f>SUMIFS('Picks'!$AC$2:$AC$78,'Picks'!$AM$2:$AM$78,"QUALIFIED_SHADOW_CALL")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COUNTIFS('Picks'!$H$2:$H$78,$A14,'Picks'!$U$2:$U$78,"settled")</f>
        <v/>
      </c>
      <c r="C14" s="13">
        <f>COUNTIFS('Picks'!$H$2:$H$78,$A14,'Picks'!$U$2:$U$78,"settled",'Picks'!$V$2:$V$78,"win")</f>
        <v/>
      </c>
      <c r="D14" s="13">
        <f>COUNTIFS('Picks'!$H$2:$H$78,$A14,'Picks'!$U$2:$U$78,"settled",'Picks'!$V$2:$V$78,"loss")</f>
        <v/>
      </c>
      <c r="E14" s="14">
        <f>IFERROR(C14/(C14+D14),0)</f>
        <v/>
      </c>
      <c r="F14" s="15">
        <f>SUMIFS('Picks'!$BY$2:$BY$78,'Picks'!$H$2:$H$78,$A14)</f>
        <v/>
      </c>
      <c r="G14" s="16">
        <f>IFERROR(AVERAGEIFS('Picks'!$AB$2:$AB$78,'Picks'!$H$2:$H$78,$A14,'Picks'!$U$2:$U$78,"settled"),0)</f>
        <v/>
      </c>
    </row>
    <row r="15">
      <c r="A15" s="17" t="inlineStr">
        <is>
          <t>spread</t>
        </is>
      </c>
      <c r="B15" s="18">
        <f>COUNTIFS('Picks'!$H$2:$H$78,$A15,'Picks'!$U$2:$U$78,"settled")</f>
        <v/>
      </c>
      <c r="C15" s="18">
        <f>COUNTIFS('Picks'!$H$2:$H$78,$A15,'Picks'!$U$2:$U$78,"settled",'Picks'!$V$2:$V$78,"win")</f>
        <v/>
      </c>
      <c r="D15" s="18">
        <f>COUNTIFS('Picks'!$H$2:$H$78,$A15,'Picks'!$U$2:$U$78,"settled",'Picks'!$V$2:$V$78,"loss")</f>
        <v/>
      </c>
      <c r="E15" s="19">
        <f>IFERROR(C15/(C15+D15),0)</f>
        <v/>
      </c>
      <c r="F15" s="20">
        <f>SUMIFS('Picks'!$BY$2:$BY$78,'Picks'!$H$2:$H$78,$A15)</f>
        <v/>
      </c>
      <c r="G15" s="21">
        <f>IFERROR(AVERAGEIFS('Picks'!$AB$2:$AB$78,'Picks'!$H$2:$H$78,$A15,'Picks'!$U$2:$U$78,"settled"),0)</f>
        <v/>
      </c>
    </row>
    <row r="16">
      <c r="A16" s="12" t="inlineStr">
        <is>
          <t>total</t>
        </is>
      </c>
      <c r="B16" s="13">
        <f>COUNTIFS('Picks'!$H$2:$H$78,$A16,'Picks'!$U$2:$U$78,"settled")</f>
        <v/>
      </c>
      <c r="C16" s="13">
        <f>COUNTIFS('Picks'!$H$2:$H$78,$A16,'Picks'!$U$2:$U$78,"settled",'Picks'!$V$2:$V$78,"win")</f>
        <v/>
      </c>
      <c r="D16" s="13">
        <f>COUNTIFS('Picks'!$H$2:$H$78,$A16,'Picks'!$U$2:$U$78,"settled",'Picks'!$V$2:$V$78,"loss")</f>
        <v/>
      </c>
      <c r="E16" s="14">
        <f>IFERROR(C16/(C16+D16),0)</f>
        <v/>
      </c>
      <c r="F16" s="15">
        <f>SUMIFS('Picks'!$BY$2:$BY$78,'Picks'!$H$2:$H$78,$A16)</f>
        <v/>
      </c>
      <c r="G16" s="16">
        <f>IFERROR(AVERAGEIFS('Picks'!$AB$2:$AB$78,'Picks'!$H$2:$H$78,$A16,'Picks'!$U$2:$U$78,"settled"),0)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P7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17" customWidth="1" min="94" max="94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trade_candidate</t>
        </is>
      </c>
    </row>
    <row r="2" ht="36" customHeight="1">
      <c r="A2" s="24" t="inlineStr">
        <is>
          <t>4afbde32316849b6</t>
        </is>
      </c>
      <c r="B2" s="24" t="inlineStr">
        <is>
          <t>2026-07-29T17:43:50.913671Z</t>
        </is>
      </c>
      <c r="C2" s="24" t="inlineStr">
        <is>
          <t>2026-07-29T20:00:00-0400</t>
        </is>
      </c>
      <c r="D2" s="24" t="inlineStr">
        <is>
          <t>401857097</t>
        </is>
      </c>
      <c r="E2" s="24" t="inlineStr">
        <is>
          <t>WNBA</t>
        </is>
      </c>
      <c r="F2" s="24" t="inlineStr">
        <is>
          <t>Atlanta Dream</t>
        </is>
      </c>
      <c r="G2" s="24" t="inlineStr">
        <is>
          <t>Dallas Wings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108</v>
      </c>
      <c r="M2" s="27" t="n">
        <v>2.08</v>
      </c>
      <c r="N2" s="28" t="n">
        <v>0.480769</v>
      </c>
      <c r="O2" s="28" t="n">
        <v>0.66476</v>
      </c>
      <c r="P2" s="28" t="n"/>
      <c r="Q2" s="28" t="n">
        <v>0.183991</v>
      </c>
      <c r="R2" s="26" t="n">
        <v>100</v>
      </c>
      <c r="S2" s="29" t="n">
        <v>2</v>
      </c>
      <c r="T2" s="24" t="inlineStr">
        <is>
          <t>wnba-elo-trend-lr-v4</t>
        </is>
      </c>
      <c r="U2" s="24" t="inlineStr">
        <is>
          <t>settled</t>
        </is>
      </c>
      <c r="V2" s="24" t="inlineStr">
        <is>
          <t>loss</t>
        </is>
      </c>
      <c r="W2" s="26" t="n">
        <v>82</v>
      </c>
      <c r="X2" s="26" t="n">
        <v>81</v>
      </c>
      <c r="Y2" s="25" t="n"/>
      <c r="Z2" s="26" t="n"/>
      <c r="AA2" s="28" t="n"/>
      <c r="AB2" s="28" t="n"/>
      <c r="AC2" s="30" t="n">
        <v>-2</v>
      </c>
      <c r="AD2" s="24" t="inlineStr">
        <is>
          <t>2026-07-30T04:11:46.750577Z</t>
        </is>
      </c>
      <c r="AE2" s="31" t="inlineStr">
        <is>
          <t>Learned LR call at threshold 0.5001; executable ask 0.4800 (aec-wnba-atl-dal-2026-07-29). NOTE: wnba_availability_source_conflict unavailable for this game — defaulted to neutral, other features used normally.</t>
        </is>
      </c>
      <c r="AF2" s="31" t="inlineStr">
        <is>
          <t>Learned model; shadow-qualified via operator override.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wnba-atl</t>
        </is>
      </c>
      <c r="AQ2" s="24" t="inlineStr">
        <is>
          <t>Atlanta Dream</t>
        </is>
      </c>
      <c r="AR2" s="24" t="inlineStr">
        <is>
          <t>Atlanta Dream</t>
        </is>
      </c>
      <c r="AS2" s="24" t="inlineStr">
        <is>
          <t>wnba-dal</t>
        </is>
      </c>
      <c r="AT2" s="24" t="inlineStr">
        <is>
          <t>Dallas Wings</t>
        </is>
      </c>
      <c r="AU2" s="24" t="inlineStr">
        <is>
          <t>Dallas Wings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7afd5274214b58b7efd7f7febc7be3ab33b92351cda5cc6403c0a39faea0cc8c</t>
        </is>
      </c>
      <c r="BB2" s="24" t="inlineStr">
        <is>
          <t>learned_lr</t>
        </is>
      </c>
      <c r="BC2" s="24" t="inlineStr">
        <is>
          <t>wnba-elo-trend-lr-v4</t>
        </is>
      </c>
      <c r="BD2" s="24" t="inlineStr">
        <is>
          <t>7afd5274214b58b7efd7f7febc7be3ab33b92351cda5cc6403c0a39faea0cc8c</t>
        </is>
      </c>
      <c r="BE2" s="24" t="inlineStr">
        <is>
          <t>f25936b561e6d355</t>
        </is>
      </c>
      <c r="BF2" s="24" t="inlineStr">
        <is>
          <t>1</t>
        </is>
      </c>
      <c r="BG2" s="24" t="inlineStr">
        <is>
          <t>wnba-elo-trend-lr-v4</t>
        </is>
      </c>
      <c r="BH2" s="24" t="inlineStr">
        <is>
          <t>2026-07-29T17:43:12.551208Z</t>
        </is>
      </c>
      <c r="BI2" s="24" t="inlineStr">
        <is>
          <t>["same_event","same_team_same_day","same_league_same_day"]</t>
        </is>
      </c>
      <c r="BJ2" s="25" t="n"/>
      <c r="BK2" s="26" t="n">
        <v>108</v>
      </c>
      <c r="BL2" s="27" t="n">
        <v>2.08</v>
      </c>
      <c r="BM2" s="28" t="n">
        <v>0.480769</v>
      </c>
      <c r="BN2" s="28" t="n">
        <v>0.475248</v>
      </c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inlineStr">
        <is>
          <t>0.7229749194</t>
        </is>
      </c>
      <c r="CD2" s="24" t="inlineStr">
        <is>
          <t>-2.425932</t>
        </is>
      </c>
      <c r="CE2" s="24" t="n"/>
      <c r="CF2" s="24" t="n"/>
      <c r="CG2" s="24" t="n"/>
      <c r="CH2" s="24" t="n"/>
      <c r="CI2" s="24" t="inlineStr">
        <is>
          <t>wnba_availability_source_conflict</t>
        </is>
      </c>
      <c r="CJ2" s="24" t="n"/>
      <c r="CK2" s="24" t="n"/>
      <c r="CL2" s="24" t="n"/>
      <c r="CM2" s="24" t="n"/>
      <c r="CN2" s="24" t="n"/>
      <c r="CO2" s="24" t="n"/>
      <c r="CP2" s="24" t="n"/>
    </row>
    <row r="3" ht="36" customHeight="1">
      <c r="A3" s="24" t="inlineStr">
        <is>
          <t>0591969d590f4c4c</t>
        </is>
      </c>
      <c r="B3" s="24" t="inlineStr">
        <is>
          <t>2026-07-29T17:43:50.913671Z</t>
        </is>
      </c>
      <c r="C3" s="24" t="inlineStr">
        <is>
          <t>2026-07-29T22:00:00-0400</t>
        </is>
      </c>
      <c r="D3" s="24" t="inlineStr">
        <is>
          <t>401857098</t>
        </is>
      </c>
      <c r="E3" s="24" t="inlineStr">
        <is>
          <t>WNBA</t>
        </is>
      </c>
      <c r="F3" s="24" t="inlineStr">
        <is>
          <t>Golden State Valkyries</t>
        </is>
      </c>
      <c r="G3" s="24" t="inlineStr">
        <is>
          <t>Phoenix Mercury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-156</v>
      </c>
      <c r="M3" s="27" t="n">
        <v>1.641026</v>
      </c>
      <c r="N3" s="28" t="n">
        <v>0.609375</v>
      </c>
      <c r="O3" s="28" t="n">
        <v>0.7219989999999999</v>
      </c>
      <c r="P3" s="28" t="n"/>
      <c r="Q3" s="28" t="n">
        <v>0.112624</v>
      </c>
      <c r="R3" s="26" t="n">
        <v>79</v>
      </c>
      <c r="S3" s="29" t="n">
        <v>2</v>
      </c>
      <c r="T3" s="24" t="inlineStr">
        <is>
          <t>wnba-elo-trend-lr-v4</t>
        </is>
      </c>
      <c r="U3" s="24" t="inlineStr">
        <is>
          <t>settled</t>
        </is>
      </c>
      <c r="V3" s="24" t="inlineStr">
        <is>
          <t>loss</t>
        </is>
      </c>
      <c r="W3" s="26" t="n">
        <v>89</v>
      </c>
      <c r="X3" s="26" t="n">
        <v>91</v>
      </c>
      <c r="Y3" s="25" t="n"/>
      <c r="Z3" s="26" t="n"/>
      <c r="AA3" s="28" t="n"/>
      <c r="AB3" s="28" t="n"/>
      <c r="AC3" s="30" t="n">
        <v>-2</v>
      </c>
      <c r="AD3" s="24" t="inlineStr">
        <is>
          <t>2026-07-30T05:40:55.703565Z</t>
        </is>
      </c>
      <c r="AE3" s="31" t="inlineStr">
        <is>
          <t>Learned LR call at threshold 0.5001; executable ask 0.6100 (aec-wnba-gsv-phx-2026-07-29).</t>
        </is>
      </c>
      <c r="AF3" s="31" t="inlineStr">
        <is>
          <t>Learned model; shadow-qualified via operator override.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wnba-gsv</t>
        </is>
      </c>
      <c r="AQ3" s="24" t="inlineStr">
        <is>
          <t>Golden State Valkyries</t>
        </is>
      </c>
      <c r="AR3" s="24" t="inlineStr">
        <is>
          <t>Golden State Valkyries</t>
        </is>
      </c>
      <c r="AS3" s="24" t="inlineStr">
        <is>
          <t>wnba-phx</t>
        </is>
      </c>
      <c r="AT3" s="24" t="inlineStr">
        <is>
          <t>Phoenix Mercury</t>
        </is>
      </c>
      <c r="AU3" s="24" t="inlineStr">
        <is>
          <t>Phoenix Mercury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7afd5274214b58b7efd7f7febc7be3ab33b92351cda5cc6403c0a39faea0cc8c</t>
        </is>
      </c>
      <c r="BB3" s="24" t="inlineStr">
        <is>
          <t>learned_lr</t>
        </is>
      </c>
      <c r="BC3" s="24" t="inlineStr">
        <is>
          <t>wnba-elo-trend-lr-v4</t>
        </is>
      </c>
      <c r="BD3" s="24" t="inlineStr">
        <is>
          <t>7afd5274214b58b7efd7f7febc7be3ab33b92351cda5cc6403c0a39faea0cc8c</t>
        </is>
      </c>
      <c r="BE3" s="24" t="inlineStr">
        <is>
          <t>5ba5847b783e4237</t>
        </is>
      </c>
      <c r="BF3" s="24" t="inlineStr">
        <is>
          <t>1</t>
        </is>
      </c>
      <c r="BG3" s="24" t="inlineStr">
        <is>
          <t>wnba-elo-trend-lr-v4</t>
        </is>
      </c>
      <c r="BH3" s="24" t="inlineStr">
        <is>
          <t>2026-07-29T17:43:13.575889Z</t>
        </is>
      </c>
      <c r="BI3" s="24" t="inlineStr">
        <is>
          <t>["same_event","same_team_same_day","same_league_same_day"]</t>
        </is>
      </c>
      <c r="BJ3" s="25" t="n"/>
      <c r="BK3" s="26" t="n">
        <v>-156</v>
      </c>
      <c r="BL3" s="27" t="n">
        <v>1.641026</v>
      </c>
      <c r="BM3" s="28" t="n">
        <v>0.609375</v>
      </c>
      <c r="BN3" s="28" t="n">
        <v>0.6039600000000001</v>
      </c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inlineStr">
        <is>
          <t>0.1902656067</t>
        </is>
      </c>
      <c r="CD3" s="24" t="inlineStr">
        <is>
          <t>-0.399848</t>
        </is>
      </c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</row>
    <row r="4" ht="36" customHeight="1">
      <c r="A4" s="24" t="inlineStr">
        <is>
          <t>37906b81d00f4f9b</t>
        </is>
      </c>
      <c r="B4" s="24" t="inlineStr">
        <is>
          <t>2026-07-30T16:02:41.811013Z</t>
        </is>
      </c>
      <c r="C4" s="24" t="inlineStr">
        <is>
          <t>2026-07-30T12:10:00-0400</t>
        </is>
      </c>
      <c r="D4" s="24" t="inlineStr">
        <is>
          <t>401816324</t>
        </is>
      </c>
      <c r="E4" s="24" t="inlineStr">
        <is>
          <t>MLB</t>
        </is>
      </c>
      <c r="F4" s="24" t="inlineStr">
        <is>
          <t>Texas Rangers</t>
        </is>
      </c>
      <c r="G4" s="24" t="inlineStr">
        <is>
          <t>Tampa Bay Rays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-160</v>
      </c>
      <c r="M4" s="27" t="n">
        <v>1.625</v>
      </c>
      <c r="N4" s="28" t="n">
        <v>0.615385</v>
      </c>
      <c r="O4" s="28" t="n">
        <v>0.560375</v>
      </c>
      <c r="P4" s="28" t="n"/>
      <c r="Q4" s="28" t="n">
        <v>-0.05501</v>
      </c>
      <c r="R4" s="26" t="n">
        <v>0</v>
      </c>
      <c r="S4" s="29" t="n">
        <v>1</v>
      </c>
      <c r="T4" s="24" t="inlineStr">
        <is>
          <t>mlb-elo-trend-lr-v7</t>
        </is>
      </c>
      <c r="U4" s="24" t="inlineStr">
        <is>
          <t>settled</t>
        </is>
      </c>
      <c r="V4" s="24" t="inlineStr">
        <is>
          <t>win</t>
        </is>
      </c>
      <c r="W4" s="26" t="n">
        <v>2</v>
      </c>
      <c r="X4" s="26" t="n">
        <v>3</v>
      </c>
      <c r="Y4" s="25" t="n"/>
      <c r="Z4" s="26" t="n">
        <v>-160</v>
      </c>
      <c r="AA4" s="28" t="n">
        <v>0.615</v>
      </c>
      <c r="AB4" s="28" t="n">
        <v>-0.000385</v>
      </c>
      <c r="AC4" s="30" t="n">
        <v>0.625</v>
      </c>
      <c r="AD4" s="24" t="inlineStr">
        <is>
          <t>2026-07-30T21:05:52.075136Z</t>
        </is>
      </c>
      <c r="AE4" s="31" t="inlineStr">
        <is>
          <t>Learned LR call at threshold 0.6242; executable ask 0.6150 (aec-mlb-tex-tb-2026-07-30); model edge vs ask -0.0546.</t>
        </is>
      </c>
      <c r="AF4" s="31" t="inlineStr">
        <is>
          <t>Learned model; shadow-qualified via operator override.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mlb-tex</t>
        </is>
      </c>
      <c r="AQ4" s="24" t="inlineStr">
        <is>
          <t>Texas Rangers</t>
        </is>
      </c>
      <c r="AR4" s="24" t="inlineStr">
        <is>
          <t>Texas Rangers</t>
        </is>
      </c>
      <c r="AS4" s="24" t="inlineStr">
        <is>
          <t>mlb-tb</t>
        </is>
      </c>
      <c r="AT4" s="24" t="inlineStr">
        <is>
          <t>Tampa Bay Rays</t>
        </is>
      </c>
      <c r="AU4" s="24" t="inlineStr">
        <is>
          <t>Tampa Bay Rays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464eef695bfbbdaa819ec6f5e4c5bd1068ed20b92915fb2677220ae91e20d8b6</t>
        </is>
      </c>
      <c r="BB4" s="24" t="inlineStr">
        <is>
          <t>learned_lr</t>
        </is>
      </c>
      <c r="BC4" s="24" t="inlineStr">
        <is>
          <t>mlb-elo-trend-lr-v7</t>
        </is>
      </c>
      <c r="BD4" s="24" t="inlineStr">
        <is>
          <t>464eef695bfbbdaa819ec6f5e4c5bd1068ed20b92915fb2677220ae91e20d8b6</t>
        </is>
      </c>
      <c r="BE4" s="24" t="inlineStr">
        <is>
          <t>2e5c467578e391cd</t>
        </is>
      </c>
      <c r="BF4" s="24" t="inlineStr">
        <is>
          <t>1</t>
        </is>
      </c>
      <c r="BG4" s="24" t="inlineStr">
        <is>
          <t>mlb-elo-trend-lr-v7</t>
        </is>
      </c>
      <c r="BH4" s="24" t="inlineStr">
        <is>
          <t>2026-07-30T16:01:48.107244Z</t>
        </is>
      </c>
      <c r="BI4" s="24" t="inlineStr">
        <is>
          <t>["same_event","same_team_same_day","same_league_same_day"]</t>
        </is>
      </c>
      <c r="BJ4" s="25" t="n"/>
      <c r="BK4" s="26" t="n">
        <v>-160</v>
      </c>
      <c r="BL4" s="27" t="n">
        <v>1.625</v>
      </c>
      <c r="BM4" s="28" t="n">
        <v>0.615385</v>
      </c>
      <c r="BN4" s="28" t="n">
        <v>0.61194</v>
      </c>
      <c r="BO4" s="28" t="n"/>
      <c r="BP4" s="25" t="n"/>
      <c r="BQ4" s="27" t="n">
        <v>1.625</v>
      </c>
      <c r="BR4" s="28" t="n">
        <v>0.615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inlineStr">
        <is>
          <t>0.5786000288</t>
        </is>
      </c>
      <c r="CD4" s="24" t="inlineStr">
        <is>
          <t>0.008586</t>
        </is>
      </c>
      <c r="CE4" s="24" t="inlineStr">
        <is>
          <t>0.965</t>
        </is>
      </c>
      <c r="CF4" s="24" t="inlineStr">
        <is>
          <t>1.0</t>
        </is>
      </c>
      <c r="CG4" s="24" t="inlineStr">
        <is>
          <t>-1.6</t>
        </is>
      </c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</row>
    <row r="5" ht="36" customHeight="1">
      <c r="A5" s="24" t="inlineStr">
        <is>
          <t>02e98aee0daf4e0f</t>
        </is>
      </c>
      <c r="B5" s="24" t="inlineStr">
        <is>
          <t>2026-07-30T17:36:17.628396Z</t>
        </is>
      </c>
      <c r="C5" s="24" t="inlineStr">
        <is>
          <t>2026-07-30T13:40:00-0400</t>
        </is>
      </c>
      <c r="D5" s="24" t="inlineStr">
        <is>
          <t>401816327</t>
        </is>
      </c>
      <c r="E5" s="24" t="inlineStr">
        <is>
          <t>MLB</t>
        </is>
      </c>
      <c r="F5" s="24" t="inlineStr">
        <is>
          <t>Kansas City Royals</t>
        </is>
      </c>
      <c r="G5" s="24" t="inlineStr">
        <is>
          <t>Minnesota Twins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-127</v>
      </c>
      <c r="M5" s="27" t="n">
        <v>1.787402</v>
      </c>
      <c r="N5" s="28" t="n">
        <v>0.5594710000000001</v>
      </c>
      <c r="O5" s="28" t="n">
        <v>0.529687</v>
      </c>
      <c r="P5" s="28" t="n"/>
      <c r="Q5" s="28" t="n">
        <v>-0.029784</v>
      </c>
      <c r="R5" s="26" t="n">
        <v>6</v>
      </c>
      <c r="S5" s="29" t="n">
        <v>0.75</v>
      </c>
      <c r="T5" s="24" t="inlineStr">
        <is>
          <t>mlb-elo-trend-lr-v7</t>
        </is>
      </c>
      <c r="U5" s="24" t="inlineStr">
        <is>
          <t>settled</t>
        </is>
      </c>
      <c r="V5" s="24" t="inlineStr">
        <is>
          <t>win</t>
        </is>
      </c>
      <c r="W5" s="26" t="n">
        <v>3</v>
      </c>
      <c r="X5" s="26" t="n">
        <v>4</v>
      </c>
      <c r="Y5" s="25" t="n"/>
      <c r="Z5" s="26" t="n">
        <v>-127</v>
      </c>
      <c r="AA5" s="28" t="n">
        <v>0.5600000000000001</v>
      </c>
      <c r="AB5" s="28" t="n">
        <v>0.000529</v>
      </c>
      <c r="AC5" s="30" t="n">
        <v>0.5906</v>
      </c>
      <c r="AD5" s="24" t="inlineStr">
        <is>
          <t>2026-07-30T21:05:52.179286Z</t>
        </is>
      </c>
      <c r="AE5" s="31" t="inlineStr">
        <is>
          <t>Learned LR call at threshold 0.6242; executable ask 0.5600 (aec-mlb-kc-min-2026-07-30); model edge vs ask -0.0303.</t>
        </is>
      </c>
      <c r="AF5" s="31" t="inlineStr">
        <is>
          <t>Learned model; shadow-qualified via operator override.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mlb-kc</t>
        </is>
      </c>
      <c r="AQ5" s="24" t="inlineStr">
        <is>
          <t>Kansas City Royals</t>
        </is>
      </c>
      <c r="AR5" s="24" t="inlineStr">
        <is>
          <t>Kansas City Royals</t>
        </is>
      </c>
      <c r="AS5" s="24" t="inlineStr">
        <is>
          <t>mlb-min</t>
        </is>
      </c>
      <c r="AT5" s="24" t="inlineStr">
        <is>
          <t>Minnesota Twins</t>
        </is>
      </c>
      <c r="AU5" s="24" t="inlineStr">
        <is>
          <t>Minnesota Twins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464eef695bfbbdaa819ec6f5e4c5bd1068ed20b92915fb2677220ae91e20d8b6</t>
        </is>
      </c>
      <c r="BB5" s="24" t="inlineStr">
        <is>
          <t>learned_lr</t>
        </is>
      </c>
      <c r="BC5" s="24" t="inlineStr">
        <is>
          <t>mlb-elo-trend-lr-v7</t>
        </is>
      </c>
      <c r="BD5" s="24" t="inlineStr">
        <is>
          <t>464eef695bfbbdaa819ec6f5e4c5bd1068ed20b92915fb2677220ae91e20d8b6</t>
        </is>
      </c>
      <c r="BE5" s="24" t="inlineStr">
        <is>
          <t>00a066c80876c81d</t>
        </is>
      </c>
      <c r="BF5" s="24" t="inlineStr">
        <is>
          <t>1</t>
        </is>
      </c>
      <c r="BG5" s="24" t="inlineStr">
        <is>
          <t>mlb-elo-trend-lr-v7</t>
        </is>
      </c>
      <c r="BH5" s="24" t="inlineStr">
        <is>
          <t>2026-07-30T17:35:31.601278Z</t>
        </is>
      </c>
      <c r="BI5" s="24" t="inlineStr">
        <is>
          <t>["same_event","same_team_same_day","same_league_same_day"]</t>
        </is>
      </c>
      <c r="BJ5" s="25" t="n"/>
      <c r="BK5" s="26" t="n">
        <v>-127</v>
      </c>
      <c r="BL5" s="27" t="n">
        <v>1.787402</v>
      </c>
      <c r="BM5" s="28" t="n">
        <v>0.5594710000000001</v>
      </c>
      <c r="BN5" s="28" t="n">
        <v>0.557214</v>
      </c>
      <c r="BO5" s="28" t="n"/>
      <c r="BP5" s="25" t="n"/>
      <c r="BQ5" s="27" t="n">
        <v>1.787402</v>
      </c>
      <c r="BR5" s="28" t="n">
        <v>0.5600000000000001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inlineStr">
        <is>
          <t>0.5433979589</t>
        </is>
      </c>
      <c r="CD5" s="24" t="inlineStr">
        <is>
          <t>-0.186414</t>
        </is>
      </c>
      <c r="CE5" s="24" t="inlineStr">
        <is>
          <t>1.037</t>
        </is>
      </c>
      <c r="CF5" s="24" t="inlineStr">
        <is>
          <t>1.018</t>
        </is>
      </c>
      <c r="CG5" s="24" t="inlineStr">
        <is>
          <t>1.8</t>
        </is>
      </c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</row>
    <row r="6" ht="36" customHeight="1">
      <c r="A6" s="24" t="inlineStr">
        <is>
          <t>25ae7962eef34068</t>
        </is>
      </c>
      <c r="B6" s="24" t="inlineStr">
        <is>
          <t>2026-07-30T17:36:17.628396Z</t>
        </is>
      </c>
      <c r="C6" s="24" t="inlineStr">
        <is>
          <t>2026-07-30T14:10:00-0400</t>
        </is>
      </c>
      <c r="D6" s="24" t="inlineStr">
        <is>
          <t>401816328</t>
        </is>
      </c>
      <c r="E6" s="24" t="inlineStr">
        <is>
          <t>MLB</t>
        </is>
      </c>
      <c r="F6" s="24" t="inlineStr">
        <is>
          <t>New York Yankees</t>
        </is>
      </c>
      <c r="G6" s="24" t="inlineStr">
        <is>
          <t>Chicago White Sox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-108</v>
      </c>
      <c r="M6" s="27" t="n">
        <v>1.925926</v>
      </c>
      <c r="N6" s="28" t="n">
        <v>0.519231</v>
      </c>
      <c r="O6" s="28" t="n">
        <v>0.507087</v>
      </c>
      <c r="P6" s="28" t="n"/>
      <c r="Q6" s="28" t="n">
        <v>-0.012144</v>
      </c>
      <c r="R6" s="26" t="n">
        <v>15</v>
      </c>
      <c r="S6" s="29" t="n">
        <v>0.5</v>
      </c>
      <c r="T6" s="24" t="inlineStr">
        <is>
          <t>mlb-elo-trend-lr-v7</t>
        </is>
      </c>
      <c r="U6" s="24" t="inlineStr">
        <is>
          <t>settled</t>
        </is>
      </c>
      <c r="V6" s="24" t="inlineStr">
        <is>
          <t>win</t>
        </is>
      </c>
      <c r="W6" s="26" t="n">
        <v>1</v>
      </c>
      <c r="X6" s="26" t="n">
        <v>2</v>
      </c>
      <c r="Y6" s="25" t="n"/>
      <c r="Z6" s="26" t="n">
        <v>-108</v>
      </c>
      <c r="AA6" s="28" t="n">
        <v>0.52</v>
      </c>
      <c r="AB6" s="28" t="n">
        <v>0.000769</v>
      </c>
      <c r="AC6" s="30" t="n">
        <v>0.463</v>
      </c>
      <c r="AD6" s="24" t="inlineStr">
        <is>
          <t>2026-07-31T00:54:57.207794Z</t>
        </is>
      </c>
      <c r="AE6" s="31" t="inlineStr">
        <is>
          <t>Learned LR call at threshold 0.6242; executable ask 0.5200 (aec-mlb-nyy-cws-2026-07-30); model edge vs ask -0.0129.</t>
        </is>
      </c>
      <c r="AF6" s="31" t="inlineStr">
        <is>
          <t>Learned model; shadow-qualified via operator override.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mlb-nyy</t>
        </is>
      </c>
      <c r="AQ6" s="24" t="inlineStr">
        <is>
          <t>New York Yankees</t>
        </is>
      </c>
      <c r="AR6" s="24" t="inlineStr">
        <is>
          <t>New York Yankees</t>
        </is>
      </c>
      <c r="AS6" s="24" t="inlineStr">
        <is>
          <t>mlb-cws</t>
        </is>
      </c>
      <c r="AT6" s="24" t="inlineStr">
        <is>
          <t>Chicago White Sox</t>
        </is>
      </c>
      <c r="AU6" s="24" t="inlineStr">
        <is>
          <t>Chicago White Sox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464eef695bfbbdaa819ec6f5e4c5bd1068ed20b92915fb2677220ae91e20d8b6</t>
        </is>
      </c>
      <c r="BB6" s="24" t="inlineStr">
        <is>
          <t>learned_lr</t>
        </is>
      </c>
      <c r="BC6" s="24" t="inlineStr">
        <is>
          <t>mlb-elo-trend-lr-v7</t>
        </is>
      </c>
      <c r="BD6" s="24" t="inlineStr">
        <is>
          <t>464eef695bfbbdaa819ec6f5e4c5bd1068ed20b92915fb2677220ae91e20d8b6</t>
        </is>
      </c>
      <c r="BE6" s="24" t="inlineStr">
        <is>
          <t>2ecf6de0bc0b4429</t>
        </is>
      </c>
      <c r="BF6" s="24" t="inlineStr">
        <is>
          <t>1</t>
        </is>
      </c>
      <c r="BG6" s="24" t="inlineStr">
        <is>
          <t>mlb-elo-trend-lr-v7</t>
        </is>
      </c>
      <c r="BH6" s="24" t="inlineStr">
        <is>
          <t>2026-07-30T17:35:32.550865Z</t>
        </is>
      </c>
      <c r="BI6" s="24" t="inlineStr">
        <is>
          <t>["same_event","same_team_same_day","same_league_same_day"]</t>
        </is>
      </c>
      <c r="BJ6" s="25" t="n"/>
      <c r="BK6" s="26" t="n">
        <v>-108</v>
      </c>
      <c r="BL6" s="27" t="n">
        <v>1.925926</v>
      </c>
      <c r="BM6" s="28" t="n">
        <v>0.519231</v>
      </c>
      <c r="BN6" s="28" t="n">
        <v>0.517413</v>
      </c>
      <c r="BO6" s="28" t="n"/>
      <c r="BP6" s="25" t="n"/>
      <c r="BQ6" s="27" t="n">
        <v>1.925926</v>
      </c>
      <c r="BR6" s="28" t="n">
        <v>0.52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inlineStr">
        <is>
          <t>0.4790915827</t>
        </is>
      </c>
      <c r="CD6" s="24" t="inlineStr">
        <is>
          <t>0.689899</t>
        </is>
      </c>
      <c r="CE6" s="24" t="inlineStr">
        <is>
          <t>0.937</t>
        </is>
      </c>
      <c r="CF6" s="24" t="inlineStr">
        <is>
          <t>1.0009</t>
        </is>
      </c>
      <c r="CG6" s="24" t="inlineStr">
        <is>
          <t>1.0</t>
        </is>
      </c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</row>
    <row r="7" ht="36" customHeight="1">
      <c r="A7" s="24" t="inlineStr">
        <is>
          <t>2e5f13579a20403a</t>
        </is>
      </c>
      <c r="B7" s="24" t="inlineStr">
        <is>
          <t>2026-07-30T17:36:17.628396Z</t>
        </is>
      </c>
      <c r="C7" s="24" t="inlineStr">
        <is>
          <t>2026-07-30T14:15:00-0400</t>
        </is>
      </c>
      <c r="D7" s="24" t="inlineStr">
        <is>
          <t>401816326</t>
        </is>
      </c>
      <c r="E7" s="24" t="inlineStr">
        <is>
          <t>MLB</t>
        </is>
      </c>
      <c r="F7" s="24" t="inlineStr">
        <is>
          <t>Chicago Cubs</t>
        </is>
      </c>
      <c r="G7" s="24" t="inlineStr">
        <is>
          <t>St. Louis Cardinals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102</v>
      </c>
      <c r="M7" s="27" t="n">
        <v>2.02</v>
      </c>
      <c r="N7" s="28" t="n">
        <v>0.49505</v>
      </c>
      <c r="O7" s="28" t="n">
        <v>0.503115</v>
      </c>
      <c r="P7" s="28" t="n"/>
      <c r="Q7" s="28" t="n">
        <v>0.008064999999999999</v>
      </c>
      <c r="R7" s="26" t="n">
        <v>25</v>
      </c>
      <c r="S7" s="29" t="n">
        <v>0.5</v>
      </c>
      <c r="T7" s="24" t="inlineStr">
        <is>
          <t>mlb-elo-trend-lr-v7</t>
        </is>
      </c>
      <c r="U7" s="24" t="inlineStr">
        <is>
          <t>settled</t>
        </is>
      </c>
      <c r="V7" s="24" t="inlineStr">
        <is>
          <t>win</t>
        </is>
      </c>
      <c r="W7" s="26" t="n">
        <v>4</v>
      </c>
      <c r="X7" s="26" t="n">
        <v>2</v>
      </c>
      <c r="Y7" s="25" t="n"/>
      <c r="Z7" s="26" t="n">
        <v>102</v>
      </c>
      <c r="AA7" s="28" t="n">
        <v>0.495</v>
      </c>
      <c r="AB7" s="28" t="n">
        <v>-5e-05</v>
      </c>
      <c r="AC7" s="30" t="n">
        <v>0.51</v>
      </c>
      <c r="AD7" s="24" t="inlineStr">
        <is>
          <t>2026-07-31T00:54:57.316549Z</t>
        </is>
      </c>
      <c r="AE7" s="31" t="inlineStr">
        <is>
          <t>Learned LR call at threshold 0.6242; executable ask 0.4950 (aec-mlb-chc-stl-2026-07-30); model edge vs ask +0.0081.</t>
        </is>
      </c>
      <c r="AF7" s="31" t="inlineStr">
        <is>
          <t>Learned model; shadow-qualified via operator override.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mlb-chc</t>
        </is>
      </c>
      <c r="AQ7" s="24" t="inlineStr">
        <is>
          <t>Chicago Cubs</t>
        </is>
      </c>
      <c r="AR7" s="24" t="inlineStr">
        <is>
          <t>Chicago Cubs</t>
        </is>
      </c>
      <c r="AS7" s="24" t="inlineStr">
        <is>
          <t>mlb-stl</t>
        </is>
      </c>
      <c r="AT7" s="24" t="inlineStr">
        <is>
          <t>St. Louis Cardinals</t>
        </is>
      </c>
      <c r="AU7" s="24" t="inlineStr">
        <is>
          <t>St. Louis Cardinals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464eef695bfbbdaa819ec6f5e4c5bd1068ed20b92915fb2677220ae91e20d8b6</t>
        </is>
      </c>
      <c r="BB7" s="24" t="inlineStr">
        <is>
          <t>learned_lr</t>
        </is>
      </c>
      <c r="BC7" s="24" t="inlineStr">
        <is>
          <t>mlb-elo-trend-lr-v7</t>
        </is>
      </c>
      <c r="BD7" s="24" t="inlineStr">
        <is>
          <t>464eef695bfbbdaa819ec6f5e4c5bd1068ed20b92915fb2677220ae91e20d8b6</t>
        </is>
      </c>
      <c r="BE7" s="24" t="inlineStr">
        <is>
          <t>34f50d6e3a3b635c</t>
        </is>
      </c>
      <c r="BF7" s="24" t="inlineStr">
        <is>
          <t>1</t>
        </is>
      </c>
      <c r="BG7" s="24" t="inlineStr">
        <is>
          <t>mlb-elo-trend-lr-v7</t>
        </is>
      </c>
      <c r="BH7" s="24" t="inlineStr">
        <is>
          <t>2026-07-30T17:35:33.545496Z</t>
        </is>
      </c>
      <c r="BI7" s="24" t="inlineStr">
        <is>
          <t>["same_event","same_team_same_day","same_league_same_day"]</t>
        </is>
      </c>
      <c r="BJ7" s="25" t="n"/>
      <c r="BK7" s="26" t="n">
        <v>102</v>
      </c>
      <c r="BL7" s="27" t="n">
        <v>2.02</v>
      </c>
      <c r="BM7" s="28" t="n">
        <v>0.49505</v>
      </c>
      <c r="BN7" s="28" t="n">
        <v>0.492537</v>
      </c>
      <c r="BO7" s="28" t="n"/>
      <c r="BP7" s="25" t="n"/>
      <c r="BQ7" s="27" t="n">
        <v>2.02</v>
      </c>
      <c r="BR7" s="28" t="n">
        <v>0.495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inlineStr">
        <is>
          <t>0.4477582072</t>
        </is>
      </c>
      <c r="CD7" s="24" t="inlineStr">
        <is>
          <t>-1.388842</t>
        </is>
      </c>
      <c r="CE7" s="24" t="inlineStr">
        <is>
          <t>0.946</t>
        </is>
      </c>
      <c r="CF7" s="24" t="inlineStr">
        <is>
          <t>1.0125</t>
        </is>
      </c>
      <c r="CG7" s="24" t="inlineStr">
        <is>
          <t>2.0</t>
        </is>
      </c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</row>
    <row r="8" ht="36" customHeight="1">
      <c r="A8" s="24" t="inlineStr">
        <is>
          <t>744b52ceb7314514</t>
        </is>
      </c>
      <c r="B8" s="24" t="inlineStr">
        <is>
          <t>2026-07-30T21:07:38.996144Z</t>
        </is>
      </c>
      <c r="C8" s="24" t="inlineStr">
        <is>
          <t>2026-07-30T20:00:00-0400</t>
        </is>
      </c>
      <c r="D8" s="24" t="inlineStr">
        <is>
          <t>401857099</t>
        </is>
      </c>
      <c r="E8" s="24" t="inlineStr">
        <is>
          <t>WNBA</t>
        </is>
      </c>
      <c r="F8" s="24" t="inlineStr">
        <is>
          <t>Minnesota Lynx</t>
        </is>
      </c>
      <c r="G8" s="24" t="inlineStr">
        <is>
          <t>Toronto Tempo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-614</v>
      </c>
      <c r="M8" s="27" t="n">
        <v>1.162866</v>
      </c>
      <c r="N8" s="28" t="n">
        <v>0.859944</v>
      </c>
      <c r="O8" s="28" t="n">
        <v>0.750119</v>
      </c>
      <c r="P8" s="28" t="n"/>
      <c r="Q8" s="28" t="n">
        <v>-0.109825</v>
      </c>
      <c r="R8" s="26" t="n">
        <v>0</v>
      </c>
      <c r="S8" s="29" t="n">
        <v>2</v>
      </c>
      <c r="T8" s="24" t="inlineStr">
        <is>
          <t>wnba-elo-trend-lr-v4</t>
        </is>
      </c>
      <c r="U8" s="24" t="inlineStr">
        <is>
          <t>settled</t>
        </is>
      </c>
      <c r="V8" s="24" t="inlineStr">
        <is>
          <t>win</t>
        </is>
      </c>
      <c r="W8" s="26" t="n">
        <v>104</v>
      </c>
      <c r="X8" s="26" t="n">
        <v>72</v>
      </c>
      <c r="Y8" s="25" t="n"/>
      <c r="Z8" s="26" t="n"/>
      <c r="AA8" s="28" t="n"/>
      <c r="AB8" s="28" t="n"/>
      <c r="AC8" s="30" t="n">
        <v>0.3257</v>
      </c>
      <c r="AD8" s="24" t="inlineStr">
        <is>
          <t>2026-07-31T04:29:17.777628Z</t>
        </is>
      </c>
      <c r="AE8" s="31" t="inlineStr">
        <is>
          <t>Learned LR call at threshold 0.5001; executable ask 0.8600 (aec-wnba-min-tor-2026-07-30); model edge vs ask -0.1099. NOTE: wnba_availability_source_conflict unavailable for this game — defaulted to neutral, other features used normally.</t>
        </is>
      </c>
      <c r="AF8" s="31" t="inlineStr">
        <is>
          <t>Learned model; shadow-qualified via operator override.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wnba-min</t>
        </is>
      </c>
      <c r="AQ8" s="24" t="inlineStr">
        <is>
          <t>Minnesota Lynx</t>
        </is>
      </c>
      <c r="AR8" s="24" t="inlineStr">
        <is>
          <t>Minnesota Lynx</t>
        </is>
      </c>
      <c r="AS8" s="24" t="inlineStr">
        <is>
          <t>wnba-tor</t>
        </is>
      </c>
      <c r="AT8" s="24" t="inlineStr">
        <is>
          <t>Toronto Tempo</t>
        </is>
      </c>
      <c r="AU8" s="24" t="inlineStr">
        <is>
          <t>Toronto Tempo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7afd5274214b58b7efd7f7febc7be3ab33b92351cda5cc6403c0a39faea0cc8c</t>
        </is>
      </c>
      <c r="BB8" s="24" t="inlineStr">
        <is>
          <t>learned_lr</t>
        </is>
      </c>
      <c r="BC8" s="24" t="inlineStr">
        <is>
          <t>wnba-elo-trend-lr-v4</t>
        </is>
      </c>
      <c r="BD8" s="24" t="inlineStr">
        <is>
          <t>7afd5274214b58b7efd7f7febc7be3ab33b92351cda5cc6403c0a39faea0cc8c</t>
        </is>
      </c>
      <c r="BE8" s="24" t="inlineStr">
        <is>
          <t>a8d16f9be486f04d</t>
        </is>
      </c>
      <c r="BF8" s="24" t="inlineStr">
        <is>
          <t>1</t>
        </is>
      </c>
      <c r="BG8" s="24" t="inlineStr">
        <is>
          <t>wnba-elo-trend-lr-v4</t>
        </is>
      </c>
      <c r="BH8" s="24" t="inlineStr">
        <is>
          <t>2026-07-30T21:07:16.651071Z</t>
        </is>
      </c>
      <c r="BI8" s="24" t="inlineStr">
        <is>
          <t>["same_event","same_team_same_day","same_league_same_day"]</t>
        </is>
      </c>
      <c r="BJ8" s="25" t="n"/>
      <c r="BK8" s="26" t="n">
        <v>-614</v>
      </c>
      <c r="BL8" s="27" t="n">
        <v>1.162866</v>
      </c>
      <c r="BM8" s="28" t="n">
        <v>0.859944</v>
      </c>
      <c r="BN8" s="28" t="n">
        <v>0.851485</v>
      </c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inlineStr">
        <is>
          <t>0.1447442732</t>
        </is>
      </c>
      <c r="CD8" s="24" t="inlineStr">
        <is>
          <t>-5.213719</t>
        </is>
      </c>
      <c r="CE8" s="24" t="n"/>
      <c r="CF8" s="24" t="n"/>
      <c r="CG8" s="24" t="n"/>
      <c r="CH8" s="24" t="n"/>
      <c r="CI8" s="24" t="inlineStr">
        <is>
          <t>wnba_availability_source_conflict</t>
        </is>
      </c>
      <c r="CJ8" s="24" t="n"/>
      <c r="CK8" s="24" t="n"/>
      <c r="CL8" s="24" t="n"/>
      <c r="CM8" s="24" t="n"/>
      <c r="CN8" s="24" t="n"/>
      <c r="CO8" s="24" t="n"/>
      <c r="CP8" s="24" t="n"/>
    </row>
    <row r="9" ht="36" customHeight="1">
      <c r="A9" s="24" t="inlineStr">
        <is>
          <t>a4fd557587d84dcb</t>
        </is>
      </c>
      <c r="B9" s="24" t="inlineStr">
        <is>
          <t>2026-07-30T21:07:38.996144Z</t>
        </is>
      </c>
      <c r="C9" s="24" t="inlineStr">
        <is>
          <t>2026-07-30T20:00:00-0400</t>
        </is>
      </c>
      <c r="D9" s="24" t="inlineStr">
        <is>
          <t>401857100</t>
        </is>
      </c>
      <c r="E9" s="24" t="inlineStr">
        <is>
          <t>WNBA</t>
        </is>
      </c>
      <c r="F9" s="24" t="inlineStr">
        <is>
          <t>Connecticut Sun</t>
        </is>
      </c>
      <c r="G9" s="24" t="inlineStr">
        <is>
          <t>Chicago Sky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-194</v>
      </c>
      <c r="M9" s="27" t="n">
        <v>1.515464</v>
      </c>
      <c r="N9" s="28" t="n">
        <v>0.659864</v>
      </c>
      <c r="O9" s="28" t="n">
        <v>0.670401</v>
      </c>
      <c r="P9" s="28" t="n"/>
      <c r="Q9" s="28" t="n">
        <v>0.010537</v>
      </c>
      <c r="R9" s="26" t="n">
        <v>28</v>
      </c>
      <c r="S9" s="29" t="n">
        <v>2</v>
      </c>
      <c r="T9" s="24" t="inlineStr">
        <is>
          <t>wnba-elo-trend-lr-v4</t>
        </is>
      </c>
      <c r="U9" s="24" t="inlineStr">
        <is>
          <t>settled</t>
        </is>
      </c>
      <c r="V9" s="24" t="inlineStr">
        <is>
          <t>win</t>
        </is>
      </c>
      <c r="W9" s="26" t="n">
        <v>88</v>
      </c>
      <c r="X9" s="26" t="n">
        <v>94</v>
      </c>
      <c r="Y9" s="25" t="n"/>
      <c r="Z9" s="26" t="n"/>
      <c r="AA9" s="28" t="n"/>
      <c r="AB9" s="28" t="n"/>
      <c r="AC9" s="30" t="n">
        <v>1.0309</v>
      </c>
      <c r="AD9" s="24" t="inlineStr">
        <is>
          <t>2026-07-31T04:29:17.882357Z</t>
        </is>
      </c>
      <c r="AE9" s="31" t="inlineStr">
        <is>
          <t>Learned LR call at threshold 0.5001; executable ask 0.6600 (aec-wnba-conn-chi-2026-07-30); model edge vs ask +0.0104. NOTE: wnba_availability_source_conflict unavailable for this game — defaulted to neutral, other features used normally.</t>
        </is>
      </c>
      <c r="AF9" s="31" t="inlineStr">
        <is>
          <t>Learned model; shadow-qualified via operator override.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wnba-con</t>
        </is>
      </c>
      <c r="AQ9" s="24" t="inlineStr">
        <is>
          <t>Connecticut Sun</t>
        </is>
      </c>
      <c r="AR9" s="24" t="inlineStr">
        <is>
          <t>Connecticut Sun</t>
        </is>
      </c>
      <c r="AS9" s="24" t="inlineStr">
        <is>
          <t>wnba-chi</t>
        </is>
      </c>
      <c r="AT9" s="24" t="inlineStr">
        <is>
          <t>Chicago Sky</t>
        </is>
      </c>
      <c r="AU9" s="24" t="inlineStr">
        <is>
          <t>Chicago Sky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7afd5274214b58b7efd7f7febc7be3ab33b92351cda5cc6403c0a39faea0cc8c</t>
        </is>
      </c>
      <c r="BB9" s="24" t="inlineStr">
        <is>
          <t>learned_lr</t>
        </is>
      </c>
      <c r="BC9" s="24" t="inlineStr">
        <is>
          <t>wnba-elo-trend-lr-v4</t>
        </is>
      </c>
      <c r="BD9" s="24" t="inlineStr">
        <is>
          <t>7afd5274214b58b7efd7f7febc7be3ab33b92351cda5cc6403c0a39faea0cc8c</t>
        </is>
      </c>
      <c r="BE9" s="24" t="inlineStr">
        <is>
          <t>de1d675da66b275e</t>
        </is>
      </c>
      <c r="BF9" s="24" t="inlineStr">
        <is>
          <t>1</t>
        </is>
      </c>
      <c r="BG9" s="24" t="inlineStr">
        <is>
          <t>wnba-elo-trend-lr-v4</t>
        </is>
      </c>
      <c r="BH9" s="24" t="inlineStr">
        <is>
          <t>2026-07-30T21:07:18.309580Z</t>
        </is>
      </c>
      <c r="BI9" s="24" t="inlineStr">
        <is>
          <t>["same_event","same_team_same_day","same_league_same_day"]</t>
        </is>
      </c>
      <c r="BJ9" s="25" t="n"/>
      <c r="BK9" s="26" t="n">
        <v>-194</v>
      </c>
      <c r="BL9" s="27" t="n">
        <v>1.515464</v>
      </c>
      <c r="BM9" s="28" t="n">
        <v>0.659864</v>
      </c>
      <c r="BN9" s="28" t="n">
        <v>0.653465</v>
      </c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inlineStr">
        <is>
          <t>0.6616868073</t>
        </is>
      </c>
      <c r="CD9" s="24" t="inlineStr">
        <is>
          <t>5.467445</t>
        </is>
      </c>
      <c r="CE9" s="24" t="n"/>
      <c r="CF9" s="24" t="n"/>
      <c r="CG9" s="24" t="n"/>
      <c r="CH9" s="24" t="n"/>
      <c r="CI9" s="24" t="inlineStr">
        <is>
          <t>wnba_availability_source_conflict</t>
        </is>
      </c>
      <c r="CJ9" s="24" t="n"/>
      <c r="CK9" s="24" t="n"/>
      <c r="CL9" s="24" t="n"/>
      <c r="CM9" s="24" t="n"/>
      <c r="CN9" s="24" t="n"/>
      <c r="CO9" s="24" t="n"/>
      <c r="CP9" s="24" t="n"/>
    </row>
    <row r="10" ht="36" customHeight="1">
      <c r="A10" s="24" t="inlineStr">
        <is>
          <t>8defc7d566f441e1</t>
        </is>
      </c>
      <c r="B10" s="24" t="inlineStr">
        <is>
          <t>2026-07-30T21:07:38.996144Z</t>
        </is>
      </c>
      <c r="C10" s="24" t="inlineStr">
        <is>
          <t>2026-07-30T19:00:00-0400</t>
        </is>
      </c>
      <c r="D10" s="24" t="inlineStr">
        <is>
          <t>401816325</t>
        </is>
      </c>
      <c r="E10" s="24" t="inlineStr">
        <is>
          <t>MLB</t>
        </is>
      </c>
      <c r="F10" s="24" t="inlineStr">
        <is>
          <t>Washington Nationals</t>
        </is>
      </c>
      <c r="G10" s="24" t="inlineStr">
        <is>
          <t>Atlanta Braves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-144</v>
      </c>
      <c r="M10" s="27" t="n">
        <v>1.694444</v>
      </c>
      <c r="N10" s="28" t="n">
        <v>0.590164</v>
      </c>
      <c r="O10" s="28" t="n">
        <v>0.612872</v>
      </c>
      <c r="P10" s="28" t="n"/>
      <c r="Q10" s="28" t="n">
        <v>0.022708</v>
      </c>
      <c r="R10" s="26" t="n">
        <v>33</v>
      </c>
      <c r="S10" s="29" t="n">
        <v>1.75</v>
      </c>
      <c r="T10" s="24" t="inlineStr">
        <is>
          <t>mlb-elo-trend-lr-v7</t>
        </is>
      </c>
      <c r="U10" s="24" t="inlineStr">
        <is>
          <t>settled</t>
        </is>
      </c>
      <c r="V10" s="24" t="inlineStr">
        <is>
          <t>win</t>
        </is>
      </c>
      <c r="W10" s="26" t="n">
        <v>4</v>
      </c>
      <c r="X10" s="26" t="n">
        <v>5</v>
      </c>
      <c r="Y10" s="25" t="n"/>
      <c r="Z10" s="26" t="n">
        <v>-144</v>
      </c>
      <c r="AA10" s="28" t="n">
        <v>0.59</v>
      </c>
      <c r="AB10" s="28" t="n">
        <v>-0.000164</v>
      </c>
      <c r="AC10" s="30" t="n">
        <v>1.2153</v>
      </c>
      <c r="AD10" s="24" t="inlineStr">
        <is>
          <t>2026-07-31T04:29:18.337563Z</t>
        </is>
      </c>
      <c r="AE10" s="31" t="inlineStr">
        <is>
          <t>Learned LR call at threshold 0.6242; executable ask 0.5900 (aec-mlb-wsh-atl-2026-07-30); model edge vs ask +0.0229.</t>
        </is>
      </c>
      <c r="AF10" s="31" t="inlineStr">
        <is>
          <t>Learned model; shadow-qualified via operator override.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mlb-wsh</t>
        </is>
      </c>
      <c r="AQ10" s="24" t="inlineStr">
        <is>
          <t>Washington Nationals</t>
        </is>
      </c>
      <c r="AR10" s="24" t="inlineStr">
        <is>
          <t>Washington Nationals</t>
        </is>
      </c>
      <c r="AS10" s="24" t="inlineStr">
        <is>
          <t>mlb-atl</t>
        </is>
      </c>
      <c r="AT10" s="24" t="inlineStr">
        <is>
          <t>Atlanta Braves</t>
        </is>
      </c>
      <c r="AU10" s="24" t="inlineStr">
        <is>
          <t>Atlanta Braves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464eef695bfbbdaa819ec6f5e4c5bd1068ed20b92915fb2677220ae91e20d8b6</t>
        </is>
      </c>
      <c r="BB10" s="24" t="inlineStr">
        <is>
          <t>learned_lr</t>
        </is>
      </c>
      <c r="BC10" s="24" t="inlineStr">
        <is>
          <t>mlb-elo-trend-lr-v7</t>
        </is>
      </c>
      <c r="BD10" s="24" t="inlineStr">
        <is>
          <t>464eef695bfbbdaa819ec6f5e4c5bd1068ed20b92915fb2677220ae91e20d8b6</t>
        </is>
      </c>
      <c r="BE10" s="24" t="inlineStr">
        <is>
          <t>2ad0bbfc4a5ff39d</t>
        </is>
      </c>
      <c r="BF10" s="24" t="inlineStr">
        <is>
          <t>1</t>
        </is>
      </c>
      <c r="BG10" s="24" t="inlineStr">
        <is>
          <t>mlb-elo-trend-lr-v7</t>
        </is>
      </c>
      <c r="BH10" s="24" t="inlineStr">
        <is>
          <t>2026-07-30T21:07:13.074633Z</t>
        </is>
      </c>
      <c r="BI10" s="24" t="inlineStr">
        <is>
          <t>["same_event","same_team_same_day","same_league_same_day"]</t>
        </is>
      </c>
      <c r="BJ10" s="25" t="n"/>
      <c r="BK10" s="26" t="n">
        <v>-144</v>
      </c>
      <c r="BL10" s="27" t="n">
        <v>1.694444</v>
      </c>
      <c r="BM10" s="28" t="n">
        <v>0.590164</v>
      </c>
      <c r="BN10" s="28" t="n">
        <v>0.5870649999999999</v>
      </c>
      <c r="BO10" s="28" t="n"/>
      <c r="BP10" s="25" t="n"/>
      <c r="BQ10" s="27" t="n">
        <v>1.694444</v>
      </c>
      <c r="BR10" s="28" t="n">
        <v>0.59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inlineStr">
        <is>
          <t>0.6174839141</t>
        </is>
      </c>
      <c r="CD10" s="24" t="inlineStr">
        <is>
          <t>-0.449351</t>
        </is>
      </c>
      <c r="CE10" s="24" t="inlineStr">
        <is>
          <t>0.929</t>
        </is>
      </c>
      <c r="CF10" s="24" t="inlineStr">
        <is>
          <t>1.0174</t>
        </is>
      </c>
      <c r="CG10" s="24" t="inlineStr">
        <is>
          <t>0.2</t>
        </is>
      </c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</row>
    <row r="11" ht="36" customHeight="1">
      <c r="A11" s="24" t="inlineStr">
        <is>
          <t>7398a78f988e40bc</t>
        </is>
      </c>
      <c r="B11" s="24" t="inlineStr">
        <is>
          <t>2026-07-30T21:07:38.996144Z</t>
        </is>
      </c>
      <c r="C11" s="24" t="inlineStr">
        <is>
          <t>2026-07-30T19:10:00-0400</t>
        </is>
      </c>
      <c r="D11" s="24" t="inlineStr">
        <is>
          <t>401816322</t>
        </is>
      </c>
      <c r="E11" s="24" t="inlineStr">
        <is>
          <t>MLB</t>
        </is>
      </c>
      <c r="F11" s="24" t="inlineStr">
        <is>
          <t>Miami Marlins</t>
        </is>
      </c>
      <c r="G11" s="24" t="inlineStr">
        <is>
          <t>New York Mets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-117</v>
      </c>
      <c r="M11" s="27" t="n">
        <v>1.854701</v>
      </c>
      <c r="N11" s="28" t="n">
        <v>0.539171</v>
      </c>
      <c r="O11" s="28" t="n">
        <v>0.5134919999999999</v>
      </c>
      <c r="P11" s="28" t="n"/>
      <c r="Q11" s="28" t="n">
        <v>-0.025679</v>
      </c>
      <c r="R11" s="26" t="n">
        <v>8</v>
      </c>
      <c r="S11" s="29" t="n">
        <v>0.75</v>
      </c>
      <c r="T11" s="24" t="inlineStr">
        <is>
          <t>mlb-elo-trend-lr-v7</t>
        </is>
      </c>
      <c r="U11" s="24" t="inlineStr">
        <is>
          <t>settled</t>
        </is>
      </c>
      <c r="V11" s="24" t="inlineStr">
        <is>
          <t>win</t>
        </is>
      </c>
      <c r="W11" s="26" t="n">
        <v>2</v>
      </c>
      <c r="X11" s="26" t="n">
        <v>4</v>
      </c>
      <c r="Y11" s="25" t="n"/>
      <c r="Z11" s="26" t="n">
        <v>-117</v>
      </c>
      <c r="AA11" s="28" t="n">
        <v>0.54</v>
      </c>
      <c r="AB11" s="28" t="n">
        <v>0.000829</v>
      </c>
      <c r="AC11" s="30" t="n">
        <v>0.641</v>
      </c>
      <c r="AD11" s="24" t="inlineStr">
        <is>
          <t>2026-07-31T04:29:18.434367Z</t>
        </is>
      </c>
      <c r="AE11" s="31" t="inlineStr">
        <is>
          <t>Learned LR call at threshold 0.6242; executable ask 0.5400 (aec-mlb-mia-nym-2026-07-30); model edge vs ask -0.0265.</t>
        </is>
      </c>
      <c r="AF11" s="31" t="inlineStr">
        <is>
          <t>Learned model; shadow-qualified via operator override.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mlb-mia</t>
        </is>
      </c>
      <c r="AQ11" s="24" t="inlineStr">
        <is>
          <t>Miami Marlins</t>
        </is>
      </c>
      <c r="AR11" s="24" t="inlineStr">
        <is>
          <t>Miami Marlins</t>
        </is>
      </c>
      <c r="AS11" s="24" t="inlineStr">
        <is>
          <t>mlb-nym</t>
        </is>
      </c>
      <c r="AT11" s="24" t="inlineStr">
        <is>
          <t>New York Mets</t>
        </is>
      </c>
      <c r="AU11" s="24" t="inlineStr">
        <is>
          <t>New York Mets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464eef695bfbbdaa819ec6f5e4c5bd1068ed20b92915fb2677220ae91e20d8b6</t>
        </is>
      </c>
      <c r="BB11" s="24" t="inlineStr">
        <is>
          <t>learned_lr</t>
        </is>
      </c>
      <c r="BC11" s="24" t="inlineStr">
        <is>
          <t>mlb-elo-trend-lr-v7</t>
        </is>
      </c>
      <c r="BD11" s="24" t="inlineStr">
        <is>
          <t>464eef695bfbbdaa819ec6f5e4c5bd1068ed20b92915fb2677220ae91e20d8b6</t>
        </is>
      </c>
      <c r="BE11" s="24" t="inlineStr">
        <is>
          <t>e514206d77553482</t>
        </is>
      </c>
      <c r="BF11" s="24" t="inlineStr">
        <is>
          <t>1</t>
        </is>
      </c>
      <c r="BG11" s="24" t="inlineStr">
        <is>
          <t>mlb-elo-trend-lr-v7</t>
        </is>
      </c>
      <c r="BH11" s="24" t="inlineStr">
        <is>
          <t>2026-07-30T21:07:11.963447Z</t>
        </is>
      </c>
      <c r="BI11" s="24" t="inlineStr">
        <is>
          <t>["same_event","same_team_same_day","same_league_same_day"]</t>
        </is>
      </c>
      <c r="BJ11" s="25" t="n"/>
      <c r="BK11" s="26" t="n">
        <v>-117</v>
      </c>
      <c r="BL11" s="27" t="n">
        <v>1.854701</v>
      </c>
      <c r="BM11" s="28" t="n">
        <v>0.539171</v>
      </c>
      <c r="BN11" s="28" t="n">
        <v>0.537313</v>
      </c>
      <c r="BO11" s="28" t="n"/>
      <c r="BP11" s="25" t="n"/>
      <c r="BQ11" s="27" t="n">
        <v>1.854701</v>
      </c>
      <c r="BR11" s="28" t="n">
        <v>0.54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inlineStr">
        <is>
          <t>0.5051537166</t>
        </is>
      </c>
      <c r="CD11" s="24" t="inlineStr">
        <is>
          <t>0.008278</t>
        </is>
      </c>
      <c r="CE11" s="24" t="inlineStr">
        <is>
          <t>0.978</t>
        </is>
      </c>
      <c r="CF11" s="24" t="inlineStr">
        <is>
          <t>1.0054</t>
        </is>
      </c>
      <c r="CG11" s="24" t="inlineStr">
        <is>
          <t>-1.8</t>
        </is>
      </c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</row>
    <row r="12" ht="36" customHeight="1">
      <c r="A12" s="24" t="inlineStr">
        <is>
          <t>3effe9d1ef114db5</t>
        </is>
      </c>
      <c r="B12" s="24" t="inlineStr">
        <is>
          <t>2026-07-30T21:07:38.996144Z</t>
        </is>
      </c>
      <c r="C12" s="24" t="inlineStr">
        <is>
          <t>2026-07-30T19:10:00-0400</t>
        </is>
      </c>
      <c r="D12" s="24" t="inlineStr">
        <is>
          <t>401816323</t>
        </is>
      </c>
      <c r="E12" s="24" t="inlineStr">
        <is>
          <t>MLB</t>
        </is>
      </c>
      <c r="F12" s="24" t="inlineStr">
        <is>
          <t>Pittsburgh Pirates</t>
        </is>
      </c>
      <c r="G12" s="24" t="inlineStr">
        <is>
          <t>Cincinnati Reds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-111</v>
      </c>
      <c r="M12" s="27" t="n">
        <v>1.900901</v>
      </c>
      <c r="N12" s="28" t="n">
        <v>0.526066</v>
      </c>
      <c r="O12" s="28" t="n">
        <v>0.520916</v>
      </c>
      <c r="P12" s="28" t="n"/>
      <c r="Q12" s="28" t="n">
        <v>-0.00515</v>
      </c>
      <c r="R12" s="26" t="n">
        <v>19</v>
      </c>
      <c r="S12" s="29" t="n">
        <v>0.75</v>
      </c>
      <c r="T12" s="24" t="inlineStr">
        <is>
          <t>mlb-elo-trend-lr-v7</t>
        </is>
      </c>
      <c r="U12" s="24" t="inlineStr">
        <is>
          <t>settled</t>
        </is>
      </c>
      <c r="V12" s="24" t="inlineStr">
        <is>
          <t>loss</t>
        </is>
      </c>
      <c r="W12" s="26" t="n">
        <v>2</v>
      </c>
      <c r="X12" s="26" t="n">
        <v>3</v>
      </c>
      <c r="Y12" s="25" t="n"/>
      <c r="Z12" s="26" t="n">
        <v>-111</v>
      </c>
      <c r="AA12" s="28" t="n">
        <v>0.525</v>
      </c>
      <c r="AB12" s="28" t="n">
        <v>-0.001066</v>
      </c>
      <c r="AC12" s="30" t="n">
        <v>-0.75</v>
      </c>
      <c r="AD12" s="24" t="inlineStr">
        <is>
          <t>2026-07-31T04:29:18.531088Z</t>
        </is>
      </c>
      <c r="AE12" s="31" t="inlineStr">
        <is>
          <t>Learned LR call at threshold 0.6242; executable ask 0.5250 (aec-mlb-pit-cin-2026-07-30); model edge vs ask -0.0041.</t>
        </is>
      </c>
      <c r="AF12" s="31" t="inlineStr">
        <is>
          <t>Learned model; shadow-qualified via operator override.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mlb-pit</t>
        </is>
      </c>
      <c r="AQ12" s="24" t="inlineStr">
        <is>
          <t>Pittsburgh Pirates</t>
        </is>
      </c>
      <c r="AR12" s="24" t="inlineStr">
        <is>
          <t>Pittsburgh Pirates</t>
        </is>
      </c>
      <c r="AS12" s="24" t="inlineStr">
        <is>
          <t>mlb-cin</t>
        </is>
      </c>
      <c r="AT12" s="24" t="inlineStr">
        <is>
          <t>Cincinnati Reds</t>
        </is>
      </c>
      <c r="AU12" s="24" t="inlineStr">
        <is>
          <t>Cincinnati Reds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464eef695bfbbdaa819ec6f5e4c5bd1068ed20b92915fb2677220ae91e20d8b6</t>
        </is>
      </c>
      <c r="BB12" s="24" t="inlineStr">
        <is>
          <t>learned_lr</t>
        </is>
      </c>
      <c r="BC12" s="24" t="inlineStr">
        <is>
          <t>mlb-elo-trend-lr-v7</t>
        </is>
      </c>
      <c r="BD12" s="24" t="inlineStr">
        <is>
          <t>464eef695bfbbdaa819ec6f5e4c5bd1068ed20b92915fb2677220ae91e20d8b6</t>
        </is>
      </c>
      <c r="BE12" s="24" t="inlineStr">
        <is>
          <t>b3d67de7b6d26958</t>
        </is>
      </c>
      <c r="BF12" s="24" t="inlineStr">
        <is>
          <t>1</t>
        </is>
      </c>
      <c r="BG12" s="24" t="inlineStr">
        <is>
          <t>mlb-elo-trend-lr-v7</t>
        </is>
      </c>
      <c r="BH12" s="24" t="inlineStr">
        <is>
          <t>2026-07-30T21:07:11.035351Z</t>
        </is>
      </c>
      <c r="BI12" s="24" t="inlineStr">
        <is>
          <t>["same_event","same_team_same_day","same_league_same_day"]</t>
        </is>
      </c>
      <c r="BJ12" s="25" t="n"/>
      <c r="BK12" s="26" t="n">
        <v>-111</v>
      </c>
      <c r="BL12" s="27" t="n">
        <v>1.900901</v>
      </c>
      <c r="BM12" s="28" t="n">
        <v>0.526066</v>
      </c>
      <c r="BN12" s="28" t="n">
        <v>0.522388</v>
      </c>
      <c r="BO12" s="28" t="n"/>
      <c r="BP12" s="25" t="n"/>
      <c r="BQ12" s="27" t="n">
        <v>1.900901</v>
      </c>
      <c r="BR12" s="28" t="n">
        <v>0.525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inlineStr">
        <is>
          <t>0.4889165025</t>
        </is>
      </c>
      <c r="CD12" s="24" t="inlineStr">
        <is>
          <t>0.498942</t>
        </is>
      </c>
      <c r="CE12" s="24" t="inlineStr">
        <is>
          <t>1.036</t>
        </is>
      </c>
      <c r="CF12" s="24" t="inlineStr">
        <is>
          <t>1.0086</t>
        </is>
      </c>
      <c r="CG12" s="24" t="inlineStr">
        <is>
          <t>-1.2</t>
        </is>
      </c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</row>
    <row r="13" ht="36" customHeight="1">
      <c r="A13" s="24" t="inlineStr">
        <is>
          <t>429571844f70423e</t>
        </is>
      </c>
      <c r="B13" s="24" t="inlineStr">
        <is>
          <t>2026-07-31T00:56:17.350684Z</t>
        </is>
      </c>
      <c r="C13" s="24" t="inlineStr">
        <is>
          <t>2026-07-30T22:00:00-0400</t>
        </is>
      </c>
      <c r="D13" s="24" t="inlineStr">
        <is>
          <t>401857101</t>
        </is>
      </c>
      <c r="E13" s="24" t="inlineStr">
        <is>
          <t>WNBA</t>
        </is>
      </c>
      <c r="F13" s="24" t="inlineStr">
        <is>
          <t>New York Liberty</t>
        </is>
      </c>
      <c r="G13" s="24" t="inlineStr">
        <is>
          <t>Las Vegas Aces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-178</v>
      </c>
      <c r="M13" s="27" t="n">
        <v>1.561798</v>
      </c>
      <c r="N13" s="28" t="n">
        <v>0.640288</v>
      </c>
      <c r="O13" s="28" t="n">
        <v>0.615328</v>
      </c>
      <c r="P13" s="28" t="n"/>
      <c r="Q13" s="28" t="n">
        <v>-0.02496</v>
      </c>
      <c r="R13" s="26" t="n">
        <v>11</v>
      </c>
      <c r="S13" s="29" t="n">
        <v>1.75</v>
      </c>
      <c r="T13" s="24" t="inlineStr">
        <is>
          <t>wnba-elo-trend-lr-v4</t>
        </is>
      </c>
      <c r="U13" s="24" t="inlineStr">
        <is>
          <t>settled</t>
        </is>
      </c>
      <c r="V13" s="24" t="inlineStr">
        <is>
          <t>win</t>
        </is>
      </c>
      <c r="W13" s="26" t="n">
        <v>99</v>
      </c>
      <c r="X13" s="26" t="n">
        <v>104</v>
      </c>
      <c r="Y13" s="25" t="n"/>
      <c r="Z13" s="26" t="n"/>
      <c r="AA13" s="28" t="n"/>
      <c r="AB13" s="28" t="n"/>
      <c r="AC13" s="30" t="n">
        <v>0.9831</v>
      </c>
      <c r="AD13" s="24" t="inlineStr">
        <is>
          <t>2026-07-31T04:29:18.625735Z</t>
        </is>
      </c>
      <c r="AE13" s="31" t="inlineStr">
        <is>
          <t>Learned LR call at threshold 0.5001; executable ask 0.6400 (aec-wnba-ny-lv-2026-07-30); model edge vs ask -0.0247. NOTE: wnba_availability_source_conflict unavailable for this game — defaulted to neutral, other features used normally.</t>
        </is>
      </c>
      <c r="AF13" s="31" t="inlineStr">
        <is>
          <t>Learned model; shadow-qualified via operator override.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wnba-nyl</t>
        </is>
      </c>
      <c r="AQ13" s="24" t="inlineStr">
        <is>
          <t>New York Liberty</t>
        </is>
      </c>
      <c r="AR13" s="24" t="inlineStr">
        <is>
          <t>New York Liberty</t>
        </is>
      </c>
      <c r="AS13" s="24" t="inlineStr">
        <is>
          <t>wnba-lva</t>
        </is>
      </c>
      <c r="AT13" s="24" t="inlineStr">
        <is>
          <t>Las Vegas Aces</t>
        </is>
      </c>
      <c r="AU13" s="24" t="inlineStr">
        <is>
          <t>Las Vegas Aces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7afd5274214b58b7efd7f7febc7be3ab33b92351cda5cc6403c0a39faea0cc8c</t>
        </is>
      </c>
      <c r="BB13" s="24" t="inlineStr">
        <is>
          <t>learned_lr</t>
        </is>
      </c>
      <c r="BC13" s="24" t="inlineStr">
        <is>
          <t>wnba-elo-trend-lr-v4</t>
        </is>
      </c>
      <c r="BD13" s="24" t="inlineStr">
        <is>
          <t>7afd5274214b58b7efd7f7febc7be3ab33b92351cda5cc6403c0a39faea0cc8c</t>
        </is>
      </c>
      <c r="BE13" s="24" t="inlineStr">
        <is>
          <t>181554924d3d25f6</t>
        </is>
      </c>
      <c r="BF13" s="24" t="inlineStr">
        <is>
          <t>1</t>
        </is>
      </c>
      <c r="BG13" s="24" t="inlineStr">
        <is>
          <t>wnba-elo-trend-lr-v4</t>
        </is>
      </c>
      <c r="BH13" s="24" t="inlineStr">
        <is>
          <t>2026-07-31T00:56:07.048062Z</t>
        </is>
      </c>
      <c r="BI13" s="24" t="inlineStr">
        <is>
          <t>["same_event","same_team_same_day","same_league_same_day"]</t>
        </is>
      </c>
      <c r="BJ13" s="25" t="n"/>
      <c r="BK13" s="26" t="n">
        <v>-178</v>
      </c>
      <c r="BL13" s="27" t="n">
        <v>1.561798</v>
      </c>
      <c r="BM13" s="28" t="n">
        <v>0.640288</v>
      </c>
      <c r="BN13" s="28" t="n">
        <v>0.633663</v>
      </c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inlineStr">
        <is>
          <t>0.6511069872</t>
        </is>
      </c>
      <c r="CD13" s="24" t="inlineStr">
        <is>
          <t>-4.276653</t>
        </is>
      </c>
      <c r="CE13" s="24" t="n"/>
      <c r="CF13" s="24" t="n"/>
      <c r="CG13" s="24" t="n"/>
      <c r="CH13" s="24" t="n"/>
      <c r="CI13" s="24" t="inlineStr">
        <is>
          <t>wnba_availability_source_conflict</t>
        </is>
      </c>
      <c r="CJ13" s="24" t="n"/>
      <c r="CK13" s="24" t="n"/>
      <c r="CL13" s="24" t="n"/>
      <c r="CM13" s="24" t="n"/>
      <c r="CN13" s="24" t="n"/>
      <c r="CO13" s="24" t="n"/>
      <c r="CP13" s="24" t="n"/>
    </row>
    <row r="14" ht="36" customHeight="1">
      <c r="A14" s="24" t="inlineStr">
        <is>
          <t>65d96ecbbb034c8e</t>
        </is>
      </c>
      <c r="B14" s="24" t="inlineStr">
        <is>
          <t>2026-07-31T00:56:17.350684Z</t>
        </is>
      </c>
      <c r="C14" s="24" t="inlineStr">
        <is>
          <t>2026-07-30T21:40:00-0400</t>
        </is>
      </c>
      <c r="D14" s="24" t="inlineStr">
        <is>
          <t>401816329</t>
        </is>
      </c>
      <c r="E14" s="24" t="inlineStr">
        <is>
          <t>MLB</t>
        </is>
      </c>
      <c r="F14" s="24" t="inlineStr">
        <is>
          <t>Boston Red Sox</t>
        </is>
      </c>
      <c r="G14" s="24" t="inlineStr">
        <is>
          <t>Athletics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-178</v>
      </c>
      <c r="M14" s="27" t="n">
        <v>1.561798</v>
      </c>
      <c r="N14" s="28" t="n">
        <v>0.640288</v>
      </c>
      <c r="O14" s="28" t="n">
        <v>0.598658</v>
      </c>
      <c r="P14" s="28" t="n"/>
      <c r="Q14" s="28" t="n">
        <v>-0.04163</v>
      </c>
      <c r="R14" s="26" t="n">
        <v>1</v>
      </c>
      <c r="S14" s="29" t="n">
        <v>1.5</v>
      </c>
      <c r="T14" s="24" t="inlineStr">
        <is>
          <t>mlb-elo-trend-lr-v7</t>
        </is>
      </c>
      <c r="U14" s="24" t="inlineStr">
        <is>
          <t>settled</t>
        </is>
      </c>
      <c r="V14" s="24" t="inlineStr">
        <is>
          <t>win</t>
        </is>
      </c>
      <c r="W14" s="26" t="n">
        <v>5</v>
      </c>
      <c r="X14" s="26" t="n">
        <v>4</v>
      </c>
      <c r="Y14" s="25" t="n"/>
      <c r="Z14" s="26" t="n">
        <v>-178</v>
      </c>
      <c r="AA14" s="28" t="n">
        <v>0.64</v>
      </c>
      <c r="AB14" s="28" t="n">
        <v>-0.000288</v>
      </c>
      <c r="AC14" s="30" t="n">
        <v>0.8427</v>
      </c>
      <c r="AD14" s="24" t="inlineStr">
        <is>
          <t>2026-07-31T04:29:18.726417Z</t>
        </is>
      </c>
      <c r="AE14" s="31" t="inlineStr">
        <is>
          <t>Learned LR call at threshold 0.6242; executable ask 0.6400 (aec-mlb-bos-ath-2026-07-30); model edge vs ask -0.0413.</t>
        </is>
      </c>
      <c r="AF14" s="31" t="inlineStr">
        <is>
          <t>Learned model; shadow-qualified via operator override.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mlb-bos</t>
        </is>
      </c>
      <c r="AQ14" s="24" t="inlineStr">
        <is>
          <t>Boston Red Sox</t>
        </is>
      </c>
      <c r="AR14" s="24" t="inlineStr">
        <is>
          <t>Boston Red Sox</t>
        </is>
      </c>
      <c r="AS14" s="24" t="inlineStr">
        <is>
          <t>mlb-ath</t>
        </is>
      </c>
      <c r="AT14" s="24" t="inlineStr">
        <is>
          <t>Athletics</t>
        </is>
      </c>
      <c r="AU14" s="24" t="inlineStr">
        <is>
          <t>Athletics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464eef695bfbbdaa819ec6f5e4c5bd1068ed20b92915fb2677220ae91e20d8b6</t>
        </is>
      </c>
      <c r="BB14" s="24" t="inlineStr">
        <is>
          <t>learned_lr</t>
        </is>
      </c>
      <c r="BC14" s="24" t="inlineStr">
        <is>
          <t>mlb-elo-trend-lr-v7</t>
        </is>
      </c>
      <c r="BD14" s="24" t="inlineStr">
        <is>
          <t>464eef695bfbbdaa819ec6f5e4c5bd1068ed20b92915fb2677220ae91e20d8b6</t>
        </is>
      </c>
      <c r="BE14" s="24" t="inlineStr">
        <is>
          <t>3f3c29dbbe5296b9</t>
        </is>
      </c>
      <c r="BF14" s="24" t="inlineStr">
        <is>
          <t>1</t>
        </is>
      </c>
      <c r="BG14" s="24" t="inlineStr">
        <is>
          <t>mlb-elo-trend-lr-v7</t>
        </is>
      </c>
      <c r="BH14" s="24" t="inlineStr">
        <is>
          <t>2026-07-31T00:56:01.505308Z</t>
        </is>
      </c>
      <c r="BI14" s="24" t="inlineStr">
        <is>
          <t>["same_event","same_team_same_day","same_league_same_day"]</t>
        </is>
      </c>
      <c r="BJ14" s="25" t="n"/>
      <c r="BK14" s="26" t="n">
        <v>-178</v>
      </c>
      <c r="BL14" s="27" t="n">
        <v>1.561798</v>
      </c>
      <c r="BM14" s="28" t="n">
        <v>0.640288</v>
      </c>
      <c r="BN14" s="28" t="n">
        <v>0.636816</v>
      </c>
      <c r="BO14" s="28" t="n"/>
      <c r="BP14" s="25" t="n"/>
      <c r="BQ14" s="27" t="n">
        <v>1.561798</v>
      </c>
      <c r="BR14" s="28" t="n">
        <v>0.64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inlineStr">
        <is>
          <t>0.3783729617</t>
        </is>
      </c>
      <c r="CD14" s="24" t="inlineStr">
        <is>
          <t>-0.254128</t>
        </is>
      </c>
      <c r="CE14" s="24" t="inlineStr">
        <is>
          <t>1.153</t>
        </is>
      </c>
      <c r="CF14" s="24" t="inlineStr">
        <is>
          <t>1.0</t>
        </is>
      </c>
      <c r="CG14" s="24" t="inlineStr">
        <is>
          <t>1.8</t>
        </is>
      </c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</row>
    <row r="15" ht="36" customHeight="1">
      <c r="A15" s="24" t="inlineStr">
        <is>
          <t>d0285face10c45c4</t>
        </is>
      </c>
      <c r="B15" s="24" t="inlineStr">
        <is>
          <t>2026-07-31T00:56:17.350684Z</t>
        </is>
      </c>
      <c r="C15" s="24" t="inlineStr">
        <is>
          <t>2026-07-30T21:40:00-0400</t>
        </is>
      </c>
      <c r="D15" s="24" t="inlineStr">
        <is>
          <t>401816331</t>
        </is>
      </c>
      <c r="E15" s="24" t="inlineStr">
        <is>
          <t>MLB</t>
        </is>
      </c>
      <c r="F15" s="24" t="inlineStr">
        <is>
          <t>San Francisco Giants</t>
        </is>
      </c>
      <c r="G15" s="24" t="inlineStr">
        <is>
          <t>San Diego Padres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-153</v>
      </c>
      <c r="M15" s="27" t="n">
        <v>1.653595</v>
      </c>
      <c r="N15" s="28" t="n">
        <v>0.604743</v>
      </c>
      <c r="O15" s="28" t="n">
        <v>0.594482</v>
      </c>
      <c r="P15" s="28" t="n"/>
      <c r="Q15" s="28" t="n">
        <v>-0.010261</v>
      </c>
      <c r="R15" s="26" t="n">
        <v>16</v>
      </c>
      <c r="S15" s="29" t="n">
        <v>1.5</v>
      </c>
      <c r="T15" s="24" t="inlineStr">
        <is>
          <t>mlb-elo-trend-lr-v7</t>
        </is>
      </c>
      <c r="U15" s="24" t="inlineStr">
        <is>
          <t>settled</t>
        </is>
      </c>
      <c r="V15" s="24" t="inlineStr">
        <is>
          <t>loss</t>
        </is>
      </c>
      <c r="W15" s="26" t="n">
        <v>4</v>
      </c>
      <c r="X15" s="26" t="n">
        <v>1</v>
      </c>
      <c r="Y15" s="25" t="n"/>
      <c r="Z15" s="26" t="n">
        <v>-153</v>
      </c>
      <c r="AA15" s="28" t="n">
        <v>0.605</v>
      </c>
      <c r="AB15" s="28" t="n">
        <v>0.000257</v>
      </c>
      <c r="AC15" s="30" t="n">
        <v>-1.5</v>
      </c>
      <c r="AD15" s="24" t="inlineStr">
        <is>
          <t>2026-07-31T06:33:19.619630Z</t>
        </is>
      </c>
      <c r="AE15" s="31" t="inlineStr">
        <is>
          <t>Learned LR call at threshold 0.6242; executable ask 0.6050 (aec-mlb-sf-sd-2026-07-30); model edge vs ask -0.0105.</t>
        </is>
      </c>
      <c r="AF15" s="31" t="inlineStr">
        <is>
          <t>Learned model; shadow-qualified via operator override.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mlb-sf</t>
        </is>
      </c>
      <c r="AQ15" s="24" t="inlineStr">
        <is>
          <t>San Francisco Giants</t>
        </is>
      </c>
      <c r="AR15" s="24" t="inlineStr">
        <is>
          <t>San Francisco Giants</t>
        </is>
      </c>
      <c r="AS15" s="24" t="inlineStr">
        <is>
          <t>mlb-sd</t>
        </is>
      </c>
      <c r="AT15" s="24" t="inlineStr">
        <is>
          <t>San Diego Padres</t>
        </is>
      </c>
      <c r="AU15" s="24" t="inlineStr">
        <is>
          <t>San Diego Padres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464eef695bfbbdaa819ec6f5e4c5bd1068ed20b92915fb2677220ae91e20d8b6</t>
        </is>
      </c>
      <c r="BB15" s="24" t="inlineStr">
        <is>
          <t>learned_lr</t>
        </is>
      </c>
      <c r="BC15" s="24" t="inlineStr">
        <is>
          <t>mlb-elo-trend-lr-v7</t>
        </is>
      </c>
      <c r="BD15" s="24" t="inlineStr">
        <is>
          <t>464eef695bfbbdaa819ec6f5e4c5bd1068ed20b92915fb2677220ae91e20d8b6</t>
        </is>
      </c>
      <c r="BE15" s="24" t="inlineStr">
        <is>
          <t>cd99d61acebf3df3</t>
        </is>
      </c>
      <c r="BF15" s="24" t="inlineStr">
        <is>
          <t>1</t>
        </is>
      </c>
      <c r="BG15" s="24" t="inlineStr">
        <is>
          <t>mlb-elo-trend-lr-v7</t>
        </is>
      </c>
      <c r="BH15" s="24" t="inlineStr">
        <is>
          <t>2026-07-31T00:56:02.562469Z</t>
        </is>
      </c>
      <c r="BI15" s="24" t="inlineStr">
        <is>
          <t>["same_event","same_team_same_day","same_league_same_day"]</t>
        </is>
      </c>
      <c r="BJ15" s="25" t="n"/>
      <c r="BK15" s="26" t="n">
        <v>-153</v>
      </c>
      <c r="BL15" s="27" t="n">
        <v>1.653595</v>
      </c>
      <c r="BM15" s="28" t="n">
        <v>0.604743</v>
      </c>
      <c r="BN15" s="28" t="n">
        <v>0.60199</v>
      </c>
      <c r="BO15" s="28" t="n"/>
      <c r="BP15" s="25" t="n"/>
      <c r="BQ15" s="27" t="n">
        <v>1.653595</v>
      </c>
      <c r="BR15" s="28" t="n">
        <v>0.605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inlineStr">
        <is>
          <t>0.5827558821</t>
        </is>
      </c>
      <c r="CD15" s="24" t="inlineStr">
        <is>
          <t>-1.602098</t>
        </is>
      </c>
      <c r="CE15" s="24" t="inlineStr">
        <is>
          <t>0.945</t>
        </is>
      </c>
      <c r="CF15" s="24" t="inlineStr">
        <is>
          <t>1.0064</t>
        </is>
      </c>
      <c r="CG15" s="24" t="inlineStr">
        <is>
          <t>-0.2</t>
        </is>
      </c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</row>
    <row r="16" ht="36" customHeight="1">
      <c r="A16" s="24" t="inlineStr">
        <is>
          <t>900f83cbf1b24916</t>
        </is>
      </c>
      <c r="B16" s="24" t="inlineStr">
        <is>
          <t>2026-07-31T00:56:17.350684Z</t>
        </is>
      </c>
      <c r="C16" s="24" t="inlineStr">
        <is>
          <t>2026-07-30T22:10:00-0400</t>
        </is>
      </c>
      <c r="D16" s="24" t="inlineStr">
        <is>
          <t>401816330</t>
        </is>
      </c>
      <c r="E16" s="24" t="inlineStr">
        <is>
          <t>MLB</t>
        </is>
      </c>
      <c r="F16" s="24" t="inlineStr">
        <is>
          <t>Seattle Mariners</t>
        </is>
      </c>
      <c r="G16" s="24" t="inlineStr">
        <is>
          <t>Los Angeles Dodgers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-141</v>
      </c>
      <c r="M16" s="27" t="n">
        <v>1.70922</v>
      </c>
      <c r="N16" s="28" t="n">
        <v>0.585062</v>
      </c>
      <c r="O16" s="28" t="n">
        <v>0.594031</v>
      </c>
      <c r="P16" s="28" t="n"/>
      <c r="Q16" s="28" t="n">
        <v>0.008969</v>
      </c>
      <c r="R16" s="26" t="n">
        <v>26</v>
      </c>
      <c r="S16" s="29" t="n">
        <v>1.5</v>
      </c>
      <c r="T16" s="24" t="inlineStr">
        <is>
          <t>mlb-elo-trend-lr-v7</t>
        </is>
      </c>
      <c r="U16" s="24" t="inlineStr">
        <is>
          <t>settled</t>
        </is>
      </c>
      <c r="V16" s="24" t="inlineStr">
        <is>
          <t>win</t>
        </is>
      </c>
      <c r="W16" s="26" t="n">
        <v>2</v>
      </c>
      <c r="X16" s="26" t="n">
        <v>6</v>
      </c>
      <c r="Y16" s="25" t="n"/>
      <c r="Z16" s="26" t="n">
        <v>-141</v>
      </c>
      <c r="AA16" s="28" t="n">
        <v>0.585</v>
      </c>
      <c r="AB16" s="28" t="n">
        <v>-6.2e-05</v>
      </c>
      <c r="AC16" s="30" t="n">
        <v>1.0638</v>
      </c>
      <c r="AD16" s="24" t="inlineStr">
        <is>
          <t>2026-07-31T06:33:19.889431Z</t>
        </is>
      </c>
      <c r="AE16" s="31" t="inlineStr">
        <is>
          <t>Learned LR call at threshold 0.6242; executable ask 0.5850 (aec-mlb-sea-lad-2026-07-30); model edge vs ask +0.0090.</t>
        </is>
      </c>
      <c r="AF16" s="31" t="inlineStr">
        <is>
          <t>Learned model; shadow-qualified via operator override.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mlb-sea</t>
        </is>
      </c>
      <c r="AQ16" s="24" t="inlineStr">
        <is>
          <t>Seattle Mariners</t>
        </is>
      </c>
      <c r="AR16" s="24" t="inlineStr">
        <is>
          <t>Seattle Mariners</t>
        </is>
      </c>
      <c r="AS16" s="24" t="inlineStr">
        <is>
          <t>mlb-lad</t>
        </is>
      </c>
      <c r="AT16" s="24" t="inlineStr">
        <is>
          <t>Los Angeles Dodgers</t>
        </is>
      </c>
      <c r="AU16" s="24" t="inlineStr">
        <is>
          <t>Los Angeles Dodgers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464eef695bfbbdaa819ec6f5e4c5bd1068ed20b92915fb2677220ae91e20d8b6</t>
        </is>
      </c>
      <c r="BB16" s="24" t="inlineStr">
        <is>
          <t>learned_lr</t>
        </is>
      </c>
      <c r="BC16" s="24" t="inlineStr">
        <is>
          <t>mlb-elo-trend-lr-v7</t>
        </is>
      </c>
      <c r="BD16" s="24" t="inlineStr">
        <is>
          <t>464eef695bfbbdaa819ec6f5e4c5bd1068ed20b92915fb2677220ae91e20d8b6</t>
        </is>
      </c>
      <c r="BE16" s="24" t="inlineStr">
        <is>
          <t>50a6605683799b36</t>
        </is>
      </c>
      <c r="BF16" s="24" t="inlineStr">
        <is>
          <t>1</t>
        </is>
      </c>
      <c r="BG16" s="24" t="inlineStr">
        <is>
          <t>mlb-elo-trend-lr-v7</t>
        </is>
      </c>
      <c r="BH16" s="24" t="inlineStr">
        <is>
          <t>2026-07-31T00:56:03.538198Z</t>
        </is>
      </c>
      <c r="BI16" s="24" t="inlineStr">
        <is>
          <t>["same_event","same_team_same_day","same_league_same_day"]</t>
        </is>
      </c>
      <c r="BJ16" s="25" t="n"/>
      <c r="BK16" s="26" t="n">
        <v>-141</v>
      </c>
      <c r="BL16" s="27" t="n">
        <v>1.70922</v>
      </c>
      <c r="BM16" s="28" t="n">
        <v>0.585062</v>
      </c>
      <c r="BN16" s="28" t="n">
        <v>0.58209</v>
      </c>
      <c r="BO16" s="28" t="n"/>
      <c r="BP16" s="25" t="n"/>
      <c r="BQ16" s="27" t="n">
        <v>1.70922</v>
      </c>
      <c r="BR16" s="28" t="n">
        <v>0.585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inlineStr">
        <is>
          <t>0.6206920571</t>
        </is>
      </c>
      <c r="CD16" s="24" t="inlineStr">
        <is>
          <t>-0.391563</t>
        </is>
      </c>
      <c r="CE16" s="24" t="inlineStr">
        <is>
          <t>1.026</t>
        </is>
      </c>
      <c r="CF16" s="24" t="inlineStr">
        <is>
          <t>1.0117</t>
        </is>
      </c>
      <c r="CG16" s="24" t="inlineStr">
        <is>
          <t>-0.4</t>
        </is>
      </c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</row>
    <row r="17" ht="36" customHeight="1">
      <c r="A17" s="24" t="inlineStr">
        <is>
          <t>a3ad33bbbacf4164</t>
        </is>
      </c>
      <c r="B17" s="24" t="inlineStr">
        <is>
          <t>2026-07-31T16:46:24.073866Z</t>
        </is>
      </c>
      <c r="C17" s="24" t="inlineStr">
        <is>
          <t>2026-07-31T14:20:00-0400</t>
        </is>
      </c>
      <c r="D17" s="24" t="inlineStr">
        <is>
          <t>401816339</t>
        </is>
      </c>
      <c r="E17" s="24" t="inlineStr">
        <is>
          <t>MLB</t>
        </is>
      </c>
      <c r="F17" s="24" t="inlineStr">
        <is>
          <t>New York Yankees</t>
        </is>
      </c>
      <c r="G17" s="24" t="inlineStr">
        <is>
          <t>Chicago Cubs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-147</v>
      </c>
      <c r="M17" s="27" t="n">
        <v>1.680272</v>
      </c>
      <c r="N17" s="28" t="n">
        <v>0.5951419999999999</v>
      </c>
      <c r="O17" s="28" t="n">
        <v>0.543986</v>
      </c>
      <c r="P17" s="28" t="n"/>
      <c r="Q17" s="28" t="n">
        <v>-0.051156</v>
      </c>
      <c r="R17" s="26" t="n">
        <v>0</v>
      </c>
      <c r="S17" s="29" t="n">
        <v>1</v>
      </c>
      <c r="T17" s="24" t="inlineStr">
        <is>
          <t>mlb-elo-trend-lr-v7</t>
        </is>
      </c>
      <c r="U17" s="24" t="inlineStr">
        <is>
          <t>settled</t>
        </is>
      </c>
      <c r="V17" s="24" t="inlineStr">
        <is>
          <t>loss</t>
        </is>
      </c>
      <c r="W17" s="26" t="n">
        <v>2</v>
      </c>
      <c r="X17" s="26" t="n">
        <v>0</v>
      </c>
      <c r="Y17" s="25" t="n"/>
      <c r="Z17" s="26" t="n">
        <v>-147</v>
      </c>
      <c r="AA17" s="28" t="n">
        <v>0.595</v>
      </c>
      <c r="AB17" s="28" t="n">
        <v>-0.000142</v>
      </c>
      <c r="AC17" s="30" t="n">
        <v>-1</v>
      </c>
      <c r="AD17" s="24" t="inlineStr">
        <is>
          <t>2026-07-31T21:03:18.607660Z</t>
        </is>
      </c>
      <c r="AE17" s="31" t="inlineStr">
        <is>
          <t>Learned LR call at threshold 0.6242; executable ask 0.5950 (aec-mlb-nyy-chc-2026-07-31); model edge vs ask -0.0510.</t>
        </is>
      </c>
      <c r="AF17" s="31" t="inlineStr">
        <is>
          <t>Learned model; shadow-qualified via operator override.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mlb-nyy</t>
        </is>
      </c>
      <c r="AQ17" s="24" t="inlineStr">
        <is>
          <t>New York Yankees</t>
        </is>
      </c>
      <c r="AR17" s="24" t="inlineStr">
        <is>
          <t>New York Yankees</t>
        </is>
      </c>
      <c r="AS17" s="24" t="inlineStr">
        <is>
          <t>mlb-chc</t>
        </is>
      </c>
      <c r="AT17" s="24" t="inlineStr">
        <is>
          <t>Chicago Cubs</t>
        </is>
      </c>
      <c r="AU17" s="24" t="inlineStr">
        <is>
          <t>Chicago Cubs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464eef695bfbbdaa819ec6f5e4c5bd1068ed20b92915fb2677220ae91e20d8b6</t>
        </is>
      </c>
      <c r="BB17" s="24" t="inlineStr">
        <is>
          <t>learned_lr</t>
        </is>
      </c>
      <c r="BC17" s="24" t="inlineStr">
        <is>
          <t>mlb-elo-trend-lr-v7</t>
        </is>
      </c>
      <c r="BD17" s="24" t="inlineStr">
        <is>
          <t>464eef695bfbbdaa819ec6f5e4c5bd1068ed20b92915fb2677220ae91e20d8b6</t>
        </is>
      </c>
      <c r="BE17" s="24" t="inlineStr">
        <is>
          <t>e8343472130f370f</t>
        </is>
      </c>
      <c r="BF17" s="24" t="inlineStr">
        <is>
          <t>1</t>
        </is>
      </c>
      <c r="BG17" s="24" t="inlineStr">
        <is>
          <t>mlb-elo-trend-lr-v7</t>
        </is>
      </c>
      <c r="BH17" s="24" t="inlineStr">
        <is>
          <t>2026-07-31T16:45:32.204120Z</t>
        </is>
      </c>
      <c r="BI17" s="24" t="inlineStr">
        <is>
          <t>["same_event","same_team_same_day","same_league_same_day"]</t>
        </is>
      </c>
      <c r="BJ17" s="25" t="n"/>
      <c r="BK17" s="26" t="n">
        <v>-147</v>
      </c>
      <c r="BL17" s="27" t="n">
        <v>1.680272</v>
      </c>
      <c r="BM17" s="28" t="n">
        <v>0.5951419999999999</v>
      </c>
      <c r="BN17" s="28" t="n">
        <v>0.59204</v>
      </c>
      <c r="BO17" s="28" t="n"/>
      <c r="BP17" s="25" t="n"/>
      <c r="BQ17" s="27" t="n">
        <v>1.680272</v>
      </c>
      <c r="BR17" s="28" t="n">
        <v>0.595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inlineStr">
        <is>
          <t>0.5477638437</t>
        </is>
      </c>
      <c r="CD17" s="24" t="inlineStr">
        <is>
          <t>0.6277</t>
        </is>
      </c>
      <c r="CE17" s="24" t="inlineStr">
        <is>
          <t>0.986</t>
        </is>
      </c>
      <c r="CF17" s="24" t="inlineStr">
        <is>
          <t>1.014</t>
        </is>
      </c>
      <c r="CG17" s="24" t="inlineStr">
        <is>
          <t>-1.6</t>
        </is>
      </c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</row>
    <row r="18" ht="36" customHeight="1">
      <c r="A18" s="24" t="inlineStr">
        <is>
          <t>7511f4b8eba14436</t>
        </is>
      </c>
      <c r="B18" s="24" t="inlineStr">
        <is>
          <t>2026-07-31T21:05:22.115641Z</t>
        </is>
      </c>
      <c r="C18" s="24" t="inlineStr">
        <is>
          <t>2026-07-31T18:10:00-0400</t>
        </is>
      </c>
      <c r="D18" s="24" t="inlineStr">
        <is>
          <t>401816336</t>
        </is>
      </c>
      <c r="E18" s="24" t="inlineStr">
        <is>
          <t>MLB</t>
        </is>
      </c>
      <c r="F18" s="24" t="inlineStr">
        <is>
          <t>Pittsburgh Pirates</t>
        </is>
      </c>
      <c r="G18" s="24" t="inlineStr">
        <is>
          <t>Cincinnati Reds</t>
        </is>
      </c>
      <c r="H18" s="24" t="inlineStr">
        <is>
          <t>moneyline</t>
        </is>
      </c>
      <c r="I18" s="24" t="inlineStr">
        <is>
          <t>away</t>
        </is>
      </c>
      <c r="J18" s="25" t="n"/>
      <c r="K18" s="24" t="inlineStr">
        <is>
          <t>polymarket_us</t>
        </is>
      </c>
      <c r="L18" s="26" t="n">
        <v>-117</v>
      </c>
      <c r="M18" s="27" t="n">
        <v>1.854701</v>
      </c>
      <c r="N18" s="28" t="n">
        <v>0.539171</v>
      </c>
      <c r="O18" s="28" t="n">
        <v>0.519691</v>
      </c>
      <c r="P18" s="28" t="n"/>
      <c r="Q18" s="28" t="n">
        <v>-0.01948</v>
      </c>
      <c r="R18" s="26" t="n">
        <v>11</v>
      </c>
      <c r="S18" s="29" t="n">
        <v>1</v>
      </c>
      <c r="T18" s="24" t="inlineStr">
        <is>
          <t>mlb-elo-trend-lr-v7</t>
        </is>
      </c>
      <c r="U18" s="24" t="inlineStr">
        <is>
          <t>settled</t>
        </is>
      </c>
      <c r="V18" s="24" t="inlineStr">
        <is>
          <t>loss</t>
        </is>
      </c>
      <c r="W18" s="26" t="n">
        <v>7</v>
      </c>
      <c r="X18" s="26" t="n">
        <v>8</v>
      </c>
      <c r="Y18" s="25" t="n"/>
      <c r="Z18" s="26" t="n">
        <v>-117</v>
      </c>
      <c r="AA18" s="28" t="n">
        <v>0.54</v>
      </c>
      <c r="AB18" s="28" t="n">
        <v>0.000829</v>
      </c>
      <c r="AC18" s="30" t="n">
        <v>-1</v>
      </c>
      <c r="AD18" s="24" t="inlineStr">
        <is>
          <t>2026-08-01T02:59:56.515873Z</t>
        </is>
      </c>
      <c r="AE18" s="31" t="inlineStr">
        <is>
          <t>Learned LR call at threshold 0.6242; executable ask 0.5400 (aec-mlb-pit-cin-2026-07-31); model edge vs ask -0.0203.</t>
        </is>
      </c>
      <c r="AF18" s="31" t="inlineStr">
        <is>
          <t>Learned model; shadow-qualified via operator override.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mlb-pit</t>
        </is>
      </c>
      <c r="AQ18" s="24" t="inlineStr">
        <is>
          <t>Pittsburgh Pirates</t>
        </is>
      </c>
      <c r="AR18" s="24" t="inlineStr">
        <is>
          <t>Pittsburgh Pirates</t>
        </is>
      </c>
      <c r="AS18" s="24" t="inlineStr">
        <is>
          <t>mlb-cin</t>
        </is>
      </c>
      <c r="AT18" s="24" t="inlineStr">
        <is>
          <t>Cincinnati Reds</t>
        </is>
      </c>
      <c r="AU18" s="24" t="inlineStr">
        <is>
          <t>Cincinnati Reds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464eef695bfbbdaa819ec6f5e4c5bd1068ed20b92915fb2677220ae91e20d8b6</t>
        </is>
      </c>
      <c r="BB18" s="24" t="inlineStr">
        <is>
          <t>learned_lr</t>
        </is>
      </c>
      <c r="BC18" s="24" t="inlineStr">
        <is>
          <t>mlb-elo-trend-lr-v7</t>
        </is>
      </c>
      <c r="BD18" s="24" t="inlineStr">
        <is>
          <t>464eef695bfbbdaa819ec6f5e4c5bd1068ed20b92915fb2677220ae91e20d8b6</t>
        </is>
      </c>
      <c r="BE18" s="24" t="inlineStr">
        <is>
          <t>87db1c842ab8959c</t>
        </is>
      </c>
      <c r="BF18" s="24" t="inlineStr">
        <is>
          <t>1</t>
        </is>
      </c>
      <c r="BG18" s="24" t="inlineStr">
        <is>
          <t>mlb-elo-trend-lr-v7</t>
        </is>
      </c>
      <c r="BH18" s="24" t="inlineStr">
        <is>
          <t>2026-07-31T21:04:14.582367Z</t>
        </is>
      </c>
      <c r="BI18" s="24" t="inlineStr">
        <is>
          <t>["same_event","same_team_same_day","same_league_same_day"]</t>
        </is>
      </c>
      <c r="BJ18" s="25" t="n"/>
      <c r="BK18" s="26" t="n">
        <v>-117</v>
      </c>
      <c r="BL18" s="27" t="n">
        <v>1.854701</v>
      </c>
      <c r="BM18" s="28" t="n">
        <v>0.539171</v>
      </c>
      <c r="BN18" s="28" t="n">
        <v>0.537313</v>
      </c>
      <c r="BO18" s="28" t="n"/>
      <c r="BP18" s="25" t="n"/>
      <c r="BQ18" s="27" t="n">
        <v>1.854701</v>
      </c>
      <c r="BR18" s="28" t="n">
        <v>0.54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inlineStr">
        <is>
          <t>0.4930079966</t>
        </is>
      </c>
      <c r="CD18" s="24" t="inlineStr">
        <is>
          <t>0.789352</t>
        </is>
      </c>
      <c r="CE18" s="24" t="inlineStr">
        <is>
          <t>1.036</t>
        </is>
      </c>
      <c r="CF18" s="24" t="inlineStr">
        <is>
          <t>1.0173</t>
        </is>
      </c>
      <c r="CG18" s="24" t="inlineStr">
        <is>
          <t>-1.2</t>
        </is>
      </c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</row>
    <row r="19" ht="36" customHeight="1">
      <c r="A19" s="24" t="inlineStr">
        <is>
          <t>18511f34209b4f46</t>
        </is>
      </c>
      <c r="B19" s="24" t="inlineStr">
        <is>
          <t>2026-07-31T21:05:22.115641Z</t>
        </is>
      </c>
      <c r="C19" s="24" t="inlineStr">
        <is>
          <t>2026-07-31T19:05:00-0400</t>
        </is>
      </c>
      <c r="D19" s="24" t="inlineStr">
        <is>
          <t>401816335</t>
        </is>
      </c>
      <c r="E19" s="24" t="inlineStr">
        <is>
          <t>MLB</t>
        </is>
      </c>
      <c r="F19" s="24" t="inlineStr">
        <is>
          <t>Philadelphia Phillies</t>
        </is>
      </c>
      <c r="G19" s="24" t="inlineStr">
        <is>
          <t>Baltimore Orioles</t>
        </is>
      </c>
      <c r="H19" s="24" t="inlineStr">
        <is>
          <t>moneyline</t>
        </is>
      </c>
      <c r="I19" s="24" t="inlineStr">
        <is>
          <t>away</t>
        </is>
      </c>
      <c r="J19" s="25" t="n"/>
      <c r="K19" s="24" t="inlineStr">
        <is>
          <t>polymarket_us</t>
        </is>
      </c>
      <c r="L19" s="26" t="n">
        <v>106</v>
      </c>
      <c r="M19" s="27" t="n">
        <v>2.06</v>
      </c>
      <c r="N19" s="28" t="n">
        <v>0.485437</v>
      </c>
      <c r="O19" s="28" t="n">
        <v>0.509459</v>
      </c>
      <c r="P19" s="28" t="n"/>
      <c r="Q19" s="28" t="n">
        <v>0.024022</v>
      </c>
      <c r="R19" s="26" t="n">
        <v>33</v>
      </c>
      <c r="S19" s="29" t="n">
        <v>1</v>
      </c>
      <c r="T19" s="24" t="inlineStr">
        <is>
          <t>mlb-elo-trend-lr-v7</t>
        </is>
      </c>
      <c r="U19" s="24" t="inlineStr">
        <is>
          <t>settled</t>
        </is>
      </c>
      <c r="V19" s="24" t="inlineStr">
        <is>
          <t>loss</t>
        </is>
      </c>
      <c r="W19" s="26" t="n">
        <v>4</v>
      </c>
      <c r="X19" s="26" t="n">
        <v>6</v>
      </c>
      <c r="Y19" s="25" t="n"/>
      <c r="Z19" s="26" t="n">
        <v>106</v>
      </c>
      <c r="AA19" s="28" t="n">
        <v>0.485</v>
      </c>
      <c r="AB19" s="28" t="n">
        <v>-0.000437</v>
      </c>
      <c r="AC19" s="30" t="n">
        <v>-1</v>
      </c>
      <c r="AD19" s="24" t="inlineStr">
        <is>
          <t>2026-08-01T02:59:56.695557Z</t>
        </is>
      </c>
      <c r="AE19" s="31" t="inlineStr">
        <is>
          <t>Learned LR call at threshold 0.6242; executable ask 0.4850 (aec-mlb-phi-bal-2026-07-31); model edge vs ask +0.0245.</t>
        </is>
      </c>
      <c r="AF19" s="31" t="inlineStr">
        <is>
          <t>Learned model; shadow-qualified via operator override.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mlb-phi</t>
        </is>
      </c>
      <c r="AQ19" s="24" t="inlineStr">
        <is>
          <t>Philadelphia Phillies</t>
        </is>
      </c>
      <c r="AR19" s="24" t="inlineStr">
        <is>
          <t>Philadelphia Phillies</t>
        </is>
      </c>
      <c r="AS19" s="24" t="inlineStr">
        <is>
          <t>mlb-bal</t>
        </is>
      </c>
      <c r="AT19" s="24" t="inlineStr">
        <is>
          <t>Baltimore Orioles</t>
        </is>
      </c>
      <c r="AU19" s="24" t="inlineStr">
        <is>
          <t>Baltimore Orioles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464eef695bfbbdaa819ec6f5e4c5bd1068ed20b92915fb2677220ae91e20d8b6</t>
        </is>
      </c>
      <c r="BB19" s="24" t="inlineStr">
        <is>
          <t>learned_lr</t>
        </is>
      </c>
      <c r="BC19" s="24" t="inlineStr">
        <is>
          <t>mlb-elo-trend-lr-v7</t>
        </is>
      </c>
      <c r="BD19" s="24" t="inlineStr">
        <is>
          <t>464eef695bfbbdaa819ec6f5e4c5bd1068ed20b92915fb2677220ae91e20d8b6</t>
        </is>
      </c>
      <c r="BE19" s="24" t="inlineStr">
        <is>
          <t>1b69a14f3893f0c1</t>
        </is>
      </c>
      <c r="BF19" s="24" t="inlineStr">
        <is>
          <t>1</t>
        </is>
      </c>
      <c r="BG19" s="24" t="inlineStr">
        <is>
          <t>mlb-elo-trend-lr-v7</t>
        </is>
      </c>
      <c r="BH19" s="24" t="inlineStr">
        <is>
          <t>2026-07-31T21:04:15.613897Z</t>
        </is>
      </c>
      <c r="BI19" s="24" t="inlineStr">
        <is>
          <t>["same_event","same_team_same_day","same_league_same_day"]</t>
        </is>
      </c>
      <c r="BJ19" s="25" t="n"/>
      <c r="BK19" s="26" t="n">
        <v>106</v>
      </c>
      <c r="BL19" s="27" t="n">
        <v>2.06</v>
      </c>
      <c r="BM19" s="28" t="n">
        <v>0.485437</v>
      </c>
      <c r="BN19" s="28" t="n">
        <v>0.482587</v>
      </c>
      <c r="BO19" s="28" t="n"/>
      <c r="BP19" s="25" t="n"/>
      <c r="BQ19" s="27" t="n">
        <v>2.06</v>
      </c>
      <c r="BR19" s="28" t="n">
        <v>0.485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inlineStr">
        <is>
          <t>0.4867559615</t>
        </is>
      </c>
      <c r="CD19" s="24" t="inlineStr">
        <is>
          <t>0.736702</t>
        </is>
      </c>
      <c r="CE19" s="24" t="inlineStr">
        <is>
          <t>1.03</t>
        </is>
      </c>
      <c r="CF19" s="24" t="inlineStr">
        <is>
          <t>1.0165</t>
        </is>
      </c>
      <c r="CG19" s="24" t="inlineStr">
        <is>
          <t>3.2</t>
        </is>
      </c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</row>
    <row r="20" ht="36" customHeight="1">
      <c r="A20" s="24" t="inlineStr">
        <is>
          <t>65f9af1bb6f84870</t>
        </is>
      </c>
      <c r="B20" s="24" t="inlineStr">
        <is>
          <t>2026-07-31T21:05:22.115641Z</t>
        </is>
      </c>
      <c r="C20" s="24" t="inlineStr">
        <is>
          <t>2026-07-31T19:07:00-0400</t>
        </is>
      </c>
      <c r="D20" s="24" t="inlineStr">
        <is>
          <t>401816337</t>
        </is>
      </c>
      <c r="E20" s="24" t="inlineStr">
        <is>
          <t>MLB</t>
        </is>
      </c>
      <c r="F20" s="24" t="inlineStr">
        <is>
          <t>St. Louis Cardinals</t>
        </is>
      </c>
      <c r="G20" s="24" t="inlineStr">
        <is>
          <t>Toronto Blue Jays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-170</v>
      </c>
      <c r="M20" s="27" t="n">
        <v>1.588235</v>
      </c>
      <c r="N20" s="28" t="n">
        <v>0.62963</v>
      </c>
      <c r="O20" s="28" t="n">
        <v>0.5350549999999999</v>
      </c>
      <c r="P20" s="28" t="n"/>
      <c r="Q20" s="28" t="n">
        <v>-0.09457500000000001</v>
      </c>
      <c r="R20" s="26" t="n">
        <v>0</v>
      </c>
      <c r="S20" s="29" t="n">
        <v>1</v>
      </c>
      <c r="T20" s="24" t="inlineStr">
        <is>
          <t>mlb-elo-trend-lr-v7</t>
        </is>
      </c>
      <c r="U20" s="24" t="inlineStr">
        <is>
          <t>settled</t>
        </is>
      </c>
      <c r="V20" s="24" t="inlineStr">
        <is>
          <t>win</t>
        </is>
      </c>
      <c r="W20" s="26" t="n">
        <v>1</v>
      </c>
      <c r="X20" s="26" t="n">
        <v>3</v>
      </c>
      <c r="Y20" s="25" t="n"/>
      <c r="Z20" s="26" t="n">
        <v>-170</v>
      </c>
      <c r="AA20" s="28" t="n">
        <v>0.63</v>
      </c>
      <c r="AB20" s="28" t="n">
        <v>0.00037</v>
      </c>
      <c r="AC20" s="30" t="n">
        <v>0.5881999999999999</v>
      </c>
      <c r="AD20" s="24" t="inlineStr">
        <is>
          <t>2026-08-01T02:59:56.851630Z</t>
        </is>
      </c>
      <c r="AE20" s="31" t="inlineStr">
        <is>
          <t>Learned LR call at threshold 0.6242; executable ask 0.6300 (aec-mlb-stl-tor-2026-07-31); model edge vs ask -0.0949.</t>
        </is>
      </c>
      <c r="AF20" s="31" t="inlineStr">
        <is>
          <t>Learned model; shadow-qualified via operator override.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mlb-stl</t>
        </is>
      </c>
      <c r="AQ20" s="24" t="inlineStr">
        <is>
          <t>St. Louis Cardinals</t>
        </is>
      </c>
      <c r="AR20" s="24" t="inlineStr">
        <is>
          <t>St. Louis Cardinals</t>
        </is>
      </c>
      <c r="AS20" s="24" t="inlineStr">
        <is>
          <t>mlb-tor</t>
        </is>
      </c>
      <c r="AT20" s="24" t="inlineStr">
        <is>
          <t>Toronto Blue Jays</t>
        </is>
      </c>
      <c r="AU20" s="24" t="inlineStr">
        <is>
          <t>Toronto Blue Jays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464eef695bfbbdaa819ec6f5e4c5bd1068ed20b92915fb2677220ae91e20d8b6</t>
        </is>
      </c>
      <c r="BB20" s="24" t="inlineStr">
        <is>
          <t>learned_lr</t>
        </is>
      </c>
      <c r="BC20" s="24" t="inlineStr">
        <is>
          <t>mlb-elo-trend-lr-v7</t>
        </is>
      </c>
      <c r="BD20" s="24" t="inlineStr">
        <is>
          <t>464eef695bfbbdaa819ec6f5e4c5bd1068ed20b92915fb2677220ae91e20d8b6</t>
        </is>
      </c>
      <c r="BE20" s="24" t="inlineStr">
        <is>
          <t>d656c6c15db18eba</t>
        </is>
      </c>
      <c r="BF20" s="24" t="inlineStr">
        <is>
          <t>1</t>
        </is>
      </c>
      <c r="BG20" s="24" t="inlineStr">
        <is>
          <t>mlb-elo-trend-lr-v7</t>
        </is>
      </c>
      <c r="BH20" s="24" t="inlineStr">
        <is>
          <t>2026-07-31T21:04:16.588388Z</t>
        </is>
      </c>
      <c r="BI20" s="24" t="inlineStr">
        <is>
          <t>["same_event","same_team_same_day","same_league_same_day"]</t>
        </is>
      </c>
      <c r="BJ20" s="25" t="n"/>
      <c r="BK20" s="26" t="n">
        <v>-170</v>
      </c>
      <c r="BL20" s="27" t="n">
        <v>1.588235</v>
      </c>
      <c r="BM20" s="28" t="n">
        <v>0.62963</v>
      </c>
      <c r="BN20" s="28" t="n">
        <v>0.626866</v>
      </c>
      <c r="BO20" s="28" t="n"/>
      <c r="BP20" s="25" t="n"/>
      <c r="BQ20" s="27" t="n">
        <v>1.588235</v>
      </c>
      <c r="BR20" s="28" t="n">
        <v>0.63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inlineStr">
        <is>
          <t>0.5524208033</t>
        </is>
      </c>
      <c r="CD20" s="24" t="inlineStr">
        <is>
          <t>0.784126</t>
        </is>
      </c>
      <c r="CE20" s="24" t="inlineStr">
        <is>
          <t>1.019</t>
        </is>
      </c>
      <c r="CF20" s="24" t="inlineStr">
        <is>
          <t>1.0</t>
        </is>
      </c>
      <c r="CG20" s="24" t="inlineStr">
        <is>
          <t>-0.8</t>
        </is>
      </c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</row>
    <row r="21" ht="36" customHeight="1">
      <c r="A21" s="24" t="inlineStr">
        <is>
          <t>830a7f0146484ece</t>
        </is>
      </c>
      <c r="B21" s="24" t="inlineStr">
        <is>
          <t>2026-07-31T21:05:22.115641Z</t>
        </is>
      </c>
      <c r="C21" s="24" t="inlineStr">
        <is>
          <t>2026-07-31T19:10:00-0400</t>
        </is>
      </c>
      <c r="D21" s="24" t="inlineStr">
        <is>
          <t>401816332</t>
        </is>
      </c>
      <c r="E21" s="24" t="inlineStr">
        <is>
          <t>MLB</t>
        </is>
      </c>
      <c r="F21" s="24" t="inlineStr">
        <is>
          <t>Arizona Diamondbacks</t>
        </is>
      </c>
      <c r="G21" s="24" t="inlineStr">
        <is>
          <t>Cleveland Guardians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-130</v>
      </c>
      <c r="M21" s="27" t="n">
        <v>1.769231</v>
      </c>
      <c r="N21" s="28" t="n">
        <v>0.565217</v>
      </c>
      <c r="O21" s="28" t="n">
        <v>0.544258</v>
      </c>
      <c r="P21" s="28" t="n"/>
      <c r="Q21" s="28" t="n">
        <v>-0.020959</v>
      </c>
      <c r="R21" s="26" t="n">
        <v>11</v>
      </c>
      <c r="S21" s="29" t="n">
        <v>1</v>
      </c>
      <c r="T21" s="24" t="inlineStr">
        <is>
          <t>mlb-elo-trend-lr-v7</t>
        </is>
      </c>
      <c r="U21" s="24" t="inlineStr">
        <is>
          <t>settled</t>
        </is>
      </c>
      <c r="V21" s="24" t="inlineStr">
        <is>
          <t>loss</t>
        </is>
      </c>
      <c r="W21" s="26" t="n">
        <v>4</v>
      </c>
      <c r="X21" s="26" t="n">
        <v>1</v>
      </c>
      <c r="Y21" s="25" t="n"/>
      <c r="Z21" s="26" t="n">
        <v>-130</v>
      </c>
      <c r="AA21" s="28" t="n">
        <v>0.5649999999999999</v>
      </c>
      <c r="AB21" s="28" t="n">
        <v>-0.000217</v>
      </c>
      <c r="AC21" s="30" t="n">
        <v>-1</v>
      </c>
      <c r="AD21" s="24" t="inlineStr">
        <is>
          <t>2026-08-01T02:59:57.004177Z</t>
        </is>
      </c>
      <c r="AE21" s="31" t="inlineStr">
        <is>
          <t>Learned LR call at threshold 0.6242; executable ask 0.5650 (aec-mlb-az-cle-2026-07-31); model edge vs ask -0.0207.</t>
        </is>
      </c>
      <c r="AF21" s="31" t="inlineStr">
        <is>
          <t>Learned model; shadow-qualified via operator override.</t>
        </is>
      </c>
      <c r="AG21" s="24" t="inlineStr">
        <is>
          <t>review_required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mlb-ari</t>
        </is>
      </c>
      <c r="AQ21" s="24" t="inlineStr">
        <is>
          <t>Arizona Diamondbacks</t>
        </is>
      </c>
      <c r="AR21" s="24" t="inlineStr">
        <is>
          <t>Arizona Diamondbacks</t>
        </is>
      </c>
      <c r="AS21" s="24" t="inlineStr">
        <is>
          <t>mlb-cle</t>
        </is>
      </c>
      <c r="AT21" s="24" t="inlineStr">
        <is>
          <t>Cleveland Guardians</t>
        </is>
      </c>
      <c r="AU21" s="24" t="inlineStr">
        <is>
          <t>Cleveland Guardians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464eef695bfbbdaa819ec6f5e4c5bd1068ed20b92915fb2677220ae91e20d8b6</t>
        </is>
      </c>
      <c r="BB21" s="24" t="inlineStr">
        <is>
          <t>learned_lr</t>
        </is>
      </c>
      <c r="BC21" s="24" t="inlineStr">
        <is>
          <t>mlb-elo-trend-lr-v7</t>
        </is>
      </c>
      <c r="BD21" s="24" t="inlineStr">
        <is>
          <t>464eef695bfbbdaa819ec6f5e4c5bd1068ed20b92915fb2677220ae91e20d8b6</t>
        </is>
      </c>
      <c r="BE21" s="24" t="inlineStr">
        <is>
          <t>c05f3921fd3daa13</t>
        </is>
      </c>
      <c r="BF21" s="24" t="inlineStr">
        <is>
          <t>1</t>
        </is>
      </c>
      <c r="BG21" s="24" t="inlineStr">
        <is>
          <t>mlb-elo-trend-lr-v7</t>
        </is>
      </c>
      <c r="BH21" s="24" t="inlineStr">
        <is>
          <t>2026-07-31T21:04:18.706060Z</t>
        </is>
      </c>
      <c r="BI21" s="24" t="inlineStr">
        <is>
          <t>["same_event","same_team_same_day","same_league_same_day"]</t>
        </is>
      </c>
      <c r="BJ21" s="25" t="n"/>
      <c r="BK21" s="26" t="n">
        <v>-130</v>
      </c>
      <c r="BL21" s="27" t="n">
        <v>1.769231</v>
      </c>
      <c r="BM21" s="28" t="n">
        <v>0.565217</v>
      </c>
      <c r="BN21" s="28" t="n">
        <v>0.562189</v>
      </c>
      <c r="BO21" s="28" t="n"/>
      <c r="BP21" s="25" t="n"/>
      <c r="BQ21" s="27" t="n">
        <v>1.769231</v>
      </c>
      <c r="BR21" s="28" t="n">
        <v>0.5649999999999999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inlineStr">
        <is>
          <t>0.5330748271</t>
        </is>
      </c>
      <c r="CD21" s="24" t="inlineStr">
        <is>
          <t>-0.52933</t>
        </is>
      </c>
      <c r="CE21" s="24" t="inlineStr">
        <is>
          <t>0.966</t>
        </is>
      </c>
      <c r="CF21" s="24" t="inlineStr">
        <is>
          <t>1.01</t>
        </is>
      </c>
      <c r="CG21" s="24" t="inlineStr">
        <is>
          <t>-0.4</t>
        </is>
      </c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</row>
    <row r="22" ht="36" customHeight="1">
      <c r="A22" s="24" t="inlineStr">
        <is>
          <t>f5a258d873954db7</t>
        </is>
      </c>
      <c r="B22" s="24" t="inlineStr">
        <is>
          <t>2026-07-31T21:05:22.115641Z</t>
        </is>
      </c>
      <c r="C22" s="24" t="inlineStr">
        <is>
          <t>2026-07-31T19:10:00-0400</t>
        </is>
      </c>
      <c r="D22" s="24" t="inlineStr">
        <is>
          <t>401816333</t>
        </is>
      </c>
      <c r="E22" s="24" t="inlineStr">
        <is>
          <t>MLB</t>
        </is>
      </c>
      <c r="F22" s="24" t="inlineStr">
        <is>
          <t>Chicago White Sox</t>
        </is>
      </c>
      <c r="G22" s="24" t="inlineStr">
        <is>
          <t>Tampa Bay Rays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-127</v>
      </c>
      <c r="M22" s="27" t="n">
        <v>1.787402</v>
      </c>
      <c r="N22" s="28" t="n">
        <v>0.5594710000000001</v>
      </c>
      <c r="O22" s="28" t="n">
        <v>0.559082</v>
      </c>
      <c r="P22" s="28" t="n"/>
      <c r="Q22" s="28" t="n">
        <v>-0.000389</v>
      </c>
      <c r="R22" s="26" t="n">
        <v>21</v>
      </c>
      <c r="S22" s="29" t="n">
        <v>1</v>
      </c>
      <c r="T22" s="24" t="inlineStr">
        <is>
          <t>mlb-elo-trend-lr-v7</t>
        </is>
      </c>
      <c r="U22" s="24" t="inlineStr">
        <is>
          <t>settled</t>
        </is>
      </c>
      <c r="V22" s="24" t="inlineStr">
        <is>
          <t>loss</t>
        </is>
      </c>
      <c r="W22" s="26" t="n">
        <v>6</v>
      </c>
      <c r="X22" s="26" t="n">
        <v>1</v>
      </c>
      <c r="Y22" s="25" t="n"/>
      <c r="Z22" s="26" t="n">
        <v>-127</v>
      </c>
      <c r="AA22" s="28" t="n">
        <v>0.5600000000000001</v>
      </c>
      <c r="AB22" s="28" t="n">
        <v>0.000529</v>
      </c>
      <c r="AC22" s="30" t="n">
        <v>-1</v>
      </c>
      <c r="AD22" s="24" t="inlineStr">
        <is>
          <t>2026-08-01T02:59:57.156071Z</t>
        </is>
      </c>
      <c r="AE22" s="31" t="inlineStr">
        <is>
          <t>Learned LR call at threshold 0.6242; executable ask 0.5600 (aec-mlb-cws-tb-2026-07-31); model edge vs ask -0.0009.</t>
        </is>
      </c>
      <c r="AF22" s="31" t="inlineStr">
        <is>
          <t>Learned model; shadow-qualified via operator override.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mlb-cws</t>
        </is>
      </c>
      <c r="AQ22" s="24" t="inlineStr">
        <is>
          <t>Chicago White Sox</t>
        </is>
      </c>
      <c r="AR22" s="24" t="inlineStr">
        <is>
          <t>Chicago White Sox</t>
        </is>
      </c>
      <c r="AS22" s="24" t="inlineStr">
        <is>
          <t>mlb-tb</t>
        </is>
      </c>
      <c r="AT22" s="24" t="inlineStr">
        <is>
          <t>Tampa Bay Rays</t>
        </is>
      </c>
      <c r="AU22" s="24" t="inlineStr">
        <is>
          <t>Tampa Bay Rays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464eef695bfbbdaa819ec6f5e4c5bd1068ed20b92915fb2677220ae91e20d8b6</t>
        </is>
      </c>
      <c r="BB22" s="24" t="inlineStr">
        <is>
          <t>learned_lr</t>
        </is>
      </c>
      <c r="BC22" s="24" t="inlineStr">
        <is>
          <t>mlb-elo-trend-lr-v7</t>
        </is>
      </c>
      <c r="BD22" s="24" t="inlineStr">
        <is>
          <t>464eef695bfbbdaa819ec6f5e4c5bd1068ed20b92915fb2677220ae91e20d8b6</t>
        </is>
      </c>
      <c r="BE22" s="24" t="inlineStr">
        <is>
          <t>a9ebd0a8f01e6140</t>
        </is>
      </c>
      <c r="BF22" s="24" t="inlineStr">
        <is>
          <t>1</t>
        </is>
      </c>
      <c r="BG22" s="24" t="inlineStr">
        <is>
          <t>mlb-elo-trend-lr-v7</t>
        </is>
      </c>
      <c r="BH22" s="24" t="inlineStr">
        <is>
          <t>2026-07-31T21:04:17.593587Z</t>
        </is>
      </c>
      <c r="BI22" s="24" t="inlineStr">
        <is>
          <t>["same_event","same_team_same_day","same_league_same_day"]</t>
        </is>
      </c>
      <c r="BJ22" s="25" t="n"/>
      <c r="BK22" s="26" t="n">
        <v>-127</v>
      </c>
      <c r="BL22" s="27" t="n">
        <v>1.787402</v>
      </c>
      <c r="BM22" s="28" t="n">
        <v>0.5594710000000001</v>
      </c>
      <c r="BN22" s="28" t="n">
        <v>0.557214</v>
      </c>
      <c r="BO22" s="28" t="n"/>
      <c r="BP22" s="25" t="n"/>
      <c r="BQ22" s="27" t="n">
        <v>1.787402</v>
      </c>
      <c r="BR22" s="28" t="n">
        <v>0.5600000000000001</v>
      </c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inlineStr">
        <is>
          <t>0.5584762442</t>
        </is>
      </c>
      <c r="CD22" s="24" t="inlineStr">
        <is>
          <t>-0.438979</t>
        </is>
      </c>
      <c r="CE22" s="24" t="inlineStr">
        <is>
          <t>0.965</t>
        </is>
      </c>
      <c r="CF22" s="24" t="inlineStr">
        <is>
          <t>1.0</t>
        </is>
      </c>
      <c r="CG22" s="24" t="inlineStr">
        <is>
          <t>-2.4</t>
        </is>
      </c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</row>
    <row r="23" ht="36" customHeight="1">
      <c r="A23" s="24" t="inlineStr">
        <is>
          <t>7f3cd71981a74e45</t>
        </is>
      </c>
      <c r="B23" s="24" t="inlineStr">
        <is>
          <t>2026-07-31T21:05:22.115641Z</t>
        </is>
      </c>
      <c r="C23" s="24" t="inlineStr">
        <is>
          <t>2026-07-31T19:10:00-0400</t>
        </is>
      </c>
      <c r="D23" s="24" t="inlineStr">
        <is>
          <t>401816334</t>
        </is>
      </c>
      <c r="E23" s="24" t="inlineStr">
        <is>
          <t>MLB</t>
        </is>
      </c>
      <c r="F23" s="24" t="inlineStr">
        <is>
          <t>Miami Marlins</t>
        </is>
      </c>
      <c r="G23" s="24" t="inlineStr">
        <is>
          <t>New York Mets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-111</v>
      </c>
      <c r="M23" s="27" t="n">
        <v>1.900901</v>
      </c>
      <c r="N23" s="28" t="n">
        <v>0.526066</v>
      </c>
      <c r="O23" s="28" t="n">
        <v>0.515053</v>
      </c>
      <c r="P23" s="28" t="n"/>
      <c r="Q23" s="28" t="n">
        <v>-0.011013</v>
      </c>
      <c r="R23" s="26" t="n">
        <v>16</v>
      </c>
      <c r="S23" s="29" t="n">
        <v>1</v>
      </c>
      <c r="T23" s="24" t="inlineStr">
        <is>
          <t>mlb-elo-trend-lr-v7</t>
        </is>
      </c>
      <c r="U23" s="24" t="inlineStr">
        <is>
          <t>settled</t>
        </is>
      </c>
      <c r="V23" s="24" t="inlineStr">
        <is>
          <t>loss</t>
        </is>
      </c>
      <c r="W23" s="26" t="n">
        <v>5</v>
      </c>
      <c r="X23" s="26" t="n">
        <v>2</v>
      </c>
      <c r="Y23" s="25" t="n"/>
      <c r="Z23" s="26" t="n">
        <v>-111</v>
      </c>
      <c r="AA23" s="28" t="n">
        <v>0.525</v>
      </c>
      <c r="AB23" s="28" t="n">
        <v>-0.001066</v>
      </c>
      <c r="AC23" s="30" t="n">
        <v>-1</v>
      </c>
      <c r="AD23" s="24" t="inlineStr">
        <is>
          <t>2026-08-01T02:59:57.309166Z</t>
        </is>
      </c>
      <c r="AE23" s="31" t="inlineStr">
        <is>
          <t>Learned LR call at threshold 0.6242; executable ask 0.5250 (aec-mlb-mia-nym-2026-07-31); model edge vs ask -0.0099.</t>
        </is>
      </c>
      <c r="AF23" s="31" t="inlineStr">
        <is>
          <t>Learned model; shadow-qualified via operator override.</t>
        </is>
      </c>
      <c r="AG23" s="24" t="inlineStr">
        <is>
          <t>review_required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mlb-mia</t>
        </is>
      </c>
      <c r="AQ23" s="24" t="inlineStr">
        <is>
          <t>Miami Marlins</t>
        </is>
      </c>
      <c r="AR23" s="24" t="inlineStr">
        <is>
          <t>Miami Marlins</t>
        </is>
      </c>
      <c r="AS23" s="24" t="inlineStr">
        <is>
          <t>mlb-nym</t>
        </is>
      </c>
      <c r="AT23" s="24" t="inlineStr">
        <is>
          <t>New York Mets</t>
        </is>
      </c>
      <c r="AU23" s="24" t="inlineStr">
        <is>
          <t>New York Mets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464eef695bfbbdaa819ec6f5e4c5bd1068ed20b92915fb2677220ae91e20d8b6</t>
        </is>
      </c>
      <c r="BB23" s="24" t="inlineStr">
        <is>
          <t>learned_lr</t>
        </is>
      </c>
      <c r="BC23" s="24" t="inlineStr">
        <is>
          <t>mlb-elo-trend-lr-v7</t>
        </is>
      </c>
      <c r="BD23" s="24" t="inlineStr">
        <is>
          <t>464eef695bfbbdaa819ec6f5e4c5bd1068ed20b92915fb2677220ae91e20d8b6</t>
        </is>
      </c>
      <c r="BE23" s="24" t="inlineStr">
        <is>
          <t>7d687c1d1c8fffaf</t>
        </is>
      </c>
      <c r="BF23" s="24" t="inlineStr">
        <is>
          <t>1</t>
        </is>
      </c>
      <c r="BG23" s="24" t="inlineStr">
        <is>
          <t>mlb-elo-trend-lr-v7</t>
        </is>
      </c>
      <c r="BH23" s="24" t="inlineStr">
        <is>
          <t>2026-07-31T21:04:19.683836Z</t>
        </is>
      </c>
      <c r="BI23" s="24" t="inlineStr">
        <is>
          <t>["same_event","same_team_same_day","same_league_same_day"]</t>
        </is>
      </c>
      <c r="BJ23" s="25" t="n"/>
      <c r="BK23" s="26" t="n">
        <v>-111</v>
      </c>
      <c r="BL23" s="27" t="n">
        <v>1.900901</v>
      </c>
      <c r="BM23" s="28" t="n">
        <v>0.526066</v>
      </c>
      <c r="BN23" s="28" t="n">
        <v>0.522388</v>
      </c>
      <c r="BO23" s="28" t="n"/>
      <c r="BP23" s="25" t="n"/>
      <c r="BQ23" s="27" t="n">
        <v>1.900901</v>
      </c>
      <c r="BR23" s="28" t="n">
        <v>0.525</v>
      </c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inlineStr">
        <is>
          <t>0.5114006859</t>
        </is>
      </c>
      <c r="CD23" s="24" t="inlineStr">
        <is>
          <t>0.280262</t>
        </is>
      </c>
      <c r="CE23" s="24" t="inlineStr">
        <is>
          <t>0.978</t>
        </is>
      </c>
      <c r="CF23" s="24" t="inlineStr">
        <is>
          <t>1.0066</t>
        </is>
      </c>
      <c r="CG23" s="24" t="inlineStr">
        <is>
          <t>-2.2</t>
        </is>
      </c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</row>
    <row r="24" ht="36" customHeight="1">
      <c r="A24" s="24" t="inlineStr">
        <is>
          <t>501f096aa2fd47ba</t>
        </is>
      </c>
      <c r="B24" s="24" t="inlineStr">
        <is>
          <t>2026-07-31T21:05:22.115641Z</t>
        </is>
      </c>
      <c r="C24" s="24" t="inlineStr">
        <is>
          <t>2026-07-31T19:15:00-0400</t>
        </is>
      </c>
      <c r="D24" s="24" t="inlineStr">
        <is>
          <t>401816338</t>
        </is>
      </c>
      <c r="E24" s="24" t="inlineStr">
        <is>
          <t>MLB</t>
        </is>
      </c>
      <c r="F24" s="24" t="inlineStr">
        <is>
          <t>Washington Nationals</t>
        </is>
      </c>
      <c r="G24" s="24" t="inlineStr">
        <is>
          <t>Atlanta Braves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-111</v>
      </c>
      <c r="M24" s="27" t="n">
        <v>1.900901</v>
      </c>
      <c r="N24" s="28" t="n">
        <v>0.526066</v>
      </c>
      <c r="O24" s="28" t="n">
        <v>0.610339</v>
      </c>
      <c r="P24" s="28" t="n"/>
      <c r="Q24" s="28" t="n">
        <v>0.084273</v>
      </c>
      <c r="R24" s="26" t="n">
        <v>64</v>
      </c>
      <c r="S24" s="29" t="n">
        <v>1.5</v>
      </c>
      <c r="T24" s="24" t="inlineStr">
        <is>
          <t>mlb-elo-trend-lr-v7</t>
        </is>
      </c>
      <c r="U24" s="24" t="inlineStr">
        <is>
          <t>settled</t>
        </is>
      </c>
      <c r="V24" s="24" t="inlineStr">
        <is>
          <t>win</t>
        </is>
      </c>
      <c r="W24" s="26" t="n">
        <v>2</v>
      </c>
      <c r="X24" s="26" t="n">
        <v>6</v>
      </c>
      <c r="Y24" s="25" t="n"/>
      <c r="Z24" s="26" t="n">
        <v>-111</v>
      </c>
      <c r="AA24" s="28" t="n">
        <v>0.525</v>
      </c>
      <c r="AB24" s="28" t="n">
        <v>-0.001066</v>
      </c>
      <c r="AC24" s="30" t="n">
        <v>1.3514</v>
      </c>
      <c r="AD24" s="24" t="inlineStr">
        <is>
          <t>2026-08-01T02:59:57.461710Z</t>
        </is>
      </c>
      <c r="AE24" s="31" t="inlineStr">
        <is>
          <t>Learned LR call at threshold 0.6242; executable ask 0.5250 (aec-mlb-wsh-atl-2026-07-31); model edge vs ask +0.0853.</t>
        </is>
      </c>
      <c r="AF24" s="31" t="inlineStr">
        <is>
          <t>Learned model; shadow-qualified via operator override.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mlb-wsh</t>
        </is>
      </c>
      <c r="AQ24" s="24" t="inlineStr">
        <is>
          <t>Washington Nationals</t>
        </is>
      </c>
      <c r="AR24" s="24" t="inlineStr">
        <is>
          <t>Washington Nationals</t>
        </is>
      </c>
      <c r="AS24" s="24" t="inlineStr">
        <is>
          <t>mlb-atl</t>
        </is>
      </c>
      <c r="AT24" s="24" t="inlineStr">
        <is>
          <t>Atlanta Braves</t>
        </is>
      </c>
      <c r="AU24" s="24" t="inlineStr">
        <is>
          <t>Atlanta Braves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464eef695bfbbdaa819ec6f5e4c5bd1068ed20b92915fb2677220ae91e20d8b6</t>
        </is>
      </c>
      <c r="BB24" s="24" t="inlineStr">
        <is>
          <t>learned_lr</t>
        </is>
      </c>
      <c r="BC24" s="24" t="inlineStr">
        <is>
          <t>mlb-elo-trend-lr-v7</t>
        </is>
      </c>
      <c r="BD24" s="24" t="inlineStr">
        <is>
          <t>464eef695bfbbdaa819ec6f5e4c5bd1068ed20b92915fb2677220ae91e20d8b6</t>
        </is>
      </c>
      <c r="BE24" s="24" t="inlineStr">
        <is>
          <t>7862677c79c1ab1a</t>
        </is>
      </c>
      <c r="BF24" s="24" t="inlineStr">
        <is>
          <t>1</t>
        </is>
      </c>
      <c r="BG24" s="24" t="inlineStr">
        <is>
          <t>mlb-elo-trend-lr-v7</t>
        </is>
      </c>
      <c r="BH24" s="24" t="inlineStr">
        <is>
          <t>2026-07-31T21:04:20.645809Z</t>
        </is>
      </c>
      <c r="BI24" s="24" t="inlineStr">
        <is>
          <t>["same_event","same_team_same_day","same_league_same_day"]</t>
        </is>
      </c>
      <c r="BJ24" s="25" t="n"/>
      <c r="BK24" s="26" t="n">
        <v>-111</v>
      </c>
      <c r="BL24" s="27" t="n">
        <v>1.900901</v>
      </c>
      <c r="BM24" s="28" t="n">
        <v>0.526066</v>
      </c>
      <c r="BN24" s="28" t="n">
        <v>0.522388</v>
      </c>
      <c r="BO24" s="28" t="n"/>
      <c r="BP24" s="25" t="n"/>
      <c r="BQ24" s="27" t="n">
        <v>1.900901</v>
      </c>
      <c r="BR24" s="28" t="n">
        <v>0.525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inlineStr">
        <is>
          <t>0.6202589708</t>
        </is>
      </c>
      <c r="CD24" s="24" t="inlineStr">
        <is>
          <t>-0.247606</t>
        </is>
      </c>
      <c r="CE24" s="24" t="inlineStr">
        <is>
          <t>0.929</t>
        </is>
      </c>
      <c r="CF24" s="24" t="inlineStr">
        <is>
          <t>1.0189</t>
        </is>
      </c>
      <c r="CG24" s="24" t="inlineStr">
        <is>
          <t>-0.6</t>
        </is>
      </c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</row>
    <row r="25" ht="36" customHeight="1">
      <c r="A25" s="24" t="inlineStr">
        <is>
          <t>18e5ba2aaf884ddf</t>
        </is>
      </c>
      <c r="B25" s="24" t="inlineStr">
        <is>
          <t>2026-07-31T23:29:42.171549Z</t>
        </is>
      </c>
      <c r="C25" s="24" t="inlineStr">
        <is>
          <t>2026-07-31T19:30:00-0400</t>
        </is>
      </c>
      <c r="D25" s="24" t="inlineStr">
        <is>
          <t>401857102</t>
        </is>
      </c>
      <c r="E25" s="24" t="inlineStr">
        <is>
          <t>WNBA</t>
        </is>
      </c>
      <c r="F25" s="24" t="inlineStr">
        <is>
          <t>Seattle Storm</t>
        </is>
      </c>
      <c r="G25" s="24" t="inlineStr">
        <is>
          <t>Atlanta Dream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polymarket_us</t>
        </is>
      </c>
      <c r="L25" s="26" t="n">
        <v>-525</v>
      </c>
      <c r="M25" s="27" t="n">
        <v>1.190476</v>
      </c>
      <c r="N25" s="28" t="n">
        <v>0.84</v>
      </c>
      <c r="O25" s="28" t="n">
        <v>0.737046</v>
      </c>
      <c r="P25" s="28" t="n"/>
      <c r="Q25" s="28" t="n">
        <v>-0.102954</v>
      </c>
      <c r="R25" s="26" t="n">
        <v>0</v>
      </c>
      <c r="S25" s="29" t="n">
        <v>2</v>
      </c>
      <c r="T25" s="24" t="inlineStr">
        <is>
          <t>wnba-elo-trend-lr-v4</t>
        </is>
      </c>
      <c r="U25" s="24" t="inlineStr">
        <is>
          <t>settled</t>
        </is>
      </c>
      <c r="V25" s="24" t="inlineStr">
        <is>
          <t>win</t>
        </is>
      </c>
      <c r="W25" s="26" t="n">
        <v>89</v>
      </c>
      <c r="X25" s="26" t="n">
        <v>98</v>
      </c>
      <c r="Y25" s="25" t="n"/>
      <c r="Z25" s="26" t="n"/>
      <c r="AA25" s="28" t="n"/>
      <c r="AB25" s="28" t="n"/>
      <c r="AC25" s="30" t="n">
        <v>0.381</v>
      </c>
      <c r="AD25" s="24" t="inlineStr">
        <is>
          <t>2026-08-01T02:59:57.929008Z</t>
        </is>
      </c>
      <c r="AE25" s="31" t="inlineStr">
        <is>
          <t>Learned LR call at threshold 0.5001; executable ask 0.8400 (aec-wnba-sea-atl-2026-07-31); model edge vs ask -0.1030.</t>
        </is>
      </c>
      <c r="AF25" s="31" t="inlineStr">
        <is>
          <t>Learned model; shadow-qualified via operator override.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wnba-sea</t>
        </is>
      </c>
      <c r="AQ25" s="24" t="inlineStr">
        <is>
          <t>Seattle Storm</t>
        </is>
      </c>
      <c r="AR25" s="24" t="inlineStr">
        <is>
          <t>Seattle Storm</t>
        </is>
      </c>
      <c r="AS25" s="24" t="inlineStr">
        <is>
          <t>wnba-atl</t>
        </is>
      </c>
      <c r="AT25" s="24" t="inlineStr">
        <is>
          <t>Atlanta Dream</t>
        </is>
      </c>
      <c r="AU25" s="24" t="inlineStr">
        <is>
          <t>Atlanta Dream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7afd5274214b58b7efd7f7febc7be3ab33b92351cda5cc6403c0a39faea0cc8c</t>
        </is>
      </c>
      <c r="BB25" s="24" t="inlineStr">
        <is>
          <t>learned_lr</t>
        </is>
      </c>
      <c r="BC25" s="24" t="inlineStr">
        <is>
          <t>wnba-elo-trend-lr-v4</t>
        </is>
      </c>
      <c r="BD25" s="24" t="inlineStr">
        <is>
          <t>7afd5274214b58b7efd7f7febc7be3ab33b92351cda5cc6403c0a39faea0cc8c</t>
        </is>
      </c>
      <c r="BE25" s="24" t="inlineStr">
        <is>
          <t>8fdca19bc32f576a</t>
        </is>
      </c>
      <c r="BF25" s="24" t="inlineStr">
        <is>
          <t>1</t>
        </is>
      </c>
      <c r="BG25" s="24" t="inlineStr">
        <is>
          <t>wnba-elo-trend-lr-v4</t>
        </is>
      </c>
      <c r="BH25" s="24" t="inlineStr">
        <is>
          <t>2026-07-31T23:29:25.425390Z</t>
        </is>
      </c>
      <c r="BI25" s="24" t="inlineStr">
        <is>
          <t>["same_event","same_team_same_day","same_league_same_day"]</t>
        </is>
      </c>
      <c r="BJ25" s="25" t="n"/>
      <c r="BK25" s="26" t="n">
        <v>-525</v>
      </c>
      <c r="BL25" s="27" t="n">
        <v>1.190476</v>
      </c>
      <c r="BM25" s="28" t="n">
        <v>0.84</v>
      </c>
      <c r="BN25" s="28" t="n">
        <v>0.831683</v>
      </c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inlineStr">
        <is>
          <t>0.821319619</t>
        </is>
      </c>
      <c r="CD25" s="24" t="inlineStr">
        <is>
          <t>-5.618671</t>
        </is>
      </c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</row>
    <row r="26" ht="36" customHeight="1">
      <c r="A26" s="24" t="inlineStr">
        <is>
          <t>06a3a214f14c43bf</t>
        </is>
      </c>
      <c r="B26" s="24" t="inlineStr">
        <is>
          <t>2026-07-31T23:29:42.171549Z</t>
        </is>
      </c>
      <c r="C26" s="24" t="inlineStr">
        <is>
          <t>2026-07-31T19:30:00-0400</t>
        </is>
      </c>
      <c r="D26" s="24" t="inlineStr">
        <is>
          <t>401857103</t>
        </is>
      </c>
      <c r="E26" s="24" t="inlineStr">
        <is>
          <t>WNBA</t>
        </is>
      </c>
      <c r="F26" s="24" t="inlineStr">
        <is>
          <t>Dallas Wings</t>
        </is>
      </c>
      <c r="G26" s="24" t="inlineStr">
        <is>
          <t>Washington Mystics</t>
        </is>
      </c>
      <c r="H26" s="24" t="inlineStr">
        <is>
          <t>moneyline</t>
        </is>
      </c>
      <c r="I26" s="24" t="inlineStr">
        <is>
          <t>away</t>
        </is>
      </c>
      <c r="J26" s="25" t="n"/>
      <c r="K26" s="24" t="inlineStr">
        <is>
          <t>polymarket_us</t>
        </is>
      </c>
      <c r="L26" s="26" t="n">
        <v>-150</v>
      </c>
      <c r="M26" s="27" t="n">
        <v>1.666667</v>
      </c>
      <c r="N26" s="28" t="n">
        <v>0.6</v>
      </c>
      <c r="O26" s="28" t="n">
        <v>0.575648</v>
      </c>
      <c r="P26" s="28" t="n"/>
      <c r="Q26" s="28" t="n">
        <v>-0.024352</v>
      </c>
      <c r="R26" s="26" t="n">
        <v>11</v>
      </c>
      <c r="S26" s="29" t="n">
        <v>1.25</v>
      </c>
      <c r="T26" s="24" t="inlineStr">
        <is>
          <t>wnba-elo-trend-lr-v4</t>
        </is>
      </c>
      <c r="U26" s="24" t="inlineStr">
        <is>
          <t>settled</t>
        </is>
      </c>
      <c r="V26" s="24" t="inlineStr">
        <is>
          <t>loss</t>
        </is>
      </c>
      <c r="W26" s="26" t="n">
        <v>75</v>
      </c>
      <c r="X26" s="26" t="n">
        <v>81</v>
      </c>
      <c r="Y26" s="25" t="n"/>
      <c r="Z26" s="26" t="n"/>
      <c r="AA26" s="28" t="n"/>
      <c r="AB26" s="28" t="n"/>
      <c r="AC26" s="30" t="n">
        <v>-1.25</v>
      </c>
      <c r="AD26" s="24" t="inlineStr">
        <is>
          <t>2026-08-01T02:59:58.085221Z</t>
        </is>
      </c>
      <c r="AE26" s="31" t="inlineStr">
        <is>
          <t>Learned LR call at threshold 0.5001; executable ask 0.6000 (aec-wnba-dal-wsh-2026-07-31); model edge vs ask -0.0244.</t>
        </is>
      </c>
      <c r="AF26" s="31" t="inlineStr">
        <is>
          <t>Learned model; shadow-qualified via operator override.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wnba-dal</t>
        </is>
      </c>
      <c r="AQ26" s="24" t="inlineStr">
        <is>
          <t>Dallas Wings</t>
        </is>
      </c>
      <c r="AR26" s="24" t="inlineStr">
        <is>
          <t>Dallas Wings</t>
        </is>
      </c>
      <c r="AS26" s="24" t="inlineStr">
        <is>
          <t>wnba-was</t>
        </is>
      </c>
      <c r="AT26" s="24" t="inlineStr">
        <is>
          <t>Washington Mystics</t>
        </is>
      </c>
      <c r="AU26" s="24" t="inlineStr">
        <is>
          <t>Washington Mystics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7afd5274214b58b7efd7f7febc7be3ab33b92351cda5cc6403c0a39faea0cc8c</t>
        </is>
      </c>
      <c r="BB26" s="24" t="inlineStr">
        <is>
          <t>learned_lr</t>
        </is>
      </c>
      <c r="BC26" s="24" t="inlineStr">
        <is>
          <t>wnba-elo-trend-lr-v4</t>
        </is>
      </c>
      <c r="BD26" s="24" t="inlineStr">
        <is>
          <t>7afd5274214b58b7efd7f7febc7be3ab33b92351cda5cc6403c0a39faea0cc8c</t>
        </is>
      </c>
      <c r="BE26" s="24" t="inlineStr">
        <is>
          <t>0f848d940ea26816</t>
        </is>
      </c>
      <c r="BF26" s="24" t="inlineStr">
        <is>
          <t>1</t>
        </is>
      </c>
      <c r="BG26" s="24" t="inlineStr">
        <is>
          <t>wnba-elo-trend-lr-v4</t>
        </is>
      </c>
      <c r="BH26" s="24" t="inlineStr">
        <is>
          <t>2026-07-31T23:29:26.294036Z</t>
        </is>
      </c>
      <c r="BI26" s="24" t="inlineStr">
        <is>
          <t>["same_event","same_team_same_day","same_league_same_day"]</t>
        </is>
      </c>
      <c r="BJ26" s="25" t="n"/>
      <c r="BK26" s="26" t="n">
        <v>-150</v>
      </c>
      <c r="BL26" s="27" t="n">
        <v>1.666667</v>
      </c>
      <c r="BM26" s="28" t="n">
        <v>0.6</v>
      </c>
      <c r="BN26" s="28" t="n">
        <v>0.594059</v>
      </c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inlineStr">
        <is>
          <t>0.4036949453</t>
        </is>
      </c>
      <c r="CD26" s="24" t="inlineStr">
        <is>
          <t>-0.615194</t>
        </is>
      </c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</row>
    <row r="27" ht="36" customHeight="1">
      <c r="A27" s="24" t="inlineStr">
        <is>
          <t>0bea4ee624e94da7</t>
        </is>
      </c>
      <c r="B27" s="24" t="inlineStr">
        <is>
          <t>2026-07-31T23:29:42.171549Z</t>
        </is>
      </c>
      <c r="C27" s="24" t="inlineStr">
        <is>
          <t>2026-07-31T22:00:00-0400</t>
        </is>
      </c>
      <c r="D27" s="24" t="inlineStr">
        <is>
          <t>401857104</t>
        </is>
      </c>
      <c r="E27" s="24" t="inlineStr">
        <is>
          <t>WNBA</t>
        </is>
      </c>
      <c r="F27" s="24" t="inlineStr">
        <is>
          <t>Indiana Fever</t>
        </is>
      </c>
      <c r="G27" s="24" t="inlineStr">
        <is>
          <t>Portland Fire</t>
        </is>
      </c>
      <c r="H27" s="24" t="inlineStr">
        <is>
          <t>moneyline</t>
        </is>
      </c>
      <c r="I27" s="24" t="inlineStr">
        <is>
          <t>away</t>
        </is>
      </c>
      <c r="J27" s="25" t="n"/>
      <c r="K27" s="24" t="inlineStr">
        <is>
          <t>polymarket_us</t>
        </is>
      </c>
      <c r="L27" s="26" t="n">
        <v>-300</v>
      </c>
      <c r="M27" s="27" t="n">
        <v>1.333333</v>
      </c>
      <c r="N27" s="28" t="n">
        <v>0.75</v>
      </c>
      <c r="O27" s="28" t="n">
        <v>0.650826</v>
      </c>
      <c r="P27" s="28" t="n"/>
      <c r="Q27" s="28" t="n">
        <v>-0.099174</v>
      </c>
      <c r="R27" s="26" t="n">
        <v>0</v>
      </c>
      <c r="S27" s="29" t="n">
        <v>1.75</v>
      </c>
      <c r="T27" s="24" t="inlineStr">
        <is>
          <t>wnba-elo-trend-lr-v4</t>
        </is>
      </c>
      <c r="U27" s="24" t="inlineStr">
        <is>
          <t>settled</t>
        </is>
      </c>
      <c r="V27" s="24" t="inlineStr">
        <is>
          <t>win</t>
        </is>
      </c>
      <c r="W27" s="26" t="n">
        <v>112</v>
      </c>
      <c r="X27" s="26" t="n">
        <v>98</v>
      </c>
      <c r="Y27" s="25" t="n"/>
      <c r="Z27" s="26" t="n"/>
      <c r="AA27" s="28" t="n"/>
      <c r="AB27" s="28" t="n"/>
      <c r="AC27" s="30" t="n">
        <v>0.5833</v>
      </c>
      <c r="AD27" s="24" t="inlineStr">
        <is>
          <t>2026-08-01T05:33:36.879084Z</t>
        </is>
      </c>
      <c r="AE27" s="31" t="inlineStr">
        <is>
          <t>Learned LR call at threshold 0.5001; executable ask 0.7500 (aec-wnba-ind-por-2026-07-31); model edge vs ask -0.0992. NOTE: wnba_availability_source_conflict unavailable for this game — defaulted to neutral, other features used normally.</t>
        </is>
      </c>
      <c r="AF27" s="31" t="inlineStr">
        <is>
          <t>Learned model; shadow-qualified via operator override.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model_qualified</t>
        </is>
      </c>
      <c r="AL27" s="26" t="n">
        <v>3</v>
      </c>
      <c r="AM27" s="24" t="inlineStr">
        <is>
          <t>QUALIFIED_SHADOW_CALL</t>
        </is>
      </c>
      <c r="AN27" s="24" t="inlineStr">
        <is>
          <t>CALL</t>
        </is>
      </c>
      <c r="AO27" s="24" t="inlineStr">
        <is>
          <t>QUALIFIED</t>
        </is>
      </c>
      <c r="AP27" s="24" t="inlineStr">
        <is>
          <t>wnba-ind</t>
        </is>
      </c>
      <c r="AQ27" s="24" t="inlineStr">
        <is>
          <t>Indiana Fever</t>
        </is>
      </c>
      <c r="AR27" s="24" t="inlineStr">
        <is>
          <t>Indiana Fever</t>
        </is>
      </c>
      <c r="AS27" s="24" t="inlineStr">
        <is>
          <t>wnba-por</t>
        </is>
      </c>
      <c r="AT27" s="24" t="inlineStr">
        <is>
          <t>Portland Fire</t>
        </is>
      </c>
      <c r="AU27" s="24" t="inlineStr">
        <is>
          <t>Portland Fire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7afd5274214b58b7efd7f7febc7be3ab33b92351cda5cc6403c0a39faea0cc8c</t>
        </is>
      </c>
      <c r="BB27" s="24" t="inlineStr">
        <is>
          <t>learned_lr</t>
        </is>
      </c>
      <c r="BC27" s="24" t="inlineStr">
        <is>
          <t>wnba-elo-trend-lr-v4</t>
        </is>
      </c>
      <c r="BD27" s="24" t="inlineStr">
        <is>
          <t>7afd5274214b58b7efd7f7febc7be3ab33b92351cda5cc6403c0a39faea0cc8c</t>
        </is>
      </c>
      <c r="BE27" s="24" t="inlineStr">
        <is>
          <t>bcb9c02760c21728</t>
        </is>
      </c>
      <c r="BF27" s="24" t="inlineStr">
        <is>
          <t>1</t>
        </is>
      </c>
      <c r="BG27" s="24" t="inlineStr">
        <is>
          <t>wnba-elo-trend-lr-v4</t>
        </is>
      </c>
      <c r="BH27" s="24" t="inlineStr">
        <is>
          <t>2026-07-31T23:29:27.325378Z</t>
        </is>
      </c>
      <c r="BI27" s="24" t="inlineStr">
        <is>
          <t>["same_event","same_team_same_day","same_league_same_day"]</t>
        </is>
      </c>
      <c r="BJ27" s="25" t="n"/>
      <c r="BK27" s="26" t="n">
        <v>-300</v>
      </c>
      <c r="BL27" s="27" t="n">
        <v>1.333333</v>
      </c>
      <c r="BM27" s="28" t="n">
        <v>0.75</v>
      </c>
      <c r="BN27" s="28" t="n">
        <v>0.742574</v>
      </c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inlineStr">
        <is>
          <t>0.2910587699</t>
        </is>
      </c>
      <c r="CD27" s="24" t="inlineStr">
        <is>
          <t>-7.416658</t>
        </is>
      </c>
      <c r="CE27" s="24" t="n"/>
      <c r="CF27" s="24" t="n"/>
      <c r="CG27" s="24" t="n"/>
      <c r="CH27" s="24" t="n"/>
      <c r="CI27" s="24" t="inlineStr">
        <is>
          <t>wnba_availability_source_conflict</t>
        </is>
      </c>
      <c r="CJ27" s="24" t="n"/>
      <c r="CK27" s="24" t="n"/>
      <c r="CL27" s="24" t="n"/>
      <c r="CM27" s="24" t="n"/>
      <c r="CN27" s="24" t="n"/>
      <c r="CO27" s="24" t="n"/>
      <c r="CP27" s="24" t="n"/>
    </row>
    <row r="28" ht="36" customHeight="1">
      <c r="A28" s="24" t="inlineStr">
        <is>
          <t>85acd0343c0c4821</t>
        </is>
      </c>
      <c r="B28" s="24" t="inlineStr">
        <is>
          <t>2026-07-31T23:29:42.171549Z</t>
        </is>
      </c>
      <c r="C28" s="24" t="inlineStr">
        <is>
          <t>2026-07-31T20:15:00-0400</t>
        </is>
      </c>
      <c r="D28" s="24" t="inlineStr">
        <is>
          <t>401816340</t>
        </is>
      </c>
      <c r="E28" s="24" t="inlineStr">
        <is>
          <t>MLB</t>
        </is>
      </c>
      <c r="F28" s="24" t="inlineStr">
        <is>
          <t>Texas Rangers</t>
        </is>
      </c>
      <c r="G28" s="24" t="inlineStr">
        <is>
          <t>Houston Astros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-117</v>
      </c>
      <c r="M28" s="27" t="n">
        <v>1.854701</v>
      </c>
      <c r="N28" s="28" t="n">
        <v>0.539171</v>
      </c>
      <c r="O28" s="28" t="n">
        <v>0.548061</v>
      </c>
      <c r="P28" s="28" t="n"/>
      <c r="Q28" s="28" t="n">
        <v>0.00889</v>
      </c>
      <c r="R28" s="26" t="n">
        <v>25</v>
      </c>
      <c r="S28" s="29" t="n">
        <v>1</v>
      </c>
      <c r="T28" s="24" t="inlineStr">
        <is>
          <t>mlb-elo-trend-lr-v7</t>
        </is>
      </c>
      <c r="U28" s="24" t="inlineStr">
        <is>
          <t>settled</t>
        </is>
      </c>
      <c r="V28" s="24" t="inlineStr">
        <is>
          <t>win</t>
        </is>
      </c>
      <c r="W28" s="26" t="n">
        <v>2</v>
      </c>
      <c r="X28" s="26" t="n">
        <v>11</v>
      </c>
      <c r="Y28" s="25" t="n"/>
      <c r="Z28" s="26" t="n">
        <v>-117</v>
      </c>
      <c r="AA28" s="28" t="n">
        <v>0.54</v>
      </c>
      <c r="AB28" s="28" t="n">
        <v>0.000829</v>
      </c>
      <c r="AC28" s="30" t="n">
        <v>0.8547</v>
      </c>
      <c r="AD28" s="24" t="inlineStr">
        <is>
          <t>2026-08-01T05:33:37.468716Z</t>
        </is>
      </c>
      <c r="AE28" s="31" t="inlineStr">
        <is>
          <t>Learned LR call at threshold 0.6242; executable ask 0.5400 (aec-mlb-tex-hou-2026-07-31); model edge vs ask +0.0081.</t>
        </is>
      </c>
      <c r="AF28" s="31" t="inlineStr">
        <is>
          <t>Learned model; shadow-qualified via operator override.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model_qualified</t>
        </is>
      </c>
      <c r="AL28" s="26" t="n">
        <v>3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mlb-tex</t>
        </is>
      </c>
      <c r="AQ28" s="24" t="inlineStr">
        <is>
          <t>Texas Rangers</t>
        </is>
      </c>
      <c r="AR28" s="24" t="inlineStr">
        <is>
          <t>Texas Rangers</t>
        </is>
      </c>
      <c r="AS28" s="24" t="inlineStr">
        <is>
          <t>mlb-hou</t>
        </is>
      </c>
      <c r="AT28" s="24" t="inlineStr">
        <is>
          <t>Houston Astros</t>
        </is>
      </c>
      <c r="AU28" s="24" t="inlineStr">
        <is>
          <t>Houston Astros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464eef695bfbbdaa819ec6f5e4c5bd1068ed20b92915fb2677220ae91e20d8b6</t>
        </is>
      </c>
      <c r="BB28" s="24" t="inlineStr">
        <is>
          <t>learned_lr</t>
        </is>
      </c>
      <c r="BC28" s="24" t="inlineStr">
        <is>
          <t>mlb-elo-trend-lr-v7</t>
        </is>
      </c>
      <c r="BD28" s="24" t="inlineStr">
        <is>
          <t>464eef695bfbbdaa819ec6f5e4c5bd1068ed20b92915fb2677220ae91e20d8b6</t>
        </is>
      </c>
      <c r="BE28" s="24" t="inlineStr">
        <is>
          <t>524a0fd0934624ad</t>
        </is>
      </c>
      <c r="BF28" s="24" t="inlineStr">
        <is>
          <t>1</t>
        </is>
      </c>
      <c r="BG28" s="24" t="inlineStr">
        <is>
          <t>mlb-elo-trend-lr-v7</t>
        </is>
      </c>
      <c r="BH28" s="24" t="inlineStr">
        <is>
          <t>2026-07-31T23:29:18.070151Z</t>
        </is>
      </c>
      <c r="BI28" s="24" t="inlineStr">
        <is>
          <t>["same_event","same_team_same_day","same_league_same_day"]</t>
        </is>
      </c>
      <c r="BJ28" s="25" t="n"/>
      <c r="BK28" s="26" t="n">
        <v>-117</v>
      </c>
      <c r="BL28" s="27" t="n">
        <v>1.854701</v>
      </c>
      <c r="BM28" s="28" t="n">
        <v>0.539171</v>
      </c>
      <c r="BN28" s="28" t="n">
        <v>0.537313</v>
      </c>
      <c r="BO28" s="28" t="n"/>
      <c r="BP28" s="25" t="n"/>
      <c r="BQ28" s="27" t="n">
        <v>1.854701</v>
      </c>
      <c r="BR28" s="28" t="n">
        <v>0.54</v>
      </c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inlineStr">
        <is>
          <t>0.5417596979</t>
        </is>
      </c>
      <c r="CD28" s="24" t="inlineStr">
        <is>
          <t>0.96412</t>
        </is>
      </c>
      <c r="CE28" s="24" t="inlineStr">
        <is>
          <t>0.956</t>
        </is>
      </c>
      <c r="CF28" s="24" t="inlineStr">
        <is>
          <t>1.0</t>
        </is>
      </c>
      <c r="CG28" s="24" t="inlineStr">
        <is>
          <t>2.2</t>
        </is>
      </c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</row>
    <row r="29" ht="36" customHeight="1">
      <c r="A29" s="24" t="inlineStr">
        <is>
          <t>d639ec75665d4cd4</t>
        </is>
      </c>
      <c r="B29" s="24" t="inlineStr">
        <is>
          <t>2026-07-31T23:29:42.171549Z</t>
        </is>
      </c>
      <c r="C29" s="24" t="inlineStr">
        <is>
          <t>2026-07-31T20:40:00-0400</t>
        </is>
      </c>
      <c r="D29" s="24" t="inlineStr">
        <is>
          <t>401816341</t>
        </is>
      </c>
      <c r="E29" s="24" t="inlineStr">
        <is>
          <t>MLB</t>
        </is>
      </c>
      <c r="F29" s="24" t="inlineStr">
        <is>
          <t>Kansas City Royals</t>
        </is>
      </c>
      <c r="G29" s="24" t="inlineStr">
        <is>
          <t>Colorado Rockies</t>
        </is>
      </c>
      <c r="H29" s="24" t="inlineStr">
        <is>
          <t>moneyline</t>
        </is>
      </c>
      <c r="I29" s="24" t="inlineStr">
        <is>
          <t>away</t>
        </is>
      </c>
      <c r="J29" s="25" t="n"/>
      <c r="K29" s="24" t="inlineStr">
        <is>
          <t>polymarket_us</t>
        </is>
      </c>
      <c r="L29" s="26" t="n">
        <v>-104</v>
      </c>
      <c r="M29" s="27" t="n">
        <v>1.961538</v>
      </c>
      <c r="N29" s="28" t="n">
        <v>0.509804</v>
      </c>
      <c r="O29" s="28" t="n">
        <v>0.5955</v>
      </c>
      <c r="P29" s="28" t="n"/>
      <c r="Q29" s="28" t="n">
        <v>0.08569599999999999</v>
      </c>
      <c r="R29" s="26" t="n">
        <v>64</v>
      </c>
      <c r="S29" s="29" t="n">
        <v>1.25</v>
      </c>
      <c r="T29" s="24" t="inlineStr">
        <is>
          <t>mlb-elo-trend-lr-v7</t>
        </is>
      </c>
      <c r="U29" s="24" t="inlineStr">
        <is>
          <t>settled</t>
        </is>
      </c>
      <c r="V29" s="24" t="inlineStr">
        <is>
          <t>loss</t>
        </is>
      </c>
      <c r="W29" s="26" t="n">
        <v>1</v>
      </c>
      <c r="X29" s="26" t="n">
        <v>3</v>
      </c>
      <c r="Y29" s="25" t="n"/>
      <c r="Z29" s="26" t="n">
        <v>-104</v>
      </c>
      <c r="AA29" s="28" t="n">
        <v>0.51</v>
      </c>
      <c r="AB29" s="28" t="n">
        <v>0.000196</v>
      </c>
      <c r="AC29" s="30" t="n">
        <v>-1.25</v>
      </c>
      <c r="AD29" s="24" t="inlineStr">
        <is>
          <t>2026-08-01T05:33:37.627258Z</t>
        </is>
      </c>
      <c r="AE29" s="31" t="inlineStr">
        <is>
          <t>Learned LR call at threshold 0.6242; executable ask 0.5100 (aec-mlb-kc-col-2026-07-31); model edge vs ask +0.0855.</t>
        </is>
      </c>
      <c r="AF29" s="31" t="inlineStr">
        <is>
          <t>Learned model; shadow-qualified via operator override.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mlb-kc</t>
        </is>
      </c>
      <c r="AQ29" s="24" t="inlineStr">
        <is>
          <t>Kansas City Royals</t>
        </is>
      </c>
      <c r="AR29" s="24" t="inlineStr">
        <is>
          <t>Kansas City Royals</t>
        </is>
      </c>
      <c r="AS29" s="24" t="inlineStr">
        <is>
          <t>mlb-col</t>
        </is>
      </c>
      <c r="AT29" s="24" t="inlineStr">
        <is>
          <t>Colorado Rockies</t>
        </is>
      </c>
      <c r="AU29" s="24" t="inlineStr">
        <is>
          <t>Colorado Rockies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464eef695bfbbdaa819ec6f5e4c5bd1068ed20b92915fb2677220ae91e20d8b6</t>
        </is>
      </c>
      <c r="BB29" s="24" t="inlineStr">
        <is>
          <t>learned_lr</t>
        </is>
      </c>
      <c r="BC29" s="24" t="inlineStr">
        <is>
          <t>mlb-elo-trend-lr-v7</t>
        </is>
      </c>
      <c r="BD29" s="24" t="inlineStr">
        <is>
          <t>464eef695bfbbdaa819ec6f5e4c5bd1068ed20b92915fb2677220ae91e20d8b6</t>
        </is>
      </c>
      <c r="BE29" s="24" t="inlineStr">
        <is>
          <t>923d07b1b3b0c2bd</t>
        </is>
      </c>
      <c r="BF29" s="24" t="inlineStr">
        <is>
          <t>1</t>
        </is>
      </c>
      <c r="BG29" s="24" t="inlineStr">
        <is>
          <t>mlb-elo-trend-lr-v7</t>
        </is>
      </c>
      <c r="BH29" s="24" t="inlineStr">
        <is>
          <t>2026-07-31T23:29:19.286255Z</t>
        </is>
      </c>
      <c r="BI29" s="24" t="inlineStr">
        <is>
          <t>["same_event","same_team_same_day","same_league_same_day"]</t>
        </is>
      </c>
      <c r="BJ29" s="25" t="n"/>
      <c r="BK29" s="26" t="n">
        <v>-104</v>
      </c>
      <c r="BL29" s="27" t="n">
        <v>1.961538</v>
      </c>
      <c r="BM29" s="28" t="n">
        <v>0.509804</v>
      </c>
      <c r="BN29" s="28" t="n">
        <v>0.507463</v>
      </c>
      <c r="BO29" s="28" t="n"/>
      <c r="BP29" s="25" t="n"/>
      <c r="BQ29" s="27" t="n">
        <v>1.961538</v>
      </c>
      <c r="BR29" s="28" t="n">
        <v>0.51</v>
      </c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inlineStr">
        <is>
          <t>0.4263386442</t>
        </is>
      </c>
      <c r="CD29" s="24" t="inlineStr">
        <is>
          <t>-0.092509</t>
        </is>
      </c>
      <c r="CE29" s="24" t="inlineStr">
        <is>
          <t>1.193</t>
        </is>
      </c>
      <c r="CF29" s="24" t="inlineStr">
        <is>
          <t>1.0177</t>
        </is>
      </c>
      <c r="CG29" s="24" t="inlineStr">
        <is>
          <t>3.8</t>
        </is>
      </c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</row>
    <row r="30" ht="36" customHeight="1">
      <c r="A30" s="24" t="inlineStr">
        <is>
          <t>7a55bfe00e684792</t>
        </is>
      </c>
      <c r="B30" s="24" t="inlineStr">
        <is>
          <t>2026-07-31T23:29:42.171549Z</t>
        </is>
      </c>
      <c r="C30" s="24" t="inlineStr">
        <is>
          <t>2026-07-31T21:38:00-0400</t>
        </is>
      </c>
      <c r="D30" s="24" t="inlineStr">
        <is>
          <t>401816344</t>
        </is>
      </c>
      <c r="E30" s="24" t="inlineStr">
        <is>
          <t>MLB</t>
        </is>
      </c>
      <c r="F30" s="24" t="inlineStr">
        <is>
          <t>Milwaukee Brewers</t>
        </is>
      </c>
      <c r="G30" s="24" t="inlineStr">
        <is>
          <t>Los Angeles Angels</t>
        </is>
      </c>
      <c r="H30" s="24" t="inlineStr">
        <is>
          <t>moneyline</t>
        </is>
      </c>
      <c r="I30" s="24" t="inlineStr">
        <is>
          <t>away</t>
        </is>
      </c>
      <c r="J30" s="25" t="n"/>
      <c r="K30" s="24" t="inlineStr">
        <is>
          <t>polymarket_us</t>
        </is>
      </c>
      <c r="L30" s="26" t="n">
        <v>-156</v>
      </c>
      <c r="M30" s="27" t="n">
        <v>1.641026</v>
      </c>
      <c r="N30" s="28" t="n">
        <v>0.609375</v>
      </c>
      <c r="O30" s="28" t="n">
        <v>0.623039</v>
      </c>
      <c r="P30" s="28" t="n"/>
      <c r="Q30" s="28" t="n">
        <v>0.013664</v>
      </c>
      <c r="R30" s="26" t="n">
        <v>28</v>
      </c>
      <c r="S30" s="29" t="n">
        <v>1.5</v>
      </c>
      <c r="T30" s="24" t="inlineStr">
        <is>
          <t>mlb-elo-trend-lr-v7</t>
        </is>
      </c>
      <c r="U30" s="24" t="inlineStr">
        <is>
          <t>settled</t>
        </is>
      </c>
      <c r="V30" s="24" t="inlineStr">
        <is>
          <t>win</t>
        </is>
      </c>
      <c r="W30" s="26" t="n">
        <v>6</v>
      </c>
      <c r="X30" s="26" t="n">
        <v>2</v>
      </c>
      <c r="Y30" s="25" t="n"/>
      <c r="Z30" s="26" t="n">
        <v>-156</v>
      </c>
      <c r="AA30" s="28" t="n">
        <v>0.61</v>
      </c>
      <c r="AB30" s="28" t="n">
        <v>0.000625</v>
      </c>
      <c r="AC30" s="30" t="n">
        <v>0.9615</v>
      </c>
      <c r="AD30" s="24" t="inlineStr">
        <is>
          <t>2026-08-01T05:33:37.785411Z</t>
        </is>
      </c>
      <c r="AE30" s="31" t="inlineStr">
        <is>
          <t>Learned LR call at threshold 0.6242; executable ask 0.6100 (aec-mlb-mil-laa-2026-07-31); model edge vs ask +0.0130.</t>
        </is>
      </c>
      <c r="AF30" s="31" t="inlineStr">
        <is>
          <t>Learned model; shadow-qualified via operator override.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3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</t>
        </is>
      </c>
      <c r="AP30" s="24" t="inlineStr">
        <is>
          <t>mlb-mil</t>
        </is>
      </c>
      <c r="AQ30" s="24" t="inlineStr">
        <is>
          <t>Milwaukee Brewers</t>
        </is>
      </c>
      <c r="AR30" s="24" t="inlineStr">
        <is>
          <t>Milwaukee Brewers</t>
        </is>
      </c>
      <c r="AS30" s="24" t="inlineStr">
        <is>
          <t>mlb-laa</t>
        </is>
      </c>
      <c r="AT30" s="24" t="inlineStr">
        <is>
          <t>Los Angeles Angels</t>
        </is>
      </c>
      <c r="AU30" s="24" t="inlineStr">
        <is>
          <t>Los Angeles Angels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464eef695bfbbdaa819ec6f5e4c5bd1068ed20b92915fb2677220ae91e20d8b6</t>
        </is>
      </c>
      <c r="BB30" s="24" t="inlineStr">
        <is>
          <t>learned_lr</t>
        </is>
      </c>
      <c r="BC30" s="24" t="inlineStr">
        <is>
          <t>mlb-elo-trend-lr-v7</t>
        </is>
      </c>
      <c r="BD30" s="24" t="inlineStr">
        <is>
          <t>464eef695bfbbdaa819ec6f5e4c5bd1068ed20b92915fb2677220ae91e20d8b6</t>
        </is>
      </c>
      <c r="BE30" s="24" t="inlineStr">
        <is>
          <t>536a32a342b89fa6</t>
        </is>
      </c>
      <c r="BF30" s="24" t="inlineStr">
        <is>
          <t>1</t>
        </is>
      </c>
      <c r="BG30" s="24" t="inlineStr">
        <is>
          <t>mlb-elo-trend-lr-v7</t>
        </is>
      </c>
      <c r="BH30" s="24" t="inlineStr">
        <is>
          <t>2026-07-31T23:29:19.944430Z</t>
        </is>
      </c>
      <c r="BI30" s="24" t="inlineStr">
        <is>
          <t>["same_event","same_team_same_day","same_league_same_day"]</t>
        </is>
      </c>
      <c r="BJ30" s="25" t="n"/>
      <c r="BK30" s="26" t="n">
        <v>-156</v>
      </c>
      <c r="BL30" s="27" t="n">
        <v>1.641026</v>
      </c>
      <c r="BM30" s="28" t="n">
        <v>0.609375</v>
      </c>
      <c r="BN30" s="28" t="n">
        <v>0.606965</v>
      </c>
      <c r="BO30" s="28" t="n"/>
      <c r="BP30" s="25" t="n"/>
      <c r="BQ30" s="27" t="n">
        <v>1.641026</v>
      </c>
      <c r="BR30" s="28" t="n">
        <v>0.61</v>
      </c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inlineStr">
        <is>
          <t>0.3355785191</t>
        </is>
      </c>
      <c r="CD30" s="24" t="inlineStr">
        <is>
          <t>-0.284241</t>
        </is>
      </c>
      <c r="CE30" s="24" t="inlineStr">
        <is>
          <t>1.01</t>
        </is>
      </c>
      <c r="CF30" s="24" t="inlineStr">
        <is>
          <t>1.0122</t>
        </is>
      </c>
      <c r="CG30" s="24" t="inlineStr">
        <is>
          <t>-0.4</t>
        </is>
      </c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</row>
    <row r="31" ht="36" customHeight="1">
      <c r="A31" s="24" t="inlineStr">
        <is>
          <t>a233d41d3a6a4baf</t>
        </is>
      </c>
      <c r="B31" s="24" t="inlineStr">
        <is>
          <t>2026-07-31T23:29:42.171549Z</t>
        </is>
      </c>
      <c r="C31" s="24" t="inlineStr">
        <is>
          <t>2026-07-31T21:40:00-0400</t>
        </is>
      </c>
      <c r="D31" s="24" t="inlineStr">
        <is>
          <t>401816343</t>
        </is>
      </c>
      <c r="E31" s="24" t="inlineStr">
        <is>
          <t>MLB</t>
        </is>
      </c>
      <c r="F31" s="24" t="inlineStr">
        <is>
          <t>Detroit Tigers</t>
        </is>
      </c>
      <c r="G31" s="24" t="inlineStr">
        <is>
          <t>Athletics</t>
        </is>
      </c>
      <c r="H31" s="24" t="inlineStr">
        <is>
          <t>moneyline</t>
        </is>
      </c>
      <c r="I31" s="24" t="inlineStr">
        <is>
          <t>away</t>
        </is>
      </c>
      <c r="J31" s="25" t="n"/>
      <c r="K31" s="24" t="inlineStr">
        <is>
          <t>polymarket_us</t>
        </is>
      </c>
      <c r="L31" s="26" t="n">
        <v>-130</v>
      </c>
      <c r="M31" s="27" t="n">
        <v>1.769231</v>
      </c>
      <c r="N31" s="28" t="n">
        <v>0.565217</v>
      </c>
      <c r="O31" s="28" t="n">
        <v>0.557314</v>
      </c>
      <c r="P31" s="28" t="n"/>
      <c r="Q31" s="28" t="n">
        <v>-0.007903</v>
      </c>
      <c r="R31" s="26" t="n">
        <v>18</v>
      </c>
      <c r="S31" s="29" t="n">
        <v>1</v>
      </c>
      <c r="T31" s="24" t="inlineStr">
        <is>
          <t>mlb-elo-trend-lr-v7</t>
        </is>
      </c>
      <c r="U31" s="24" t="inlineStr">
        <is>
          <t>settled</t>
        </is>
      </c>
      <c r="V31" s="24" t="inlineStr">
        <is>
          <t>win</t>
        </is>
      </c>
      <c r="W31" s="26" t="n">
        <v>13</v>
      </c>
      <c r="X31" s="26" t="n">
        <v>1</v>
      </c>
      <c r="Y31" s="25" t="n"/>
      <c r="Z31" s="26" t="n">
        <v>-130</v>
      </c>
      <c r="AA31" s="28" t="n">
        <v>0.5649999999999999</v>
      </c>
      <c r="AB31" s="28" t="n">
        <v>-0.000217</v>
      </c>
      <c r="AC31" s="30" t="n">
        <v>0.7692</v>
      </c>
      <c r="AD31" s="24" t="inlineStr">
        <is>
          <t>2026-08-01T05:33:37.940053Z</t>
        </is>
      </c>
      <c r="AE31" s="31" t="inlineStr">
        <is>
          <t>Learned LR call at threshold 0.6242; executable ask 0.5650 (aec-mlb-det-ath-2026-07-31); model edge vs ask -0.0077.</t>
        </is>
      </c>
      <c r="AF31" s="31" t="inlineStr">
        <is>
          <t>Learned model; shadow-qualified via operator override.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model_qualified</t>
        </is>
      </c>
      <c r="AL31" s="26" t="n">
        <v>3</v>
      </c>
      <c r="AM31" s="24" t="inlineStr">
        <is>
          <t>QUALIFIED_SHADOW_CALL</t>
        </is>
      </c>
      <c r="AN31" s="24" t="inlineStr">
        <is>
          <t>CALL</t>
        </is>
      </c>
      <c r="AO31" s="24" t="inlineStr">
        <is>
          <t>QUALIFIED</t>
        </is>
      </c>
      <c r="AP31" s="24" t="inlineStr">
        <is>
          <t>mlb-det</t>
        </is>
      </c>
      <c r="AQ31" s="24" t="inlineStr">
        <is>
          <t>Detroit Tigers</t>
        </is>
      </c>
      <c r="AR31" s="24" t="inlineStr">
        <is>
          <t>Detroit Tigers</t>
        </is>
      </c>
      <c r="AS31" s="24" t="inlineStr">
        <is>
          <t>mlb-ath</t>
        </is>
      </c>
      <c r="AT31" s="24" t="inlineStr">
        <is>
          <t>Athletics</t>
        </is>
      </c>
      <c r="AU31" s="24" t="inlineStr">
        <is>
          <t>Athletics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464eef695bfbbdaa819ec6f5e4c5bd1068ed20b92915fb2677220ae91e20d8b6</t>
        </is>
      </c>
      <c r="BB31" s="24" t="inlineStr">
        <is>
          <t>learned_lr</t>
        </is>
      </c>
      <c r="BC31" s="24" t="inlineStr">
        <is>
          <t>mlb-elo-trend-lr-v7</t>
        </is>
      </c>
      <c r="BD31" s="24" t="inlineStr">
        <is>
          <t>464eef695bfbbdaa819ec6f5e4c5bd1068ed20b92915fb2677220ae91e20d8b6</t>
        </is>
      </c>
      <c r="BE31" s="24" t="inlineStr">
        <is>
          <t>eaf96e9b22f1492f</t>
        </is>
      </c>
      <c r="BF31" s="24" t="inlineStr">
        <is>
          <t>1</t>
        </is>
      </c>
      <c r="BG31" s="24" t="inlineStr">
        <is>
          <t>mlb-elo-trend-lr-v7</t>
        </is>
      </c>
      <c r="BH31" s="24" t="inlineStr">
        <is>
          <t>2026-07-31T23:29:20.970194Z</t>
        </is>
      </c>
      <c r="BI31" s="24" t="inlineStr">
        <is>
          <t>["same_event","same_team_same_day","same_league_same_day"]</t>
        </is>
      </c>
      <c r="BJ31" s="25" t="n"/>
      <c r="BK31" s="26" t="n">
        <v>-130</v>
      </c>
      <c r="BL31" s="27" t="n">
        <v>1.769231</v>
      </c>
      <c r="BM31" s="28" t="n">
        <v>0.565217</v>
      </c>
      <c r="BN31" s="28" t="n">
        <v>0.562189</v>
      </c>
      <c r="BO31" s="28" t="n"/>
      <c r="BP31" s="25" t="n"/>
      <c r="BQ31" s="27" t="n">
        <v>1.769231</v>
      </c>
      <c r="BR31" s="28" t="n">
        <v>0.5649999999999999</v>
      </c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inlineStr">
        <is>
          <t>0.4303979443</t>
        </is>
      </c>
      <c r="CD31" s="24" t="inlineStr">
        <is>
          <t>-2.346854</t>
        </is>
      </c>
      <c r="CE31" s="24" t="inlineStr">
        <is>
          <t>1.153</t>
        </is>
      </c>
      <c r="CF31" s="24" t="inlineStr">
        <is>
          <t>1.0239</t>
        </is>
      </c>
      <c r="CG31" s="24" t="inlineStr">
        <is>
          <t>0.6</t>
        </is>
      </c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</row>
    <row r="32" ht="36" customHeight="1">
      <c r="A32" s="24" t="inlineStr">
        <is>
          <t>0ef1057c870b44ab</t>
        </is>
      </c>
      <c r="B32" s="24" t="inlineStr">
        <is>
          <t>2026-07-31T23:29:42.171549Z</t>
        </is>
      </c>
      <c r="C32" s="24" t="inlineStr">
        <is>
          <t>2026-07-31T21:45:00-0400</t>
        </is>
      </c>
      <c r="D32" s="24" t="inlineStr">
        <is>
          <t>401816346</t>
        </is>
      </c>
      <c r="E32" s="24" t="inlineStr">
        <is>
          <t>MLB</t>
        </is>
      </c>
      <c r="F32" s="24" t="inlineStr">
        <is>
          <t>San Francisco Giants</t>
        </is>
      </c>
      <c r="G32" s="24" t="inlineStr">
        <is>
          <t>San Diego Padres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-138</v>
      </c>
      <c r="M32" s="27" t="n">
        <v>1.724638</v>
      </c>
      <c r="N32" s="28" t="n">
        <v>0.579832</v>
      </c>
      <c r="O32" s="28" t="n">
        <v>0.594553</v>
      </c>
      <c r="P32" s="28" t="n"/>
      <c r="Q32" s="28" t="n">
        <v>0.014721</v>
      </c>
      <c r="R32" s="26" t="n">
        <v>29</v>
      </c>
      <c r="S32" s="29" t="n">
        <v>1.25</v>
      </c>
      <c r="T32" s="24" t="inlineStr">
        <is>
          <t>mlb-elo-trend-lr-v7</t>
        </is>
      </c>
      <c r="U32" s="24" t="inlineStr">
        <is>
          <t>settled</t>
        </is>
      </c>
      <c r="V32" s="24" t="inlineStr">
        <is>
          <t>win</t>
        </is>
      </c>
      <c r="W32" s="26" t="n">
        <v>0</v>
      </c>
      <c r="X32" s="26" t="n">
        <v>7</v>
      </c>
      <c r="Y32" s="25" t="n"/>
      <c r="Z32" s="26" t="n">
        <v>-138</v>
      </c>
      <c r="AA32" s="28" t="n">
        <v>0.58</v>
      </c>
      <c r="AB32" s="28" t="n">
        <v>0.000168</v>
      </c>
      <c r="AC32" s="30" t="n">
        <v>0.9058</v>
      </c>
      <c r="AD32" s="24" t="inlineStr">
        <is>
          <t>2026-08-01T05:33:38.097690Z</t>
        </is>
      </c>
      <c r="AE32" s="31" t="inlineStr">
        <is>
          <t>Learned LR call at threshold 0.6242; executable ask 0.5800 (aec-mlb-sf-sd-2026-07-31); model edge vs ask +0.0146.</t>
        </is>
      </c>
      <c r="AF32" s="31" t="inlineStr">
        <is>
          <t>Learned model; shadow-qualified via operator override.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mlb-sf</t>
        </is>
      </c>
      <c r="AQ32" s="24" t="inlineStr">
        <is>
          <t>San Francisco Giants</t>
        </is>
      </c>
      <c r="AR32" s="24" t="inlineStr">
        <is>
          <t>San Francisco Giants</t>
        </is>
      </c>
      <c r="AS32" s="24" t="inlineStr">
        <is>
          <t>mlb-sd</t>
        </is>
      </c>
      <c r="AT32" s="24" t="inlineStr">
        <is>
          <t>San Diego Padres</t>
        </is>
      </c>
      <c r="AU32" s="24" t="inlineStr">
        <is>
          <t>San Diego Padres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464eef695bfbbdaa819ec6f5e4c5bd1068ed20b92915fb2677220ae91e20d8b6</t>
        </is>
      </c>
      <c r="BB32" s="24" t="inlineStr">
        <is>
          <t>learned_lr</t>
        </is>
      </c>
      <c r="BC32" s="24" t="inlineStr">
        <is>
          <t>mlb-elo-trend-lr-v7</t>
        </is>
      </c>
      <c r="BD32" s="24" t="inlineStr">
        <is>
          <t>464eef695bfbbdaa819ec6f5e4c5bd1068ed20b92915fb2677220ae91e20d8b6</t>
        </is>
      </c>
      <c r="BE32" s="24" t="inlineStr">
        <is>
          <t>9df16cb5c93b6892</t>
        </is>
      </c>
      <c r="BF32" s="24" t="inlineStr">
        <is>
          <t>1</t>
        </is>
      </c>
      <c r="BG32" s="24" t="inlineStr">
        <is>
          <t>mlb-elo-trend-lr-v7</t>
        </is>
      </c>
      <c r="BH32" s="24" t="inlineStr">
        <is>
          <t>2026-07-31T23:29:22.107755Z</t>
        </is>
      </c>
      <c r="BI32" s="24" t="inlineStr">
        <is>
          <t>["same_event","same_team_same_day","same_league_same_day"]</t>
        </is>
      </c>
      <c r="BJ32" s="25" t="n"/>
      <c r="BK32" s="26" t="n">
        <v>-138</v>
      </c>
      <c r="BL32" s="27" t="n">
        <v>1.724638</v>
      </c>
      <c r="BM32" s="28" t="n">
        <v>0.579832</v>
      </c>
      <c r="BN32" s="28" t="n">
        <v>0.577114</v>
      </c>
      <c r="BO32" s="28" t="n"/>
      <c r="BP32" s="25" t="n"/>
      <c r="BQ32" s="27" t="n">
        <v>1.724638</v>
      </c>
      <c r="BR32" s="28" t="n">
        <v>0.58</v>
      </c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inlineStr">
        <is>
          <t>0.5827558821</t>
        </is>
      </c>
      <c r="CD32" s="24" t="inlineStr">
        <is>
          <t>-1.601104</t>
        </is>
      </c>
      <c r="CE32" s="24" t="inlineStr">
        <is>
          <t>0.945</t>
        </is>
      </c>
      <c r="CF32" s="24" t="inlineStr">
        <is>
          <t>1.0049</t>
        </is>
      </c>
      <c r="CG32" s="24" t="inlineStr">
        <is>
          <t>-0.2</t>
        </is>
      </c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</row>
    <row r="33" ht="36" customHeight="1">
      <c r="A33" s="24" t="inlineStr">
        <is>
          <t>cdd8222bf68c48e0</t>
        </is>
      </c>
      <c r="B33" s="24" t="inlineStr">
        <is>
          <t>2026-07-31T23:29:42.171549Z</t>
        </is>
      </c>
      <c r="C33" s="24" t="inlineStr">
        <is>
          <t>2026-07-31T22:10:00-0400</t>
        </is>
      </c>
      <c r="D33" s="24" t="inlineStr">
        <is>
          <t>401816342</t>
        </is>
      </c>
      <c r="E33" s="24" t="inlineStr">
        <is>
          <t>MLB</t>
        </is>
      </c>
      <c r="F33" s="24" t="inlineStr">
        <is>
          <t>Boston Red Sox</t>
        </is>
      </c>
      <c r="G33" s="24" t="inlineStr">
        <is>
          <t>Los Angeles Dodgers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-125</v>
      </c>
      <c r="M33" s="27" t="n">
        <v>1.8</v>
      </c>
      <c r="N33" s="28" t="n">
        <v>0.555556</v>
      </c>
      <c r="O33" s="28" t="n">
        <v>0.564527</v>
      </c>
      <c r="P33" s="28" t="n"/>
      <c r="Q33" s="28" t="n">
        <v>0.008971</v>
      </c>
      <c r="R33" s="26" t="n">
        <v>26</v>
      </c>
      <c r="S33" s="29" t="n">
        <v>1</v>
      </c>
      <c r="T33" s="24" t="inlineStr">
        <is>
          <t>mlb-elo-trend-lr-v7</t>
        </is>
      </c>
      <c r="U33" s="24" t="inlineStr">
        <is>
          <t>settled</t>
        </is>
      </c>
      <c r="V33" s="24" t="inlineStr">
        <is>
          <t>loss</t>
        </is>
      </c>
      <c r="W33" s="26" t="n">
        <v>9</v>
      </c>
      <c r="X33" s="26" t="n">
        <v>4</v>
      </c>
      <c r="Y33" s="25" t="n"/>
      <c r="Z33" s="26" t="n">
        <v>-125</v>
      </c>
      <c r="AA33" s="28" t="n">
        <v>0.555</v>
      </c>
      <c r="AB33" s="28" t="n">
        <v>-0.000556</v>
      </c>
      <c r="AC33" s="30" t="n">
        <v>-1</v>
      </c>
      <c r="AD33" s="24" t="inlineStr">
        <is>
          <t>2026-08-01T05:33:38.254661Z</t>
        </is>
      </c>
      <c r="AE33" s="31" t="inlineStr">
        <is>
          <t>Learned LR call at threshold 0.6242; executable ask 0.5550 (aec-mlb-bos-lad-2026-07-31); model edge vs ask +0.0095.</t>
        </is>
      </c>
      <c r="AF33" s="31" t="inlineStr">
        <is>
          <t>Learned model; shadow-qualified via operator override.</t>
        </is>
      </c>
      <c r="AG33" s="24" t="inlineStr">
        <is>
          <t>review_required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mlb-bos</t>
        </is>
      </c>
      <c r="AQ33" s="24" t="inlineStr">
        <is>
          <t>Boston Red Sox</t>
        </is>
      </c>
      <c r="AR33" s="24" t="inlineStr">
        <is>
          <t>Boston Red Sox</t>
        </is>
      </c>
      <c r="AS33" s="24" t="inlineStr">
        <is>
          <t>mlb-lad</t>
        </is>
      </c>
      <c r="AT33" s="24" t="inlineStr">
        <is>
          <t>Los Angeles Dodgers</t>
        </is>
      </c>
      <c r="AU33" s="24" t="inlineStr">
        <is>
          <t>Los Angeles Dodgers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464eef695bfbbdaa819ec6f5e4c5bd1068ed20b92915fb2677220ae91e20d8b6</t>
        </is>
      </c>
      <c r="BB33" s="24" t="inlineStr">
        <is>
          <t>learned_lr</t>
        </is>
      </c>
      <c r="BC33" s="24" t="inlineStr">
        <is>
          <t>mlb-elo-trend-lr-v7</t>
        </is>
      </c>
      <c r="BD33" s="24" t="inlineStr">
        <is>
          <t>464eef695bfbbdaa819ec6f5e4c5bd1068ed20b92915fb2677220ae91e20d8b6</t>
        </is>
      </c>
      <c r="BE33" s="24" t="inlineStr">
        <is>
          <t>eadca7460f5bd810</t>
        </is>
      </c>
      <c r="BF33" s="24" t="inlineStr">
        <is>
          <t>1</t>
        </is>
      </c>
      <c r="BG33" s="24" t="inlineStr">
        <is>
          <t>mlb-elo-trend-lr-v7</t>
        </is>
      </c>
      <c r="BH33" s="24" t="inlineStr">
        <is>
          <t>2026-07-31T23:29:23.984993Z</t>
        </is>
      </c>
      <c r="BI33" s="24" t="inlineStr">
        <is>
          <t>["same_event","same_team_same_day","same_league_same_day"]</t>
        </is>
      </c>
      <c r="BJ33" s="25" t="n"/>
      <c r="BK33" s="26" t="n">
        <v>-125</v>
      </c>
      <c r="BL33" s="27" t="n">
        <v>1.8</v>
      </c>
      <c r="BM33" s="28" t="n">
        <v>0.555556</v>
      </c>
      <c r="BN33" s="28" t="n">
        <v>0.552239</v>
      </c>
      <c r="BO33" s="28" t="n"/>
      <c r="BP33" s="25" t="n"/>
      <c r="BQ33" s="27" t="n">
        <v>1.8</v>
      </c>
      <c r="BR33" s="28" t="n">
        <v>0.555</v>
      </c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inlineStr">
        <is>
          <t>0.5626775445</t>
        </is>
      </c>
      <c r="CD33" s="24" t="inlineStr">
        <is>
          <t>0.365039</t>
        </is>
      </c>
      <c r="CE33" s="24" t="inlineStr">
        <is>
          <t>1.026</t>
        </is>
      </c>
      <c r="CF33" s="24" t="inlineStr">
        <is>
          <t>1.0057</t>
        </is>
      </c>
      <c r="CG33" s="24" t="inlineStr">
        <is>
          <t>2.2</t>
        </is>
      </c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</row>
    <row r="34" ht="36" customHeight="1">
      <c r="A34" s="24" t="inlineStr">
        <is>
          <t>3238fa920c2d4210</t>
        </is>
      </c>
      <c r="B34" s="24" t="inlineStr">
        <is>
          <t>2026-07-31T23:29:42.171549Z</t>
        </is>
      </c>
      <c r="C34" s="24" t="inlineStr">
        <is>
          <t>2026-07-31T22:10:00-0400</t>
        </is>
      </c>
      <c r="D34" s="24" t="inlineStr">
        <is>
          <t>401816345</t>
        </is>
      </c>
      <c r="E34" s="24" t="inlineStr">
        <is>
          <t>MLB</t>
        </is>
      </c>
      <c r="F34" s="24" t="inlineStr">
        <is>
          <t>Minnesota Twins</t>
        </is>
      </c>
      <c r="G34" s="24" t="inlineStr">
        <is>
          <t>Seattle Mariners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-156</v>
      </c>
      <c r="M34" s="27" t="n">
        <v>1.641026</v>
      </c>
      <c r="N34" s="28" t="n">
        <v>0.609375</v>
      </c>
      <c r="O34" s="28" t="n">
        <v>0.5951070000000001</v>
      </c>
      <c r="P34" s="28" t="n"/>
      <c r="Q34" s="28" t="n">
        <v>-0.014268</v>
      </c>
      <c r="R34" s="26" t="n">
        <v>14</v>
      </c>
      <c r="S34" s="29" t="n">
        <v>1.25</v>
      </c>
      <c r="T34" s="24" t="inlineStr">
        <is>
          <t>mlb-elo-trend-lr-v7</t>
        </is>
      </c>
      <c r="U34" s="24" t="inlineStr">
        <is>
          <t>settled</t>
        </is>
      </c>
      <c r="V34" s="24" t="inlineStr">
        <is>
          <t>loss</t>
        </is>
      </c>
      <c r="W34" s="26" t="n">
        <v>5</v>
      </c>
      <c r="X34" s="26" t="n">
        <v>3</v>
      </c>
      <c r="Y34" s="25" t="n"/>
      <c r="Z34" s="26" t="n">
        <v>-156</v>
      </c>
      <c r="AA34" s="28" t="n">
        <v>0.61</v>
      </c>
      <c r="AB34" s="28" t="n">
        <v>0.000625</v>
      </c>
      <c r="AC34" s="30" t="n">
        <v>-1.25</v>
      </c>
      <c r="AD34" s="24" t="inlineStr">
        <is>
          <t>2026-08-01T05:33:38.427797Z</t>
        </is>
      </c>
      <c r="AE34" s="31" t="inlineStr">
        <is>
          <t>Learned LR call at threshold 0.6242; executable ask 0.6100 (aec-mlb-min-sea-2026-07-31); model edge vs ask -0.0149.</t>
        </is>
      </c>
      <c r="AF34" s="31" t="inlineStr">
        <is>
          <t>Learned model; shadow-qualified via operator override.</t>
        </is>
      </c>
      <c r="AG34" s="24" t="inlineStr">
        <is>
          <t>review_required</t>
        </is>
      </c>
      <c r="AH34" s="24" t="n"/>
      <c r="AI34" s="31" t="n"/>
      <c r="AJ34" s="31" t="n"/>
      <c r="AK34" s="24" t="inlineStr">
        <is>
          <t>model_qualified</t>
        </is>
      </c>
      <c r="AL34" s="26" t="n">
        <v>3</v>
      </c>
      <c r="AM34" s="24" t="inlineStr">
        <is>
          <t>QUALIFIED_SHADOW_CALL</t>
        </is>
      </c>
      <c r="AN34" s="24" t="inlineStr">
        <is>
          <t>CALL</t>
        </is>
      </c>
      <c r="AO34" s="24" t="inlineStr">
        <is>
          <t>QUALIFIED</t>
        </is>
      </c>
      <c r="AP34" s="24" t="inlineStr">
        <is>
          <t>mlb-min</t>
        </is>
      </c>
      <c r="AQ34" s="24" t="inlineStr">
        <is>
          <t>Minnesota Twins</t>
        </is>
      </c>
      <c r="AR34" s="24" t="inlineStr">
        <is>
          <t>Minnesota Twins</t>
        </is>
      </c>
      <c r="AS34" s="24" t="inlineStr">
        <is>
          <t>mlb-sea</t>
        </is>
      </c>
      <c r="AT34" s="24" t="inlineStr">
        <is>
          <t>Seattle Mariners</t>
        </is>
      </c>
      <c r="AU34" s="24" t="inlineStr">
        <is>
          <t>Seattle Mariners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464eef695bfbbdaa819ec6f5e4c5bd1068ed20b92915fb2677220ae91e20d8b6</t>
        </is>
      </c>
      <c r="BB34" s="24" t="inlineStr">
        <is>
          <t>learned_lr</t>
        </is>
      </c>
      <c r="BC34" s="24" t="inlineStr">
        <is>
          <t>mlb-elo-trend-lr-v7</t>
        </is>
      </c>
      <c r="BD34" s="24" t="inlineStr">
        <is>
          <t>464eef695bfbbdaa819ec6f5e4c5bd1068ed20b92915fb2677220ae91e20d8b6</t>
        </is>
      </c>
      <c r="BE34" s="24" t="inlineStr">
        <is>
          <t>883ee144c0c8e904</t>
        </is>
      </c>
      <c r="BF34" s="24" t="inlineStr">
        <is>
          <t>1</t>
        </is>
      </c>
      <c r="BG34" s="24" t="inlineStr">
        <is>
          <t>mlb-elo-trend-lr-v7</t>
        </is>
      </c>
      <c r="BH34" s="24" t="inlineStr">
        <is>
          <t>2026-07-31T23:29:23.070250Z</t>
        </is>
      </c>
      <c r="BI34" s="24" t="inlineStr">
        <is>
          <t>["same_event","same_team_same_day","same_league_same_day"]</t>
        </is>
      </c>
      <c r="BJ34" s="25" t="n"/>
      <c r="BK34" s="26" t="n">
        <v>-156</v>
      </c>
      <c r="BL34" s="27" t="n">
        <v>1.641026</v>
      </c>
      <c r="BM34" s="28" t="n">
        <v>0.609375</v>
      </c>
      <c r="BN34" s="28" t="n">
        <v>0.606965</v>
      </c>
      <c r="BO34" s="28" t="n"/>
      <c r="BP34" s="25" t="n"/>
      <c r="BQ34" s="27" t="n">
        <v>1.641026</v>
      </c>
      <c r="BR34" s="28" t="n">
        <v>0.61</v>
      </c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inlineStr">
        <is>
          <t>0.5861386615</t>
        </is>
      </c>
      <c r="CD34" s="24" t="inlineStr">
        <is>
          <t>1.241555</t>
        </is>
      </c>
      <c r="CE34" s="24" t="inlineStr">
        <is>
          <t>0.936</t>
        </is>
      </c>
      <c r="CF34" s="24" t="inlineStr">
        <is>
          <t>1.0</t>
        </is>
      </c>
      <c r="CG34" s="24" t="inlineStr">
        <is>
          <t>1.4</t>
        </is>
      </c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</row>
    <row r="35" ht="36" customHeight="1">
      <c r="A35" s="24" t="inlineStr">
        <is>
          <t>2c06cda7ea4b4a18</t>
        </is>
      </c>
      <c r="B35" s="24" t="inlineStr">
        <is>
          <t>2026-08-01T16:50:21.394933Z</t>
        </is>
      </c>
      <c r="C35" s="24" t="inlineStr">
        <is>
          <t>2026-08-01T13:00:00-0400</t>
        </is>
      </c>
      <c r="D35" s="24" t="inlineStr">
        <is>
          <t>401857105</t>
        </is>
      </c>
      <c r="E35" s="24" t="inlineStr">
        <is>
          <t>WNBA</t>
        </is>
      </c>
      <c r="F35" s="24" t="inlineStr">
        <is>
          <t>Las Vegas Aces</t>
        </is>
      </c>
      <c r="G35" s="24" t="inlineStr">
        <is>
          <t>Chicago Sky</t>
        </is>
      </c>
      <c r="H35" s="24" t="inlineStr">
        <is>
          <t>moneyline</t>
        </is>
      </c>
      <c r="I35" s="24" t="inlineStr">
        <is>
          <t>away</t>
        </is>
      </c>
      <c r="J35" s="25" t="n"/>
      <c r="K35" s="24" t="inlineStr">
        <is>
          <t>polymarket_us</t>
        </is>
      </c>
      <c r="L35" s="26" t="n">
        <v>-245</v>
      </c>
      <c r="M35" s="27" t="n">
        <v>1.408163</v>
      </c>
      <c r="N35" s="28" t="n">
        <v>0.710145</v>
      </c>
      <c r="O35" s="28" t="n">
        <v>0.646163</v>
      </c>
      <c r="P35" s="28" t="n"/>
      <c r="Q35" s="28" t="n">
        <v>-0.063982</v>
      </c>
      <c r="R35" s="26" t="n">
        <v>0</v>
      </c>
      <c r="S35" s="29" t="n">
        <v>1.75</v>
      </c>
      <c r="T35" s="24" t="inlineStr">
        <is>
          <t>wnba-elo-trend-lr-v4</t>
        </is>
      </c>
      <c r="U35" s="24" t="inlineStr">
        <is>
          <t>settled</t>
        </is>
      </c>
      <c r="V35" s="24" t="inlineStr">
        <is>
          <t>loss</t>
        </is>
      </c>
      <c r="W35" s="26" t="n">
        <v>83</v>
      </c>
      <c r="X35" s="26" t="n">
        <v>84</v>
      </c>
      <c r="Y35" s="25" t="n"/>
      <c r="Z35" s="26" t="n"/>
      <c r="AA35" s="28" t="n"/>
      <c r="AB35" s="28" t="n"/>
      <c r="AC35" s="30" t="n">
        <v>-1.75</v>
      </c>
      <c r="AD35" s="24" t="inlineStr">
        <is>
          <t>2026-08-01T20:13:03.864714Z</t>
        </is>
      </c>
      <c r="AE35" s="31" t="inlineStr">
        <is>
          <t>Learned LR call at threshold 0.5001; executable ask 0.7100 (aec-wnba-lv-chi-2026-08-01); model edge vs ask -0.0638.</t>
        </is>
      </c>
      <c r="AF35" s="31" t="inlineStr">
        <is>
          <t>Learned model; shadow-qualified via operator override.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model_qualified</t>
        </is>
      </c>
      <c r="AL35" s="26" t="n">
        <v>3</v>
      </c>
      <c r="AM35" s="24" t="inlineStr">
        <is>
          <t>QUALIFIED_SHADOW_CALL</t>
        </is>
      </c>
      <c r="AN35" s="24" t="inlineStr">
        <is>
          <t>CALL</t>
        </is>
      </c>
      <c r="AO35" s="24" t="inlineStr">
        <is>
          <t>QUALIFIED</t>
        </is>
      </c>
      <c r="AP35" s="24" t="inlineStr">
        <is>
          <t>wnba-lva</t>
        </is>
      </c>
      <c r="AQ35" s="24" t="inlineStr">
        <is>
          <t>Las Vegas Aces</t>
        </is>
      </c>
      <c r="AR35" s="24" t="inlineStr">
        <is>
          <t>Las Vegas Aces</t>
        </is>
      </c>
      <c r="AS35" s="24" t="inlineStr">
        <is>
          <t>wnba-chi</t>
        </is>
      </c>
      <c r="AT35" s="24" t="inlineStr">
        <is>
          <t>Chicago Sky</t>
        </is>
      </c>
      <c r="AU35" s="24" t="inlineStr">
        <is>
          <t>Chicago Sky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7afd5274214b58b7efd7f7febc7be3ab33b92351cda5cc6403c0a39faea0cc8c</t>
        </is>
      </c>
      <c r="BB35" s="24" t="inlineStr">
        <is>
          <t>learned_lr</t>
        </is>
      </c>
      <c r="BC35" s="24" t="inlineStr">
        <is>
          <t>wnba-elo-trend-lr-v4</t>
        </is>
      </c>
      <c r="BD35" s="24" t="inlineStr">
        <is>
          <t>7afd5274214b58b7efd7f7febc7be3ab33b92351cda5cc6403c0a39faea0cc8c</t>
        </is>
      </c>
      <c r="BE35" s="24" t="inlineStr">
        <is>
          <t>51a2c72f2e141b8b</t>
        </is>
      </c>
      <c r="BF35" s="24" t="inlineStr">
        <is>
          <t>1</t>
        </is>
      </c>
      <c r="BG35" s="24" t="inlineStr">
        <is>
          <t>wnba-elo-trend-lr-v4</t>
        </is>
      </c>
      <c r="BH35" s="24" t="inlineStr">
        <is>
          <t>2026-08-01T16:49:04.221920Z</t>
        </is>
      </c>
      <c r="BI35" s="24" t="inlineStr">
        <is>
          <t>["same_event","same_team_same_day","same_league_same_day"]</t>
        </is>
      </c>
      <c r="BJ35" s="25" t="n"/>
      <c r="BK35" s="26" t="n">
        <v>-245</v>
      </c>
      <c r="BL35" s="27" t="n">
        <v>1.408163</v>
      </c>
      <c r="BM35" s="28" t="n">
        <v>0.710145</v>
      </c>
      <c r="BN35" s="28" t="n">
        <v>0.70297</v>
      </c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inlineStr">
        <is>
          <t>0.317202935</t>
        </is>
      </c>
      <c r="CD35" s="24" t="inlineStr">
        <is>
          <t>4.001837</t>
        </is>
      </c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</row>
    <row r="36" ht="36" customHeight="1">
      <c r="A36" s="24" t="inlineStr">
        <is>
          <t>b5171488f8674c06</t>
        </is>
      </c>
      <c r="B36" s="24" t="inlineStr">
        <is>
          <t>2026-08-01T18:37:44.379324Z</t>
        </is>
      </c>
      <c r="C36" s="24" t="inlineStr">
        <is>
          <t>2026-08-01T15:00:00-0400</t>
        </is>
      </c>
      <c r="D36" s="24" t="inlineStr">
        <is>
          <t>401857106</t>
        </is>
      </c>
      <c r="E36" s="24" t="inlineStr">
        <is>
          <t>WNBA</t>
        </is>
      </c>
      <c r="F36" s="24" t="inlineStr">
        <is>
          <t>New York Liberty</t>
        </is>
      </c>
      <c r="G36" s="24" t="inlineStr">
        <is>
          <t>Phoenix Mercury</t>
        </is>
      </c>
      <c r="H36" s="24" t="inlineStr">
        <is>
          <t>moneyline</t>
        </is>
      </c>
      <c r="I36" s="24" t="inlineStr">
        <is>
          <t>away</t>
        </is>
      </c>
      <c r="J36" s="25" t="n"/>
      <c r="K36" s="24" t="inlineStr">
        <is>
          <t>polymarket_us</t>
        </is>
      </c>
      <c r="L36" s="26" t="n">
        <v>-144</v>
      </c>
      <c r="M36" s="27" t="n">
        <v>1.694444</v>
      </c>
      <c r="N36" s="28" t="n">
        <v>0.590164</v>
      </c>
      <c r="O36" s="28" t="n">
        <v>0.568764</v>
      </c>
      <c r="P36" s="28" t="n"/>
      <c r="Q36" s="28" t="n">
        <v>-0.0214</v>
      </c>
      <c r="R36" s="26" t="n">
        <v>12</v>
      </c>
      <c r="S36" s="29" t="n">
        <v>1.25</v>
      </c>
      <c r="T36" s="24" t="inlineStr">
        <is>
          <t>wnba-elo-trend-lr-v4</t>
        </is>
      </c>
      <c r="U36" s="24" t="inlineStr">
        <is>
          <t>settled</t>
        </is>
      </c>
      <c r="V36" s="24" t="inlineStr">
        <is>
          <t>win</t>
        </is>
      </c>
      <c r="W36" s="26" t="n">
        <v>94</v>
      </c>
      <c r="X36" s="26" t="n">
        <v>92</v>
      </c>
      <c r="Y36" s="25" t="n"/>
      <c r="Z36" s="26" t="n"/>
      <c r="AA36" s="28" t="n"/>
      <c r="AB36" s="28" t="n"/>
      <c r="AC36" s="30" t="n">
        <v>0.8681</v>
      </c>
      <c r="AD36" s="24" t="inlineStr">
        <is>
          <t>2026-08-01T21:25:16.611294Z</t>
        </is>
      </c>
      <c r="AE36" s="31" t="inlineStr">
        <is>
          <t>Learned LR call at threshold 0.5001; executable ask 0.5900 (aec-wnba-ny-phx-2026-08-01); model edge vs ask -0.0212. NOTE: NO_CALL_AVAILABILITY_PLAYER_UNMAPPED unavailable for this game — defaulted to neutral, other features used normally.</t>
        </is>
      </c>
      <c r="AF36" s="31" t="inlineStr">
        <is>
          <t>Learned model; shadow-qualified via operator override.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model_qualified</t>
        </is>
      </c>
      <c r="AL36" s="26" t="n">
        <v>3</v>
      </c>
      <c r="AM36" s="24" t="inlineStr">
        <is>
          <t>QUALIFIED_SHADOW_CALL</t>
        </is>
      </c>
      <c r="AN36" s="24" t="inlineStr">
        <is>
          <t>CALL</t>
        </is>
      </c>
      <c r="AO36" s="24" t="inlineStr">
        <is>
          <t>QUALIFIED</t>
        </is>
      </c>
      <c r="AP36" s="24" t="inlineStr">
        <is>
          <t>wnba-nyl</t>
        </is>
      </c>
      <c r="AQ36" s="24" t="inlineStr">
        <is>
          <t>New York Liberty</t>
        </is>
      </c>
      <c r="AR36" s="24" t="inlineStr">
        <is>
          <t>New York Liberty</t>
        </is>
      </c>
      <c r="AS36" s="24" t="inlineStr">
        <is>
          <t>wnba-phx</t>
        </is>
      </c>
      <c r="AT36" s="24" t="inlineStr">
        <is>
          <t>Phoenix Mercury</t>
        </is>
      </c>
      <c r="AU36" s="24" t="inlineStr">
        <is>
          <t>Phoenix Mercury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7afd5274214b58b7efd7f7febc7be3ab33b92351cda5cc6403c0a39faea0cc8c</t>
        </is>
      </c>
      <c r="BB36" s="24" t="inlineStr">
        <is>
          <t>learned_lr</t>
        </is>
      </c>
      <c r="BC36" s="24" t="inlineStr">
        <is>
          <t>wnba-elo-trend-lr-v4</t>
        </is>
      </c>
      <c r="BD36" s="24" t="inlineStr">
        <is>
          <t>7afd5274214b58b7efd7f7febc7be3ab33b92351cda5cc6403c0a39faea0cc8c</t>
        </is>
      </c>
      <c r="BE36" s="24" t="inlineStr">
        <is>
          <t>bbef9e1b90cf700b</t>
        </is>
      </c>
      <c r="BF36" s="24" t="inlineStr">
        <is>
          <t>1</t>
        </is>
      </c>
      <c r="BG36" s="24" t="inlineStr">
        <is>
          <t>wnba-elo-trend-lr-v4</t>
        </is>
      </c>
      <c r="BH36" s="24" t="inlineStr">
        <is>
          <t>2026-08-01T18:36:36.294824Z</t>
        </is>
      </c>
      <c r="BI36" s="24" t="inlineStr">
        <is>
          <t>["same_event","same_team_same_day","same_league_same_day"]</t>
        </is>
      </c>
      <c r="BJ36" s="25" t="n"/>
      <c r="BK36" s="26" t="n">
        <v>-144</v>
      </c>
      <c r="BL36" s="27" t="n">
        <v>1.694444</v>
      </c>
      <c r="BM36" s="28" t="n">
        <v>0.590164</v>
      </c>
      <c r="BN36" s="28" t="n">
        <v>0.584158</v>
      </c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inlineStr">
        <is>
          <t>0.4080094464</t>
        </is>
      </c>
      <c r="CD36" s="24" t="inlineStr">
        <is>
          <t>-5.162465</t>
        </is>
      </c>
      <c r="CE36" s="24" t="n"/>
      <c r="CF36" s="24" t="n"/>
      <c r="CG36" s="24" t="n"/>
      <c r="CH36" s="24" t="n"/>
      <c r="CI36" s="24" t="inlineStr">
        <is>
          <t>NO_CALL_AVAILABILITY_PLAYER_UNMAPPED</t>
        </is>
      </c>
      <c r="CJ36" s="24" t="n"/>
      <c r="CK36" s="24" t="n"/>
      <c r="CL36" s="24" t="n"/>
      <c r="CM36" s="24" t="n"/>
      <c r="CN36" s="24" t="n"/>
      <c r="CO36" s="24" t="n"/>
      <c r="CP36" s="24" t="n"/>
    </row>
    <row r="37" ht="36" customHeight="1">
      <c r="A37" s="24" t="inlineStr">
        <is>
          <t>d8dca2d1a2cf408b</t>
        </is>
      </c>
      <c r="B37" s="24" t="inlineStr">
        <is>
          <t>2026-08-01T18:37:44.379324Z</t>
        </is>
      </c>
      <c r="C37" s="24" t="inlineStr">
        <is>
          <t>2026-08-01T15:07:00-0400</t>
        </is>
      </c>
      <c r="D37" s="24" t="inlineStr">
        <is>
          <t>401816352</t>
        </is>
      </c>
      <c r="E37" s="24" t="inlineStr">
        <is>
          <t>MLB</t>
        </is>
      </c>
      <c r="F37" s="24" t="inlineStr">
        <is>
          <t>St. Louis Cardinals</t>
        </is>
      </c>
      <c r="G37" s="24" t="inlineStr">
        <is>
          <t>Toronto Blue Jays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-153</v>
      </c>
      <c r="M37" s="27" t="n">
        <v>1.653595</v>
      </c>
      <c r="N37" s="28" t="n">
        <v>0.604743</v>
      </c>
      <c r="O37" s="28" t="n">
        <v>0.5354640000000001</v>
      </c>
      <c r="P37" s="28" t="n"/>
      <c r="Q37" s="28" t="n">
        <v>-0.06927899999999999</v>
      </c>
      <c r="R37" s="26" t="n">
        <v>0</v>
      </c>
      <c r="S37" s="29" t="n">
        <v>1</v>
      </c>
      <c r="T37" s="24" t="inlineStr">
        <is>
          <t>mlb-elo-trend-lr-v7</t>
        </is>
      </c>
      <c r="U37" s="24" t="inlineStr">
        <is>
          <t>settled</t>
        </is>
      </c>
      <c r="V37" s="24" t="inlineStr">
        <is>
          <t>win</t>
        </is>
      </c>
      <c r="W37" s="26" t="n">
        <v>1</v>
      </c>
      <c r="X37" s="26" t="n">
        <v>5</v>
      </c>
      <c r="Y37" s="25" t="n"/>
      <c r="Z37" s="26" t="n">
        <v>-153</v>
      </c>
      <c r="AA37" s="28" t="n">
        <v>0.605</v>
      </c>
      <c r="AB37" s="28" t="n">
        <v>0.000257</v>
      </c>
      <c r="AC37" s="30" t="n">
        <v>0.6536</v>
      </c>
      <c r="AD37" s="24" t="inlineStr">
        <is>
          <t>2026-08-01T23:50:49.952095Z</t>
        </is>
      </c>
      <c r="AE37" s="31" t="inlineStr">
        <is>
          <t>Learned LR call at threshold 0.6242; executable ask 0.6050 (aec-mlb-stl-tor-2026-08-01); model edge vs ask -0.0695.</t>
        </is>
      </c>
      <c r="AF37" s="31" t="inlineStr">
        <is>
          <t>Learned model; shadow-qualified via operator override.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model_qualified</t>
        </is>
      </c>
      <c r="AL37" s="26" t="n">
        <v>3</v>
      </c>
      <c r="AM37" s="24" t="inlineStr">
        <is>
          <t>QUALIFIED_SHADOW_CALL</t>
        </is>
      </c>
      <c r="AN37" s="24" t="inlineStr">
        <is>
          <t>CALL</t>
        </is>
      </c>
      <c r="AO37" s="24" t="inlineStr">
        <is>
          <t>QUALIFIED</t>
        </is>
      </c>
      <c r="AP37" s="24" t="inlineStr">
        <is>
          <t>mlb-stl</t>
        </is>
      </c>
      <c r="AQ37" s="24" t="inlineStr">
        <is>
          <t>St. Louis Cardinals</t>
        </is>
      </c>
      <c r="AR37" s="24" t="inlineStr">
        <is>
          <t>St. Louis Cardinals</t>
        </is>
      </c>
      <c r="AS37" s="24" t="inlineStr">
        <is>
          <t>mlb-tor</t>
        </is>
      </c>
      <c r="AT37" s="24" t="inlineStr">
        <is>
          <t>Toronto Blue Jays</t>
        </is>
      </c>
      <c r="AU37" s="24" t="inlineStr">
        <is>
          <t>Toronto Blue Jays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464eef695bfbbdaa819ec6f5e4c5bd1068ed20b92915fb2677220ae91e20d8b6</t>
        </is>
      </c>
      <c r="BB37" s="24" t="inlineStr">
        <is>
          <t>learned_lr</t>
        </is>
      </c>
      <c r="BC37" s="24" t="inlineStr">
        <is>
          <t>mlb-elo-trend-lr-v7</t>
        </is>
      </c>
      <c r="BD37" s="24" t="inlineStr">
        <is>
          <t>464eef695bfbbdaa819ec6f5e4c5bd1068ed20b92915fb2677220ae91e20d8b6</t>
        </is>
      </c>
      <c r="BE37" s="24" t="inlineStr">
        <is>
          <t>a0f0dfbb182ff37a</t>
        </is>
      </c>
      <c r="BF37" s="24" t="inlineStr">
        <is>
          <t>1</t>
        </is>
      </c>
      <c r="BG37" s="24" t="inlineStr">
        <is>
          <t>mlb-elo-trend-lr-v7</t>
        </is>
      </c>
      <c r="BH37" s="24" t="inlineStr">
        <is>
          <t>2026-08-01T18:36:19.970556Z</t>
        </is>
      </c>
      <c r="BI37" s="24" t="inlineStr">
        <is>
          <t>["same_event","same_team_same_day","same_league_same_day"]</t>
        </is>
      </c>
      <c r="BJ37" s="25" t="n"/>
      <c r="BK37" s="26" t="n">
        <v>-153</v>
      </c>
      <c r="BL37" s="27" t="n">
        <v>1.653595</v>
      </c>
      <c r="BM37" s="28" t="n">
        <v>0.604743</v>
      </c>
      <c r="BN37" s="28" t="n">
        <v>0.60199</v>
      </c>
      <c r="BO37" s="28" t="n"/>
      <c r="BP37" s="25" t="n"/>
      <c r="BQ37" s="27" t="n">
        <v>1.653595</v>
      </c>
      <c r="BR37" s="28" t="n">
        <v>0.605</v>
      </c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inlineStr">
        <is>
          <t>0.5579214953</t>
        </is>
      </c>
      <c r="CD37" s="24" t="inlineStr">
        <is>
          <t>0.999429</t>
        </is>
      </c>
      <c r="CE37" s="24" t="inlineStr">
        <is>
          <t>1.019</t>
        </is>
      </c>
      <c r="CF37" s="24" t="inlineStr">
        <is>
          <t>1.0</t>
        </is>
      </c>
      <c r="CG37" s="24" t="inlineStr">
        <is>
          <t>-1.4</t>
        </is>
      </c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</row>
    <row r="38" ht="36" customHeight="1">
      <c r="A38" s="24" t="inlineStr">
        <is>
          <t>3733b3b83f2a46ea</t>
        </is>
      </c>
      <c r="B38" s="24" t="inlineStr">
        <is>
          <t>2026-08-01T18:37:44.379324Z</t>
        </is>
      </c>
      <c r="C38" s="24" t="inlineStr">
        <is>
          <t>2026-08-01T16:10:00-0400</t>
        </is>
      </c>
      <c r="D38" s="24" t="inlineStr">
        <is>
          <t>401816348</t>
        </is>
      </c>
      <c r="E38" s="24" t="inlineStr">
        <is>
          <t>MLB</t>
        </is>
      </c>
      <c r="F38" s="24" t="inlineStr">
        <is>
          <t>Chicago White Sox</t>
        </is>
      </c>
      <c r="G38" s="24" t="inlineStr">
        <is>
          <t>Tampa Bay Rays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-156</v>
      </c>
      <c r="M38" s="27" t="n">
        <v>1.641026</v>
      </c>
      <c r="N38" s="28" t="n">
        <v>0.609375</v>
      </c>
      <c r="O38" s="28" t="n">
        <v>0.558419</v>
      </c>
      <c r="P38" s="28" t="n"/>
      <c r="Q38" s="28" t="n">
        <v>-0.050956</v>
      </c>
      <c r="R38" s="26" t="n">
        <v>0</v>
      </c>
      <c r="S38" s="29" t="n">
        <v>1</v>
      </c>
      <c r="T38" s="24" t="inlineStr">
        <is>
          <t>mlb-elo-trend-lr-v7</t>
        </is>
      </c>
      <c r="U38" s="24" t="inlineStr">
        <is>
          <t>settled</t>
        </is>
      </c>
      <c r="V38" s="24" t="inlineStr">
        <is>
          <t>win</t>
        </is>
      </c>
      <c r="W38" s="26" t="n">
        <v>0</v>
      </c>
      <c r="X38" s="26" t="n">
        <v>1</v>
      </c>
      <c r="Y38" s="25" t="n"/>
      <c r="Z38" s="26" t="n">
        <v>-156</v>
      </c>
      <c r="AA38" s="28" t="n">
        <v>0.61</v>
      </c>
      <c r="AB38" s="28" t="n">
        <v>0.000625</v>
      </c>
      <c r="AC38" s="30" t="n">
        <v>0.641</v>
      </c>
      <c r="AD38" s="24" t="inlineStr">
        <is>
          <t>2026-08-01T23:50:50.265868Z</t>
        </is>
      </c>
      <c r="AE38" s="31" t="inlineStr">
        <is>
          <t>Learned LR call at threshold 0.6242; executable ask 0.6100 (aec-mlb-cws-tb-2026-08-01); model edge vs ask -0.0516.</t>
        </is>
      </c>
      <c r="AF38" s="31" t="inlineStr">
        <is>
          <t>Learned model; shadow-qualified via operator override.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model_qualified</t>
        </is>
      </c>
      <c r="AL38" s="26" t="n">
        <v>3</v>
      </c>
      <c r="AM38" s="24" t="inlineStr">
        <is>
          <t>QUALIFIED_SHADOW_CALL</t>
        </is>
      </c>
      <c r="AN38" s="24" t="inlineStr">
        <is>
          <t>CALL</t>
        </is>
      </c>
      <c r="AO38" s="24" t="inlineStr">
        <is>
          <t>QUALIFIED</t>
        </is>
      </c>
      <c r="AP38" s="24" t="inlineStr">
        <is>
          <t>mlb-cws</t>
        </is>
      </c>
      <c r="AQ38" s="24" t="inlineStr">
        <is>
          <t>Chicago White Sox</t>
        </is>
      </c>
      <c r="AR38" s="24" t="inlineStr">
        <is>
          <t>Chicago White Sox</t>
        </is>
      </c>
      <c r="AS38" s="24" t="inlineStr">
        <is>
          <t>mlb-tb</t>
        </is>
      </c>
      <c r="AT38" s="24" t="inlineStr">
        <is>
          <t>Tampa Bay Rays</t>
        </is>
      </c>
      <c r="AU38" s="24" t="inlineStr">
        <is>
          <t>Tampa Bay Rays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464eef695bfbbdaa819ec6f5e4c5bd1068ed20b92915fb2677220ae91e20d8b6</t>
        </is>
      </c>
      <c r="BB38" s="24" t="inlineStr">
        <is>
          <t>learned_lr</t>
        </is>
      </c>
      <c r="BC38" s="24" t="inlineStr">
        <is>
          <t>mlb-elo-trend-lr-v7</t>
        </is>
      </c>
      <c r="BD38" s="24" t="inlineStr">
        <is>
          <t>464eef695bfbbdaa819ec6f5e4c5bd1068ed20b92915fb2677220ae91e20d8b6</t>
        </is>
      </c>
      <c r="BE38" s="24" t="inlineStr">
        <is>
          <t>ad676df45ee6e775</t>
        </is>
      </c>
      <c r="BF38" s="24" t="inlineStr">
        <is>
          <t>1</t>
        </is>
      </c>
      <c r="BG38" s="24" t="inlineStr">
        <is>
          <t>mlb-elo-trend-lr-v7</t>
        </is>
      </c>
      <c r="BH38" s="24" t="inlineStr">
        <is>
          <t>2026-08-01T18:36:22.182386Z</t>
        </is>
      </c>
      <c r="BI38" s="24" t="inlineStr">
        <is>
          <t>["same_event","same_team_same_day","same_league_same_day"]</t>
        </is>
      </c>
      <c r="BJ38" s="25" t="n"/>
      <c r="BK38" s="26" t="n">
        <v>-156</v>
      </c>
      <c r="BL38" s="27" t="n">
        <v>1.641026</v>
      </c>
      <c r="BM38" s="28" t="n">
        <v>0.609375</v>
      </c>
      <c r="BN38" s="28" t="n">
        <v>0.606965</v>
      </c>
      <c r="BO38" s="28" t="n"/>
      <c r="BP38" s="25" t="n"/>
      <c r="BQ38" s="27" t="n">
        <v>1.641026</v>
      </c>
      <c r="BR38" s="28" t="n">
        <v>0.61</v>
      </c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inlineStr">
        <is>
          <t>0.5468687943</t>
        </is>
      </c>
      <c r="CD38" s="24" t="inlineStr">
        <is>
          <t>-1.164825</t>
        </is>
      </c>
      <c r="CE38" s="24" t="inlineStr">
        <is>
          <t>0.965</t>
        </is>
      </c>
      <c r="CF38" s="24" t="inlineStr">
        <is>
          <t>1.0</t>
        </is>
      </c>
      <c r="CG38" s="24" t="inlineStr">
        <is>
          <t>-1.4</t>
        </is>
      </c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</row>
    <row r="39" ht="36" customHeight="1">
      <c r="A39" s="24" t="inlineStr">
        <is>
          <t>d359621e3ac04e50</t>
        </is>
      </c>
      <c r="B39" s="24" t="inlineStr">
        <is>
          <t>2026-08-01T18:37:44.379324Z</t>
        </is>
      </c>
      <c r="C39" s="24" t="inlineStr">
        <is>
          <t>2026-08-01T16:10:00-0400</t>
        </is>
      </c>
      <c r="D39" s="24" t="inlineStr">
        <is>
          <t>401816349</t>
        </is>
      </c>
      <c r="E39" s="24" t="inlineStr">
        <is>
          <t>MLB</t>
        </is>
      </c>
      <c r="F39" s="24" t="inlineStr">
        <is>
          <t>Miami Marlins</t>
        </is>
      </c>
      <c r="G39" s="24" t="inlineStr">
        <is>
          <t>New York Mets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-122</v>
      </c>
      <c r="M39" s="27" t="n">
        <v>1.819672</v>
      </c>
      <c r="N39" s="28" t="n">
        <v>0.54955</v>
      </c>
      <c r="O39" s="28" t="n">
        <v>0.515788</v>
      </c>
      <c r="P39" s="28" t="n"/>
      <c r="Q39" s="28" t="n">
        <v>-0.033762</v>
      </c>
      <c r="R39" s="26" t="n">
        <v>4</v>
      </c>
      <c r="S39" s="29" t="n">
        <v>1</v>
      </c>
      <c r="T39" s="24" t="inlineStr">
        <is>
          <t>mlb-elo-trend-lr-v7</t>
        </is>
      </c>
      <c r="U39" s="24" t="inlineStr">
        <is>
          <t>settled</t>
        </is>
      </c>
      <c r="V39" s="24" t="inlineStr">
        <is>
          <t>loss</t>
        </is>
      </c>
      <c r="W39" s="26" t="n">
        <v>6</v>
      </c>
      <c r="X39" s="26" t="n">
        <v>2</v>
      </c>
      <c r="Y39" s="25" t="n"/>
      <c r="Z39" s="26" t="n">
        <v>-122</v>
      </c>
      <c r="AA39" s="28" t="n">
        <v>0.55</v>
      </c>
      <c r="AB39" s="28" t="n">
        <v>0.00045</v>
      </c>
      <c r="AC39" s="30" t="n">
        <v>-1</v>
      </c>
      <c r="AD39" s="24" t="inlineStr">
        <is>
          <t>2026-08-01T23:50:50.594318Z</t>
        </is>
      </c>
      <c r="AE39" s="31" t="inlineStr">
        <is>
          <t>Learned LR call at threshold 0.6242; executable ask 0.5500 (aec-mlb-mia-nym-2026-08-01); model edge vs ask -0.0342.</t>
        </is>
      </c>
      <c r="AF39" s="31" t="inlineStr">
        <is>
          <t>Learned model; shadow-qualified via operator override.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mlb-mia</t>
        </is>
      </c>
      <c r="AQ39" s="24" t="inlineStr">
        <is>
          <t>Miami Marlins</t>
        </is>
      </c>
      <c r="AR39" s="24" t="inlineStr">
        <is>
          <t>Miami Marlins</t>
        </is>
      </c>
      <c r="AS39" s="24" t="inlineStr">
        <is>
          <t>mlb-nym</t>
        </is>
      </c>
      <c r="AT39" s="24" t="inlineStr">
        <is>
          <t>New York Mets</t>
        </is>
      </c>
      <c r="AU39" s="24" t="inlineStr">
        <is>
          <t>New York Mets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464eef695bfbbdaa819ec6f5e4c5bd1068ed20b92915fb2677220ae91e20d8b6</t>
        </is>
      </c>
      <c r="BB39" s="24" t="inlineStr">
        <is>
          <t>learned_lr</t>
        </is>
      </c>
      <c r="BC39" s="24" t="inlineStr">
        <is>
          <t>mlb-elo-trend-lr-v7</t>
        </is>
      </c>
      <c r="BD39" s="24" t="inlineStr">
        <is>
          <t>464eef695bfbbdaa819ec6f5e4c5bd1068ed20b92915fb2677220ae91e20d8b6</t>
        </is>
      </c>
      <c r="BE39" s="24" t="inlineStr">
        <is>
          <t>8e71ffd6fce569a4</t>
        </is>
      </c>
      <c r="BF39" s="24" t="inlineStr">
        <is>
          <t>1</t>
        </is>
      </c>
      <c r="BG39" s="24" t="inlineStr">
        <is>
          <t>mlb-elo-trend-lr-v7</t>
        </is>
      </c>
      <c r="BH39" s="24" t="inlineStr">
        <is>
          <t>2026-08-01T18:36:23.073759Z</t>
        </is>
      </c>
      <c r="BI39" s="24" t="inlineStr">
        <is>
          <t>["same_event","same_team_same_day","same_league_same_day"]</t>
        </is>
      </c>
      <c r="BJ39" s="25" t="n"/>
      <c r="BK39" s="26" t="n">
        <v>-122</v>
      </c>
      <c r="BL39" s="27" t="n">
        <v>1.819672</v>
      </c>
      <c r="BM39" s="28" t="n">
        <v>0.54955</v>
      </c>
      <c r="BN39" s="28" t="n">
        <v>0.547264</v>
      </c>
      <c r="BO39" s="28" t="n"/>
      <c r="BP39" s="25" t="n"/>
      <c r="BQ39" s="27" t="n">
        <v>1.819672</v>
      </c>
      <c r="BR39" s="28" t="n">
        <v>0.55</v>
      </c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inlineStr">
        <is>
          <t>0.5032110055</t>
        </is>
      </c>
      <c r="CD39" s="24" t="inlineStr">
        <is>
          <t>-0.346453</t>
        </is>
      </c>
      <c r="CE39" s="24" t="inlineStr">
        <is>
          <t>0.978</t>
        </is>
      </c>
      <c r="CF39" s="24" t="inlineStr">
        <is>
          <t>1.0209</t>
        </is>
      </c>
      <c r="CG39" s="24" t="inlineStr">
        <is>
          <t>-1.2</t>
        </is>
      </c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</row>
    <row r="40" ht="36" customHeight="1">
      <c r="A40" s="24" t="inlineStr">
        <is>
          <t>e93d790244fd4c9f</t>
        </is>
      </c>
      <c r="B40" s="24" t="inlineStr">
        <is>
          <t>2026-08-01T18:37:44.379324Z</t>
        </is>
      </c>
      <c r="C40" s="24" t="inlineStr">
        <is>
          <t>2026-08-01T16:10:00-0400</t>
        </is>
      </c>
      <c r="D40" s="24" t="inlineStr">
        <is>
          <t>401816360</t>
        </is>
      </c>
      <c r="E40" s="24" t="inlineStr">
        <is>
          <t>MLB</t>
        </is>
      </c>
      <c r="F40" s="24" t="inlineStr">
        <is>
          <t>Minnesota Twins</t>
        </is>
      </c>
      <c r="G40" s="24" t="inlineStr">
        <is>
          <t>Seattle Mariners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-156</v>
      </c>
      <c r="M40" s="27" t="n">
        <v>1.641026</v>
      </c>
      <c r="N40" s="28" t="n">
        <v>0.609375</v>
      </c>
      <c r="O40" s="28" t="n">
        <v>0.591702</v>
      </c>
      <c r="P40" s="28" t="n"/>
      <c r="Q40" s="28" t="n">
        <v>-0.017673</v>
      </c>
      <c r="R40" s="26" t="n">
        <v>12</v>
      </c>
      <c r="S40" s="29" t="n">
        <v>1.25</v>
      </c>
      <c r="T40" s="24" t="inlineStr">
        <is>
          <t>mlb-elo-trend-lr-v7</t>
        </is>
      </c>
      <c r="U40" s="24" t="inlineStr">
        <is>
          <t>settled</t>
        </is>
      </c>
      <c r="V40" s="24" t="inlineStr">
        <is>
          <t>win</t>
        </is>
      </c>
      <c r="W40" s="26" t="n">
        <v>3</v>
      </c>
      <c r="X40" s="26" t="n">
        <v>4</v>
      </c>
      <c r="Y40" s="25" t="n"/>
      <c r="Z40" s="26" t="n">
        <v>-156</v>
      </c>
      <c r="AA40" s="28" t="n">
        <v>0.61</v>
      </c>
      <c r="AB40" s="28" t="n">
        <v>0.000625</v>
      </c>
      <c r="AC40" s="30" t="n">
        <v>0.8013</v>
      </c>
      <c r="AD40" s="24" t="inlineStr">
        <is>
          <t>2026-08-01T23:50:50.937598Z</t>
        </is>
      </c>
      <c r="AE40" s="31" t="inlineStr">
        <is>
          <t>Learned LR call at threshold 0.6242; executable ask 0.6100 (aec-mlb-min-sea-2026-08-01); model edge vs ask -0.0183.</t>
        </is>
      </c>
      <c r="AF40" s="31" t="inlineStr">
        <is>
          <t>Learned model; shadow-qualified via operator override.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model_qualified</t>
        </is>
      </c>
      <c r="AL40" s="26" t="n">
        <v>3</v>
      </c>
      <c r="AM40" s="24" t="inlineStr">
        <is>
          <t>QUALIFIED_SHADOW_CALL</t>
        </is>
      </c>
      <c r="AN40" s="24" t="inlineStr">
        <is>
          <t>CALL</t>
        </is>
      </c>
      <c r="AO40" s="24" t="inlineStr">
        <is>
          <t>QUALIFIED</t>
        </is>
      </c>
      <c r="AP40" s="24" t="inlineStr">
        <is>
          <t>mlb-min</t>
        </is>
      </c>
      <c r="AQ40" s="24" t="inlineStr">
        <is>
          <t>Minnesota Twins</t>
        </is>
      </c>
      <c r="AR40" s="24" t="inlineStr">
        <is>
          <t>Minnesota Twins</t>
        </is>
      </c>
      <c r="AS40" s="24" t="inlineStr">
        <is>
          <t>mlb-sea</t>
        </is>
      </c>
      <c r="AT40" s="24" t="inlineStr">
        <is>
          <t>Seattle Mariners</t>
        </is>
      </c>
      <c r="AU40" s="24" t="inlineStr">
        <is>
          <t>Seattle Mariners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464eef695bfbbdaa819ec6f5e4c5bd1068ed20b92915fb2677220ae91e20d8b6</t>
        </is>
      </c>
      <c r="BB40" s="24" t="inlineStr">
        <is>
          <t>learned_lr</t>
        </is>
      </c>
      <c r="BC40" s="24" t="inlineStr">
        <is>
          <t>mlb-elo-trend-lr-v7</t>
        </is>
      </c>
      <c r="BD40" s="24" t="inlineStr">
        <is>
          <t>464eef695bfbbdaa819ec6f5e4c5bd1068ed20b92915fb2677220ae91e20d8b6</t>
        </is>
      </c>
      <c r="BE40" s="24" t="inlineStr">
        <is>
          <t>53175a4c13f251cb</t>
        </is>
      </c>
      <c r="BF40" s="24" t="inlineStr">
        <is>
          <t>1</t>
        </is>
      </c>
      <c r="BG40" s="24" t="inlineStr">
        <is>
          <t>mlb-elo-trend-lr-v7</t>
        </is>
      </c>
      <c r="BH40" s="24" t="inlineStr">
        <is>
          <t>2026-08-01T18:36:21.090185Z</t>
        </is>
      </c>
      <c r="BI40" s="24" t="inlineStr">
        <is>
          <t>["same_event","same_team_same_day","same_league_same_day"]</t>
        </is>
      </c>
      <c r="BJ40" s="25" t="n"/>
      <c r="BK40" s="26" t="n">
        <v>-156</v>
      </c>
      <c r="BL40" s="27" t="n">
        <v>1.641026</v>
      </c>
      <c r="BM40" s="28" t="n">
        <v>0.609375</v>
      </c>
      <c r="BN40" s="28" t="n">
        <v>0.606965</v>
      </c>
      <c r="BO40" s="28" t="n"/>
      <c r="BP40" s="25" t="n"/>
      <c r="BQ40" s="27" t="n">
        <v>1.641026</v>
      </c>
      <c r="BR40" s="28" t="n">
        <v>0.61</v>
      </c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inlineStr">
        <is>
          <t>0.578722894</t>
        </is>
      </c>
      <c r="CD40" s="24" t="inlineStr">
        <is>
          <t>0.628201</t>
        </is>
      </c>
      <c r="CE40" s="24" t="inlineStr">
        <is>
          <t>0.936</t>
        </is>
      </c>
      <c r="CF40" s="24" t="inlineStr">
        <is>
          <t>1.0</t>
        </is>
      </c>
      <c r="CG40" s="24" t="inlineStr">
        <is>
          <t>1.2</t>
        </is>
      </c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</row>
    <row r="41" ht="36" customHeight="1">
      <c r="A41" s="24" t="inlineStr">
        <is>
          <t>a2d10e10ef314293</t>
        </is>
      </c>
      <c r="B41" s="24" t="inlineStr">
        <is>
          <t>2026-08-01T20:15:07.885436Z</t>
        </is>
      </c>
      <c r="C41" s="24" t="inlineStr">
        <is>
          <t>2026-08-01T18:40:00-0400</t>
        </is>
      </c>
      <c r="D41" s="24" t="inlineStr">
        <is>
          <t>401816351</t>
        </is>
      </c>
      <c r="E41" s="24" t="inlineStr">
        <is>
          <t>MLB</t>
        </is>
      </c>
      <c r="F41" s="24" t="inlineStr">
        <is>
          <t>Pittsburgh Pirates</t>
        </is>
      </c>
      <c r="G41" s="24" t="inlineStr">
        <is>
          <t>Cincinnati Reds</t>
        </is>
      </c>
      <c r="H41" s="24" t="inlineStr">
        <is>
          <t>moneyline</t>
        </is>
      </c>
      <c r="I41" s="24" t="inlineStr">
        <is>
          <t>away</t>
        </is>
      </c>
      <c r="J41" s="25" t="n"/>
      <c r="K41" s="24" t="inlineStr">
        <is>
          <t>polymarket_us</t>
        </is>
      </c>
      <c r="L41" s="26" t="n">
        <v>-113</v>
      </c>
      <c r="M41" s="27" t="n">
        <v>1.884956</v>
      </c>
      <c r="N41" s="28" t="n">
        <v>0.530516</v>
      </c>
      <c r="O41" s="28" t="n">
        <v>0.514401</v>
      </c>
      <c r="P41" s="28" t="n"/>
      <c r="Q41" s="28" t="n">
        <v>-0.016115</v>
      </c>
      <c r="R41" s="26" t="n">
        <v>14</v>
      </c>
      <c r="S41" s="29" t="n">
        <v>1</v>
      </c>
      <c r="T41" s="24" t="inlineStr">
        <is>
          <t>mlb-elo-trend-lr-v7</t>
        </is>
      </c>
      <c r="U41" s="24" t="inlineStr">
        <is>
          <t>settled</t>
        </is>
      </c>
      <c r="V41" s="24" t="inlineStr">
        <is>
          <t>win</t>
        </is>
      </c>
      <c r="W41" s="26" t="n">
        <v>4</v>
      </c>
      <c r="X41" s="26" t="n">
        <v>1</v>
      </c>
      <c r="Y41" s="25" t="n"/>
      <c r="Z41" s="26" t="n">
        <v>-113</v>
      </c>
      <c r="AA41" s="28" t="n">
        <v>0.53</v>
      </c>
      <c r="AB41" s="28" t="n">
        <v>-0.000516</v>
      </c>
      <c r="AC41" s="30" t="n">
        <v>0.885</v>
      </c>
      <c r="AD41" s="24" t="inlineStr">
        <is>
          <t>2026-08-02T03:25:50.753961Z</t>
        </is>
      </c>
      <c r="AE41" s="31" t="inlineStr">
        <is>
          <t>Learned LR call at threshold 0.6242; executable ask 0.5300 (aec-mlb-pit-cin-2026-08-01); model edge vs ask -0.0156.</t>
        </is>
      </c>
      <c r="AF41" s="31" t="inlineStr">
        <is>
          <t>Learned model; shadow-qualified via operator override.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model_qualified</t>
        </is>
      </c>
      <c r="AL41" s="26" t="n">
        <v>3</v>
      </c>
      <c r="AM41" s="24" t="inlineStr">
        <is>
          <t>QUALIFIED_SHADOW_CALL</t>
        </is>
      </c>
      <c r="AN41" s="24" t="inlineStr">
        <is>
          <t>CALL</t>
        </is>
      </c>
      <c r="AO41" s="24" t="inlineStr">
        <is>
          <t>QUALIFIED</t>
        </is>
      </c>
      <c r="AP41" s="24" t="inlineStr">
        <is>
          <t>mlb-pit</t>
        </is>
      </c>
      <c r="AQ41" s="24" t="inlineStr">
        <is>
          <t>Pittsburgh Pirates</t>
        </is>
      </c>
      <c r="AR41" s="24" t="inlineStr">
        <is>
          <t>Pittsburgh Pirates</t>
        </is>
      </c>
      <c r="AS41" s="24" t="inlineStr">
        <is>
          <t>mlb-cin</t>
        </is>
      </c>
      <c r="AT41" s="24" t="inlineStr">
        <is>
          <t>Cincinnati Reds</t>
        </is>
      </c>
      <c r="AU41" s="24" t="inlineStr">
        <is>
          <t>Cincinnati Reds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464eef695bfbbdaa819ec6f5e4c5bd1068ed20b92915fb2677220ae91e20d8b6</t>
        </is>
      </c>
      <c r="BB41" s="24" t="inlineStr">
        <is>
          <t>learned_lr</t>
        </is>
      </c>
      <c r="BC41" s="24" t="inlineStr">
        <is>
          <t>mlb-elo-trend-lr-v7</t>
        </is>
      </c>
      <c r="BD41" s="24" t="inlineStr">
        <is>
          <t>464eef695bfbbdaa819ec6f5e4c5bd1068ed20b92915fb2677220ae91e20d8b6</t>
        </is>
      </c>
      <c r="BE41" s="24" t="inlineStr">
        <is>
          <t>8c1940db78503612</t>
        </is>
      </c>
      <c r="BF41" s="24" t="inlineStr">
        <is>
          <t>1</t>
        </is>
      </c>
      <c r="BG41" s="24" t="inlineStr">
        <is>
          <t>mlb-elo-trend-lr-v7</t>
        </is>
      </c>
      <c r="BH41" s="24" t="inlineStr">
        <is>
          <t>2026-08-01T20:14:06.422794Z</t>
        </is>
      </c>
      <c r="BI41" s="24" t="inlineStr">
        <is>
          <t>["same_event","same_team_same_day","same_league_same_day"]</t>
        </is>
      </c>
      <c r="BJ41" s="25" t="n"/>
      <c r="BK41" s="26" t="n">
        <v>-113</v>
      </c>
      <c r="BL41" s="27" t="n">
        <v>1.884956</v>
      </c>
      <c r="BM41" s="28" t="n">
        <v>0.530516</v>
      </c>
      <c r="BN41" s="28" t="n">
        <v>0.527363</v>
      </c>
      <c r="BO41" s="28" t="n"/>
      <c r="BP41" s="25" t="n"/>
      <c r="BQ41" s="27" t="n">
        <v>1.884956</v>
      </c>
      <c r="BR41" s="28" t="n">
        <v>0.53</v>
      </c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inlineStr">
        <is>
          <t>0.4970624032</t>
        </is>
      </c>
      <c r="CD41" s="24" t="inlineStr">
        <is>
          <t>1.00651</t>
        </is>
      </c>
      <c r="CE41" s="24" t="inlineStr">
        <is>
          <t>1.036</t>
        </is>
      </c>
      <c r="CF41" s="24" t="inlineStr">
        <is>
          <t>1.0084</t>
        </is>
      </c>
      <c r="CG41" s="24" t="inlineStr">
        <is>
          <t>-0.6</t>
        </is>
      </c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</row>
    <row r="42" ht="36" customHeight="1">
      <c r="A42" s="24" t="inlineStr">
        <is>
          <t>93a9574919fd44a4</t>
        </is>
      </c>
      <c r="B42" s="24" t="inlineStr">
        <is>
          <t>2026-08-01T20:15:07.885436Z</t>
        </is>
      </c>
      <c r="C42" s="24" t="inlineStr">
        <is>
          <t>2026-08-01T19:05:00-0400</t>
        </is>
      </c>
      <c r="D42" s="24" t="inlineStr">
        <is>
          <t>401816350</t>
        </is>
      </c>
      <c r="E42" s="24" t="inlineStr">
        <is>
          <t>MLB</t>
        </is>
      </c>
      <c r="F42" s="24" t="inlineStr">
        <is>
          <t>Philadelphia Phillies</t>
        </is>
      </c>
      <c r="G42" s="24" t="inlineStr">
        <is>
          <t>Baltimore Orioles</t>
        </is>
      </c>
      <c r="H42" s="24" t="inlineStr">
        <is>
          <t>moneyline</t>
        </is>
      </c>
      <c r="I42" s="24" t="inlineStr">
        <is>
          <t>away</t>
        </is>
      </c>
      <c r="J42" s="25" t="n"/>
      <c r="K42" s="24" t="inlineStr">
        <is>
          <t>polymarket_us</t>
        </is>
      </c>
      <c r="L42" s="26" t="n">
        <v>-138</v>
      </c>
      <c r="M42" s="27" t="n">
        <v>1.724638</v>
      </c>
      <c r="N42" s="28" t="n">
        <v>0.579832</v>
      </c>
      <c r="O42" s="28" t="n">
        <v>0.513137</v>
      </c>
      <c r="P42" s="28" t="n"/>
      <c r="Q42" s="28" t="n">
        <v>-0.066695</v>
      </c>
      <c r="R42" s="26" t="n">
        <v>0</v>
      </c>
      <c r="S42" s="29" t="n">
        <v>1</v>
      </c>
      <c r="T42" s="24" t="inlineStr">
        <is>
          <t>mlb-elo-trend-lr-v7</t>
        </is>
      </c>
      <c r="U42" s="24" t="inlineStr">
        <is>
          <t>settled</t>
        </is>
      </c>
      <c r="V42" s="24" t="inlineStr">
        <is>
          <t>win</t>
        </is>
      </c>
      <c r="W42" s="26" t="n">
        <v>5</v>
      </c>
      <c r="X42" s="26" t="n">
        <v>0</v>
      </c>
      <c r="Y42" s="25" t="n"/>
      <c r="Z42" s="26" t="n">
        <v>-138</v>
      </c>
      <c r="AA42" s="28" t="n">
        <v>0.58</v>
      </c>
      <c r="AB42" s="28" t="n">
        <v>0.000168</v>
      </c>
      <c r="AC42" s="30" t="n">
        <v>0.7246</v>
      </c>
      <c r="AD42" s="24" t="inlineStr">
        <is>
          <t>2026-08-02T03:25:50.974932Z</t>
        </is>
      </c>
      <c r="AE42" s="31" t="inlineStr">
        <is>
          <t>Learned LR call at threshold 0.6242; executable ask 0.5800 (aec-mlb-phi-bal-2026-08-01); model edge vs ask -0.0669.</t>
        </is>
      </c>
      <c r="AF42" s="31" t="inlineStr">
        <is>
          <t>Learned model; shadow-qualified via operator override.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model_qualified</t>
        </is>
      </c>
      <c r="AL42" s="26" t="n">
        <v>3</v>
      </c>
      <c r="AM42" s="24" t="inlineStr">
        <is>
          <t>QUALIFIED_SHADOW_CALL</t>
        </is>
      </c>
      <c r="AN42" s="24" t="inlineStr">
        <is>
          <t>CALL</t>
        </is>
      </c>
      <c r="AO42" s="24" t="inlineStr">
        <is>
          <t>QUALIFIED</t>
        </is>
      </c>
      <c r="AP42" s="24" t="inlineStr">
        <is>
          <t>mlb-phi</t>
        </is>
      </c>
      <c r="AQ42" s="24" t="inlineStr">
        <is>
          <t>Philadelphia Phillies</t>
        </is>
      </c>
      <c r="AR42" s="24" t="inlineStr">
        <is>
          <t>Philadelphia Phillies</t>
        </is>
      </c>
      <c r="AS42" s="24" t="inlineStr">
        <is>
          <t>mlb-bal</t>
        </is>
      </c>
      <c r="AT42" s="24" t="inlineStr">
        <is>
          <t>Baltimore Orioles</t>
        </is>
      </c>
      <c r="AU42" s="24" t="inlineStr">
        <is>
          <t>Baltimore Orioles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464eef695bfbbdaa819ec6f5e4c5bd1068ed20b92915fb2677220ae91e20d8b6</t>
        </is>
      </c>
      <c r="BB42" s="24" t="inlineStr">
        <is>
          <t>learned_lr</t>
        </is>
      </c>
      <c r="BC42" s="24" t="inlineStr">
        <is>
          <t>mlb-elo-trend-lr-v7</t>
        </is>
      </c>
      <c r="BD42" s="24" t="inlineStr">
        <is>
          <t>464eef695bfbbdaa819ec6f5e4c5bd1068ed20b92915fb2677220ae91e20d8b6</t>
        </is>
      </c>
      <c r="BE42" s="24" t="inlineStr">
        <is>
          <t>d586eb6336d4b039</t>
        </is>
      </c>
      <c r="BF42" s="24" t="inlineStr">
        <is>
          <t>1</t>
        </is>
      </c>
      <c r="BG42" s="24" t="inlineStr">
        <is>
          <t>mlb-elo-trend-lr-v7</t>
        </is>
      </c>
      <c r="BH42" s="24" t="inlineStr">
        <is>
          <t>2026-08-01T20:14:07.264311Z</t>
        </is>
      </c>
      <c r="BI42" s="24" t="inlineStr">
        <is>
          <t>["same_event","same_team_same_day","same_league_same_day"]</t>
        </is>
      </c>
      <c r="BJ42" s="25" t="n"/>
      <c r="BK42" s="26" t="n">
        <v>-138</v>
      </c>
      <c r="BL42" s="27" t="n">
        <v>1.724638</v>
      </c>
      <c r="BM42" s="28" t="n">
        <v>0.579832</v>
      </c>
      <c r="BN42" s="28" t="n">
        <v>0.577114</v>
      </c>
      <c r="BO42" s="28" t="n"/>
      <c r="BP42" s="25" t="n"/>
      <c r="BQ42" s="27" t="n">
        <v>1.724638</v>
      </c>
      <c r="BR42" s="28" t="n">
        <v>0.58</v>
      </c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inlineStr">
        <is>
          <t>0.4932721792</t>
        </is>
      </c>
      <c r="CD42" s="24" t="inlineStr">
        <is>
          <t>1.020825</t>
        </is>
      </c>
      <c r="CE42" s="24" t="inlineStr">
        <is>
          <t>1.03</t>
        </is>
      </c>
      <c r="CF42" s="24" t="inlineStr">
        <is>
          <t>1.0145</t>
        </is>
      </c>
      <c r="CG42" s="24" t="inlineStr">
        <is>
          <t>1.6</t>
        </is>
      </c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</row>
    <row r="43" ht="36" customHeight="1">
      <c r="A43" s="24" t="inlineStr">
        <is>
          <t>19fa9a9b39094e9e</t>
        </is>
      </c>
      <c r="B43" s="24" t="inlineStr">
        <is>
          <t>2026-08-01T20:15:07.885436Z</t>
        </is>
      </c>
      <c r="C43" s="24" t="inlineStr">
        <is>
          <t>2026-08-01T19:10:00-0400</t>
        </is>
      </c>
      <c r="D43" s="24" t="inlineStr">
        <is>
          <t>401816355</t>
        </is>
      </c>
      <c r="E43" s="24" t="inlineStr">
        <is>
          <t>MLB</t>
        </is>
      </c>
      <c r="F43" s="24" t="inlineStr">
        <is>
          <t>Texas Rangers</t>
        </is>
      </c>
      <c r="G43" s="24" t="inlineStr">
        <is>
          <t>Houston Astros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115</v>
      </c>
      <c r="M43" s="27" t="n">
        <v>2.15</v>
      </c>
      <c r="N43" s="28" t="n">
        <v>0.465116</v>
      </c>
      <c r="O43" s="28" t="n">
        <v>0.542652</v>
      </c>
      <c r="P43" s="28" t="n"/>
      <c r="Q43" s="28" t="n">
        <v>0.07753599999999999</v>
      </c>
      <c r="R43" s="26" t="n">
        <v>60</v>
      </c>
      <c r="S43" s="29" t="n">
        <v>1</v>
      </c>
      <c r="T43" s="24" t="inlineStr">
        <is>
          <t>mlb-elo-trend-lr-v7</t>
        </is>
      </c>
      <c r="U43" s="24" t="inlineStr">
        <is>
          <t>settled</t>
        </is>
      </c>
      <c r="V43" s="24" t="inlineStr">
        <is>
          <t>win</t>
        </is>
      </c>
      <c r="W43" s="26" t="n">
        <v>4</v>
      </c>
      <c r="X43" s="26" t="n">
        <v>5</v>
      </c>
      <c r="Y43" s="25" t="n"/>
      <c r="Z43" s="26" t="n">
        <v>115</v>
      </c>
      <c r="AA43" s="28" t="n">
        <v>0.465</v>
      </c>
      <c r="AB43" s="28" t="n">
        <v>-0.000116</v>
      </c>
      <c r="AC43" s="30" t="n">
        <v>1.15</v>
      </c>
      <c r="AD43" s="24" t="inlineStr">
        <is>
          <t>2026-08-02T03:25:51.181324Z</t>
        </is>
      </c>
      <c r="AE43" s="31" t="inlineStr">
        <is>
          <t>Learned LR call at threshold 0.6242; executable ask 0.4650 (aec-mlb-tex-hou-2026-08-01); model edge vs ask +0.0777.</t>
        </is>
      </c>
      <c r="AF43" s="31" t="inlineStr">
        <is>
          <t>Learned model; shadow-qualified via operator override.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model_qualified</t>
        </is>
      </c>
      <c r="AL43" s="26" t="n">
        <v>3</v>
      </c>
      <c r="AM43" s="24" t="inlineStr">
        <is>
          <t>QUALIFIED_SHADOW_CALL</t>
        </is>
      </c>
      <c r="AN43" s="24" t="inlineStr">
        <is>
          <t>CALL</t>
        </is>
      </c>
      <c r="AO43" s="24" t="inlineStr">
        <is>
          <t>QUALIFIED</t>
        </is>
      </c>
      <c r="AP43" s="24" t="inlineStr">
        <is>
          <t>mlb-tex</t>
        </is>
      </c>
      <c r="AQ43" s="24" t="inlineStr">
        <is>
          <t>Texas Rangers</t>
        </is>
      </c>
      <c r="AR43" s="24" t="inlineStr">
        <is>
          <t>Texas Rangers</t>
        </is>
      </c>
      <c r="AS43" s="24" t="inlineStr">
        <is>
          <t>mlb-hou</t>
        </is>
      </c>
      <c r="AT43" s="24" t="inlineStr">
        <is>
          <t>Houston Astros</t>
        </is>
      </c>
      <c r="AU43" s="24" t="inlineStr">
        <is>
          <t>Houston Astros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464eef695bfbbdaa819ec6f5e4c5bd1068ed20b92915fb2677220ae91e20d8b6</t>
        </is>
      </c>
      <c r="BB43" s="24" t="inlineStr">
        <is>
          <t>learned_lr</t>
        </is>
      </c>
      <c r="BC43" s="24" t="inlineStr">
        <is>
          <t>mlb-elo-trend-lr-v7</t>
        </is>
      </c>
      <c r="BD43" s="24" t="inlineStr">
        <is>
          <t>464eef695bfbbdaa819ec6f5e4c5bd1068ed20b92915fb2677220ae91e20d8b6</t>
        </is>
      </c>
      <c r="BE43" s="24" t="inlineStr">
        <is>
          <t>f2965fa6c6fef7a3</t>
        </is>
      </c>
      <c r="BF43" s="24" t="inlineStr">
        <is>
          <t>1</t>
        </is>
      </c>
      <c r="BG43" s="24" t="inlineStr">
        <is>
          <t>mlb-elo-trend-lr-v7</t>
        </is>
      </c>
      <c r="BH43" s="24" t="inlineStr">
        <is>
          <t>2026-08-01T20:14:08.292559Z</t>
        </is>
      </c>
      <c r="BI43" s="24" t="inlineStr">
        <is>
          <t>["same_event","same_team_same_day","same_league_same_day"]</t>
        </is>
      </c>
      <c r="BJ43" s="25" t="n"/>
      <c r="BK43" s="26" t="n">
        <v>115</v>
      </c>
      <c r="BL43" s="27" t="n">
        <v>2.15</v>
      </c>
      <c r="BM43" s="28" t="n">
        <v>0.465116</v>
      </c>
      <c r="BN43" s="28" t="n">
        <v>0.462687</v>
      </c>
      <c r="BO43" s="28" t="n"/>
      <c r="BP43" s="25" t="n"/>
      <c r="BQ43" s="27" t="n">
        <v>2.15</v>
      </c>
      <c r="BR43" s="28" t="n">
        <v>0.465</v>
      </c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inlineStr">
        <is>
          <t>0.5536392121</t>
        </is>
      </c>
      <c r="CD43" s="24" t="inlineStr">
        <is>
          <t>2.366358</t>
        </is>
      </c>
      <c r="CE43" s="24" t="inlineStr">
        <is>
          <t>0.956</t>
        </is>
      </c>
      <c r="CF43" s="24" t="inlineStr">
        <is>
          <t>1.0</t>
        </is>
      </c>
      <c r="CG43" s="24" t="inlineStr">
        <is>
          <t>0.6</t>
        </is>
      </c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</row>
    <row r="44" ht="36" customHeight="1">
      <c r="A44" s="24" t="inlineStr">
        <is>
          <t>6b68d638d5cb4f2f</t>
        </is>
      </c>
      <c r="B44" s="24" t="inlineStr">
        <is>
          <t>2026-08-01T20:15:07.885436Z</t>
        </is>
      </c>
      <c r="C44" s="24" t="inlineStr">
        <is>
          <t>2026-08-01T19:15:00-0400</t>
        </is>
      </c>
      <c r="D44" s="24" t="inlineStr">
        <is>
          <t>401816347</t>
        </is>
      </c>
      <c r="E44" s="24" t="inlineStr">
        <is>
          <t>MLB</t>
        </is>
      </c>
      <c r="F44" s="24" t="inlineStr">
        <is>
          <t>Arizona Diamondbacks</t>
        </is>
      </c>
      <c r="G44" s="24" t="inlineStr">
        <is>
          <t>Cleveland Guardians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-163</v>
      </c>
      <c r="M44" s="27" t="n">
        <v>1.613497</v>
      </c>
      <c r="N44" s="28" t="n">
        <v>0.619772</v>
      </c>
      <c r="O44" s="28" t="n">
        <v>0.534072</v>
      </c>
      <c r="P44" s="28" t="n"/>
      <c r="Q44" s="28" t="n">
        <v>-0.0857</v>
      </c>
      <c r="R44" s="26" t="n">
        <v>0</v>
      </c>
      <c r="S44" s="29" t="n">
        <v>1</v>
      </c>
      <c r="T44" s="24" t="inlineStr">
        <is>
          <t>mlb-elo-trend-lr-v7</t>
        </is>
      </c>
      <c r="U44" s="24" t="inlineStr">
        <is>
          <t>settled</t>
        </is>
      </c>
      <c r="V44" s="24" t="inlineStr">
        <is>
          <t>loss</t>
        </is>
      </c>
      <c r="W44" s="26" t="n">
        <v>12</v>
      </c>
      <c r="X44" s="26" t="n">
        <v>8</v>
      </c>
      <c r="Y44" s="25" t="n"/>
      <c r="Z44" s="26" t="n">
        <v>-163</v>
      </c>
      <c r="AA44" s="28" t="n">
        <v>0.62</v>
      </c>
      <c r="AB44" s="28" t="n">
        <v>0.000228</v>
      </c>
      <c r="AC44" s="30" t="n">
        <v>-1</v>
      </c>
      <c r="AD44" s="24" t="inlineStr">
        <is>
          <t>2026-08-02T03:25:51.386170Z</t>
        </is>
      </c>
      <c r="AE44" s="31" t="inlineStr">
        <is>
          <t>Learned LR call at threshold 0.6242; executable ask 0.6200 (aec-mlb-az-cle-2026-08-01); model edge vs ask -0.0859.</t>
        </is>
      </c>
      <c r="AF44" s="31" t="inlineStr">
        <is>
          <t>Learned model; shadow-qualified via operator override.</t>
        </is>
      </c>
      <c r="AG44" s="24" t="inlineStr">
        <is>
          <t>review_required</t>
        </is>
      </c>
      <c r="AH44" s="24" t="n"/>
      <c r="AI44" s="31" t="n"/>
      <c r="AJ44" s="31" t="n"/>
      <c r="AK44" s="24" t="inlineStr">
        <is>
          <t>model_qualified</t>
        </is>
      </c>
      <c r="AL44" s="26" t="n">
        <v>3</v>
      </c>
      <c r="AM44" s="24" t="inlineStr">
        <is>
          <t>QUALIFIED_SHADOW_CALL</t>
        </is>
      </c>
      <c r="AN44" s="24" t="inlineStr">
        <is>
          <t>CALL</t>
        </is>
      </c>
      <c r="AO44" s="24" t="inlineStr">
        <is>
          <t>QUALIFIED</t>
        </is>
      </c>
      <c r="AP44" s="24" t="inlineStr">
        <is>
          <t>mlb-ari</t>
        </is>
      </c>
      <c r="AQ44" s="24" t="inlineStr">
        <is>
          <t>Arizona Diamondbacks</t>
        </is>
      </c>
      <c r="AR44" s="24" t="inlineStr">
        <is>
          <t>Arizona Diamondbacks</t>
        </is>
      </c>
      <c r="AS44" s="24" t="inlineStr">
        <is>
          <t>mlb-cle</t>
        </is>
      </c>
      <c r="AT44" s="24" t="inlineStr">
        <is>
          <t>Cleveland Guardians</t>
        </is>
      </c>
      <c r="AU44" s="24" t="inlineStr">
        <is>
          <t>Cleveland Guardians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464eef695bfbbdaa819ec6f5e4c5bd1068ed20b92915fb2677220ae91e20d8b6</t>
        </is>
      </c>
      <c r="BB44" s="24" t="inlineStr">
        <is>
          <t>learned_lr</t>
        </is>
      </c>
      <c r="BC44" s="24" t="inlineStr">
        <is>
          <t>mlb-elo-trend-lr-v7</t>
        </is>
      </c>
      <c r="BD44" s="24" t="inlineStr">
        <is>
          <t>464eef695bfbbdaa819ec6f5e4c5bd1068ed20b92915fb2677220ae91e20d8b6</t>
        </is>
      </c>
      <c r="BE44" s="24" t="inlineStr">
        <is>
          <t>5291b1c09a366ec8</t>
        </is>
      </c>
      <c r="BF44" s="24" t="inlineStr">
        <is>
          <t>1</t>
        </is>
      </c>
      <c r="BG44" s="24" t="inlineStr">
        <is>
          <t>mlb-elo-trend-lr-v7</t>
        </is>
      </c>
      <c r="BH44" s="24" t="inlineStr">
        <is>
          <t>2026-08-01T20:14:10.378899Z</t>
        </is>
      </c>
      <c r="BI44" s="24" t="inlineStr">
        <is>
          <t>["same_event","same_team_same_day","same_league_same_day"]</t>
        </is>
      </c>
      <c r="BJ44" s="25" t="n"/>
      <c r="BK44" s="26" t="n">
        <v>-163</v>
      </c>
      <c r="BL44" s="27" t="n">
        <v>1.613497</v>
      </c>
      <c r="BM44" s="28" t="n">
        <v>0.619772</v>
      </c>
      <c r="BN44" s="28" t="n">
        <v>0.616915</v>
      </c>
      <c r="BO44" s="28" t="n"/>
      <c r="BP44" s="25" t="n"/>
      <c r="BQ44" s="27" t="n">
        <v>1.613497</v>
      </c>
      <c r="BR44" s="28" t="n">
        <v>0.62</v>
      </c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inlineStr">
        <is>
          <t>0.5245055589</t>
        </is>
      </c>
      <c r="CD44" s="24" t="inlineStr">
        <is>
          <t>-0.916106</t>
        </is>
      </c>
      <c r="CE44" s="24" t="inlineStr">
        <is>
          <t>0.966</t>
        </is>
      </c>
      <c r="CF44" s="24" t="inlineStr">
        <is>
          <t>1.0098</t>
        </is>
      </c>
      <c r="CG44" s="24" t="inlineStr">
        <is>
          <t>-1.6</t>
        </is>
      </c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</row>
    <row r="45" ht="36" customHeight="1">
      <c r="A45" s="24" t="inlineStr">
        <is>
          <t>130ce91c33e8404d</t>
        </is>
      </c>
      <c r="B45" s="24" t="inlineStr">
        <is>
          <t>2026-08-01T20:15:07.885436Z</t>
        </is>
      </c>
      <c r="C45" s="24" t="inlineStr">
        <is>
          <t>2026-08-01T19:15:00-0400</t>
        </is>
      </c>
      <c r="D45" s="24" t="inlineStr">
        <is>
          <t>401816353</t>
        </is>
      </c>
      <c r="E45" s="24" t="inlineStr">
        <is>
          <t>MLB</t>
        </is>
      </c>
      <c r="F45" s="24" t="inlineStr">
        <is>
          <t>Washington Nationals</t>
        </is>
      </c>
      <c r="G45" s="24" t="inlineStr">
        <is>
          <t>Atlanta Braves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-160</v>
      </c>
      <c r="M45" s="27" t="n">
        <v>1.625</v>
      </c>
      <c r="N45" s="28" t="n">
        <v>0.615385</v>
      </c>
      <c r="O45" s="28" t="n">
        <v>0.6128</v>
      </c>
      <c r="P45" s="28" t="n"/>
      <c r="Q45" s="28" t="n">
        <v>-0.002585</v>
      </c>
      <c r="R45" s="26" t="n">
        <v>20</v>
      </c>
      <c r="S45" s="29" t="n">
        <v>1.5</v>
      </c>
      <c r="T45" s="24" t="inlineStr">
        <is>
          <t>mlb-elo-trend-lr-v7</t>
        </is>
      </c>
      <c r="U45" s="24" t="inlineStr">
        <is>
          <t>settled</t>
        </is>
      </c>
      <c r="V45" s="24" t="inlineStr">
        <is>
          <t>win</t>
        </is>
      </c>
      <c r="W45" s="26" t="n">
        <v>3</v>
      </c>
      <c r="X45" s="26" t="n">
        <v>8</v>
      </c>
      <c r="Y45" s="25" t="n"/>
      <c r="Z45" s="26" t="n">
        <v>-160</v>
      </c>
      <c r="AA45" s="28" t="n">
        <v>0.615</v>
      </c>
      <c r="AB45" s="28" t="n">
        <v>-0.000385</v>
      </c>
      <c r="AC45" s="30" t="n">
        <v>0.9375</v>
      </c>
      <c r="AD45" s="24" t="inlineStr">
        <is>
          <t>2026-08-02T03:25:51.589404Z</t>
        </is>
      </c>
      <c r="AE45" s="31" t="inlineStr">
        <is>
          <t>Learned LR call at threshold 0.6242; executable ask 0.6150 (aec-mlb-wsh-atl-2026-08-01); model edge vs ask -0.0022.</t>
        </is>
      </c>
      <c r="AF45" s="31" t="inlineStr">
        <is>
          <t>Learned model; shadow-qualified via operator override.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model_qualified</t>
        </is>
      </c>
      <c r="AL45" s="26" t="n">
        <v>3</v>
      </c>
      <c r="AM45" s="24" t="inlineStr">
        <is>
          <t>QUALIFIED_SHADOW_CALL</t>
        </is>
      </c>
      <c r="AN45" s="24" t="inlineStr">
        <is>
          <t>CALL</t>
        </is>
      </c>
      <c r="AO45" s="24" t="inlineStr">
        <is>
          <t>QUALIFIED</t>
        </is>
      </c>
      <c r="AP45" s="24" t="inlineStr">
        <is>
          <t>mlb-wsh</t>
        </is>
      </c>
      <c r="AQ45" s="24" t="inlineStr">
        <is>
          <t>Washington Nationals</t>
        </is>
      </c>
      <c r="AR45" s="24" t="inlineStr">
        <is>
          <t>Washington Nationals</t>
        </is>
      </c>
      <c r="AS45" s="24" t="inlineStr">
        <is>
          <t>mlb-atl</t>
        </is>
      </c>
      <c r="AT45" s="24" t="inlineStr">
        <is>
          <t>Atlanta Braves</t>
        </is>
      </c>
      <c r="AU45" s="24" t="inlineStr">
        <is>
          <t>Atlanta Braves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464eef695bfbbdaa819ec6f5e4c5bd1068ed20b92915fb2677220ae91e20d8b6</t>
        </is>
      </c>
      <c r="BB45" s="24" t="inlineStr">
        <is>
          <t>learned_lr</t>
        </is>
      </c>
      <c r="BC45" s="24" t="inlineStr">
        <is>
          <t>mlb-elo-trend-lr-v7</t>
        </is>
      </c>
      <c r="BD45" s="24" t="inlineStr">
        <is>
          <t>464eef695bfbbdaa819ec6f5e4c5bd1068ed20b92915fb2677220ae91e20d8b6</t>
        </is>
      </c>
      <c r="BE45" s="24" t="inlineStr">
        <is>
          <t>d766ec0b9c7d91f2</t>
        </is>
      </c>
      <c r="BF45" s="24" t="inlineStr">
        <is>
          <t>1</t>
        </is>
      </c>
      <c r="BG45" s="24" t="inlineStr">
        <is>
          <t>mlb-elo-trend-lr-v7</t>
        </is>
      </c>
      <c r="BH45" s="24" t="inlineStr">
        <is>
          <t>2026-08-01T20:14:11.394186Z</t>
        </is>
      </c>
      <c r="BI45" s="24" t="inlineStr">
        <is>
          <t>["same_event","same_team_same_day","same_league_same_day"]</t>
        </is>
      </c>
      <c r="BJ45" s="25" t="n"/>
      <c r="BK45" s="26" t="n">
        <v>-160</v>
      </c>
      <c r="BL45" s="27" t="n">
        <v>1.625</v>
      </c>
      <c r="BM45" s="28" t="n">
        <v>0.615385</v>
      </c>
      <c r="BN45" s="28" t="n">
        <v>0.61194</v>
      </c>
      <c r="BO45" s="28" t="n"/>
      <c r="BP45" s="25" t="n"/>
      <c r="BQ45" s="27" t="n">
        <v>1.625</v>
      </c>
      <c r="BR45" s="28" t="n">
        <v>0.615</v>
      </c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inlineStr">
        <is>
          <t>0.6266199013</t>
        </is>
      </c>
      <c r="CD45" s="24" t="inlineStr">
        <is>
          <t>0.430565</t>
        </is>
      </c>
      <c r="CE45" s="24" t="inlineStr">
        <is>
          <t>0.929</t>
        </is>
      </c>
      <c r="CF45" s="24" t="inlineStr">
        <is>
          <t>1.0145</t>
        </is>
      </c>
      <c r="CG45" s="24" t="inlineStr">
        <is>
          <t>-0.4</t>
        </is>
      </c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</row>
    <row r="46" ht="36" customHeight="1">
      <c r="A46" s="24" t="inlineStr">
        <is>
          <t>ea9d201ce688471d</t>
        </is>
      </c>
      <c r="B46" s="24" t="inlineStr">
        <is>
          <t>2026-08-01T20:15:07.885436Z</t>
        </is>
      </c>
      <c r="C46" s="24" t="inlineStr">
        <is>
          <t>2026-08-01T19:15:00-0400</t>
        </is>
      </c>
      <c r="D46" s="24" t="inlineStr">
        <is>
          <t>401816354</t>
        </is>
      </c>
      <c r="E46" s="24" t="inlineStr">
        <is>
          <t>MLB</t>
        </is>
      </c>
      <c r="F46" s="24" t="inlineStr">
        <is>
          <t>New York Yankees</t>
        </is>
      </c>
      <c r="G46" s="24" t="inlineStr">
        <is>
          <t>Chicago Cubs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-111</v>
      </c>
      <c r="M46" s="27" t="n">
        <v>1.900901</v>
      </c>
      <c r="N46" s="28" t="n">
        <v>0.526066</v>
      </c>
      <c r="O46" s="28" t="n">
        <v>0.546777</v>
      </c>
      <c r="P46" s="28" t="n"/>
      <c r="Q46" s="28" t="n">
        <v>0.020711</v>
      </c>
      <c r="R46" s="26" t="n">
        <v>32</v>
      </c>
      <c r="S46" s="29" t="n">
        <v>1</v>
      </c>
      <c r="T46" s="24" t="inlineStr">
        <is>
          <t>mlb-elo-trend-lr-v7</t>
        </is>
      </c>
      <c r="U46" s="24" t="inlineStr">
        <is>
          <t>settled</t>
        </is>
      </c>
      <c r="V46" s="24" t="inlineStr">
        <is>
          <t>win</t>
        </is>
      </c>
      <c r="W46" s="26" t="n">
        <v>2</v>
      </c>
      <c r="X46" s="26" t="n">
        <v>5</v>
      </c>
      <c r="Y46" s="25" t="n"/>
      <c r="Z46" s="26" t="n">
        <v>-111</v>
      </c>
      <c r="AA46" s="28" t="n">
        <v>0.525</v>
      </c>
      <c r="AB46" s="28" t="n">
        <v>-0.001066</v>
      </c>
      <c r="AC46" s="30" t="n">
        <v>0.9009</v>
      </c>
      <c r="AD46" s="24" t="inlineStr">
        <is>
          <t>2026-08-02T03:25:51.794957Z</t>
        </is>
      </c>
      <c r="AE46" s="31" t="inlineStr">
        <is>
          <t>Learned LR call at threshold 0.6242; executable ask 0.5250 (aec-mlb-nyy-chc-2026-08-01); model edge vs ask +0.0218.</t>
        </is>
      </c>
      <c r="AF46" s="31" t="inlineStr">
        <is>
          <t>Learned model; shadow-qualified via operator override.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model_qualified</t>
        </is>
      </c>
      <c r="AL46" s="26" t="n">
        <v>3</v>
      </c>
      <c r="AM46" s="24" t="inlineStr">
        <is>
          <t>QUALIFIED_SHADOW_CALL</t>
        </is>
      </c>
      <c r="AN46" s="24" t="inlineStr">
        <is>
          <t>CALL</t>
        </is>
      </c>
      <c r="AO46" s="24" t="inlineStr">
        <is>
          <t>QUALIFIED</t>
        </is>
      </c>
      <c r="AP46" s="24" t="inlineStr">
        <is>
          <t>mlb-nyy</t>
        </is>
      </c>
      <c r="AQ46" s="24" t="inlineStr">
        <is>
          <t>New York Yankees</t>
        </is>
      </c>
      <c r="AR46" s="24" t="inlineStr">
        <is>
          <t>New York Yankees</t>
        </is>
      </c>
      <c r="AS46" s="24" t="inlineStr">
        <is>
          <t>mlb-chc</t>
        </is>
      </c>
      <c r="AT46" s="24" t="inlineStr">
        <is>
          <t>Chicago Cubs</t>
        </is>
      </c>
      <c r="AU46" s="24" t="inlineStr">
        <is>
          <t>Chicago Cubs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464eef695bfbbdaa819ec6f5e4c5bd1068ed20b92915fb2677220ae91e20d8b6</t>
        </is>
      </c>
      <c r="BB46" s="24" t="inlineStr">
        <is>
          <t>learned_lr</t>
        </is>
      </c>
      <c r="BC46" s="24" t="inlineStr">
        <is>
          <t>mlb-elo-trend-lr-v7</t>
        </is>
      </c>
      <c r="BD46" s="24" t="inlineStr">
        <is>
          <t>464eef695bfbbdaa819ec6f5e4c5bd1068ed20b92915fb2677220ae91e20d8b6</t>
        </is>
      </c>
      <c r="BE46" s="24" t="inlineStr">
        <is>
          <t>7cb47d99adfeb29c</t>
        </is>
      </c>
      <c r="BF46" s="24" t="inlineStr">
        <is>
          <t>1</t>
        </is>
      </c>
      <c r="BG46" s="24" t="inlineStr">
        <is>
          <t>mlb-elo-trend-lr-v7</t>
        </is>
      </c>
      <c r="BH46" s="24" t="inlineStr">
        <is>
          <t>2026-08-01T20:14:09.257400Z</t>
        </is>
      </c>
      <c r="BI46" s="24" t="inlineStr">
        <is>
          <t>["same_event","same_team_same_day","same_league_same_day"]</t>
        </is>
      </c>
      <c r="BJ46" s="25" t="n"/>
      <c r="BK46" s="26" t="n">
        <v>-111</v>
      </c>
      <c r="BL46" s="27" t="n">
        <v>1.900901</v>
      </c>
      <c r="BM46" s="28" t="n">
        <v>0.526066</v>
      </c>
      <c r="BN46" s="28" t="n">
        <v>0.522388</v>
      </c>
      <c r="BO46" s="28" t="n"/>
      <c r="BP46" s="25" t="n"/>
      <c r="BQ46" s="27" t="n">
        <v>1.900901</v>
      </c>
      <c r="BR46" s="28" t="n">
        <v>0.525</v>
      </c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inlineStr">
        <is>
          <t>0.5407844181</t>
        </is>
      </c>
      <c r="CD46" s="24" t="inlineStr">
        <is>
          <t>-0.04604</t>
        </is>
      </c>
      <c r="CE46" s="24" t="inlineStr">
        <is>
          <t>0.986</t>
        </is>
      </c>
      <c r="CF46" s="24" t="inlineStr">
        <is>
          <t>1.0117</t>
        </is>
      </c>
      <c r="CG46" s="24" t="inlineStr">
        <is>
          <t>-0.6</t>
        </is>
      </c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</row>
    <row r="47" ht="36" customHeight="1">
      <c r="A47" s="24" t="inlineStr">
        <is>
          <t>e69af07774254511</t>
        </is>
      </c>
      <c r="B47" s="24" t="inlineStr">
        <is>
          <t>2026-08-01T23:52:21.502342Z</t>
        </is>
      </c>
      <c r="C47" s="24" t="inlineStr">
        <is>
          <t>2026-08-01T20:10:00-0400</t>
        </is>
      </c>
      <c r="D47" s="24" t="inlineStr">
        <is>
          <t>401816356</t>
        </is>
      </c>
      <c r="E47" s="24" t="inlineStr">
        <is>
          <t>MLB</t>
        </is>
      </c>
      <c r="F47" s="24" t="inlineStr">
        <is>
          <t>Kansas City Royals</t>
        </is>
      </c>
      <c r="G47" s="24" t="inlineStr">
        <is>
          <t>Colorado Rockies</t>
        </is>
      </c>
      <c r="H47" s="24" t="inlineStr">
        <is>
          <t>moneyline</t>
        </is>
      </c>
      <c r="I47" s="24" t="inlineStr">
        <is>
          <t>away</t>
        </is>
      </c>
      <c r="J47" s="25" t="n"/>
      <c r="K47" s="24" t="inlineStr">
        <is>
          <t>polymarket_us</t>
        </is>
      </c>
      <c r="L47" s="26" t="n">
        <v>115</v>
      </c>
      <c r="M47" s="27" t="n">
        <v>2.15</v>
      </c>
      <c r="N47" s="28" t="n">
        <v>0.465116</v>
      </c>
      <c r="O47" s="28" t="n">
        <v>0.59943</v>
      </c>
      <c r="P47" s="28" t="n"/>
      <c r="Q47" s="28" t="n">
        <v>0.134314</v>
      </c>
      <c r="R47" s="26" t="n">
        <v>88</v>
      </c>
      <c r="S47" s="29" t="n">
        <v>1.25</v>
      </c>
      <c r="T47" s="24" t="inlineStr">
        <is>
          <t>mlb-elo-trend-lr-v7</t>
        </is>
      </c>
      <c r="U47" s="24" t="inlineStr">
        <is>
          <t>settled</t>
        </is>
      </c>
      <c r="V47" s="24" t="inlineStr">
        <is>
          <t>loss</t>
        </is>
      </c>
      <c r="W47" s="26" t="n">
        <v>6</v>
      </c>
      <c r="X47" s="26" t="n">
        <v>12</v>
      </c>
      <c r="Y47" s="25" t="n"/>
      <c r="Z47" s="26" t="n">
        <v>115</v>
      </c>
      <c r="AA47" s="28" t="n">
        <v>0.465</v>
      </c>
      <c r="AB47" s="28" t="n">
        <v>-0.000116</v>
      </c>
      <c r="AC47" s="30" t="n">
        <v>-1.25</v>
      </c>
      <c r="AD47" s="24" t="inlineStr">
        <is>
          <t>2026-08-02T03:25:52.027477Z</t>
        </is>
      </c>
      <c r="AE47" s="31" t="inlineStr">
        <is>
          <t>Learned LR call at threshold 0.6242; executable ask 0.4650 (aec-mlb-kc-col-2026-08-01); model edge vs ask +0.1344.</t>
        </is>
      </c>
      <c r="AF47" s="31" t="inlineStr">
        <is>
          <t>Learned model; shadow-qualified via operator override.</t>
        </is>
      </c>
      <c r="AG47" s="24" t="inlineStr">
        <is>
          <t>review_required</t>
        </is>
      </c>
      <c r="AH47" s="24" t="n"/>
      <c r="AI47" s="31" t="n"/>
      <c r="AJ47" s="31" t="n"/>
      <c r="AK47" s="24" t="inlineStr">
        <is>
          <t>model_qualified</t>
        </is>
      </c>
      <c r="AL47" s="26" t="n">
        <v>3</v>
      </c>
      <c r="AM47" s="24" t="inlineStr">
        <is>
          <t>QUALIFIED_SHADOW_CALL</t>
        </is>
      </c>
      <c r="AN47" s="24" t="inlineStr">
        <is>
          <t>CALL</t>
        </is>
      </c>
      <c r="AO47" s="24" t="inlineStr">
        <is>
          <t>QUALIFIED</t>
        </is>
      </c>
      <c r="AP47" s="24" t="inlineStr">
        <is>
          <t>mlb-kc</t>
        </is>
      </c>
      <c r="AQ47" s="24" t="inlineStr">
        <is>
          <t>Kansas City Royals</t>
        </is>
      </c>
      <c r="AR47" s="24" t="inlineStr">
        <is>
          <t>Kansas City Royals</t>
        </is>
      </c>
      <c r="AS47" s="24" t="inlineStr">
        <is>
          <t>mlb-col</t>
        </is>
      </c>
      <c r="AT47" s="24" t="inlineStr">
        <is>
          <t>Colorado Rockies</t>
        </is>
      </c>
      <c r="AU47" s="24" t="inlineStr">
        <is>
          <t>Colorado Rockies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464eef695bfbbdaa819ec6f5e4c5bd1068ed20b92915fb2677220ae91e20d8b6</t>
        </is>
      </c>
      <c r="BB47" s="24" t="inlineStr">
        <is>
          <t>learned_lr</t>
        </is>
      </c>
      <c r="BC47" s="24" t="inlineStr">
        <is>
          <t>mlb-elo-trend-lr-v7</t>
        </is>
      </c>
      <c r="BD47" s="24" t="inlineStr">
        <is>
          <t>464eef695bfbbdaa819ec6f5e4c5bd1068ed20b92915fb2677220ae91e20d8b6</t>
        </is>
      </c>
      <c r="BE47" s="24" t="inlineStr">
        <is>
          <t>f816e731583b605d</t>
        </is>
      </c>
      <c r="BF47" s="24" t="inlineStr">
        <is>
          <t>1</t>
        </is>
      </c>
      <c r="BG47" s="24" t="inlineStr">
        <is>
          <t>mlb-elo-trend-lr-v7</t>
        </is>
      </c>
      <c r="BH47" s="24" t="inlineStr">
        <is>
          <t>2026-08-01T23:51:47.419062Z</t>
        </is>
      </c>
      <c r="BI47" s="24" t="inlineStr">
        <is>
          <t>["same_event","same_team_same_day","same_league_same_day"]</t>
        </is>
      </c>
      <c r="BJ47" s="25" t="n"/>
      <c r="BK47" s="26" t="n">
        <v>115</v>
      </c>
      <c r="BL47" s="27" t="n">
        <v>2.15</v>
      </c>
      <c r="BM47" s="28" t="n">
        <v>0.465116</v>
      </c>
      <c r="BN47" s="28" t="n">
        <v>0.462687</v>
      </c>
      <c r="BO47" s="28" t="n"/>
      <c r="BP47" s="25" t="n"/>
      <c r="BQ47" s="27" t="n">
        <v>2.15</v>
      </c>
      <c r="BR47" s="28" t="n">
        <v>0.465</v>
      </c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inlineStr">
        <is>
          <t>0.4336227344</t>
        </is>
      </c>
      <c r="CD47" s="24" t="inlineStr">
        <is>
          <t>0.282629</t>
        </is>
      </c>
      <c r="CE47" s="24" t="inlineStr">
        <is>
          <t>1.193</t>
        </is>
      </c>
      <c r="CF47" s="24" t="inlineStr">
        <is>
          <t>1.0257</t>
        </is>
      </c>
      <c r="CG47" s="24" t="inlineStr">
        <is>
          <t>2.2</t>
        </is>
      </c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</row>
    <row r="48" ht="36" customHeight="1">
      <c r="A48" s="24" t="inlineStr">
        <is>
          <t>110b32c82d2d4e77</t>
        </is>
      </c>
      <c r="B48" s="24" t="inlineStr">
        <is>
          <t>2026-08-01T23:52:21.502342Z</t>
        </is>
      </c>
      <c r="C48" s="24" t="inlineStr">
        <is>
          <t>2026-08-01T20:40:00-0400</t>
        </is>
      </c>
      <c r="D48" s="24" t="inlineStr">
        <is>
          <t>401816361</t>
        </is>
      </c>
      <c r="E48" s="24" t="inlineStr">
        <is>
          <t>MLB</t>
        </is>
      </c>
      <c r="F48" s="24" t="inlineStr">
        <is>
          <t>San Francisco Giants</t>
        </is>
      </c>
      <c r="G48" s="24" t="inlineStr">
        <is>
          <t>San Diego Padres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-141</v>
      </c>
      <c r="M48" s="27" t="n">
        <v>1.70922</v>
      </c>
      <c r="N48" s="28" t="n">
        <v>0.585062</v>
      </c>
      <c r="O48" s="28" t="n">
        <v>0.586302</v>
      </c>
      <c r="P48" s="28" t="n"/>
      <c r="Q48" s="28" t="n">
        <v>0.00124</v>
      </c>
      <c r="R48" s="26" t="n">
        <v>22</v>
      </c>
      <c r="S48" s="29" t="n">
        <v>1.25</v>
      </c>
      <c r="T48" s="24" t="inlineStr">
        <is>
          <t>mlb-elo-trend-lr-v7</t>
        </is>
      </c>
      <c r="U48" s="24" t="inlineStr">
        <is>
          <t>settled</t>
        </is>
      </c>
      <c r="V48" s="24" t="inlineStr">
        <is>
          <t>win</t>
        </is>
      </c>
      <c r="W48" s="26" t="n">
        <v>5</v>
      </c>
      <c r="X48" s="26" t="n">
        <v>6</v>
      </c>
      <c r="Y48" s="25" t="n"/>
      <c r="Z48" s="26" t="n">
        <v>-141</v>
      </c>
      <c r="AA48" s="28" t="n">
        <v>0.585</v>
      </c>
      <c r="AB48" s="28" t="n">
        <v>-6.2e-05</v>
      </c>
      <c r="AC48" s="30" t="n">
        <v>0.8865</v>
      </c>
      <c r="AD48" s="24" t="inlineStr">
        <is>
          <t>2026-08-02T04:26:10.615469Z</t>
        </is>
      </c>
      <c r="AE48" s="31" t="inlineStr">
        <is>
          <t>Learned LR call at threshold 0.6242; executable ask 0.5850 (aec-mlb-sf-sd-2026-08-01); model edge vs ask +0.0013.</t>
        </is>
      </c>
      <c r="AF48" s="31" t="inlineStr">
        <is>
          <t>Learned model; shadow-qualified via operator override.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model_qualified</t>
        </is>
      </c>
      <c r="AL48" s="26" t="n">
        <v>3</v>
      </c>
      <c r="AM48" s="24" t="inlineStr">
        <is>
          <t>QUALIFIED_SHADOW_CALL</t>
        </is>
      </c>
      <c r="AN48" s="24" t="inlineStr">
        <is>
          <t>CALL</t>
        </is>
      </c>
      <c r="AO48" s="24" t="inlineStr">
        <is>
          <t>QUALIFIED</t>
        </is>
      </c>
      <c r="AP48" s="24" t="inlineStr">
        <is>
          <t>mlb-sf</t>
        </is>
      </c>
      <c r="AQ48" s="24" t="inlineStr">
        <is>
          <t>San Francisco Giants</t>
        </is>
      </c>
      <c r="AR48" s="24" t="inlineStr">
        <is>
          <t>San Francisco Giants</t>
        </is>
      </c>
      <c r="AS48" s="24" t="inlineStr">
        <is>
          <t>mlb-sd</t>
        </is>
      </c>
      <c r="AT48" s="24" t="inlineStr">
        <is>
          <t>San Diego Padres</t>
        </is>
      </c>
      <c r="AU48" s="24" t="inlineStr">
        <is>
          <t>San Diego Padres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464eef695bfbbdaa819ec6f5e4c5bd1068ed20b92915fb2677220ae91e20d8b6</t>
        </is>
      </c>
      <c r="BB48" s="24" t="inlineStr">
        <is>
          <t>learned_lr</t>
        </is>
      </c>
      <c r="BC48" s="24" t="inlineStr">
        <is>
          <t>mlb-elo-trend-lr-v7</t>
        </is>
      </c>
      <c r="BD48" s="24" t="inlineStr">
        <is>
          <t>464eef695bfbbdaa819ec6f5e4c5bd1068ed20b92915fb2677220ae91e20d8b6</t>
        </is>
      </c>
      <c r="BE48" s="24" t="inlineStr">
        <is>
          <t>3254957dc6cbdcf2</t>
        </is>
      </c>
      <c r="BF48" s="24" t="inlineStr">
        <is>
          <t>1</t>
        </is>
      </c>
      <c r="BG48" s="24" t="inlineStr">
        <is>
          <t>mlb-elo-trend-lr-v7</t>
        </is>
      </c>
      <c r="BH48" s="24" t="inlineStr">
        <is>
          <t>2026-08-01T23:51:48.315062Z</t>
        </is>
      </c>
      <c r="BI48" s="24" t="inlineStr">
        <is>
          <t>["same_event","same_team_same_day","same_league_same_day"]</t>
        </is>
      </c>
      <c r="BJ48" s="25" t="n"/>
      <c r="BK48" s="26" t="n">
        <v>-141</v>
      </c>
      <c r="BL48" s="27" t="n">
        <v>1.70922</v>
      </c>
      <c r="BM48" s="28" t="n">
        <v>0.585062</v>
      </c>
      <c r="BN48" s="28" t="n">
        <v>0.58209</v>
      </c>
      <c r="BO48" s="28" t="n"/>
      <c r="BP48" s="25" t="n"/>
      <c r="BQ48" s="27" t="n">
        <v>1.70922</v>
      </c>
      <c r="BR48" s="28" t="n">
        <v>0.585</v>
      </c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inlineStr">
        <is>
          <t>0.5921899564</t>
        </is>
      </c>
      <c r="CD48" s="24" t="inlineStr">
        <is>
          <t>-0.027918</t>
        </is>
      </c>
      <c r="CE48" s="24" t="inlineStr">
        <is>
          <t>0.945</t>
        </is>
      </c>
      <c r="CF48" s="24" t="inlineStr">
        <is>
          <t>1.0097</t>
        </is>
      </c>
      <c r="CG48" s="24" t="inlineStr">
        <is>
          <t>-1.8</t>
        </is>
      </c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</row>
    <row r="49" ht="36" customHeight="1">
      <c r="A49" s="24" t="inlineStr">
        <is>
          <t>ee4a790a0e694b6d</t>
        </is>
      </c>
      <c r="B49" s="24" t="inlineStr">
        <is>
          <t>2026-08-01T23:52:21.502342Z</t>
        </is>
      </c>
      <c r="C49" s="24" t="inlineStr">
        <is>
          <t>2026-08-01T21:10:00-0400</t>
        </is>
      </c>
      <c r="D49" s="24" t="inlineStr">
        <is>
          <t>401816357</t>
        </is>
      </c>
      <c r="E49" s="24" t="inlineStr">
        <is>
          <t>MLB</t>
        </is>
      </c>
      <c r="F49" s="24" t="inlineStr">
        <is>
          <t>Boston Red Sox</t>
        </is>
      </c>
      <c r="G49" s="24" t="inlineStr">
        <is>
          <t>Los Angeles Dodgers</t>
        </is>
      </c>
      <c r="H49" s="24" t="inlineStr">
        <is>
          <t>moneyline</t>
        </is>
      </c>
      <c r="I49" s="24" t="inlineStr">
        <is>
          <t>home</t>
        </is>
      </c>
      <c r="J49" s="25" t="n"/>
      <c r="K49" s="24" t="inlineStr">
        <is>
          <t>polymarket_us</t>
        </is>
      </c>
      <c r="L49" s="26" t="n">
        <v>-167</v>
      </c>
      <c r="M49" s="27" t="n">
        <v>1.598802</v>
      </c>
      <c r="N49" s="28" t="n">
        <v>0.625468</v>
      </c>
      <c r="O49" s="28" t="n">
        <v>0.561639</v>
      </c>
      <c r="P49" s="28" t="n"/>
      <c r="Q49" s="28" t="n">
        <v>-0.063829</v>
      </c>
      <c r="R49" s="26" t="n">
        <v>0</v>
      </c>
      <c r="S49" s="29" t="n">
        <v>1</v>
      </c>
      <c r="T49" s="24" t="inlineStr">
        <is>
          <t>mlb-elo-trend-lr-v7</t>
        </is>
      </c>
      <c r="U49" s="24" t="inlineStr">
        <is>
          <t>settled</t>
        </is>
      </c>
      <c r="V49" s="24" t="inlineStr">
        <is>
          <t>loss</t>
        </is>
      </c>
      <c r="W49" s="26" t="n">
        <v>3</v>
      </c>
      <c r="X49" s="26" t="n">
        <v>2</v>
      </c>
      <c r="Y49" s="25" t="n"/>
      <c r="Z49" s="26" t="n">
        <v>-167</v>
      </c>
      <c r="AA49" s="28" t="n">
        <v>0.625</v>
      </c>
      <c r="AB49" s="28" t="n">
        <v>-0.000468</v>
      </c>
      <c r="AC49" s="30" t="n">
        <v>-1</v>
      </c>
      <c r="AD49" s="24" t="inlineStr">
        <is>
          <t>2026-08-02T03:25:52.287634Z</t>
        </is>
      </c>
      <c r="AE49" s="31" t="inlineStr">
        <is>
          <t>Learned LR call at threshold 0.6242; executable ask 0.6250 (aec-mlb-bos-lad-2026-08-01); model edge vs ask -0.0634.</t>
        </is>
      </c>
      <c r="AF49" s="31" t="inlineStr">
        <is>
          <t>Learned model; shadow-qualified via operator override.</t>
        </is>
      </c>
      <c r="AG49" s="24" t="inlineStr">
        <is>
          <t>review_required</t>
        </is>
      </c>
      <c r="AH49" s="24" t="n"/>
      <c r="AI49" s="31" t="n"/>
      <c r="AJ49" s="31" t="n"/>
      <c r="AK49" s="24" t="inlineStr">
        <is>
          <t>model_qualified</t>
        </is>
      </c>
      <c r="AL49" s="26" t="n">
        <v>3</v>
      </c>
      <c r="AM49" s="24" t="inlineStr">
        <is>
          <t>QUALIFIED_SHADOW_CALL</t>
        </is>
      </c>
      <c r="AN49" s="24" t="inlineStr">
        <is>
          <t>CALL</t>
        </is>
      </c>
      <c r="AO49" s="24" t="inlineStr">
        <is>
          <t>QUALIFIED</t>
        </is>
      </c>
      <c r="AP49" s="24" t="inlineStr">
        <is>
          <t>mlb-bos</t>
        </is>
      </c>
      <c r="AQ49" s="24" t="inlineStr">
        <is>
          <t>Boston Red Sox</t>
        </is>
      </c>
      <c r="AR49" s="24" t="inlineStr">
        <is>
          <t>Boston Red Sox</t>
        </is>
      </c>
      <c r="AS49" s="24" t="inlineStr">
        <is>
          <t>mlb-lad</t>
        </is>
      </c>
      <c r="AT49" s="24" t="inlineStr">
        <is>
          <t>Los Angeles Dodgers</t>
        </is>
      </c>
      <c r="AU49" s="24" t="inlineStr">
        <is>
          <t>Los Angeles Dodgers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464eef695bfbbdaa819ec6f5e4c5bd1068ed20b92915fb2677220ae91e20d8b6</t>
        </is>
      </c>
      <c r="BB49" s="24" t="inlineStr">
        <is>
          <t>learned_lr</t>
        </is>
      </c>
      <c r="BC49" s="24" t="inlineStr">
        <is>
          <t>mlb-elo-trend-lr-v7</t>
        </is>
      </c>
      <c r="BD49" s="24" t="inlineStr">
        <is>
          <t>464eef695bfbbdaa819ec6f5e4c5bd1068ed20b92915fb2677220ae91e20d8b6</t>
        </is>
      </c>
      <c r="BE49" s="24" t="inlineStr">
        <is>
          <t>066806f0bd99b27f</t>
        </is>
      </c>
      <c r="BF49" s="24" t="inlineStr">
        <is>
          <t>1</t>
        </is>
      </c>
      <c r="BG49" s="24" t="inlineStr">
        <is>
          <t>mlb-elo-trend-lr-v7</t>
        </is>
      </c>
      <c r="BH49" s="24" t="inlineStr">
        <is>
          <t>2026-08-01T23:51:49.237000Z</t>
        </is>
      </c>
      <c r="BI49" s="24" t="inlineStr">
        <is>
          <t>["same_event","same_team_same_day","same_league_same_day"]</t>
        </is>
      </c>
      <c r="BJ49" s="25" t="n"/>
      <c r="BK49" s="26" t="n">
        <v>-167</v>
      </c>
      <c r="BL49" s="27" t="n">
        <v>1.598802</v>
      </c>
      <c r="BM49" s="28" t="n">
        <v>0.625468</v>
      </c>
      <c r="BN49" s="28" t="n">
        <v>0.621891</v>
      </c>
      <c r="BO49" s="28" t="n"/>
      <c r="BP49" s="25" t="n"/>
      <c r="BQ49" s="27" t="n">
        <v>1.598802</v>
      </c>
      <c r="BR49" s="28" t="n">
        <v>0.625</v>
      </c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inlineStr">
        <is>
          <t>0.5509882979</t>
        </is>
      </c>
      <c r="CD49" s="24" t="inlineStr">
        <is>
          <t>-0.724816</t>
        </is>
      </c>
      <c r="CE49" s="24" t="inlineStr">
        <is>
          <t>1.026</t>
        </is>
      </c>
      <c r="CF49" s="24" t="inlineStr">
        <is>
          <t>1.0134</t>
        </is>
      </c>
      <c r="CG49" s="24" t="inlineStr">
        <is>
          <t>2.4</t>
        </is>
      </c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</row>
    <row r="50" ht="36" customHeight="1">
      <c r="A50" s="24" t="inlineStr">
        <is>
          <t>9e2f461bc2024e7b</t>
        </is>
      </c>
      <c r="B50" s="24" t="inlineStr">
        <is>
          <t>2026-08-01T23:52:21.502342Z</t>
        </is>
      </c>
      <c r="C50" s="24" t="inlineStr">
        <is>
          <t>2026-08-01T21:38:00-0400</t>
        </is>
      </c>
      <c r="D50" s="24" t="inlineStr">
        <is>
          <t>401816359</t>
        </is>
      </c>
      <c r="E50" s="24" t="inlineStr">
        <is>
          <t>MLB</t>
        </is>
      </c>
      <c r="F50" s="24" t="inlineStr">
        <is>
          <t>Milwaukee Brewers</t>
        </is>
      </c>
      <c r="G50" s="24" t="inlineStr">
        <is>
          <t>Los Angeles Angels</t>
        </is>
      </c>
      <c r="H50" s="24" t="inlineStr">
        <is>
          <t>moneyline</t>
        </is>
      </c>
      <c r="I50" s="24" t="inlineStr">
        <is>
          <t>away</t>
        </is>
      </c>
      <c r="J50" s="25" t="n"/>
      <c r="K50" s="24" t="inlineStr">
        <is>
          <t>polymarket_us</t>
        </is>
      </c>
      <c r="L50" s="26" t="n">
        <v>-138</v>
      </c>
      <c r="M50" s="27" t="n">
        <v>1.724638</v>
      </c>
      <c r="N50" s="28" t="n">
        <v>0.579832</v>
      </c>
      <c r="O50" s="28" t="n">
        <v>0.623445</v>
      </c>
      <c r="P50" s="28" t="n"/>
      <c r="Q50" s="28" t="n">
        <v>0.043613</v>
      </c>
      <c r="R50" s="26" t="n">
        <v>43</v>
      </c>
      <c r="S50" s="29" t="n">
        <v>1.5</v>
      </c>
      <c r="T50" s="24" t="inlineStr">
        <is>
          <t>mlb-elo-trend-lr-v7</t>
        </is>
      </c>
      <c r="U50" s="24" t="inlineStr">
        <is>
          <t>settled</t>
        </is>
      </c>
      <c r="V50" s="24" t="inlineStr">
        <is>
          <t>win</t>
        </is>
      </c>
      <c r="W50" s="26" t="n">
        <v>3</v>
      </c>
      <c r="X50" s="26" t="n">
        <v>1</v>
      </c>
      <c r="Y50" s="25" t="n"/>
      <c r="Z50" s="26" t="n">
        <v>-138</v>
      </c>
      <c r="AA50" s="28" t="n">
        <v>0.58</v>
      </c>
      <c r="AB50" s="28" t="n">
        <v>0.000168</v>
      </c>
      <c r="AC50" s="30" t="n">
        <v>1.087</v>
      </c>
      <c r="AD50" s="24" t="inlineStr">
        <is>
          <t>2026-08-02T04:26:10.875174Z</t>
        </is>
      </c>
      <c r="AE50" s="31" t="inlineStr">
        <is>
          <t>Learned LR call at threshold 0.6242; executable ask 0.5800 (aec-mlb-mil-laa-2026-08-01); model edge vs ask +0.0434.</t>
        </is>
      </c>
      <c r="AF50" s="31" t="inlineStr">
        <is>
          <t>Learned model; shadow-qualified via operator override.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model_qualified</t>
        </is>
      </c>
      <c r="AL50" s="26" t="n">
        <v>3</v>
      </c>
      <c r="AM50" s="24" t="inlineStr">
        <is>
          <t>QUALIFIED_SHADOW_CALL</t>
        </is>
      </c>
      <c r="AN50" s="24" t="inlineStr">
        <is>
          <t>CALL</t>
        </is>
      </c>
      <c r="AO50" s="24" t="inlineStr">
        <is>
          <t>QUALIFIED</t>
        </is>
      </c>
      <c r="AP50" s="24" t="inlineStr">
        <is>
          <t>mlb-mil</t>
        </is>
      </c>
      <c r="AQ50" s="24" t="inlineStr">
        <is>
          <t>Milwaukee Brewers</t>
        </is>
      </c>
      <c r="AR50" s="24" t="inlineStr">
        <is>
          <t>Milwaukee Brewers</t>
        </is>
      </c>
      <c r="AS50" s="24" t="inlineStr">
        <is>
          <t>mlb-laa</t>
        </is>
      </c>
      <c r="AT50" s="24" t="inlineStr">
        <is>
          <t>Los Angeles Angels</t>
        </is>
      </c>
      <c r="AU50" s="24" t="inlineStr">
        <is>
          <t>Los Angeles Angels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464eef695bfbbdaa819ec6f5e4c5bd1068ed20b92915fb2677220ae91e20d8b6</t>
        </is>
      </c>
      <c r="BB50" s="24" t="inlineStr">
        <is>
          <t>learned_lr</t>
        </is>
      </c>
      <c r="BC50" s="24" t="inlineStr">
        <is>
          <t>mlb-elo-trend-lr-v7</t>
        </is>
      </c>
      <c r="BD50" s="24" t="inlineStr">
        <is>
          <t>464eef695bfbbdaa819ec6f5e4c5bd1068ed20b92915fb2677220ae91e20d8b6</t>
        </is>
      </c>
      <c r="BE50" s="24" t="inlineStr">
        <is>
          <t>bf9d0c69dcbae233</t>
        </is>
      </c>
      <c r="BF50" s="24" t="inlineStr">
        <is>
          <t>1</t>
        </is>
      </c>
      <c r="BG50" s="24" t="inlineStr">
        <is>
          <t>mlb-elo-trend-lr-v7</t>
        </is>
      </c>
      <c r="BH50" s="24" t="inlineStr">
        <is>
          <t>2026-08-01T23:51:49.966869Z</t>
        </is>
      </c>
      <c r="BI50" s="24" t="inlineStr">
        <is>
          <t>["same_event","same_team_same_day","same_league_same_day"]</t>
        </is>
      </c>
      <c r="BJ50" s="25" t="n"/>
      <c r="BK50" s="26" t="n">
        <v>-138</v>
      </c>
      <c r="BL50" s="27" t="n">
        <v>1.724638</v>
      </c>
      <c r="BM50" s="28" t="n">
        <v>0.579832</v>
      </c>
      <c r="BN50" s="28" t="n">
        <v>0.577114</v>
      </c>
      <c r="BO50" s="28" t="n"/>
      <c r="BP50" s="25" t="n"/>
      <c r="BQ50" s="27" t="n">
        <v>1.724638</v>
      </c>
      <c r="BR50" s="28" t="n">
        <v>0.58</v>
      </c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inlineStr">
        <is>
          <t>0.3303372609</t>
        </is>
      </c>
      <c r="CD50" s="24" t="inlineStr">
        <is>
          <t>-0.606627</t>
        </is>
      </c>
      <c r="CE50" s="24" t="inlineStr">
        <is>
          <t>1.01</t>
        </is>
      </c>
      <c r="CF50" s="24" t="inlineStr">
        <is>
          <t>1.0096</t>
        </is>
      </c>
      <c r="CG50" s="24" t="inlineStr">
        <is>
          <t>0.0</t>
        </is>
      </c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</row>
    <row r="51" ht="36" customHeight="1">
      <c r="A51" s="24" t="inlineStr">
        <is>
          <t>3e5e3fb8430b484c</t>
        </is>
      </c>
      <c r="B51" s="24" t="inlineStr">
        <is>
          <t>2026-08-01T23:52:21.502342Z</t>
        </is>
      </c>
      <c r="C51" s="24" t="inlineStr">
        <is>
          <t>2026-08-01T21:40:00-0400</t>
        </is>
      </c>
      <c r="D51" s="24" t="inlineStr">
        <is>
          <t>401816358</t>
        </is>
      </c>
      <c r="E51" s="24" t="inlineStr">
        <is>
          <t>MLB</t>
        </is>
      </c>
      <c r="F51" s="24" t="inlineStr">
        <is>
          <t>Detroit Tigers</t>
        </is>
      </c>
      <c r="G51" s="24" t="inlineStr">
        <is>
          <t>Athletics</t>
        </is>
      </c>
      <c r="H51" s="24" t="inlineStr">
        <is>
          <t>moneyline</t>
        </is>
      </c>
      <c r="I51" s="24" t="inlineStr">
        <is>
          <t>away</t>
        </is>
      </c>
      <c r="J51" s="25" t="n"/>
      <c r="K51" s="24" t="inlineStr">
        <is>
          <t>polymarket_us</t>
        </is>
      </c>
      <c r="L51" s="26" t="n">
        <v>-163</v>
      </c>
      <c r="M51" s="27" t="n">
        <v>1.613497</v>
      </c>
      <c r="N51" s="28" t="n">
        <v>0.619772</v>
      </c>
      <c r="O51" s="28" t="n">
        <v>0.55925</v>
      </c>
      <c r="P51" s="28" t="n"/>
      <c r="Q51" s="28" t="n">
        <v>-0.060522</v>
      </c>
      <c r="R51" s="26" t="n">
        <v>0</v>
      </c>
      <c r="S51" s="29" t="n">
        <v>1</v>
      </c>
      <c r="T51" s="24" t="inlineStr">
        <is>
          <t>mlb-elo-trend-lr-v7</t>
        </is>
      </c>
      <c r="U51" s="24" t="inlineStr">
        <is>
          <t>settled</t>
        </is>
      </c>
      <c r="V51" s="24" t="inlineStr">
        <is>
          <t>win</t>
        </is>
      </c>
      <c r="W51" s="26" t="n">
        <v>8</v>
      </c>
      <c r="X51" s="26" t="n">
        <v>6</v>
      </c>
      <c r="Y51" s="25" t="n"/>
      <c r="Z51" s="26" t="n">
        <v>-163</v>
      </c>
      <c r="AA51" s="28" t="n">
        <v>0.62</v>
      </c>
      <c r="AB51" s="28" t="n">
        <v>0.000228</v>
      </c>
      <c r="AC51" s="30" t="n">
        <v>0.6135</v>
      </c>
      <c r="AD51" s="24" t="inlineStr">
        <is>
          <t>2026-08-02T05:39:15.100278Z</t>
        </is>
      </c>
      <c r="AE51" s="31" t="inlineStr">
        <is>
          <t>Learned LR call at threshold 0.6242; executable ask 0.6200 (aec-mlb-det-ath-2026-08-01); model edge vs ask -0.0607.</t>
        </is>
      </c>
      <c r="AF51" s="31" t="inlineStr">
        <is>
          <t>Learned model; shadow-qualified via operator override.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model_qualified</t>
        </is>
      </c>
      <c r="AL51" s="26" t="n">
        <v>3</v>
      </c>
      <c r="AM51" s="24" t="inlineStr">
        <is>
          <t>QUALIFIED_SHADOW_CALL</t>
        </is>
      </c>
      <c r="AN51" s="24" t="inlineStr">
        <is>
          <t>CALL</t>
        </is>
      </c>
      <c r="AO51" s="24" t="inlineStr">
        <is>
          <t>QUALIFIED</t>
        </is>
      </c>
      <c r="AP51" s="24" t="inlineStr">
        <is>
          <t>mlb-det</t>
        </is>
      </c>
      <c r="AQ51" s="24" t="inlineStr">
        <is>
          <t>Detroit Tigers</t>
        </is>
      </c>
      <c r="AR51" s="24" t="inlineStr">
        <is>
          <t>Detroit Tigers</t>
        </is>
      </c>
      <c r="AS51" s="24" t="inlineStr">
        <is>
          <t>mlb-ath</t>
        </is>
      </c>
      <c r="AT51" s="24" t="inlineStr">
        <is>
          <t>Athletics</t>
        </is>
      </c>
      <c r="AU51" s="24" t="inlineStr">
        <is>
          <t>Athletics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464eef695bfbbdaa819ec6f5e4c5bd1068ed20b92915fb2677220ae91e20d8b6</t>
        </is>
      </c>
      <c r="BB51" s="24" t="inlineStr">
        <is>
          <t>learned_lr</t>
        </is>
      </c>
      <c r="BC51" s="24" t="inlineStr">
        <is>
          <t>mlb-elo-trend-lr-v7</t>
        </is>
      </c>
      <c r="BD51" s="24" t="inlineStr">
        <is>
          <t>464eef695bfbbdaa819ec6f5e4c5bd1068ed20b92915fb2677220ae91e20d8b6</t>
        </is>
      </c>
      <c r="BE51" s="24" t="inlineStr">
        <is>
          <t>c336d1fbc170b694</t>
        </is>
      </c>
      <c r="BF51" s="24" t="inlineStr">
        <is>
          <t>1</t>
        </is>
      </c>
      <c r="BG51" s="24" t="inlineStr">
        <is>
          <t>mlb-elo-trend-lr-v7</t>
        </is>
      </c>
      <c r="BH51" s="24" t="inlineStr">
        <is>
          <t>2026-08-01T23:51:51.085087Z</t>
        </is>
      </c>
      <c r="BI51" s="24" t="inlineStr">
        <is>
          <t>["same_event","same_team_same_day","same_league_same_day"]</t>
        </is>
      </c>
      <c r="BJ51" s="25" t="n"/>
      <c r="BK51" s="26" t="n">
        <v>-163</v>
      </c>
      <c r="BL51" s="27" t="n">
        <v>1.613497</v>
      </c>
      <c r="BM51" s="28" t="n">
        <v>0.619772</v>
      </c>
      <c r="BN51" s="28" t="n">
        <v>0.616915</v>
      </c>
      <c r="BO51" s="28" t="n"/>
      <c r="BP51" s="25" t="n"/>
      <c r="BQ51" s="27" t="n">
        <v>1.613497</v>
      </c>
      <c r="BR51" s="28" t="n">
        <v>0.62</v>
      </c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inlineStr">
        <is>
          <t>0.4182489247</t>
        </is>
      </c>
      <c r="CD51" s="24" t="inlineStr">
        <is>
          <t>-3.451557</t>
        </is>
      </c>
      <c r="CE51" s="24" t="inlineStr">
        <is>
          <t>1.153</t>
        </is>
      </c>
      <c r="CF51" s="24" t="inlineStr">
        <is>
          <t>1.0254</t>
        </is>
      </c>
      <c r="CG51" s="24" t="inlineStr">
        <is>
          <t>1.0</t>
        </is>
      </c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</row>
    <row r="52" ht="36" customHeight="1">
      <c r="A52" s="24" t="inlineStr">
        <is>
          <t>5a671d3d6aa743bd</t>
        </is>
      </c>
      <c r="B52" s="24" t="inlineStr">
        <is>
          <t>2026-08-02T12:28:25.454250Z</t>
        </is>
      </c>
      <c r="C52" s="24" t="inlineStr">
        <is>
          <t>2026-08-02T13:00Z</t>
        </is>
      </c>
      <c r="D52" s="24" t="inlineStr">
        <is>
          <t>401886551</t>
        </is>
      </c>
      <c r="E52" s="24" t="inlineStr">
        <is>
          <t>SOCCER</t>
        </is>
      </c>
      <c r="F52" s="24" t="inlineStr">
        <is>
          <t>Atalanta</t>
        </is>
      </c>
      <c r="G52" s="24" t="inlineStr">
        <is>
          <t>Feyenoord Rotterdam</t>
        </is>
      </c>
      <c r="H52" s="24" t="inlineStr">
        <is>
          <t>moneyline</t>
        </is>
      </c>
      <c r="I52" s="24" t="inlineStr">
        <is>
          <t>home</t>
        </is>
      </c>
      <c r="J52" s="25" t="n"/>
      <c r="K52" s="24" t="inlineStr">
        <is>
          <t>polymarket_us</t>
        </is>
      </c>
      <c r="L52" s="26" t="n">
        <v>194</v>
      </c>
      <c r="M52" s="27" t="n">
        <v>2.94</v>
      </c>
      <c r="N52" s="28" t="n">
        <v>0.340136</v>
      </c>
      <c r="O52" s="28" t="n">
        <v>0.575359</v>
      </c>
      <c r="P52" s="28" t="n">
        <v>0.04</v>
      </c>
      <c r="Q52" s="28" t="n">
        <v>0.235223</v>
      </c>
      <c r="R52" s="26" t="n">
        <v>100</v>
      </c>
      <c r="S52" s="29" t="n">
        <v>1.25</v>
      </c>
      <c r="T52" s="24" t="inlineStr">
        <is>
          <t>soccer-poisson-dc-v1</t>
        </is>
      </c>
      <c r="U52" s="24" t="inlineStr">
        <is>
          <t>open</t>
        </is>
      </c>
      <c r="V52" s="24" t="n"/>
      <c r="W52" s="26" t="n"/>
      <c r="X52" s="26" t="n"/>
      <c r="Y52" s="25" t="n"/>
      <c r="Z52" s="26" t="n"/>
      <c r="AA52" s="28" t="n"/>
      <c r="AB52" s="28" t="n"/>
      <c r="AC52" s="30" t="n"/>
      <c r="AD52" s="24" t="n"/>
      <c r="AE52" s="31" t="inlineStr">
        <is>
          <t>Poisson-DC rates 1.92 (home) / 1.01 (away) from EWMA attack/defense strengths. Executable ask 0.3400 (atc-clbf-fey-ata-2026-08-02-fey).</t>
        </is>
      </c>
      <c r="AF52" s="31" t="inlineStr">
        <is>
          <t>Research-only soccer score model; draw-aware, but not yet locked-holdout qualified.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model_qualified</t>
        </is>
      </c>
      <c r="AL52" s="26" t="n">
        <v>3</v>
      </c>
      <c r="AM52" s="24" t="inlineStr">
        <is>
          <t>QUALIFIED_SHADOW_CALL</t>
        </is>
      </c>
      <c r="AN52" s="24" t="inlineStr">
        <is>
          <t>CALL</t>
        </is>
      </c>
      <c r="AO52" s="24" t="inlineStr">
        <is>
          <t>QUALIFIED</t>
        </is>
      </c>
      <c r="AP52" s="24" t="inlineStr">
        <is>
          <t>Atalanta</t>
        </is>
      </c>
      <c r="AQ52" s="24" t="inlineStr">
        <is>
          <t>Atalanta</t>
        </is>
      </c>
      <c r="AR52" s="24" t="inlineStr">
        <is>
          <t>Atalanta</t>
        </is>
      </c>
      <c r="AS52" s="24" t="inlineStr">
        <is>
          <t>Feyenoord Rotterdam</t>
        </is>
      </c>
      <c r="AT52" s="24" t="inlineStr">
        <is>
          <t>Feyenoord Rotterdam</t>
        </is>
      </c>
      <c r="AU52" s="24" t="inlineStr">
        <is>
          <t>Feyenoord Rotterdam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34d1568aad0ff11b5db35f118324684f93281e1c21fa7b80be7a4a4e2cb4bb03</t>
        </is>
      </c>
      <c r="BB52" s="24" t="inlineStr">
        <is>
          <t>poisson_dixon_coles</t>
        </is>
      </c>
      <c r="BC52" s="24" t="inlineStr">
        <is>
          <t>soccer-poisson-dc-v1</t>
        </is>
      </c>
      <c r="BD52" s="24" t="inlineStr">
        <is>
          <t>34d1568aad0ff11b5db35f118324684f93281e1c21fa7b80be7a4a4e2cb4bb03</t>
        </is>
      </c>
      <c r="BE52" s="24" t="inlineStr">
        <is>
          <t>soccer-poisson-dc-v1</t>
        </is>
      </c>
      <c r="BF52" s="24" t="inlineStr">
        <is>
          <t>1</t>
        </is>
      </c>
      <c r="BG52" s="24" t="inlineStr">
        <is>
          <t>34d1568aad0ff11b5db35f118324684f93281e1c21fa7b80be7a4a4e2cb4bb03</t>
        </is>
      </c>
      <c r="BH52" s="24" t="inlineStr">
        <is>
          <t>2026-08-02T12:25:27.610137Z</t>
        </is>
      </c>
      <c r="BI52" s="24" t="inlineStr">
        <is>
          <t>["same_event","same_team_same_day","same_league_same_day"]</t>
        </is>
      </c>
      <c r="BJ52" s="25" t="n"/>
      <c r="BK52" s="26" t="n">
        <v>194</v>
      </c>
      <c r="BL52" s="27" t="n">
        <v>2.94</v>
      </c>
      <c r="BM52" s="28" t="n">
        <v>0.340136</v>
      </c>
      <c r="BN52" s="28" t="n"/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</row>
    <row r="53" ht="36" customHeight="1">
      <c r="A53" s="24" t="inlineStr">
        <is>
          <t>baa9895f34184211</t>
        </is>
      </c>
      <c r="B53" s="24" t="inlineStr">
        <is>
          <t>2026-08-02T13:03:27.584850Z</t>
        </is>
      </c>
      <c r="C53" s="24" t="inlineStr">
        <is>
          <t>2026-08-02T13:00:00-0400</t>
        </is>
      </c>
      <c r="D53" s="24" t="inlineStr">
        <is>
          <t>401857107</t>
        </is>
      </c>
      <c r="E53" s="24" t="inlineStr">
        <is>
          <t>WNBA</t>
        </is>
      </c>
      <c r="F53" s="24" t="inlineStr">
        <is>
          <t>Indiana Fever</t>
        </is>
      </c>
      <c r="G53" s="24" t="inlineStr">
        <is>
          <t>Minnesota Lynx</t>
        </is>
      </c>
      <c r="H53" s="24" t="inlineStr">
        <is>
          <t>moneyline</t>
        </is>
      </c>
      <c r="I53" s="24" t="inlineStr">
        <is>
          <t>home</t>
        </is>
      </c>
      <c r="J53" s="25" t="n"/>
      <c r="K53" s="24" t="inlineStr">
        <is>
          <t>polymarket_us</t>
        </is>
      </c>
      <c r="L53" s="26" t="n">
        <v>-186</v>
      </c>
      <c r="M53" s="27" t="n">
        <v>1.537634</v>
      </c>
      <c r="N53" s="28" t="n">
        <v>0.65035</v>
      </c>
      <c r="O53" s="28" t="n">
        <v>0.643489</v>
      </c>
      <c r="P53" s="28" t="n"/>
      <c r="Q53" s="28" t="n">
        <v>-0.006861</v>
      </c>
      <c r="R53" s="26" t="n">
        <v>20</v>
      </c>
      <c r="S53" s="29" t="n">
        <v>1.5</v>
      </c>
      <c r="T53" s="24" t="inlineStr">
        <is>
          <t>wnba-elo-trend-lr-v4</t>
        </is>
      </c>
      <c r="U53" s="24" t="inlineStr">
        <is>
          <t>open</t>
        </is>
      </c>
      <c r="V53" s="24" t="n"/>
      <c r="W53" s="26" t="n"/>
      <c r="X53" s="26" t="n"/>
      <c r="Y53" s="25" t="n"/>
      <c r="Z53" s="26" t="n"/>
      <c r="AA53" s="28" t="n"/>
      <c r="AB53" s="28" t="n"/>
      <c r="AC53" s="30" t="n"/>
      <c r="AD53" s="24" t="n"/>
      <c r="AE53" s="31" t="inlineStr">
        <is>
          <t>Learned LR call at threshold 0.5001; executable ask 0.6500 (aec-wnba-ind-min-2026-08-02); model edge vs ask -0.0065. NOTE: NO_CALL_AVAILABILITY_PLAYER_UNMAPPED unavailable for this game — defaulted to neutral, other features used normally.</t>
        </is>
      </c>
      <c r="AF53" s="31" t="inlineStr">
        <is>
          <t>Learned model; shadow-qualified via operator override.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model_qualified</t>
        </is>
      </c>
      <c r="AL53" s="26" t="n">
        <v>3</v>
      </c>
      <c r="AM53" s="24" t="inlineStr">
        <is>
          <t>QUALIFIED_SHADOW_CALL</t>
        </is>
      </c>
      <c r="AN53" s="24" t="inlineStr">
        <is>
          <t>CALL</t>
        </is>
      </c>
      <c r="AO53" s="24" t="inlineStr">
        <is>
          <t>QUALIFIED</t>
        </is>
      </c>
      <c r="AP53" s="24" t="inlineStr">
        <is>
          <t>wnba-ind</t>
        </is>
      </c>
      <c r="AQ53" s="24" t="inlineStr">
        <is>
          <t>Indiana Fever</t>
        </is>
      </c>
      <c r="AR53" s="24" t="inlineStr">
        <is>
          <t>Indiana Fever</t>
        </is>
      </c>
      <c r="AS53" s="24" t="inlineStr">
        <is>
          <t>wnba-min</t>
        </is>
      </c>
      <c r="AT53" s="24" t="inlineStr">
        <is>
          <t>Minnesota Lynx</t>
        </is>
      </c>
      <c r="AU53" s="24" t="inlineStr">
        <is>
          <t>Minnesota Lynx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7afd5274214b58b7efd7f7febc7be3ab33b92351cda5cc6403c0a39faea0cc8c</t>
        </is>
      </c>
      <c r="BB53" s="24" t="inlineStr">
        <is>
          <t>learned_lr</t>
        </is>
      </c>
      <c r="BC53" s="24" t="inlineStr">
        <is>
          <t>wnba-elo-trend-lr-v4</t>
        </is>
      </c>
      <c r="BD53" s="24" t="inlineStr">
        <is>
          <t>7afd5274214b58b7efd7f7febc7be3ab33b92351cda5cc6403c0a39faea0cc8c</t>
        </is>
      </c>
      <c r="BE53" s="24" t="inlineStr">
        <is>
          <t>cb6d856341c7efe7</t>
        </is>
      </c>
      <c r="BF53" s="24" t="inlineStr">
        <is>
          <t>1</t>
        </is>
      </c>
      <c r="BG53" s="24" t="inlineStr">
        <is>
          <t>wnba-elo-trend-lr-v4</t>
        </is>
      </c>
      <c r="BH53" s="24" t="inlineStr">
        <is>
          <t>2026-08-02T13:02:37.904017Z</t>
        </is>
      </c>
      <c r="BI53" s="24" t="inlineStr">
        <is>
          <t>["same_event","same_team_same_day","same_league_same_day"]</t>
        </is>
      </c>
      <c r="BJ53" s="25" t="n"/>
      <c r="BK53" s="26" t="n">
        <v>-186</v>
      </c>
      <c r="BL53" s="27" t="n">
        <v>1.537634</v>
      </c>
      <c r="BM53" s="28" t="n">
        <v>0.65035</v>
      </c>
      <c r="BN53" s="28" t="n">
        <v>0.643564</v>
      </c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inlineStr">
        <is>
          <t>0.6810434571</t>
        </is>
      </c>
      <c r="CD53" s="24" t="inlineStr">
        <is>
          <t>-4.330577</t>
        </is>
      </c>
      <c r="CE53" s="24" t="n"/>
      <c r="CF53" s="24" t="n"/>
      <c r="CG53" s="24" t="n"/>
      <c r="CH53" s="24" t="n"/>
      <c r="CI53" s="24" t="inlineStr">
        <is>
          <t>NO_CALL_AVAILABILITY_PLAYER_UNMAPPED</t>
        </is>
      </c>
      <c r="CJ53" s="24" t="n"/>
      <c r="CK53" s="24" t="n"/>
      <c r="CL53" s="24" t="n"/>
      <c r="CM53" s="24" t="n"/>
      <c r="CN53" s="24" t="n"/>
      <c r="CO53" s="24" t="n"/>
      <c r="CP53" s="24" t="n"/>
    </row>
    <row r="54" ht="36" customHeight="1">
      <c r="A54" s="24" t="inlineStr">
        <is>
          <t>833a65376bfc4b9f</t>
        </is>
      </c>
      <c r="B54" s="24" t="inlineStr">
        <is>
          <t>2026-08-02T13:03:27.584850Z</t>
        </is>
      </c>
      <c r="C54" s="24" t="inlineStr">
        <is>
          <t>2026-08-02T15:30:00-0400</t>
        </is>
      </c>
      <c r="D54" s="24" t="inlineStr">
        <is>
          <t>401857108</t>
        </is>
      </c>
      <c r="E54" s="24" t="inlineStr">
        <is>
          <t>WNBA</t>
        </is>
      </c>
      <c r="F54" s="24" t="inlineStr">
        <is>
          <t>Los Angeles Sparks</t>
        </is>
      </c>
      <c r="G54" s="24" t="inlineStr">
        <is>
          <t>Portland Fire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-104</v>
      </c>
      <c r="M54" s="27" t="n">
        <v>1.961538</v>
      </c>
      <c r="N54" s="28" t="n">
        <v>0.509804</v>
      </c>
      <c r="O54" s="28" t="n">
        <v>0.57112</v>
      </c>
      <c r="P54" s="28" t="n"/>
      <c r="Q54" s="28" t="n">
        <v>0.061316</v>
      </c>
      <c r="R54" s="26" t="n">
        <v>53</v>
      </c>
      <c r="S54" s="29" t="n">
        <v>1.25</v>
      </c>
      <c r="T54" s="24" t="inlineStr">
        <is>
          <t>wnba-elo-trend-lr-v4</t>
        </is>
      </c>
      <c r="U54" s="24" t="inlineStr">
        <is>
          <t>open</t>
        </is>
      </c>
      <c r="V54" s="24" t="n"/>
      <c r="W54" s="26" t="n"/>
      <c r="X54" s="26" t="n"/>
      <c r="Y54" s="25" t="n"/>
      <c r="Z54" s="26" t="n"/>
      <c r="AA54" s="28" t="n"/>
      <c r="AB54" s="28" t="n"/>
      <c r="AC54" s="30" t="n"/>
      <c r="AD54" s="24" t="n"/>
      <c r="AE54" s="31" t="inlineStr">
        <is>
          <t>Learned LR call at threshold 0.5001; executable ask 0.5100 (aec-wnba-la-por-2026-08-02); model edge vs ask +0.0611.</t>
        </is>
      </c>
      <c r="AF54" s="31" t="inlineStr">
        <is>
          <t>Learned model; shadow-qualified via operator override.</t>
        </is>
      </c>
      <c r="AG54" s="24" t="inlineStr">
        <is>
          <t>not_applicable</t>
        </is>
      </c>
      <c r="AH54" s="24" t="n"/>
      <c r="AI54" s="31" t="n"/>
      <c r="AJ54" s="31" t="n"/>
      <c r="AK54" s="24" t="inlineStr">
        <is>
          <t>model_qualified</t>
        </is>
      </c>
      <c r="AL54" s="26" t="n">
        <v>3</v>
      </c>
      <c r="AM54" s="24" t="inlineStr">
        <is>
          <t>QUALIFIED_SHADOW_CALL</t>
        </is>
      </c>
      <c r="AN54" s="24" t="inlineStr">
        <is>
          <t>CALL</t>
        </is>
      </c>
      <c r="AO54" s="24" t="inlineStr">
        <is>
          <t>QUALIFIED</t>
        </is>
      </c>
      <c r="AP54" s="24" t="inlineStr">
        <is>
          <t>wnba-las</t>
        </is>
      </c>
      <c r="AQ54" s="24" t="inlineStr">
        <is>
          <t>Los Angeles Sparks</t>
        </is>
      </c>
      <c r="AR54" s="24" t="inlineStr">
        <is>
          <t>Los Angeles Sparks</t>
        </is>
      </c>
      <c r="AS54" s="24" t="inlineStr">
        <is>
          <t>wnba-por</t>
        </is>
      </c>
      <c r="AT54" s="24" t="inlineStr">
        <is>
          <t>Portland Fire</t>
        </is>
      </c>
      <c r="AU54" s="24" t="inlineStr">
        <is>
          <t>Portland Fire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7afd5274214b58b7efd7f7febc7be3ab33b92351cda5cc6403c0a39faea0cc8c</t>
        </is>
      </c>
      <c r="BB54" s="24" t="inlineStr">
        <is>
          <t>learned_lr</t>
        </is>
      </c>
      <c r="BC54" s="24" t="inlineStr">
        <is>
          <t>wnba-elo-trend-lr-v4</t>
        </is>
      </c>
      <c r="BD54" s="24" t="inlineStr">
        <is>
          <t>7afd5274214b58b7efd7f7febc7be3ab33b92351cda5cc6403c0a39faea0cc8c</t>
        </is>
      </c>
      <c r="BE54" s="24" t="inlineStr">
        <is>
          <t>58d7c01d51192db8</t>
        </is>
      </c>
      <c r="BF54" s="24" t="inlineStr">
        <is>
          <t>1</t>
        </is>
      </c>
      <c r="BG54" s="24" t="inlineStr">
        <is>
          <t>wnba-elo-trend-lr-v4</t>
        </is>
      </c>
      <c r="BH54" s="24" t="inlineStr">
        <is>
          <t>2026-08-02T13:02:38.926993Z</t>
        </is>
      </c>
      <c r="BI54" s="24" t="inlineStr">
        <is>
          <t>["same_event","same_team_same_day","same_league_same_day"]</t>
        </is>
      </c>
      <c r="BJ54" s="25" t="n"/>
      <c r="BK54" s="26" t="n">
        <v>-104</v>
      </c>
      <c r="BL54" s="27" t="n">
        <v>1.961538</v>
      </c>
      <c r="BM54" s="28" t="n">
        <v>0.509804</v>
      </c>
      <c r="BN54" s="28" t="n">
        <v>0.50495</v>
      </c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inlineStr">
        <is>
          <t>0.5937045717</t>
        </is>
      </c>
      <c r="CD54" s="24" t="inlineStr">
        <is>
          <t>-1.420483</t>
        </is>
      </c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</row>
    <row r="55" ht="36" customHeight="1">
      <c r="A55" s="24" t="inlineStr">
        <is>
          <t>0834a2fc3de540a1</t>
        </is>
      </c>
      <c r="B55" s="24" t="inlineStr">
        <is>
          <t>2026-08-02T13:03:27.584850Z</t>
        </is>
      </c>
      <c r="C55" s="24" t="inlineStr">
        <is>
          <t>2026-08-02T19:00:00-0400</t>
        </is>
      </c>
      <c r="D55" s="24" t="inlineStr">
        <is>
          <t>401857109</t>
        </is>
      </c>
      <c r="E55" s="24" t="inlineStr">
        <is>
          <t>WNBA</t>
        </is>
      </c>
      <c r="F55" s="24" t="inlineStr">
        <is>
          <t>Connecticut Sun</t>
        </is>
      </c>
      <c r="G55" s="24" t="inlineStr">
        <is>
          <t>Dallas Wings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-525</v>
      </c>
      <c r="M55" s="27" t="n">
        <v>1.190476</v>
      </c>
      <c r="N55" s="28" t="n">
        <v>0.84</v>
      </c>
      <c r="O55" s="28" t="n">
        <v>0.758559</v>
      </c>
      <c r="P55" s="28" t="n"/>
      <c r="Q55" s="28" t="n">
        <v>-0.081441</v>
      </c>
      <c r="R55" s="26" t="n">
        <v>0</v>
      </c>
      <c r="S55" s="29" t="n">
        <v>2</v>
      </c>
      <c r="T55" s="24" t="inlineStr">
        <is>
          <t>wnba-elo-trend-lr-v4</t>
        </is>
      </c>
      <c r="U55" s="24" t="inlineStr">
        <is>
          <t>open</t>
        </is>
      </c>
      <c r="V55" s="24" t="n"/>
      <c r="W55" s="26" t="n"/>
      <c r="X55" s="26" t="n"/>
      <c r="Y55" s="25" t="n"/>
      <c r="Z55" s="26" t="n"/>
      <c r="AA55" s="28" t="n"/>
      <c r="AB55" s="28" t="n"/>
      <c r="AC55" s="30" t="n"/>
      <c r="AD55" s="24" t="n"/>
      <c r="AE55" s="31" t="inlineStr">
        <is>
          <t>Learned LR call at threshold 0.5001; executable ask 0.8400 (aec-wnba-conn-dal-2026-08-02); model edge vs ask -0.0814. NOTE: NO_CALL_AVAILABILITY_PLAYER_UNMAPPED unavailable for this game — defaulted to neutral, other features used normally.</t>
        </is>
      </c>
      <c r="AF55" s="31" t="inlineStr">
        <is>
          <t>Learned model; shadow-qualified via operator override.</t>
        </is>
      </c>
      <c r="AG55" s="24" t="inlineStr">
        <is>
          <t>not_applicable</t>
        </is>
      </c>
      <c r="AH55" s="24" t="n"/>
      <c r="AI55" s="31" t="n"/>
      <c r="AJ55" s="31" t="n"/>
      <c r="AK55" s="24" t="inlineStr">
        <is>
          <t>model_qualified</t>
        </is>
      </c>
      <c r="AL55" s="26" t="n">
        <v>3</v>
      </c>
      <c r="AM55" s="24" t="inlineStr">
        <is>
          <t>QUALIFIED_SHADOW_CALL</t>
        </is>
      </c>
      <c r="AN55" s="24" t="inlineStr">
        <is>
          <t>CALL</t>
        </is>
      </c>
      <c r="AO55" s="24" t="inlineStr">
        <is>
          <t>QUALIFIED</t>
        </is>
      </c>
      <c r="AP55" s="24" t="inlineStr">
        <is>
          <t>wnba-con</t>
        </is>
      </c>
      <c r="AQ55" s="24" t="inlineStr">
        <is>
          <t>Connecticut Sun</t>
        </is>
      </c>
      <c r="AR55" s="24" t="inlineStr">
        <is>
          <t>Connecticut Sun</t>
        </is>
      </c>
      <c r="AS55" s="24" t="inlineStr">
        <is>
          <t>wnba-dal</t>
        </is>
      </c>
      <c r="AT55" s="24" t="inlineStr">
        <is>
          <t>Dallas Wings</t>
        </is>
      </c>
      <c r="AU55" s="24" t="inlineStr">
        <is>
          <t>Dallas Wings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7afd5274214b58b7efd7f7febc7be3ab33b92351cda5cc6403c0a39faea0cc8c</t>
        </is>
      </c>
      <c r="BB55" s="24" t="inlineStr">
        <is>
          <t>learned_lr</t>
        </is>
      </c>
      <c r="BC55" s="24" t="inlineStr">
        <is>
          <t>wnba-elo-trend-lr-v4</t>
        </is>
      </c>
      <c r="BD55" s="24" t="inlineStr">
        <is>
          <t>7afd5274214b58b7efd7f7febc7be3ab33b92351cda5cc6403c0a39faea0cc8c</t>
        </is>
      </c>
      <c r="BE55" s="24" t="inlineStr">
        <is>
          <t>9c0c7cfe02317de7</t>
        </is>
      </c>
      <c r="BF55" s="24" t="inlineStr">
        <is>
          <t>1</t>
        </is>
      </c>
      <c r="BG55" s="24" t="inlineStr">
        <is>
          <t>wnba-elo-trend-lr-v4</t>
        </is>
      </c>
      <c r="BH55" s="24" t="inlineStr">
        <is>
          <t>2026-08-02T13:02:40.294573Z</t>
        </is>
      </c>
      <c r="BI55" s="24" t="inlineStr">
        <is>
          <t>["same_event","same_team_same_day","same_league_same_day"]</t>
        </is>
      </c>
      <c r="BJ55" s="25" t="n"/>
      <c r="BK55" s="26" t="n">
        <v>-525</v>
      </c>
      <c r="BL55" s="27" t="n">
        <v>1.190476</v>
      </c>
      <c r="BM55" s="28" t="n">
        <v>0.84</v>
      </c>
      <c r="BN55" s="28" t="n">
        <v>0.831683</v>
      </c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inlineStr">
        <is>
          <t>0.8648169599</t>
        </is>
      </c>
      <c r="CD55" s="24" t="inlineStr">
        <is>
          <t>-2.14749</t>
        </is>
      </c>
      <c r="CE55" s="24" t="n"/>
      <c r="CF55" s="24" t="n"/>
      <c r="CG55" s="24" t="n"/>
      <c r="CH55" s="24" t="n"/>
      <c r="CI55" s="24" t="inlineStr">
        <is>
          <t>NO_CALL_AVAILABILITY_PLAYER_UNMAPPED</t>
        </is>
      </c>
      <c r="CJ55" s="24" t="n"/>
      <c r="CK55" s="24" t="n"/>
      <c r="CL55" s="24" t="n"/>
      <c r="CM55" s="24" t="n"/>
      <c r="CN55" s="24" t="n"/>
      <c r="CO55" s="24" t="n"/>
      <c r="CP55" s="24" t="n"/>
    </row>
    <row r="56" ht="36" customHeight="1">
      <c r="A56" s="24" t="inlineStr">
        <is>
          <t>2ef742a02e524d8a</t>
        </is>
      </c>
      <c r="B56" s="24" t="inlineStr">
        <is>
          <t>2026-08-02T13:03:27.584850Z</t>
        </is>
      </c>
      <c r="C56" s="24" t="inlineStr">
        <is>
          <t>2026-08-02T20:30:00-0400</t>
        </is>
      </c>
      <c r="D56" s="24" t="inlineStr">
        <is>
          <t>401857110</t>
        </is>
      </c>
      <c r="E56" s="24" t="inlineStr">
        <is>
          <t>WNBA</t>
        </is>
      </c>
      <c r="F56" s="24" t="inlineStr">
        <is>
          <t>Toronto Tempo</t>
        </is>
      </c>
      <c r="G56" s="24" t="inlineStr">
        <is>
          <t>Golden State Valkyries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-669</v>
      </c>
      <c r="M56" s="27" t="n">
        <v>1.149477</v>
      </c>
      <c r="N56" s="28" t="n">
        <v>0.869961</v>
      </c>
      <c r="O56" s="28" t="n">
        <v>0.772803</v>
      </c>
      <c r="P56" s="28" t="n"/>
      <c r="Q56" s="28" t="n">
        <v>-0.09715799999999999</v>
      </c>
      <c r="R56" s="26" t="n">
        <v>0</v>
      </c>
      <c r="S56" s="29" t="n">
        <v>2</v>
      </c>
      <c r="T56" s="24" t="inlineStr">
        <is>
          <t>wnba-elo-trend-lr-v4</t>
        </is>
      </c>
      <c r="U56" s="24" t="inlineStr">
        <is>
          <t>open</t>
        </is>
      </c>
      <c r="V56" s="24" t="n"/>
      <c r="W56" s="26" t="n"/>
      <c r="X56" s="26" t="n"/>
      <c r="Y56" s="25" t="n"/>
      <c r="Z56" s="26" t="n"/>
      <c r="AA56" s="28" t="n"/>
      <c r="AB56" s="28" t="n"/>
      <c r="AC56" s="30" t="n"/>
      <c r="AD56" s="24" t="n"/>
      <c r="AE56" s="31" t="inlineStr">
        <is>
          <t>Learned LR call at threshold 0.5001; executable ask 0.8700 (aec-wnba-tor-gsv-2026-08-02); model edge vs ask -0.0972. NOTE: NO_CALL_AVAILABILITY_PLAYER_UNMAPPED unavailable for this game — defaulted to neutral, other features used normally.</t>
        </is>
      </c>
      <c r="AF56" s="31" t="inlineStr">
        <is>
          <t>Learned model; shadow-qualified via operator override.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model_qualified</t>
        </is>
      </c>
      <c r="AL56" s="26" t="n">
        <v>3</v>
      </c>
      <c r="AM56" s="24" t="inlineStr">
        <is>
          <t>QUALIFIED_SHADOW_CALL</t>
        </is>
      </c>
      <c r="AN56" s="24" t="inlineStr">
        <is>
          <t>CALL</t>
        </is>
      </c>
      <c r="AO56" s="24" t="inlineStr">
        <is>
          <t>QUALIFIED</t>
        </is>
      </c>
      <c r="AP56" s="24" t="inlineStr">
        <is>
          <t>wnba-tor</t>
        </is>
      </c>
      <c r="AQ56" s="24" t="inlineStr">
        <is>
          <t>Toronto Tempo</t>
        </is>
      </c>
      <c r="AR56" s="24" t="inlineStr">
        <is>
          <t>Toronto Tempo</t>
        </is>
      </c>
      <c r="AS56" s="24" t="inlineStr">
        <is>
          <t>wnba-gsv</t>
        </is>
      </c>
      <c r="AT56" s="24" t="inlineStr">
        <is>
          <t>Golden State Valkyries</t>
        </is>
      </c>
      <c r="AU56" s="24" t="inlineStr">
        <is>
          <t>Golden State Valkyries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7afd5274214b58b7efd7f7febc7be3ab33b92351cda5cc6403c0a39faea0cc8c</t>
        </is>
      </c>
      <c r="BB56" s="24" t="inlineStr">
        <is>
          <t>learned_lr</t>
        </is>
      </c>
      <c r="BC56" s="24" t="inlineStr">
        <is>
          <t>wnba-elo-trend-lr-v4</t>
        </is>
      </c>
      <c r="BD56" s="24" t="inlineStr">
        <is>
          <t>7afd5274214b58b7efd7f7febc7be3ab33b92351cda5cc6403c0a39faea0cc8c</t>
        </is>
      </c>
      <c r="BE56" s="24" t="inlineStr">
        <is>
          <t>c1ef9fc1d2a3714a</t>
        </is>
      </c>
      <c r="BF56" s="24" t="inlineStr">
        <is>
          <t>1</t>
        </is>
      </c>
      <c r="BG56" s="24" t="inlineStr">
        <is>
          <t>wnba-elo-trend-lr-v4</t>
        </is>
      </c>
      <c r="BH56" s="24" t="inlineStr">
        <is>
          <t>2026-08-02T13:02:41.517558Z</t>
        </is>
      </c>
      <c r="BI56" s="24" t="inlineStr">
        <is>
          <t>["same_event","same_team_same_day","same_league_same_day"]</t>
        </is>
      </c>
      <c r="BJ56" s="25" t="n"/>
      <c r="BK56" s="26" t="n">
        <v>-669</v>
      </c>
      <c r="BL56" s="27" t="n">
        <v>1.149477</v>
      </c>
      <c r="BM56" s="28" t="n">
        <v>0.869961</v>
      </c>
      <c r="BN56" s="28" t="n">
        <v>0.861386</v>
      </c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inlineStr">
        <is>
          <t>0.8973864278</t>
        </is>
      </c>
      <c r="CD56" s="24" t="inlineStr">
        <is>
          <t>2.248193</t>
        </is>
      </c>
      <c r="CE56" s="24" t="n"/>
      <c r="CF56" s="24" t="n"/>
      <c r="CG56" s="24" t="n"/>
      <c r="CH56" s="24" t="n"/>
      <c r="CI56" s="24" t="inlineStr">
        <is>
          <t>NO_CALL_AVAILABILITY_PLAYER_UNMAPPED</t>
        </is>
      </c>
      <c r="CJ56" s="24" t="n"/>
      <c r="CK56" s="24" t="n"/>
      <c r="CL56" s="24" t="n"/>
      <c r="CM56" s="24" t="n"/>
      <c r="CN56" s="24" t="n"/>
      <c r="CO56" s="24" t="n"/>
      <c r="CP56" s="24" t="n"/>
    </row>
    <row r="57" ht="36" customHeight="1">
      <c r="A57" s="24" t="inlineStr">
        <is>
          <t>8f161b91ba7640f4</t>
        </is>
      </c>
      <c r="B57" s="24" t="inlineStr">
        <is>
          <t>2026-08-02T13:03:27.584850Z</t>
        </is>
      </c>
      <c r="C57" s="24" t="inlineStr">
        <is>
          <t>2026-08-02T13:35:00-0400</t>
        </is>
      </c>
      <c r="D57" s="24" t="inlineStr">
        <is>
          <t>401816365</t>
        </is>
      </c>
      <c r="E57" s="24" t="inlineStr">
        <is>
          <t>MLB</t>
        </is>
      </c>
      <c r="F57" s="24" t="inlineStr">
        <is>
          <t>Philadelphia Phillies</t>
        </is>
      </c>
      <c r="G57" s="24" t="inlineStr">
        <is>
          <t>Baltimore Orioles</t>
        </is>
      </c>
      <c r="H57" s="24" t="inlineStr">
        <is>
          <t>moneyline</t>
        </is>
      </c>
      <c r="I57" s="24" t="inlineStr">
        <is>
          <t>away</t>
        </is>
      </c>
      <c r="J57" s="25" t="n"/>
      <c r="K57" s="24" t="inlineStr">
        <is>
          <t>polymarket_us</t>
        </is>
      </c>
      <c r="L57" s="26" t="n">
        <v>-130</v>
      </c>
      <c r="M57" s="27" t="n">
        <v>1.769231</v>
      </c>
      <c r="N57" s="28" t="n">
        <v>0.565217</v>
      </c>
      <c r="O57" s="28" t="n">
        <v>0.510397</v>
      </c>
      <c r="P57" s="28" t="n"/>
      <c r="Q57" s="28" t="n">
        <v>-0.05482</v>
      </c>
      <c r="R57" s="26" t="n">
        <v>0</v>
      </c>
      <c r="S57" s="29" t="n">
        <v>1</v>
      </c>
      <c r="T57" s="24" t="inlineStr">
        <is>
          <t>mlb-elo-trend-lr-v7</t>
        </is>
      </c>
      <c r="U57" s="24" t="inlineStr">
        <is>
          <t>open</t>
        </is>
      </c>
      <c r="V57" s="24" t="n"/>
      <c r="W57" s="26" t="n"/>
      <c r="X57" s="26" t="n"/>
      <c r="Y57" s="25" t="n"/>
      <c r="Z57" s="26" t="n"/>
      <c r="AA57" s="28" t="n"/>
      <c r="AB57" s="28" t="n"/>
      <c r="AC57" s="30" t="n"/>
      <c r="AD57" s="24" t="n"/>
      <c r="AE57" s="31" t="inlineStr">
        <is>
          <t>Learned LR call at threshold 0.6242; executable ask 0.5650 (aec-mlb-phi-bal-2026-08-02); model edge vs ask -0.0546.</t>
        </is>
      </c>
      <c r="AF57" s="31" t="inlineStr">
        <is>
          <t>Learned model; shadow-qualified via operator override.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model_qualified</t>
        </is>
      </c>
      <c r="AL57" s="26" t="n">
        <v>3</v>
      </c>
      <c r="AM57" s="24" t="inlineStr">
        <is>
          <t>QUALIFIED_SHADOW_CALL</t>
        </is>
      </c>
      <c r="AN57" s="24" t="inlineStr">
        <is>
          <t>CALL</t>
        </is>
      </c>
      <c r="AO57" s="24" t="inlineStr">
        <is>
          <t>QUALIFIED</t>
        </is>
      </c>
      <c r="AP57" s="24" t="inlineStr">
        <is>
          <t>mlb-phi</t>
        </is>
      </c>
      <c r="AQ57" s="24" t="inlineStr">
        <is>
          <t>Philadelphia Phillies</t>
        </is>
      </c>
      <c r="AR57" s="24" t="inlineStr">
        <is>
          <t>Philadelphia Phillies</t>
        </is>
      </c>
      <c r="AS57" s="24" t="inlineStr">
        <is>
          <t>mlb-bal</t>
        </is>
      </c>
      <c r="AT57" s="24" t="inlineStr">
        <is>
          <t>Baltimore Orioles</t>
        </is>
      </c>
      <c r="AU57" s="24" t="inlineStr">
        <is>
          <t>Baltimore Orioles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464eef695bfbbdaa819ec6f5e4c5bd1068ed20b92915fb2677220ae91e20d8b6</t>
        </is>
      </c>
      <c r="BB57" s="24" t="inlineStr">
        <is>
          <t>learned_lr</t>
        </is>
      </c>
      <c r="BC57" s="24" t="inlineStr">
        <is>
          <t>mlb-elo-trend-lr-v7</t>
        </is>
      </c>
      <c r="BD57" s="24" t="inlineStr">
        <is>
          <t>464eef695bfbbdaa819ec6f5e4c5bd1068ed20b92915fb2677220ae91e20d8b6</t>
        </is>
      </c>
      <c r="BE57" s="24" t="inlineStr">
        <is>
          <t>51a7e03f6b5d6ee3</t>
        </is>
      </c>
      <c r="BF57" s="24" t="inlineStr">
        <is>
          <t>1</t>
        </is>
      </c>
      <c r="BG57" s="24" t="inlineStr">
        <is>
          <t>mlb-elo-trend-lr-v7</t>
        </is>
      </c>
      <c r="BH57" s="24" t="inlineStr">
        <is>
          <t>2026-08-02T13:02:22.367928Z</t>
        </is>
      </c>
      <c r="BI57" s="24" t="inlineStr">
        <is>
          <t>["same_event","same_team_same_day","same_league_same_day"]</t>
        </is>
      </c>
      <c r="BJ57" s="25" t="n"/>
      <c r="BK57" s="26" t="n">
        <v>-130</v>
      </c>
      <c r="BL57" s="27" t="n">
        <v>1.769231</v>
      </c>
      <c r="BM57" s="28" t="n">
        <v>0.565217</v>
      </c>
      <c r="BN57" s="28" t="n">
        <v>0.562189</v>
      </c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inlineStr">
        <is>
          <t>0.4831243511</t>
        </is>
      </c>
      <c r="CD57" s="24" t="inlineStr">
        <is>
          <t>-0.050102</t>
        </is>
      </c>
      <c r="CE57" s="24" t="inlineStr">
        <is>
          <t>1.03</t>
        </is>
      </c>
      <c r="CF57" s="24" t="inlineStr">
        <is>
          <t>1.0235</t>
        </is>
      </c>
      <c r="CG57" s="24" t="inlineStr">
        <is>
          <t>2.8</t>
        </is>
      </c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</row>
    <row r="58" ht="36" customHeight="1">
      <c r="A58" s="24" t="inlineStr">
        <is>
          <t>bd863c6c12b04ebb</t>
        </is>
      </c>
      <c r="B58" s="24" t="inlineStr">
        <is>
          <t>2026-08-02T13:03:27.584850Z</t>
        </is>
      </c>
      <c r="C58" s="24" t="inlineStr">
        <is>
          <t>2026-08-02T13:35:00-0400</t>
        </is>
      </c>
      <c r="D58" s="24" t="inlineStr">
        <is>
          <t>401816368</t>
        </is>
      </c>
      <c r="E58" s="24" t="inlineStr">
        <is>
          <t>MLB</t>
        </is>
      </c>
      <c r="F58" s="24" t="inlineStr">
        <is>
          <t>Washington Nationals</t>
        </is>
      </c>
      <c r="G58" s="24" t="inlineStr">
        <is>
          <t>Atlanta Braves</t>
        </is>
      </c>
      <c r="H58" s="24" t="inlineStr">
        <is>
          <t>moneyline</t>
        </is>
      </c>
      <c r="I58" s="24" t="inlineStr">
        <is>
          <t>home</t>
        </is>
      </c>
      <c r="J58" s="25" t="n"/>
      <c r="K58" s="24" t="inlineStr">
        <is>
          <t>polymarket_us</t>
        </is>
      </c>
      <c r="L58" s="26" t="n">
        <v>-115</v>
      </c>
      <c r="M58" s="27" t="n">
        <v>1.869565</v>
      </c>
      <c r="N58" s="28" t="n">
        <v>0.534884</v>
      </c>
      <c r="O58" s="28" t="n">
        <v>0.600768</v>
      </c>
      <c r="P58" s="28" t="n"/>
      <c r="Q58" s="28" t="n">
        <v>0.065884</v>
      </c>
      <c r="R58" s="26" t="n">
        <v>54</v>
      </c>
      <c r="S58" s="29" t="n">
        <v>1.25</v>
      </c>
      <c r="T58" s="24" t="inlineStr">
        <is>
          <t>mlb-elo-trend-lr-v7</t>
        </is>
      </c>
      <c r="U58" s="24" t="inlineStr">
        <is>
          <t>open</t>
        </is>
      </c>
      <c r="V58" s="24" t="n"/>
      <c r="W58" s="26" t="n"/>
      <c r="X58" s="26" t="n"/>
      <c r="Y58" s="25" t="n"/>
      <c r="Z58" s="26" t="n"/>
      <c r="AA58" s="28" t="n"/>
      <c r="AB58" s="28" t="n"/>
      <c r="AC58" s="30" t="n"/>
      <c r="AD58" s="24" t="n"/>
      <c r="AE58" s="31" t="inlineStr">
        <is>
          <t>Learned LR call at threshold 0.6242; executable ask 0.5350 (aec-mlb-wsh-atl-2026-08-02); model edge vs ask +0.0658.</t>
        </is>
      </c>
      <c r="AF58" s="31" t="inlineStr">
        <is>
          <t>Learned model; shadow-qualified via operator override.</t>
        </is>
      </c>
      <c r="AG58" s="24" t="inlineStr">
        <is>
          <t>not_applicable</t>
        </is>
      </c>
      <c r="AH58" s="24" t="n"/>
      <c r="AI58" s="31" t="n"/>
      <c r="AJ58" s="31" t="n"/>
      <c r="AK58" s="24" t="inlineStr">
        <is>
          <t>model_qualified</t>
        </is>
      </c>
      <c r="AL58" s="26" t="n">
        <v>3</v>
      </c>
      <c r="AM58" s="24" t="inlineStr">
        <is>
          <t>QUALIFIED_SHADOW_CALL</t>
        </is>
      </c>
      <c r="AN58" s="24" t="inlineStr">
        <is>
          <t>CALL</t>
        </is>
      </c>
      <c r="AO58" s="24" t="inlineStr">
        <is>
          <t>QUALIFIED</t>
        </is>
      </c>
      <c r="AP58" s="24" t="inlineStr">
        <is>
          <t>mlb-wsh</t>
        </is>
      </c>
      <c r="AQ58" s="24" t="inlineStr">
        <is>
          <t>Washington Nationals</t>
        </is>
      </c>
      <c r="AR58" s="24" t="inlineStr">
        <is>
          <t>Washington Nationals</t>
        </is>
      </c>
      <c r="AS58" s="24" t="inlineStr">
        <is>
          <t>mlb-atl</t>
        </is>
      </c>
      <c r="AT58" s="24" t="inlineStr">
        <is>
          <t>Atlanta Braves</t>
        </is>
      </c>
      <c r="AU58" s="24" t="inlineStr">
        <is>
          <t>Atlanta Braves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464eef695bfbbdaa819ec6f5e4c5bd1068ed20b92915fb2677220ae91e20d8b6</t>
        </is>
      </c>
      <c r="BB58" s="24" t="inlineStr">
        <is>
          <t>learned_lr</t>
        </is>
      </c>
      <c r="BC58" s="24" t="inlineStr">
        <is>
          <t>mlb-elo-trend-lr-v7</t>
        </is>
      </c>
      <c r="BD58" s="24" t="inlineStr">
        <is>
          <t>464eef695bfbbdaa819ec6f5e4c5bd1068ed20b92915fb2677220ae91e20d8b6</t>
        </is>
      </c>
      <c r="BE58" s="24" t="inlineStr">
        <is>
          <t>0cf86b60c91a22f5</t>
        </is>
      </c>
      <c r="BF58" s="24" t="inlineStr">
        <is>
          <t>1</t>
        </is>
      </c>
      <c r="BG58" s="24" t="inlineStr">
        <is>
          <t>mlb-elo-trend-lr-v7</t>
        </is>
      </c>
      <c r="BH58" s="24" t="inlineStr">
        <is>
          <t>2026-08-02T13:02:23.469150Z</t>
        </is>
      </c>
      <c r="BI58" s="24" t="inlineStr">
        <is>
          <t>["same_event","same_team_same_day","same_league_same_day"]</t>
        </is>
      </c>
      <c r="BJ58" s="25" t="n"/>
      <c r="BK58" s="26" t="n">
        <v>-115</v>
      </c>
      <c r="BL58" s="27" t="n">
        <v>1.869565</v>
      </c>
      <c r="BM58" s="28" t="n">
        <v>0.534884</v>
      </c>
      <c r="BN58" s="28" t="n">
        <v>0.532338</v>
      </c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inlineStr">
        <is>
          <t>0.6335187094</t>
        </is>
      </c>
      <c r="CD58" s="24" t="inlineStr">
        <is>
          <t>1.061773</t>
        </is>
      </c>
      <c r="CE58" s="24" t="inlineStr">
        <is>
          <t>0.929</t>
        </is>
      </c>
      <c r="CF58" s="24" t="inlineStr">
        <is>
          <t>1.0123</t>
        </is>
      </c>
      <c r="CG58" s="24" t="inlineStr">
        <is>
          <t>-3.6</t>
        </is>
      </c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</row>
    <row r="59" ht="36" customHeight="1">
      <c r="A59" s="24" t="inlineStr">
        <is>
          <t>e38ecaf39ebc44a0</t>
        </is>
      </c>
      <c r="B59" s="24" t="inlineStr">
        <is>
          <t>2026-08-02T13:03:27.584850Z</t>
        </is>
      </c>
      <c r="C59" s="24" t="inlineStr">
        <is>
          <t>2026-08-02T13:37:00-0400</t>
        </is>
      </c>
      <c r="D59" s="24" t="inlineStr">
        <is>
          <t>401816367</t>
        </is>
      </c>
      <c r="E59" s="24" t="inlineStr">
        <is>
          <t>MLB</t>
        </is>
      </c>
      <c r="F59" s="24" t="inlineStr">
        <is>
          <t>St. Louis Cardinals</t>
        </is>
      </c>
      <c r="G59" s="24" t="inlineStr">
        <is>
          <t>Toronto Blue Jays</t>
        </is>
      </c>
      <c r="H59" s="24" t="inlineStr">
        <is>
          <t>moneyline</t>
        </is>
      </c>
      <c r="I59" s="24" t="inlineStr">
        <is>
          <t>home</t>
        </is>
      </c>
      <c r="J59" s="25" t="n"/>
      <c r="K59" s="24" t="inlineStr">
        <is>
          <t>polymarket_us</t>
        </is>
      </c>
      <c r="L59" s="26" t="n">
        <v>-108</v>
      </c>
      <c r="M59" s="27" t="n">
        <v>1.925926</v>
      </c>
      <c r="N59" s="28" t="n">
        <v>0.519231</v>
      </c>
      <c r="O59" s="28" t="n">
        <v>0.536276</v>
      </c>
      <c r="P59" s="28" t="n"/>
      <c r="Q59" s="28" t="n">
        <v>0.017045</v>
      </c>
      <c r="R59" s="26" t="n">
        <v>29</v>
      </c>
      <c r="S59" s="29" t="n">
        <v>1</v>
      </c>
      <c r="T59" s="24" t="inlineStr">
        <is>
          <t>mlb-elo-trend-lr-v7</t>
        </is>
      </c>
      <c r="U59" s="24" t="inlineStr">
        <is>
          <t>open</t>
        </is>
      </c>
      <c r="V59" s="24" t="n"/>
      <c r="W59" s="26" t="n"/>
      <c r="X59" s="26" t="n"/>
      <c r="Y59" s="25" t="n"/>
      <c r="Z59" s="26" t="n"/>
      <c r="AA59" s="28" t="n"/>
      <c r="AB59" s="28" t="n"/>
      <c r="AC59" s="30" t="n"/>
      <c r="AD59" s="24" t="n"/>
      <c r="AE59" s="31" t="inlineStr">
        <is>
          <t>Learned LR call at threshold 0.6242; executable ask 0.5200 (aec-mlb-stl-tor-2026-08-02); model edge vs ask +0.0163.</t>
        </is>
      </c>
      <c r="AF59" s="31" t="inlineStr">
        <is>
          <t>Learned model; shadow-qualified via operator override.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model_qualified</t>
        </is>
      </c>
      <c r="AL59" s="26" t="n">
        <v>3</v>
      </c>
      <c r="AM59" s="24" t="inlineStr">
        <is>
          <t>QUALIFIED_SHADOW_CALL</t>
        </is>
      </c>
      <c r="AN59" s="24" t="inlineStr">
        <is>
          <t>CALL</t>
        </is>
      </c>
      <c r="AO59" s="24" t="inlineStr">
        <is>
          <t>QUALIFIED</t>
        </is>
      </c>
      <c r="AP59" s="24" t="inlineStr">
        <is>
          <t>mlb-stl</t>
        </is>
      </c>
      <c r="AQ59" s="24" t="inlineStr">
        <is>
          <t>St. Louis Cardinals</t>
        </is>
      </c>
      <c r="AR59" s="24" t="inlineStr">
        <is>
          <t>St. Louis Cardinals</t>
        </is>
      </c>
      <c r="AS59" s="24" t="inlineStr">
        <is>
          <t>mlb-tor</t>
        </is>
      </c>
      <c r="AT59" s="24" t="inlineStr">
        <is>
          <t>Toronto Blue Jays</t>
        </is>
      </c>
      <c r="AU59" s="24" t="inlineStr">
        <is>
          <t>Toronto Blue Jays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464eef695bfbbdaa819ec6f5e4c5bd1068ed20b92915fb2677220ae91e20d8b6</t>
        </is>
      </c>
      <c r="BB59" s="24" t="inlineStr">
        <is>
          <t>learned_lr</t>
        </is>
      </c>
      <c r="BC59" s="24" t="inlineStr">
        <is>
          <t>mlb-elo-trend-lr-v7</t>
        </is>
      </c>
      <c r="BD59" s="24" t="inlineStr">
        <is>
          <t>464eef695bfbbdaa819ec6f5e4c5bd1068ed20b92915fb2677220ae91e20d8b6</t>
        </is>
      </c>
      <c r="BE59" s="24" t="inlineStr">
        <is>
          <t>429c13d4c562f5e8</t>
        </is>
      </c>
      <c r="BF59" s="24" t="inlineStr">
        <is>
          <t>1</t>
        </is>
      </c>
      <c r="BG59" s="24" t="inlineStr">
        <is>
          <t>mlb-elo-trend-lr-v7</t>
        </is>
      </c>
      <c r="BH59" s="24" t="inlineStr">
        <is>
          <t>2026-08-02T13:02:24.463089Z</t>
        </is>
      </c>
      <c r="BI59" s="24" t="inlineStr">
        <is>
          <t>["same_event","same_team_same_day","same_league_same_day"]</t>
        </is>
      </c>
      <c r="BJ59" s="25" t="n"/>
      <c r="BK59" s="26" t="n">
        <v>-108</v>
      </c>
      <c r="BL59" s="27" t="n">
        <v>1.925926</v>
      </c>
      <c r="BM59" s="28" t="n">
        <v>0.519231</v>
      </c>
      <c r="BN59" s="28" t="n">
        <v>0.517413</v>
      </c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inlineStr">
        <is>
          <t>0.5658417148</t>
        </is>
      </c>
      <c r="CD59" s="24" t="inlineStr">
        <is>
          <t>1.499161</t>
        </is>
      </c>
      <c r="CE59" s="24" t="inlineStr">
        <is>
          <t>1.019</t>
        </is>
      </c>
      <c r="CF59" s="24" t="inlineStr">
        <is>
          <t>1.0</t>
        </is>
      </c>
      <c r="CG59" s="24" t="inlineStr">
        <is>
          <t>-2.0</t>
        </is>
      </c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</row>
    <row r="60" ht="36" customHeight="1">
      <c r="A60" s="24" t="inlineStr">
        <is>
          <t>658d2a6c5c304b67</t>
        </is>
      </c>
      <c r="B60" s="24" t="inlineStr">
        <is>
          <t>2026-08-02T13:03:27.584850Z</t>
        </is>
      </c>
      <c r="C60" s="24" t="inlineStr">
        <is>
          <t>2026-08-02T13:40:00-0400</t>
        </is>
      </c>
      <c r="D60" s="24" t="inlineStr">
        <is>
          <t>401816362</t>
        </is>
      </c>
      <c r="E60" s="24" t="inlineStr">
        <is>
          <t>MLB</t>
        </is>
      </c>
      <c r="F60" s="24" t="inlineStr">
        <is>
          <t>Arizona Diamondbacks</t>
        </is>
      </c>
      <c r="G60" s="24" t="inlineStr">
        <is>
          <t>Cleveland Guardians</t>
        </is>
      </c>
      <c r="H60" s="24" t="inlineStr">
        <is>
          <t>moneyline</t>
        </is>
      </c>
      <c r="I60" s="24" t="inlineStr">
        <is>
          <t>home</t>
        </is>
      </c>
      <c r="J60" s="25" t="n"/>
      <c r="K60" s="24" t="inlineStr">
        <is>
          <t>polymarket_us</t>
        </is>
      </c>
      <c r="L60" s="26" t="n">
        <v>-147</v>
      </c>
      <c r="M60" s="27" t="n">
        <v>1.680272</v>
      </c>
      <c r="N60" s="28" t="n">
        <v>0.5951419999999999</v>
      </c>
      <c r="O60" s="28" t="n">
        <v>0.542049</v>
      </c>
      <c r="P60" s="28" t="n"/>
      <c r="Q60" s="28" t="n">
        <v>-0.053093</v>
      </c>
      <c r="R60" s="26" t="n">
        <v>0</v>
      </c>
      <c r="S60" s="29" t="n">
        <v>1</v>
      </c>
      <c r="T60" s="24" t="inlineStr">
        <is>
          <t>mlb-elo-trend-lr-v7</t>
        </is>
      </c>
      <c r="U60" s="24" t="inlineStr">
        <is>
          <t>open</t>
        </is>
      </c>
      <c r="V60" s="24" t="n"/>
      <c r="W60" s="26" t="n"/>
      <c r="X60" s="26" t="n"/>
      <c r="Y60" s="25" t="n"/>
      <c r="Z60" s="26" t="n"/>
      <c r="AA60" s="28" t="n"/>
      <c r="AB60" s="28" t="n"/>
      <c r="AC60" s="30" t="n"/>
      <c r="AD60" s="24" t="n"/>
      <c r="AE60" s="31" t="inlineStr">
        <is>
          <t>Learned LR call at threshold 0.6242; executable ask 0.5950 (aec-mlb-az-cle-2026-08-02); model edge vs ask -0.0530.</t>
        </is>
      </c>
      <c r="AF60" s="31" t="inlineStr">
        <is>
          <t>Learned model; shadow-qualified via operator override.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model_qualified</t>
        </is>
      </c>
      <c r="AL60" s="26" t="n">
        <v>3</v>
      </c>
      <c r="AM60" s="24" t="inlineStr">
        <is>
          <t>QUALIFIED_SHADOW_CALL</t>
        </is>
      </c>
      <c r="AN60" s="24" t="inlineStr">
        <is>
          <t>CALL</t>
        </is>
      </c>
      <c r="AO60" s="24" t="inlineStr">
        <is>
          <t>QUALIFIED</t>
        </is>
      </c>
      <c r="AP60" s="24" t="inlineStr">
        <is>
          <t>mlb-ari</t>
        </is>
      </c>
      <c r="AQ60" s="24" t="inlineStr">
        <is>
          <t>Arizona Diamondbacks</t>
        </is>
      </c>
      <c r="AR60" s="24" t="inlineStr">
        <is>
          <t>Arizona Diamondbacks</t>
        </is>
      </c>
      <c r="AS60" s="24" t="inlineStr">
        <is>
          <t>mlb-cle</t>
        </is>
      </c>
      <c r="AT60" s="24" t="inlineStr">
        <is>
          <t>Cleveland Guardians</t>
        </is>
      </c>
      <c r="AU60" s="24" t="inlineStr">
        <is>
          <t>Cleveland Guardians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464eef695bfbbdaa819ec6f5e4c5bd1068ed20b92915fb2677220ae91e20d8b6</t>
        </is>
      </c>
      <c r="BB60" s="24" t="inlineStr">
        <is>
          <t>learned_lr</t>
        </is>
      </c>
      <c r="BC60" s="24" t="inlineStr">
        <is>
          <t>mlb-elo-trend-lr-v7</t>
        </is>
      </c>
      <c r="BD60" s="24" t="inlineStr">
        <is>
          <t>464eef695bfbbdaa819ec6f5e4c5bd1068ed20b92915fb2677220ae91e20d8b6</t>
        </is>
      </c>
      <c r="BE60" s="24" t="inlineStr">
        <is>
          <t>0a330b4dea087b01</t>
        </is>
      </c>
      <c r="BF60" s="24" t="inlineStr">
        <is>
          <t>1</t>
        </is>
      </c>
      <c r="BG60" s="24" t="inlineStr">
        <is>
          <t>mlb-elo-trend-lr-v7</t>
        </is>
      </c>
      <c r="BH60" s="24" t="inlineStr">
        <is>
          <t>2026-08-02T13:02:25.478473Z</t>
        </is>
      </c>
      <c r="BI60" s="24" t="inlineStr">
        <is>
          <t>["same_event","same_team_same_day","same_league_same_day"]</t>
        </is>
      </c>
      <c r="BJ60" s="25" t="n"/>
      <c r="BK60" s="26" t="n">
        <v>-147</v>
      </c>
      <c r="BL60" s="27" t="n">
        <v>1.680272</v>
      </c>
      <c r="BM60" s="28" t="n">
        <v>0.5951419999999999</v>
      </c>
      <c r="BN60" s="28" t="n">
        <v>0.59204</v>
      </c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inlineStr">
        <is>
          <t>0.5147263352</t>
        </is>
      </c>
      <c r="CD60" s="24" t="inlineStr">
        <is>
          <t>-1.620545</t>
        </is>
      </c>
      <c r="CE60" s="24" t="inlineStr">
        <is>
          <t>0.966</t>
        </is>
      </c>
      <c r="CF60" s="24" t="inlineStr">
        <is>
          <t>1.0106</t>
        </is>
      </c>
      <c r="CG60" s="24" t="inlineStr">
        <is>
          <t>1.0</t>
        </is>
      </c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</row>
    <row r="61" ht="36" customHeight="1">
      <c r="A61" s="24" t="inlineStr">
        <is>
          <t>7f8412b600114b82</t>
        </is>
      </c>
      <c r="B61" s="24" t="inlineStr">
        <is>
          <t>2026-08-02T13:03:27.584850Z</t>
        </is>
      </c>
      <c r="C61" s="24" t="inlineStr">
        <is>
          <t>2026-08-02T13:40:00-0400</t>
        </is>
      </c>
      <c r="D61" s="24" t="inlineStr">
        <is>
          <t>401816363</t>
        </is>
      </c>
      <c r="E61" s="24" t="inlineStr">
        <is>
          <t>MLB</t>
        </is>
      </c>
      <c r="F61" s="24" t="inlineStr">
        <is>
          <t>Chicago White Sox</t>
        </is>
      </c>
      <c r="G61" s="24" t="inlineStr">
        <is>
          <t>Tampa Bay Rays</t>
        </is>
      </c>
      <c r="H61" s="24" t="inlineStr">
        <is>
          <t>moneyline</t>
        </is>
      </c>
      <c r="I61" s="24" t="inlineStr">
        <is>
          <t>home</t>
        </is>
      </c>
      <c r="J61" s="25" t="n"/>
      <c r="K61" s="24" t="inlineStr">
        <is>
          <t>polymarket_us</t>
        </is>
      </c>
      <c r="L61" s="26" t="n">
        <v>-141</v>
      </c>
      <c r="M61" s="27" t="n">
        <v>1.70922</v>
      </c>
      <c r="N61" s="28" t="n">
        <v>0.585062</v>
      </c>
      <c r="O61" s="28" t="n">
        <v>0.565508</v>
      </c>
      <c r="P61" s="28" t="n"/>
      <c r="Q61" s="28" t="n">
        <v>-0.019554</v>
      </c>
      <c r="R61" s="26" t="n">
        <v>12</v>
      </c>
      <c r="S61" s="29" t="n">
        <v>1</v>
      </c>
      <c r="T61" s="24" t="inlineStr">
        <is>
          <t>mlb-elo-trend-lr-v7</t>
        </is>
      </c>
      <c r="U61" s="24" t="inlineStr">
        <is>
          <t>open</t>
        </is>
      </c>
      <c r="V61" s="24" t="n"/>
      <c r="W61" s="26" t="n"/>
      <c r="X61" s="26" t="n"/>
      <c r="Y61" s="25" t="n"/>
      <c r="Z61" s="26" t="n"/>
      <c r="AA61" s="28" t="n"/>
      <c r="AB61" s="28" t="n"/>
      <c r="AC61" s="30" t="n"/>
      <c r="AD61" s="24" t="n"/>
      <c r="AE61" s="31" t="inlineStr">
        <is>
          <t>Learned LR call at threshold 0.6242; executable ask 0.5850 (aec-mlb-cws-tb-2026-08-02); model edge vs ask -0.0195.</t>
        </is>
      </c>
      <c r="AF61" s="31" t="inlineStr">
        <is>
          <t>Learned model; shadow-qualified via operator override.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model_qualified</t>
        </is>
      </c>
      <c r="AL61" s="26" t="n">
        <v>3</v>
      </c>
      <c r="AM61" s="24" t="inlineStr">
        <is>
          <t>QUALIFIED_SHADOW_CALL</t>
        </is>
      </c>
      <c r="AN61" s="24" t="inlineStr">
        <is>
          <t>CALL</t>
        </is>
      </c>
      <c r="AO61" s="24" t="inlineStr">
        <is>
          <t>QUALIFIED</t>
        </is>
      </c>
      <c r="AP61" s="24" t="inlineStr">
        <is>
          <t>mlb-cws</t>
        </is>
      </c>
      <c r="AQ61" s="24" t="inlineStr">
        <is>
          <t>Chicago White Sox</t>
        </is>
      </c>
      <c r="AR61" s="24" t="inlineStr">
        <is>
          <t>Chicago White Sox</t>
        </is>
      </c>
      <c r="AS61" s="24" t="inlineStr">
        <is>
          <t>mlb-tb</t>
        </is>
      </c>
      <c r="AT61" s="24" t="inlineStr">
        <is>
          <t>Tampa Bay Rays</t>
        </is>
      </c>
      <c r="AU61" s="24" t="inlineStr">
        <is>
          <t>Tampa Bay Rays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shadow_qualified</t>
        </is>
      </c>
      <c r="BA61" s="24" t="inlineStr">
        <is>
          <t>464eef695bfbbdaa819ec6f5e4c5bd1068ed20b92915fb2677220ae91e20d8b6</t>
        </is>
      </c>
      <c r="BB61" s="24" t="inlineStr">
        <is>
          <t>learned_lr</t>
        </is>
      </c>
      <c r="BC61" s="24" t="inlineStr">
        <is>
          <t>mlb-elo-trend-lr-v7</t>
        </is>
      </c>
      <c r="BD61" s="24" t="inlineStr">
        <is>
          <t>464eef695bfbbdaa819ec6f5e4c5bd1068ed20b92915fb2677220ae91e20d8b6</t>
        </is>
      </c>
      <c r="BE61" s="24" t="inlineStr">
        <is>
          <t>adafae297aed5d6c</t>
        </is>
      </c>
      <c r="BF61" s="24" t="inlineStr">
        <is>
          <t>1</t>
        </is>
      </c>
      <c r="BG61" s="24" t="inlineStr">
        <is>
          <t>mlb-elo-trend-lr-v7</t>
        </is>
      </c>
      <c r="BH61" s="24" t="inlineStr">
        <is>
          <t>2026-08-02T13:02:28.468924Z</t>
        </is>
      </c>
      <c r="BI61" s="24" t="inlineStr">
        <is>
          <t>["same_event","same_team_same_day","same_league_same_day"]</t>
        </is>
      </c>
      <c r="BJ61" s="25" t="n"/>
      <c r="BK61" s="26" t="n">
        <v>-141</v>
      </c>
      <c r="BL61" s="27" t="n">
        <v>1.70922</v>
      </c>
      <c r="BM61" s="28" t="n">
        <v>0.585062</v>
      </c>
      <c r="BN61" s="28" t="n">
        <v>0.58209</v>
      </c>
      <c r="BO61" s="28" t="n"/>
      <c r="BP61" s="25" t="n"/>
      <c r="BQ61" s="27" t="n"/>
      <c r="BR61" s="28" t="n"/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inlineStr">
        <is>
          <t>0.5503982216</t>
        </is>
      </c>
      <c r="CD61" s="24" t="inlineStr">
        <is>
          <t>-0.597101</t>
        </is>
      </c>
      <c r="CE61" s="24" t="inlineStr">
        <is>
          <t>0.965</t>
        </is>
      </c>
      <c r="CF61" s="24" t="inlineStr">
        <is>
          <t>1.0</t>
        </is>
      </c>
      <c r="CG61" s="24" t="inlineStr">
        <is>
          <t>0.2</t>
        </is>
      </c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</row>
    <row r="62" ht="36" customHeight="1">
      <c r="A62" s="24" t="inlineStr">
        <is>
          <t>1079e5cefdb347b2</t>
        </is>
      </c>
      <c r="B62" s="24" t="inlineStr">
        <is>
          <t>2026-08-02T13:03:27.584850Z</t>
        </is>
      </c>
      <c r="C62" s="24" t="inlineStr">
        <is>
          <t>2026-08-02T13:40:00-0400</t>
        </is>
      </c>
      <c r="D62" s="24" t="inlineStr">
        <is>
          <t>401816364</t>
        </is>
      </c>
      <c r="E62" s="24" t="inlineStr">
        <is>
          <t>MLB</t>
        </is>
      </c>
      <c r="F62" s="24" t="inlineStr">
        <is>
          <t>Miami Marlins</t>
        </is>
      </c>
      <c r="G62" s="24" t="inlineStr">
        <is>
          <t>New York Mets</t>
        </is>
      </c>
      <c r="H62" s="24" t="inlineStr">
        <is>
          <t>moneyline</t>
        </is>
      </c>
      <c r="I62" s="24" t="inlineStr">
        <is>
          <t>home</t>
        </is>
      </c>
      <c r="J62" s="25" t="n"/>
      <c r="K62" s="24" t="inlineStr">
        <is>
          <t>polymarket_us</t>
        </is>
      </c>
      <c r="L62" s="26" t="n">
        <v>111</v>
      </c>
      <c r="M62" s="27" t="n">
        <v>2.11</v>
      </c>
      <c r="N62" s="28" t="n">
        <v>0.473934</v>
      </c>
      <c r="O62" s="28" t="n">
        <v>0.519295</v>
      </c>
      <c r="P62" s="28" t="n"/>
      <c r="Q62" s="28" t="n">
        <v>0.045361</v>
      </c>
      <c r="R62" s="26" t="n">
        <v>43</v>
      </c>
      <c r="S62" s="29" t="n">
        <v>1</v>
      </c>
      <c r="T62" s="24" t="inlineStr">
        <is>
          <t>mlb-elo-trend-lr-v7</t>
        </is>
      </c>
      <c r="U62" s="24" t="inlineStr">
        <is>
          <t>open</t>
        </is>
      </c>
      <c r="V62" s="24" t="n"/>
      <c r="W62" s="26" t="n"/>
      <c r="X62" s="26" t="n"/>
      <c r="Y62" s="25" t="n"/>
      <c r="Z62" s="26" t="n"/>
      <c r="AA62" s="28" t="n"/>
      <c r="AB62" s="28" t="n"/>
      <c r="AC62" s="30" t="n"/>
      <c r="AD62" s="24" t="n"/>
      <c r="AE62" s="31" t="inlineStr">
        <is>
          <t>Learned LR call at threshold 0.6242; executable ask 0.4750 (aec-mlb-mia-nym-2026-08-02); model edge vs ask +0.0443.</t>
        </is>
      </c>
      <c r="AF62" s="31" t="inlineStr">
        <is>
          <t>Learned model; shadow-qualified via operator override.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model_qualified</t>
        </is>
      </c>
      <c r="AL62" s="26" t="n">
        <v>3</v>
      </c>
      <c r="AM62" s="24" t="inlineStr">
        <is>
          <t>QUALIFIED_SHADOW_CALL</t>
        </is>
      </c>
      <c r="AN62" s="24" t="inlineStr">
        <is>
          <t>CALL</t>
        </is>
      </c>
      <c r="AO62" s="24" t="inlineStr">
        <is>
          <t>QUALIFIED</t>
        </is>
      </c>
      <c r="AP62" s="24" t="inlineStr">
        <is>
          <t>mlb-mia</t>
        </is>
      </c>
      <c r="AQ62" s="24" t="inlineStr">
        <is>
          <t>Miami Marlins</t>
        </is>
      </c>
      <c r="AR62" s="24" t="inlineStr">
        <is>
          <t>Miami Marlins</t>
        </is>
      </c>
      <c r="AS62" s="24" t="inlineStr">
        <is>
          <t>mlb-nym</t>
        </is>
      </c>
      <c r="AT62" s="24" t="inlineStr">
        <is>
          <t>New York Mets</t>
        </is>
      </c>
      <c r="AU62" s="24" t="inlineStr">
        <is>
          <t>New York Mets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464eef695bfbbdaa819ec6f5e4c5bd1068ed20b92915fb2677220ae91e20d8b6</t>
        </is>
      </c>
      <c r="BB62" s="24" t="inlineStr">
        <is>
          <t>learned_lr</t>
        </is>
      </c>
      <c r="BC62" s="24" t="inlineStr">
        <is>
          <t>mlb-elo-trend-lr-v7</t>
        </is>
      </c>
      <c r="BD62" s="24" t="inlineStr">
        <is>
          <t>464eef695bfbbdaa819ec6f5e4c5bd1068ed20b92915fb2677220ae91e20d8b6</t>
        </is>
      </c>
      <c r="BE62" s="24" t="inlineStr">
        <is>
          <t>32ce60e7a56a391a</t>
        </is>
      </c>
      <c r="BF62" s="24" t="inlineStr">
        <is>
          <t>1</t>
        </is>
      </c>
      <c r="BG62" s="24" t="inlineStr">
        <is>
          <t>mlb-elo-trend-lr-v7</t>
        </is>
      </c>
      <c r="BH62" s="24" t="inlineStr">
        <is>
          <t>2026-08-02T13:02:27.350043Z</t>
        </is>
      </c>
      <c r="BI62" s="24" t="inlineStr">
        <is>
          <t>["same_event","same_team_same_day","same_league_same_day"]</t>
        </is>
      </c>
      <c r="BJ62" s="25" t="n"/>
      <c r="BK62" s="26" t="n">
        <v>111</v>
      </c>
      <c r="BL62" s="27" t="n">
        <v>2.11</v>
      </c>
      <c r="BM62" s="28" t="n">
        <v>0.473934</v>
      </c>
      <c r="BN62" s="28" t="n">
        <v>0.472637</v>
      </c>
      <c r="BO62" s="28" t="n"/>
      <c r="BP62" s="25" t="n"/>
      <c r="BQ62" s="27" t="n"/>
      <c r="BR62" s="28" t="n"/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inlineStr">
        <is>
          <t>0.4938777222</t>
        </is>
      </c>
      <c r="CD62" s="24" t="inlineStr">
        <is>
          <t>-0.998113</t>
        </is>
      </c>
      <c r="CE62" s="24" t="inlineStr">
        <is>
          <t>0.978</t>
        </is>
      </c>
      <c r="CF62" s="24" t="inlineStr">
        <is>
          <t>1.0208</t>
        </is>
      </c>
      <c r="CG62" s="24" t="inlineStr">
        <is>
          <t>0.4</t>
        </is>
      </c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</row>
    <row r="63" ht="36" customHeight="1">
      <c r="A63" s="24" t="inlineStr">
        <is>
          <t>657203df7048467d</t>
        </is>
      </c>
      <c r="B63" s="24" t="inlineStr">
        <is>
          <t>2026-08-02T13:03:27.584850Z</t>
        </is>
      </c>
      <c r="C63" s="24" t="inlineStr">
        <is>
          <t>2026-08-02T13:40:00-0400</t>
        </is>
      </c>
      <c r="D63" s="24" t="inlineStr">
        <is>
          <t>401816366</t>
        </is>
      </c>
      <c r="E63" s="24" t="inlineStr">
        <is>
          <t>MLB</t>
        </is>
      </c>
      <c r="F63" s="24" t="inlineStr">
        <is>
          <t>Pittsburgh Pirates</t>
        </is>
      </c>
      <c r="G63" s="24" t="inlineStr">
        <is>
          <t>Cincinnati Reds</t>
        </is>
      </c>
      <c r="H63" s="24" t="inlineStr">
        <is>
          <t>moneyline</t>
        </is>
      </c>
      <c r="I63" s="24" t="inlineStr">
        <is>
          <t>away</t>
        </is>
      </c>
      <c r="J63" s="25" t="n"/>
      <c r="K63" s="24" t="inlineStr">
        <is>
          <t>polymarket_us</t>
        </is>
      </c>
      <c r="L63" s="26" t="n">
        <v>141</v>
      </c>
      <c r="M63" s="27" t="n">
        <v>2.41</v>
      </c>
      <c r="N63" s="28" t="n">
        <v>0.414938</v>
      </c>
      <c r="O63" s="28" t="n">
        <v>0.518429</v>
      </c>
      <c r="P63" s="28" t="n"/>
      <c r="Q63" s="28" t="n">
        <v>0.103491</v>
      </c>
      <c r="R63" s="26" t="n">
        <v>73</v>
      </c>
      <c r="S63" s="29" t="n">
        <v>1</v>
      </c>
      <c r="T63" s="24" t="inlineStr">
        <is>
          <t>mlb-elo-trend-lr-v7</t>
        </is>
      </c>
      <c r="U63" s="24" t="inlineStr">
        <is>
          <t>open</t>
        </is>
      </c>
      <c r="V63" s="24" t="n"/>
      <c r="W63" s="26" t="n"/>
      <c r="X63" s="26" t="n"/>
      <c r="Y63" s="25" t="n"/>
      <c r="Z63" s="26" t="n"/>
      <c r="AA63" s="28" t="n"/>
      <c r="AB63" s="28" t="n"/>
      <c r="AC63" s="30" t="n"/>
      <c r="AD63" s="24" t="n"/>
      <c r="AE63" s="31" t="inlineStr">
        <is>
          <t>Learned LR call at threshold 0.6242; executable ask 0.4150 (aec-mlb-pit-cin-2026-08-02); model edge vs ask +0.1034.</t>
        </is>
      </c>
      <c r="AF63" s="31" t="inlineStr">
        <is>
          <t>Learned model; shadow-qualified via operator override.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model_qualified</t>
        </is>
      </c>
      <c r="AL63" s="26" t="n">
        <v>3</v>
      </c>
      <c r="AM63" s="24" t="inlineStr">
        <is>
          <t>QUALIFIED_SHADOW_CALL</t>
        </is>
      </c>
      <c r="AN63" s="24" t="inlineStr">
        <is>
          <t>CALL</t>
        </is>
      </c>
      <c r="AO63" s="24" t="inlineStr">
        <is>
          <t>QUALIFIED</t>
        </is>
      </c>
      <c r="AP63" s="24" t="inlineStr">
        <is>
          <t>mlb-pit</t>
        </is>
      </c>
      <c r="AQ63" s="24" t="inlineStr">
        <is>
          <t>Pittsburgh Pirates</t>
        </is>
      </c>
      <c r="AR63" s="24" t="inlineStr">
        <is>
          <t>Pittsburgh Pirates</t>
        </is>
      </c>
      <c r="AS63" s="24" t="inlineStr">
        <is>
          <t>mlb-cin</t>
        </is>
      </c>
      <c r="AT63" s="24" t="inlineStr">
        <is>
          <t>Cincinnati Reds</t>
        </is>
      </c>
      <c r="AU63" s="24" t="inlineStr">
        <is>
          <t>Cincinnati Reds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464eef695bfbbdaa819ec6f5e4c5bd1068ed20b92915fb2677220ae91e20d8b6</t>
        </is>
      </c>
      <c r="BB63" s="24" t="inlineStr">
        <is>
          <t>learned_lr</t>
        </is>
      </c>
      <c r="BC63" s="24" t="inlineStr">
        <is>
          <t>mlb-elo-trend-lr-v7</t>
        </is>
      </c>
      <c r="BD63" s="24" t="inlineStr">
        <is>
          <t>464eef695bfbbdaa819ec6f5e4c5bd1068ed20b92915fb2677220ae91e20d8b6</t>
        </is>
      </c>
      <c r="BE63" s="24" t="inlineStr">
        <is>
          <t>11462ce6ed58f7e0</t>
        </is>
      </c>
      <c r="BF63" s="24" t="inlineStr">
        <is>
          <t>1</t>
        </is>
      </c>
      <c r="BG63" s="24" t="inlineStr">
        <is>
          <t>mlb-elo-trend-lr-v7</t>
        </is>
      </c>
      <c r="BH63" s="24" t="inlineStr">
        <is>
          <t>2026-08-02T13:02:26.431679Z</t>
        </is>
      </c>
      <c r="BI63" s="24" t="inlineStr">
        <is>
          <t>["same_event","same_team_same_day","same_league_same_day"]</t>
        </is>
      </c>
      <c r="BJ63" s="25" t="n"/>
      <c r="BK63" s="26" t="n">
        <v>141</v>
      </c>
      <c r="BL63" s="27" t="n">
        <v>2.41</v>
      </c>
      <c r="BM63" s="28" t="n">
        <v>0.414938</v>
      </c>
      <c r="BN63" s="28" t="n">
        <v>0.412935</v>
      </c>
      <c r="BO63" s="28" t="n"/>
      <c r="BP63" s="25" t="n"/>
      <c r="BQ63" s="27" t="n"/>
      <c r="BR63" s="28" t="n"/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inlineStr">
        <is>
          <t>0.4891381657</t>
        </is>
      </c>
      <c r="CD63" s="24" t="inlineStr">
        <is>
          <t>0.471311</t>
        </is>
      </c>
      <c r="CE63" s="24" t="inlineStr">
        <is>
          <t>1.036</t>
        </is>
      </c>
      <c r="CF63" s="24" t="inlineStr">
        <is>
          <t>1.0026</t>
        </is>
      </c>
      <c r="CG63" s="24" t="inlineStr">
        <is>
          <t>-0.8</t>
        </is>
      </c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</row>
    <row r="64" ht="36" customHeight="1">
      <c r="A64" s="24" t="inlineStr">
        <is>
          <t>c82007a0ffbf4777</t>
        </is>
      </c>
      <c r="B64" s="24" t="inlineStr">
        <is>
          <t>2026-08-02T13:03:27.584850Z</t>
        </is>
      </c>
      <c r="C64" s="24" t="inlineStr">
        <is>
          <t>2026-08-02T14:10:00-0400</t>
        </is>
      </c>
      <c r="D64" s="24" t="inlineStr">
        <is>
          <t>401816370</t>
        </is>
      </c>
      <c r="E64" s="24" t="inlineStr">
        <is>
          <t>MLB</t>
        </is>
      </c>
      <c r="F64" s="24" t="inlineStr">
        <is>
          <t>Texas Rangers</t>
        </is>
      </c>
      <c r="G64" s="24" t="inlineStr">
        <is>
          <t>Houston Astros</t>
        </is>
      </c>
      <c r="H64" s="24" t="inlineStr">
        <is>
          <t>moneyline</t>
        </is>
      </c>
      <c r="I64" s="24" t="inlineStr">
        <is>
          <t>home</t>
        </is>
      </c>
      <c r="J64" s="25" t="n"/>
      <c r="K64" s="24" t="inlineStr">
        <is>
          <t>polymarket_us</t>
        </is>
      </c>
      <c r="L64" s="26" t="n">
        <v>-122</v>
      </c>
      <c r="M64" s="27" t="n">
        <v>1.819672</v>
      </c>
      <c r="N64" s="28" t="n">
        <v>0.54955</v>
      </c>
      <c r="O64" s="28" t="n">
        <v>0.538187</v>
      </c>
      <c r="P64" s="28" t="n"/>
      <c r="Q64" s="28" t="n">
        <v>-0.011363</v>
      </c>
      <c r="R64" s="26" t="n">
        <v>15</v>
      </c>
      <c r="S64" s="29" t="n">
        <v>1</v>
      </c>
      <c r="T64" s="24" t="inlineStr">
        <is>
          <t>mlb-elo-trend-lr-v7</t>
        </is>
      </c>
      <c r="U64" s="24" t="inlineStr">
        <is>
          <t>open</t>
        </is>
      </c>
      <c r="V64" s="24" t="n"/>
      <c r="W64" s="26" t="n"/>
      <c r="X64" s="26" t="n"/>
      <c r="Y64" s="25" t="n"/>
      <c r="Z64" s="26" t="n"/>
      <c r="AA64" s="28" t="n"/>
      <c r="AB64" s="28" t="n"/>
      <c r="AC64" s="30" t="n"/>
      <c r="AD64" s="24" t="n"/>
      <c r="AE64" s="31" t="inlineStr">
        <is>
          <t>Learned LR call at threshold 0.6242; executable ask 0.5500 (aec-mlb-tex-hou-2026-08-02); model edge vs ask -0.0118.</t>
        </is>
      </c>
      <c r="AF64" s="31" t="inlineStr">
        <is>
          <t>Learned model; shadow-qualified via operator override.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model_qualified</t>
        </is>
      </c>
      <c r="AL64" s="26" t="n">
        <v>3</v>
      </c>
      <c r="AM64" s="24" t="inlineStr">
        <is>
          <t>QUALIFIED_SHADOW_CALL</t>
        </is>
      </c>
      <c r="AN64" s="24" t="inlineStr">
        <is>
          <t>CALL</t>
        </is>
      </c>
      <c r="AO64" s="24" t="inlineStr">
        <is>
          <t>QUALIFIED</t>
        </is>
      </c>
      <c r="AP64" s="24" t="inlineStr">
        <is>
          <t>mlb-tex</t>
        </is>
      </c>
      <c r="AQ64" s="24" t="inlineStr">
        <is>
          <t>Texas Rangers</t>
        </is>
      </c>
      <c r="AR64" s="24" t="inlineStr">
        <is>
          <t>Texas Rangers</t>
        </is>
      </c>
      <c r="AS64" s="24" t="inlineStr">
        <is>
          <t>mlb-hou</t>
        </is>
      </c>
      <c r="AT64" s="24" t="inlineStr">
        <is>
          <t>Houston Astros</t>
        </is>
      </c>
      <c r="AU64" s="24" t="inlineStr">
        <is>
          <t>Houston Astros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464eef695bfbbdaa819ec6f5e4c5bd1068ed20b92915fb2677220ae91e20d8b6</t>
        </is>
      </c>
      <c r="BB64" s="24" t="inlineStr">
        <is>
          <t>learned_lr</t>
        </is>
      </c>
      <c r="BC64" s="24" t="inlineStr">
        <is>
          <t>mlb-elo-trend-lr-v7</t>
        </is>
      </c>
      <c r="BD64" s="24" t="inlineStr">
        <is>
          <t>464eef695bfbbdaa819ec6f5e4c5bd1068ed20b92915fb2677220ae91e20d8b6</t>
        </is>
      </c>
      <c r="BE64" s="24" t="inlineStr">
        <is>
          <t>2d42dfba300c1668</t>
        </is>
      </c>
      <c r="BF64" s="24" t="inlineStr">
        <is>
          <t>1</t>
        </is>
      </c>
      <c r="BG64" s="24" t="inlineStr">
        <is>
          <t>mlb-elo-trend-lr-v7</t>
        </is>
      </c>
      <c r="BH64" s="24" t="inlineStr">
        <is>
          <t>2026-08-02T13:02:29.373615Z</t>
        </is>
      </c>
      <c r="BI64" s="24" t="inlineStr">
        <is>
          <t>["same_event","same_team_same_day","same_league_same_day"]</t>
        </is>
      </c>
      <c r="BJ64" s="25" t="n"/>
      <c r="BK64" s="26" t="n">
        <v>-122</v>
      </c>
      <c r="BL64" s="27" t="n">
        <v>1.819672</v>
      </c>
      <c r="BM64" s="28" t="n">
        <v>0.54955</v>
      </c>
      <c r="BN64" s="28" t="n">
        <v>0.547264</v>
      </c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inlineStr">
        <is>
          <t>0.5570987062</t>
        </is>
      </c>
      <c r="CD64" s="24" t="inlineStr">
        <is>
          <t>1.976345</t>
        </is>
      </c>
      <c r="CE64" s="24" t="inlineStr">
        <is>
          <t>0.956</t>
        </is>
      </c>
      <c r="CF64" s="24" t="inlineStr">
        <is>
          <t>1.0</t>
        </is>
      </c>
      <c r="CG64" s="24" t="inlineStr">
        <is>
          <t>-1.4</t>
        </is>
      </c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</row>
    <row r="65" ht="36" customHeight="1">
      <c r="A65" s="24" t="inlineStr">
        <is>
          <t>255a81a07bd44d4c</t>
        </is>
      </c>
      <c r="B65" s="24" t="inlineStr">
        <is>
          <t>2026-08-02T13:03:27.584850Z</t>
        </is>
      </c>
      <c r="C65" s="24" t="inlineStr">
        <is>
          <t>2026-08-02T14:20:00-0400</t>
        </is>
      </c>
      <c r="D65" s="24" t="inlineStr">
        <is>
          <t>401816369</t>
        </is>
      </c>
      <c r="E65" s="24" t="inlineStr">
        <is>
          <t>MLB</t>
        </is>
      </c>
      <c r="F65" s="24" t="inlineStr">
        <is>
          <t>New York Yankees</t>
        </is>
      </c>
      <c r="G65" s="24" t="inlineStr">
        <is>
          <t>Chicago Cubs</t>
        </is>
      </c>
      <c r="H65" s="24" t="inlineStr">
        <is>
          <t>moneyline</t>
        </is>
      </c>
      <c r="I65" s="24" t="inlineStr">
        <is>
          <t>home</t>
        </is>
      </c>
      <c r="J65" s="25" t="n"/>
      <c r="K65" s="24" t="inlineStr">
        <is>
          <t>polymarket_us</t>
        </is>
      </c>
      <c r="L65" s="26" t="n">
        <v>115</v>
      </c>
      <c r="M65" s="27" t="n">
        <v>2.15</v>
      </c>
      <c r="N65" s="28" t="n">
        <v>0.465116</v>
      </c>
      <c r="O65" s="28" t="n">
        <v>0.549275</v>
      </c>
      <c r="P65" s="28" t="n"/>
      <c r="Q65" s="28" t="n">
        <v>0.084159</v>
      </c>
      <c r="R65" s="26" t="n">
        <v>63</v>
      </c>
      <c r="S65" s="29" t="n">
        <v>1</v>
      </c>
      <c r="T65" s="24" t="inlineStr">
        <is>
          <t>mlb-elo-trend-lr-v7</t>
        </is>
      </c>
      <c r="U65" s="24" t="inlineStr">
        <is>
          <t>open</t>
        </is>
      </c>
      <c r="V65" s="24" t="n"/>
      <c r="W65" s="26" t="n"/>
      <c r="X65" s="26" t="n"/>
      <c r="Y65" s="25" t="n"/>
      <c r="Z65" s="26" t="n"/>
      <c r="AA65" s="28" t="n"/>
      <c r="AB65" s="28" t="n"/>
      <c r="AC65" s="30" t="n"/>
      <c r="AD65" s="24" t="n"/>
      <c r="AE65" s="31" t="inlineStr">
        <is>
          <t>Learned LR call at threshold 0.6242; executable ask 0.4650 (aec-mlb-nyy-chc-2026-08-02); model edge vs ask +0.0843.</t>
        </is>
      </c>
      <c r="AF65" s="31" t="inlineStr">
        <is>
          <t>Learned model; shadow-qualified via operator override.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model_qualified</t>
        </is>
      </c>
      <c r="AL65" s="26" t="n">
        <v>3</v>
      </c>
      <c r="AM65" s="24" t="inlineStr">
        <is>
          <t>QUALIFIED_SHADOW_CALL</t>
        </is>
      </c>
      <c r="AN65" s="24" t="inlineStr">
        <is>
          <t>CALL</t>
        </is>
      </c>
      <c r="AO65" s="24" t="inlineStr">
        <is>
          <t>QUALIFIED</t>
        </is>
      </c>
      <c r="AP65" s="24" t="inlineStr">
        <is>
          <t>mlb-nyy</t>
        </is>
      </c>
      <c r="AQ65" s="24" t="inlineStr">
        <is>
          <t>New York Yankees</t>
        </is>
      </c>
      <c r="AR65" s="24" t="inlineStr">
        <is>
          <t>New York Yankees</t>
        </is>
      </c>
      <c r="AS65" s="24" t="inlineStr">
        <is>
          <t>mlb-chc</t>
        </is>
      </c>
      <c r="AT65" s="24" t="inlineStr">
        <is>
          <t>Chicago Cubs</t>
        </is>
      </c>
      <c r="AU65" s="24" t="inlineStr">
        <is>
          <t>Chicago Cubs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464eef695bfbbdaa819ec6f5e4c5bd1068ed20b92915fb2677220ae91e20d8b6</t>
        </is>
      </c>
      <c r="BB65" s="24" t="inlineStr">
        <is>
          <t>learned_lr</t>
        </is>
      </c>
      <c r="BC65" s="24" t="inlineStr">
        <is>
          <t>mlb-elo-trend-lr-v7</t>
        </is>
      </c>
      <c r="BD65" s="24" t="inlineStr">
        <is>
          <t>464eef695bfbbdaa819ec6f5e4c5bd1068ed20b92915fb2677220ae91e20d8b6</t>
        </is>
      </c>
      <c r="BE65" s="24" t="inlineStr">
        <is>
          <t>e903cd504b6f4842</t>
        </is>
      </c>
      <c r="BF65" s="24" t="inlineStr">
        <is>
          <t>1</t>
        </is>
      </c>
      <c r="BG65" s="24" t="inlineStr">
        <is>
          <t>mlb-elo-trend-lr-v7</t>
        </is>
      </c>
      <c r="BH65" s="24" t="inlineStr">
        <is>
          <t>2026-08-02T13:02:30.253494Z</t>
        </is>
      </c>
      <c r="BI65" s="24" t="inlineStr">
        <is>
          <t>["same_event","same_team_same_day","same_league_same_day"]</t>
        </is>
      </c>
      <c r="BJ65" s="25" t="n"/>
      <c r="BK65" s="26" t="n">
        <v>115</v>
      </c>
      <c r="BL65" s="27" t="n">
        <v>2.15</v>
      </c>
      <c r="BM65" s="28" t="n">
        <v>0.465116</v>
      </c>
      <c r="BN65" s="28" t="n">
        <v>0.462687</v>
      </c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inlineStr">
        <is>
          <t>0.5479631024</t>
        </is>
      </c>
      <c r="CD65" s="24" t="inlineStr">
        <is>
          <t>0.358864</t>
        </is>
      </c>
      <c r="CE65" s="24" t="inlineStr">
        <is>
          <t>0.986</t>
        </is>
      </c>
      <c r="CF65" s="24" t="inlineStr">
        <is>
          <t>1.0129</t>
        </is>
      </c>
      <c r="CG65" s="24" t="inlineStr">
        <is>
          <t>-0.8</t>
        </is>
      </c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</row>
    <row r="66" ht="36" customHeight="1">
      <c r="A66" s="24" t="inlineStr">
        <is>
          <t>484ef6d35370446d</t>
        </is>
      </c>
      <c r="B66" s="24" t="inlineStr">
        <is>
          <t>2026-08-02T13:03:27.584850Z</t>
        </is>
      </c>
      <c r="C66" s="24" t="inlineStr">
        <is>
          <t>2026-08-02T15:10:00-0400</t>
        </is>
      </c>
      <c r="D66" s="24" t="inlineStr">
        <is>
          <t>401816371</t>
        </is>
      </c>
      <c r="E66" s="24" t="inlineStr">
        <is>
          <t>MLB</t>
        </is>
      </c>
      <c r="F66" s="24" t="inlineStr">
        <is>
          <t>Kansas City Royals</t>
        </is>
      </c>
      <c r="G66" s="24" t="inlineStr">
        <is>
          <t>Colorado Rockies</t>
        </is>
      </c>
      <c r="H66" s="24" t="inlineStr">
        <is>
          <t>moneyline</t>
        </is>
      </c>
      <c r="I66" s="24" t="inlineStr">
        <is>
          <t>away</t>
        </is>
      </c>
      <c r="J66" s="25" t="n"/>
      <c r="K66" s="24" t="inlineStr">
        <is>
          <t>polymarket_us</t>
        </is>
      </c>
      <c r="L66" s="26" t="n">
        <v>106</v>
      </c>
      <c r="M66" s="27" t="n">
        <v>2.06</v>
      </c>
      <c r="N66" s="28" t="n">
        <v>0.485437</v>
      </c>
      <c r="O66" s="28" t="n">
        <v>0.600004</v>
      </c>
      <c r="P66" s="28" t="n"/>
      <c r="Q66" s="28" t="n">
        <v>0.114567</v>
      </c>
      <c r="R66" s="26" t="n">
        <v>79</v>
      </c>
      <c r="S66" s="29" t="n">
        <v>1.25</v>
      </c>
      <c r="T66" s="24" t="inlineStr">
        <is>
          <t>mlb-elo-trend-lr-v7</t>
        </is>
      </c>
      <c r="U66" s="24" t="inlineStr">
        <is>
          <t>open</t>
        </is>
      </c>
      <c r="V66" s="24" t="n"/>
      <c r="W66" s="26" t="n"/>
      <c r="X66" s="26" t="n"/>
      <c r="Y66" s="25" t="n"/>
      <c r="Z66" s="26" t="n"/>
      <c r="AA66" s="28" t="n"/>
      <c r="AB66" s="28" t="n"/>
      <c r="AC66" s="30" t="n"/>
      <c r="AD66" s="24" t="n"/>
      <c r="AE66" s="31" t="inlineStr">
        <is>
          <t>Learned LR call at threshold 0.6242; executable ask 0.4850 (aec-mlb-kc-col-2026-08-02); model edge vs ask +0.1150.</t>
        </is>
      </c>
      <c r="AF66" s="31" t="inlineStr">
        <is>
          <t>Learned model; shadow-qualified via operator override.</t>
        </is>
      </c>
      <c r="AG66" s="24" t="inlineStr">
        <is>
          <t>not_applicable</t>
        </is>
      </c>
      <c r="AH66" s="24" t="n"/>
      <c r="AI66" s="31" t="n"/>
      <c r="AJ66" s="31" t="n"/>
      <c r="AK66" s="24" t="inlineStr">
        <is>
          <t>model_qualified</t>
        </is>
      </c>
      <c r="AL66" s="26" t="n">
        <v>3</v>
      </c>
      <c r="AM66" s="24" t="inlineStr">
        <is>
          <t>QUALIFIED_SHADOW_CALL</t>
        </is>
      </c>
      <c r="AN66" s="24" t="inlineStr">
        <is>
          <t>CALL</t>
        </is>
      </c>
      <c r="AO66" s="24" t="inlineStr">
        <is>
          <t>QUALIFIED</t>
        </is>
      </c>
      <c r="AP66" s="24" t="inlineStr">
        <is>
          <t>mlb-kc</t>
        </is>
      </c>
      <c r="AQ66" s="24" t="inlineStr">
        <is>
          <t>Kansas City Royals</t>
        </is>
      </c>
      <c r="AR66" s="24" t="inlineStr">
        <is>
          <t>Kansas City Royals</t>
        </is>
      </c>
      <c r="AS66" s="24" t="inlineStr">
        <is>
          <t>mlb-col</t>
        </is>
      </c>
      <c r="AT66" s="24" t="inlineStr">
        <is>
          <t>Colorado Rockies</t>
        </is>
      </c>
      <c r="AU66" s="24" t="inlineStr">
        <is>
          <t>Colorado Rockies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464eef695bfbbdaa819ec6f5e4c5bd1068ed20b92915fb2677220ae91e20d8b6</t>
        </is>
      </c>
      <c r="BB66" s="24" t="inlineStr">
        <is>
          <t>learned_lr</t>
        </is>
      </c>
      <c r="BC66" s="24" t="inlineStr">
        <is>
          <t>mlb-elo-trend-lr-v7</t>
        </is>
      </c>
      <c r="BD66" s="24" t="inlineStr">
        <is>
          <t>464eef695bfbbdaa819ec6f5e4c5bd1068ed20b92915fb2677220ae91e20d8b6</t>
        </is>
      </c>
      <c r="BE66" s="24" t="inlineStr">
        <is>
          <t>6c183dcf06abc223</t>
        </is>
      </c>
      <c r="BF66" s="24" t="inlineStr">
        <is>
          <t>1</t>
        </is>
      </c>
      <c r="BG66" s="24" t="inlineStr">
        <is>
          <t>mlb-elo-trend-lr-v7</t>
        </is>
      </c>
      <c r="BH66" s="24" t="inlineStr">
        <is>
          <t>2026-08-02T13:02:31.366658Z</t>
        </is>
      </c>
      <c r="BI66" s="24" t="inlineStr">
        <is>
          <t>["same_event","same_team_same_day","same_league_same_day"]</t>
        </is>
      </c>
      <c r="BJ66" s="25" t="n"/>
      <c r="BK66" s="26" t="n">
        <v>106</v>
      </c>
      <c r="BL66" s="27" t="n">
        <v>2.06</v>
      </c>
      <c r="BM66" s="28" t="n">
        <v>0.485437</v>
      </c>
      <c r="BN66" s="28" t="n">
        <v>0.482587</v>
      </c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inlineStr">
        <is>
          <t>0.4463973804</t>
        </is>
      </c>
      <c r="CD66" s="24" t="inlineStr">
        <is>
          <t>1.55286</t>
        </is>
      </c>
      <c r="CE66" s="24" t="inlineStr">
        <is>
          <t>1.193</t>
        </is>
      </c>
      <c r="CF66" s="24" t="inlineStr">
        <is>
          <t>1.0304</t>
        </is>
      </c>
      <c r="CG66" s="24" t="inlineStr">
        <is>
          <t>1.4</t>
        </is>
      </c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</row>
    <row r="67" ht="36" customHeight="1">
      <c r="A67" s="24" t="inlineStr">
        <is>
          <t>05885da8dafb49a9</t>
        </is>
      </c>
      <c r="B67" s="24" t="inlineStr">
        <is>
          <t>2026-08-02T13:03:27.584850Z</t>
        </is>
      </c>
      <c r="C67" s="24" t="inlineStr">
        <is>
          <t>2026-08-02T15:15:00-0400</t>
        </is>
      </c>
      <c r="D67" s="24" t="inlineStr">
        <is>
          <t>401816374</t>
        </is>
      </c>
      <c r="E67" s="24" t="inlineStr">
        <is>
          <t>MLB</t>
        </is>
      </c>
      <c r="F67" s="24" t="inlineStr">
        <is>
          <t>Milwaukee Brewers</t>
        </is>
      </c>
      <c r="G67" s="24" t="inlineStr">
        <is>
          <t>Los Angeles Angels</t>
        </is>
      </c>
      <c r="H67" s="24" t="inlineStr">
        <is>
          <t>moneyline</t>
        </is>
      </c>
      <c r="I67" s="24" t="inlineStr">
        <is>
          <t>away</t>
        </is>
      </c>
      <c r="J67" s="25" t="n"/>
      <c r="K67" s="24" t="inlineStr">
        <is>
          <t>polymarket_us</t>
        </is>
      </c>
      <c r="L67" s="26" t="n">
        <v>-217</v>
      </c>
      <c r="M67" s="27" t="n">
        <v>1.460829</v>
      </c>
      <c r="N67" s="28" t="n">
        <v>0.684543</v>
      </c>
      <c r="O67" s="28" t="n">
        <v>0.625577</v>
      </c>
      <c r="P67" s="28" t="n"/>
      <c r="Q67" s="28" t="n">
        <v>-0.058966</v>
      </c>
      <c r="R67" s="26" t="n">
        <v>0</v>
      </c>
      <c r="S67" s="29" t="n">
        <v>1.5</v>
      </c>
      <c r="T67" s="24" t="inlineStr">
        <is>
          <t>mlb-elo-trend-lr-v7</t>
        </is>
      </c>
      <c r="U67" s="24" t="inlineStr">
        <is>
          <t>open</t>
        </is>
      </c>
      <c r="V67" s="24" t="n"/>
      <c r="W67" s="26" t="n"/>
      <c r="X67" s="26" t="n"/>
      <c r="Y67" s="25" t="n"/>
      <c r="Z67" s="26" t="n"/>
      <c r="AA67" s="28" t="n"/>
      <c r="AB67" s="28" t="n"/>
      <c r="AC67" s="30" t="n"/>
      <c r="AD67" s="24" t="n"/>
      <c r="AE67" s="31" t="inlineStr">
        <is>
          <t>Learned LR call at threshold 0.6242; executable ask 0.6850 (aec-mlb-mil-laa-2026-08-02); model edge vs ask -0.0594.</t>
        </is>
      </c>
      <c r="AF67" s="31" t="inlineStr">
        <is>
          <t>Learned model; shadow-qualified via operator override.</t>
        </is>
      </c>
      <c r="AG67" s="24" t="inlineStr">
        <is>
          <t>not_applicable</t>
        </is>
      </c>
      <c r="AH67" s="24" t="n"/>
      <c r="AI67" s="31" t="n"/>
      <c r="AJ67" s="31" t="n"/>
      <c r="AK67" s="24" t="inlineStr">
        <is>
          <t>model_qualified</t>
        </is>
      </c>
      <c r="AL67" s="26" t="n">
        <v>3</v>
      </c>
      <c r="AM67" s="24" t="inlineStr">
        <is>
          <t>QUALIFIED_SHADOW_CALL</t>
        </is>
      </c>
      <c r="AN67" s="24" t="inlineStr">
        <is>
          <t>CALL</t>
        </is>
      </c>
      <c r="AO67" s="24" t="inlineStr">
        <is>
          <t>QUALIFIED</t>
        </is>
      </c>
      <c r="AP67" s="24" t="inlineStr">
        <is>
          <t>mlb-mil</t>
        </is>
      </c>
      <c r="AQ67" s="24" t="inlineStr">
        <is>
          <t>Milwaukee Brewers</t>
        </is>
      </c>
      <c r="AR67" s="24" t="inlineStr">
        <is>
          <t>Milwaukee Brewers</t>
        </is>
      </c>
      <c r="AS67" s="24" t="inlineStr">
        <is>
          <t>mlb-laa</t>
        </is>
      </c>
      <c r="AT67" s="24" t="inlineStr">
        <is>
          <t>Los Angeles Angels</t>
        </is>
      </c>
      <c r="AU67" s="24" t="inlineStr">
        <is>
          <t>Los Angeles Angels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464eef695bfbbdaa819ec6f5e4c5bd1068ed20b92915fb2677220ae91e20d8b6</t>
        </is>
      </c>
      <c r="BB67" s="24" t="inlineStr">
        <is>
          <t>learned_lr</t>
        </is>
      </c>
      <c r="BC67" s="24" t="inlineStr">
        <is>
          <t>mlb-elo-trend-lr-v7</t>
        </is>
      </c>
      <c r="BD67" s="24" t="inlineStr">
        <is>
          <t>464eef695bfbbdaa819ec6f5e4c5bd1068ed20b92915fb2677220ae91e20d8b6</t>
        </is>
      </c>
      <c r="BE67" s="24" t="inlineStr">
        <is>
          <t>54bf739e960196f5</t>
        </is>
      </c>
      <c r="BF67" s="24" t="inlineStr">
        <is>
          <t>1</t>
        </is>
      </c>
      <c r="BG67" s="24" t="inlineStr">
        <is>
          <t>mlb-elo-trend-lr-v7</t>
        </is>
      </c>
      <c r="BH67" s="24" t="inlineStr">
        <is>
          <t>2026-08-02T13:02:32.061064Z</t>
        </is>
      </c>
      <c r="BI67" s="24" t="inlineStr">
        <is>
          <t>["same_event","same_team_same_day","same_league_same_day"]</t>
        </is>
      </c>
      <c r="BJ67" s="25" t="n"/>
      <c r="BK67" s="26" t="n">
        <v>-217</v>
      </c>
      <c r="BL67" s="27" t="n">
        <v>1.460829</v>
      </c>
      <c r="BM67" s="28" t="n">
        <v>0.684543</v>
      </c>
      <c r="BN67" s="28" t="n">
        <v>0.681592</v>
      </c>
      <c r="BO67" s="28" t="n"/>
      <c r="BP67" s="25" t="n"/>
      <c r="BQ67" s="27" t="n"/>
      <c r="BR67" s="28" t="n"/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inlineStr">
        <is>
          <t>0.3268450055</t>
        </is>
      </c>
      <c r="CD67" s="24" t="inlineStr">
        <is>
          <t>-0.59379</t>
        </is>
      </c>
      <c r="CE67" s="24" t="inlineStr">
        <is>
          <t>1.01</t>
        </is>
      </c>
      <c r="CF67" s="24" t="inlineStr">
        <is>
          <t>1.0169</t>
        </is>
      </c>
      <c r="CG67" s="24" t="inlineStr">
        <is>
          <t>0.2</t>
        </is>
      </c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</row>
    <row r="68" ht="36" customHeight="1">
      <c r="A68" s="24" t="inlineStr">
        <is>
          <t>a037a0844a9643c7</t>
        </is>
      </c>
      <c r="B68" s="24" t="inlineStr">
        <is>
          <t>2026-08-02T13:03:27.584850Z</t>
        </is>
      </c>
      <c r="C68" s="24" t="inlineStr">
        <is>
          <t>2026-08-02T16:05:00-0400</t>
        </is>
      </c>
      <c r="D68" s="24" t="inlineStr">
        <is>
          <t>401816373</t>
        </is>
      </c>
      <c r="E68" s="24" t="inlineStr">
        <is>
          <t>MLB</t>
        </is>
      </c>
      <c r="F68" s="24" t="inlineStr">
        <is>
          <t>Detroit Tigers</t>
        </is>
      </c>
      <c r="G68" s="24" t="inlineStr">
        <is>
          <t>Athletics</t>
        </is>
      </c>
      <c r="H68" s="24" t="inlineStr">
        <is>
          <t>moneyline</t>
        </is>
      </c>
      <c r="I68" s="24" t="inlineStr">
        <is>
          <t>away</t>
        </is>
      </c>
      <c r="J68" s="25" t="n"/>
      <c r="K68" s="24" t="inlineStr">
        <is>
          <t>polymarket_us</t>
        </is>
      </c>
      <c r="L68" s="26" t="n">
        <v>-108</v>
      </c>
      <c r="M68" s="27" t="n">
        <v>1.925926</v>
      </c>
      <c r="N68" s="28" t="n">
        <v>0.519231</v>
      </c>
      <c r="O68" s="28" t="n">
        <v>0.559467</v>
      </c>
      <c r="P68" s="28" t="n"/>
      <c r="Q68" s="28" t="n">
        <v>0.040236</v>
      </c>
      <c r="R68" s="26" t="n">
        <v>41</v>
      </c>
      <c r="S68" s="29" t="n">
        <v>1</v>
      </c>
      <c r="T68" s="24" t="inlineStr">
        <is>
          <t>mlb-elo-trend-lr-v7</t>
        </is>
      </c>
      <c r="U68" s="24" t="inlineStr">
        <is>
          <t>open</t>
        </is>
      </c>
      <c r="V68" s="24" t="n"/>
      <c r="W68" s="26" t="n"/>
      <c r="X68" s="26" t="n"/>
      <c r="Y68" s="25" t="n"/>
      <c r="Z68" s="26" t="n"/>
      <c r="AA68" s="28" t="n"/>
      <c r="AB68" s="28" t="n"/>
      <c r="AC68" s="30" t="n"/>
      <c r="AD68" s="24" t="n"/>
      <c r="AE68" s="31" t="inlineStr">
        <is>
          <t>Learned LR call at threshold 0.6242; executable ask 0.5200 (aec-mlb-det-ath-2026-08-02); model edge vs ask +0.0395.</t>
        </is>
      </c>
      <c r="AF68" s="31" t="inlineStr">
        <is>
          <t>Learned model; shadow-qualified via operator override.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model_qualified</t>
        </is>
      </c>
      <c r="AL68" s="26" t="n">
        <v>3</v>
      </c>
      <c r="AM68" s="24" t="inlineStr">
        <is>
          <t>QUALIFIED_SHADOW_CALL</t>
        </is>
      </c>
      <c r="AN68" s="24" t="inlineStr">
        <is>
          <t>CALL</t>
        </is>
      </c>
      <c r="AO68" s="24" t="inlineStr">
        <is>
          <t>QUALIFIED</t>
        </is>
      </c>
      <c r="AP68" s="24" t="inlineStr">
        <is>
          <t>mlb-det</t>
        </is>
      </c>
      <c r="AQ68" s="24" t="inlineStr">
        <is>
          <t>Detroit Tigers</t>
        </is>
      </c>
      <c r="AR68" s="24" t="inlineStr">
        <is>
          <t>Detroit Tigers</t>
        </is>
      </c>
      <c r="AS68" s="24" t="inlineStr">
        <is>
          <t>mlb-ath</t>
        </is>
      </c>
      <c r="AT68" s="24" t="inlineStr">
        <is>
          <t>Athletics</t>
        </is>
      </c>
      <c r="AU68" s="24" t="inlineStr">
        <is>
          <t>Athletics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464eef695bfbbdaa819ec6f5e4c5bd1068ed20b92915fb2677220ae91e20d8b6</t>
        </is>
      </c>
      <c r="BB68" s="24" t="inlineStr">
        <is>
          <t>learned_lr</t>
        </is>
      </c>
      <c r="BC68" s="24" t="inlineStr">
        <is>
          <t>mlb-elo-trend-lr-v7</t>
        </is>
      </c>
      <c r="BD68" s="24" t="inlineStr">
        <is>
          <t>464eef695bfbbdaa819ec6f5e4c5bd1068ed20b92915fb2677220ae91e20d8b6</t>
        </is>
      </c>
      <c r="BE68" s="24" t="inlineStr">
        <is>
          <t>8ee4872235b3acc5</t>
        </is>
      </c>
      <c r="BF68" s="24" t="inlineStr">
        <is>
          <t>1</t>
        </is>
      </c>
      <c r="BG68" s="24" t="inlineStr">
        <is>
          <t>mlb-elo-trend-lr-v7</t>
        </is>
      </c>
      <c r="BH68" s="24" t="inlineStr">
        <is>
          <t>2026-08-02T13:02:33.355553Z</t>
        </is>
      </c>
      <c r="BI68" s="24" t="inlineStr">
        <is>
          <t>["same_event","same_team_same_day","same_league_same_day"]</t>
        </is>
      </c>
      <c r="BJ68" s="25" t="n"/>
      <c r="BK68" s="26" t="n">
        <v>-108</v>
      </c>
      <c r="BL68" s="27" t="n">
        <v>1.925926</v>
      </c>
      <c r="BM68" s="28" t="n">
        <v>0.519231</v>
      </c>
      <c r="BN68" s="28" t="n">
        <v>0.517413</v>
      </c>
      <c r="BO68" s="28" t="n"/>
      <c r="BP68" s="25" t="n"/>
      <c r="BQ68" s="27" t="n"/>
      <c r="BR68" s="28" t="n"/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inlineStr">
        <is>
          <t>0.4182489247</t>
        </is>
      </c>
      <c r="CD68" s="24" t="inlineStr">
        <is>
          <t>-3.449013</t>
        </is>
      </c>
      <c r="CE68" s="24" t="inlineStr">
        <is>
          <t>1.153</t>
        </is>
      </c>
      <c r="CF68" s="24" t="inlineStr">
        <is>
          <t>1.0293</t>
        </is>
      </c>
      <c r="CG68" s="24" t="inlineStr">
        <is>
          <t>1.0</t>
        </is>
      </c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</row>
    <row r="69" ht="36" customHeight="1">
      <c r="A69" s="24" t="inlineStr">
        <is>
          <t>a3d5ce3203b94b7c</t>
        </is>
      </c>
      <c r="B69" s="24" t="inlineStr">
        <is>
          <t>2026-08-02T13:03:27.584850Z</t>
        </is>
      </c>
      <c r="C69" s="24" t="inlineStr">
        <is>
          <t>2026-08-02T16:10:00-0400</t>
        </is>
      </c>
      <c r="D69" s="24" t="inlineStr">
        <is>
          <t>401816375</t>
        </is>
      </c>
      <c r="E69" s="24" t="inlineStr">
        <is>
          <t>MLB</t>
        </is>
      </c>
      <c r="F69" s="24" t="inlineStr">
        <is>
          <t>Minnesota Twins</t>
        </is>
      </c>
      <c r="G69" s="24" t="inlineStr">
        <is>
          <t>Seattle Mariners</t>
        </is>
      </c>
      <c r="H69" s="24" t="inlineStr">
        <is>
          <t>moneyline</t>
        </is>
      </c>
      <c r="I69" s="24" t="inlineStr">
        <is>
          <t>home</t>
        </is>
      </c>
      <c r="J69" s="25" t="n"/>
      <c r="K69" s="24" t="inlineStr">
        <is>
          <t>polymarket_us</t>
        </is>
      </c>
      <c r="L69" s="26" t="n">
        <v>-127</v>
      </c>
      <c r="M69" s="27" t="n">
        <v>1.787402</v>
      </c>
      <c r="N69" s="28" t="n">
        <v>0.5594710000000001</v>
      </c>
      <c r="O69" s="28" t="n">
        <v>0.596425</v>
      </c>
      <c r="P69" s="28" t="n"/>
      <c r="Q69" s="28" t="n">
        <v>0.036954</v>
      </c>
      <c r="R69" s="26" t="n">
        <v>40</v>
      </c>
      <c r="S69" s="29" t="n">
        <v>1.25</v>
      </c>
      <c r="T69" s="24" t="inlineStr">
        <is>
          <t>mlb-elo-trend-lr-v7</t>
        </is>
      </c>
      <c r="U69" s="24" t="inlineStr">
        <is>
          <t>open</t>
        </is>
      </c>
      <c r="V69" s="24" t="n"/>
      <c r="W69" s="26" t="n"/>
      <c r="X69" s="26" t="n"/>
      <c r="Y69" s="25" t="n"/>
      <c r="Z69" s="26" t="n"/>
      <c r="AA69" s="28" t="n"/>
      <c r="AB69" s="28" t="n"/>
      <c r="AC69" s="30" t="n"/>
      <c r="AD69" s="24" t="n"/>
      <c r="AE69" s="31" t="inlineStr">
        <is>
          <t>Learned LR call at threshold 0.6242; executable ask 0.5600 (aec-mlb-min-sea-2026-08-02); model edge vs ask +0.0364.</t>
        </is>
      </c>
      <c r="AF69" s="31" t="inlineStr">
        <is>
          <t>Learned model; shadow-qualified via operator override.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model_qualified</t>
        </is>
      </c>
      <c r="AL69" s="26" t="n">
        <v>3</v>
      </c>
      <c r="AM69" s="24" t="inlineStr">
        <is>
          <t>QUALIFIED_SHADOW_CALL</t>
        </is>
      </c>
      <c r="AN69" s="24" t="inlineStr">
        <is>
          <t>CALL</t>
        </is>
      </c>
      <c r="AO69" s="24" t="inlineStr">
        <is>
          <t>QUALIFIED</t>
        </is>
      </c>
      <c r="AP69" s="24" t="inlineStr">
        <is>
          <t>mlb-min</t>
        </is>
      </c>
      <c r="AQ69" s="24" t="inlineStr">
        <is>
          <t>Minnesota Twins</t>
        </is>
      </c>
      <c r="AR69" s="24" t="inlineStr">
        <is>
          <t>Minnesota Twins</t>
        </is>
      </c>
      <c r="AS69" s="24" t="inlineStr">
        <is>
          <t>mlb-sea</t>
        </is>
      </c>
      <c r="AT69" s="24" t="inlineStr">
        <is>
          <t>Seattle Mariners</t>
        </is>
      </c>
      <c r="AU69" s="24" t="inlineStr">
        <is>
          <t>Seattle Mariners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464eef695bfbbdaa819ec6f5e4c5bd1068ed20b92915fb2677220ae91e20d8b6</t>
        </is>
      </c>
      <c r="BB69" s="24" t="inlineStr">
        <is>
          <t>learned_lr</t>
        </is>
      </c>
      <c r="BC69" s="24" t="inlineStr">
        <is>
          <t>mlb-elo-trend-lr-v7</t>
        </is>
      </c>
      <c r="BD69" s="24" t="inlineStr">
        <is>
          <t>464eef695bfbbdaa819ec6f5e4c5bd1068ed20b92915fb2677220ae91e20d8b6</t>
        </is>
      </c>
      <c r="BE69" s="24" t="inlineStr">
        <is>
          <t>e58bfb84888a3f7a</t>
        </is>
      </c>
      <c r="BF69" s="24" t="inlineStr">
        <is>
          <t>1</t>
        </is>
      </c>
      <c r="BG69" s="24" t="inlineStr">
        <is>
          <t>mlb-elo-trend-lr-v7</t>
        </is>
      </c>
      <c r="BH69" s="24" t="inlineStr">
        <is>
          <t>2026-08-02T13:02:35.411111Z</t>
        </is>
      </c>
      <c r="BI69" s="24" t="inlineStr">
        <is>
          <t>["same_event","same_team_same_day","same_league_same_day"]</t>
        </is>
      </c>
      <c r="BJ69" s="25" t="n"/>
      <c r="BK69" s="26" t="n">
        <v>-127</v>
      </c>
      <c r="BL69" s="27" t="n">
        <v>1.787402</v>
      </c>
      <c r="BM69" s="28" t="n">
        <v>0.5594710000000001</v>
      </c>
      <c r="BN69" s="28" t="n">
        <v>0.557214</v>
      </c>
      <c r="BO69" s="28" t="n"/>
      <c r="BP69" s="25" t="n"/>
      <c r="BQ69" s="27" t="n"/>
      <c r="BR69" s="28" t="n"/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inlineStr">
        <is>
          <t>0.5819178739</t>
        </is>
      </c>
      <c r="CD69" s="24" t="inlineStr">
        <is>
          <t>0.703281</t>
        </is>
      </c>
      <c r="CE69" s="24" t="inlineStr">
        <is>
          <t>0.936</t>
        </is>
      </c>
      <c r="CF69" s="24" t="inlineStr">
        <is>
          <t>1.0</t>
        </is>
      </c>
      <c r="CG69" s="24" t="inlineStr">
        <is>
          <t>1.8</t>
        </is>
      </c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</row>
    <row r="70" ht="36" customHeight="1">
      <c r="A70" s="24" t="inlineStr">
        <is>
          <t>01be63928aa0487f</t>
        </is>
      </c>
      <c r="B70" s="24" t="inlineStr">
        <is>
          <t>2026-08-02T13:03:27.584850Z</t>
        </is>
      </c>
      <c r="C70" s="24" t="inlineStr">
        <is>
          <t>2026-08-02T16:10:00-0400</t>
        </is>
      </c>
      <c r="D70" s="24" t="inlineStr">
        <is>
          <t>401816376</t>
        </is>
      </c>
      <c r="E70" s="24" t="inlineStr">
        <is>
          <t>MLB</t>
        </is>
      </c>
      <c r="F70" s="24" t="inlineStr">
        <is>
          <t>San Francisco Giants</t>
        </is>
      </c>
      <c r="G70" s="24" t="inlineStr">
        <is>
          <t>San Diego Padres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-138</v>
      </c>
      <c r="M70" s="27" t="n">
        <v>1.724638</v>
      </c>
      <c r="N70" s="28" t="n">
        <v>0.579832</v>
      </c>
      <c r="O70" s="28" t="n">
        <v>0.589174</v>
      </c>
      <c r="P70" s="28" t="n"/>
      <c r="Q70" s="28" t="n">
        <v>0.009342</v>
      </c>
      <c r="R70" s="26" t="n">
        <v>26</v>
      </c>
      <c r="S70" s="29" t="n">
        <v>1.25</v>
      </c>
      <c r="T70" s="24" t="inlineStr">
        <is>
          <t>mlb-elo-trend-lr-v7</t>
        </is>
      </c>
      <c r="U70" s="24" t="inlineStr">
        <is>
          <t>open</t>
        </is>
      </c>
      <c r="V70" s="24" t="n"/>
      <c r="W70" s="26" t="n"/>
      <c r="X70" s="26" t="n"/>
      <c r="Y70" s="25" t="n"/>
      <c r="Z70" s="26" t="n"/>
      <c r="AA70" s="28" t="n"/>
      <c r="AB70" s="28" t="n"/>
      <c r="AC70" s="30" t="n"/>
      <c r="AD70" s="24" t="n"/>
      <c r="AE70" s="31" t="inlineStr">
        <is>
          <t>Learned LR call at threshold 0.6242; executable ask 0.5800 (aec-mlb-sf-sd-2026-08-02); model edge vs ask +0.0092.</t>
        </is>
      </c>
      <c r="AF70" s="31" t="inlineStr">
        <is>
          <t>Learned model; shadow-qualified via operator override.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model_qualified</t>
        </is>
      </c>
      <c r="AL70" s="26" t="n">
        <v>3</v>
      </c>
      <c r="AM70" s="24" t="inlineStr">
        <is>
          <t>QUALIFIED_SHADOW_CALL</t>
        </is>
      </c>
      <c r="AN70" s="24" t="inlineStr">
        <is>
          <t>CALL</t>
        </is>
      </c>
      <c r="AO70" s="24" t="inlineStr">
        <is>
          <t>QUALIFIED</t>
        </is>
      </c>
      <c r="AP70" s="24" t="inlineStr">
        <is>
          <t>mlb-sf</t>
        </is>
      </c>
      <c r="AQ70" s="24" t="inlineStr">
        <is>
          <t>San Francisco Giants</t>
        </is>
      </c>
      <c r="AR70" s="24" t="inlineStr">
        <is>
          <t>San Francisco Giants</t>
        </is>
      </c>
      <c r="AS70" s="24" t="inlineStr">
        <is>
          <t>mlb-sd</t>
        </is>
      </c>
      <c r="AT70" s="24" t="inlineStr">
        <is>
          <t>San Diego Padres</t>
        </is>
      </c>
      <c r="AU70" s="24" t="inlineStr">
        <is>
          <t>San Diego Padres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464eef695bfbbdaa819ec6f5e4c5bd1068ed20b92915fb2677220ae91e20d8b6</t>
        </is>
      </c>
      <c r="BB70" s="24" t="inlineStr">
        <is>
          <t>learned_lr</t>
        </is>
      </c>
      <c r="BC70" s="24" t="inlineStr">
        <is>
          <t>mlb-elo-trend-lr-v7</t>
        </is>
      </c>
      <c r="BD70" s="24" t="inlineStr">
        <is>
          <t>464eef695bfbbdaa819ec6f5e4c5bd1068ed20b92915fb2677220ae91e20d8b6</t>
        </is>
      </c>
      <c r="BE70" s="24" t="inlineStr">
        <is>
          <t>fe5bb0382c18ca7a</t>
        </is>
      </c>
      <c r="BF70" s="24" t="inlineStr">
        <is>
          <t>1</t>
        </is>
      </c>
      <c r="BG70" s="24" t="inlineStr">
        <is>
          <t>mlb-elo-trend-lr-v7</t>
        </is>
      </c>
      <c r="BH70" s="24" t="inlineStr">
        <is>
          <t>2026-08-02T13:02:34.353090Z</t>
        </is>
      </c>
      <c r="BI70" s="24" t="inlineStr">
        <is>
          <t>["same_event","same_team_same_day","same_league_same_day"]</t>
        </is>
      </c>
      <c r="BJ70" s="25" t="n"/>
      <c r="BK70" s="26" t="n">
        <v>-138</v>
      </c>
      <c r="BL70" s="27" t="n">
        <v>1.724638</v>
      </c>
      <c r="BM70" s="28" t="n">
        <v>0.579832</v>
      </c>
      <c r="BN70" s="28" t="n">
        <v>0.577114</v>
      </c>
      <c r="BO70" s="28" t="n"/>
      <c r="BP70" s="25" t="n"/>
      <c r="BQ70" s="27" t="n"/>
      <c r="BR70" s="28" t="n"/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inlineStr">
        <is>
          <t>0.5952401601</t>
        </is>
      </c>
      <c r="CD70" s="24" t="inlineStr">
        <is>
          <t>0.046644</t>
        </is>
      </c>
      <c r="CE70" s="24" t="inlineStr">
        <is>
          <t>0.945</t>
        </is>
      </c>
      <c r="CF70" s="24" t="inlineStr">
        <is>
          <t>1.0091</t>
        </is>
      </c>
      <c r="CG70" s="24" t="inlineStr">
        <is>
          <t>-1.6</t>
        </is>
      </c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</row>
    <row r="71" ht="36" customHeight="1">
      <c r="A71" s="24" t="inlineStr">
        <is>
          <t>46376a9b287d4031</t>
        </is>
      </c>
      <c r="B71" s="24" t="inlineStr">
        <is>
          <t>2026-08-02T13:03:27.584850Z</t>
        </is>
      </c>
      <c r="C71" s="24" t="inlineStr">
        <is>
          <t>2026-08-02T19:20:00-0400</t>
        </is>
      </c>
      <c r="D71" s="24" t="inlineStr">
        <is>
          <t>401816372</t>
        </is>
      </c>
      <c r="E71" s="24" t="inlineStr">
        <is>
          <t>MLB</t>
        </is>
      </c>
      <c r="F71" s="24" t="inlineStr">
        <is>
          <t>Boston Red Sox</t>
        </is>
      </c>
      <c r="G71" s="24" t="inlineStr">
        <is>
          <t>Los Angeles Dodgers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-150</v>
      </c>
      <c r="M71" s="27" t="n">
        <v>1.666667</v>
      </c>
      <c r="N71" s="28" t="n">
        <v>0.6</v>
      </c>
      <c r="O71" s="28" t="n">
        <v>0.55935</v>
      </c>
      <c r="P71" s="28" t="n"/>
      <c r="Q71" s="28" t="n">
        <v>-0.04065</v>
      </c>
      <c r="R71" s="26" t="n">
        <v>1</v>
      </c>
      <c r="S71" s="29" t="n">
        <v>1</v>
      </c>
      <c r="T71" s="24" t="inlineStr">
        <is>
          <t>mlb-elo-trend-lr-v7</t>
        </is>
      </c>
      <c r="U71" s="24" t="inlineStr">
        <is>
          <t>open</t>
        </is>
      </c>
      <c r="V71" s="24" t="n"/>
      <c r="W71" s="26" t="n"/>
      <c r="X71" s="26" t="n"/>
      <c r="Y71" s="25" t="n"/>
      <c r="Z71" s="26" t="n"/>
      <c r="AA71" s="28" t="n"/>
      <c r="AB71" s="28" t="n"/>
      <c r="AC71" s="30" t="n"/>
      <c r="AD71" s="24" t="n"/>
      <c r="AE71" s="31" t="inlineStr">
        <is>
          <t>Learned LR call at threshold 0.6242; executable ask 0.6000 (aec-mlb-bos-lad-2026-08-02); model edge vs ask -0.0406.</t>
        </is>
      </c>
      <c r="AF71" s="31" t="inlineStr">
        <is>
          <t>Learned model; shadow-qualified via operator override.</t>
        </is>
      </c>
      <c r="AG71" s="24" t="inlineStr">
        <is>
          <t>not_applicable</t>
        </is>
      </c>
      <c r="AH71" s="24" t="n"/>
      <c r="AI71" s="31" t="n"/>
      <c r="AJ71" s="31" t="n"/>
      <c r="AK71" s="24" t="inlineStr">
        <is>
          <t>model_qualified</t>
        </is>
      </c>
      <c r="AL71" s="26" t="n">
        <v>3</v>
      </c>
      <c r="AM71" s="24" t="inlineStr">
        <is>
          <t>QUALIFIED_SHADOW_CALL</t>
        </is>
      </c>
      <c r="AN71" s="24" t="inlineStr">
        <is>
          <t>CALL</t>
        </is>
      </c>
      <c r="AO71" s="24" t="inlineStr">
        <is>
          <t>QUALIFIED</t>
        </is>
      </c>
      <c r="AP71" s="24" t="inlineStr">
        <is>
          <t>mlb-bos</t>
        </is>
      </c>
      <c r="AQ71" s="24" t="inlineStr">
        <is>
          <t>Boston Red Sox</t>
        </is>
      </c>
      <c r="AR71" s="24" t="inlineStr">
        <is>
          <t>Boston Red Sox</t>
        </is>
      </c>
      <c r="AS71" s="24" t="inlineStr">
        <is>
          <t>mlb-lad</t>
        </is>
      </c>
      <c r="AT71" s="24" t="inlineStr">
        <is>
          <t>Los Angeles Dodgers</t>
        </is>
      </c>
      <c r="AU71" s="24" t="inlineStr">
        <is>
          <t>Los Angeles Dodgers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464eef695bfbbdaa819ec6f5e4c5bd1068ed20b92915fb2677220ae91e20d8b6</t>
        </is>
      </c>
      <c r="BB71" s="24" t="inlineStr">
        <is>
          <t>learned_lr</t>
        </is>
      </c>
      <c r="BC71" s="24" t="inlineStr">
        <is>
          <t>mlb-elo-trend-lr-v7</t>
        </is>
      </c>
      <c r="BD71" s="24" t="inlineStr">
        <is>
          <t>464eef695bfbbdaa819ec6f5e4c5bd1068ed20b92915fb2677220ae91e20d8b6</t>
        </is>
      </c>
      <c r="BE71" s="24" t="inlineStr">
        <is>
          <t>5b760703f3a80b2b</t>
        </is>
      </c>
      <c r="BF71" s="24" t="inlineStr">
        <is>
          <t>1</t>
        </is>
      </c>
      <c r="BG71" s="24" t="inlineStr">
        <is>
          <t>mlb-elo-trend-lr-v7</t>
        </is>
      </c>
      <c r="BH71" s="24" t="inlineStr">
        <is>
          <t>2026-08-02T13:02:36.280070Z</t>
        </is>
      </c>
      <c r="BI71" s="24" t="inlineStr">
        <is>
          <t>["same_event","same_team_same_day","same_league_same_day"]</t>
        </is>
      </c>
      <c r="BJ71" s="25" t="n"/>
      <c r="BK71" s="26" t="n">
        <v>-150</v>
      </c>
      <c r="BL71" s="27" t="n">
        <v>1.666667</v>
      </c>
      <c r="BM71" s="28" t="n">
        <v>0.6</v>
      </c>
      <c r="BN71" s="28" t="n">
        <v>0.597015</v>
      </c>
      <c r="BO71" s="28" t="n"/>
      <c r="BP71" s="25" t="n"/>
      <c r="BQ71" s="27" t="n"/>
      <c r="BR71" s="28" t="n"/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inlineStr">
        <is>
          <t>0.5465616607</t>
        </is>
      </c>
      <c r="CD71" s="24" t="inlineStr">
        <is>
          <t>-0.812713</t>
        </is>
      </c>
      <c r="CE71" s="24" t="inlineStr">
        <is>
          <t>1.026</t>
        </is>
      </c>
      <c r="CF71" s="24" t="inlineStr">
        <is>
          <t>1.0178</t>
        </is>
      </c>
      <c r="CG71" s="24" t="inlineStr">
        <is>
          <t>2.6</t>
        </is>
      </c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</row>
    <row r="72" ht="36" customHeight="1">
      <c r="A72" s="24" t="inlineStr">
        <is>
          <t>1affbdb3886e40d2</t>
        </is>
      </c>
      <c r="B72" s="24" t="inlineStr">
        <is>
          <t>2026-08-02T13:05:47.245126Z</t>
        </is>
      </c>
      <c r="C72" s="24" t="inlineStr">
        <is>
          <t>2026-08-02T17:30Z</t>
        </is>
      </c>
      <c r="D72" s="24" t="inlineStr">
        <is>
          <t>401841470</t>
        </is>
      </c>
      <c r="E72" s="24" t="inlineStr">
        <is>
          <t>SOCCER</t>
        </is>
      </c>
      <c r="F72" s="24" t="inlineStr">
        <is>
          <t>Gimnasia La Plata</t>
        </is>
      </c>
      <c r="G72" s="24" t="inlineStr">
        <is>
          <t>Aldosivi</t>
        </is>
      </c>
      <c r="H72" s="24" t="inlineStr">
        <is>
          <t>moneyline</t>
        </is>
      </c>
      <c r="I72" s="24" t="inlineStr">
        <is>
          <t>home</t>
        </is>
      </c>
      <c r="J72" s="25" t="n"/>
      <c r="K72" s="24" t="inlineStr">
        <is>
          <t>polymarket_us</t>
        </is>
      </c>
      <c r="L72" s="26" t="n">
        <v>233</v>
      </c>
      <c r="M72" s="27" t="n">
        <v>3.33</v>
      </c>
      <c r="N72" s="28" t="n">
        <v>0.3003</v>
      </c>
      <c r="O72" s="28" t="n">
        <v>0.456135</v>
      </c>
      <c r="P72" s="28" t="n">
        <v>0.2</v>
      </c>
      <c r="Q72" s="28" t="n">
        <v>0.155835</v>
      </c>
      <c r="R72" s="26" t="n">
        <v>8</v>
      </c>
      <c r="S72" s="29" t="n">
        <v>1</v>
      </c>
      <c r="T72" s="24" t="inlineStr">
        <is>
          <t>soccer-poisson-dc-v1</t>
        </is>
      </c>
      <c r="U72" s="24" t="inlineStr">
        <is>
          <t>open</t>
        </is>
      </c>
      <c r="V72" s="24" t="n"/>
      <c r="W72" s="26" t="n"/>
      <c r="X72" s="26" t="n"/>
      <c r="Y72" s="25" t="n"/>
      <c r="Z72" s="26" t="n"/>
      <c r="AA72" s="28" t="n"/>
      <c r="AB72" s="28" t="n"/>
      <c r="AC72" s="30" t="n"/>
      <c r="AD72" s="24" t="n"/>
      <c r="AE72" s="31" t="inlineStr">
        <is>
          <t>Poisson-DC rates 1.64 (home) / 1.24 (away) from EWMA attack/defense strengths. Executable ask 0.3000 (atc-lpa-ald-gim-2026-08-02-ald).</t>
        </is>
      </c>
      <c r="AF72" s="31" t="inlineStr">
        <is>
          <t>Research-only soccer score model; draw-aware, but not yet locked-holdout qualified.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model_qualified</t>
        </is>
      </c>
      <c r="AL72" s="26" t="n">
        <v>3</v>
      </c>
      <c r="AM72" s="24" t="inlineStr">
        <is>
          <t>QUALIFIED_SHADOW_CALL</t>
        </is>
      </c>
      <c r="AN72" s="24" t="inlineStr">
        <is>
          <t>CALL</t>
        </is>
      </c>
      <c r="AO72" s="24" t="inlineStr">
        <is>
          <t>QUALIFIED</t>
        </is>
      </c>
      <c r="AP72" s="24" t="inlineStr">
        <is>
          <t>Gimnasia La Plata</t>
        </is>
      </c>
      <c r="AQ72" s="24" t="inlineStr">
        <is>
          <t>Gimnasia La Plata</t>
        </is>
      </c>
      <c r="AR72" s="24" t="inlineStr">
        <is>
          <t>Gimnasia La Plata</t>
        </is>
      </c>
      <c r="AS72" s="24" t="inlineStr">
        <is>
          <t>Aldosivi</t>
        </is>
      </c>
      <c r="AT72" s="24" t="inlineStr">
        <is>
          <t>Aldosivi</t>
        </is>
      </c>
      <c r="AU72" s="24" t="inlineStr">
        <is>
          <t>Aldosivi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34d1568aad0ff11b5db35f118324684f93281e1c21fa7b80be7a4a4e2cb4bb03</t>
        </is>
      </c>
      <c r="BB72" s="24" t="inlineStr">
        <is>
          <t>poisson_dixon_coles</t>
        </is>
      </c>
      <c r="BC72" s="24" t="inlineStr">
        <is>
          <t>soccer-poisson-dc-v1</t>
        </is>
      </c>
      <c r="BD72" s="24" t="inlineStr">
        <is>
          <t>34d1568aad0ff11b5db35f118324684f93281e1c21fa7b80be7a4a4e2cb4bb03</t>
        </is>
      </c>
      <c r="BE72" s="24" t="inlineStr">
        <is>
          <t>soccer-poisson-dc-v1</t>
        </is>
      </c>
      <c r="BF72" s="24" t="inlineStr">
        <is>
          <t>1</t>
        </is>
      </c>
      <c r="BG72" s="24" t="inlineStr">
        <is>
          <t>34d1568aad0ff11b5db35f118324684f93281e1c21fa7b80be7a4a4e2cb4bb03</t>
        </is>
      </c>
      <c r="BH72" s="24" t="inlineStr">
        <is>
          <t>2026-08-02T13:02:42.194950Z</t>
        </is>
      </c>
      <c r="BI72" s="24" t="inlineStr">
        <is>
          <t>["same_event","same_team_same_day","same_league_same_day"]</t>
        </is>
      </c>
      <c r="BJ72" s="25" t="n"/>
      <c r="BK72" s="26" t="n">
        <v>233</v>
      </c>
      <c r="BL72" s="27" t="n">
        <v>3.33</v>
      </c>
      <c r="BM72" s="28" t="n">
        <v>0.3003</v>
      </c>
      <c r="BN72" s="28" t="n"/>
      <c r="BO72" s="28" t="n"/>
      <c r="BP72" s="25" t="n"/>
      <c r="BQ72" s="27" t="n"/>
      <c r="BR72" s="28" t="n"/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</row>
    <row r="73" ht="36" customHeight="1">
      <c r="A73" s="24" t="inlineStr">
        <is>
          <t>95a0a59e8df94a0c</t>
        </is>
      </c>
      <c r="B73" s="24" t="inlineStr">
        <is>
          <t>2026-08-02T13:05:47.245126Z</t>
        </is>
      </c>
      <c r="C73" s="24" t="inlineStr">
        <is>
          <t>2026-08-02T20:00Z</t>
        </is>
      </c>
      <c r="D73" s="24" t="inlineStr">
        <is>
          <t>401841473</t>
        </is>
      </c>
      <c r="E73" s="24" t="inlineStr">
        <is>
          <t>SOCCER</t>
        </is>
      </c>
      <c r="F73" s="24" t="inlineStr">
        <is>
          <t>Boca Juniors</t>
        </is>
      </c>
      <c r="G73" s="24" t="inlineStr">
        <is>
          <t>Newell's Old Boys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polymarket_us</t>
        </is>
      </c>
      <c r="L73" s="26" t="n">
        <v>335</v>
      </c>
      <c r="M73" s="27" t="n">
        <v>4.35</v>
      </c>
      <c r="N73" s="28" t="n">
        <v>0.229885</v>
      </c>
      <c r="O73" s="28" t="n">
        <v>0.398039</v>
      </c>
      <c r="P73" s="28" t="n">
        <v>0.2</v>
      </c>
      <c r="Q73" s="28" t="n">
        <v>0.168154</v>
      </c>
      <c r="R73" s="26" t="n">
        <v>14</v>
      </c>
      <c r="S73" s="29" t="n">
        <v>1</v>
      </c>
      <c r="T73" s="24" t="inlineStr">
        <is>
          <t>soccer-poisson-dc-v1</t>
        </is>
      </c>
      <c r="U73" s="24" t="inlineStr">
        <is>
          <t>open</t>
        </is>
      </c>
      <c r="V73" s="24" t="n"/>
      <c r="W73" s="26" t="n"/>
      <c r="X73" s="26" t="n"/>
      <c r="Y73" s="25" t="n"/>
      <c r="Z73" s="26" t="n"/>
      <c r="AA73" s="28" t="n"/>
      <c r="AB73" s="28" t="n"/>
      <c r="AC73" s="30" t="n"/>
      <c r="AD73" s="24" t="n"/>
      <c r="AE73" s="31" t="inlineStr">
        <is>
          <t>Poisson-DC rates 1.46 (home) / 1.30 (away) from EWMA attack/defense strengths. Executable ask 0.2300 (atc-lpa-new-boc-2026-08-02-new).</t>
        </is>
      </c>
      <c r="AF73" s="31" t="inlineStr">
        <is>
          <t>Research-only soccer score model; draw-aware, but not yet locked-holdout qualified.</t>
        </is>
      </c>
      <c r="AG73" s="24" t="inlineStr">
        <is>
          <t>not_applicable</t>
        </is>
      </c>
      <c r="AH73" s="24" t="n"/>
      <c r="AI73" s="31" t="n"/>
      <c r="AJ73" s="31" t="n"/>
      <c r="AK73" s="24" t="inlineStr">
        <is>
          <t>model_qualified</t>
        </is>
      </c>
      <c r="AL73" s="26" t="n">
        <v>3</v>
      </c>
      <c r="AM73" s="24" t="inlineStr">
        <is>
          <t>QUALIFIED_SHADOW_CALL</t>
        </is>
      </c>
      <c r="AN73" s="24" t="inlineStr">
        <is>
          <t>CALL</t>
        </is>
      </c>
      <c r="AO73" s="24" t="inlineStr">
        <is>
          <t>QUALIFIED</t>
        </is>
      </c>
      <c r="AP73" s="24" t="inlineStr">
        <is>
          <t>Boca Juniors</t>
        </is>
      </c>
      <c r="AQ73" s="24" t="inlineStr">
        <is>
          <t>Boca Juniors</t>
        </is>
      </c>
      <c r="AR73" s="24" t="inlineStr">
        <is>
          <t>Boca Juniors</t>
        </is>
      </c>
      <c r="AS73" s="24" t="inlineStr">
        <is>
          <t>Newell's Old Boys</t>
        </is>
      </c>
      <c r="AT73" s="24" t="inlineStr">
        <is>
          <t>Newell's Old Boys</t>
        </is>
      </c>
      <c r="AU73" s="24" t="inlineStr">
        <is>
          <t>Newell's Old Boys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34d1568aad0ff11b5db35f118324684f93281e1c21fa7b80be7a4a4e2cb4bb03</t>
        </is>
      </c>
      <c r="BB73" s="24" t="inlineStr">
        <is>
          <t>poisson_dixon_coles</t>
        </is>
      </c>
      <c r="BC73" s="24" t="inlineStr">
        <is>
          <t>soccer-poisson-dc-v1</t>
        </is>
      </c>
      <c r="BD73" s="24" t="inlineStr">
        <is>
          <t>34d1568aad0ff11b5db35f118324684f93281e1c21fa7b80be7a4a4e2cb4bb03</t>
        </is>
      </c>
      <c r="BE73" s="24" t="inlineStr">
        <is>
          <t>soccer-poisson-dc-v1</t>
        </is>
      </c>
      <c r="BF73" s="24" t="inlineStr">
        <is>
          <t>1</t>
        </is>
      </c>
      <c r="BG73" s="24" t="inlineStr">
        <is>
          <t>34d1568aad0ff11b5db35f118324684f93281e1c21fa7b80be7a4a4e2cb4bb03</t>
        </is>
      </c>
      <c r="BH73" s="24" t="inlineStr">
        <is>
          <t>2026-08-02T13:02:42.189291Z</t>
        </is>
      </c>
      <c r="BI73" s="24" t="inlineStr">
        <is>
          <t>["same_event","same_team_same_day","same_league_same_day"]</t>
        </is>
      </c>
      <c r="BJ73" s="25" t="n"/>
      <c r="BK73" s="26" t="n">
        <v>335</v>
      </c>
      <c r="BL73" s="27" t="n">
        <v>4.35</v>
      </c>
      <c r="BM73" s="28" t="n">
        <v>0.229885</v>
      </c>
      <c r="BN73" s="28" t="n"/>
      <c r="BO73" s="28" t="n"/>
      <c r="BP73" s="25" t="n"/>
      <c r="BQ73" s="27" t="n"/>
      <c r="BR73" s="28" t="n"/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</row>
    <row r="74" ht="36" customHeight="1">
      <c r="A74" s="24" t="inlineStr">
        <is>
          <t>89b5d7d1bf6f4997</t>
        </is>
      </c>
      <c r="B74" s="24" t="inlineStr">
        <is>
          <t>2026-08-02T13:05:47.245126Z</t>
        </is>
      </c>
      <c r="C74" s="24" t="inlineStr">
        <is>
          <t>2026-08-02T22:15Z</t>
        </is>
      </c>
      <c r="D74" s="24" t="inlineStr">
        <is>
          <t>401841476</t>
        </is>
      </c>
      <c r="E74" s="24" t="inlineStr">
        <is>
          <t>SOCCER</t>
        </is>
      </c>
      <c r="F74" s="24" t="inlineStr">
        <is>
          <t>Rosario Central</t>
        </is>
      </c>
      <c r="G74" s="24" t="inlineStr">
        <is>
          <t>River Plate</t>
        </is>
      </c>
      <c r="H74" s="24" t="inlineStr">
        <is>
          <t>moneyline</t>
        </is>
      </c>
      <c r="I74" s="24" t="inlineStr">
        <is>
          <t>home</t>
        </is>
      </c>
      <c r="J74" s="25" t="n"/>
      <c r="K74" s="24" t="inlineStr">
        <is>
          <t>polymarket_us</t>
        </is>
      </c>
      <c r="L74" s="26" t="n">
        <v>113</v>
      </c>
      <c r="M74" s="27" t="n">
        <v>2.13</v>
      </c>
      <c r="N74" s="28" t="n">
        <v>0.469484</v>
      </c>
      <c r="O74" s="28" t="n">
        <v>0.5359159999999999</v>
      </c>
      <c r="P74" s="28" t="n">
        <v>0.2</v>
      </c>
      <c r="Q74" s="28" t="n">
        <v>0.066432</v>
      </c>
      <c r="R74" s="26" t="n">
        <v>0</v>
      </c>
      <c r="S74" s="29" t="n">
        <v>1</v>
      </c>
      <c r="T74" s="24" t="inlineStr">
        <is>
          <t>soccer-poisson-dc-v1</t>
        </is>
      </c>
      <c r="U74" s="24" t="inlineStr">
        <is>
          <t>open</t>
        </is>
      </c>
      <c r="V74" s="24" t="n"/>
      <c r="W74" s="26" t="n"/>
      <c r="X74" s="26" t="n"/>
      <c r="Y74" s="25" t="n"/>
      <c r="Z74" s="26" t="n"/>
      <c r="AA74" s="28" t="n"/>
      <c r="AB74" s="28" t="n"/>
      <c r="AC74" s="30" t="n"/>
      <c r="AD74" s="24" t="n"/>
      <c r="AE74" s="31" t="inlineStr">
        <is>
          <t>Poisson-DC rates 1.84 (home) / 1.10 (away) from EWMA attack/defense strengths. Executable ask 0.4700 (atc-lpa-riv-ros-2026-08-02-riv).</t>
        </is>
      </c>
      <c r="AF74" s="31" t="inlineStr">
        <is>
          <t>Research-only soccer score model; draw-aware, but not yet locked-holdout qualified.</t>
        </is>
      </c>
      <c r="AG74" s="24" t="inlineStr">
        <is>
          <t>not_applicable</t>
        </is>
      </c>
      <c r="AH74" s="24" t="n"/>
      <c r="AI74" s="31" t="n"/>
      <c r="AJ74" s="31" t="n"/>
      <c r="AK74" s="24" t="inlineStr">
        <is>
          <t>model_qualified</t>
        </is>
      </c>
      <c r="AL74" s="26" t="n">
        <v>3</v>
      </c>
      <c r="AM74" s="24" t="inlineStr">
        <is>
          <t>QUALIFIED_SHADOW_CALL</t>
        </is>
      </c>
      <c r="AN74" s="24" t="inlineStr">
        <is>
          <t>CALL</t>
        </is>
      </c>
      <c r="AO74" s="24" t="inlineStr">
        <is>
          <t>QUALIFIED</t>
        </is>
      </c>
      <c r="AP74" s="24" t="inlineStr">
        <is>
          <t>Rosario Central</t>
        </is>
      </c>
      <c r="AQ74" s="24" t="inlineStr">
        <is>
          <t>Rosario Central</t>
        </is>
      </c>
      <c r="AR74" s="24" t="inlineStr">
        <is>
          <t>Rosario Central</t>
        </is>
      </c>
      <c r="AS74" s="24" t="inlineStr">
        <is>
          <t>River Plate</t>
        </is>
      </c>
      <c r="AT74" s="24" t="inlineStr">
        <is>
          <t>River Plate</t>
        </is>
      </c>
      <c r="AU74" s="24" t="inlineStr">
        <is>
          <t>River Plate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34d1568aad0ff11b5db35f118324684f93281e1c21fa7b80be7a4a4e2cb4bb03</t>
        </is>
      </c>
      <c r="BB74" s="24" t="inlineStr">
        <is>
          <t>poisson_dixon_coles</t>
        </is>
      </c>
      <c r="BC74" s="24" t="inlineStr">
        <is>
          <t>soccer-poisson-dc-v1</t>
        </is>
      </c>
      <c r="BD74" s="24" t="inlineStr">
        <is>
          <t>34d1568aad0ff11b5db35f118324684f93281e1c21fa7b80be7a4a4e2cb4bb03</t>
        </is>
      </c>
      <c r="BE74" s="24" t="inlineStr">
        <is>
          <t>soccer-poisson-dc-v1</t>
        </is>
      </c>
      <c r="BF74" s="24" t="inlineStr">
        <is>
          <t>1</t>
        </is>
      </c>
      <c r="BG74" s="24" t="inlineStr">
        <is>
          <t>34d1568aad0ff11b5db35f118324684f93281e1c21fa7b80be7a4a4e2cb4bb03</t>
        </is>
      </c>
      <c r="BH74" s="24" t="inlineStr">
        <is>
          <t>2026-08-02T13:02:42.667349Z</t>
        </is>
      </c>
      <c r="BI74" s="24" t="inlineStr">
        <is>
          <t>["same_event","same_team_same_day","same_league_same_day"]</t>
        </is>
      </c>
      <c r="BJ74" s="25" t="n"/>
      <c r="BK74" s="26" t="n">
        <v>113</v>
      </c>
      <c r="BL74" s="27" t="n">
        <v>2.13</v>
      </c>
      <c r="BM74" s="28" t="n">
        <v>0.469484</v>
      </c>
      <c r="BN74" s="28" t="n"/>
      <c r="BO74" s="28" t="n"/>
      <c r="BP74" s="25" t="n"/>
      <c r="BQ74" s="27" t="n"/>
      <c r="BR74" s="28" t="n"/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</row>
    <row r="75" ht="36" customHeight="1">
      <c r="A75" s="24" t="inlineStr">
        <is>
          <t>ad8ea01a93b54a7d</t>
        </is>
      </c>
      <c r="B75" s="24" t="inlineStr">
        <is>
          <t>2026-08-02T13:05:47.245126Z</t>
        </is>
      </c>
      <c r="C75" s="24" t="inlineStr">
        <is>
          <t>2026-08-02T18:00Z</t>
        </is>
      </c>
      <c r="D75" s="24" t="inlineStr">
        <is>
          <t>401844019</t>
        </is>
      </c>
      <c r="E75" s="24" t="inlineStr">
        <is>
          <t>SOCCER</t>
        </is>
      </c>
      <c r="F75" s="24" t="inlineStr">
        <is>
          <t>San Miguel</t>
        </is>
      </c>
      <c r="G75" s="24" t="inlineStr">
        <is>
          <t>San Telmo</t>
        </is>
      </c>
      <c r="H75" s="24" t="inlineStr">
        <is>
          <t>moneyline</t>
        </is>
      </c>
      <c r="I75" s="24" t="inlineStr">
        <is>
          <t>home</t>
        </is>
      </c>
      <c r="J75" s="25" t="n"/>
      <c r="K75" s="24" t="inlineStr">
        <is>
          <t>polymarket_us</t>
        </is>
      </c>
      <c r="L75" s="26" t="n">
        <v>178</v>
      </c>
      <c r="M75" s="27" t="n">
        <v>2.78</v>
      </c>
      <c r="N75" s="28" t="n">
        <v>0.359712</v>
      </c>
      <c r="O75" s="28" t="n">
        <v>0.456135</v>
      </c>
      <c r="P75" s="28" t="n">
        <v>0.2</v>
      </c>
      <c r="Q75" s="28" t="n">
        <v>0.09642299999999999</v>
      </c>
      <c r="R75" s="26" t="n">
        <v>0</v>
      </c>
      <c r="S75" s="29" t="n">
        <v>1</v>
      </c>
      <c r="T75" s="24" t="inlineStr">
        <is>
          <t>soccer-poisson-dc-v1</t>
        </is>
      </c>
      <c r="U75" s="24" t="inlineStr">
        <is>
          <t>open</t>
        </is>
      </c>
      <c r="V75" s="24" t="n"/>
      <c r="W75" s="26" t="n"/>
      <c r="X75" s="26" t="n"/>
      <c r="Y75" s="25" t="n"/>
      <c r="Z75" s="26" t="n"/>
      <c r="AA75" s="28" t="n"/>
      <c r="AB75" s="28" t="n"/>
      <c r="AC75" s="30" t="n"/>
      <c r="AD75" s="24" t="n"/>
      <c r="AE75" s="31" t="inlineStr">
        <is>
          <t>Poisson-DC rates 1.64 (home) / 1.24 (away) from EWMA attack/defense strengths. Executable ask 0.3600 (atc-arg2-ste-casm-2026-08-02-ste).</t>
        </is>
      </c>
      <c r="AF75" s="31" t="inlineStr">
        <is>
          <t>Research-only soccer score model; draw-aware, but not yet locked-holdout qualified.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model_qualified</t>
        </is>
      </c>
      <c r="AL75" s="26" t="n">
        <v>3</v>
      </c>
      <c r="AM75" s="24" t="inlineStr">
        <is>
          <t>QUALIFIED_SHADOW_CALL</t>
        </is>
      </c>
      <c r="AN75" s="24" t="inlineStr">
        <is>
          <t>CALL</t>
        </is>
      </c>
      <c r="AO75" s="24" t="inlineStr">
        <is>
          <t>QUALIFIED</t>
        </is>
      </c>
      <c r="AP75" s="24" t="inlineStr">
        <is>
          <t>San Miguel</t>
        </is>
      </c>
      <c r="AQ75" s="24" t="inlineStr">
        <is>
          <t>San Miguel</t>
        </is>
      </c>
      <c r="AR75" s="24" t="inlineStr">
        <is>
          <t>San Miguel</t>
        </is>
      </c>
      <c r="AS75" s="24" t="inlineStr">
        <is>
          <t>San Telmo</t>
        </is>
      </c>
      <c r="AT75" s="24" t="inlineStr">
        <is>
          <t>San Telmo</t>
        </is>
      </c>
      <c r="AU75" s="24" t="inlineStr">
        <is>
          <t>San Telmo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34d1568aad0ff11b5db35f118324684f93281e1c21fa7b80be7a4a4e2cb4bb03</t>
        </is>
      </c>
      <c r="BB75" s="24" t="inlineStr">
        <is>
          <t>poisson_dixon_coles</t>
        </is>
      </c>
      <c r="BC75" s="24" t="inlineStr">
        <is>
          <t>soccer-poisson-dc-v1</t>
        </is>
      </c>
      <c r="BD75" s="24" t="inlineStr">
        <is>
          <t>34d1568aad0ff11b5db35f118324684f93281e1c21fa7b80be7a4a4e2cb4bb03</t>
        </is>
      </c>
      <c r="BE75" s="24" t="inlineStr">
        <is>
          <t>soccer-poisson-dc-v1</t>
        </is>
      </c>
      <c r="BF75" s="24" t="inlineStr">
        <is>
          <t>1</t>
        </is>
      </c>
      <c r="BG75" s="24" t="inlineStr">
        <is>
          <t>34d1568aad0ff11b5db35f118324684f93281e1c21fa7b80be7a4a4e2cb4bb03</t>
        </is>
      </c>
      <c r="BH75" s="24" t="inlineStr">
        <is>
          <t>2026-08-02T13:02:43.878798Z</t>
        </is>
      </c>
      <c r="BI75" s="24" t="inlineStr">
        <is>
          <t>["same_event","same_team_same_day","same_league_same_day"]</t>
        </is>
      </c>
      <c r="BJ75" s="25" t="n"/>
      <c r="BK75" s="26" t="n">
        <v>178</v>
      </c>
      <c r="BL75" s="27" t="n">
        <v>2.78</v>
      </c>
      <c r="BM75" s="28" t="n">
        <v>0.359712</v>
      </c>
      <c r="BN75" s="28" t="n"/>
      <c r="BO75" s="28" t="n"/>
      <c r="BP75" s="25" t="n"/>
      <c r="BQ75" s="27" t="n"/>
      <c r="BR75" s="28" t="n"/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</row>
    <row r="76" ht="36" customHeight="1">
      <c r="A76" s="24" t="inlineStr">
        <is>
          <t>064e6e986d1a4473</t>
        </is>
      </c>
      <c r="B76" s="24" t="inlineStr">
        <is>
          <t>2026-08-02T13:05:47.245126Z</t>
        </is>
      </c>
      <c r="C76" s="24" t="inlineStr">
        <is>
          <t>2026-08-02T19:30Z</t>
        </is>
      </c>
      <c r="D76" s="24" t="inlineStr">
        <is>
          <t>401844014</t>
        </is>
      </c>
      <c r="E76" s="24" t="inlineStr">
        <is>
          <t>SOCCER</t>
        </is>
      </c>
      <c r="F76" s="24" t="inlineStr">
        <is>
          <t>Los Andes</t>
        </is>
      </c>
      <c r="G76" s="24" t="inlineStr">
        <is>
          <t>Central Norte</t>
        </is>
      </c>
      <c r="H76" s="24" t="inlineStr">
        <is>
          <t>moneyline</t>
        </is>
      </c>
      <c r="I76" s="24" t="inlineStr">
        <is>
          <t>home</t>
        </is>
      </c>
      <c r="J76" s="25" t="n"/>
      <c r="K76" s="24" t="inlineStr">
        <is>
          <t>polymarket_us</t>
        </is>
      </c>
      <c r="L76" s="26" t="n">
        <v>156</v>
      </c>
      <c r="M76" s="27" t="n">
        <v>2.56</v>
      </c>
      <c r="N76" s="28" t="n">
        <v>0.390625</v>
      </c>
      <c r="O76" s="28" t="n">
        <v>0.456135</v>
      </c>
      <c r="P76" s="28" t="n">
        <v>0.2</v>
      </c>
      <c r="Q76" s="28" t="n">
        <v>0.06551</v>
      </c>
      <c r="R76" s="26" t="n">
        <v>0</v>
      </c>
      <c r="S76" s="29" t="n">
        <v>1</v>
      </c>
      <c r="T76" s="24" t="inlineStr">
        <is>
          <t>soccer-poisson-dc-v1</t>
        </is>
      </c>
      <c r="U76" s="24" t="inlineStr">
        <is>
          <t>open</t>
        </is>
      </c>
      <c r="V76" s="24" t="n"/>
      <c r="W76" s="26" t="n"/>
      <c r="X76" s="26" t="n"/>
      <c r="Y76" s="25" t="n"/>
      <c r="Z76" s="26" t="n"/>
      <c r="AA76" s="28" t="n"/>
      <c r="AB76" s="28" t="n"/>
      <c r="AC76" s="30" t="n"/>
      <c r="AD76" s="24" t="n"/>
      <c r="AE76" s="31" t="inlineStr">
        <is>
          <t>Poisson-DC rates 1.64 (home) / 1.24 (away) from EWMA attack/defense strengths. Executable ask 0.3900 (atc-arg2-ccns-ala-2026-08-02-ccns).</t>
        </is>
      </c>
      <c r="AF76" s="31" t="inlineStr">
        <is>
          <t>Research-only soccer score model; draw-aware, but not yet locked-holdout qualified.</t>
        </is>
      </c>
      <c r="AG76" s="24" t="inlineStr">
        <is>
          <t>not_applicable</t>
        </is>
      </c>
      <c r="AH76" s="24" t="n"/>
      <c r="AI76" s="31" t="n"/>
      <c r="AJ76" s="31" t="n"/>
      <c r="AK76" s="24" t="inlineStr">
        <is>
          <t>model_qualified</t>
        </is>
      </c>
      <c r="AL76" s="26" t="n">
        <v>3</v>
      </c>
      <c r="AM76" s="24" t="inlineStr">
        <is>
          <t>QUALIFIED_SHADOW_CALL</t>
        </is>
      </c>
      <c r="AN76" s="24" t="inlineStr">
        <is>
          <t>CALL</t>
        </is>
      </c>
      <c r="AO76" s="24" t="inlineStr">
        <is>
          <t>QUALIFIED</t>
        </is>
      </c>
      <c r="AP76" s="24" t="inlineStr">
        <is>
          <t>Los Andes</t>
        </is>
      </c>
      <c r="AQ76" s="24" t="inlineStr">
        <is>
          <t>Los Andes</t>
        </is>
      </c>
      <c r="AR76" s="24" t="inlineStr">
        <is>
          <t>Los Andes</t>
        </is>
      </c>
      <c r="AS76" s="24" t="inlineStr">
        <is>
          <t>Central Norte</t>
        </is>
      </c>
      <c r="AT76" s="24" t="inlineStr">
        <is>
          <t>Central Norte</t>
        </is>
      </c>
      <c r="AU76" s="24" t="inlineStr">
        <is>
          <t>Central Norte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34d1568aad0ff11b5db35f118324684f93281e1c21fa7b80be7a4a4e2cb4bb03</t>
        </is>
      </c>
      <c r="BB76" s="24" t="inlineStr">
        <is>
          <t>poisson_dixon_coles</t>
        </is>
      </c>
      <c r="BC76" s="24" t="inlineStr">
        <is>
          <t>soccer-poisson-dc-v1</t>
        </is>
      </c>
      <c r="BD76" s="24" t="inlineStr">
        <is>
          <t>34d1568aad0ff11b5db35f118324684f93281e1c21fa7b80be7a4a4e2cb4bb03</t>
        </is>
      </c>
      <c r="BE76" s="24" t="inlineStr">
        <is>
          <t>soccer-poisson-dc-v1</t>
        </is>
      </c>
      <c r="BF76" s="24" t="inlineStr">
        <is>
          <t>1</t>
        </is>
      </c>
      <c r="BG76" s="24" t="inlineStr">
        <is>
          <t>34d1568aad0ff11b5db35f118324684f93281e1c21fa7b80be7a4a4e2cb4bb03</t>
        </is>
      </c>
      <c r="BH76" s="24" t="inlineStr">
        <is>
          <t>2026-08-02T13:02:44.924772Z</t>
        </is>
      </c>
      <c r="BI76" s="24" t="inlineStr">
        <is>
          <t>["same_event","same_team_same_day","same_league_same_day"]</t>
        </is>
      </c>
      <c r="BJ76" s="25" t="n"/>
      <c r="BK76" s="26" t="n">
        <v>156</v>
      </c>
      <c r="BL76" s="27" t="n">
        <v>2.56</v>
      </c>
      <c r="BM76" s="28" t="n">
        <v>0.390625</v>
      </c>
      <c r="BN76" s="28" t="n"/>
      <c r="BO76" s="28" t="n"/>
      <c r="BP76" s="25" t="n"/>
      <c r="BQ76" s="27" t="n"/>
      <c r="BR76" s="28" t="n"/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</row>
    <row r="77" ht="36" customHeight="1">
      <c r="A77" s="24" t="inlineStr">
        <is>
          <t>1ca155c23c76459b</t>
        </is>
      </c>
      <c r="B77" s="24" t="inlineStr">
        <is>
          <t>2026-08-02T13:05:47.245126Z</t>
        </is>
      </c>
      <c r="C77" s="24" t="inlineStr">
        <is>
          <t>2026-08-02T19:00Z</t>
        </is>
      </c>
      <c r="D77" s="24" t="inlineStr">
        <is>
          <t>401850609</t>
        </is>
      </c>
      <c r="E77" s="24" t="inlineStr">
        <is>
          <t>SOCCER</t>
        </is>
      </c>
      <c r="F77" s="24" t="inlineStr">
        <is>
          <t>O'Higgins</t>
        </is>
      </c>
      <c r="G77" s="24" t="inlineStr">
        <is>
          <t>La Serena</t>
        </is>
      </c>
      <c r="H77" s="24" t="inlineStr">
        <is>
          <t>moneyline</t>
        </is>
      </c>
      <c r="I77" s="24" t="inlineStr">
        <is>
          <t>home</t>
        </is>
      </c>
      <c r="J77" s="25" t="n"/>
      <c r="K77" s="24" t="inlineStr">
        <is>
          <t>polymarket_us</t>
        </is>
      </c>
      <c r="L77" s="26" t="n">
        <v>150</v>
      </c>
      <c r="M77" s="27" t="n">
        <v>2.5</v>
      </c>
      <c r="N77" s="28" t="n">
        <v>0.4</v>
      </c>
      <c r="O77" s="28" t="n">
        <v>0.5359159999999999</v>
      </c>
      <c r="P77" s="28" t="n">
        <v>0.2</v>
      </c>
      <c r="Q77" s="28" t="n">
        <v>0.135916</v>
      </c>
      <c r="R77" s="26" t="n">
        <v>0</v>
      </c>
      <c r="S77" s="29" t="n">
        <v>1</v>
      </c>
      <c r="T77" s="24" t="inlineStr">
        <is>
          <t>soccer-poisson-dc-v1</t>
        </is>
      </c>
      <c r="U77" s="24" t="inlineStr">
        <is>
          <t>open</t>
        </is>
      </c>
      <c r="V77" s="24" t="n"/>
      <c r="W77" s="26" t="n"/>
      <c r="X77" s="26" t="n"/>
      <c r="Y77" s="25" t="n"/>
      <c r="Z77" s="26" t="n"/>
      <c r="AA77" s="28" t="n"/>
      <c r="AB77" s="28" t="n"/>
      <c r="AC77" s="30" t="n"/>
      <c r="AD77" s="24" t="n"/>
      <c r="AE77" s="31" t="inlineStr">
        <is>
          <t>Poisson-DC rates 1.84 (home) / 1.10 (away) from EWMA attack/defense strengths. Executable ask 0.4000 (atc-pdc-ser-ohi-2026-08-02-ser).</t>
        </is>
      </c>
      <c r="AF77" s="31" t="inlineStr">
        <is>
          <t>Research-only soccer score model; draw-aware, but not yet locked-holdout qualified.</t>
        </is>
      </c>
      <c r="AG77" s="24" t="inlineStr">
        <is>
          <t>not_applicable</t>
        </is>
      </c>
      <c r="AH77" s="24" t="n"/>
      <c r="AI77" s="31" t="n"/>
      <c r="AJ77" s="31" t="n"/>
      <c r="AK77" s="24" t="inlineStr">
        <is>
          <t>model_qualified</t>
        </is>
      </c>
      <c r="AL77" s="26" t="n">
        <v>3</v>
      </c>
      <c r="AM77" s="24" t="inlineStr">
        <is>
          <t>QUALIFIED_SHADOW_CALL</t>
        </is>
      </c>
      <c r="AN77" s="24" t="inlineStr">
        <is>
          <t>CALL</t>
        </is>
      </c>
      <c r="AO77" s="24" t="inlineStr">
        <is>
          <t>QUALIFIED</t>
        </is>
      </c>
      <c r="AP77" s="24" t="inlineStr">
        <is>
          <t>O'Higgins</t>
        </is>
      </c>
      <c r="AQ77" s="24" t="inlineStr">
        <is>
          <t>O'Higgins</t>
        </is>
      </c>
      <c r="AR77" s="24" t="inlineStr">
        <is>
          <t>O'Higgins</t>
        </is>
      </c>
      <c r="AS77" s="24" t="inlineStr">
        <is>
          <t>La Serena</t>
        </is>
      </c>
      <c r="AT77" s="24" t="inlineStr">
        <is>
          <t>La Serena</t>
        </is>
      </c>
      <c r="AU77" s="24" t="inlineStr">
        <is>
          <t>La Serena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34d1568aad0ff11b5db35f118324684f93281e1c21fa7b80be7a4a4e2cb4bb03</t>
        </is>
      </c>
      <c r="BB77" s="24" t="inlineStr">
        <is>
          <t>poisson_dixon_coles</t>
        </is>
      </c>
      <c r="BC77" s="24" t="inlineStr">
        <is>
          <t>soccer-poisson-dc-v1</t>
        </is>
      </c>
      <c r="BD77" s="24" t="inlineStr">
        <is>
          <t>34d1568aad0ff11b5db35f118324684f93281e1c21fa7b80be7a4a4e2cb4bb03</t>
        </is>
      </c>
      <c r="BE77" s="24" t="inlineStr">
        <is>
          <t>soccer-poisson-dc-v1</t>
        </is>
      </c>
      <c r="BF77" s="24" t="inlineStr">
        <is>
          <t>1</t>
        </is>
      </c>
      <c r="BG77" s="24" t="inlineStr">
        <is>
          <t>34d1568aad0ff11b5db35f118324684f93281e1c21fa7b80be7a4a4e2cb4bb03</t>
        </is>
      </c>
      <c r="BH77" s="24" t="inlineStr">
        <is>
          <t>2026-08-02T13:02:46.605203Z</t>
        </is>
      </c>
      <c r="BI77" s="24" t="inlineStr">
        <is>
          <t>["same_event","same_team_same_day","same_league_same_day"]</t>
        </is>
      </c>
      <c r="BJ77" s="25" t="n"/>
      <c r="BK77" s="26" t="n">
        <v>150</v>
      </c>
      <c r="BL77" s="27" t="n">
        <v>2.5</v>
      </c>
      <c r="BM77" s="28" t="n">
        <v>0.4</v>
      </c>
      <c r="BN77" s="28" t="n"/>
      <c r="BO77" s="28" t="n"/>
      <c r="BP77" s="25" t="n"/>
      <c r="BQ77" s="27" t="n"/>
      <c r="BR77" s="28" t="n"/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</row>
    <row r="78" ht="36" customHeight="1">
      <c r="A78" s="24" t="inlineStr">
        <is>
          <t>42eb9ad94e4d4ac1</t>
        </is>
      </c>
      <c r="B78" s="24" t="inlineStr">
        <is>
          <t>2026-08-02T13:05:47.245126Z</t>
        </is>
      </c>
      <c r="C78" s="24" t="inlineStr">
        <is>
          <t>2026-08-02T23:10Z</t>
        </is>
      </c>
      <c r="D78" s="24" t="inlineStr">
        <is>
          <t>401859718</t>
        </is>
      </c>
      <c r="E78" s="24" t="inlineStr">
        <is>
          <t>SOCCER</t>
        </is>
      </c>
      <c r="F78" s="24" t="inlineStr">
        <is>
          <t>Barcelona SC</t>
        </is>
      </c>
      <c r="G78" s="24" t="inlineStr">
        <is>
          <t>Leones</t>
        </is>
      </c>
      <c r="H78" s="24" t="inlineStr">
        <is>
          <t>moneyline</t>
        </is>
      </c>
      <c r="I78" s="24" t="inlineStr">
        <is>
          <t>away</t>
        </is>
      </c>
      <c r="J78" s="25" t="n"/>
      <c r="K78" s="24" t="inlineStr">
        <is>
          <t>polymarket_us</t>
        </is>
      </c>
      <c r="L78" s="26" t="n">
        <v>203</v>
      </c>
      <c r="M78" s="27" t="n">
        <v>3.03</v>
      </c>
      <c r="N78" s="28" t="n">
        <v>0.330033</v>
      </c>
      <c r="O78" s="28" t="n">
        <v>0.406677</v>
      </c>
      <c r="P78" s="28" t="n">
        <v>0.19</v>
      </c>
      <c r="Q78" s="28" t="n">
        <v>0.076644</v>
      </c>
      <c r="R78" s="26" t="n">
        <v>0</v>
      </c>
      <c r="S78" s="29" t="n">
        <v>1</v>
      </c>
      <c r="T78" s="24" t="inlineStr">
        <is>
          <t>soccer-poisson-dc-v1</t>
        </is>
      </c>
      <c r="U78" s="24" t="inlineStr">
        <is>
          <t>open</t>
        </is>
      </c>
      <c r="V78" s="24" t="n"/>
      <c r="W78" s="26" t="n"/>
      <c r="X78" s="26" t="n"/>
      <c r="Y78" s="25" t="n"/>
      <c r="Z78" s="26" t="n"/>
      <c r="AA78" s="28" t="n"/>
      <c r="AB78" s="28" t="n"/>
      <c r="AC78" s="30" t="n"/>
      <c r="AD78" s="24" t="n"/>
      <c r="AE78" s="31" t="inlineStr">
        <is>
          <t>Poisson-DC rates 1.38 (home) / 1.56 (away) from EWMA attack/defense strengths. Executable ask 0.3300 (atc-ecu1-leo-bsc-2026-08-02-bsc).</t>
        </is>
      </c>
      <c r="AF78" s="31" t="inlineStr">
        <is>
          <t>Research-only soccer score model; draw-aware, but not yet locked-holdout qualified.</t>
        </is>
      </c>
      <c r="AG78" s="24" t="inlineStr">
        <is>
          <t>not_applicable</t>
        </is>
      </c>
      <c r="AH78" s="24" t="n"/>
      <c r="AI78" s="31" t="n"/>
      <c r="AJ78" s="31" t="n"/>
      <c r="AK78" s="24" t="inlineStr">
        <is>
          <t>model_qualified</t>
        </is>
      </c>
      <c r="AL78" s="26" t="n">
        <v>3</v>
      </c>
      <c r="AM78" s="24" t="inlineStr">
        <is>
          <t>QUALIFIED_SHADOW_CALL</t>
        </is>
      </c>
      <c r="AN78" s="24" t="inlineStr">
        <is>
          <t>CALL</t>
        </is>
      </c>
      <c r="AO78" s="24" t="inlineStr">
        <is>
          <t>QUALIFIED</t>
        </is>
      </c>
      <c r="AP78" s="24" t="inlineStr">
        <is>
          <t>Barcelona SC</t>
        </is>
      </c>
      <c r="AQ78" s="24" t="inlineStr">
        <is>
          <t>Barcelona SC</t>
        </is>
      </c>
      <c r="AR78" s="24" t="inlineStr">
        <is>
          <t>Barcelona SC</t>
        </is>
      </c>
      <c r="AS78" s="24" t="inlineStr">
        <is>
          <t>Leones</t>
        </is>
      </c>
      <c r="AT78" s="24" t="inlineStr">
        <is>
          <t>Leones</t>
        </is>
      </c>
      <c r="AU78" s="24" t="inlineStr">
        <is>
          <t>Leones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34d1568aad0ff11b5db35f118324684f93281e1c21fa7b80be7a4a4e2cb4bb03</t>
        </is>
      </c>
      <c r="BB78" s="24" t="inlineStr">
        <is>
          <t>poisson_dixon_coles</t>
        </is>
      </c>
      <c r="BC78" s="24" t="inlineStr">
        <is>
          <t>soccer-poisson-dc-v1</t>
        </is>
      </c>
      <c r="BD78" s="24" t="inlineStr">
        <is>
          <t>34d1568aad0ff11b5db35f118324684f93281e1c21fa7b80be7a4a4e2cb4bb03</t>
        </is>
      </c>
      <c r="BE78" s="24" t="inlineStr">
        <is>
          <t>soccer-poisson-dc-v1</t>
        </is>
      </c>
      <c r="BF78" s="24" t="inlineStr">
        <is>
          <t>1</t>
        </is>
      </c>
      <c r="BG78" s="24" t="inlineStr">
        <is>
          <t>34d1568aad0ff11b5db35f118324684f93281e1c21fa7b80be7a4a4e2cb4bb03</t>
        </is>
      </c>
      <c r="BH78" s="24" t="inlineStr">
        <is>
          <t>2026-08-02T13:02:48.734342Z</t>
        </is>
      </c>
      <c r="BI78" s="24" t="inlineStr">
        <is>
          <t>["same_event","same_team_same_day","same_league_same_day"]</t>
        </is>
      </c>
      <c r="BJ78" s="25" t="n"/>
      <c r="BK78" s="26" t="n">
        <v>203</v>
      </c>
      <c r="BL78" s="27" t="n">
        <v>3.03</v>
      </c>
      <c r="BM78" s="28" t="n">
        <v>0.330033</v>
      </c>
      <c r="BN78" s="28" t="n"/>
      <c r="BO78" s="28" t="n"/>
      <c r="BP78" s="25" t="n"/>
      <c r="BQ78" s="27" t="n"/>
      <c r="BR78" s="28" t="n"/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2026-08-02T13:06:02Z</dcterms:created>
  <dcterms:modified xsi:type="dcterms:W3CDTF">2026-08-02T13:06:02Z</dcterms:modified>
</cp:coreProperties>
</file>