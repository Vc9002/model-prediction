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000"/>
    <numFmt numFmtId="166" formatCode="0.0###"/>
    <numFmt numFmtId="167" formatCode="0.000000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4" fontId="6" fillId="5" borderId="0" applyAlignment="1" pivotButton="0" quotePrefix="0" xfId="0">
      <alignment vertical="center"/>
    </xf>
    <xf numFmtId="165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4" fontId="2" fillId="6" borderId="0" applyAlignment="1" pivotButton="0" quotePrefix="0" xfId="0">
      <alignment horizontal="right"/>
    </xf>
    <xf numFmtId="165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4" fontId="2" fillId="7" borderId="0" applyAlignment="1" pivotButton="0" quotePrefix="0" xfId="0">
      <alignment horizontal="right"/>
    </xf>
    <xf numFmtId="165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6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7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  <xf numFmtId="164" fontId="6" fillId="5" borderId="0" applyAlignment="1" pivotButton="0" quotePrefix="0" xfId="0">
      <alignment vertical="center"/>
    </xf>
    <xf numFmtId="165" fontId="6" fillId="5" borderId="0" applyAlignment="1" pivotButton="0" quotePrefix="0" xfId="0">
      <alignment vertical="center"/>
    </xf>
    <xf numFmtId="164" fontId="2" fillId="6" borderId="0" applyAlignment="1" pivotButton="0" quotePrefix="0" xfId="0">
      <alignment horizontal="right"/>
    </xf>
    <xf numFmtId="165" fontId="2" fillId="6" borderId="0" applyAlignment="1" pivotButton="0" quotePrefix="0" xfId="0">
      <alignment horizontal="right"/>
    </xf>
    <xf numFmtId="164" fontId="2" fillId="7" borderId="0" applyAlignment="1" pivotButton="0" quotePrefix="0" xfId="0">
      <alignment horizontal="right"/>
    </xf>
    <xf numFmtId="165" fontId="2" fillId="7" borderId="0" applyAlignment="1" pivotButton="0" quotePrefix="0" xfId="0">
      <alignment horizontal="right"/>
    </xf>
    <xf numFmtId="166" fontId="2" fillId="0" borderId="0" applyAlignment="1" pivotButton="0" quotePrefix="0" xfId="0">
      <alignment horizontal="right" vertical="top"/>
    </xf>
    <xf numFmtId="167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A75" headerRowCount="1">
  <autoFilter ref="A1:CA75"/>
  <tableColumns count="79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COUNTA('Picks'!$A$2:$A$75)</f>
        <v/>
      </c>
      <c r="C4" s="6">
        <f>COUNTIF('Picks'!$U$2:$U$75,"open")</f>
        <v/>
      </c>
      <c r="E4" s="6">
        <f>COUNTIF('Picks'!$U$2:$U$75,"settled")</f>
        <v/>
      </c>
      <c r="G4" s="6">
        <f>IF(COUNTIFS('Picks'!$U$2:$U$75,"settled",'Picks'!$V$2:$V$75,"win")+COUNTIFS('Picks'!$U$2:$U$75,"settled",'Picks'!$V$2:$V$75,"loss")&gt;=$L$2,"Ready","Insufficient sample")</f>
        <v/>
      </c>
    </row>
    <row r="5"/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COUNTIF('Picks'!$BX$2:$BX$75,"&gt;0")</f>
        <v/>
      </c>
      <c r="C7" s="6">
        <f>COUNTIFS('Picks'!$BX$2:$BX$75,"&gt;0",'Picks'!$V$2:$V$75,"win")&amp;"-"&amp;COUNTIFS('Picks'!$BX$2:$BX$75,"&gt;0",'Picks'!$V$2:$V$75,"loss")</f>
        <v/>
      </c>
      <c r="E7" s="32">
        <f>IFERROR(COUNTIFS('Picks'!$BX$2:$BX$75,"&gt;0",'Picks'!$V$2:$V$75,"win")/(COUNTIFS('Picks'!$BX$2:$BX$75,"&gt;0",'Picks'!$V$2:$V$75,"win")+COUNTIFS('Picks'!$BX$2:$BX$75,"&gt;0",'Picks'!$V$2:$V$75,"loss")),0)</f>
        <v/>
      </c>
      <c r="G7" s="32">
        <f>IFERROR(SUM('Picks'!$BY$2:$BY$75)/SUM('Picks'!$BX$2:$BX$75),0)</f>
        <v/>
      </c>
    </row>
    <row r="8"/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33">
        <f>SUM('Picks'!$BY$2:$BY$75)</f>
        <v/>
      </c>
      <c r="C10" s="9">
        <f>IFERROR(AVERAGEIF('Picks'!$AB$2:$AB$75,"&lt;&gt;",'Picks'!$AB$2:$AB$75),0)</f>
        <v/>
      </c>
      <c r="E10" s="6">
        <f>COUNTIFS('Picks'!$AM$2:$AM$75,"QUALIFIED_SHADOW_CALL",'Picks'!$U$2:$U$75,"settled")</f>
        <v/>
      </c>
      <c r="G10" s="33">
        <f>SUMIFS('Picks'!$AC$2:$AC$75,'Picks'!$AM$2:$AM$75,"QUALIFIED_SHADOW_CALL")</f>
        <v/>
      </c>
    </row>
    <row r="11"/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COUNTIFS('Picks'!$H$2:$H$75,$A14,'Picks'!$U$2:$U$75,"settled")</f>
        <v/>
      </c>
      <c r="C14" s="13">
        <f>COUNTIFS('Picks'!$H$2:$H$75,$A14,'Picks'!$U$2:$U$75,"settled",'Picks'!$V$2:$V$75,"win")</f>
        <v/>
      </c>
      <c r="D14" s="13">
        <f>COUNTIFS('Picks'!$H$2:$H$75,$A14,'Picks'!$U$2:$U$75,"settled",'Picks'!$V$2:$V$75,"loss")</f>
        <v/>
      </c>
      <c r="E14" s="34">
        <f>IFERROR(C14/(C14+D14),0)</f>
        <v/>
      </c>
      <c r="F14" s="35">
        <f>SUMIFS('Picks'!$BY$2:$BY$75,'Picks'!$H$2:$H$75,$A14)</f>
        <v/>
      </c>
      <c r="G14" s="16">
        <f>IFERROR(AVERAGEIFS('Picks'!$AB$2:$AB$75,'Picks'!$H$2:$H$75,$A14,'Picks'!$U$2:$U$75,"settled"),0)</f>
        <v/>
      </c>
    </row>
    <row r="15">
      <c r="A15" s="17" t="inlineStr">
        <is>
          <t>spread</t>
        </is>
      </c>
      <c r="B15" s="18">
        <f>COUNTIFS('Picks'!$H$2:$H$75,$A15,'Picks'!$U$2:$U$75,"settled")</f>
        <v/>
      </c>
      <c r="C15" s="18">
        <f>COUNTIFS('Picks'!$H$2:$H$75,$A15,'Picks'!$U$2:$U$75,"settled",'Picks'!$V$2:$V$75,"win")</f>
        <v/>
      </c>
      <c r="D15" s="18">
        <f>COUNTIFS('Picks'!$H$2:$H$75,$A15,'Picks'!$U$2:$U$75,"settled",'Picks'!$V$2:$V$75,"loss")</f>
        <v/>
      </c>
      <c r="E15" s="36">
        <f>IFERROR(C15/(C15+D15),0)</f>
        <v/>
      </c>
      <c r="F15" s="37">
        <f>SUMIFS('Picks'!$BY$2:$BY$75,'Picks'!$H$2:$H$75,$A15)</f>
        <v/>
      </c>
      <c r="G15" s="21">
        <f>IFERROR(AVERAGEIFS('Picks'!$AB$2:$AB$75,'Picks'!$H$2:$H$75,$A15,'Picks'!$U$2:$U$75,"settled"),0)</f>
        <v/>
      </c>
    </row>
    <row r="16">
      <c r="A16" s="12" t="inlineStr">
        <is>
          <t>total</t>
        </is>
      </c>
      <c r="B16" s="13">
        <f>COUNTIFS('Picks'!$H$2:$H$75,$A16,'Picks'!$U$2:$U$75,"settled")</f>
        <v/>
      </c>
      <c r="C16" s="13">
        <f>COUNTIFS('Picks'!$H$2:$H$75,$A16,'Picks'!$U$2:$U$75,"settled",'Picks'!$V$2:$V$75,"win")</f>
        <v/>
      </c>
      <c r="D16" s="13">
        <f>COUNTIFS('Picks'!$H$2:$H$75,$A16,'Picks'!$U$2:$U$75,"settled",'Picks'!$V$2:$V$75,"loss")</f>
        <v/>
      </c>
      <c r="E16" s="34">
        <f>IFERROR(C16/(C16+D16),0)</f>
        <v/>
      </c>
      <c r="F16" s="35">
        <f>SUMIFS('Picks'!$BY$2:$BY$75,'Picks'!$H$2:$H$75,$A16)</f>
        <v/>
      </c>
      <c r="G16" s="16">
        <f>IFERROR(AVERAGEIFS('Picks'!$AB$2:$AB$75,'Picks'!$H$2:$H$75,$A16,'Picks'!$U$2:$U$75,"settled"),0)</f>
        <v/>
      </c>
    </row>
    <row r="17"/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A7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</row>
    <row r="2" ht="36" customHeight="1">
      <c r="A2" s="24" t="inlineStr">
        <is>
          <t>ef7830f025d54963</t>
        </is>
      </c>
      <c r="B2" s="24" t="inlineStr">
        <is>
          <t>2026-07-18T07:12:56.298602Z</t>
        </is>
      </c>
      <c r="C2" s="24" t="inlineStr">
        <is>
          <t>2026-07-18T20:00:00-0400</t>
        </is>
      </c>
      <c r="D2" s="24" t="inlineStr">
        <is>
          <t>401857077</t>
        </is>
      </c>
      <c r="E2" s="24" t="inlineStr">
        <is>
          <t>WNBA</t>
        </is>
      </c>
      <c r="F2" s="24" t="inlineStr">
        <is>
          <t>New York Liberty</t>
        </is>
      </c>
      <c r="G2" s="24" t="inlineStr">
        <is>
          <t>Indiana Fever</t>
        </is>
      </c>
      <c r="H2" s="24" t="inlineStr">
        <is>
          <t>moneyline</t>
        </is>
      </c>
      <c r="I2" s="24" t="inlineStr">
        <is>
          <t>home</t>
        </is>
      </c>
      <c r="J2" s="38" t="n"/>
      <c r="K2" s="24" t="inlineStr">
        <is>
          <t>polymarket_us</t>
        </is>
      </c>
      <c r="L2" s="26" t="n">
        <v>117</v>
      </c>
      <c r="M2" s="39" t="n">
        <v>2.17</v>
      </c>
      <c r="N2" s="28" t="n">
        <v>0.460829</v>
      </c>
      <c r="O2" s="28" t="n">
        <v>0.593309</v>
      </c>
      <c r="P2" s="28" t="n"/>
      <c r="Q2" s="28" t="n">
        <v>0.13248</v>
      </c>
      <c r="R2" s="26" t="n">
        <v>100</v>
      </c>
      <c r="S2" s="29" t="n">
        <v>1.5</v>
      </c>
      <c r="T2" s="24" t="inlineStr">
        <is>
          <t>wnba-elo-trend-lr-v3</t>
        </is>
      </c>
      <c r="U2" s="24" t="inlineStr">
        <is>
          <t>settled</t>
        </is>
      </c>
      <c r="V2" s="24" t="inlineStr">
        <is>
          <t>win</t>
        </is>
      </c>
      <c r="W2" s="26" t="n">
        <v>88</v>
      </c>
      <c r="X2" s="26" t="n">
        <v>108</v>
      </c>
      <c r="Y2" s="38" t="n"/>
      <c r="Z2" s="26" t="n"/>
      <c r="AA2" s="28" t="n"/>
      <c r="AB2" s="28" t="n"/>
      <c r="AC2" s="40" t="n">
        <v>1.755</v>
      </c>
      <c r="AD2" s="24" t="inlineStr">
        <is>
          <t>2026-07-19T03:07:19.656208Z</t>
        </is>
      </c>
      <c r="AE2" s="31" t="inlineStr">
        <is>
          <t>Learned LR call at threshold 0.5413; executable ask 0.4600 (aec-wnba-ny-ind-2026-07-18).</t>
        </is>
      </c>
      <c r="AF2" s="31" t="inlineStr">
        <is>
          <t>Learned model; promotion gate not yet open; zero-unit research until review.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wnba-nyl</t>
        </is>
      </c>
      <c r="AQ2" s="24" t="inlineStr">
        <is>
          <t>New York Liberty</t>
        </is>
      </c>
      <c r="AR2" s="24" t="inlineStr">
        <is>
          <t>New York Liberty</t>
        </is>
      </c>
      <c r="AS2" s="24" t="inlineStr">
        <is>
          <t>wnba-ind</t>
        </is>
      </c>
      <c r="AT2" s="24" t="inlineStr">
        <is>
          <t>Indiana Fever</t>
        </is>
      </c>
      <c r="AU2" s="24" t="inlineStr">
        <is>
          <t>Indiana Fever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6b38a269117f4c6c1ae1e324273c2f9b9d11b2c15d99242f39aa89882d15db32</t>
        </is>
      </c>
      <c r="BB2" s="24" t="inlineStr">
        <is>
          <t>learned_lr</t>
        </is>
      </c>
      <c r="BC2" s="24" t="inlineStr">
        <is>
          <t>wnba-elo-trend-lr-v3</t>
        </is>
      </c>
      <c r="BD2" s="24" t="inlineStr">
        <is>
          <t>6b38a269117f4c6c1ae1e324273c2f9b9d11b2c15d99242f39aa89882d15db32</t>
        </is>
      </c>
      <c r="BE2" s="24" t="inlineStr">
        <is>
          <t>3a7dae2b4e6e8f88</t>
        </is>
      </c>
      <c r="BF2" s="24" t="inlineStr">
        <is>
          <t>1</t>
        </is>
      </c>
      <c r="BG2" s="24" t="inlineStr">
        <is>
          <t>wnba-elo-trend-lr-v3</t>
        </is>
      </c>
      <c r="BH2" s="24" t="inlineStr">
        <is>
          <t>2026-07-18T07:12:40.468242Z</t>
        </is>
      </c>
      <c r="BI2" s="24" t="inlineStr">
        <is>
          <t>["same_event","same_team_same_day","same_league_same_day"]</t>
        </is>
      </c>
      <c r="BJ2" s="38" t="n"/>
      <c r="BK2" s="26" t="n">
        <v>117</v>
      </c>
      <c r="BL2" s="39" t="n">
        <v>2.17</v>
      </c>
      <c r="BM2" s="28" t="n">
        <v>0.460829</v>
      </c>
      <c r="BN2" s="28" t="n">
        <v>0.455446</v>
      </c>
      <c r="BO2" s="28" t="n"/>
      <c r="BP2" s="38" t="n"/>
      <c r="BQ2" s="39" t="n"/>
      <c r="BR2" s="28" t="n"/>
      <c r="BS2" s="28" t="n"/>
      <c r="BT2" s="28" t="n"/>
      <c r="BU2" s="38" t="n"/>
      <c r="BV2" s="29" t="n"/>
      <c r="BW2" s="24" t="n"/>
      <c r="BX2" s="40" t="n">
        <v>1</v>
      </c>
      <c r="BY2" s="39" t="n">
        <v>1.17</v>
      </c>
      <c r="BZ2" s="24" t="inlineStr">
        <is>
          <t>2026-07-19T03:07:19.656208Z</t>
        </is>
      </c>
      <c r="CA2" s="31" t="inlineStr">
        <is>
          <t>fixed one-unit hypothetical scoring; no real exposure or execution</t>
        </is>
      </c>
    </row>
    <row r="3" ht="36" customHeight="1">
      <c r="A3" s="24" t="inlineStr">
        <is>
          <t>931feaf381a247bc</t>
        </is>
      </c>
      <c r="B3" s="24" t="inlineStr">
        <is>
          <t>2026-07-18T16:16:11.093520Z</t>
        </is>
      </c>
      <c r="C3" s="24" t="inlineStr">
        <is>
          <t>2026-07-18T16:10:00-0400</t>
        </is>
      </c>
      <c r="D3" s="24" t="inlineStr">
        <is>
          <t>401816163</t>
        </is>
      </c>
      <c r="E3" s="24" t="inlineStr">
        <is>
          <t>MLB</t>
        </is>
      </c>
      <c r="F3" s="24" t="inlineStr">
        <is>
          <t>Miami Marlins</t>
        </is>
      </c>
      <c r="G3" s="24" t="inlineStr">
        <is>
          <t>Milwaukee Brewers</t>
        </is>
      </c>
      <c r="H3" s="24" t="inlineStr">
        <is>
          <t>moneyline</t>
        </is>
      </c>
      <c r="I3" s="24" t="inlineStr">
        <is>
          <t>home</t>
        </is>
      </c>
      <c r="J3" s="38" t="n"/>
      <c r="K3" s="24" t="inlineStr">
        <is>
          <t>polymarket_us</t>
        </is>
      </c>
      <c r="L3" s="26" t="n">
        <v>-133</v>
      </c>
      <c r="M3" s="39" t="n">
        <v>1.75188</v>
      </c>
      <c r="N3" s="28" t="n">
        <v>0.570815</v>
      </c>
      <c r="O3" s="28" t="n">
        <v>0.608753</v>
      </c>
      <c r="P3" s="28" t="n"/>
      <c r="Q3" s="28" t="n">
        <v>0.037938</v>
      </c>
      <c r="R3" s="26" t="n">
        <v>37</v>
      </c>
      <c r="S3" s="29" t="n">
        <v>1.5</v>
      </c>
      <c r="T3" s="24" t="inlineStr">
        <is>
          <t>mlb-elo-trend-lr-v4</t>
        </is>
      </c>
      <c r="U3" s="24" t="inlineStr">
        <is>
          <t>settled</t>
        </is>
      </c>
      <c r="V3" s="24" t="inlineStr">
        <is>
          <t>win</t>
        </is>
      </c>
      <c r="W3" s="26" t="n">
        <v>6</v>
      </c>
      <c r="X3" s="26" t="n">
        <v>8</v>
      </c>
      <c r="Y3" s="38" t="n"/>
      <c r="Z3" s="26" t="n"/>
      <c r="AA3" s="28" t="n"/>
      <c r="AB3" s="28" t="n"/>
      <c r="AC3" s="40" t="n">
        <v>1.1278</v>
      </c>
      <c r="AD3" s="24" t="inlineStr">
        <is>
          <t>2026-07-18T23:59:20.431552Z</t>
        </is>
      </c>
      <c r="AE3" s="31" t="inlineStr">
        <is>
          <t>Learned LR call at threshold 0.6000; executable ask 0.5700 (aec-mlb-mia-mil-2026-07-18).</t>
        </is>
      </c>
      <c r="AF3" s="31" t="inlineStr">
        <is>
          <t>Learned model; promotion gate not yet open; zero-unit research until review.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mlb-mia</t>
        </is>
      </c>
      <c r="AQ3" s="24" t="inlineStr">
        <is>
          <t>Miami Marlins</t>
        </is>
      </c>
      <c r="AR3" s="24" t="inlineStr">
        <is>
          <t>Miami Marlins</t>
        </is>
      </c>
      <c r="AS3" s="24" t="inlineStr">
        <is>
          <t>mlb-mil</t>
        </is>
      </c>
      <c r="AT3" s="24" t="inlineStr">
        <is>
          <t>Milwaukee Brewers</t>
        </is>
      </c>
      <c r="AU3" s="24" t="inlineStr">
        <is>
          <t>Milwaukee Brewers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5224fb6ffbc9ddf8fa517627b830ac851192da94d241963d556945393a42bb9d</t>
        </is>
      </c>
      <c r="BB3" s="24" t="inlineStr">
        <is>
          <t>learned_lr</t>
        </is>
      </c>
      <c r="BC3" s="24" t="inlineStr">
        <is>
          <t>mlb-elo-trend-lr-v4</t>
        </is>
      </c>
      <c r="BD3" s="24" t="inlineStr">
        <is>
          <t>5224fb6ffbc9ddf8fa517627b830ac851192da94d241963d556945393a42bb9d</t>
        </is>
      </c>
      <c r="BE3" s="24" t="inlineStr">
        <is>
          <t>0f54459b91a18ff1</t>
        </is>
      </c>
      <c r="BF3" s="24" t="inlineStr">
        <is>
          <t>1</t>
        </is>
      </c>
      <c r="BG3" s="24" t="inlineStr">
        <is>
          <t>mlb-elo-trend-lr-v3</t>
        </is>
      </c>
      <c r="BH3" s="24" t="inlineStr">
        <is>
          <t>2026-07-18T16:15:15.200995Z</t>
        </is>
      </c>
      <c r="BI3" s="24" t="inlineStr">
        <is>
          <t>["same_event","same_team_same_day","same_league_same_day"]</t>
        </is>
      </c>
      <c r="BJ3" s="38" t="n"/>
      <c r="BK3" s="26" t="n">
        <v>-133</v>
      </c>
      <c r="BL3" s="39" t="n">
        <v>1.75188</v>
      </c>
      <c r="BM3" s="28" t="n">
        <v>0.570815</v>
      </c>
      <c r="BN3" s="28" t="n">
        <v>0.567164</v>
      </c>
      <c r="BO3" s="28" t="n"/>
      <c r="BP3" s="38" t="n"/>
      <c r="BQ3" s="39" t="n"/>
      <c r="BR3" s="28" t="n"/>
      <c r="BS3" s="28" t="n"/>
      <c r="BT3" s="28" t="n"/>
      <c r="BU3" s="38" t="n"/>
      <c r="BV3" s="29" t="n"/>
      <c r="BW3" s="24" t="n"/>
      <c r="BX3" s="40" t="n">
        <v>1</v>
      </c>
      <c r="BY3" s="39" t="n">
        <v>0.75188</v>
      </c>
      <c r="BZ3" s="24" t="inlineStr">
        <is>
          <t>2026-07-18T23:59:20.431552Z</t>
        </is>
      </c>
      <c r="CA3" s="31" t="inlineStr">
        <is>
          <t>fixed one-unit hypothetical scoring; no real exposure or execution</t>
        </is>
      </c>
    </row>
    <row r="4" ht="36" customHeight="1">
      <c r="A4" s="24" t="inlineStr">
        <is>
          <t>8789a71883f94701</t>
        </is>
      </c>
      <c r="B4" s="24" t="inlineStr">
        <is>
          <t>2026-07-18T16:44:20.099051Z</t>
        </is>
      </c>
      <c r="C4" s="24" t="inlineStr">
        <is>
          <t>2026-07-18T13:10:00-0400</t>
        </is>
      </c>
      <c r="D4" s="24" t="inlineStr">
        <is>
          <t>401896568</t>
        </is>
      </c>
      <c r="E4" s="24" t="inlineStr">
        <is>
          <t>MLB</t>
        </is>
      </c>
      <c r="F4" s="24" t="inlineStr">
        <is>
          <t>Pittsburgh Pirates</t>
        </is>
      </c>
      <c r="G4" s="24" t="inlineStr">
        <is>
          <t>Cleveland Guardians</t>
        </is>
      </c>
      <c r="H4" s="24" t="inlineStr">
        <is>
          <t>moneyline</t>
        </is>
      </c>
      <c r="I4" s="24" t="inlineStr">
        <is>
          <t>home</t>
        </is>
      </c>
      <c r="J4" s="38" t="n"/>
      <c r="K4" s="24" t="inlineStr">
        <is>
          <t>polymarket_us</t>
        </is>
      </c>
      <c r="L4" s="26" t="n">
        <v>-102</v>
      </c>
      <c r="M4" s="39" t="n">
        <v>1.980392</v>
      </c>
      <c r="N4" s="28" t="n">
        <v>0.50495</v>
      </c>
      <c r="O4" s="28" t="n">
        <v>0.554084</v>
      </c>
      <c r="P4" s="28" t="n"/>
      <c r="Q4" s="28" t="n">
        <v>0.049134</v>
      </c>
      <c r="R4" s="26" t="n">
        <v>49</v>
      </c>
      <c r="S4" s="29" t="n">
        <v>1</v>
      </c>
      <c r="T4" s="24" t="inlineStr">
        <is>
          <t>mlb-elo-trend-lr-v4</t>
        </is>
      </c>
      <c r="U4" s="24" t="inlineStr">
        <is>
          <t>settled</t>
        </is>
      </c>
      <c r="V4" s="24" t="inlineStr">
        <is>
          <t>loss</t>
        </is>
      </c>
      <c r="W4" s="26" t="n">
        <v>7</v>
      </c>
      <c r="X4" s="26" t="n">
        <v>1</v>
      </c>
      <c r="Y4" s="38" t="n"/>
      <c r="Z4" s="26" t="n"/>
      <c r="AA4" s="28" t="n"/>
      <c r="AB4" s="28" t="n"/>
      <c r="AC4" s="40" t="n">
        <v>-1</v>
      </c>
      <c r="AD4" s="24" t="inlineStr">
        <is>
          <t>2026-07-18T21:05:56.909771Z</t>
        </is>
      </c>
      <c r="AE4" s="31" t="inlineStr">
        <is>
          <t>Learned LR call at threshold 0.5500; executable ask 0.5050 (aec-mlb-pit-cle-2026-07-18).</t>
        </is>
      </c>
      <c r="AF4" s="31" t="inlineStr">
        <is>
          <t>Learned model; promotion gate not yet open; zero-unit research until review.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mlb-pit</t>
        </is>
      </c>
      <c r="AQ4" s="24" t="inlineStr">
        <is>
          <t>Pittsburgh Pirates</t>
        </is>
      </c>
      <c r="AR4" s="24" t="inlineStr">
        <is>
          <t>Pittsburgh Pirates</t>
        </is>
      </c>
      <c r="AS4" s="24" t="inlineStr">
        <is>
          <t>mlb-cle</t>
        </is>
      </c>
      <c r="AT4" s="24" t="inlineStr">
        <is>
          <t>Cleveland Guardians</t>
        </is>
      </c>
      <c r="AU4" s="24" t="inlineStr">
        <is>
          <t>Cleveland Guardians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5224fb6ffbc9ddf8fa517627b830ac851192da94d241963d556945393a42bb9d</t>
        </is>
      </c>
      <c r="BB4" s="24" t="inlineStr">
        <is>
          <t>learned_lr</t>
        </is>
      </c>
      <c r="BC4" s="24" t="inlineStr">
        <is>
          <t>mlb-elo-trend-lr-v4</t>
        </is>
      </c>
      <c r="BD4" s="24" t="inlineStr">
        <is>
          <t>5224fb6ffbc9ddf8fa517627b830ac851192da94d241963d556945393a42bb9d</t>
        </is>
      </c>
      <c r="BE4" s="24" t="inlineStr">
        <is>
          <t>6df496ff8b2da9c6</t>
        </is>
      </c>
      <c r="BF4" s="24" t="inlineStr">
        <is>
          <t>1</t>
        </is>
      </c>
      <c r="BG4" s="24" t="inlineStr">
        <is>
          <t>mlb-elo-trend-lr-v3</t>
        </is>
      </c>
      <c r="BH4" s="24" t="inlineStr">
        <is>
          <t>2026-07-18T16:42:59.880808Z</t>
        </is>
      </c>
      <c r="BI4" s="24" t="inlineStr">
        <is>
          <t>["same_event","same_team_same_day","same_league_same_day"]</t>
        </is>
      </c>
      <c r="BJ4" s="38" t="n"/>
      <c r="BK4" s="26" t="n">
        <v>-102</v>
      </c>
      <c r="BL4" s="39" t="n">
        <v>1.980392</v>
      </c>
      <c r="BM4" s="28" t="n">
        <v>0.50495</v>
      </c>
      <c r="BN4" s="28" t="n">
        <v>0.502488</v>
      </c>
      <c r="BO4" s="28" t="n"/>
      <c r="BP4" s="38" t="n"/>
      <c r="BQ4" s="39" t="n"/>
      <c r="BR4" s="28" t="n"/>
      <c r="BS4" s="28" t="n"/>
      <c r="BT4" s="28" t="n"/>
      <c r="BU4" s="38" t="n"/>
      <c r="BV4" s="29" t="n"/>
      <c r="BW4" s="24" t="n"/>
      <c r="BX4" s="40" t="n">
        <v>1</v>
      </c>
      <c r="BY4" s="39" t="n">
        <v>-1</v>
      </c>
      <c r="BZ4" s="24" t="inlineStr">
        <is>
          <t>2026-07-18T21:05:56.909771Z</t>
        </is>
      </c>
      <c r="CA4" s="31" t="inlineStr">
        <is>
          <t>fixed one-unit hypothetical scoring; no real exposure or execution</t>
        </is>
      </c>
    </row>
    <row r="5" ht="36" customHeight="1">
      <c r="A5" s="24" t="inlineStr">
        <is>
          <t>512e4ebfdf1a456e</t>
        </is>
      </c>
      <c r="B5" s="24" t="inlineStr">
        <is>
          <t>2026-07-18T16:44:20.099051Z</t>
        </is>
      </c>
      <c r="C5" s="24" t="inlineStr">
        <is>
          <t>2026-07-18T14:20:00-0400</t>
        </is>
      </c>
      <c r="D5" s="24" t="inlineStr">
        <is>
          <t>401816164</t>
        </is>
      </c>
      <c r="E5" s="24" t="inlineStr">
        <is>
          <t>MLB</t>
        </is>
      </c>
      <c r="F5" s="24" t="inlineStr">
        <is>
          <t>Minnesota Twins</t>
        </is>
      </c>
      <c r="G5" s="24" t="inlineStr">
        <is>
          <t>Chicago Cubs</t>
        </is>
      </c>
      <c r="H5" s="24" t="inlineStr">
        <is>
          <t>moneyline</t>
        </is>
      </c>
      <c r="I5" s="24" t="inlineStr">
        <is>
          <t>home</t>
        </is>
      </c>
      <c r="J5" s="38" t="n"/>
      <c r="K5" s="24" t="inlineStr">
        <is>
          <t>polymarket_us</t>
        </is>
      </c>
      <c r="L5" s="26" t="n">
        <v>-133</v>
      </c>
      <c r="M5" s="39" t="n">
        <v>1.75188</v>
      </c>
      <c r="N5" s="28" t="n">
        <v>0.570815</v>
      </c>
      <c r="O5" s="28" t="n">
        <v>0.608363</v>
      </c>
      <c r="P5" s="28" t="n"/>
      <c r="Q5" s="28" t="n">
        <v>0.037548</v>
      </c>
      <c r="R5" s="26" t="n">
        <v>37</v>
      </c>
      <c r="S5" s="29" t="n">
        <v>1.5</v>
      </c>
      <c r="T5" s="24" t="inlineStr">
        <is>
          <t>mlb-elo-trend-lr-v4</t>
        </is>
      </c>
      <c r="U5" s="24" t="inlineStr">
        <is>
          <t>settled</t>
        </is>
      </c>
      <c r="V5" s="24" t="inlineStr">
        <is>
          <t>win</t>
        </is>
      </c>
      <c r="W5" s="26" t="n">
        <v>2</v>
      </c>
      <c r="X5" s="26" t="n">
        <v>6</v>
      </c>
      <c r="Y5" s="38" t="n"/>
      <c r="Z5" s="26" t="n"/>
      <c r="AA5" s="28" t="n"/>
      <c r="AB5" s="28" t="n"/>
      <c r="AC5" s="40" t="n">
        <v>1.1278</v>
      </c>
      <c r="AD5" s="24" t="inlineStr">
        <is>
          <t>2026-07-18T21:05:56.984438Z</t>
        </is>
      </c>
      <c r="AE5" s="31" t="inlineStr">
        <is>
          <t>Learned LR call at threshold 0.5500; executable ask 0.5700 (aec-mlb-min-chc-2026-07-18).</t>
        </is>
      </c>
      <c r="AF5" s="31" t="inlineStr">
        <is>
          <t>Learned model; promotion gate not yet open; zero-unit research until review.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inlineStr">
        <is>
          <t>mlb-min</t>
        </is>
      </c>
      <c r="AQ5" s="24" t="inlineStr">
        <is>
          <t>Minnesota Twins</t>
        </is>
      </c>
      <c r="AR5" s="24" t="inlineStr">
        <is>
          <t>Minnesota Twins</t>
        </is>
      </c>
      <c r="AS5" s="24" t="inlineStr">
        <is>
          <t>mlb-chc</t>
        </is>
      </c>
      <c r="AT5" s="24" t="inlineStr">
        <is>
          <t>Chicago Cubs</t>
        </is>
      </c>
      <c r="AU5" s="24" t="inlineStr">
        <is>
          <t>Chicago Cubs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5224fb6ffbc9ddf8fa517627b830ac851192da94d241963d556945393a42bb9d</t>
        </is>
      </c>
      <c r="BB5" s="24" t="inlineStr">
        <is>
          <t>learned_lr</t>
        </is>
      </c>
      <c r="BC5" s="24" t="inlineStr">
        <is>
          <t>mlb-elo-trend-lr-v4</t>
        </is>
      </c>
      <c r="BD5" s="24" t="inlineStr">
        <is>
          <t>5224fb6ffbc9ddf8fa517627b830ac851192da94d241963d556945393a42bb9d</t>
        </is>
      </c>
      <c r="BE5" s="24" t="inlineStr">
        <is>
          <t>7166685f6e68e237</t>
        </is>
      </c>
      <c r="BF5" s="24" t="inlineStr">
        <is>
          <t>1</t>
        </is>
      </c>
      <c r="BG5" s="24" t="inlineStr">
        <is>
          <t>mlb-elo-trend-lr-v3</t>
        </is>
      </c>
      <c r="BH5" s="24" t="inlineStr">
        <is>
          <t>2026-07-18T16:42:49.506840Z</t>
        </is>
      </c>
      <c r="BI5" s="24" t="inlineStr">
        <is>
          <t>["same_event","same_team_same_day","same_league_same_day"]</t>
        </is>
      </c>
      <c r="BJ5" s="38" t="n"/>
      <c r="BK5" s="26" t="n">
        <v>-133</v>
      </c>
      <c r="BL5" s="39" t="n">
        <v>1.75188</v>
      </c>
      <c r="BM5" s="28" t="n">
        <v>0.570815</v>
      </c>
      <c r="BN5" s="28" t="n">
        <v>0.567164</v>
      </c>
      <c r="BO5" s="28" t="n"/>
      <c r="BP5" s="38" t="n"/>
      <c r="BQ5" s="39" t="n"/>
      <c r="BR5" s="28" t="n"/>
      <c r="BS5" s="28" t="n"/>
      <c r="BT5" s="28" t="n"/>
      <c r="BU5" s="38" t="n"/>
      <c r="BV5" s="29" t="n"/>
      <c r="BW5" s="24" t="n"/>
      <c r="BX5" s="40" t="n">
        <v>1</v>
      </c>
      <c r="BY5" s="39" t="n">
        <v>0.75188</v>
      </c>
      <c r="BZ5" s="24" t="inlineStr">
        <is>
          <t>2026-07-18T21:05:56.984438Z</t>
        </is>
      </c>
      <c r="CA5" s="31" t="inlineStr">
        <is>
          <t>fixed one-unit hypothetical scoring; no real exposure or execution</t>
        </is>
      </c>
    </row>
    <row r="6" ht="36" customHeight="1">
      <c r="A6" s="24" t="inlineStr">
        <is>
          <t>80b7c78aaffb4905</t>
        </is>
      </c>
      <c r="B6" s="24" t="inlineStr">
        <is>
          <t>2026-07-18T16:44:20.099051Z</t>
        </is>
      </c>
      <c r="C6" s="24" t="inlineStr">
        <is>
          <t>2026-07-18T15:07:00-0400</t>
        </is>
      </c>
      <c r="D6" s="24" t="inlineStr">
        <is>
          <t>401816156</t>
        </is>
      </c>
      <c r="E6" s="24" t="inlineStr">
        <is>
          <t>MLB</t>
        </is>
      </c>
      <c r="F6" s="24" t="inlineStr">
        <is>
          <t>Chicago White Sox</t>
        </is>
      </c>
      <c r="G6" s="24" t="inlineStr">
        <is>
          <t>Toronto Blue Jays</t>
        </is>
      </c>
      <c r="H6" s="24" t="inlineStr">
        <is>
          <t>moneyline</t>
        </is>
      </c>
      <c r="I6" s="24" t="inlineStr">
        <is>
          <t>home</t>
        </is>
      </c>
      <c r="J6" s="38" t="n"/>
      <c r="K6" s="24" t="inlineStr">
        <is>
          <t>polymarket_us</t>
        </is>
      </c>
      <c r="L6" s="26" t="n">
        <v>-104</v>
      </c>
      <c r="M6" s="39" t="n">
        <v>1.961538</v>
      </c>
      <c r="N6" s="28" t="n">
        <v>0.509804</v>
      </c>
      <c r="O6" s="28" t="n">
        <v>0.5767679999999999</v>
      </c>
      <c r="P6" s="28" t="n"/>
      <c r="Q6" s="28" t="n">
        <v>0.066964</v>
      </c>
      <c r="R6" s="26" t="n">
        <v>66</v>
      </c>
      <c r="S6" s="29" t="n">
        <v>1.25</v>
      </c>
      <c r="T6" s="24" t="inlineStr">
        <is>
          <t>mlb-elo-trend-lr-v4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38" t="n"/>
      <c r="Z6" s="26" t="n"/>
      <c r="AA6" s="28" t="n"/>
      <c r="AB6" s="28" t="n"/>
      <c r="AC6" s="40" t="n">
        <v>1.2019</v>
      </c>
      <c r="AD6" s="24" t="inlineStr">
        <is>
          <t>2026-07-18T23:59:20.512474Z</t>
        </is>
      </c>
      <c r="AE6" s="31" t="inlineStr">
        <is>
          <t>Learned LR call at threshold 0.5500; executable ask 0.5100 (aec-mlb-cws-tor-2026-07-18).</t>
        </is>
      </c>
      <c r="AF6" s="31" t="inlineStr">
        <is>
          <t>Learned model; promotion gate not yet open; zero-unit research until review.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NO_CALL_MODEL_UNVALIDATED</t>
        </is>
      </c>
      <c r="AP6" s="24" t="inlineStr">
        <is>
          <t>mlb-cws</t>
        </is>
      </c>
      <c r="AQ6" s="24" t="inlineStr">
        <is>
          <t>Chicago White Sox</t>
        </is>
      </c>
      <c r="AR6" s="24" t="inlineStr">
        <is>
          <t>Chicago White Sox</t>
        </is>
      </c>
      <c r="AS6" s="24" t="inlineStr">
        <is>
          <t>mlb-tor</t>
        </is>
      </c>
      <c r="AT6" s="24" t="inlineStr">
        <is>
          <t>Toronto Blue Jays</t>
        </is>
      </c>
      <c r="AU6" s="24" t="inlineStr">
        <is>
          <t>Toronto Blue Jays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5224fb6ffbc9ddf8fa517627b830ac851192da94d241963d556945393a42bb9d</t>
        </is>
      </c>
      <c r="BB6" s="24" t="inlineStr">
        <is>
          <t>learned_lr</t>
        </is>
      </c>
      <c r="BC6" s="24" t="inlineStr">
        <is>
          <t>mlb-elo-trend-lr-v4</t>
        </is>
      </c>
      <c r="BD6" s="24" t="inlineStr">
        <is>
          <t>5224fb6ffbc9ddf8fa517627b830ac851192da94d241963d556945393a42bb9d</t>
        </is>
      </c>
      <c r="BE6" s="24" t="inlineStr">
        <is>
          <t>990421d336b67011</t>
        </is>
      </c>
      <c r="BF6" s="24" t="inlineStr">
        <is>
          <t>1</t>
        </is>
      </c>
      <c r="BG6" s="24" t="inlineStr">
        <is>
          <t>mlb-elo-trend-lr-v3</t>
        </is>
      </c>
      <c r="BH6" s="24" t="inlineStr">
        <is>
          <t>2026-07-18T16:42:50.404282Z</t>
        </is>
      </c>
      <c r="BI6" s="24" t="inlineStr">
        <is>
          <t>["same_event","same_team_same_day","same_league_same_day"]</t>
        </is>
      </c>
      <c r="BJ6" s="38" t="n"/>
      <c r="BK6" s="26" t="n">
        <v>-104</v>
      </c>
      <c r="BL6" s="39" t="n">
        <v>1.961538</v>
      </c>
      <c r="BM6" s="28" t="n">
        <v>0.509804</v>
      </c>
      <c r="BN6" s="28" t="n">
        <v>0.507463</v>
      </c>
      <c r="BO6" s="28" t="n"/>
      <c r="BP6" s="38" t="n"/>
      <c r="BQ6" s="39" t="n"/>
      <c r="BR6" s="28" t="n"/>
      <c r="BS6" s="28" t="n"/>
      <c r="BT6" s="28" t="n"/>
      <c r="BU6" s="38" t="n"/>
      <c r="BV6" s="29" t="n"/>
      <c r="BW6" s="24" t="n"/>
      <c r="BX6" s="40" t="n">
        <v>1</v>
      </c>
      <c r="BY6" s="39" t="n">
        <v>0.961538</v>
      </c>
      <c r="BZ6" s="24" t="inlineStr">
        <is>
          <t>2026-07-18T23:59:20.512474Z</t>
        </is>
      </c>
      <c r="CA6" s="31" t="inlineStr">
        <is>
          <t>fixed one-unit hypothetical scoring; no real exposure or execution</t>
        </is>
      </c>
    </row>
    <row r="7" ht="36" customHeight="1">
      <c r="A7" s="24" t="inlineStr">
        <is>
          <t>c7e4de168a8f4e3d</t>
        </is>
      </c>
      <c r="B7" s="24" t="inlineStr">
        <is>
          <t>2026-07-18T16:44:20.099051Z</t>
        </is>
      </c>
      <c r="C7" s="24" t="inlineStr">
        <is>
          <t>2026-07-18T15:10:00-0400</t>
        </is>
      </c>
      <c r="D7" s="24" t="inlineStr">
        <is>
          <t>401816166</t>
        </is>
      </c>
      <c r="E7" s="24" t="inlineStr">
        <is>
          <t>MLB</t>
        </is>
      </c>
      <c r="F7" s="24" t="inlineStr">
        <is>
          <t>Cincinnati Reds</t>
        </is>
      </c>
      <c r="G7" s="24" t="inlineStr">
        <is>
          <t>Colorado Rockies</t>
        </is>
      </c>
      <c r="H7" s="24" t="inlineStr">
        <is>
          <t>moneyline</t>
        </is>
      </c>
      <c r="I7" s="24" t="inlineStr">
        <is>
          <t>away</t>
        </is>
      </c>
      <c r="J7" s="38" t="n"/>
      <c r="K7" s="24" t="inlineStr">
        <is>
          <t>polymarket_us</t>
        </is>
      </c>
      <c r="L7" s="26" t="n">
        <v>-104</v>
      </c>
      <c r="M7" s="39" t="n">
        <v>1.961538</v>
      </c>
      <c r="N7" s="28" t="n">
        <v>0.509804</v>
      </c>
      <c r="O7" s="28" t="n">
        <v>0.582367</v>
      </c>
      <c r="P7" s="28" t="n"/>
      <c r="Q7" s="28" t="n">
        <v>0.072563</v>
      </c>
      <c r="R7" s="26" t="n">
        <v>72</v>
      </c>
      <c r="S7" s="29" t="n">
        <v>1.25</v>
      </c>
      <c r="T7" s="24" t="inlineStr">
        <is>
          <t>mlb-elo-trend-lr-v4</t>
        </is>
      </c>
      <c r="U7" s="24" t="inlineStr">
        <is>
          <t>settled</t>
        </is>
      </c>
      <c r="V7" s="24" t="inlineStr">
        <is>
          <t>loss</t>
        </is>
      </c>
      <c r="W7" s="26" t="n">
        <v>3</v>
      </c>
      <c r="X7" s="26" t="n">
        <v>10</v>
      </c>
      <c r="Y7" s="38" t="n"/>
      <c r="Z7" s="26" t="n"/>
      <c r="AA7" s="28" t="n"/>
      <c r="AB7" s="28" t="n"/>
      <c r="AC7" s="40" t="n">
        <v>-1.25</v>
      </c>
      <c r="AD7" s="24" t="inlineStr">
        <is>
          <t>2026-07-18T23:59:20.572146Z</t>
        </is>
      </c>
      <c r="AE7" s="31" t="inlineStr">
        <is>
          <t>Learned LR call at threshold 0.5500; executable ask 0.5100 (aec-mlb-cin-col-2026-07-18).</t>
        </is>
      </c>
      <c r="AF7" s="31" t="inlineStr">
        <is>
          <t>Learned model; promotion gate not yet open; zero-unit research until review.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inlineStr">
        <is>
          <t>mlb-cin</t>
        </is>
      </c>
      <c r="AQ7" s="24" t="inlineStr">
        <is>
          <t>Cincinnati Reds</t>
        </is>
      </c>
      <c r="AR7" s="24" t="inlineStr">
        <is>
          <t>Cincinnati Reds</t>
        </is>
      </c>
      <c r="AS7" s="24" t="inlineStr">
        <is>
          <t>mlb-col</t>
        </is>
      </c>
      <c r="AT7" s="24" t="inlineStr">
        <is>
          <t>Colorado Rockies</t>
        </is>
      </c>
      <c r="AU7" s="24" t="inlineStr">
        <is>
          <t>Colorado Rockies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5224fb6ffbc9ddf8fa517627b830ac851192da94d241963d556945393a42bb9d</t>
        </is>
      </c>
      <c r="BB7" s="24" t="inlineStr">
        <is>
          <t>learned_lr</t>
        </is>
      </c>
      <c r="BC7" s="24" t="inlineStr">
        <is>
          <t>mlb-elo-trend-lr-v4</t>
        </is>
      </c>
      <c r="BD7" s="24" t="inlineStr">
        <is>
          <t>5224fb6ffbc9ddf8fa517627b830ac851192da94d241963d556945393a42bb9d</t>
        </is>
      </c>
      <c r="BE7" s="24" t="inlineStr">
        <is>
          <t>4215d10b9bfb4b91</t>
        </is>
      </c>
      <c r="BF7" s="24" t="inlineStr">
        <is>
          <t>1</t>
        </is>
      </c>
      <c r="BG7" s="24" t="inlineStr">
        <is>
          <t>mlb-elo-trend-lr-v3</t>
        </is>
      </c>
      <c r="BH7" s="24" t="inlineStr">
        <is>
          <t>2026-07-18T16:42:52.313468Z</t>
        </is>
      </c>
      <c r="BI7" s="24" t="inlineStr">
        <is>
          <t>["same_event","same_team_same_day","same_league_same_day"]</t>
        </is>
      </c>
      <c r="BJ7" s="38" t="n"/>
      <c r="BK7" s="26" t="n">
        <v>-104</v>
      </c>
      <c r="BL7" s="39" t="n">
        <v>1.961538</v>
      </c>
      <c r="BM7" s="28" t="n">
        <v>0.509804</v>
      </c>
      <c r="BN7" s="28" t="n">
        <v>0.507463</v>
      </c>
      <c r="BO7" s="28" t="n"/>
      <c r="BP7" s="38" t="n"/>
      <c r="BQ7" s="39" t="n"/>
      <c r="BR7" s="28" t="n"/>
      <c r="BS7" s="28" t="n"/>
      <c r="BT7" s="28" t="n"/>
      <c r="BU7" s="38" t="n"/>
      <c r="BV7" s="29" t="n"/>
      <c r="BW7" s="24" t="n"/>
      <c r="BX7" s="40" t="n">
        <v>1</v>
      </c>
      <c r="BY7" s="39" t="n">
        <v>-1</v>
      </c>
      <c r="BZ7" s="24" t="inlineStr">
        <is>
          <t>2026-07-18T23:59:20.572146Z</t>
        </is>
      </c>
      <c r="CA7" s="31" t="inlineStr">
        <is>
          <t>fixed one-unit hypothetical scoring; no real exposure or execution</t>
        </is>
      </c>
    </row>
    <row r="8" ht="36" customHeight="1">
      <c r="A8" s="24" t="inlineStr">
        <is>
          <t>2ec6744dbfd84ecf</t>
        </is>
      </c>
      <c r="B8" s="24" t="inlineStr">
        <is>
          <t>2026-07-18T16:44:20.099051Z</t>
        </is>
      </c>
      <c r="C8" s="24" t="inlineStr">
        <is>
          <t>2026-07-18T16:10:00-0400</t>
        </is>
      </c>
      <c r="D8" s="24" t="inlineStr">
        <is>
          <t>401816161</t>
        </is>
      </c>
      <c r="E8" s="24" t="inlineStr">
        <is>
          <t>MLB</t>
        </is>
      </c>
      <c r="F8" s="24" t="inlineStr">
        <is>
          <t>Texas Rangers</t>
        </is>
      </c>
      <c r="G8" s="24" t="inlineStr">
        <is>
          <t>Atlanta Braves</t>
        </is>
      </c>
      <c r="H8" s="24" t="inlineStr">
        <is>
          <t>moneyline</t>
        </is>
      </c>
      <c r="I8" s="24" t="inlineStr">
        <is>
          <t>home</t>
        </is>
      </c>
      <c r="J8" s="38" t="n"/>
      <c r="K8" s="24" t="inlineStr">
        <is>
          <t>polymarket_us</t>
        </is>
      </c>
      <c r="L8" s="26" t="n">
        <v>-106</v>
      </c>
      <c r="M8" s="39" t="n">
        <v>1.943396</v>
      </c>
      <c r="N8" s="28" t="n">
        <v>0.514563</v>
      </c>
      <c r="O8" s="28" t="n">
        <v>0.550297</v>
      </c>
      <c r="P8" s="28" t="n"/>
      <c r="Q8" s="28" t="n">
        <v>0.035734</v>
      </c>
      <c r="R8" s="26" t="n">
        <v>35</v>
      </c>
      <c r="S8" s="29" t="n">
        <v>1</v>
      </c>
      <c r="T8" s="24" t="inlineStr">
        <is>
          <t>mlb-elo-trend-lr-v4</t>
        </is>
      </c>
      <c r="U8" s="24" t="inlineStr">
        <is>
          <t>settled</t>
        </is>
      </c>
      <c r="V8" s="24" t="inlineStr">
        <is>
          <t>loss</t>
        </is>
      </c>
      <c r="W8" s="26" t="n">
        <v>7</v>
      </c>
      <c r="X8" s="26" t="n">
        <v>6</v>
      </c>
      <c r="Y8" s="38" t="n"/>
      <c r="Z8" s="26" t="n"/>
      <c r="AA8" s="28" t="n"/>
      <c r="AB8" s="28" t="n"/>
      <c r="AC8" s="40" t="n">
        <v>-1</v>
      </c>
      <c r="AD8" s="24" t="inlineStr">
        <is>
          <t>2026-07-18T23:59:20.634092Z</t>
        </is>
      </c>
      <c r="AE8" s="31" t="inlineStr">
        <is>
          <t>Learned LR call at threshold 0.5500; executable ask 0.5150 (aec-mlb-tex-atl-2026-07-18).</t>
        </is>
      </c>
      <c r="AF8" s="31" t="inlineStr">
        <is>
          <t>Learned model; promotion gate not yet open; zero-unit research until review.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mlb-tex</t>
        </is>
      </c>
      <c r="AQ8" s="24" t="inlineStr">
        <is>
          <t>Texas Rangers</t>
        </is>
      </c>
      <c r="AR8" s="24" t="inlineStr">
        <is>
          <t>Texas Rangers</t>
        </is>
      </c>
      <c r="AS8" s="24" t="inlineStr">
        <is>
          <t>mlb-atl</t>
        </is>
      </c>
      <c r="AT8" s="24" t="inlineStr">
        <is>
          <t>Atlanta Braves</t>
        </is>
      </c>
      <c r="AU8" s="24" t="inlineStr">
        <is>
          <t>Atlanta Braves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5224fb6ffbc9ddf8fa517627b830ac851192da94d241963d556945393a42bb9d</t>
        </is>
      </c>
      <c r="BB8" s="24" t="inlineStr">
        <is>
          <t>learned_lr</t>
        </is>
      </c>
      <c r="BC8" s="24" t="inlineStr">
        <is>
          <t>mlb-elo-trend-lr-v4</t>
        </is>
      </c>
      <c r="BD8" s="24" t="inlineStr">
        <is>
          <t>5224fb6ffbc9ddf8fa517627b830ac851192da94d241963d556945393a42bb9d</t>
        </is>
      </c>
      <c r="BE8" s="24" t="inlineStr">
        <is>
          <t>a999da31a6f5af28</t>
        </is>
      </c>
      <c r="BF8" s="24" t="inlineStr">
        <is>
          <t>1</t>
        </is>
      </c>
      <c r="BG8" s="24" t="inlineStr">
        <is>
          <t>mlb-elo-trend-lr-v3</t>
        </is>
      </c>
      <c r="BH8" s="24" t="inlineStr">
        <is>
          <t>2026-07-18T16:42:57.199270Z</t>
        </is>
      </c>
      <c r="BI8" s="24" t="inlineStr">
        <is>
          <t>["same_event","same_team_same_day","same_league_same_day"]</t>
        </is>
      </c>
      <c r="BJ8" s="38" t="n"/>
      <c r="BK8" s="26" t="n">
        <v>-106</v>
      </c>
      <c r="BL8" s="39" t="n">
        <v>1.943396</v>
      </c>
      <c r="BM8" s="28" t="n">
        <v>0.514563</v>
      </c>
      <c r="BN8" s="28" t="n">
        <v>0.5124379999999999</v>
      </c>
      <c r="BO8" s="28" t="n"/>
      <c r="BP8" s="38" t="n"/>
      <c r="BQ8" s="39" t="n"/>
      <c r="BR8" s="28" t="n"/>
      <c r="BS8" s="28" t="n"/>
      <c r="BT8" s="28" t="n"/>
      <c r="BU8" s="38" t="n"/>
      <c r="BV8" s="29" t="n"/>
      <c r="BW8" s="24" t="n"/>
      <c r="BX8" s="40" t="n">
        <v>1</v>
      </c>
      <c r="BY8" s="39" t="n">
        <v>-1</v>
      </c>
      <c r="BZ8" s="24" t="inlineStr">
        <is>
          <t>2026-07-18T23:59:20.634092Z</t>
        </is>
      </c>
      <c r="CA8" s="31" t="inlineStr">
        <is>
          <t>fixed one-unit hypothetical scoring; no real exposure or execution</t>
        </is>
      </c>
    </row>
    <row r="9" ht="36" customHeight="1">
      <c r="A9" s="24" t="inlineStr">
        <is>
          <t>634e9b9c56164f59</t>
        </is>
      </c>
      <c r="B9" s="24" t="inlineStr">
        <is>
          <t>2026-07-18T16:44:20.099051Z</t>
        </is>
      </c>
      <c r="C9" s="24" t="inlineStr">
        <is>
          <t>2026-07-18T19:10:00-0400</t>
        </is>
      </c>
      <c r="D9" s="24" t="inlineStr">
        <is>
          <t>401816159</t>
        </is>
      </c>
      <c r="E9" s="24" t="inlineStr">
        <is>
          <t>MLB</t>
        </is>
      </c>
      <c r="F9" s="24" t="inlineStr">
        <is>
          <t>Pittsburgh Pirates</t>
        </is>
      </c>
      <c r="G9" s="24" t="inlineStr">
        <is>
          <t>Cleveland Guardians</t>
        </is>
      </c>
      <c r="H9" s="24" t="inlineStr">
        <is>
          <t>moneyline</t>
        </is>
      </c>
      <c r="I9" s="24" t="inlineStr">
        <is>
          <t>home</t>
        </is>
      </c>
      <c r="J9" s="38" t="n"/>
      <c r="K9" s="24" t="inlineStr">
        <is>
          <t>polymarket_us</t>
        </is>
      </c>
      <c r="L9" s="26" t="n">
        <v>-102</v>
      </c>
      <c r="M9" s="39" t="n">
        <v>1.980392</v>
      </c>
      <c r="N9" s="28" t="n">
        <v>0.50495</v>
      </c>
      <c r="O9" s="28" t="n">
        <v>0.554084</v>
      </c>
      <c r="P9" s="28" t="n"/>
      <c r="Q9" s="28" t="n">
        <v>0.049134</v>
      </c>
      <c r="R9" s="26" t="n">
        <v>49</v>
      </c>
      <c r="S9" s="29" t="n">
        <v>1</v>
      </c>
      <c r="T9" s="24" t="inlineStr">
        <is>
          <t>mlb-elo-trend-lr-v4</t>
        </is>
      </c>
      <c r="U9" s="24" t="inlineStr">
        <is>
          <t>settled</t>
        </is>
      </c>
      <c r="V9" s="24" t="inlineStr">
        <is>
          <t>win</t>
        </is>
      </c>
      <c r="W9" s="26" t="n">
        <v>3</v>
      </c>
      <c r="X9" s="26" t="n">
        <v>5</v>
      </c>
      <c r="Y9" s="38" t="n"/>
      <c r="Z9" s="26" t="n"/>
      <c r="AA9" s="28" t="n"/>
      <c r="AB9" s="28" t="n"/>
      <c r="AC9" s="40" t="n">
        <v>0.9804</v>
      </c>
      <c r="AD9" s="24" t="inlineStr">
        <is>
          <t>2026-07-18T23:59:20.697637Z</t>
        </is>
      </c>
      <c r="AE9" s="31" t="inlineStr">
        <is>
          <t>Learned LR call at threshold 0.5500; executable ask 0.5050 (aec-mlb-pit-cle-2026-07-18).</t>
        </is>
      </c>
      <c r="AF9" s="31" t="inlineStr">
        <is>
          <t>Learned model; promotion gate not yet open; zero-unit research until review.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mlb-pit</t>
        </is>
      </c>
      <c r="AQ9" s="24" t="inlineStr">
        <is>
          <t>Pittsburgh Pirates</t>
        </is>
      </c>
      <c r="AR9" s="24" t="inlineStr">
        <is>
          <t>Pittsburgh Pirates</t>
        </is>
      </c>
      <c r="AS9" s="24" t="inlineStr">
        <is>
          <t>mlb-cle</t>
        </is>
      </c>
      <c r="AT9" s="24" t="inlineStr">
        <is>
          <t>Cleveland Guardians</t>
        </is>
      </c>
      <c r="AU9" s="24" t="inlineStr">
        <is>
          <t>Cleveland Guardians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5224fb6ffbc9ddf8fa517627b830ac851192da94d241963d556945393a42bb9d</t>
        </is>
      </c>
      <c r="BB9" s="24" t="inlineStr">
        <is>
          <t>learned_lr</t>
        </is>
      </c>
      <c r="BC9" s="24" t="inlineStr">
        <is>
          <t>mlb-elo-trend-lr-v4</t>
        </is>
      </c>
      <c r="BD9" s="24" t="inlineStr">
        <is>
          <t>5224fb6ffbc9ddf8fa517627b830ac851192da94d241963d556945393a42bb9d</t>
        </is>
      </c>
      <c r="BE9" s="24" t="inlineStr">
        <is>
          <t>3c0f9e9f1d0333c4</t>
        </is>
      </c>
      <c r="BF9" s="24" t="inlineStr">
        <is>
          <t>1</t>
        </is>
      </c>
      <c r="BG9" s="24" t="inlineStr">
        <is>
          <t>mlb-elo-trend-lr-v3</t>
        </is>
      </c>
      <c r="BH9" s="24" t="inlineStr">
        <is>
          <t>2026-07-18T16:42:59.880808Z</t>
        </is>
      </c>
      <c r="BI9" s="24" t="inlineStr">
        <is>
          <t>["same_event","same_team_same_day","same_league_same_day"]</t>
        </is>
      </c>
      <c r="BJ9" s="38" t="n"/>
      <c r="BK9" s="26" t="n">
        <v>-102</v>
      </c>
      <c r="BL9" s="39" t="n">
        <v>1.980392</v>
      </c>
      <c r="BM9" s="28" t="n">
        <v>0.50495</v>
      </c>
      <c r="BN9" s="28" t="n">
        <v>0.502488</v>
      </c>
      <c r="BO9" s="28" t="n"/>
      <c r="BP9" s="38" t="n"/>
      <c r="BQ9" s="39" t="n"/>
      <c r="BR9" s="28" t="n"/>
      <c r="BS9" s="28" t="n"/>
      <c r="BT9" s="28" t="n"/>
      <c r="BU9" s="38" t="n"/>
      <c r="BV9" s="29" t="n"/>
      <c r="BW9" s="24" t="n"/>
      <c r="BX9" s="40" t="n">
        <v>1</v>
      </c>
      <c r="BY9" s="39" t="n">
        <v>0.980392</v>
      </c>
      <c r="BZ9" s="24" t="inlineStr">
        <is>
          <t>2026-07-18T23:59:20.697637Z</t>
        </is>
      </c>
      <c r="CA9" s="31" t="inlineStr">
        <is>
          <t>fixed one-unit hypothetical scoring; no real exposure or execution</t>
        </is>
      </c>
    </row>
    <row r="10" ht="36" customHeight="1">
      <c r="A10" s="24" t="inlineStr">
        <is>
          <t>0a1abd6e59a84720</t>
        </is>
      </c>
      <c r="B10" s="24" t="inlineStr">
        <is>
          <t>2026-07-18T16:44:20.099051Z</t>
        </is>
      </c>
      <c r="C10" s="24" t="inlineStr">
        <is>
          <t>2026-07-18T20:08:00-0400</t>
        </is>
      </c>
      <c r="D10" s="24" t="inlineStr">
        <is>
          <t>401816168</t>
        </is>
      </c>
      <c r="E10" s="24" t="inlineStr">
        <is>
          <t>MLB</t>
        </is>
      </c>
      <c r="F10" s="24" t="inlineStr">
        <is>
          <t>San Francisco Giants</t>
        </is>
      </c>
      <c r="G10" s="24" t="inlineStr">
        <is>
          <t>Seattle Mariners</t>
        </is>
      </c>
      <c r="H10" s="24" t="inlineStr">
        <is>
          <t>moneyline</t>
        </is>
      </c>
      <c r="I10" s="24" t="inlineStr">
        <is>
          <t>home</t>
        </is>
      </c>
      <c r="J10" s="38" t="n"/>
      <c r="K10" s="24" t="inlineStr">
        <is>
          <t>polymarket_us</t>
        </is>
      </c>
      <c r="L10" s="26" t="n">
        <v>-138</v>
      </c>
      <c r="M10" s="39" t="n">
        <v>1.724638</v>
      </c>
      <c r="N10" s="28" t="n">
        <v>0.579832</v>
      </c>
      <c r="O10" s="28" t="n">
        <v>0.627758</v>
      </c>
      <c r="P10" s="28" t="n"/>
      <c r="Q10" s="28" t="n">
        <v>0.047926</v>
      </c>
      <c r="R10" s="26" t="n">
        <v>47</v>
      </c>
      <c r="S10" s="29" t="n">
        <v>1.75</v>
      </c>
      <c r="T10" s="24" t="inlineStr">
        <is>
          <t>mlb-elo-trend-lr-v4</t>
        </is>
      </c>
      <c r="U10" s="24" t="inlineStr">
        <is>
          <t>settled</t>
        </is>
      </c>
      <c r="V10" s="24" t="inlineStr">
        <is>
          <t>win</t>
        </is>
      </c>
      <c r="W10" s="26" t="n">
        <v>3</v>
      </c>
      <c r="X10" s="26" t="n">
        <v>4</v>
      </c>
      <c r="Y10" s="38" t="n"/>
      <c r="Z10" s="26" t="n"/>
      <c r="AA10" s="28" t="n"/>
      <c r="AB10" s="28" t="n"/>
      <c r="AC10" s="40" t="n">
        <v>1.2681</v>
      </c>
      <c r="AD10" s="24" t="inlineStr">
        <is>
          <t>2026-07-19T06:08:38.177875Z</t>
        </is>
      </c>
      <c r="AE10" s="31" t="inlineStr">
        <is>
          <t>Learned LR call at threshold 0.5500; executable ask 0.5800 (aec-mlb-sf-sea-2026-07-18).</t>
        </is>
      </c>
      <c r="AF10" s="31" t="inlineStr">
        <is>
          <t>Learned model; promotion gate not yet open; zero-unit research until review.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mlb-sf</t>
        </is>
      </c>
      <c r="AQ10" s="24" t="inlineStr">
        <is>
          <t>San Francisco Giants</t>
        </is>
      </c>
      <c r="AR10" s="24" t="inlineStr">
        <is>
          <t>San Francisco Giants</t>
        </is>
      </c>
      <c r="AS10" s="24" t="inlineStr">
        <is>
          <t>mlb-sea</t>
        </is>
      </c>
      <c r="AT10" s="24" t="inlineStr">
        <is>
          <t>Seattle Mariners</t>
        </is>
      </c>
      <c r="AU10" s="24" t="inlineStr">
        <is>
          <t>Seattle Mariners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5224fb6ffbc9ddf8fa517627b830ac851192da94d241963d556945393a42bb9d</t>
        </is>
      </c>
      <c r="BB10" s="24" t="inlineStr">
        <is>
          <t>learned_lr</t>
        </is>
      </c>
      <c r="BC10" s="24" t="inlineStr">
        <is>
          <t>mlb-elo-trend-lr-v4</t>
        </is>
      </c>
      <c r="BD10" s="24" t="inlineStr">
        <is>
          <t>5224fb6ffbc9ddf8fa517627b830ac851192da94d241963d556945393a42bb9d</t>
        </is>
      </c>
      <c r="BE10" s="24" t="inlineStr">
        <is>
          <t>29d502a7704e228f</t>
        </is>
      </c>
      <c r="BF10" s="24" t="inlineStr">
        <is>
          <t>1</t>
        </is>
      </c>
      <c r="BG10" s="24" t="inlineStr">
        <is>
          <t>mlb-elo-trend-lr-v3</t>
        </is>
      </c>
      <c r="BH10" s="24" t="inlineStr">
        <is>
          <t>2026-07-18T16:43:04.779295Z</t>
        </is>
      </c>
      <c r="BI10" s="24" t="inlineStr">
        <is>
          <t>["same_event","same_team_same_day","same_league_same_day"]</t>
        </is>
      </c>
      <c r="BJ10" s="38" t="n"/>
      <c r="BK10" s="26" t="n">
        <v>-138</v>
      </c>
      <c r="BL10" s="39" t="n">
        <v>1.724638</v>
      </c>
      <c r="BM10" s="28" t="n">
        <v>0.579832</v>
      </c>
      <c r="BN10" s="28" t="n">
        <v>0.577114</v>
      </c>
      <c r="BO10" s="28" t="n"/>
      <c r="BP10" s="38" t="n"/>
      <c r="BQ10" s="39" t="n"/>
      <c r="BR10" s="28" t="n"/>
      <c r="BS10" s="28" t="n"/>
      <c r="BT10" s="28" t="n"/>
      <c r="BU10" s="38" t="n"/>
      <c r="BV10" s="29" t="n"/>
      <c r="BW10" s="24" t="n"/>
      <c r="BX10" s="40" t="n">
        <v>1</v>
      </c>
      <c r="BY10" s="39" t="n">
        <v>0.724638</v>
      </c>
      <c r="BZ10" s="24" t="inlineStr">
        <is>
          <t>2026-07-19T06:08:38.177875Z</t>
        </is>
      </c>
      <c r="CA10" s="31" t="inlineStr">
        <is>
          <t>fixed one-unit hypothetical scoring; no real exposure or execution</t>
        </is>
      </c>
    </row>
    <row r="11" ht="36" customHeight="1">
      <c r="A11" s="24" t="inlineStr">
        <is>
          <t>534daa3057c4428f</t>
        </is>
      </c>
      <c r="B11" s="24" t="inlineStr">
        <is>
          <t>2026-07-18T16:44:20.099051Z</t>
        </is>
      </c>
      <c r="C11" s="24" t="inlineStr">
        <is>
          <t>2026-07-18T22:05:00-0400</t>
        </is>
      </c>
      <c r="D11" s="24" t="inlineStr">
        <is>
          <t>401816170</t>
        </is>
      </c>
      <c r="E11" s="24" t="inlineStr">
        <is>
          <t>MLB</t>
        </is>
      </c>
      <c r="F11" s="24" t="inlineStr">
        <is>
          <t>Washington Nationals</t>
        </is>
      </c>
      <c r="G11" s="24" t="inlineStr">
        <is>
          <t>Athletics</t>
        </is>
      </c>
      <c r="H11" s="24" t="inlineStr">
        <is>
          <t>moneyline</t>
        </is>
      </c>
      <c r="I11" s="24" t="inlineStr">
        <is>
          <t>home</t>
        </is>
      </c>
      <c r="J11" s="38" t="n"/>
      <c r="K11" s="24" t="inlineStr">
        <is>
          <t>polymarket_us</t>
        </is>
      </c>
      <c r="L11" s="26" t="n">
        <v>102</v>
      </c>
      <c r="M11" s="39" t="n">
        <v>2.02</v>
      </c>
      <c r="N11" s="28" t="n">
        <v>0.49505</v>
      </c>
      <c r="O11" s="28" t="n">
        <v>0.569735</v>
      </c>
      <c r="P11" s="28" t="n"/>
      <c r="Q11" s="28" t="n">
        <v>0.074685</v>
      </c>
      <c r="R11" s="26" t="n">
        <v>74</v>
      </c>
      <c r="S11" s="29" t="n">
        <v>1.25</v>
      </c>
      <c r="T11" s="24" t="inlineStr">
        <is>
          <t>mlb-elo-trend-lr-v4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15</v>
      </c>
      <c r="Y11" s="38" t="n"/>
      <c r="Z11" s="26" t="n"/>
      <c r="AA11" s="28" t="n"/>
      <c r="AB11" s="28" t="n"/>
      <c r="AC11" s="40" t="n">
        <v>1.275</v>
      </c>
      <c r="AD11" s="24" t="inlineStr">
        <is>
          <t>2026-07-19T06:08:38.355137Z</t>
        </is>
      </c>
      <c r="AE11" s="31" t="inlineStr">
        <is>
          <t>Learned LR call at threshold 0.5500; executable ask 0.4950 (aec-mlb-wsh-ath-2026-07-18).</t>
        </is>
      </c>
      <c r="AF11" s="31" t="inlineStr">
        <is>
          <t>Learned model; promotion gate not yet open; zero-unit research until review.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mlb-wsh</t>
        </is>
      </c>
      <c r="AQ11" s="24" t="inlineStr">
        <is>
          <t>Washington Nationals</t>
        </is>
      </c>
      <c r="AR11" s="24" t="inlineStr">
        <is>
          <t>Washington Nationals</t>
        </is>
      </c>
      <c r="AS11" s="24" t="inlineStr">
        <is>
          <t>mlb-ath</t>
        </is>
      </c>
      <c r="AT11" s="24" t="inlineStr">
        <is>
          <t>Athletics</t>
        </is>
      </c>
      <c r="AU11" s="24" t="inlineStr">
        <is>
          <t>Athletics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5224fb6ffbc9ddf8fa517627b830ac851192da94d241963d556945393a42bb9d</t>
        </is>
      </c>
      <c r="BB11" s="24" t="inlineStr">
        <is>
          <t>learned_lr</t>
        </is>
      </c>
      <c r="BC11" s="24" t="inlineStr">
        <is>
          <t>mlb-elo-trend-lr-v4</t>
        </is>
      </c>
      <c r="BD11" s="24" t="inlineStr">
        <is>
          <t>5224fb6ffbc9ddf8fa517627b830ac851192da94d241963d556945393a42bb9d</t>
        </is>
      </c>
      <c r="BE11" s="24" t="inlineStr">
        <is>
          <t>d2faed7be6c04691</t>
        </is>
      </c>
      <c r="BF11" s="24" t="inlineStr">
        <is>
          <t>1</t>
        </is>
      </c>
      <c r="BG11" s="24" t="inlineStr">
        <is>
          <t>mlb-elo-trend-lr-v3</t>
        </is>
      </c>
      <c r="BH11" s="24" t="inlineStr">
        <is>
          <t>2026-07-18T16:43:06.321641Z</t>
        </is>
      </c>
      <c r="BI11" s="24" t="inlineStr">
        <is>
          <t>["same_event","same_team_same_day","same_league_same_day"]</t>
        </is>
      </c>
      <c r="BJ11" s="38" t="n"/>
      <c r="BK11" s="26" t="n">
        <v>102</v>
      </c>
      <c r="BL11" s="39" t="n">
        <v>2.02</v>
      </c>
      <c r="BM11" s="28" t="n">
        <v>0.49505</v>
      </c>
      <c r="BN11" s="28" t="n">
        <v>0.492537</v>
      </c>
      <c r="BO11" s="28" t="n"/>
      <c r="BP11" s="38" t="n"/>
      <c r="BQ11" s="39" t="n"/>
      <c r="BR11" s="28" t="n"/>
      <c r="BS11" s="28" t="n"/>
      <c r="BT11" s="28" t="n"/>
      <c r="BU11" s="38" t="n"/>
      <c r="BV11" s="29" t="n"/>
      <c r="BW11" s="24" t="n"/>
      <c r="BX11" s="40" t="n">
        <v>1</v>
      </c>
      <c r="BY11" s="39" t="n">
        <v>1.02</v>
      </c>
      <c r="BZ11" s="24" t="inlineStr">
        <is>
          <t>2026-07-19T06:08:38.355137Z</t>
        </is>
      </c>
      <c r="CA11" s="31" t="inlineStr">
        <is>
          <t>fixed one-unit hypothetical scoring; no real exposure or execution</t>
        </is>
      </c>
    </row>
    <row r="12" ht="36" customHeight="1">
      <c r="A12" s="24" t="inlineStr">
        <is>
          <t>5ab4cdd6444d4f9b</t>
        </is>
      </c>
      <c r="B12" s="24" t="inlineStr">
        <is>
          <t>2026-07-18T16:50:38.270483Z</t>
        </is>
      </c>
      <c r="C12" s="24" t="inlineStr">
        <is>
          <t>2026-07-18T16:10:00-0400</t>
        </is>
      </c>
      <c r="D12" s="24" t="inlineStr">
        <is>
          <t>401816162</t>
        </is>
      </c>
      <c r="E12" s="24" t="inlineStr">
        <is>
          <t>MLB</t>
        </is>
      </c>
      <c r="F12" s="24" t="inlineStr">
        <is>
          <t>Baltimore Orioles</t>
        </is>
      </c>
      <c r="G12" s="24" t="inlineStr">
        <is>
          <t>Houston Astros</t>
        </is>
      </c>
      <c r="H12" s="24" t="inlineStr">
        <is>
          <t>moneyline</t>
        </is>
      </c>
      <c r="I12" s="24" t="inlineStr">
        <is>
          <t>home</t>
        </is>
      </c>
      <c r="J12" s="38" t="n"/>
      <c r="K12" s="24" t="inlineStr">
        <is>
          <t>polymarket_us</t>
        </is>
      </c>
      <c r="L12" s="26" t="n">
        <v>-102</v>
      </c>
      <c r="M12" s="39" t="n">
        <v>1.980392</v>
      </c>
      <c r="N12" s="28" t="n">
        <v>0.50495</v>
      </c>
      <c r="O12" s="28" t="n">
        <v>0.545167</v>
      </c>
      <c r="P12" s="28" t="n"/>
      <c r="Q12" s="28" t="n">
        <v>0.040217</v>
      </c>
      <c r="R12" s="26" t="n">
        <v>40</v>
      </c>
      <c r="S12" s="29" t="n">
        <v>1</v>
      </c>
      <c r="T12" s="24" t="inlineStr">
        <is>
          <t>mlb-elo-trend-lr-v4</t>
        </is>
      </c>
      <c r="U12" s="24" t="inlineStr">
        <is>
          <t>settled</t>
        </is>
      </c>
      <c r="V12" s="24" t="inlineStr">
        <is>
          <t>loss</t>
        </is>
      </c>
      <c r="W12" s="26" t="n">
        <v>4</v>
      </c>
      <c r="X12" s="26" t="n">
        <v>2</v>
      </c>
      <c r="Y12" s="38" t="n"/>
      <c r="Z12" s="26" t="n"/>
      <c r="AA12" s="28" t="n"/>
      <c r="AB12" s="28" t="n"/>
      <c r="AC12" s="40" t="n">
        <v>-1</v>
      </c>
      <c r="AD12" s="24" t="inlineStr">
        <is>
          <t>2026-07-18T23:59:20.760772Z</t>
        </is>
      </c>
      <c r="AE12" s="31" t="inlineStr">
        <is>
          <t>Learned LR call at threshold 0.5100; executable ask 0.5050 (aec-mlb-bal-hou-2026-07-18).</t>
        </is>
      </c>
      <c r="AF12" s="31" t="inlineStr">
        <is>
          <t>Learned model; promotion gate not yet open; zero-unit research until review.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mlb-bal</t>
        </is>
      </c>
      <c r="AQ12" s="24" t="inlineStr">
        <is>
          <t>Baltimore Orioles</t>
        </is>
      </c>
      <c r="AR12" s="24" t="inlineStr">
        <is>
          <t>Baltimore Orioles</t>
        </is>
      </c>
      <c r="AS12" s="24" t="inlineStr">
        <is>
          <t>mlb-hou</t>
        </is>
      </c>
      <c r="AT12" s="24" t="inlineStr">
        <is>
          <t>Houston Astros</t>
        </is>
      </c>
      <c r="AU12" s="24" t="inlineStr">
        <is>
          <t>Houston Astros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5224fb6ffbc9ddf8fa517627b830ac851192da94d241963d556945393a42bb9d</t>
        </is>
      </c>
      <c r="BB12" s="24" t="inlineStr">
        <is>
          <t>learned_lr</t>
        </is>
      </c>
      <c r="BC12" s="24" t="inlineStr">
        <is>
          <t>mlb-elo-trend-lr-v4</t>
        </is>
      </c>
      <c r="BD12" s="24" t="inlineStr">
        <is>
          <t>5224fb6ffbc9ddf8fa517627b830ac851192da94d241963d556945393a42bb9d</t>
        </is>
      </c>
      <c r="BE12" s="24" t="inlineStr">
        <is>
          <t>f6cae9c590f4ed48</t>
        </is>
      </c>
      <c r="BF12" s="24" t="inlineStr">
        <is>
          <t>1</t>
        </is>
      </c>
      <c r="BG12" s="24" t="inlineStr">
        <is>
          <t>mlb-elo-trend-lr-v3</t>
        </is>
      </c>
      <c r="BH12" s="24" t="inlineStr">
        <is>
          <t>2026-07-18T16:49:31.642864Z</t>
        </is>
      </c>
      <c r="BI12" s="24" t="inlineStr">
        <is>
          <t>["same_event","same_team_same_day","same_league_same_day"]</t>
        </is>
      </c>
      <c r="BJ12" s="38" t="n"/>
      <c r="BK12" s="26" t="n">
        <v>-102</v>
      </c>
      <c r="BL12" s="39" t="n">
        <v>1.980392</v>
      </c>
      <c r="BM12" s="28" t="n">
        <v>0.50495</v>
      </c>
      <c r="BN12" s="28" t="n">
        <v>0.502488</v>
      </c>
      <c r="BO12" s="28" t="n"/>
      <c r="BP12" s="38" t="n"/>
      <c r="BQ12" s="39" t="n"/>
      <c r="BR12" s="28" t="n"/>
      <c r="BS12" s="28" t="n"/>
      <c r="BT12" s="28" t="n"/>
      <c r="BU12" s="38" t="n"/>
      <c r="BV12" s="29" t="n"/>
      <c r="BW12" s="24" t="n"/>
      <c r="BX12" s="40" t="n">
        <v>1</v>
      </c>
      <c r="BY12" s="39" t="n">
        <v>-1</v>
      </c>
      <c r="BZ12" s="24" t="inlineStr">
        <is>
          <t>2026-07-18T23:59:20.760772Z</t>
        </is>
      </c>
      <c r="CA12" s="31" t="inlineStr">
        <is>
          <t>fixed one-unit hypothetical scoring; no real exposure or execution</t>
        </is>
      </c>
    </row>
    <row r="13" ht="36" customHeight="1">
      <c r="A13" s="24" t="inlineStr">
        <is>
          <t>6768ed78d65e4f03</t>
        </is>
      </c>
      <c r="B13" s="24" t="inlineStr">
        <is>
          <t>2026-07-18T17:28:36.828868Z</t>
        </is>
      </c>
      <c r="C13" s="24" t="inlineStr">
        <is>
          <t>2026-07-18T16:10:00-0400</t>
        </is>
      </c>
      <c r="D13" s="24" t="inlineStr">
        <is>
          <t>401816160</t>
        </is>
      </c>
      <c r="E13" s="24" t="inlineStr">
        <is>
          <t>MLB</t>
        </is>
      </c>
      <c r="F13" s="24" t="inlineStr">
        <is>
          <t>Tampa Bay Rays</t>
        </is>
      </c>
      <c r="G13" s="24" t="inlineStr">
        <is>
          <t>Boston Red Sox</t>
        </is>
      </c>
      <c r="H13" s="24" t="inlineStr">
        <is>
          <t>moneyline</t>
        </is>
      </c>
      <c r="I13" s="24" t="inlineStr">
        <is>
          <t>home</t>
        </is>
      </c>
      <c r="J13" s="38" t="n"/>
      <c r="K13" s="24" t="inlineStr">
        <is>
          <t>polymarket_us</t>
        </is>
      </c>
      <c r="L13" s="26" t="n">
        <v>-102</v>
      </c>
      <c r="M13" s="39" t="n">
        <v>1.980392</v>
      </c>
      <c r="N13" s="28" t="n">
        <v>0.50495</v>
      </c>
      <c r="O13" s="28" t="n">
        <v>0.5727179999999999</v>
      </c>
      <c r="P13" s="28" t="n"/>
      <c r="Q13" s="28" t="n">
        <v>0.06776799999999999</v>
      </c>
      <c r="R13" s="26" t="n">
        <v>67</v>
      </c>
      <c r="S13" s="29" t="n">
        <v>1.25</v>
      </c>
      <c r="T13" s="24" t="inlineStr">
        <is>
          <t>mlb-elo-trend-lr-v4</t>
        </is>
      </c>
      <c r="U13" s="24" t="inlineStr">
        <is>
          <t>settled</t>
        </is>
      </c>
      <c r="V13" s="24" t="inlineStr">
        <is>
          <t>win</t>
        </is>
      </c>
      <c r="W13" s="26" t="n">
        <v>6</v>
      </c>
      <c r="X13" s="26" t="n">
        <v>7</v>
      </c>
      <c r="Y13" s="38" t="n"/>
      <c r="Z13" s="26" t="n"/>
      <c r="AA13" s="28" t="n"/>
      <c r="AB13" s="28" t="n"/>
      <c r="AC13" s="40" t="n">
        <v>1.2255</v>
      </c>
      <c r="AD13" s="24" t="inlineStr">
        <is>
          <t>2026-07-18T23:59:20.822768Z</t>
        </is>
      </c>
      <c r="AE13" s="31" t="inlineStr">
        <is>
          <t>Learned LR call at threshold 0.5100; executable ask 0.5050 (aec-mlb-tb-bos-2026-07-18).</t>
        </is>
      </c>
      <c r="AF13" s="31" t="inlineStr">
        <is>
          <t>Learned model; promotion gate not yet open; zero-unit research until review.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inlineStr">
        <is>
          <t>mlb-tb</t>
        </is>
      </c>
      <c r="AQ13" s="24" t="inlineStr">
        <is>
          <t>Tampa Bay Rays</t>
        </is>
      </c>
      <c r="AR13" s="24" t="inlineStr">
        <is>
          <t>Tampa Bay Rays</t>
        </is>
      </c>
      <c r="AS13" s="24" t="inlineStr">
        <is>
          <t>mlb-bos</t>
        </is>
      </c>
      <c r="AT13" s="24" t="inlineStr">
        <is>
          <t>Boston Red Sox</t>
        </is>
      </c>
      <c r="AU13" s="24" t="inlineStr">
        <is>
          <t>Boston Red Sox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5224fb6ffbc9ddf8fa517627b830ac851192da94d241963d556945393a42bb9d</t>
        </is>
      </c>
      <c r="BB13" s="24" t="inlineStr">
        <is>
          <t>learned_lr</t>
        </is>
      </c>
      <c r="BC13" s="24" t="inlineStr">
        <is>
          <t>mlb-elo-trend-lr-v4</t>
        </is>
      </c>
      <c r="BD13" s="24" t="inlineStr">
        <is>
          <t>5224fb6ffbc9ddf8fa517627b830ac851192da94d241963d556945393a42bb9d</t>
        </is>
      </c>
      <c r="BE13" s="24" t="inlineStr">
        <is>
          <t>db0a002aa4e19b4b</t>
        </is>
      </c>
      <c r="BF13" s="24" t="inlineStr">
        <is>
          <t>1</t>
        </is>
      </c>
      <c r="BG13" s="24" t="inlineStr">
        <is>
          <t>mlb-elo-trend-lr-v3</t>
        </is>
      </c>
      <c r="BH13" s="24" t="inlineStr">
        <is>
          <t>2026-07-18T17:27:47.084596Z</t>
        </is>
      </c>
      <c r="BI13" s="24" t="inlineStr">
        <is>
          <t>["same_event","same_team_same_day","same_league_same_day"]</t>
        </is>
      </c>
      <c r="BJ13" s="38" t="n"/>
      <c r="BK13" s="26" t="n">
        <v>-102</v>
      </c>
      <c r="BL13" s="39" t="n">
        <v>1.980392</v>
      </c>
      <c r="BM13" s="28" t="n">
        <v>0.50495</v>
      </c>
      <c r="BN13" s="28" t="n">
        <v>0.502488</v>
      </c>
      <c r="BO13" s="28" t="n"/>
      <c r="BP13" s="38" t="n"/>
      <c r="BQ13" s="39" t="n"/>
      <c r="BR13" s="28" t="n"/>
      <c r="BS13" s="28" t="n"/>
      <c r="BT13" s="28" t="n"/>
      <c r="BU13" s="38" t="n"/>
      <c r="BV13" s="29" t="n"/>
      <c r="BW13" s="24" t="n"/>
      <c r="BX13" s="40" t="n">
        <v>1</v>
      </c>
      <c r="BY13" s="39" t="n">
        <v>0.980392</v>
      </c>
      <c r="BZ13" s="24" t="inlineStr">
        <is>
          <t>2026-07-18T23:59:20.822768Z</t>
        </is>
      </c>
      <c r="CA13" s="31" t="inlineStr">
        <is>
          <t>fixed one-unit hypothetical scoring; no real exposure or execution</t>
        </is>
      </c>
    </row>
    <row r="14" ht="36" customHeight="1">
      <c r="A14" s="24" t="inlineStr">
        <is>
          <t>924907abbb534b0a</t>
        </is>
      </c>
      <c r="B14" s="24" t="inlineStr">
        <is>
          <t>2026-07-18T17:28:36.828868Z</t>
        </is>
      </c>
      <c r="C14" s="24" t="inlineStr">
        <is>
          <t>2026-07-18T16:10:00-0400</t>
        </is>
      </c>
      <c r="D14" s="24" t="inlineStr">
        <is>
          <t>401816165</t>
        </is>
      </c>
      <c r="E14" s="24" t="inlineStr">
        <is>
          <t>MLB</t>
        </is>
      </c>
      <c r="F14" s="24" t="inlineStr">
        <is>
          <t>San Diego Padres</t>
        </is>
      </c>
      <c r="G14" s="24" t="inlineStr">
        <is>
          <t>Kansas City Royals</t>
        </is>
      </c>
      <c r="H14" s="24" t="inlineStr">
        <is>
          <t>moneyline</t>
        </is>
      </c>
      <c r="I14" s="24" t="inlineStr">
        <is>
          <t>away</t>
        </is>
      </c>
      <c r="J14" s="38" t="n"/>
      <c r="K14" s="24" t="inlineStr">
        <is>
          <t>polymarket_us</t>
        </is>
      </c>
      <c r="L14" s="26" t="n">
        <v>-104</v>
      </c>
      <c r="M14" s="39" t="n">
        <v>1.961538</v>
      </c>
      <c r="N14" s="28" t="n">
        <v>0.509804</v>
      </c>
      <c r="O14" s="28" t="n">
        <v>0.5306149999999999</v>
      </c>
      <c r="P14" s="28" t="n"/>
      <c r="Q14" s="28" t="n">
        <v>0.020811</v>
      </c>
      <c r="R14" s="26" t="n">
        <v>20</v>
      </c>
      <c r="S14" s="29" t="n">
        <v>0.75</v>
      </c>
      <c r="T14" s="24" t="inlineStr">
        <is>
          <t>mlb-elo-trend-lr-v4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6</v>
      </c>
      <c r="Y14" s="38" t="n"/>
      <c r="Z14" s="26" t="n"/>
      <c r="AA14" s="28" t="n"/>
      <c r="AB14" s="28" t="n"/>
      <c r="AC14" s="40" t="n">
        <v>-0.75</v>
      </c>
      <c r="AD14" s="24" t="inlineStr">
        <is>
          <t>2026-07-18T23:59:20.891397Z</t>
        </is>
      </c>
      <c r="AE14" s="31" t="inlineStr">
        <is>
          <t>Learned LR call at threshold 0.5100; executable ask 0.5100 (aec-mlb-sd-kc-2026-07-18).</t>
        </is>
      </c>
      <c r="AF14" s="31" t="inlineStr">
        <is>
          <t>Learned model; promotion gate not yet open; zero-unit research until review.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NO_CALL_MODEL_UNVALIDATED</t>
        </is>
      </c>
      <c r="AP14" s="24" t="inlineStr">
        <is>
          <t>mlb-sd</t>
        </is>
      </c>
      <c r="AQ14" s="24" t="inlineStr">
        <is>
          <t>San Diego Padres</t>
        </is>
      </c>
      <c r="AR14" s="24" t="inlineStr">
        <is>
          <t>San Diego Padres</t>
        </is>
      </c>
      <c r="AS14" s="24" t="inlineStr">
        <is>
          <t>mlb-kc</t>
        </is>
      </c>
      <c r="AT14" s="24" t="inlineStr">
        <is>
          <t>Kansas City Royals</t>
        </is>
      </c>
      <c r="AU14" s="24" t="inlineStr">
        <is>
          <t>Kansas City Royals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5224fb6ffbc9ddf8fa517627b830ac851192da94d241963d556945393a42bb9d</t>
        </is>
      </c>
      <c r="BB14" s="24" t="inlineStr">
        <is>
          <t>learned_lr</t>
        </is>
      </c>
      <c r="BC14" s="24" t="inlineStr">
        <is>
          <t>mlb-elo-trend-lr-v4</t>
        </is>
      </c>
      <c r="BD14" s="24" t="inlineStr">
        <is>
          <t>5224fb6ffbc9ddf8fa517627b830ac851192da94d241963d556945393a42bb9d</t>
        </is>
      </c>
      <c r="BE14" s="24" t="inlineStr">
        <is>
          <t>ed4675d45b8d4ffe</t>
        </is>
      </c>
      <c r="BF14" s="24" t="inlineStr">
        <is>
          <t>1</t>
        </is>
      </c>
      <c r="BG14" s="24" t="inlineStr">
        <is>
          <t>mlb-elo-trend-lr-v3</t>
        </is>
      </c>
      <c r="BH14" s="24" t="inlineStr">
        <is>
          <t>2026-07-18T17:27:46.135351Z</t>
        </is>
      </c>
      <c r="BI14" s="24" t="inlineStr">
        <is>
          <t>["same_event","same_team_same_day","same_league_same_day"]</t>
        </is>
      </c>
      <c r="BJ14" s="38" t="n"/>
      <c r="BK14" s="26" t="n">
        <v>-104</v>
      </c>
      <c r="BL14" s="39" t="n">
        <v>1.961538</v>
      </c>
      <c r="BM14" s="28" t="n">
        <v>0.509804</v>
      </c>
      <c r="BN14" s="28" t="n">
        <v>0.507463</v>
      </c>
      <c r="BO14" s="28" t="n"/>
      <c r="BP14" s="38" t="n"/>
      <c r="BQ14" s="39" t="n"/>
      <c r="BR14" s="28" t="n"/>
      <c r="BS14" s="28" t="n"/>
      <c r="BT14" s="28" t="n"/>
      <c r="BU14" s="38" t="n"/>
      <c r="BV14" s="29" t="n"/>
      <c r="BW14" s="24" t="n"/>
      <c r="BX14" s="40" t="n">
        <v>1</v>
      </c>
      <c r="BY14" s="39" t="n">
        <v>-1</v>
      </c>
      <c r="BZ14" s="24" t="inlineStr">
        <is>
          <t>2026-07-18T23:59:20.891397Z</t>
        </is>
      </c>
      <c r="CA14" s="31" t="inlineStr">
        <is>
          <t>fixed one-unit hypothetical scoring; no real exposure or execution</t>
        </is>
      </c>
    </row>
    <row r="15" ht="36" customHeight="1">
      <c r="A15" s="24" t="inlineStr">
        <is>
          <t>48c8669ffc2149cc</t>
        </is>
      </c>
      <c r="B15" s="24" t="inlineStr">
        <is>
          <t>2026-07-18T17:37:17.255201Z</t>
        </is>
      </c>
      <c r="C15" s="24" t="inlineStr">
        <is>
          <t>2026-07-19T12:15:00-0400</t>
        </is>
      </c>
      <c r="D15" s="24" t="inlineStr">
        <is>
          <t>401816171</t>
        </is>
      </c>
      <c r="E15" s="24" t="inlineStr">
        <is>
          <t>MLB</t>
        </is>
      </c>
      <c r="F15" s="24" t="inlineStr">
        <is>
          <t>Chicago White Sox</t>
        </is>
      </c>
      <c r="G15" s="24" t="inlineStr">
        <is>
          <t>Toronto Blue Jays</t>
        </is>
      </c>
      <c r="H15" s="24" t="inlineStr">
        <is>
          <t>moneyline</t>
        </is>
      </c>
      <c r="I15" s="24" t="inlineStr">
        <is>
          <t>home</t>
        </is>
      </c>
      <c r="J15" s="38" t="n"/>
      <c r="K15" s="24" t="inlineStr">
        <is>
          <t>polymarket_us</t>
        </is>
      </c>
      <c r="L15" s="26" t="n">
        <v>-104</v>
      </c>
      <c r="M15" s="39" t="n">
        <v>1.961538</v>
      </c>
      <c r="N15" s="28" t="n">
        <v>0.509804</v>
      </c>
      <c r="O15" s="28" t="n">
        <v>0.549576</v>
      </c>
      <c r="P15" s="28" t="n"/>
      <c r="Q15" s="28" t="n">
        <v>0.039772</v>
      </c>
      <c r="R15" s="26" t="n">
        <v>39</v>
      </c>
      <c r="S15" s="29" t="n">
        <v>1</v>
      </c>
      <c r="T15" s="24" t="inlineStr">
        <is>
          <t>mlb-elo-trend-lr-v4</t>
        </is>
      </c>
      <c r="U15" s="24" t="inlineStr">
        <is>
          <t>settled</t>
        </is>
      </c>
      <c r="V15" s="24" t="inlineStr">
        <is>
          <t>loss</t>
        </is>
      </c>
      <c r="W15" s="26" t="n">
        <v>3</v>
      </c>
      <c r="X15" s="26" t="n">
        <v>0</v>
      </c>
      <c r="Y15" s="38" t="n"/>
      <c r="Z15" s="26" t="n"/>
      <c r="AA15" s="28" t="n"/>
      <c r="AB15" s="28" t="n"/>
      <c r="AC15" s="40" t="n">
        <v>-1</v>
      </c>
      <c r="AD15" s="24" t="inlineStr">
        <is>
          <t>2026-07-19T21:31:34.426330Z</t>
        </is>
      </c>
      <c r="AE15" s="31" t="inlineStr">
        <is>
          <t>Learned LR call at threshold 0.5100; executable ask 0.5100 (aec-mlb-cws-tor-2026-07-19).</t>
        </is>
      </c>
      <c r="AF15" s="31" t="inlineStr">
        <is>
          <t>Learned model; promotion gate not yet open; zero-unit research until review.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mlb-cws</t>
        </is>
      </c>
      <c r="AQ15" s="24" t="inlineStr">
        <is>
          <t>Chicago White Sox</t>
        </is>
      </c>
      <c r="AR15" s="24" t="inlineStr">
        <is>
          <t>Chicago White Sox</t>
        </is>
      </c>
      <c r="AS15" s="24" t="inlineStr">
        <is>
          <t>mlb-tor</t>
        </is>
      </c>
      <c r="AT15" s="24" t="inlineStr">
        <is>
          <t>Toronto Blue Jays</t>
        </is>
      </c>
      <c r="AU15" s="24" t="inlineStr">
        <is>
          <t>Toronto Blue Jays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5224fb6ffbc9ddf8fa517627b830ac851192da94d241963d556945393a42bb9d</t>
        </is>
      </c>
      <c r="BB15" s="24" t="inlineStr">
        <is>
          <t>learned_lr</t>
        </is>
      </c>
      <c r="BC15" s="24" t="inlineStr">
        <is>
          <t>mlb-elo-trend-lr-v4</t>
        </is>
      </c>
      <c r="BD15" s="24" t="inlineStr">
        <is>
          <t>5224fb6ffbc9ddf8fa517627b830ac851192da94d241963d556945393a42bb9d</t>
        </is>
      </c>
      <c r="BE15" s="24" t="inlineStr">
        <is>
          <t>50f6dab0538e7f4a</t>
        </is>
      </c>
      <c r="BF15" s="24" t="inlineStr">
        <is>
          <t>1</t>
        </is>
      </c>
      <c r="BG15" s="24" t="inlineStr">
        <is>
          <t>mlb-elo-trend-lr-v3</t>
        </is>
      </c>
      <c r="BH15" s="24" t="inlineStr">
        <is>
          <t>2026-07-18T17:36:34.425604Z</t>
        </is>
      </c>
      <c r="BI15" s="24" t="inlineStr">
        <is>
          <t>["same_event","same_team_same_day","same_league_same_day"]</t>
        </is>
      </c>
      <c r="BJ15" s="38" t="n"/>
      <c r="BK15" s="26" t="n">
        <v>-104</v>
      </c>
      <c r="BL15" s="39" t="n">
        <v>1.961538</v>
      </c>
      <c r="BM15" s="28" t="n">
        <v>0.509804</v>
      </c>
      <c r="BN15" s="28" t="n">
        <v>0.507463</v>
      </c>
      <c r="BO15" s="28" t="n"/>
      <c r="BP15" s="38" t="n"/>
      <c r="BQ15" s="39" t="n"/>
      <c r="BR15" s="28" t="n"/>
      <c r="BS15" s="28" t="n"/>
      <c r="BT15" s="28" t="n"/>
      <c r="BU15" s="38" t="n"/>
      <c r="BV15" s="29" t="n"/>
      <c r="BW15" s="24" t="n"/>
      <c r="BX15" s="40" t="n">
        <v>1</v>
      </c>
      <c r="BY15" s="39" t="n">
        <v>-1</v>
      </c>
      <c r="BZ15" s="24" t="inlineStr">
        <is>
          <t>2026-07-19T21:31:34.426330Z</t>
        </is>
      </c>
      <c r="CA15" s="31" t="inlineStr">
        <is>
          <t>fixed one-unit hypothetical scoring; no real exposure or execution</t>
        </is>
      </c>
    </row>
    <row r="16" ht="36" customHeight="1">
      <c r="A16" s="24" t="inlineStr">
        <is>
          <t>5290104d16c8463b</t>
        </is>
      </c>
      <c r="B16" s="24" t="inlineStr">
        <is>
          <t>2026-07-18T17:37:17.255201Z</t>
        </is>
      </c>
      <c r="C16" s="24" t="inlineStr">
        <is>
          <t>2026-07-19T13:35:00-0400</t>
        </is>
      </c>
      <c r="D16" s="24" t="inlineStr">
        <is>
          <t>401816173</t>
        </is>
      </c>
      <c r="E16" s="24" t="inlineStr">
        <is>
          <t>MLB</t>
        </is>
      </c>
      <c r="F16" s="24" t="inlineStr">
        <is>
          <t>New York Mets</t>
        </is>
      </c>
      <c r="G16" s="24" t="inlineStr">
        <is>
          <t>Philadelphia Phillies</t>
        </is>
      </c>
      <c r="H16" s="24" t="inlineStr">
        <is>
          <t>moneyline</t>
        </is>
      </c>
      <c r="I16" s="24" t="inlineStr">
        <is>
          <t>home</t>
        </is>
      </c>
      <c r="J16" s="38" t="n"/>
      <c r="K16" s="24" t="inlineStr">
        <is>
          <t>polymarket_us</t>
        </is>
      </c>
      <c r="L16" s="26" t="n">
        <v>-111</v>
      </c>
      <c r="M16" s="39" t="n">
        <v>1.900901</v>
      </c>
      <c r="N16" s="28" t="n">
        <v>0.526066</v>
      </c>
      <c r="O16" s="28" t="n">
        <v>0.606009</v>
      </c>
      <c r="P16" s="28" t="n"/>
      <c r="Q16" s="28" t="n">
        <v>0.079943</v>
      </c>
      <c r="R16" s="26" t="n">
        <v>79</v>
      </c>
      <c r="S16" s="29" t="n">
        <v>1.5</v>
      </c>
      <c r="T16" s="24" t="inlineStr">
        <is>
          <t>mlb-elo-trend-lr-v4</t>
        </is>
      </c>
      <c r="U16" s="24" t="inlineStr">
        <is>
          <t>settled</t>
        </is>
      </c>
      <c r="V16" s="24" t="inlineStr">
        <is>
          <t>loss</t>
        </is>
      </c>
      <c r="W16" s="26" t="n">
        <v>6</v>
      </c>
      <c r="X16" s="26" t="n">
        <v>1</v>
      </c>
      <c r="Y16" s="38" t="n"/>
      <c r="Z16" s="26" t="n"/>
      <c r="AA16" s="28" t="n"/>
      <c r="AB16" s="28" t="n"/>
      <c r="AC16" s="40" t="n">
        <v>-1.5</v>
      </c>
      <c r="AD16" s="24" t="inlineStr">
        <is>
          <t>2026-07-19T21:31:34.633018Z</t>
        </is>
      </c>
      <c r="AE16" s="31" t="inlineStr">
        <is>
          <t>Learned LR call at threshold 0.5100; executable ask 0.5250 (aec-mlb-nym-phi-2026-07-19).</t>
        </is>
      </c>
      <c r="AF16" s="31" t="inlineStr">
        <is>
          <t>Learned model; promotion gate not yet open; zero-unit research until review.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mlb-nym</t>
        </is>
      </c>
      <c r="AQ16" s="24" t="inlineStr">
        <is>
          <t>New York Mets</t>
        </is>
      </c>
      <c r="AR16" s="24" t="inlineStr">
        <is>
          <t>New York Mets</t>
        </is>
      </c>
      <c r="AS16" s="24" t="inlineStr">
        <is>
          <t>mlb-phi</t>
        </is>
      </c>
      <c r="AT16" s="24" t="inlineStr">
        <is>
          <t>Philadelphia Phillies</t>
        </is>
      </c>
      <c r="AU16" s="24" t="inlineStr">
        <is>
          <t>Philadelphia Phillies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5224fb6ffbc9ddf8fa517627b830ac851192da94d241963d556945393a42bb9d</t>
        </is>
      </c>
      <c r="BB16" s="24" t="inlineStr">
        <is>
          <t>learned_lr</t>
        </is>
      </c>
      <c r="BC16" s="24" t="inlineStr">
        <is>
          <t>mlb-elo-trend-lr-v4</t>
        </is>
      </c>
      <c r="BD16" s="24" t="inlineStr">
        <is>
          <t>5224fb6ffbc9ddf8fa517627b830ac851192da94d241963d556945393a42bb9d</t>
        </is>
      </c>
      <c r="BE16" s="24" t="inlineStr">
        <is>
          <t>ce93768fc5c8be02</t>
        </is>
      </c>
      <c r="BF16" s="24" t="inlineStr">
        <is>
          <t>1</t>
        </is>
      </c>
      <c r="BG16" s="24" t="inlineStr">
        <is>
          <t>mlb-elo-trend-lr-v3</t>
        </is>
      </c>
      <c r="BH16" s="24" t="inlineStr">
        <is>
          <t>2026-07-18T17:36:34.787099Z</t>
        </is>
      </c>
      <c r="BI16" s="24" t="inlineStr">
        <is>
          <t>["same_event","same_team_same_day","same_league_same_day"]</t>
        </is>
      </c>
      <c r="BJ16" s="38" t="n"/>
      <c r="BK16" s="26" t="n">
        <v>-111</v>
      </c>
      <c r="BL16" s="39" t="n">
        <v>1.900901</v>
      </c>
      <c r="BM16" s="28" t="n">
        <v>0.526066</v>
      </c>
      <c r="BN16" s="28" t="n">
        <v>0.522388</v>
      </c>
      <c r="BO16" s="28" t="n"/>
      <c r="BP16" s="38" t="n"/>
      <c r="BQ16" s="39" t="n"/>
      <c r="BR16" s="28" t="n"/>
      <c r="BS16" s="28" t="n"/>
      <c r="BT16" s="28" t="n"/>
      <c r="BU16" s="38" t="n"/>
      <c r="BV16" s="29" t="n"/>
      <c r="BW16" s="24" t="n"/>
      <c r="BX16" s="40" t="n">
        <v>1</v>
      </c>
      <c r="BY16" s="39" t="n">
        <v>-1</v>
      </c>
      <c r="BZ16" s="24" t="inlineStr">
        <is>
          <t>2026-07-19T21:31:34.633018Z</t>
        </is>
      </c>
      <c r="CA16" s="31" t="inlineStr">
        <is>
          <t>fixed one-unit hypothetical scoring; no real exposure or execution</t>
        </is>
      </c>
    </row>
    <row r="17" ht="36" customHeight="1">
      <c r="A17" s="24" t="inlineStr">
        <is>
          <t>7a4271bd40494914</t>
        </is>
      </c>
      <c r="B17" s="24" t="inlineStr">
        <is>
          <t>2026-07-18T17:37:17.255201Z</t>
        </is>
      </c>
      <c r="C17" s="24" t="inlineStr">
        <is>
          <t>2026-07-19T13:35:00-0400</t>
        </is>
      </c>
      <c r="D17" s="24" t="inlineStr">
        <is>
          <t>401816175</t>
        </is>
      </c>
      <c r="E17" s="24" t="inlineStr">
        <is>
          <t>MLB</t>
        </is>
      </c>
      <c r="F17" s="24" t="inlineStr">
        <is>
          <t>Tampa Bay Rays</t>
        </is>
      </c>
      <c r="G17" s="24" t="inlineStr">
        <is>
          <t>Boston Red Sox</t>
        </is>
      </c>
      <c r="H17" s="24" t="inlineStr">
        <is>
          <t>moneyline</t>
        </is>
      </c>
      <c r="I17" s="24" t="inlineStr">
        <is>
          <t>home</t>
        </is>
      </c>
      <c r="J17" s="38" t="n"/>
      <c r="K17" s="24" t="inlineStr">
        <is>
          <t>polymarket_us</t>
        </is>
      </c>
      <c r="L17" s="26" t="n">
        <v>-108</v>
      </c>
      <c r="M17" s="39" t="n">
        <v>1.925926</v>
      </c>
      <c r="N17" s="28" t="n">
        <v>0.519231</v>
      </c>
      <c r="O17" s="28" t="n">
        <v>0.550576</v>
      </c>
      <c r="P17" s="28" t="n"/>
      <c r="Q17" s="28" t="n">
        <v>0.031345</v>
      </c>
      <c r="R17" s="26" t="n">
        <v>31</v>
      </c>
      <c r="S17" s="29" t="n">
        <v>1</v>
      </c>
      <c r="T17" s="24" t="inlineStr">
        <is>
          <t>mlb-elo-trend-lr-v4</t>
        </is>
      </c>
      <c r="U17" s="24" t="inlineStr">
        <is>
          <t>settled</t>
        </is>
      </c>
      <c r="V17" s="24" t="inlineStr">
        <is>
          <t>win</t>
        </is>
      </c>
      <c r="W17" s="26" t="n">
        <v>1</v>
      </c>
      <c r="X17" s="26" t="n">
        <v>6</v>
      </c>
      <c r="Y17" s="38" t="n"/>
      <c r="Z17" s="26" t="n"/>
      <c r="AA17" s="28" t="n"/>
      <c r="AB17" s="28" t="n"/>
      <c r="AC17" s="40" t="n">
        <v>0.9258999999999999</v>
      </c>
      <c r="AD17" s="24" t="inlineStr">
        <is>
          <t>2026-07-19T21:31:34.820097Z</t>
        </is>
      </c>
      <c r="AE17" s="31" t="inlineStr">
        <is>
          <t>Learned LR call at threshold 0.5100; executable ask 0.5200 (aec-mlb-tb-bos-2026-07-19).</t>
        </is>
      </c>
      <c r="AF17" s="31" t="inlineStr">
        <is>
          <t>Learned model; promotion gate not yet open; zero-unit research until review.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mlb-tb</t>
        </is>
      </c>
      <c r="AQ17" s="24" t="inlineStr">
        <is>
          <t>Tampa Bay Rays</t>
        </is>
      </c>
      <c r="AR17" s="24" t="inlineStr">
        <is>
          <t>Tampa Bay Rays</t>
        </is>
      </c>
      <c r="AS17" s="24" t="inlineStr">
        <is>
          <t>mlb-bos</t>
        </is>
      </c>
      <c r="AT17" s="24" t="inlineStr">
        <is>
          <t>Boston Red Sox</t>
        </is>
      </c>
      <c r="AU17" s="24" t="inlineStr">
        <is>
          <t>Boston Red Sox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5224fb6ffbc9ddf8fa517627b830ac851192da94d241963d556945393a42bb9d</t>
        </is>
      </c>
      <c r="BB17" s="24" t="inlineStr">
        <is>
          <t>learned_lr</t>
        </is>
      </c>
      <c r="BC17" s="24" t="inlineStr">
        <is>
          <t>mlb-elo-trend-lr-v4</t>
        </is>
      </c>
      <c r="BD17" s="24" t="inlineStr">
        <is>
          <t>5224fb6ffbc9ddf8fa517627b830ac851192da94d241963d556945393a42bb9d</t>
        </is>
      </c>
      <c r="BE17" s="24" t="inlineStr">
        <is>
          <t>1e50d689e0ba0748</t>
        </is>
      </c>
      <c r="BF17" s="24" t="inlineStr">
        <is>
          <t>1</t>
        </is>
      </c>
      <c r="BG17" s="24" t="inlineStr">
        <is>
          <t>mlb-elo-trend-lr-v3</t>
        </is>
      </c>
      <c r="BH17" s="24" t="inlineStr">
        <is>
          <t>2026-07-18T17:36:36.879504Z</t>
        </is>
      </c>
      <c r="BI17" s="24" t="inlineStr">
        <is>
          <t>["same_event","same_team_same_day","same_league_same_day"]</t>
        </is>
      </c>
      <c r="BJ17" s="38" t="n"/>
      <c r="BK17" s="26" t="n">
        <v>-108</v>
      </c>
      <c r="BL17" s="39" t="n">
        <v>1.925926</v>
      </c>
      <c r="BM17" s="28" t="n">
        <v>0.519231</v>
      </c>
      <c r="BN17" s="28" t="n">
        <v>0.5148509999999999</v>
      </c>
      <c r="BO17" s="28" t="n"/>
      <c r="BP17" s="38" t="n"/>
      <c r="BQ17" s="39" t="n"/>
      <c r="BR17" s="28" t="n"/>
      <c r="BS17" s="28" t="n"/>
      <c r="BT17" s="28" t="n"/>
      <c r="BU17" s="38" t="n"/>
      <c r="BV17" s="29" t="n"/>
      <c r="BW17" s="24" t="n"/>
      <c r="BX17" s="40" t="n">
        <v>1</v>
      </c>
      <c r="BY17" s="39" t="n">
        <v>0.925926</v>
      </c>
      <c r="BZ17" s="24" t="inlineStr">
        <is>
          <t>2026-07-19T21:31:34.820097Z</t>
        </is>
      </c>
      <c r="CA17" s="31" t="inlineStr">
        <is>
          <t>fixed one-unit hypothetical scoring; no real exposure or execution</t>
        </is>
      </c>
    </row>
    <row r="18" ht="36" customHeight="1">
      <c r="A18" s="24" t="inlineStr">
        <is>
          <t>6c30433f6943459a</t>
        </is>
      </c>
      <c r="B18" s="24" t="inlineStr">
        <is>
          <t>2026-07-18T17:37:17.255201Z</t>
        </is>
      </c>
      <c r="C18" s="24" t="inlineStr">
        <is>
          <t>2026-07-19T13:40:00-0400</t>
        </is>
      </c>
      <c r="D18" s="24" t="inlineStr">
        <is>
          <t>401816174</t>
        </is>
      </c>
      <c r="E18" s="24" t="inlineStr">
        <is>
          <t>MLB</t>
        </is>
      </c>
      <c r="F18" s="24" t="inlineStr">
        <is>
          <t>Pittsburgh Pirates</t>
        </is>
      </c>
      <c r="G18" s="24" t="inlineStr">
        <is>
          <t>Cleveland Guardians</t>
        </is>
      </c>
      <c r="H18" s="24" t="inlineStr">
        <is>
          <t>moneyline</t>
        </is>
      </c>
      <c r="I18" s="24" t="inlineStr">
        <is>
          <t>home</t>
        </is>
      </c>
      <c r="J18" s="38" t="n"/>
      <c r="K18" s="24" t="inlineStr">
        <is>
          <t>polymarket_us</t>
        </is>
      </c>
      <c r="L18" s="26" t="n">
        <v>111</v>
      </c>
      <c r="M18" s="39" t="n">
        <v>2.11</v>
      </c>
      <c r="N18" s="28" t="n">
        <v>0.473934</v>
      </c>
      <c r="O18" s="28" t="n">
        <v>0.564072</v>
      </c>
      <c r="P18" s="28" t="n"/>
      <c r="Q18" s="28" t="n">
        <v>0.090138</v>
      </c>
      <c r="R18" s="26" t="n">
        <v>90</v>
      </c>
      <c r="S18" s="29" t="n">
        <v>1.25</v>
      </c>
      <c r="T18" s="24" t="inlineStr">
        <is>
          <t>mlb-elo-trend-lr-v4</t>
        </is>
      </c>
      <c r="U18" s="24" t="inlineStr">
        <is>
          <t>settled</t>
        </is>
      </c>
      <c r="V18" s="24" t="inlineStr">
        <is>
          <t>loss</t>
        </is>
      </c>
      <c r="W18" s="26" t="n">
        <v>7</v>
      </c>
      <c r="X18" s="26" t="n">
        <v>1</v>
      </c>
      <c r="Y18" s="38" t="n"/>
      <c r="Z18" s="26" t="n"/>
      <c r="AA18" s="28" t="n"/>
      <c r="AB18" s="28" t="n"/>
      <c r="AC18" s="40" t="n">
        <v>-1.25</v>
      </c>
      <c r="AD18" s="24" t="inlineStr">
        <is>
          <t>2026-07-19T21:31:35.008100Z</t>
        </is>
      </c>
      <c r="AE18" s="31" t="inlineStr">
        <is>
          <t>Learned LR call at threshold 0.5100; executable ask 0.4750 (aec-mlb-pit-cle-2026-07-19).</t>
        </is>
      </c>
      <c r="AF18" s="31" t="inlineStr">
        <is>
          <t>Learned model; promotion gate not yet open; zero-unit research until review.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mlb-pit</t>
        </is>
      </c>
      <c r="AQ18" s="24" t="inlineStr">
        <is>
          <t>Pittsburgh Pirates</t>
        </is>
      </c>
      <c r="AR18" s="24" t="inlineStr">
        <is>
          <t>Pittsburgh Pirates</t>
        </is>
      </c>
      <c r="AS18" s="24" t="inlineStr">
        <is>
          <t>mlb-cle</t>
        </is>
      </c>
      <c r="AT18" s="24" t="inlineStr">
        <is>
          <t>Cleveland Guardians</t>
        </is>
      </c>
      <c r="AU18" s="24" t="inlineStr">
        <is>
          <t>Cleveland Guardians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5224fb6ffbc9ddf8fa517627b830ac851192da94d241963d556945393a42bb9d</t>
        </is>
      </c>
      <c r="BB18" s="24" t="inlineStr">
        <is>
          <t>learned_lr</t>
        </is>
      </c>
      <c r="BC18" s="24" t="inlineStr">
        <is>
          <t>mlb-elo-trend-lr-v4</t>
        </is>
      </c>
      <c r="BD18" s="24" t="inlineStr">
        <is>
          <t>5224fb6ffbc9ddf8fa517627b830ac851192da94d241963d556945393a42bb9d</t>
        </is>
      </c>
      <c r="BE18" s="24" t="inlineStr">
        <is>
          <t>5e36475e8b7bf75d</t>
        </is>
      </c>
      <c r="BF18" s="24" t="inlineStr">
        <is>
          <t>1</t>
        </is>
      </c>
      <c r="BG18" s="24" t="inlineStr">
        <is>
          <t>mlb-elo-trend-lr-v3</t>
        </is>
      </c>
      <c r="BH18" s="24" t="inlineStr">
        <is>
          <t>2026-07-18T17:36:37.946655Z</t>
        </is>
      </c>
      <c r="BI18" s="24" t="inlineStr">
        <is>
          <t>["same_event","same_team_same_day","same_league_same_day"]</t>
        </is>
      </c>
      <c r="BJ18" s="38" t="n"/>
      <c r="BK18" s="26" t="n">
        <v>111</v>
      </c>
      <c r="BL18" s="39" t="n">
        <v>2.11</v>
      </c>
      <c r="BM18" s="28" t="n">
        <v>0.473934</v>
      </c>
      <c r="BN18" s="28" t="n">
        <v>0.472637</v>
      </c>
      <c r="BO18" s="28" t="n"/>
      <c r="BP18" s="38" t="n"/>
      <c r="BQ18" s="39" t="n"/>
      <c r="BR18" s="28" t="n"/>
      <c r="BS18" s="28" t="n"/>
      <c r="BT18" s="28" t="n"/>
      <c r="BU18" s="38" t="n"/>
      <c r="BV18" s="29" t="n"/>
      <c r="BW18" s="24" t="n"/>
      <c r="BX18" s="40" t="n">
        <v>1</v>
      </c>
      <c r="BY18" s="39" t="n">
        <v>-1</v>
      </c>
      <c r="BZ18" s="24" t="inlineStr">
        <is>
          <t>2026-07-19T21:31:35.008100Z</t>
        </is>
      </c>
      <c r="CA18" s="31" t="inlineStr">
        <is>
          <t>fixed one-unit hypothetical scoring; no real exposure or execution</t>
        </is>
      </c>
    </row>
    <row r="19" ht="36" customHeight="1">
      <c r="A19" s="24" t="inlineStr">
        <is>
          <t>a96ea6dd6b144441</t>
        </is>
      </c>
      <c r="B19" s="24" t="inlineStr">
        <is>
          <t>2026-07-18T17:37:17.255201Z</t>
        </is>
      </c>
      <c r="C19" s="24" t="inlineStr">
        <is>
          <t>2026-07-19T14:10:00-0400</t>
        </is>
      </c>
      <c r="D19" s="24" t="inlineStr">
        <is>
          <t>401816178</t>
        </is>
      </c>
      <c r="E19" s="24" t="inlineStr">
        <is>
          <t>MLB</t>
        </is>
      </c>
      <c r="F19" s="24" t="inlineStr">
        <is>
          <t>Miami Marlins</t>
        </is>
      </c>
      <c r="G19" s="24" t="inlineStr">
        <is>
          <t>Milwaukee Brewers</t>
        </is>
      </c>
      <c r="H19" s="24" t="inlineStr">
        <is>
          <t>moneyline</t>
        </is>
      </c>
      <c r="I19" s="24" t="inlineStr">
        <is>
          <t>home</t>
        </is>
      </c>
      <c r="J19" s="38" t="n"/>
      <c r="K19" s="24" t="inlineStr">
        <is>
          <t>polymarket_us</t>
        </is>
      </c>
      <c r="L19" s="26" t="n">
        <v>-125</v>
      </c>
      <c r="M19" s="39" t="n">
        <v>1.8</v>
      </c>
      <c r="N19" s="28" t="n">
        <v>0.555556</v>
      </c>
      <c r="O19" s="28" t="n">
        <v>0.607169</v>
      </c>
      <c r="P19" s="28" t="n"/>
      <c r="Q19" s="28" t="n">
        <v>0.051613</v>
      </c>
      <c r="R19" s="26" t="n">
        <v>51</v>
      </c>
      <c r="S19" s="29" t="n">
        <v>1.5</v>
      </c>
      <c r="T19" s="24" t="inlineStr">
        <is>
          <t>mlb-elo-trend-lr-v4</t>
        </is>
      </c>
      <c r="U19" s="24" t="inlineStr">
        <is>
          <t>settled</t>
        </is>
      </c>
      <c r="V19" s="24" t="inlineStr">
        <is>
          <t>win</t>
        </is>
      </c>
      <c r="W19" s="26" t="n">
        <v>1</v>
      </c>
      <c r="X19" s="26" t="n">
        <v>3</v>
      </c>
      <c r="Y19" s="38" t="n"/>
      <c r="Z19" s="26" t="n"/>
      <c r="AA19" s="28" t="n"/>
      <c r="AB19" s="28" t="n"/>
      <c r="AC19" s="40" t="n">
        <v>1.2</v>
      </c>
      <c r="AD19" s="24" t="inlineStr">
        <is>
          <t>2026-07-19T21:31:35.195059Z</t>
        </is>
      </c>
      <c r="AE19" s="31" t="inlineStr">
        <is>
          <t>Learned LR call at threshold 0.5100; executable ask 0.5550 (aec-mlb-mia-mil-2026-07-19).</t>
        </is>
      </c>
      <c r="AF19" s="31" t="inlineStr">
        <is>
          <t>Learned model; promotion gate not yet open; zero-unit research until review.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mlb-mia</t>
        </is>
      </c>
      <c r="AQ19" s="24" t="inlineStr">
        <is>
          <t>Miami Marlins</t>
        </is>
      </c>
      <c r="AR19" s="24" t="inlineStr">
        <is>
          <t>Miami Marlins</t>
        </is>
      </c>
      <c r="AS19" s="24" t="inlineStr">
        <is>
          <t>mlb-mil</t>
        </is>
      </c>
      <c r="AT19" s="24" t="inlineStr">
        <is>
          <t>Milwaukee Brewers</t>
        </is>
      </c>
      <c r="AU19" s="24" t="inlineStr">
        <is>
          <t>Milwaukee Brewers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5224fb6ffbc9ddf8fa517627b830ac851192da94d241963d556945393a42bb9d</t>
        </is>
      </c>
      <c r="BB19" s="24" t="inlineStr">
        <is>
          <t>learned_lr</t>
        </is>
      </c>
      <c r="BC19" s="24" t="inlineStr">
        <is>
          <t>mlb-elo-trend-lr-v4</t>
        </is>
      </c>
      <c r="BD19" s="24" t="inlineStr">
        <is>
          <t>5224fb6ffbc9ddf8fa517627b830ac851192da94d241963d556945393a42bb9d</t>
        </is>
      </c>
      <c r="BE19" s="24" t="inlineStr">
        <is>
          <t>a0d9b1134dce1744</t>
        </is>
      </c>
      <c r="BF19" s="24" t="inlineStr">
        <is>
          <t>1</t>
        </is>
      </c>
      <c r="BG19" s="24" t="inlineStr">
        <is>
          <t>mlb-elo-trend-lr-v3</t>
        </is>
      </c>
      <c r="BH19" s="24" t="inlineStr">
        <is>
          <t>2026-07-18T17:36:41.204729Z</t>
        </is>
      </c>
      <c r="BI19" s="24" t="inlineStr">
        <is>
          <t>["same_event","same_team_same_day","same_league_same_day"]</t>
        </is>
      </c>
      <c r="BJ19" s="38" t="n"/>
      <c r="BK19" s="26" t="n">
        <v>-125</v>
      </c>
      <c r="BL19" s="39" t="n">
        <v>1.8</v>
      </c>
      <c r="BM19" s="28" t="n">
        <v>0.555556</v>
      </c>
      <c r="BN19" s="28" t="n">
        <v>0.552239</v>
      </c>
      <c r="BO19" s="28" t="n"/>
      <c r="BP19" s="38" t="n"/>
      <c r="BQ19" s="39" t="n"/>
      <c r="BR19" s="28" t="n"/>
      <c r="BS19" s="28" t="n"/>
      <c r="BT19" s="28" t="n"/>
      <c r="BU19" s="38" t="n"/>
      <c r="BV19" s="29" t="n"/>
      <c r="BW19" s="24" t="n"/>
      <c r="BX19" s="40" t="n">
        <v>1</v>
      </c>
      <c r="BY19" s="39" t="n">
        <v>0.8</v>
      </c>
      <c r="BZ19" s="24" t="inlineStr">
        <is>
          <t>2026-07-19T21:31:35.195059Z</t>
        </is>
      </c>
      <c r="CA19" s="31" t="inlineStr">
        <is>
          <t>fixed one-unit hypothetical scoring; no real exposure or execution</t>
        </is>
      </c>
    </row>
    <row r="20" ht="36" customHeight="1">
      <c r="A20" s="24" t="inlineStr">
        <is>
          <t>04b8c864fb464dd7</t>
        </is>
      </c>
      <c r="B20" s="24" t="inlineStr">
        <is>
          <t>2026-07-18T17:37:17.255201Z</t>
        </is>
      </c>
      <c r="C20" s="24" t="inlineStr">
        <is>
          <t>2026-07-19T14:10:00-0400</t>
        </is>
      </c>
      <c r="D20" s="24" t="inlineStr">
        <is>
          <t>401816180</t>
        </is>
      </c>
      <c r="E20" s="24" t="inlineStr">
        <is>
          <t>MLB</t>
        </is>
      </c>
      <c r="F20" s="24" t="inlineStr">
        <is>
          <t>San Diego Padres</t>
        </is>
      </c>
      <c r="G20" s="24" t="inlineStr">
        <is>
          <t>Kansas City Royals</t>
        </is>
      </c>
      <c r="H20" s="24" t="inlineStr">
        <is>
          <t>moneyline</t>
        </is>
      </c>
      <c r="I20" s="24" t="inlineStr">
        <is>
          <t>away</t>
        </is>
      </c>
      <c r="J20" s="38" t="n"/>
      <c r="K20" s="24" t="inlineStr">
        <is>
          <t>polymarket_us</t>
        </is>
      </c>
      <c r="L20" s="26" t="n">
        <v>106</v>
      </c>
      <c r="M20" s="39" t="n">
        <v>2.06</v>
      </c>
      <c r="N20" s="28" t="n">
        <v>0.485437</v>
      </c>
      <c r="O20" s="28" t="n">
        <v>0.520865</v>
      </c>
      <c r="P20" s="28" t="n"/>
      <c r="Q20" s="28" t="n">
        <v>0.035428</v>
      </c>
      <c r="R20" s="26" t="n">
        <v>35</v>
      </c>
      <c r="S20" s="29" t="n">
        <v>0.75</v>
      </c>
      <c r="T20" s="24" t="inlineStr">
        <is>
          <t>mlb-elo-trend-lr-v4</t>
        </is>
      </c>
      <c r="U20" s="24" t="inlineStr">
        <is>
          <t>settled</t>
        </is>
      </c>
      <c r="V20" s="24" t="inlineStr">
        <is>
          <t>win</t>
        </is>
      </c>
      <c r="W20" s="26" t="n">
        <v>19</v>
      </c>
      <c r="X20" s="26" t="n">
        <v>2</v>
      </c>
      <c r="Y20" s="38" t="n"/>
      <c r="Z20" s="26" t="n"/>
      <c r="AA20" s="28" t="n"/>
      <c r="AB20" s="28" t="n"/>
      <c r="AC20" s="40" t="n">
        <v>0.795</v>
      </c>
      <c r="AD20" s="24" t="inlineStr">
        <is>
          <t>2026-07-19T21:31:35.380420Z</t>
        </is>
      </c>
      <c r="AE20" s="31" t="inlineStr">
        <is>
          <t>Learned LR call at threshold 0.5100; executable ask 0.4850 (aec-mlb-sd-kc-2026-07-19).</t>
        </is>
      </c>
      <c r="AF20" s="31" t="inlineStr">
        <is>
          <t>Learned model; promotion gate not yet open; zero-unit research until review.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inlineStr">
        <is>
          <t>mlb-sd</t>
        </is>
      </c>
      <c r="AQ20" s="24" t="inlineStr">
        <is>
          <t>San Diego Padres</t>
        </is>
      </c>
      <c r="AR20" s="24" t="inlineStr">
        <is>
          <t>San Diego Padres</t>
        </is>
      </c>
      <c r="AS20" s="24" t="inlineStr">
        <is>
          <t>mlb-kc</t>
        </is>
      </c>
      <c r="AT20" s="24" t="inlineStr">
        <is>
          <t>Kansas City Royals</t>
        </is>
      </c>
      <c r="AU20" s="24" t="inlineStr">
        <is>
          <t>Kansas City Royals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5224fb6ffbc9ddf8fa517627b830ac851192da94d241963d556945393a42bb9d</t>
        </is>
      </c>
      <c r="BB20" s="24" t="inlineStr">
        <is>
          <t>learned_lr</t>
        </is>
      </c>
      <c r="BC20" s="24" t="inlineStr">
        <is>
          <t>mlb-elo-trend-lr-v4</t>
        </is>
      </c>
      <c r="BD20" s="24" t="inlineStr">
        <is>
          <t>5224fb6ffbc9ddf8fa517627b830ac851192da94d241963d556945393a42bb9d</t>
        </is>
      </c>
      <c r="BE20" s="24" t="inlineStr">
        <is>
          <t>b9e5139f50e614b7</t>
        </is>
      </c>
      <c r="BF20" s="24" t="inlineStr">
        <is>
          <t>1</t>
        </is>
      </c>
      <c r="BG20" s="24" t="inlineStr">
        <is>
          <t>mlb-elo-trend-lr-v3</t>
        </is>
      </c>
      <c r="BH20" s="24" t="inlineStr">
        <is>
          <t>2026-07-18T17:36:40.632965Z</t>
        </is>
      </c>
      <c r="BI20" s="24" t="inlineStr">
        <is>
          <t>["same_event","same_team_same_day","same_league_same_day"]</t>
        </is>
      </c>
      <c r="BJ20" s="38" t="n"/>
      <c r="BK20" s="26" t="n">
        <v>106</v>
      </c>
      <c r="BL20" s="39" t="n">
        <v>2.06</v>
      </c>
      <c r="BM20" s="28" t="n">
        <v>0.485437</v>
      </c>
      <c r="BN20" s="28" t="n">
        <v>0.482587</v>
      </c>
      <c r="BO20" s="28" t="n"/>
      <c r="BP20" s="38" t="n"/>
      <c r="BQ20" s="39" t="n"/>
      <c r="BR20" s="28" t="n"/>
      <c r="BS20" s="28" t="n"/>
      <c r="BT20" s="28" t="n"/>
      <c r="BU20" s="38" t="n"/>
      <c r="BV20" s="29" t="n"/>
      <c r="BW20" s="24" t="n"/>
      <c r="BX20" s="40" t="n">
        <v>1</v>
      </c>
      <c r="BY20" s="39" t="n">
        <v>1.06</v>
      </c>
      <c r="BZ20" s="24" t="inlineStr">
        <is>
          <t>2026-07-19T21:31:35.380420Z</t>
        </is>
      </c>
      <c r="CA20" s="31" t="inlineStr">
        <is>
          <t>fixed one-unit hypothetical scoring; no real exposure or execution</t>
        </is>
      </c>
    </row>
    <row r="21" ht="36" customHeight="1">
      <c r="A21" s="24" t="inlineStr">
        <is>
          <t>2fe604a809ed46d5</t>
        </is>
      </c>
      <c r="B21" s="24" t="inlineStr">
        <is>
          <t>2026-07-19T10:49:38.448695+00:00</t>
        </is>
      </c>
      <c r="C21" s="24" t="inlineStr">
        <is>
          <t>2026-07-17T13:35:00-0400</t>
        </is>
      </c>
      <c r="D21" s="24" t="inlineStr">
        <is>
          <t>Tamp-Bost-2026-07-17-G1</t>
        </is>
      </c>
      <c r="E21" s="24" t="inlineStr">
        <is>
          <t>MLB</t>
        </is>
      </c>
      <c r="F21" s="24" t="inlineStr">
        <is>
          <t>Tampa Bay Rays</t>
        </is>
      </c>
      <c r="G21" s="24" t="inlineStr">
        <is>
          <t>Boston Red Sox</t>
        </is>
      </c>
      <c r="H21" s="24" t="inlineStr">
        <is>
          <t>moneyline</t>
        </is>
      </c>
      <c r="I21" s="24" t="inlineStr">
        <is>
          <t>home</t>
        </is>
      </c>
      <c r="J21" s="38" t="n"/>
      <c r="K21" s="24" t="inlineStr">
        <is>
          <t>polymarket</t>
        </is>
      </c>
      <c r="L21" s="26" t="n">
        <v>-106</v>
      </c>
      <c r="M21" s="39" t="n">
        <v>1.943396</v>
      </c>
      <c r="N21" s="28" t="n">
        <v>0.514563</v>
      </c>
      <c r="O21" s="28" t="n">
        <v>0.550333</v>
      </c>
      <c r="P21" s="28" t="n">
        <v>0.05</v>
      </c>
      <c r="Q21" s="28" t="n">
        <v>0.03577</v>
      </c>
      <c r="R21" s="26" t="n">
        <v>35</v>
      </c>
      <c r="S21" s="29" t="n">
        <v>1</v>
      </c>
      <c r="T21" s="24" t="inlineStr">
        <is>
          <t>mlb-elo-trend-lr-v4</t>
        </is>
      </c>
      <c r="U21" s="24" t="inlineStr">
        <is>
          <t>settled</t>
        </is>
      </c>
      <c r="V21" s="24" t="inlineStr">
        <is>
          <t>win</t>
        </is>
      </c>
      <c r="W21" s="26" t="n">
        <v>0</v>
      </c>
      <c r="X21" s="26" t="n">
        <v>10</v>
      </c>
      <c r="Y21" s="38" t="n"/>
      <c r="Z21" s="26" t="n"/>
      <c r="AA21" s="28" t="n"/>
      <c r="AB21" s="28" t="n"/>
      <c r="AC21" s="40" t="n">
        <v>0.9434</v>
      </c>
      <c r="AD21" s="24" t="inlineStr">
        <is>
          <t>2026-07-19T12:18:56.423740+00:00</t>
        </is>
      </c>
      <c r="AE21" s="31" t="inlineStr">
        <is>
          <t>backtest</t>
        </is>
      </c>
      <c r="AF21" s="31" t="n"/>
      <c r="AG21" s="24" t="n"/>
      <c r="AH21" s="24" t="n"/>
      <c r="AI21" s="31" t="n"/>
      <c r="AJ21" s="31" t="n"/>
      <c r="AK21" s="24" t="n"/>
      <c r="AL21" s="26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inlineStr">
        <is>
          <t>5224fb6ffbc9ddf8fa517627b830ac851192da94d241963d556945393a42bb9d</t>
        </is>
      </c>
      <c r="BB21" s="24" t="n"/>
      <c r="BC21" s="24" t="inlineStr">
        <is>
          <t>mlb-elo-trend-lr-v4</t>
        </is>
      </c>
      <c r="BD21" s="24" t="inlineStr">
        <is>
          <t>5224fb6ffbc9ddf8fa517627b830ac851192da94d241963d556945393a42bb9d</t>
        </is>
      </c>
      <c r="BE21" s="24" t="n"/>
      <c r="BF21" s="24" t="n"/>
      <c r="BG21" s="24" t="n"/>
      <c r="BH21" s="24" t="inlineStr">
        <is>
          <t>2026-07-17T16:26:03.970000Z</t>
        </is>
      </c>
      <c r="BI21" s="24" t="n"/>
      <c r="BJ21" s="38" t="n"/>
      <c r="BK21" s="26" t="n">
        <v>-106</v>
      </c>
      <c r="BL21" s="39" t="n">
        <v>1.943396</v>
      </c>
      <c r="BM21" s="28" t="n">
        <v>0.514563</v>
      </c>
      <c r="BN21" s="28" t="n">
        <v>0.5124379999999999</v>
      </c>
      <c r="BO21" s="28" t="n"/>
      <c r="BP21" s="38" t="n"/>
      <c r="BQ21" s="39" t="n"/>
      <c r="BR21" s="28" t="n"/>
      <c r="BS21" s="28" t="n"/>
      <c r="BT21" s="28" t="n"/>
      <c r="BU21" s="38" t="n"/>
      <c r="BV21" s="29" t="n"/>
      <c r="BW21" s="24" t="n"/>
      <c r="BX21" s="40" t="n"/>
      <c r="BY21" s="39" t="n"/>
      <c r="BZ21" s="24" t="n"/>
      <c r="CA21" s="31" t="n"/>
    </row>
    <row r="22" ht="36" customHeight="1">
      <c r="A22" s="24" t="inlineStr">
        <is>
          <t>47dbb1641a0a4833</t>
        </is>
      </c>
      <c r="B22" s="24" t="inlineStr">
        <is>
          <t>2026-07-19T10:49:38.448695+00:00</t>
        </is>
      </c>
      <c r="C22" s="24" t="inlineStr">
        <is>
          <t>2026-07-17T19:10:00-0400</t>
        </is>
      </c>
      <c r="D22" s="24" t="inlineStr">
        <is>
          <t>Tamp-Bost-2026-07-17-G2</t>
        </is>
      </c>
      <c r="E22" s="24" t="inlineStr">
        <is>
          <t>MLB</t>
        </is>
      </c>
      <c r="F22" s="24" t="inlineStr">
        <is>
          <t>Tampa Bay Rays</t>
        </is>
      </c>
      <c r="G22" s="24" t="inlineStr">
        <is>
          <t>Boston Red Sox</t>
        </is>
      </c>
      <c r="H22" s="24" t="inlineStr">
        <is>
          <t>moneyline</t>
        </is>
      </c>
      <c r="I22" s="24" t="inlineStr">
        <is>
          <t>home</t>
        </is>
      </c>
      <c r="J22" s="38" t="n"/>
      <c r="K22" s="24" t="inlineStr">
        <is>
          <t>polymarket</t>
        </is>
      </c>
      <c r="L22" s="26" t="n">
        <v>-106</v>
      </c>
      <c r="M22" s="39" t="n">
        <v>1.943396</v>
      </c>
      <c r="N22" s="28" t="n">
        <v>0.514563</v>
      </c>
      <c r="O22" s="28" t="n">
        <v>0.550333</v>
      </c>
      <c r="P22" s="28" t="n">
        <v>0.05</v>
      </c>
      <c r="Q22" s="28" t="n">
        <v>0.03577</v>
      </c>
      <c r="R22" s="26" t="n">
        <v>35</v>
      </c>
      <c r="S22" s="29" t="n">
        <v>1</v>
      </c>
      <c r="T22" s="24" t="inlineStr">
        <is>
          <t>mlb-elo-trend-lr-v4</t>
        </is>
      </c>
      <c r="U22" s="24" t="inlineStr">
        <is>
          <t>settled</t>
        </is>
      </c>
      <c r="V22" s="24" t="inlineStr">
        <is>
          <t>win</t>
        </is>
      </c>
      <c r="W22" s="26" t="n">
        <v>3</v>
      </c>
      <c r="X22" s="26" t="n">
        <v>5</v>
      </c>
      <c r="Y22" s="38" t="n"/>
      <c r="Z22" s="26" t="n"/>
      <c r="AA22" s="28" t="n"/>
      <c r="AB22" s="28" t="n"/>
      <c r="AC22" s="40" t="n">
        <v>0.9434</v>
      </c>
      <c r="AD22" s="24" t="inlineStr">
        <is>
          <t>2026-07-19T12:18:56.423961+00:00</t>
        </is>
      </c>
      <c r="AE22" s="31" t="inlineStr">
        <is>
          <t>backtest</t>
        </is>
      </c>
      <c r="AF22" s="31" t="n"/>
      <c r="AG22" s="24" t="n"/>
      <c r="AH22" s="24" t="n"/>
      <c r="AI22" s="31" t="n"/>
      <c r="AJ22" s="31" t="n"/>
      <c r="AK22" s="24" t="n"/>
      <c r="AL22" s="26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inlineStr">
        <is>
          <t>5224fb6ffbc9ddf8fa517627b830ac851192da94d241963d556945393a42bb9d</t>
        </is>
      </c>
      <c r="BB22" s="24" t="n"/>
      <c r="BC22" s="24" t="inlineStr">
        <is>
          <t>mlb-elo-trend-lr-v4</t>
        </is>
      </c>
      <c r="BD22" s="24" t="inlineStr">
        <is>
          <t>5224fb6ffbc9ddf8fa517627b830ac851192da94d241963d556945393a42bb9d</t>
        </is>
      </c>
      <c r="BE22" s="24" t="n"/>
      <c r="BF22" s="24" t="n"/>
      <c r="BG22" s="24" t="n"/>
      <c r="BH22" s="24" t="inlineStr">
        <is>
          <t>2026-07-17T16:26:03.970000Z</t>
        </is>
      </c>
      <c r="BI22" s="24" t="n"/>
      <c r="BJ22" s="38" t="n"/>
      <c r="BK22" s="26" t="n">
        <v>-106</v>
      </c>
      <c r="BL22" s="39" t="n">
        <v>1.943396</v>
      </c>
      <c r="BM22" s="28" t="n">
        <v>0.514563</v>
      </c>
      <c r="BN22" s="28" t="n">
        <v>0.5124379999999999</v>
      </c>
      <c r="BO22" s="28" t="n"/>
      <c r="BP22" s="38" t="n"/>
      <c r="BQ22" s="39" t="n"/>
      <c r="BR22" s="28" t="n"/>
      <c r="BS22" s="28" t="n"/>
      <c r="BT22" s="28" t="n"/>
      <c r="BU22" s="38" t="n"/>
      <c r="BV22" s="29" t="n"/>
      <c r="BW22" s="24" t="n"/>
      <c r="BX22" s="40" t="n"/>
      <c r="BY22" s="39" t="n"/>
      <c r="BZ22" s="24" t="n"/>
      <c r="CA22" s="31" t="n"/>
    </row>
    <row r="23" ht="36" customHeight="1">
      <c r="A23" s="24" t="inlineStr">
        <is>
          <t>baee116aa2834b53</t>
        </is>
      </c>
      <c r="B23" s="24" t="inlineStr">
        <is>
          <t>2026-07-19T10:49:38.448695+00:00</t>
        </is>
      </c>
      <c r="C23" s="24" t="inlineStr">
        <is>
          <t>2026-07-17T19:40:00-0400</t>
        </is>
      </c>
      <c r="D23" s="24" t="inlineStr">
        <is>
          <t>Miam-Milw-2026-07-17</t>
        </is>
      </c>
      <c r="E23" s="24" t="inlineStr">
        <is>
          <t>MLB</t>
        </is>
      </c>
      <c r="F23" s="24" t="inlineStr">
        <is>
          <t>Miami Marlins</t>
        </is>
      </c>
      <c r="G23" s="24" t="inlineStr">
        <is>
          <t>Milwaukee Brewers</t>
        </is>
      </c>
      <c r="H23" s="24" t="inlineStr">
        <is>
          <t>moneyline</t>
        </is>
      </c>
      <c r="I23" s="24" t="inlineStr">
        <is>
          <t>home</t>
        </is>
      </c>
      <c r="J23" s="38" t="n"/>
      <c r="K23" s="24" t="inlineStr">
        <is>
          <t>polymarket</t>
        </is>
      </c>
      <c r="L23" s="26" t="n">
        <v>-141</v>
      </c>
      <c r="M23" s="39" t="n">
        <v>1.70922</v>
      </c>
      <c r="N23" s="28" t="n">
        <v>0.585062</v>
      </c>
      <c r="O23" s="28" t="n">
        <v>0.616198</v>
      </c>
      <c r="P23" s="28" t="n">
        <v>0.05</v>
      </c>
      <c r="Q23" s="28" t="n">
        <v>0.031136</v>
      </c>
      <c r="R23" s="26" t="n">
        <v>31</v>
      </c>
      <c r="S23" s="29" t="n">
        <v>1.75</v>
      </c>
      <c r="T23" s="24" t="inlineStr">
        <is>
          <t>mlb-elo-trend-lr-v4</t>
        </is>
      </c>
      <c r="U23" s="24" t="inlineStr">
        <is>
          <t>settled</t>
        </is>
      </c>
      <c r="V23" s="24" t="inlineStr">
        <is>
          <t>win</t>
        </is>
      </c>
      <c r="W23" s="26" t="n">
        <v>1</v>
      </c>
      <c r="X23" s="26" t="n">
        <v>2</v>
      </c>
      <c r="Y23" s="38" t="n"/>
      <c r="Z23" s="26" t="n"/>
      <c r="AA23" s="28" t="n"/>
      <c r="AB23" s="28" t="n"/>
      <c r="AC23" s="40" t="n">
        <v>1.2411</v>
      </c>
      <c r="AD23" s="24" t="inlineStr">
        <is>
          <t>2026-07-19T12:18:56.424573+00:00</t>
        </is>
      </c>
      <c r="AE23" s="31" t="inlineStr">
        <is>
          <t>backtest</t>
        </is>
      </c>
      <c r="AF23" s="31" t="n"/>
      <c r="AG23" s="24" t="n"/>
      <c r="AH23" s="24" t="n"/>
      <c r="AI23" s="31" t="n"/>
      <c r="AJ23" s="31" t="n"/>
      <c r="AK23" s="24" t="n"/>
      <c r="AL23" s="26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inlineStr">
        <is>
          <t>5224fb6ffbc9ddf8fa517627b830ac851192da94d241963d556945393a42bb9d</t>
        </is>
      </c>
      <c r="BB23" s="24" t="n"/>
      <c r="BC23" s="24" t="inlineStr">
        <is>
          <t>mlb-elo-trend-lr-v4</t>
        </is>
      </c>
      <c r="BD23" s="24" t="inlineStr">
        <is>
          <t>5224fb6ffbc9ddf8fa517627b830ac851192da94d241963d556945393a42bb9d</t>
        </is>
      </c>
      <c r="BE23" s="24" t="n"/>
      <c r="BF23" s="24" t="n"/>
      <c r="BG23" s="24" t="n"/>
      <c r="BH23" s="24" t="inlineStr">
        <is>
          <t>2026-07-17T17:12:44.293402Z</t>
        </is>
      </c>
      <c r="BI23" s="24" t="n"/>
      <c r="BJ23" s="38" t="n"/>
      <c r="BK23" s="26" t="n">
        <v>-141</v>
      </c>
      <c r="BL23" s="39" t="n">
        <v>1.70922</v>
      </c>
      <c r="BM23" s="28" t="n">
        <v>0.585062</v>
      </c>
      <c r="BN23" s="28" t="n">
        <v>0.58209</v>
      </c>
      <c r="BO23" s="28" t="n"/>
      <c r="BP23" s="38" t="n"/>
      <c r="BQ23" s="39" t="n"/>
      <c r="BR23" s="28" t="n"/>
      <c r="BS23" s="28" t="n"/>
      <c r="BT23" s="28" t="n"/>
      <c r="BU23" s="38" t="n"/>
      <c r="BV23" s="29" t="n"/>
      <c r="BW23" s="24" t="n"/>
      <c r="BX23" s="40" t="n"/>
      <c r="BY23" s="39" t="n"/>
      <c r="BZ23" s="24" t="n"/>
      <c r="CA23" s="31" t="n"/>
    </row>
    <row r="24" ht="36" customHeight="1">
      <c r="A24" s="24" t="inlineStr">
        <is>
          <t>509252032f1947b8</t>
        </is>
      </c>
      <c r="B24" s="24" t="inlineStr">
        <is>
          <t>2026-07-19T10:49:38.448695+00:00</t>
        </is>
      </c>
      <c r="C24" s="24" t="inlineStr">
        <is>
          <t>2026-07-17T20:05:00-0400</t>
        </is>
      </c>
      <c r="D24" s="24" t="inlineStr">
        <is>
          <t>Minn-Chic-2026-07-17</t>
        </is>
      </c>
      <c r="E24" s="24" t="inlineStr">
        <is>
          <t>MLB</t>
        </is>
      </c>
      <c r="F24" s="24" t="inlineStr">
        <is>
          <t>Minnesota Twins</t>
        </is>
      </c>
      <c r="G24" s="24" t="inlineStr">
        <is>
          <t>Chicago Cubs</t>
        </is>
      </c>
      <c r="H24" s="24" t="inlineStr">
        <is>
          <t>moneyline</t>
        </is>
      </c>
      <c r="I24" s="24" t="inlineStr">
        <is>
          <t>home</t>
        </is>
      </c>
      <c r="J24" s="38" t="n"/>
      <c r="K24" s="24" t="inlineStr">
        <is>
          <t>polymarket</t>
        </is>
      </c>
      <c r="L24" s="26" t="n">
        <v>-133</v>
      </c>
      <c r="M24" s="39" t="n">
        <v>1.75188</v>
      </c>
      <c r="N24" s="28" t="n">
        <v>0.570815</v>
      </c>
      <c r="O24" s="28" t="n">
        <v>0.60271</v>
      </c>
      <c r="P24" s="28" t="n">
        <v>0.05</v>
      </c>
      <c r="Q24" s="28" t="n">
        <v>0.031895</v>
      </c>
      <c r="R24" s="26" t="n">
        <v>31</v>
      </c>
      <c r="S24" s="29" t="n">
        <v>1.5</v>
      </c>
      <c r="T24" s="24" t="inlineStr">
        <is>
          <t>mlb-elo-trend-lr-v4</t>
        </is>
      </c>
      <c r="U24" s="24" t="inlineStr">
        <is>
          <t>settled</t>
        </is>
      </c>
      <c r="V24" s="24" t="inlineStr">
        <is>
          <t>loss</t>
        </is>
      </c>
      <c r="W24" s="26" t="n">
        <v>5</v>
      </c>
      <c r="X24" s="26" t="n">
        <v>2</v>
      </c>
      <c r="Y24" s="38" t="n"/>
      <c r="Z24" s="26" t="n"/>
      <c r="AA24" s="28" t="n"/>
      <c r="AB24" s="28" t="n"/>
      <c r="AC24" s="40" t="n">
        <v>-1.5</v>
      </c>
      <c r="AD24" s="24" t="inlineStr">
        <is>
          <t>2026-07-19T12:18:56.424770+00:00</t>
        </is>
      </c>
      <c r="AE24" s="31" t="inlineStr">
        <is>
          <t>backtest</t>
        </is>
      </c>
      <c r="AF24" s="31" t="n"/>
      <c r="AG24" s="24" t="n"/>
      <c r="AH24" s="24" t="n"/>
      <c r="AI24" s="31" t="n"/>
      <c r="AJ24" s="31" t="n"/>
      <c r="AK24" s="24" t="n"/>
      <c r="AL24" s="26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inlineStr">
        <is>
          <t>5224fb6ffbc9ddf8fa517627b830ac851192da94d241963d556945393a42bb9d</t>
        </is>
      </c>
      <c r="BB24" s="24" t="n"/>
      <c r="BC24" s="24" t="inlineStr">
        <is>
          <t>mlb-elo-trend-lr-v4</t>
        </is>
      </c>
      <c r="BD24" s="24" t="inlineStr">
        <is>
          <t>5224fb6ffbc9ddf8fa517627b830ac851192da94d241963d556945393a42bb9d</t>
        </is>
      </c>
      <c r="BE24" s="24" t="n"/>
      <c r="BF24" s="24" t="n"/>
      <c r="BG24" s="24" t="n"/>
      <c r="BH24" s="24" t="inlineStr">
        <is>
          <t>2026-07-17T17:12:44.967723Z</t>
        </is>
      </c>
      <c r="BI24" s="24" t="n"/>
      <c r="BJ24" s="38" t="n"/>
      <c r="BK24" s="26" t="n">
        <v>-133</v>
      </c>
      <c r="BL24" s="39" t="n">
        <v>1.75188</v>
      </c>
      <c r="BM24" s="28" t="n">
        <v>0.570815</v>
      </c>
      <c r="BN24" s="28" t="n">
        <v>0.567164</v>
      </c>
      <c r="BO24" s="28" t="n"/>
      <c r="BP24" s="38" t="n"/>
      <c r="BQ24" s="39" t="n"/>
      <c r="BR24" s="28" t="n"/>
      <c r="BS24" s="28" t="n"/>
      <c r="BT24" s="28" t="n"/>
      <c r="BU24" s="38" t="n"/>
      <c r="BV24" s="29" t="n"/>
      <c r="BW24" s="24" t="n"/>
      <c r="BX24" s="40" t="n"/>
      <c r="BY24" s="39" t="n"/>
      <c r="BZ24" s="24" t="n"/>
      <c r="CA24" s="31" t="n"/>
    </row>
    <row r="25" ht="36" customHeight="1">
      <c r="A25" s="24" t="inlineStr">
        <is>
          <t>19647b771ec94081</t>
        </is>
      </c>
      <c r="B25" s="24" t="inlineStr">
        <is>
          <t>2026-07-19T10:49:38.448695+00:00</t>
        </is>
      </c>
      <c r="C25" s="24" t="inlineStr">
        <is>
          <t>2026-07-17T20:40:00-0400</t>
        </is>
      </c>
      <c r="D25" s="24" t="inlineStr">
        <is>
          <t>Cinc-Colo-2026-07-17</t>
        </is>
      </c>
      <c r="E25" s="24" t="inlineStr">
        <is>
          <t>MLB</t>
        </is>
      </c>
      <c r="F25" s="24" t="inlineStr">
        <is>
          <t>Cincinnati Reds</t>
        </is>
      </c>
      <c r="G25" s="24" t="inlineStr">
        <is>
          <t>Colorado Rockies</t>
        </is>
      </c>
      <c r="H25" s="24" t="inlineStr">
        <is>
          <t>moneyline</t>
        </is>
      </c>
      <c r="I25" s="24" t="inlineStr">
        <is>
          <t>away</t>
        </is>
      </c>
      <c r="J25" s="38" t="n"/>
      <c r="K25" s="24" t="inlineStr">
        <is>
          <t>polymarket</t>
        </is>
      </c>
      <c r="L25" s="26" t="n">
        <v>104</v>
      </c>
      <c r="M25" s="39" t="n">
        <v>2.04</v>
      </c>
      <c r="N25" s="28" t="n">
        <v>0.490196</v>
      </c>
      <c r="O25" s="28" t="n">
        <v>0.582862</v>
      </c>
      <c r="P25" s="28" t="n">
        <v>0.05</v>
      </c>
      <c r="Q25" s="28" t="n">
        <v>0.092666</v>
      </c>
      <c r="R25" s="26" t="n">
        <v>92</v>
      </c>
      <c r="S25" s="29" t="n">
        <v>1.25</v>
      </c>
      <c r="T25" s="24" t="inlineStr">
        <is>
          <t>mlb-elo-trend-lr-v4</t>
        </is>
      </c>
      <c r="U25" s="24" t="inlineStr">
        <is>
          <t>settled</t>
        </is>
      </c>
      <c r="V25" s="24" t="inlineStr">
        <is>
          <t>win</t>
        </is>
      </c>
      <c r="W25" s="26" t="n">
        <v>7</v>
      </c>
      <c r="X25" s="26" t="n">
        <v>2</v>
      </c>
      <c r="Y25" s="38" t="n"/>
      <c r="Z25" s="26" t="n"/>
      <c r="AA25" s="28" t="n"/>
      <c r="AB25" s="28" t="n"/>
      <c r="AC25" s="40" t="n">
        <v>1.3</v>
      </c>
      <c r="AD25" s="24" t="inlineStr">
        <is>
          <t>2026-07-19T12:18:56.425382+00:00</t>
        </is>
      </c>
      <c r="AE25" s="31" t="inlineStr">
        <is>
          <t>backtest</t>
        </is>
      </c>
      <c r="AF25" s="31" t="n"/>
      <c r="AG25" s="24" t="n"/>
      <c r="AH25" s="24" t="n"/>
      <c r="AI25" s="31" t="n"/>
      <c r="AJ25" s="31" t="n"/>
      <c r="AK25" s="24" t="n"/>
      <c r="AL25" s="26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inlineStr">
        <is>
          <t>5224fb6ffbc9ddf8fa517627b830ac851192da94d241963d556945393a42bb9d</t>
        </is>
      </c>
      <c r="BB25" s="24" t="n"/>
      <c r="BC25" s="24" t="inlineStr">
        <is>
          <t>mlb-elo-trend-lr-v4</t>
        </is>
      </c>
      <c r="BD25" s="24" t="inlineStr">
        <is>
          <t>5224fb6ffbc9ddf8fa517627b830ac851192da94d241963d556945393a42bb9d</t>
        </is>
      </c>
      <c r="BE25" s="24" t="n"/>
      <c r="BF25" s="24" t="n"/>
      <c r="BG25" s="24" t="n"/>
      <c r="BH25" s="24" t="inlineStr">
        <is>
          <t>2026-07-17T16:26:11.935150Z</t>
        </is>
      </c>
      <c r="BI25" s="24" t="n"/>
      <c r="BJ25" s="38" t="n"/>
      <c r="BK25" s="26" t="n">
        <v>104</v>
      </c>
      <c r="BL25" s="39" t="n">
        <v>2.04</v>
      </c>
      <c r="BM25" s="28" t="n">
        <v>0.490196</v>
      </c>
      <c r="BN25" s="28" t="n">
        <v>0.487562</v>
      </c>
      <c r="BO25" s="28" t="n"/>
      <c r="BP25" s="38" t="n"/>
      <c r="BQ25" s="39" t="n"/>
      <c r="BR25" s="28" t="n"/>
      <c r="BS25" s="28" t="n"/>
      <c r="BT25" s="28" t="n"/>
      <c r="BU25" s="38" t="n"/>
      <c r="BV25" s="29" t="n"/>
      <c r="BW25" s="24" t="n"/>
      <c r="BX25" s="40" t="n"/>
      <c r="BY25" s="39" t="n"/>
      <c r="BZ25" s="24" t="n"/>
      <c r="CA25" s="31" t="n"/>
    </row>
    <row r="26" ht="36" customHeight="1">
      <c r="A26" s="24" t="inlineStr">
        <is>
          <t>632575e6d24b409b</t>
        </is>
      </c>
      <c r="B26" s="24" t="inlineStr">
        <is>
          <t>2026-07-19T10:49:38.448695+00:00</t>
        </is>
      </c>
      <c r="C26" s="24" t="inlineStr">
        <is>
          <t>2026-07-17T21:38:00-0400</t>
        </is>
      </c>
      <c r="D26" s="24" t="inlineStr">
        <is>
          <t>Detr-LosA-2026-07-17</t>
        </is>
      </c>
      <c r="E26" s="24" t="inlineStr">
        <is>
          <t>MLB</t>
        </is>
      </c>
      <c r="F26" s="24" t="inlineStr">
        <is>
          <t>Detroit Tigers</t>
        </is>
      </c>
      <c r="G26" s="24" t="inlineStr">
        <is>
          <t>Los Angeles Angels</t>
        </is>
      </c>
      <c r="H26" s="24" t="inlineStr">
        <is>
          <t>moneyline</t>
        </is>
      </c>
      <c r="I26" s="24" t="inlineStr">
        <is>
          <t>away</t>
        </is>
      </c>
      <c r="J26" s="38" t="n"/>
      <c r="K26" s="24" t="inlineStr">
        <is>
          <t>polymarket</t>
        </is>
      </c>
      <c r="L26" s="26" t="n">
        <v>-104</v>
      </c>
      <c r="M26" s="39" t="n">
        <v>1.961538</v>
      </c>
      <c r="N26" s="28" t="n">
        <v>0.509804</v>
      </c>
      <c r="O26" s="28" t="n">
        <v>0.550233</v>
      </c>
      <c r="P26" s="28" t="n">
        <v>0.05</v>
      </c>
      <c r="Q26" s="28" t="n">
        <v>0.040429</v>
      </c>
      <c r="R26" s="26" t="n">
        <v>40</v>
      </c>
      <c r="S26" s="29" t="n">
        <v>1</v>
      </c>
      <c r="T26" s="24" t="inlineStr">
        <is>
          <t>mlb-elo-trend-lr-v4</t>
        </is>
      </c>
      <c r="U26" s="24" t="inlineStr">
        <is>
          <t>settled</t>
        </is>
      </c>
      <c r="V26" s="24" t="inlineStr">
        <is>
          <t>win</t>
        </is>
      </c>
      <c r="W26" s="26" t="n">
        <v>2</v>
      </c>
      <c r="X26" s="26" t="n">
        <v>1</v>
      </c>
      <c r="Y26" s="38" t="n"/>
      <c r="Z26" s="26" t="n"/>
      <c r="AA26" s="28" t="n"/>
      <c r="AB26" s="28" t="n"/>
      <c r="AC26" s="40" t="n">
        <v>0.9615</v>
      </c>
      <c r="AD26" s="24" t="inlineStr">
        <is>
          <t>2026-07-19T12:18:56.425591+00:00</t>
        </is>
      </c>
      <c r="AE26" s="31" t="inlineStr">
        <is>
          <t>backtest</t>
        </is>
      </c>
      <c r="AF26" s="31" t="n"/>
      <c r="AG26" s="24" t="n"/>
      <c r="AH26" s="24" t="n"/>
      <c r="AI26" s="31" t="n"/>
      <c r="AJ26" s="31" t="n"/>
      <c r="AK26" s="24" t="n"/>
      <c r="AL26" s="26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inlineStr">
        <is>
          <t>5224fb6ffbc9ddf8fa517627b830ac851192da94d241963d556945393a42bb9d</t>
        </is>
      </c>
      <c r="BB26" s="24" t="n"/>
      <c r="BC26" s="24" t="inlineStr">
        <is>
          <t>mlb-elo-trend-lr-v4</t>
        </is>
      </c>
      <c r="BD26" s="24" t="inlineStr">
        <is>
          <t>5224fb6ffbc9ddf8fa517627b830ac851192da94d241963d556945393a42bb9d</t>
        </is>
      </c>
      <c r="BE26" s="24" t="n"/>
      <c r="BF26" s="24" t="n"/>
      <c r="BG26" s="24" t="n"/>
      <c r="BH26" s="24" t="inlineStr">
        <is>
          <t>2026-07-17T16:26:12.761758Z</t>
        </is>
      </c>
      <c r="BI26" s="24" t="n"/>
      <c r="BJ26" s="38" t="n"/>
      <c r="BK26" s="26" t="n">
        <v>-104</v>
      </c>
      <c r="BL26" s="39" t="n">
        <v>1.961538</v>
      </c>
      <c r="BM26" s="28" t="n">
        <v>0.509804</v>
      </c>
      <c r="BN26" s="28" t="n">
        <v>0.507463</v>
      </c>
      <c r="BO26" s="28" t="n"/>
      <c r="BP26" s="38" t="n"/>
      <c r="BQ26" s="39" t="n"/>
      <c r="BR26" s="28" t="n"/>
      <c r="BS26" s="28" t="n"/>
      <c r="BT26" s="28" t="n"/>
      <c r="BU26" s="38" t="n"/>
      <c r="BV26" s="29" t="n"/>
      <c r="BW26" s="24" t="n"/>
      <c r="BX26" s="40" t="n"/>
      <c r="BY26" s="39" t="n"/>
      <c r="BZ26" s="24" t="n"/>
      <c r="CA26" s="31" t="n"/>
    </row>
    <row r="27" ht="36" customHeight="1">
      <c r="A27" s="24" t="inlineStr">
        <is>
          <t>673ea47c54654f7f</t>
        </is>
      </c>
      <c r="B27" s="24" t="inlineStr">
        <is>
          <t>2026-07-19T10:49:38.448695+00:00</t>
        </is>
      </c>
      <c r="C27" s="24" t="inlineStr">
        <is>
          <t>2026-07-17T21:40:00-0400</t>
        </is>
      </c>
      <c r="D27" s="24" t="inlineStr">
        <is>
          <t>Wash-Athl-2026-07-17</t>
        </is>
      </c>
      <c r="E27" s="24" t="inlineStr">
        <is>
          <t>MLB</t>
        </is>
      </c>
      <c r="F27" s="24" t="inlineStr">
        <is>
          <t>Washington Nationals</t>
        </is>
      </c>
      <c r="G27" s="24" t="inlineStr">
        <is>
          <t>Athletics</t>
        </is>
      </c>
      <c r="H27" s="24" t="inlineStr">
        <is>
          <t>moneyline</t>
        </is>
      </c>
      <c r="I27" s="24" t="inlineStr">
        <is>
          <t>home</t>
        </is>
      </c>
      <c r="J27" s="38" t="n"/>
      <c r="K27" s="24" t="inlineStr">
        <is>
          <t>polymarket</t>
        </is>
      </c>
      <c r="L27" s="26" t="n">
        <v>120</v>
      </c>
      <c r="M27" s="39" t="n">
        <v>2.2</v>
      </c>
      <c r="N27" s="28" t="n">
        <v>0.454545</v>
      </c>
      <c r="O27" s="28" t="n">
        <v>0.530299</v>
      </c>
      <c r="P27" s="28" t="n">
        <v>0.05</v>
      </c>
      <c r="Q27" s="28" t="n">
        <v>0.075754</v>
      </c>
      <c r="R27" s="26" t="n">
        <v>75</v>
      </c>
      <c r="S27" s="29" t="n">
        <v>0.75</v>
      </c>
      <c r="T27" s="24" t="inlineStr">
        <is>
          <t>mlb-elo-trend-lr-v4</t>
        </is>
      </c>
      <c r="U27" s="24" t="inlineStr">
        <is>
          <t>settled</t>
        </is>
      </c>
      <c r="V27" s="24" t="inlineStr">
        <is>
          <t>loss</t>
        </is>
      </c>
      <c r="W27" s="26" t="n">
        <v>23</v>
      </c>
      <c r="X27" s="26" t="n">
        <v>4</v>
      </c>
      <c r="Y27" s="38" t="n"/>
      <c r="Z27" s="26" t="n"/>
      <c r="AA27" s="28" t="n"/>
      <c r="AB27" s="28" t="n"/>
      <c r="AC27" s="40" t="n">
        <v>-0.75</v>
      </c>
      <c r="AD27" s="24" t="inlineStr">
        <is>
          <t>2026-07-19T12:18:56.425781+00:00</t>
        </is>
      </c>
      <c r="AE27" s="31" t="inlineStr">
        <is>
          <t>backtest</t>
        </is>
      </c>
      <c r="AF27" s="31" t="n"/>
      <c r="AG27" s="24" t="n"/>
      <c r="AH27" s="24" t="n"/>
      <c r="AI27" s="31" t="n"/>
      <c r="AJ27" s="31" t="n"/>
      <c r="AK27" s="24" t="n"/>
      <c r="AL27" s="26" t="n"/>
      <c r="AM27" s="24" t="n"/>
      <c r="AN27" s="24" t="n"/>
      <c r="AO27" s="24" t="n"/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inlineStr">
        <is>
          <t>5224fb6ffbc9ddf8fa517627b830ac851192da94d241963d556945393a42bb9d</t>
        </is>
      </c>
      <c r="BB27" s="24" t="n"/>
      <c r="BC27" s="24" t="inlineStr">
        <is>
          <t>mlb-elo-trend-lr-v4</t>
        </is>
      </c>
      <c r="BD27" s="24" t="inlineStr">
        <is>
          <t>5224fb6ffbc9ddf8fa517627b830ac851192da94d241963d556945393a42bb9d</t>
        </is>
      </c>
      <c r="BE27" s="24" t="n"/>
      <c r="BF27" s="24" t="n"/>
      <c r="BG27" s="24" t="n"/>
      <c r="BH27" s="24" t="inlineStr">
        <is>
          <t>2026-07-17T16:26:14.658660Z</t>
        </is>
      </c>
      <c r="BI27" s="24" t="n"/>
      <c r="BJ27" s="38" t="n"/>
      <c r="BK27" s="26" t="n">
        <v>120</v>
      </c>
      <c r="BL27" s="39" t="n">
        <v>2.2</v>
      </c>
      <c r="BM27" s="28" t="n">
        <v>0.454545</v>
      </c>
      <c r="BN27" s="28" t="n">
        <v>0.452736</v>
      </c>
      <c r="BO27" s="28" t="n"/>
      <c r="BP27" s="38" t="n"/>
      <c r="BQ27" s="39" t="n"/>
      <c r="BR27" s="28" t="n"/>
      <c r="BS27" s="28" t="n"/>
      <c r="BT27" s="28" t="n"/>
      <c r="BU27" s="38" t="n"/>
      <c r="BV27" s="29" t="n"/>
      <c r="BW27" s="24" t="n"/>
      <c r="BX27" s="40" t="n"/>
      <c r="BY27" s="39" t="n"/>
      <c r="BZ27" s="24" t="n"/>
      <c r="CA27" s="31" t="n"/>
    </row>
    <row r="28" ht="36" customHeight="1">
      <c r="A28" s="24" t="inlineStr">
        <is>
          <t>f7bfb70dfae84f8f</t>
        </is>
      </c>
      <c r="B28" s="24" t="inlineStr">
        <is>
          <t>2026-07-19T10:49:38.448695+00:00</t>
        </is>
      </c>
      <c r="C28" s="24" t="inlineStr">
        <is>
          <t>2026-07-17T21:40:00-0400</t>
        </is>
      </c>
      <c r="D28" s="24" t="inlineStr">
        <is>
          <t>St.L-Ariz-2026-07-17</t>
        </is>
      </c>
      <c r="E28" s="24" t="inlineStr">
        <is>
          <t>MLB</t>
        </is>
      </c>
      <c r="F28" s="24" t="inlineStr">
        <is>
          <t>St. Louis Cardinals</t>
        </is>
      </c>
      <c r="G28" s="24" t="inlineStr">
        <is>
          <t>Arizona Diamondbacks</t>
        </is>
      </c>
      <c r="H28" s="24" t="inlineStr">
        <is>
          <t>moneyline</t>
        </is>
      </c>
      <c r="I28" s="24" t="inlineStr">
        <is>
          <t>home</t>
        </is>
      </c>
      <c r="J28" s="38" t="n"/>
      <c r="K28" s="24" t="inlineStr">
        <is>
          <t>polymarket</t>
        </is>
      </c>
      <c r="L28" s="26" t="n">
        <v>100</v>
      </c>
      <c r="M28" s="39" t="n">
        <v>2</v>
      </c>
      <c r="N28" s="28" t="n">
        <v>0.5</v>
      </c>
      <c r="O28" s="28" t="n">
        <v>0.525388</v>
      </c>
      <c r="P28" s="28" t="n">
        <v>0.05</v>
      </c>
      <c r="Q28" s="28" t="n">
        <v>0.025388</v>
      </c>
      <c r="R28" s="26" t="n">
        <v>25</v>
      </c>
      <c r="S28" s="29" t="n">
        <v>0.75</v>
      </c>
      <c r="T28" s="24" t="inlineStr">
        <is>
          <t>mlb-elo-trend-lr-v4</t>
        </is>
      </c>
      <c r="U28" s="24" t="inlineStr">
        <is>
          <t>settled</t>
        </is>
      </c>
      <c r="V28" s="24" t="inlineStr">
        <is>
          <t>loss</t>
        </is>
      </c>
      <c r="W28" s="26" t="n">
        <v>5</v>
      </c>
      <c r="X28" s="26" t="n">
        <v>4</v>
      </c>
      <c r="Y28" s="38" t="n"/>
      <c r="Z28" s="26" t="n"/>
      <c r="AA28" s="28" t="n"/>
      <c r="AB28" s="28" t="n"/>
      <c r="AC28" s="40" t="n">
        <v>-0.75</v>
      </c>
      <c r="AD28" s="24" t="inlineStr">
        <is>
          <t>2026-07-19T12:18:56.425985+00:00</t>
        </is>
      </c>
      <c r="AE28" s="31" t="inlineStr">
        <is>
          <t>backtest</t>
        </is>
      </c>
      <c r="AF28" s="31" t="n"/>
      <c r="AG28" s="24" t="n"/>
      <c r="AH28" s="24" t="n"/>
      <c r="AI28" s="31" t="n"/>
      <c r="AJ28" s="31" t="n"/>
      <c r="AK28" s="24" t="n"/>
      <c r="AL28" s="26" t="n"/>
      <c r="AM28" s="24" t="n"/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inlineStr">
        <is>
          <t>5224fb6ffbc9ddf8fa517627b830ac851192da94d241963d556945393a42bb9d</t>
        </is>
      </c>
      <c r="BB28" s="24" t="n"/>
      <c r="BC28" s="24" t="inlineStr">
        <is>
          <t>mlb-elo-trend-lr-v4</t>
        </is>
      </c>
      <c r="BD28" s="24" t="inlineStr">
        <is>
          <t>5224fb6ffbc9ddf8fa517627b830ac851192da94d241963d556945393a42bb9d</t>
        </is>
      </c>
      <c r="BE28" s="24" t="n"/>
      <c r="BF28" s="24" t="n"/>
      <c r="BG28" s="24" t="n"/>
      <c r="BH28" s="24" t="inlineStr">
        <is>
          <t>2026-07-17T16:26:13.837104Z</t>
        </is>
      </c>
      <c r="BI28" s="24" t="n"/>
      <c r="BJ28" s="38" t="n"/>
      <c r="BK28" s="26" t="n">
        <v>100</v>
      </c>
      <c r="BL28" s="39" t="n">
        <v>2</v>
      </c>
      <c r="BM28" s="28" t="n">
        <v>0.5</v>
      </c>
      <c r="BN28" s="28" t="n">
        <v>0.497512</v>
      </c>
      <c r="BO28" s="28" t="n"/>
      <c r="BP28" s="38" t="n"/>
      <c r="BQ28" s="39" t="n"/>
      <c r="BR28" s="28" t="n"/>
      <c r="BS28" s="28" t="n"/>
      <c r="BT28" s="28" t="n"/>
      <c r="BU28" s="38" t="n"/>
      <c r="BV28" s="29" t="n"/>
      <c r="BW28" s="24" t="n"/>
      <c r="BX28" s="40" t="n"/>
      <c r="BY28" s="39" t="n"/>
      <c r="BZ28" s="24" t="n"/>
      <c r="CA28" s="31" t="n"/>
    </row>
    <row r="29" ht="36" customHeight="1">
      <c r="A29" s="24" t="inlineStr">
        <is>
          <t>121539248eb44830</t>
        </is>
      </c>
      <c r="B29" s="24" t="inlineStr">
        <is>
          <t>2026-07-19T13:23:06.843442Z</t>
        </is>
      </c>
      <c r="C29" s="24" t="inlineStr">
        <is>
          <t>2026-07-19T17:35Z</t>
        </is>
      </c>
      <c r="D29" s="24" t="inlineStr">
        <is>
          <t>401816176</t>
        </is>
      </c>
      <c r="E29" s="24" t="inlineStr">
        <is>
          <t>MLB</t>
        </is>
      </c>
      <c r="F29" s="24" t="inlineStr">
        <is>
          <t>Texas Rangers</t>
        </is>
      </c>
      <c r="G29" s="24" t="inlineStr">
        <is>
          <t>Atlanta Braves</t>
        </is>
      </c>
      <c r="H29" s="24" t="inlineStr">
        <is>
          <t>moneyline</t>
        </is>
      </c>
      <c r="I29" s="24" t="inlineStr">
        <is>
          <t>home</t>
        </is>
      </c>
      <c r="J29" s="38" t="n"/>
      <c r="K29" s="24" t="inlineStr">
        <is>
          <t>polymarket_us</t>
        </is>
      </c>
      <c r="L29" s="26" t="n">
        <v>108</v>
      </c>
      <c r="M29" s="39" t="n">
        <v>2.08</v>
      </c>
      <c r="N29" s="28" t="n">
        <v>0.480769</v>
      </c>
      <c r="O29" s="28" t="n">
        <v>0.566738</v>
      </c>
      <c r="P29" s="28" t="n"/>
      <c r="Q29" s="28" t="n">
        <v>0.085969</v>
      </c>
      <c r="R29" s="26" t="n">
        <v>85</v>
      </c>
      <c r="S29" s="29" t="n">
        <v>1.25</v>
      </c>
      <c r="T29" s="24" t="inlineStr">
        <is>
          <t>mlb-elo-trend-lr-v4</t>
        </is>
      </c>
      <c r="U29" s="24" t="inlineStr">
        <is>
          <t>settled</t>
        </is>
      </c>
      <c r="V29" s="24" t="inlineStr">
        <is>
          <t>win</t>
        </is>
      </c>
      <c r="W29" s="26" t="n">
        <v>5</v>
      </c>
      <c r="X29" s="26" t="n">
        <v>8</v>
      </c>
      <c r="Y29" s="38" t="n"/>
      <c r="Z29" s="26" t="n"/>
      <c r="AA29" s="28" t="n"/>
      <c r="AB29" s="28" t="n"/>
      <c r="AC29" s="40" t="n">
        <v>1.35</v>
      </c>
      <c r="AD29" s="24" t="inlineStr">
        <is>
          <t>2026-07-19T21:31:35.621312Z</t>
        </is>
      </c>
      <c r="AE29" s="31" t="inlineStr">
        <is>
          <t>Learned LR call at threshold 0.5150; executable ask 0.4800 (aec-mlb-tex-atl-2026-07-19).</t>
        </is>
      </c>
      <c r="AF29" s="31" t="inlineStr">
        <is>
          <t>Learned model; promotion gate not yet open; zero-unit research until review.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mlb-tex</t>
        </is>
      </c>
      <c r="AQ29" s="24" t="inlineStr">
        <is>
          <t>Texas Rangers</t>
        </is>
      </c>
      <c r="AR29" s="24" t="inlineStr">
        <is>
          <t>Texas Rangers</t>
        </is>
      </c>
      <c r="AS29" s="24" t="inlineStr">
        <is>
          <t>mlb-atl</t>
        </is>
      </c>
      <c r="AT29" s="24" t="inlineStr">
        <is>
          <t>Atlanta Braves</t>
        </is>
      </c>
      <c r="AU29" s="24" t="inlineStr">
        <is>
          <t>Atlanta Braves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5224fb6ffbc9ddf8fa517627b830ac851192da94d241963d556945393a42bb9d</t>
        </is>
      </c>
      <c r="BB29" s="24" t="inlineStr">
        <is>
          <t>learned_lr</t>
        </is>
      </c>
      <c r="BC29" s="24" t="inlineStr">
        <is>
          <t>mlb-elo-trend-lr-v4</t>
        </is>
      </c>
      <c r="BD29" s="24" t="inlineStr">
        <is>
          <t>5224fb6ffbc9ddf8fa517627b830ac851192da94d241963d556945393a42bb9d</t>
        </is>
      </c>
      <c r="BE29" s="24" t="inlineStr">
        <is>
          <t>94b28766e76410c6</t>
        </is>
      </c>
      <c r="BF29" s="24" t="inlineStr">
        <is>
          <t>1</t>
        </is>
      </c>
      <c r="BG29" s="24" t="inlineStr">
        <is>
          <t>mlb-elo-trend-lr-v3</t>
        </is>
      </c>
      <c r="BH29" s="24" t="inlineStr">
        <is>
          <t>2026-07-19T13:22:02.614593Z</t>
        </is>
      </c>
      <c r="BI29" s="24" t="inlineStr">
        <is>
          <t>["same_event","same_team_same_day","same_league_same_day"]</t>
        </is>
      </c>
      <c r="BJ29" s="38" t="n"/>
      <c r="BK29" s="26" t="n">
        <v>108</v>
      </c>
      <c r="BL29" s="39" t="n">
        <v>2.08</v>
      </c>
      <c r="BM29" s="28" t="n">
        <v>0.480769</v>
      </c>
      <c r="BN29" s="28" t="n">
        <v>0.477612</v>
      </c>
      <c r="BO29" s="28" t="n"/>
      <c r="BP29" s="38" t="n"/>
      <c r="BQ29" s="39" t="n"/>
      <c r="BR29" s="28" t="n"/>
      <c r="BS29" s="28" t="n"/>
      <c r="BT29" s="28" t="n"/>
      <c r="BU29" s="38" t="n"/>
      <c r="BV29" s="29" t="n"/>
      <c r="BW29" s="24" t="n"/>
      <c r="BX29" s="40" t="n">
        <v>1</v>
      </c>
      <c r="BY29" s="39" t="n">
        <v>1.08</v>
      </c>
      <c r="BZ29" s="24" t="inlineStr">
        <is>
          <t>2026-07-19T21:31:35.621312Z</t>
        </is>
      </c>
      <c r="CA29" s="31" t="inlineStr">
        <is>
          <t>fixed one-unit hypothetical scoring; no real exposure or execution</t>
        </is>
      </c>
    </row>
    <row r="30" ht="36" customHeight="1">
      <c r="A30" s="24" t="inlineStr">
        <is>
          <t>4ee0f5bbef6b4559</t>
        </is>
      </c>
      <c r="B30" s="24" t="inlineStr">
        <is>
          <t>2026-07-19T13:23:06.843442Z</t>
        </is>
      </c>
      <c r="C30" s="24" t="inlineStr">
        <is>
          <t>2026-07-19T19:10Z</t>
        </is>
      </c>
      <c r="D30" s="24" t="inlineStr">
        <is>
          <t>401816181</t>
        </is>
      </c>
      <c r="E30" s="24" t="inlineStr">
        <is>
          <t>MLB</t>
        </is>
      </c>
      <c r="F30" s="24" t="inlineStr">
        <is>
          <t>Cincinnati Reds</t>
        </is>
      </c>
      <c r="G30" s="24" t="inlineStr">
        <is>
          <t>Colorado Rockies</t>
        </is>
      </c>
      <c r="H30" s="24" t="inlineStr">
        <is>
          <t>moneyline</t>
        </is>
      </c>
      <c r="I30" s="24" t="inlineStr">
        <is>
          <t>away</t>
        </is>
      </c>
      <c r="J30" s="38" t="n"/>
      <c r="K30" s="24" t="inlineStr">
        <is>
          <t>polymarket_us</t>
        </is>
      </c>
      <c r="L30" s="26" t="n">
        <v>-133</v>
      </c>
      <c r="M30" s="39" t="n">
        <v>1.75188</v>
      </c>
      <c r="N30" s="28" t="n">
        <v>0.570815</v>
      </c>
      <c r="O30" s="28" t="n">
        <v>0.600425</v>
      </c>
      <c r="P30" s="28" t="n"/>
      <c r="Q30" s="28" t="n">
        <v>0.02961</v>
      </c>
      <c r="R30" s="26" t="n">
        <v>29</v>
      </c>
      <c r="S30" s="29" t="n">
        <v>1.5</v>
      </c>
      <c r="T30" s="24" t="inlineStr">
        <is>
          <t>mlb-elo-trend-lr-v4</t>
        </is>
      </c>
      <c r="U30" s="24" t="inlineStr">
        <is>
          <t>settled</t>
        </is>
      </c>
      <c r="V30" s="24" t="inlineStr">
        <is>
          <t>win</t>
        </is>
      </c>
      <c r="W30" s="26" t="n">
        <v>9</v>
      </c>
      <c r="X30" s="26" t="n">
        <v>6</v>
      </c>
      <c r="Y30" s="38" t="n"/>
      <c r="Z30" s="26" t="n"/>
      <c r="AA30" s="28" t="n"/>
      <c r="AB30" s="28" t="n"/>
      <c r="AC30" s="40" t="n">
        <v>1.1278</v>
      </c>
      <c r="AD30" s="24" t="inlineStr">
        <is>
          <t>2026-07-19T22:14:31.386508Z</t>
        </is>
      </c>
      <c r="AE30" s="31" t="inlineStr">
        <is>
          <t>Learned LR call at threshold 0.5150; executable ask 0.5700 (aec-mlb-cin-col-2026-07-19).</t>
        </is>
      </c>
      <c r="AF30" s="31" t="inlineStr">
        <is>
          <t>Learned model; promotion gate not yet open; zero-unit research until review.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inlineStr">
        <is>
          <t>mlb-cin</t>
        </is>
      </c>
      <c r="AQ30" s="24" t="inlineStr">
        <is>
          <t>Cincinnati Reds</t>
        </is>
      </c>
      <c r="AR30" s="24" t="inlineStr">
        <is>
          <t>Cincinnati Reds</t>
        </is>
      </c>
      <c r="AS30" s="24" t="inlineStr">
        <is>
          <t>mlb-col</t>
        </is>
      </c>
      <c r="AT30" s="24" t="inlineStr">
        <is>
          <t>Colorado Rockies</t>
        </is>
      </c>
      <c r="AU30" s="24" t="inlineStr">
        <is>
          <t>Colorado Rockies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5224fb6ffbc9ddf8fa517627b830ac851192da94d241963d556945393a42bb9d</t>
        </is>
      </c>
      <c r="BB30" s="24" t="inlineStr">
        <is>
          <t>learned_lr</t>
        </is>
      </c>
      <c r="BC30" s="24" t="inlineStr">
        <is>
          <t>mlb-elo-trend-lr-v4</t>
        </is>
      </c>
      <c r="BD30" s="24" t="inlineStr">
        <is>
          <t>5224fb6ffbc9ddf8fa517627b830ac851192da94d241963d556945393a42bb9d</t>
        </is>
      </c>
      <c r="BE30" s="24" t="inlineStr">
        <is>
          <t>b8bf91edb90bdfcb</t>
        </is>
      </c>
      <c r="BF30" s="24" t="inlineStr">
        <is>
          <t>1</t>
        </is>
      </c>
      <c r="BG30" s="24" t="inlineStr">
        <is>
          <t>mlb-elo-trend-lr-v3</t>
        </is>
      </c>
      <c r="BH30" s="24" t="inlineStr">
        <is>
          <t>2026-07-19T13:22:13.486376Z</t>
        </is>
      </c>
      <c r="BI30" s="24" t="inlineStr">
        <is>
          <t>["same_event","same_team_same_day","same_league_same_day"]</t>
        </is>
      </c>
      <c r="BJ30" s="38" t="n"/>
      <c r="BK30" s="26" t="n">
        <v>-133</v>
      </c>
      <c r="BL30" s="39" t="n">
        <v>1.75188</v>
      </c>
      <c r="BM30" s="28" t="n">
        <v>0.570815</v>
      </c>
      <c r="BN30" s="28" t="n">
        <v>0.567164</v>
      </c>
      <c r="BO30" s="28" t="n"/>
      <c r="BP30" s="38" t="n"/>
      <c r="BQ30" s="39" t="n"/>
      <c r="BR30" s="28" t="n"/>
      <c r="BS30" s="28" t="n"/>
      <c r="BT30" s="28" t="n"/>
      <c r="BU30" s="38" t="n"/>
      <c r="BV30" s="29" t="n"/>
      <c r="BW30" s="24" t="n"/>
      <c r="BX30" s="40" t="n">
        <v>1</v>
      </c>
      <c r="BY30" s="39" t="n">
        <v>0.75188</v>
      </c>
      <c r="BZ30" s="24" t="inlineStr">
        <is>
          <t>2026-07-19T22:14:31.386508Z</t>
        </is>
      </c>
      <c r="CA30" s="31" t="inlineStr">
        <is>
          <t>fixed one-unit hypothetical scoring; no real exposure or execution</t>
        </is>
      </c>
    </row>
    <row r="31" ht="36" customHeight="1">
      <c r="A31" s="24" t="inlineStr">
        <is>
          <t>35cfaddd8fa54724</t>
        </is>
      </c>
      <c r="B31" s="24" t="inlineStr">
        <is>
          <t>2026-07-19T13:23:06.843442Z</t>
        </is>
      </c>
      <c r="C31" s="24" t="inlineStr">
        <is>
          <t>2026-07-19T20:05Z</t>
        </is>
      </c>
      <c r="D31" s="24" t="inlineStr">
        <is>
          <t>401816185</t>
        </is>
      </c>
      <c r="E31" s="24" t="inlineStr">
        <is>
          <t>MLB</t>
        </is>
      </c>
      <c r="F31" s="24" t="inlineStr">
        <is>
          <t>Washington Nationals</t>
        </is>
      </c>
      <c r="G31" s="24" t="inlineStr">
        <is>
          <t>Athletics</t>
        </is>
      </c>
      <c r="H31" s="24" t="inlineStr">
        <is>
          <t>moneyline</t>
        </is>
      </c>
      <c r="I31" s="24" t="inlineStr">
        <is>
          <t>home</t>
        </is>
      </c>
      <c r="J31" s="38" t="n"/>
      <c r="K31" s="24" t="inlineStr">
        <is>
          <t>polymarket_us</t>
        </is>
      </c>
      <c r="L31" s="26" t="n">
        <v>130</v>
      </c>
      <c r="M31" s="39" t="n">
        <v>2.3</v>
      </c>
      <c r="N31" s="28" t="n">
        <v>0.434783</v>
      </c>
      <c r="O31" s="28" t="n">
        <v>0.556646</v>
      </c>
      <c r="P31" s="28" t="n"/>
      <c r="Q31" s="28" t="n">
        <v>0.121863</v>
      </c>
      <c r="R31" s="26" t="n">
        <v>100</v>
      </c>
      <c r="S31" s="29" t="n">
        <v>1</v>
      </c>
      <c r="T31" s="24" t="inlineStr">
        <is>
          <t>mlb-elo-trend-lr-v4</t>
        </is>
      </c>
      <c r="U31" s="24" t="inlineStr">
        <is>
          <t>settled</t>
        </is>
      </c>
      <c r="V31" s="24" t="inlineStr">
        <is>
          <t>loss</t>
        </is>
      </c>
      <c r="W31" s="26" t="n">
        <v>5</v>
      </c>
      <c r="X31" s="26" t="n">
        <v>2</v>
      </c>
      <c r="Y31" s="38" t="n"/>
      <c r="Z31" s="26" t="n"/>
      <c r="AA31" s="28" t="n"/>
      <c r="AB31" s="28" t="n"/>
      <c r="AC31" s="40" t="n">
        <v>-1</v>
      </c>
      <c r="AD31" s="24" t="inlineStr">
        <is>
          <t>2026-07-19T23:07:45.507453Z</t>
        </is>
      </c>
      <c r="AE31" s="31" t="inlineStr">
        <is>
          <t>Learned LR call at threshold 0.5150; executable ask 0.4350 (aec-mlb-wsh-ath-2026-07-19).</t>
        </is>
      </c>
      <c r="AF31" s="31" t="inlineStr">
        <is>
          <t>Learned model; promotion gate not yet open; zero-unit research until review.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NO_CALL_MODEL_UNVALIDATED</t>
        </is>
      </c>
      <c r="AP31" s="24" t="inlineStr">
        <is>
          <t>mlb-wsh</t>
        </is>
      </c>
      <c r="AQ31" s="24" t="inlineStr">
        <is>
          <t>Washington Nationals</t>
        </is>
      </c>
      <c r="AR31" s="24" t="inlineStr">
        <is>
          <t>Washington Nationals</t>
        </is>
      </c>
      <c r="AS31" s="24" t="inlineStr">
        <is>
          <t>mlb-ath</t>
        </is>
      </c>
      <c r="AT31" s="24" t="inlineStr">
        <is>
          <t>Athletics</t>
        </is>
      </c>
      <c r="AU31" s="24" t="inlineStr">
        <is>
          <t>Athletics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5224fb6ffbc9ddf8fa517627b830ac851192da94d241963d556945393a42bb9d</t>
        </is>
      </c>
      <c r="BB31" s="24" t="inlineStr">
        <is>
          <t>learned_lr</t>
        </is>
      </c>
      <c r="BC31" s="24" t="inlineStr">
        <is>
          <t>mlb-elo-trend-lr-v4</t>
        </is>
      </c>
      <c r="BD31" s="24" t="inlineStr">
        <is>
          <t>5224fb6ffbc9ddf8fa517627b830ac851192da94d241963d556945393a42bb9d</t>
        </is>
      </c>
      <c r="BE31" s="24" t="inlineStr">
        <is>
          <t>47154d07c5727d94</t>
        </is>
      </c>
      <c r="BF31" s="24" t="inlineStr">
        <is>
          <t>1</t>
        </is>
      </c>
      <c r="BG31" s="24" t="inlineStr">
        <is>
          <t>mlb-elo-trend-lr-v3</t>
        </is>
      </c>
      <c r="BH31" s="24" t="inlineStr">
        <is>
          <t>2026-07-19T13:22:14.970065Z</t>
        </is>
      </c>
      <c r="BI31" s="24" t="inlineStr">
        <is>
          <t>["same_event","same_team_same_day","same_league_same_day"]</t>
        </is>
      </c>
      <c r="BJ31" s="38" t="n"/>
      <c r="BK31" s="26" t="n">
        <v>130</v>
      </c>
      <c r="BL31" s="39" t="n">
        <v>2.3</v>
      </c>
      <c r="BM31" s="28" t="n">
        <v>0.434783</v>
      </c>
      <c r="BN31" s="28" t="n">
        <v>0.432836</v>
      </c>
      <c r="BO31" s="28" t="n"/>
      <c r="BP31" s="38" t="n"/>
      <c r="BQ31" s="39" t="n"/>
      <c r="BR31" s="28" t="n"/>
      <c r="BS31" s="28" t="n"/>
      <c r="BT31" s="28" t="n"/>
      <c r="BU31" s="38" t="n"/>
      <c r="BV31" s="29" t="n"/>
      <c r="BW31" s="24" t="n"/>
      <c r="BX31" s="40" t="n">
        <v>1</v>
      </c>
      <c r="BY31" s="39" t="n">
        <v>-1</v>
      </c>
      <c r="BZ31" s="24" t="inlineStr">
        <is>
          <t>2026-07-19T23:07:45.507453Z</t>
        </is>
      </c>
      <c r="CA31" s="31" t="inlineStr">
        <is>
          <t>fixed one-unit hypothetical scoring; no real exposure or execution</t>
        </is>
      </c>
    </row>
    <row r="32" ht="36" customHeight="1">
      <c r="A32" s="24" t="inlineStr">
        <is>
          <t>542e7a0dbfec4eb5</t>
        </is>
      </c>
      <c r="B32" s="24" t="inlineStr">
        <is>
          <t>2026-07-20T16:50:34.398508Z</t>
        </is>
      </c>
      <c r="C32" s="24" t="inlineStr">
        <is>
          <t>2026-07-20T18:40:00-0400</t>
        </is>
      </c>
      <c r="D32" s="24" t="inlineStr">
        <is>
          <t>401816188</t>
        </is>
      </c>
      <c r="E32" s="24" t="inlineStr">
        <is>
          <t>MLB</t>
        </is>
      </c>
      <c r="F32" s="24" t="inlineStr">
        <is>
          <t>Minnesota Twins</t>
        </is>
      </c>
      <c r="G32" s="24" t="inlineStr">
        <is>
          <t>Cleveland Guardians</t>
        </is>
      </c>
      <c r="H32" s="24" t="inlineStr">
        <is>
          <t>moneyline</t>
        </is>
      </c>
      <c r="I32" s="24" t="inlineStr">
        <is>
          <t>home</t>
        </is>
      </c>
      <c r="J32" s="38" t="n"/>
      <c r="K32" s="24" t="inlineStr">
        <is>
          <t>polymarket_us</t>
        </is>
      </c>
      <c r="L32" s="26" t="n">
        <v>115</v>
      </c>
      <c r="M32" s="39" t="n">
        <v>2.15</v>
      </c>
      <c r="N32" s="28" t="n">
        <v>0.465116</v>
      </c>
      <c r="O32" s="28" t="n">
        <v>0.5726869999999999</v>
      </c>
      <c r="P32" s="28" t="n"/>
      <c r="Q32" s="28" t="n">
        <v>0.107571</v>
      </c>
      <c r="R32" s="26" t="n">
        <v>100</v>
      </c>
      <c r="S32" s="29" t="n">
        <v>1.25</v>
      </c>
      <c r="T32" s="24" t="inlineStr">
        <is>
          <t>mlb-elo-trend-lr-v4</t>
        </is>
      </c>
      <c r="U32" s="24" t="inlineStr">
        <is>
          <t>settled</t>
        </is>
      </c>
      <c r="V32" s="24" t="inlineStr">
        <is>
          <t>win</t>
        </is>
      </c>
      <c r="W32" s="26" t="n">
        <v>4</v>
      </c>
      <c r="X32" s="26" t="n">
        <v>13</v>
      </c>
      <c r="Y32" s="38" t="n"/>
      <c r="Z32" s="26" t="n"/>
      <c r="AA32" s="28" t="n"/>
      <c r="AB32" s="28" t="n"/>
      <c r="AC32" s="40" t="n">
        <v>1.4375</v>
      </c>
      <c r="AD32" s="24" t="inlineStr">
        <is>
          <t>2026-07-21T03:22:54.737922Z</t>
        </is>
      </c>
      <c r="AE32" s="31" t="inlineStr">
        <is>
          <t>Learned LR call at threshold 0.5500; executable ask 0.4650 (aec-mlb-min-cle-2026-07-20).</t>
        </is>
      </c>
      <c r="AF32" s="31" t="inlineStr">
        <is>
          <t>Learned model; promotion gate not yet open; zero-unit research until review.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NO_CALL_LARGE_DISAGREEMENT_REVIEW</t>
        </is>
      </c>
      <c r="AP32" s="24" t="inlineStr">
        <is>
          <t>mlb-min</t>
        </is>
      </c>
      <c r="AQ32" s="24" t="inlineStr">
        <is>
          <t>Minnesota Twins</t>
        </is>
      </c>
      <c r="AR32" s="24" t="inlineStr">
        <is>
          <t>Minnesota Twins</t>
        </is>
      </c>
      <c r="AS32" s="24" t="inlineStr">
        <is>
          <t>mlb-cle</t>
        </is>
      </c>
      <c r="AT32" s="24" t="inlineStr">
        <is>
          <t>Cleveland Guardians</t>
        </is>
      </c>
      <c r="AU32" s="24" t="inlineStr">
        <is>
          <t>Cleveland Guardians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5224fb6ffbc9ddf8fa517627b830ac851192da94d241963d556945393a42bb9d</t>
        </is>
      </c>
      <c r="BB32" s="24" t="inlineStr">
        <is>
          <t>learned_lr</t>
        </is>
      </c>
      <c r="BC32" s="24" t="inlineStr">
        <is>
          <t>mlb-elo-trend-lr-v4</t>
        </is>
      </c>
      <c r="BD32" s="24" t="inlineStr">
        <is>
          <t>5224fb6ffbc9ddf8fa517627b830ac851192da94d241963d556945393a42bb9d</t>
        </is>
      </c>
      <c r="BE32" s="24" t="inlineStr">
        <is>
          <t>2170ac399ced5417</t>
        </is>
      </c>
      <c r="BF32" s="24" t="inlineStr">
        <is>
          <t>1</t>
        </is>
      </c>
      <c r="BG32" s="24" t="inlineStr">
        <is>
          <t>mlb-elo-trend-lr-v4</t>
        </is>
      </c>
      <c r="BH32" s="24" t="inlineStr">
        <is>
          <t>2026-07-20T16:49:43.428041Z</t>
        </is>
      </c>
      <c r="BI32" s="24" t="inlineStr">
        <is>
          <t>["same_event","same_team_same_day","same_league_same_day"]</t>
        </is>
      </c>
      <c r="BJ32" s="38" t="n"/>
      <c r="BK32" s="26" t="n">
        <v>115</v>
      </c>
      <c r="BL32" s="39" t="n">
        <v>2.15</v>
      </c>
      <c r="BM32" s="28" t="n">
        <v>0.465116</v>
      </c>
      <c r="BN32" s="28" t="n">
        <v>0.462687</v>
      </c>
      <c r="BO32" s="28" t="n"/>
      <c r="BP32" s="38" t="n"/>
      <c r="BQ32" s="39" t="n"/>
      <c r="BR32" s="28" t="n"/>
      <c r="BS32" s="28" t="n"/>
      <c r="BT32" s="28" t="n"/>
      <c r="BU32" s="38" t="n"/>
      <c r="BV32" s="29" t="n"/>
      <c r="BW32" s="24" t="n"/>
      <c r="BX32" s="40" t="n">
        <v>1</v>
      </c>
      <c r="BY32" s="39" t="n">
        <v>1.15</v>
      </c>
      <c r="BZ32" s="24" t="inlineStr">
        <is>
          <t>2026-07-21T03:22:54.737922Z</t>
        </is>
      </c>
      <c r="CA32" s="31" t="inlineStr">
        <is>
          <t>fixed one-unit hypothetical scoring; no real exposure or execution</t>
        </is>
      </c>
    </row>
    <row r="33" ht="36" customHeight="1">
      <c r="A33" s="24" t="inlineStr">
        <is>
          <t>554be71d308247ed</t>
        </is>
      </c>
      <c r="B33" s="24" t="inlineStr">
        <is>
          <t>2026-07-20T16:50:34.398508Z</t>
        </is>
      </c>
      <c r="C33" s="24" t="inlineStr">
        <is>
          <t>2026-07-20T19:05:00-0400</t>
        </is>
      </c>
      <c r="D33" s="24" t="inlineStr">
        <is>
          <t>401816189</t>
        </is>
      </c>
      <c r="E33" s="24" t="inlineStr">
        <is>
          <t>MLB</t>
        </is>
      </c>
      <c r="F33" s="24" t="inlineStr">
        <is>
          <t>Pittsburgh Pirates</t>
        </is>
      </c>
      <c r="G33" s="24" t="inlineStr">
        <is>
          <t>New York Yankees</t>
        </is>
      </c>
      <c r="H33" s="24" t="inlineStr">
        <is>
          <t>moneyline</t>
        </is>
      </c>
      <c r="I33" s="24" t="inlineStr">
        <is>
          <t>home</t>
        </is>
      </c>
      <c r="J33" s="38" t="n"/>
      <c r="K33" s="24" t="inlineStr">
        <is>
          <t>polymarket_us</t>
        </is>
      </c>
      <c r="L33" s="26" t="n">
        <v>-108</v>
      </c>
      <c r="M33" s="39" t="n">
        <v>1.925926</v>
      </c>
      <c r="N33" s="28" t="n">
        <v>0.519231</v>
      </c>
      <c r="O33" s="28" t="n">
        <v>0.578558</v>
      </c>
      <c r="P33" s="28" t="n"/>
      <c r="Q33" s="28" t="n">
        <v>0.059327</v>
      </c>
      <c r="R33" s="26" t="n">
        <v>50</v>
      </c>
      <c r="S33" s="29" t="n">
        <v>1.25</v>
      </c>
      <c r="T33" s="24" t="inlineStr">
        <is>
          <t>mlb-elo-trend-lr-v4</t>
        </is>
      </c>
      <c r="U33" s="24" t="inlineStr">
        <is>
          <t>settled</t>
        </is>
      </c>
      <c r="V33" s="24" t="inlineStr">
        <is>
          <t>win</t>
        </is>
      </c>
      <c r="W33" s="26" t="n">
        <v>5</v>
      </c>
      <c r="X33" s="26" t="n">
        <v>8</v>
      </c>
      <c r="Y33" s="38" t="n"/>
      <c r="Z33" s="26" t="n"/>
      <c r="AA33" s="28" t="n"/>
      <c r="AB33" s="28" t="n"/>
      <c r="AC33" s="40" t="n">
        <v>1.1574</v>
      </c>
      <c r="AD33" s="24" t="inlineStr">
        <is>
          <t>2026-07-21T03:22:55.055992Z</t>
        </is>
      </c>
      <c r="AE33" s="31" t="inlineStr">
        <is>
          <t>Learned LR call at threshold 0.5500; executable ask 0.5200 (aec-mlb-pit-nyy-2026-07-20).</t>
        </is>
      </c>
      <c r="AF33" s="31" t="inlineStr">
        <is>
          <t>Learned model; promotion gate not yet open; zero-unit research until review.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NO_CALL_LOW_EDGE</t>
        </is>
      </c>
      <c r="AP33" s="24" t="inlineStr">
        <is>
          <t>mlb-pit</t>
        </is>
      </c>
      <c r="AQ33" s="24" t="inlineStr">
        <is>
          <t>Pittsburgh Pirates</t>
        </is>
      </c>
      <c r="AR33" s="24" t="inlineStr">
        <is>
          <t>Pittsburgh Pirates</t>
        </is>
      </c>
      <c r="AS33" s="24" t="inlineStr">
        <is>
          <t>mlb-nyy</t>
        </is>
      </c>
      <c r="AT33" s="24" t="inlineStr">
        <is>
          <t>New York Yankees</t>
        </is>
      </c>
      <c r="AU33" s="24" t="inlineStr">
        <is>
          <t>New York Yankees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5224fb6ffbc9ddf8fa517627b830ac851192da94d241963d556945393a42bb9d</t>
        </is>
      </c>
      <c r="BB33" s="24" t="inlineStr">
        <is>
          <t>learned_lr</t>
        </is>
      </c>
      <c r="BC33" s="24" t="inlineStr">
        <is>
          <t>mlb-elo-trend-lr-v4</t>
        </is>
      </c>
      <c r="BD33" s="24" t="inlineStr">
        <is>
          <t>5224fb6ffbc9ddf8fa517627b830ac851192da94d241963d556945393a42bb9d</t>
        </is>
      </c>
      <c r="BE33" s="24" t="inlineStr">
        <is>
          <t>38ab7db5a3798f0c</t>
        </is>
      </c>
      <c r="BF33" s="24" t="inlineStr">
        <is>
          <t>1</t>
        </is>
      </c>
      <c r="BG33" s="24" t="inlineStr">
        <is>
          <t>mlb-elo-trend-lr-v4</t>
        </is>
      </c>
      <c r="BH33" s="24" t="inlineStr">
        <is>
          <t>2026-07-20T16:49:45.032018Z</t>
        </is>
      </c>
      <c r="BI33" s="24" t="inlineStr">
        <is>
          <t>["same_event","same_team_same_day","same_league_same_day"]</t>
        </is>
      </c>
      <c r="BJ33" s="38" t="n"/>
      <c r="BK33" s="26" t="n">
        <v>-108</v>
      </c>
      <c r="BL33" s="39" t="n">
        <v>1.925926</v>
      </c>
      <c r="BM33" s="28" t="n">
        <v>0.519231</v>
      </c>
      <c r="BN33" s="28" t="n">
        <v>0.517413</v>
      </c>
      <c r="BO33" s="28" t="n"/>
      <c r="BP33" s="38" t="n"/>
      <c r="BQ33" s="39" t="n"/>
      <c r="BR33" s="28" t="n"/>
      <c r="BS33" s="28" t="n"/>
      <c r="BT33" s="28" t="n"/>
      <c r="BU33" s="38" t="n"/>
      <c r="BV33" s="29" t="n"/>
      <c r="BW33" s="24" t="n"/>
      <c r="BX33" s="40" t="n">
        <v>1</v>
      </c>
      <c r="BY33" s="39" t="n">
        <v>0.925926</v>
      </c>
      <c r="BZ33" s="24" t="inlineStr">
        <is>
          <t>2026-07-21T03:22:55.055992Z</t>
        </is>
      </c>
      <c r="CA33" s="31" t="inlineStr">
        <is>
          <t>fixed one-unit hypothetical scoring; no real exposure or execution</t>
        </is>
      </c>
    </row>
    <row r="34" ht="36" customHeight="1">
      <c r="A34" s="24" t="inlineStr">
        <is>
          <t>af79b4620f7a4af3</t>
        </is>
      </c>
      <c r="B34" s="24" t="inlineStr">
        <is>
          <t>2026-07-20T16:50:34.398508Z</t>
        </is>
      </c>
      <c r="C34" s="24" t="inlineStr">
        <is>
          <t>2026-07-20T20:05:00-0400</t>
        </is>
      </c>
      <c r="D34" s="24" t="inlineStr">
        <is>
          <t>401816193</t>
        </is>
      </c>
      <c r="E34" s="24" t="inlineStr">
        <is>
          <t>MLB</t>
        </is>
      </c>
      <c r="F34" s="24" t="inlineStr">
        <is>
          <t>Detroit Tigers</t>
        </is>
      </c>
      <c r="G34" s="24" t="inlineStr">
        <is>
          <t>Chicago Cubs</t>
        </is>
      </c>
      <c r="H34" s="24" t="inlineStr">
        <is>
          <t>moneyline</t>
        </is>
      </c>
      <c r="I34" s="24" t="inlineStr">
        <is>
          <t>home</t>
        </is>
      </c>
      <c r="J34" s="38" t="n"/>
      <c r="K34" s="24" t="inlineStr">
        <is>
          <t>polymarket_us</t>
        </is>
      </c>
      <c r="L34" s="26" t="n">
        <v>-106</v>
      </c>
      <c r="M34" s="39" t="n">
        <v>1.943396</v>
      </c>
      <c r="N34" s="28" t="n">
        <v>0.514563</v>
      </c>
      <c r="O34" s="28" t="n">
        <v>0.566967</v>
      </c>
      <c r="P34" s="28" t="n"/>
      <c r="Q34" s="28" t="n">
        <v>0.052404</v>
      </c>
      <c r="R34" s="26" t="n">
        <v>46</v>
      </c>
      <c r="S34" s="29" t="n">
        <v>1.25</v>
      </c>
      <c r="T34" s="24" t="inlineStr">
        <is>
          <t>mlb-elo-trend-lr-v4</t>
        </is>
      </c>
      <c r="U34" s="24" t="inlineStr">
        <is>
          <t>settled</t>
        </is>
      </c>
      <c r="V34" s="24" t="inlineStr">
        <is>
          <t>loss</t>
        </is>
      </c>
      <c r="W34" s="26" t="n">
        <v>8</v>
      </c>
      <c r="X34" s="26" t="n">
        <v>6</v>
      </c>
      <c r="Y34" s="38" t="n"/>
      <c r="Z34" s="26" t="n"/>
      <c r="AA34" s="28" t="n"/>
      <c r="AB34" s="28" t="n"/>
      <c r="AC34" s="40" t="n">
        <v>-1.25</v>
      </c>
      <c r="AD34" s="24" t="inlineStr">
        <is>
          <t>2026-07-21T04:41:10.971771Z</t>
        </is>
      </c>
      <c r="AE34" s="31" t="inlineStr">
        <is>
          <t>Learned LR call at threshold 0.5500; executable ask 0.5150 (aec-mlb-det-chc-2026-07-20).</t>
        </is>
      </c>
      <c r="AF34" s="31" t="inlineStr">
        <is>
          <t>Learned model; promotion gate not yet open; zero-unit research until review.</t>
        </is>
      </c>
      <c r="AG34" s="24" t="inlineStr">
        <is>
          <t>review_required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NO_CALL_LOW_EDGE</t>
        </is>
      </c>
      <c r="AP34" s="24" t="inlineStr">
        <is>
          <t>mlb-det</t>
        </is>
      </c>
      <c r="AQ34" s="24" t="inlineStr">
        <is>
          <t>Detroit Tigers</t>
        </is>
      </c>
      <c r="AR34" s="24" t="inlineStr">
        <is>
          <t>Detroit Tigers</t>
        </is>
      </c>
      <c r="AS34" s="24" t="inlineStr">
        <is>
          <t>mlb-chc</t>
        </is>
      </c>
      <c r="AT34" s="24" t="inlineStr">
        <is>
          <t>Chicago Cubs</t>
        </is>
      </c>
      <c r="AU34" s="24" t="inlineStr">
        <is>
          <t>Chicago Cubs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5224fb6ffbc9ddf8fa517627b830ac851192da94d241963d556945393a42bb9d</t>
        </is>
      </c>
      <c r="BB34" s="24" t="inlineStr">
        <is>
          <t>learned_lr</t>
        </is>
      </c>
      <c r="BC34" s="24" t="inlineStr">
        <is>
          <t>mlb-elo-trend-lr-v4</t>
        </is>
      </c>
      <c r="BD34" s="24" t="inlineStr">
        <is>
          <t>5224fb6ffbc9ddf8fa517627b830ac851192da94d241963d556945393a42bb9d</t>
        </is>
      </c>
      <c r="BE34" s="24" t="inlineStr">
        <is>
          <t>b84afb2c70e14d93</t>
        </is>
      </c>
      <c r="BF34" s="24" t="inlineStr">
        <is>
          <t>1</t>
        </is>
      </c>
      <c r="BG34" s="24" t="inlineStr">
        <is>
          <t>mlb-elo-trend-lr-v4</t>
        </is>
      </c>
      <c r="BH34" s="24" t="inlineStr">
        <is>
          <t>2026-07-20T16:49:55.275935Z</t>
        </is>
      </c>
      <c r="BI34" s="24" t="inlineStr">
        <is>
          <t>["same_event","same_team_same_day","same_league_same_day"]</t>
        </is>
      </c>
      <c r="BJ34" s="38" t="n"/>
      <c r="BK34" s="26" t="n">
        <v>-106</v>
      </c>
      <c r="BL34" s="39" t="n">
        <v>1.943396</v>
      </c>
      <c r="BM34" s="28" t="n">
        <v>0.514563</v>
      </c>
      <c r="BN34" s="28" t="n">
        <v>0.5124379999999999</v>
      </c>
      <c r="BO34" s="28" t="n"/>
      <c r="BP34" s="38" t="n"/>
      <c r="BQ34" s="39" t="n"/>
      <c r="BR34" s="28" t="n"/>
      <c r="BS34" s="28" t="n"/>
      <c r="BT34" s="28" t="n"/>
      <c r="BU34" s="38" t="n"/>
      <c r="BV34" s="29" t="n"/>
      <c r="BW34" s="24" t="n"/>
      <c r="BX34" s="40" t="n"/>
      <c r="BY34" s="39" t="n"/>
      <c r="BZ34" s="24" t="n"/>
      <c r="CA34" s="31" t="n"/>
    </row>
    <row r="35" ht="36" customHeight="1">
      <c r="A35" s="24" t="inlineStr">
        <is>
          <t>283f71257d594ea5</t>
        </is>
      </c>
      <c r="B35" s="24" t="inlineStr">
        <is>
          <t>2026-07-20T16:50:37.639352Z</t>
        </is>
      </c>
      <c r="C35" s="24" t="inlineStr">
        <is>
          <t>2026-07-20T20:00:00-0400</t>
        </is>
      </c>
      <c r="D35" s="24" t="inlineStr">
        <is>
          <t>401892393</t>
        </is>
      </c>
      <c r="E35" s="24" t="inlineStr">
        <is>
          <t>WNBA</t>
        </is>
      </c>
      <c r="F35" s="24" t="inlineStr">
        <is>
          <t>New York Liberty</t>
        </is>
      </c>
      <c r="G35" s="24" t="inlineStr">
        <is>
          <t>Dallas Wings</t>
        </is>
      </c>
      <c r="H35" s="24" t="inlineStr">
        <is>
          <t>moneyline</t>
        </is>
      </c>
      <c r="I35" s="24" t="inlineStr">
        <is>
          <t>home</t>
        </is>
      </c>
      <c r="J35" s="38" t="n"/>
      <c r="K35" s="24" t="inlineStr">
        <is>
          <t>polymarket_us</t>
        </is>
      </c>
      <c r="L35" s="26" t="n">
        <v>150</v>
      </c>
      <c r="M35" s="39" t="n">
        <v>2.5</v>
      </c>
      <c r="N35" s="28" t="n">
        <v>0.4</v>
      </c>
      <c r="O35" s="28" t="n">
        <v>0.751217</v>
      </c>
      <c r="P35" s="28" t="n"/>
      <c r="Q35" s="28" t="n">
        <v>0.351217</v>
      </c>
      <c r="R35" s="26" t="n">
        <v>100</v>
      </c>
      <c r="S35" s="29" t="n">
        <v>2</v>
      </c>
      <c r="T35" s="24" t="inlineStr">
        <is>
          <t>wnba-elo-trend-lr-v3</t>
        </is>
      </c>
      <c r="U35" s="24" t="inlineStr">
        <is>
          <t>settled</t>
        </is>
      </c>
      <c r="V35" s="24" t="inlineStr">
        <is>
          <t>loss</t>
        </is>
      </c>
      <c r="W35" s="26" t="n">
        <v>99</v>
      </c>
      <c r="X35" s="26" t="n">
        <v>98</v>
      </c>
      <c r="Y35" s="38" t="n"/>
      <c r="Z35" s="26" t="n"/>
      <c r="AA35" s="28" t="n"/>
      <c r="AB35" s="28" t="n"/>
      <c r="AC35" s="40" t="n">
        <v>-2</v>
      </c>
      <c r="AD35" s="24" t="inlineStr">
        <is>
          <t>2026-07-21T03:22:55.455883Z</t>
        </is>
      </c>
      <c r="AE35" s="31" t="inlineStr">
        <is>
          <t>Learned LR call at threshold 0.5051; executable ask 0.4000 (aec-wnba-ny-dal-2026-07-20).</t>
        </is>
      </c>
      <c r="AF35" s="31" t="inlineStr">
        <is>
          <t>Learned model; promotion gate not yet open; zero-unit research until review.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NO_CALL_LARGE_DISAGREEMENT_REVIEW</t>
        </is>
      </c>
      <c r="AP35" s="24" t="inlineStr">
        <is>
          <t>wnba-nyl</t>
        </is>
      </c>
      <c r="AQ35" s="24" t="inlineStr">
        <is>
          <t>New York Liberty</t>
        </is>
      </c>
      <c r="AR35" s="24" t="inlineStr">
        <is>
          <t>New York Liberty</t>
        </is>
      </c>
      <c r="AS35" s="24" t="inlineStr">
        <is>
          <t>wnba-dal</t>
        </is>
      </c>
      <c r="AT35" s="24" t="inlineStr">
        <is>
          <t>Dallas Wings</t>
        </is>
      </c>
      <c r="AU35" s="24" t="inlineStr">
        <is>
          <t>Dallas Wings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43ee2f84f025c10f83f80a8c22d49c35c420734a8a730b5f272287225cceee4b</t>
        </is>
      </c>
      <c r="BB35" s="24" t="inlineStr">
        <is>
          <t>learned_lr</t>
        </is>
      </c>
      <c r="BC35" s="24" t="inlineStr">
        <is>
          <t>wnba-elo-trend-lr-v3</t>
        </is>
      </c>
      <c r="BD35" s="24" t="inlineStr">
        <is>
          <t>43ee2f84f025c10f83f80a8c22d49c35c420734a8a730b5f272287225cceee4b</t>
        </is>
      </c>
      <c r="BE35" s="24" t="inlineStr">
        <is>
          <t>3b474aa853a60d81</t>
        </is>
      </c>
      <c r="BF35" s="24" t="inlineStr">
        <is>
          <t>1</t>
        </is>
      </c>
      <c r="BG35" s="24" t="inlineStr">
        <is>
          <t>wnba-elo-trend-lr-v3</t>
        </is>
      </c>
      <c r="BH35" s="24" t="inlineStr">
        <is>
          <t>2026-07-20T16:50:05.640054Z</t>
        </is>
      </c>
      <c r="BI35" s="24" t="inlineStr">
        <is>
          <t>["same_event","same_team_same_day","same_league_same_day"]</t>
        </is>
      </c>
      <c r="BJ35" s="38" t="n"/>
      <c r="BK35" s="26" t="n">
        <v>150</v>
      </c>
      <c r="BL35" s="39" t="n">
        <v>2.5</v>
      </c>
      <c r="BM35" s="28" t="n">
        <v>0.4</v>
      </c>
      <c r="BN35" s="28" t="n">
        <v>0.39604</v>
      </c>
      <c r="BO35" s="28" t="n"/>
      <c r="BP35" s="38" t="n"/>
      <c r="BQ35" s="39" t="n"/>
      <c r="BR35" s="28" t="n"/>
      <c r="BS35" s="28" t="n"/>
      <c r="BT35" s="28" t="n"/>
      <c r="BU35" s="38" t="n"/>
      <c r="BV35" s="29" t="n"/>
      <c r="BW35" s="24" t="n"/>
      <c r="BX35" s="40" t="n">
        <v>1</v>
      </c>
      <c r="BY35" s="39" t="n">
        <v>-1</v>
      </c>
      <c r="BZ35" s="24" t="inlineStr">
        <is>
          <t>2026-07-21T03:22:55.455883Z</t>
        </is>
      </c>
      <c r="CA35" s="31" t="inlineStr">
        <is>
          <t>fixed one-unit hypothetical scoring; no real exposure or execution</t>
        </is>
      </c>
    </row>
    <row r="36" ht="36" customHeight="1">
      <c r="A36" s="24" t="inlineStr">
        <is>
          <t>9fcdfe37492a4081</t>
        </is>
      </c>
      <c r="B36" s="24" t="inlineStr">
        <is>
          <t>2026-07-20T17:15:20.228896Z</t>
        </is>
      </c>
      <c r="C36" s="24" t="inlineStr">
        <is>
          <t>2026-07-21T18:40:00-0400</t>
        </is>
      </c>
      <c r="D36" s="24" t="inlineStr">
        <is>
          <t>401816203</t>
        </is>
      </c>
      <c r="E36" s="24" t="inlineStr">
        <is>
          <t>MLB</t>
        </is>
      </c>
      <c r="F36" s="24" t="inlineStr">
        <is>
          <t>Minnesota Twins</t>
        </is>
      </c>
      <c r="G36" s="24" t="inlineStr">
        <is>
          <t>Cleveland Guardians</t>
        </is>
      </c>
      <c r="H36" s="24" t="inlineStr">
        <is>
          <t>moneyline</t>
        </is>
      </c>
      <c r="I36" s="24" t="inlineStr">
        <is>
          <t>home</t>
        </is>
      </c>
      <c r="J36" s="38" t="n"/>
      <c r="K36" s="24" t="inlineStr">
        <is>
          <t>polymarket_us</t>
        </is>
      </c>
      <c r="L36" s="26" t="n">
        <v>-120</v>
      </c>
      <c r="M36" s="39" t="n">
        <v>1.833333</v>
      </c>
      <c r="N36" s="28" t="n">
        <v>0.545455</v>
      </c>
      <c r="O36" s="28" t="n">
        <v>0.5726869999999999</v>
      </c>
      <c r="P36" s="28" t="n"/>
      <c r="Q36" s="28" t="n">
        <v>0.027232</v>
      </c>
      <c r="R36" s="26" t="n">
        <v>34</v>
      </c>
      <c r="S36" s="29" t="n">
        <v>1.25</v>
      </c>
      <c r="T36" s="24" t="inlineStr">
        <is>
          <t>mlb-elo-trend-lr-v4</t>
        </is>
      </c>
      <c r="U36" s="24" t="inlineStr">
        <is>
          <t>open</t>
        </is>
      </c>
      <c r="V36" s="24" t="n"/>
      <c r="W36" s="26" t="n"/>
      <c r="X36" s="26" t="n"/>
      <c r="Y36" s="38" t="n"/>
      <c r="Z36" s="26" t="n"/>
      <c r="AA36" s="28" t="n"/>
      <c r="AB36" s="28" t="n"/>
      <c r="AC36" s="40" t="n"/>
      <c r="AD36" s="24" t="n"/>
      <c r="AE36" s="31" t="inlineStr">
        <is>
          <t>Learned LR call at threshold 0.5500; executable ask 0.5450 (aec-mlb-min-cle-2026-07-21).</t>
        </is>
      </c>
      <c r="AF36" s="31" t="inlineStr">
        <is>
          <t>Learned model; promotion gate not yet open; zero-unit research until review.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NO_CALL_LOW_EDGE</t>
        </is>
      </c>
      <c r="AP36" s="24" t="inlineStr">
        <is>
          <t>mlb-min</t>
        </is>
      </c>
      <c r="AQ36" s="24" t="inlineStr">
        <is>
          <t>Minnesota Twins</t>
        </is>
      </c>
      <c r="AR36" s="24" t="inlineStr">
        <is>
          <t>Minnesota Twins</t>
        </is>
      </c>
      <c r="AS36" s="24" t="inlineStr">
        <is>
          <t>mlb-cle</t>
        </is>
      </c>
      <c r="AT36" s="24" t="inlineStr">
        <is>
          <t>Cleveland Guardians</t>
        </is>
      </c>
      <c r="AU36" s="24" t="inlineStr">
        <is>
          <t>Cleveland Guardians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5224fb6ffbc9ddf8fa517627b830ac851192da94d241963d556945393a42bb9d</t>
        </is>
      </c>
      <c r="BB36" s="24" t="inlineStr">
        <is>
          <t>learned_lr</t>
        </is>
      </c>
      <c r="BC36" s="24" t="inlineStr">
        <is>
          <t>mlb-elo-trend-lr-v4</t>
        </is>
      </c>
      <c r="BD36" s="24" t="inlineStr">
        <is>
          <t>5224fb6ffbc9ddf8fa517627b830ac851192da94d241963d556945393a42bb9d</t>
        </is>
      </c>
      <c r="BE36" s="24" t="inlineStr">
        <is>
          <t>b2d94e21762e8b04</t>
        </is>
      </c>
      <c r="BF36" s="24" t="inlineStr">
        <is>
          <t>1</t>
        </is>
      </c>
      <c r="BG36" s="24" t="inlineStr">
        <is>
          <t>mlb-elo-trend-lr-v4</t>
        </is>
      </c>
      <c r="BH36" s="24" t="inlineStr">
        <is>
          <t>2026-07-20T17:14:54.293063Z</t>
        </is>
      </c>
      <c r="BI36" s="24" t="inlineStr">
        <is>
          <t>["same_event","same_team_same_day","same_league_same_day"]</t>
        </is>
      </c>
      <c r="BJ36" s="38" t="n"/>
      <c r="BK36" s="26" t="n">
        <v>-120</v>
      </c>
      <c r="BL36" s="39" t="n">
        <v>1.833333</v>
      </c>
      <c r="BM36" s="28" t="n">
        <v>0.545455</v>
      </c>
      <c r="BN36" s="28" t="n">
        <v>0.542289</v>
      </c>
      <c r="BO36" s="28" t="n"/>
      <c r="BP36" s="38" t="n"/>
      <c r="BQ36" s="39" t="n"/>
      <c r="BR36" s="28" t="n"/>
      <c r="BS36" s="28" t="n"/>
      <c r="BT36" s="28" t="n"/>
      <c r="BU36" s="38" t="n"/>
      <c r="BV36" s="29" t="n"/>
      <c r="BW36" s="24" t="n"/>
      <c r="BX36" s="40" t="n"/>
      <c r="BY36" s="39" t="n"/>
      <c r="BZ36" s="24" t="n"/>
      <c r="CA36" s="31" t="n"/>
    </row>
    <row r="37" ht="36" customHeight="1">
      <c r="A37" s="24" t="inlineStr">
        <is>
          <t>fcd259e35f4a4663</t>
        </is>
      </c>
      <c r="B37" s="24" t="inlineStr">
        <is>
          <t>2026-07-20T17:15:20.228896Z</t>
        </is>
      </c>
      <c r="C37" s="24" t="inlineStr">
        <is>
          <t>2026-07-21T19:05:00-0400</t>
        </is>
      </c>
      <c r="D37" s="24" t="inlineStr">
        <is>
          <t>401816204</t>
        </is>
      </c>
      <c r="E37" s="24" t="inlineStr">
        <is>
          <t>MLB</t>
        </is>
      </c>
      <c r="F37" s="24" t="inlineStr">
        <is>
          <t>Pittsburgh Pirates</t>
        </is>
      </c>
      <c r="G37" s="24" t="inlineStr">
        <is>
          <t>New York Yankees</t>
        </is>
      </c>
      <c r="H37" s="24" t="inlineStr">
        <is>
          <t>moneyline</t>
        </is>
      </c>
      <c r="I37" s="24" t="inlineStr">
        <is>
          <t>home</t>
        </is>
      </c>
      <c r="J37" s="38" t="n"/>
      <c r="K37" s="24" t="inlineStr">
        <is>
          <t>polymarket_us</t>
        </is>
      </c>
      <c r="L37" s="26" t="n">
        <v>-122</v>
      </c>
      <c r="M37" s="39" t="n">
        <v>1.819672</v>
      </c>
      <c r="N37" s="28" t="n">
        <v>0.54955</v>
      </c>
      <c r="O37" s="28" t="n">
        <v>0.578558</v>
      </c>
      <c r="P37" s="28" t="n"/>
      <c r="Q37" s="28" t="n">
        <v>0.029008</v>
      </c>
      <c r="R37" s="26" t="n">
        <v>35</v>
      </c>
      <c r="S37" s="29" t="n">
        <v>1.25</v>
      </c>
      <c r="T37" s="24" t="inlineStr">
        <is>
          <t>mlb-elo-trend-lr-v4</t>
        </is>
      </c>
      <c r="U37" s="24" t="inlineStr">
        <is>
          <t>open</t>
        </is>
      </c>
      <c r="V37" s="24" t="n"/>
      <c r="W37" s="26" t="n"/>
      <c r="X37" s="26" t="n"/>
      <c r="Y37" s="38" t="n"/>
      <c r="Z37" s="26" t="n"/>
      <c r="AA37" s="28" t="n"/>
      <c r="AB37" s="28" t="n"/>
      <c r="AC37" s="40" t="n"/>
      <c r="AD37" s="24" t="n"/>
      <c r="AE37" s="31" t="inlineStr">
        <is>
          <t>Learned LR call at threshold 0.5500; executable ask 0.5500 (aec-mlb-pit-nyy-2026-07-21).</t>
        </is>
      </c>
      <c r="AF37" s="31" t="inlineStr">
        <is>
          <t>Learned model; promotion gate not yet open; zero-unit research until review.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NO_CALL_LOW_EDGE</t>
        </is>
      </c>
      <c r="AP37" s="24" t="inlineStr">
        <is>
          <t>mlb-pit</t>
        </is>
      </c>
      <c r="AQ37" s="24" t="inlineStr">
        <is>
          <t>Pittsburgh Pirates</t>
        </is>
      </c>
      <c r="AR37" s="24" t="inlineStr">
        <is>
          <t>Pittsburgh Pirates</t>
        </is>
      </c>
      <c r="AS37" s="24" t="inlineStr">
        <is>
          <t>mlb-nyy</t>
        </is>
      </c>
      <c r="AT37" s="24" t="inlineStr">
        <is>
          <t>New York Yankees</t>
        </is>
      </c>
      <c r="AU37" s="24" t="inlineStr">
        <is>
          <t>New York Yankees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5224fb6ffbc9ddf8fa517627b830ac851192da94d241963d556945393a42bb9d</t>
        </is>
      </c>
      <c r="BB37" s="24" t="inlineStr">
        <is>
          <t>learned_lr</t>
        </is>
      </c>
      <c r="BC37" s="24" t="inlineStr">
        <is>
          <t>mlb-elo-trend-lr-v4</t>
        </is>
      </c>
      <c r="BD37" s="24" t="inlineStr">
        <is>
          <t>5224fb6ffbc9ddf8fa517627b830ac851192da94d241963d556945393a42bb9d</t>
        </is>
      </c>
      <c r="BE37" s="24" t="inlineStr">
        <is>
          <t>bbfea681245ee8a0</t>
        </is>
      </c>
      <c r="BF37" s="24" t="inlineStr">
        <is>
          <t>1</t>
        </is>
      </c>
      <c r="BG37" s="24" t="inlineStr">
        <is>
          <t>mlb-elo-trend-lr-v4</t>
        </is>
      </c>
      <c r="BH37" s="24" t="inlineStr">
        <is>
          <t>2026-07-20T17:14:55.363860Z</t>
        </is>
      </c>
      <c r="BI37" s="24" t="inlineStr">
        <is>
          <t>["same_event","same_team_same_day","same_league_same_day"]</t>
        </is>
      </c>
      <c r="BJ37" s="38" t="n"/>
      <c r="BK37" s="26" t="n">
        <v>-122</v>
      </c>
      <c r="BL37" s="39" t="n">
        <v>1.819672</v>
      </c>
      <c r="BM37" s="28" t="n">
        <v>0.54955</v>
      </c>
      <c r="BN37" s="28" t="n">
        <v>0.547264</v>
      </c>
      <c r="BO37" s="28" t="n"/>
      <c r="BP37" s="38" t="n"/>
      <c r="BQ37" s="39" t="n"/>
      <c r="BR37" s="28" t="n"/>
      <c r="BS37" s="28" t="n"/>
      <c r="BT37" s="28" t="n"/>
      <c r="BU37" s="38" t="n"/>
      <c r="BV37" s="29" t="n"/>
      <c r="BW37" s="24" t="n"/>
      <c r="BX37" s="40" t="n"/>
      <c r="BY37" s="39" t="n"/>
      <c r="BZ37" s="24" t="n"/>
      <c r="CA37" s="31" t="n"/>
    </row>
    <row r="38" ht="36" customHeight="1">
      <c r="A38" s="24" t="inlineStr">
        <is>
          <t>347b8168f3884fa8</t>
        </is>
      </c>
      <c r="B38" s="24" t="inlineStr">
        <is>
          <t>2026-07-20T17:15:20.228896Z</t>
        </is>
      </c>
      <c r="C38" s="24" t="inlineStr">
        <is>
          <t>2026-07-21T19:40:00-0400</t>
        </is>
      </c>
      <c r="D38" s="24" t="inlineStr">
        <is>
          <t>401816210</t>
        </is>
      </c>
      <c r="E38" s="24" t="inlineStr">
        <is>
          <t>MLB</t>
        </is>
      </c>
      <c r="F38" s="24" t="inlineStr">
        <is>
          <t>New York Mets</t>
        </is>
      </c>
      <c r="G38" s="24" t="inlineStr">
        <is>
          <t>Milwaukee Brewers</t>
        </is>
      </c>
      <c r="H38" s="24" t="inlineStr">
        <is>
          <t>moneyline</t>
        </is>
      </c>
      <c r="I38" s="24" t="inlineStr">
        <is>
          <t>home</t>
        </is>
      </c>
      <c r="J38" s="38" t="n"/>
      <c r="K38" s="24" t="inlineStr">
        <is>
          <t>polymarket_us</t>
        </is>
      </c>
      <c r="L38" s="26" t="n">
        <v>-147</v>
      </c>
      <c r="M38" s="39" t="n">
        <v>1.680272</v>
      </c>
      <c r="N38" s="28" t="n">
        <v>0.5951419999999999</v>
      </c>
      <c r="O38" s="28" t="n">
        <v>0.640995</v>
      </c>
      <c r="P38" s="28" t="n"/>
      <c r="Q38" s="28" t="n">
        <v>0.045853</v>
      </c>
      <c r="R38" s="26" t="n">
        <v>43</v>
      </c>
      <c r="S38" s="29" t="n">
        <v>2</v>
      </c>
      <c r="T38" s="24" t="inlineStr">
        <is>
          <t>mlb-elo-trend-lr-v4</t>
        </is>
      </c>
      <c r="U38" s="24" t="inlineStr">
        <is>
          <t>open</t>
        </is>
      </c>
      <c r="V38" s="24" t="n"/>
      <c r="W38" s="26" t="n"/>
      <c r="X38" s="26" t="n"/>
      <c r="Y38" s="38" t="n"/>
      <c r="Z38" s="26" t="n"/>
      <c r="AA38" s="28" t="n"/>
      <c r="AB38" s="28" t="n"/>
      <c r="AC38" s="40" t="n"/>
      <c r="AD38" s="24" t="n"/>
      <c r="AE38" s="31" t="inlineStr">
        <is>
          <t>Learned LR call at threshold 0.5500; executable ask 0.5950 (aec-mlb-nym-mil-2026-07-21).</t>
        </is>
      </c>
      <c r="AF38" s="31" t="inlineStr">
        <is>
          <t>Learned model; promotion gate not yet open; zero-unit research until review.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NO_CALL_LOW_EDGE</t>
        </is>
      </c>
      <c r="AP38" s="24" t="inlineStr">
        <is>
          <t>mlb-nym</t>
        </is>
      </c>
      <c r="AQ38" s="24" t="inlineStr">
        <is>
          <t>New York Mets</t>
        </is>
      </c>
      <c r="AR38" s="24" t="inlineStr">
        <is>
          <t>New York Mets</t>
        </is>
      </c>
      <c r="AS38" s="24" t="inlineStr">
        <is>
          <t>mlb-mil</t>
        </is>
      </c>
      <c r="AT38" s="24" t="inlineStr">
        <is>
          <t>Milwaukee Brewers</t>
        </is>
      </c>
      <c r="AU38" s="24" t="inlineStr">
        <is>
          <t>Milwaukee Brewers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5224fb6ffbc9ddf8fa517627b830ac851192da94d241963d556945393a42bb9d</t>
        </is>
      </c>
      <c r="BB38" s="24" t="inlineStr">
        <is>
          <t>learned_lr</t>
        </is>
      </c>
      <c r="BC38" s="24" t="inlineStr">
        <is>
          <t>mlb-elo-trend-lr-v4</t>
        </is>
      </c>
      <c r="BD38" s="24" t="inlineStr">
        <is>
          <t>5224fb6ffbc9ddf8fa517627b830ac851192da94d241963d556945393a42bb9d</t>
        </is>
      </c>
      <c r="BE38" s="24" t="inlineStr">
        <is>
          <t>b3842f29fc9906ce</t>
        </is>
      </c>
      <c r="BF38" s="24" t="inlineStr">
        <is>
          <t>1</t>
        </is>
      </c>
      <c r="BG38" s="24" t="inlineStr">
        <is>
          <t>mlb-elo-trend-lr-v4</t>
        </is>
      </c>
      <c r="BH38" s="24" t="inlineStr">
        <is>
          <t>2026-07-20T17:14:58.905361Z</t>
        </is>
      </c>
      <c r="BI38" s="24" t="inlineStr">
        <is>
          <t>["same_event","same_team_same_day","same_league_same_day"]</t>
        </is>
      </c>
      <c r="BJ38" s="38" t="n"/>
      <c r="BK38" s="26" t="n">
        <v>-147</v>
      </c>
      <c r="BL38" s="39" t="n">
        <v>1.680272</v>
      </c>
      <c r="BM38" s="28" t="n">
        <v>0.5951419999999999</v>
      </c>
      <c r="BN38" s="28" t="n">
        <v>0.59204</v>
      </c>
      <c r="BO38" s="28" t="n"/>
      <c r="BP38" s="38" t="n"/>
      <c r="BQ38" s="39" t="n"/>
      <c r="BR38" s="28" t="n"/>
      <c r="BS38" s="28" t="n"/>
      <c r="BT38" s="28" t="n"/>
      <c r="BU38" s="38" t="n"/>
      <c r="BV38" s="29" t="n"/>
      <c r="BW38" s="24" t="n"/>
      <c r="BX38" s="40" t="n"/>
      <c r="BY38" s="39" t="n"/>
      <c r="BZ38" s="24" t="n"/>
      <c r="CA38" s="31" t="n"/>
    </row>
    <row r="39" ht="36" customHeight="1">
      <c r="A39" s="24" t="inlineStr">
        <is>
          <t>d4fba39d53894882</t>
        </is>
      </c>
      <c r="B39" s="24" t="inlineStr">
        <is>
          <t>2026-07-20T17:15:20.228896Z</t>
        </is>
      </c>
      <c r="C39" s="24" t="inlineStr">
        <is>
          <t>2026-07-21T20:05:00-0400</t>
        </is>
      </c>
      <c r="D39" s="24" t="inlineStr">
        <is>
          <t>401816208</t>
        </is>
      </c>
      <c r="E39" s="24" t="inlineStr">
        <is>
          <t>MLB</t>
        </is>
      </c>
      <c r="F39" s="24" t="inlineStr">
        <is>
          <t>Detroit Tigers</t>
        </is>
      </c>
      <c r="G39" s="24" t="inlineStr">
        <is>
          <t>Chicago Cubs</t>
        </is>
      </c>
      <c r="H39" s="24" t="inlineStr">
        <is>
          <t>moneyline</t>
        </is>
      </c>
      <c r="I39" s="24" t="inlineStr">
        <is>
          <t>home</t>
        </is>
      </c>
      <c r="J39" s="38" t="n"/>
      <c r="K39" s="24" t="inlineStr">
        <is>
          <t>polymarket_us</t>
        </is>
      </c>
      <c r="L39" s="26" t="n">
        <v>-113</v>
      </c>
      <c r="M39" s="39" t="n">
        <v>1.884956</v>
      </c>
      <c r="N39" s="28" t="n">
        <v>0.530516</v>
      </c>
      <c r="O39" s="28" t="n">
        <v>0.566967</v>
      </c>
      <c r="P39" s="28" t="n"/>
      <c r="Q39" s="28" t="n">
        <v>0.036451</v>
      </c>
      <c r="R39" s="26" t="n">
        <v>38</v>
      </c>
      <c r="S39" s="29" t="n">
        <v>1.25</v>
      </c>
      <c r="T39" s="24" t="inlineStr">
        <is>
          <t>mlb-elo-trend-lr-v4</t>
        </is>
      </c>
      <c r="U39" s="24" t="inlineStr">
        <is>
          <t>open</t>
        </is>
      </c>
      <c r="V39" s="24" t="n"/>
      <c r="W39" s="26" t="n"/>
      <c r="X39" s="26" t="n"/>
      <c r="Y39" s="38" t="n"/>
      <c r="Z39" s="26" t="n"/>
      <c r="AA39" s="28" t="n"/>
      <c r="AB39" s="28" t="n"/>
      <c r="AC39" s="40" t="n"/>
      <c r="AD39" s="24" t="n"/>
      <c r="AE39" s="31" t="inlineStr">
        <is>
          <t>Learned LR call at threshold 0.5500; executable ask 0.5300 (aec-mlb-det-chc-2026-07-21).</t>
        </is>
      </c>
      <c r="AF39" s="31" t="inlineStr">
        <is>
          <t>Learned model; promotion gate not yet open; zero-unit research until review.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NO_CALL_LOW_EDGE</t>
        </is>
      </c>
      <c r="AP39" s="24" t="inlineStr">
        <is>
          <t>mlb-det</t>
        </is>
      </c>
      <c r="AQ39" s="24" t="inlineStr">
        <is>
          <t>Detroit Tigers</t>
        </is>
      </c>
      <c r="AR39" s="24" t="inlineStr">
        <is>
          <t>Detroit Tigers</t>
        </is>
      </c>
      <c r="AS39" s="24" t="inlineStr">
        <is>
          <t>mlb-chc</t>
        </is>
      </c>
      <c r="AT39" s="24" t="inlineStr">
        <is>
          <t>Chicago Cubs</t>
        </is>
      </c>
      <c r="AU39" s="24" t="inlineStr">
        <is>
          <t>Chicago Cubs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5224fb6ffbc9ddf8fa517627b830ac851192da94d241963d556945393a42bb9d</t>
        </is>
      </c>
      <c r="BB39" s="24" t="inlineStr">
        <is>
          <t>learned_lr</t>
        </is>
      </c>
      <c r="BC39" s="24" t="inlineStr">
        <is>
          <t>mlb-elo-trend-lr-v4</t>
        </is>
      </c>
      <c r="BD39" s="24" t="inlineStr">
        <is>
          <t>5224fb6ffbc9ddf8fa517627b830ac851192da94d241963d556945393a42bb9d</t>
        </is>
      </c>
      <c r="BE39" s="24" t="inlineStr">
        <is>
          <t>ac77cab6921e81d4</t>
        </is>
      </c>
      <c r="BF39" s="24" t="inlineStr">
        <is>
          <t>1</t>
        </is>
      </c>
      <c r="BG39" s="24" t="inlineStr">
        <is>
          <t>mlb-elo-trend-lr-v4</t>
        </is>
      </c>
      <c r="BH39" s="24" t="inlineStr">
        <is>
          <t>2026-07-20T17:15:01.752155Z</t>
        </is>
      </c>
      <c r="BI39" s="24" t="inlineStr">
        <is>
          <t>["same_event","same_team_same_day","same_league_same_day"]</t>
        </is>
      </c>
      <c r="BJ39" s="38" t="n"/>
      <c r="BK39" s="26" t="n">
        <v>-113</v>
      </c>
      <c r="BL39" s="39" t="n">
        <v>1.884956</v>
      </c>
      <c r="BM39" s="28" t="n">
        <v>0.530516</v>
      </c>
      <c r="BN39" s="28" t="n">
        <v>0.527363</v>
      </c>
      <c r="BO39" s="28" t="n"/>
      <c r="BP39" s="38" t="n"/>
      <c r="BQ39" s="39" t="n"/>
      <c r="BR39" s="28" t="n"/>
      <c r="BS39" s="28" t="n"/>
      <c r="BT39" s="28" t="n"/>
      <c r="BU39" s="38" t="n"/>
      <c r="BV39" s="29" t="n"/>
      <c r="BW39" s="24" t="n"/>
      <c r="BX39" s="40" t="n"/>
      <c r="BY39" s="39" t="n"/>
      <c r="BZ39" s="24" t="n"/>
      <c r="CA39" s="31" t="n"/>
    </row>
    <row r="40" ht="36" customHeight="1">
      <c r="A40" s="24" t="inlineStr">
        <is>
          <t>52731564c1734162</t>
        </is>
      </c>
      <c r="B40" s="24" t="inlineStr">
        <is>
          <t>2026-07-20T17:15:20.228896Z</t>
        </is>
      </c>
      <c r="C40" s="24" t="inlineStr">
        <is>
          <t>2026-07-21T20:40:00-0400</t>
        </is>
      </c>
      <c r="D40" s="24" t="inlineStr">
        <is>
          <t>401816212</t>
        </is>
      </c>
      <c r="E40" s="24" t="inlineStr">
        <is>
          <t>MLB</t>
        </is>
      </c>
      <c r="F40" s="24" t="inlineStr">
        <is>
          <t>Washington Nationals</t>
        </is>
      </c>
      <c r="G40" s="24" t="inlineStr">
        <is>
          <t>Colorado Rockies</t>
        </is>
      </c>
      <c r="H40" s="24" t="inlineStr">
        <is>
          <t>moneyline</t>
        </is>
      </c>
      <c r="I40" s="24" t="inlineStr">
        <is>
          <t>away</t>
        </is>
      </c>
      <c r="J40" s="38" t="n"/>
      <c r="K40" s="24" t="inlineStr">
        <is>
          <t>polymarket_us</t>
        </is>
      </c>
      <c r="L40" s="26" t="n">
        <v>104</v>
      </c>
      <c r="M40" s="39" t="n">
        <v>2.04</v>
      </c>
      <c r="N40" s="28" t="n">
        <v>0.490196</v>
      </c>
      <c r="O40" s="28" t="n">
        <v>0.5563709999999999</v>
      </c>
      <c r="P40" s="28" t="n"/>
      <c r="Q40" s="28" t="n">
        <v>0.066175</v>
      </c>
      <c r="R40" s="26" t="n">
        <v>53</v>
      </c>
      <c r="S40" s="29" t="n">
        <v>1</v>
      </c>
      <c r="T40" s="24" t="inlineStr">
        <is>
          <t>mlb-elo-trend-lr-v4</t>
        </is>
      </c>
      <c r="U40" s="24" t="inlineStr">
        <is>
          <t>open</t>
        </is>
      </c>
      <c r="V40" s="24" t="n"/>
      <c r="W40" s="26" t="n"/>
      <c r="X40" s="26" t="n"/>
      <c r="Y40" s="38" t="n"/>
      <c r="Z40" s="26" t="n"/>
      <c r="AA40" s="28" t="n"/>
      <c r="AB40" s="28" t="n"/>
      <c r="AC40" s="40" t="n"/>
      <c r="AD40" s="24" t="n"/>
      <c r="AE40" s="31" t="inlineStr">
        <is>
          <t>Learned LR call at threshold 0.5500; executable ask 0.4900 (aec-mlb-wsh-col-2026-07-21).</t>
        </is>
      </c>
      <c r="AF40" s="31" t="inlineStr">
        <is>
          <t>Learned model; promotion gate not yet open; zero-unit research until review.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NO_CALL_LOW_EDGE</t>
        </is>
      </c>
      <c r="AP40" s="24" t="inlineStr">
        <is>
          <t>mlb-wsh</t>
        </is>
      </c>
      <c r="AQ40" s="24" t="inlineStr">
        <is>
          <t>Washington Nationals</t>
        </is>
      </c>
      <c r="AR40" s="24" t="inlineStr">
        <is>
          <t>Washington Nationals</t>
        </is>
      </c>
      <c r="AS40" s="24" t="inlineStr">
        <is>
          <t>mlb-col</t>
        </is>
      </c>
      <c r="AT40" s="24" t="inlineStr">
        <is>
          <t>Colorado Rockies</t>
        </is>
      </c>
      <c r="AU40" s="24" t="inlineStr">
        <is>
          <t>Colorado Rockies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5224fb6ffbc9ddf8fa517627b830ac851192da94d241963d556945393a42bb9d</t>
        </is>
      </c>
      <c r="BB40" s="24" t="inlineStr">
        <is>
          <t>learned_lr</t>
        </is>
      </c>
      <c r="BC40" s="24" t="inlineStr">
        <is>
          <t>mlb-elo-trend-lr-v4</t>
        </is>
      </c>
      <c r="BD40" s="24" t="inlineStr">
        <is>
          <t>5224fb6ffbc9ddf8fa517627b830ac851192da94d241963d556945393a42bb9d</t>
        </is>
      </c>
      <c r="BE40" s="24" t="inlineStr">
        <is>
          <t>398815bb9dc03ea8</t>
        </is>
      </c>
      <c r="BF40" s="24" t="inlineStr">
        <is>
          <t>1</t>
        </is>
      </c>
      <c r="BG40" s="24" t="inlineStr">
        <is>
          <t>mlb-elo-trend-lr-v4</t>
        </is>
      </c>
      <c r="BH40" s="24" t="inlineStr">
        <is>
          <t>2026-07-20T17:15:04.006935Z</t>
        </is>
      </c>
      <c r="BI40" s="24" t="inlineStr">
        <is>
          <t>["same_event","same_team_same_day","same_league_same_day"]</t>
        </is>
      </c>
      <c r="BJ40" s="38" t="n"/>
      <c r="BK40" s="26" t="n">
        <v>104</v>
      </c>
      <c r="BL40" s="39" t="n">
        <v>2.04</v>
      </c>
      <c r="BM40" s="28" t="n">
        <v>0.490196</v>
      </c>
      <c r="BN40" s="28" t="n">
        <v>0.487562</v>
      </c>
      <c r="BO40" s="28" t="n"/>
      <c r="BP40" s="38" t="n"/>
      <c r="BQ40" s="39" t="n"/>
      <c r="BR40" s="28" t="n"/>
      <c r="BS40" s="28" t="n"/>
      <c r="BT40" s="28" t="n"/>
      <c r="BU40" s="38" t="n"/>
      <c r="BV40" s="29" t="n"/>
      <c r="BW40" s="24" t="n"/>
      <c r="BX40" s="40" t="n"/>
      <c r="BY40" s="39" t="n"/>
      <c r="BZ40" s="24" t="n"/>
      <c r="CA40" s="31" t="n"/>
    </row>
    <row r="41" ht="36" customHeight="1">
      <c r="A41" s="24" t="inlineStr">
        <is>
          <t>4a8e6cdea47f4a8a</t>
        </is>
      </c>
      <c r="B41" s="24" t="inlineStr">
        <is>
          <t>2026-07-20T17:15:20.228896Z</t>
        </is>
      </c>
      <c r="C41" s="24" t="inlineStr">
        <is>
          <t>2026-07-21T21:40:00-0400</t>
        </is>
      </c>
      <c r="D41" s="24" t="inlineStr">
        <is>
          <t>401816214</t>
        </is>
      </c>
      <c r="E41" s="24" t="inlineStr">
        <is>
          <t>MLB</t>
        </is>
      </c>
      <c r="F41" s="24" t="inlineStr">
        <is>
          <t>Cincinnati Reds</t>
        </is>
      </c>
      <c r="G41" s="24" t="inlineStr">
        <is>
          <t>Seattle Mariners</t>
        </is>
      </c>
      <c r="H41" s="24" t="inlineStr">
        <is>
          <t>moneyline</t>
        </is>
      </c>
      <c r="I41" s="24" t="inlineStr">
        <is>
          <t>home</t>
        </is>
      </c>
      <c r="J41" s="38" t="n"/>
      <c r="K41" s="24" t="inlineStr">
        <is>
          <t>polymarket_us</t>
        </is>
      </c>
      <c r="L41" s="26" t="n">
        <v>-113</v>
      </c>
      <c r="M41" s="39" t="n">
        <v>1.884956</v>
      </c>
      <c r="N41" s="28" t="n">
        <v>0.530516</v>
      </c>
      <c r="O41" s="28" t="n">
        <v>0.592852</v>
      </c>
      <c r="P41" s="28" t="n"/>
      <c r="Q41" s="28" t="n">
        <v>0.062336</v>
      </c>
      <c r="R41" s="26" t="n">
        <v>51</v>
      </c>
      <c r="S41" s="29" t="n">
        <v>1.5</v>
      </c>
      <c r="T41" s="24" t="inlineStr">
        <is>
          <t>mlb-elo-trend-lr-v4</t>
        </is>
      </c>
      <c r="U41" s="24" t="inlineStr">
        <is>
          <t>open</t>
        </is>
      </c>
      <c r="V41" s="24" t="n"/>
      <c r="W41" s="26" t="n"/>
      <c r="X41" s="26" t="n"/>
      <c r="Y41" s="38" t="n"/>
      <c r="Z41" s="26" t="n"/>
      <c r="AA41" s="28" t="n"/>
      <c r="AB41" s="28" t="n"/>
      <c r="AC41" s="40" t="n"/>
      <c r="AD41" s="24" t="n"/>
      <c r="AE41" s="31" t="inlineStr">
        <is>
          <t>Learned LR call at threshold 0.5500; executable ask 0.5300 (aec-mlb-cin-sea-2026-07-21).</t>
        </is>
      </c>
      <c r="AF41" s="31" t="inlineStr">
        <is>
          <t>Learned model; promotion gate not yet open; zero-unit research until review.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NO_CALL_LOW_EDGE</t>
        </is>
      </c>
      <c r="AP41" s="24" t="inlineStr">
        <is>
          <t>mlb-cin</t>
        </is>
      </c>
      <c r="AQ41" s="24" t="inlineStr">
        <is>
          <t>Cincinnati Reds</t>
        </is>
      </c>
      <c r="AR41" s="24" t="inlineStr">
        <is>
          <t>Cincinnati Reds</t>
        </is>
      </c>
      <c r="AS41" s="24" t="inlineStr">
        <is>
          <t>mlb-sea</t>
        </is>
      </c>
      <c r="AT41" s="24" t="inlineStr">
        <is>
          <t>Seattle Mariners</t>
        </is>
      </c>
      <c r="AU41" s="24" t="inlineStr">
        <is>
          <t>Seattle Mariners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5224fb6ffbc9ddf8fa517627b830ac851192da94d241963d556945393a42bb9d</t>
        </is>
      </c>
      <c r="BB41" s="24" t="inlineStr">
        <is>
          <t>learned_lr</t>
        </is>
      </c>
      <c r="BC41" s="24" t="inlineStr">
        <is>
          <t>mlb-elo-trend-lr-v4</t>
        </is>
      </c>
      <c r="BD41" s="24" t="inlineStr">
        <is>
          <t>5224fb6ffbc9ddf8fa517627b830ac851192da94d241963d556945393a42bb9d</t>
        </is>
      </c>
      <c r="BE41" s="24" t="inlineStr">
        <is>
          <t>5c7208cbf934ad36</t>
        </is>
      </c>
      <c r="BF41" s="24" t="inlineStr">
        <is>
          <t>1</t>
        </is>
      </c>
      <c r="BG41" s="24" t="inlineStr">
        <is>
          <t>mlb-elo-trend-lr-v4</t>
        </is>
      </c>
      <c r="BH41" s="24" t="inlineStr">
        <is>
          <t>2026-07-20T17:15:06.161452Z</t>
        </is>
      </c>
      <c r="BI41" s="24" t="inlineStr">
        <is>
          <t>["same_event","same_team_same_day","same_league_same_day"]</t>
        </is>
      </c>
      <c r="BJ41" s="38" t="n"/>
      <c r="BK41" s="26" t="n">
        <v>-113</v>
      </c>
      <c r="BL41" s="39" t="n">
        <v>1.884956</v>
      </c>
      <c r="BM41" s="28" t="n">
        <v>0.530516</v>
      </c>
      <c r="BN41" s="28" t="n">
        <v>0.527363</v>
      </c>
      <c r="BO41" s="28" t="n"/>
      <c r="BP41" s="38" t="n"/>
      <c r="BQ41" s="39" t="n"/>
      <c r="BR41" s="28" t="n"/>
      <c r="BS41" s="28" t="n"/>
      <c r="BT41" s="28" t="n"/>
      <c r="BU41" s="38" t="n"/>
      <c r="BV41" s="29" t="n"/>
      <c r="BW41" s="24" t="n"/>
      <c r="BX41" s="40" t="n"/>
      <c r="BY41" s="39" t="n"/>
      <c r="BZ41" s="24" t="n"/>
      <c r="CA41" s="31" t="n"/>
    </row>
    <row r="42" ht="36" customHeight="1">
      <c r="A42" s="24" t="inlineStr">
        <is>
          <t>fcdcb914359a4eda</t>
        </is>
      </c>
      <c r="B42" s="24" t="inlineStr">
        <is>
          <t>2026-07-20T23:55:04.721086Z</t>
        </is>
      </c>
      <c r="C42" s="24" t="inlineStr">
        <is>
          <t>2026-07-21T00:00:00Z</t>
        </is>
      </c>
      <c r="D42" s="24" t="inlineStr">
        <is>
          <t>54745</t>
        </is>
      </c>
      <c r="E42" s="24" t="inlineStr">
        <is>
          <t>LOL</t>
        </is>
      </c>
      <c r="F42" s="24" t="inlineStr">
        <is>
          <t>paiN Gaming Academy</t>
        </is>
      </c>
      <c r="G42" s="24" t="inlineStr">
        <is>
          <t>Estral Esports</t>
        </is>
      </c>
      <c r="H42" s="24" t="inlineStr">
        <is>
          <t>moneyline</t>
        </is>
      </c>
      <c r="I42" s="24" t="inlineStr">
        <is>
          <t>away</t>
        </is>
      </c>
      <c r="J42" s="38" t="n"/>
      <c r="K42" s="24" t="inlineStr">
        <is>
          <t>polymarket_us</t>
        </is>
      </c>
      <c r="L42" s="26" t="n">
        <v>203</v>
      </c>
      <c r="M42" s="39" t="n">
        <v>3.03</v>
      </c>
      <c r="N42" s="28" t="n">
        <v>0.330033</v>
      </c>
      <c r="O42" s="28" t="n">
        <v>0.619265</v>
      </c>
      <c r="P42" s="28" t="n"/>
      <c r="Q42" s="28" t="n">
        <v>0.289265</v>
      </c>
      <c r="R42" s="26" t="n">
        <v>100</v>
      </c>
      <c r="S42" s="29" t="n">
        <v>1.75</v>
      </c>
      <c r="T42" s="24" t="inlineStr">
        <is>
          <t>lol-neutral-series-elo-v1</t>
        </is>
      </c>
      <c r="U42" s="24" t="inlineStr">
        <is>
          <t>open</t>
        </is>
      </c>
      <c r="V42" s="24" t="n"/>
      <c r="W42" s="26" t="n"/>
      <c r="X42" s="26" t="n"/>
      <c r="Y42" s="38" t="n"/>
      <c r="Z42" s="26" t="n"/>
      <c r="AA42" s="28" t="n"/>
      <c r="AB42" s="28" t="n"/>
      <c r="AC42" s="40" t="n"/>
      <c r="AD42" s="24" t="n"/>
      <c r="AE42" s="31" t="inlineStr">
        <is>
          <t>Neutral Elo baseline; executable ask 0.3300 (aec-lol-est-pnga-2026-07-21).</t>
        </is>
      </c>
      <c r="AF42" s="31" t="inlineStr">
        <is>
          <t>Research baseline; zero-unit shadow until qualified.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paiN Gaming Academy</t>
        </is>
      </c>
      <c r="AQ42" s="24" t="inlineStr">
        <is>
          <t>paiN Gaming Academy</t>
        </is>
      </c>
      <c r="AR42" s="24" t="inlineStr">
        <is>
          <t>paiN Gaming Academy</t>
        </is>
      </c>
      <c r="AS42" s="24" t="inlineStr">
        <is>
          <t>Estral Esports</t>
        </is>
      </c>
      <c r="AT42" s="24" t="inlineStr">
        <is>
          <t>Estral Esports</t>
        </is>
      </c>
      <c r="AU42" s="24" t="inlineStr">
        <is>
          <t>Estral Esports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82612f1b27d5065af8d70fd6669509ff00dc1c7e3a91bb423192bf3b0a9736ce</t>
        </is>
      </c>
      <c r="BB42" s="24" t="inlineStr">
        <is>
          <t>neutral_elo</t>
        </is>
      </c>
      <c r="BC42" s="24" t="inlineStr">
        <is>
          <t>lol-neutral-series-elo-v1</t>
        </is>
      </c>
      <c r="BD42" s="24" t="inlineStr">
        <is>
          <t>82612f1b27d5065af8d70fd6669509ff00dc1c7e3a91bb423192bf3b0a9736ce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unknown</t>
        </is>
      </c>
      <c r="BH42" s="24" t="inlineStr">
        <is>
          <t>2026-07-20T23:55:04.721086Z</t>
        </is>
      </c>
      <c r="BI42" s="24" t="inlineStr">
        <is>
          <t>["same_event","same_team_same_day","same_league_same_day"]</t>
        </is>
      </c>
      <c r="BJ42" s="38" t="n"/>
      <c r="BK42" s="26" t="n">
        <v>203</v>
      </c>
      <c r="BL42" s="39" t="n">
        <v>3.03</v>
      </c>
      <c r="BM42" s="28" t="n">
        <v>0.330033</v>
      </c>
      <c r="BN42" s="28" t="n"/>
      <c r="BO42" s="28" t="n"/>
      <c r="BP42" s="38" t="n"/>
      <c r="BQ42" s="39" t="n"/>
      <c r="BR42" s="28" t="n"/>
      <c r="BS42" s="28" t="n"/>
      <c r="BT42" s="28" t="n"/>
      <c r="BU42" s="38" t="n"/>
      <c r="BV42" s="29" t="n"/>
      <c r="BW42" s="24" t="n"/>
      <c r="BX42" s="40" t="n"/>
      <c r="BY42" s="39" t="n"/>
      <c r="BZ42" s="24" t="n"/>
      <c r="CA42" s="31" t="n"/>
    </row>
    <row r="43" ht="36" customHeight="1">
      <c r="A43" s="24" t="inlineStr">
        <is>
          <t>eda357b25fa14ae7</t>
        </is>
      </c>
      <c r="B43" s="24" t="inlineStr">
        <is>
          <t>2026-07-20T23:55:04.938091Z</t>
        </is>
      </c>
      <c r="C43" s="24" t="inlineStr">
        <is>
          <t>2026-07-21T06:00:00Z</t>
        </is>
      </c>
      <c r="D43" s="24" t="inlineStr">
        <is>
          <t>54870</t>
        </is>
      </c>
      <c r="E43" s="24" t="inlineStr">
        <is>
          <t>LOL</t>
        </is>
      </c>
      <c r="F43" s="24" t="inlineStr">
        <is>
          <t>Hanwha Life Esports</t>
        </is>
      </c>
      <c r="G43" s="24" t="inlineStr">
        <is>
          <t>Gen.G</t>
        </is>
      </c>
      <c r="H43" s="24" t="inlineStr">
        <is>
          <t>moneyline</t>
        </is>
      </c>
      <c r="I43" s="24" t="inlineStr">
        <is>
          <t>home</t>
        </is>
      </c>
      <c r="J43" s="38" t="n"/>
      <c r="K43" s="24" t="inlineStr">
        <is>
          <t>polymarket_us</t>
        </is>
      </c>
      <c r="L43" s="26" t="n">
        <v>100</v>
      </c>
      <c r="M43" s="39" t="n">
        <v>2</v>
      </c>
      <c r="N43" s="28" t="n">
        <v>0.5</v>
      </c>
      <c r="O43" s="28" t="n">
        <v>0.685001</v>
      </c>
      <c r="P43" s="28" t="n"/>
      <c r="Q43" s="28" t="n">
        <v>0.185001</v>
      </c>
      <c r="R43" s="26" t="n">
        <v>100</v>
      </c>
      <c r="S43" s="29" t="n">
        <v>2</v>
      </c>
      <c r="T43" s="24" t="inlineStr">
        <is>
          <t>lol-neutral-series-elo-v1</t>
        </is>
      </c>
      <c r="U43" s="24" t="inlineStr">
        <is>
          <t>open</t>
        </is>
      </c>
      <c r="V43" s="24" t="n"/>
      <c r="W43" s="26" t="n"/>
      <c r="X43" s="26" t="n"/>
      <c r="Y43" s="38" t="n"/>
      <c r="Z43" s="26" t="n"/>
      <c r="AA43" s="28" t="n"/>
      <c r="AB43" s="28" t="n"/>
      <c r="AC43" s="40" t="n"/>
      <c r="AD43" s="24" t="n"/>
      <c r="AE43" s="31" t="inlineStr">
        <is>
          <t>Neutral Elo baseline; executable ask 0.5000 (aec-lol-gen-hle-2026-07-21).</t>
        </is>
      </c>
      <c r="AF43" s="31" t="inlineStr">
        <is>
          <t>Research baseline; zero-unit shadow until qualified.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Hanwha Life Esports</t>
        </is>
      </c>
      <c r="AQ43" s="24" t="inlineStr">
        <is>
          <t>Hanwha Life Esports</t>
        </is>
      </c>
      <c r="AR43" s="24" t="inlineStr">
        <is>
          <t>Hanwha Life Esports</t>
        </is>
      </c>
      <c r="AS43" s="24" t="inlineStr">
        <is>
          <t>Gen.G</t>
        </is>
      </c>
      <c r="AT43" s="24" t="inlineStr">
        <is>
          <t>Gen.G</t>
        </is>
      </c>
      <c r="AU43" s="24" t="inlineStr">
        <is>
          <t>Gen.G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82612f1b27d5065af8d70fd6669509ff00dc1c7e3a91bb423192bf3b0a9736ce</t>
        </is>
      </c>
      <c r="BB43" s="24" t="inlineStr">
        <is>
          <t>neutral_elo</t>
        </is>
      </c>
      <c r="BC43" s="24" t="inlineStr">
        <is>
          <t>lol-neutral-series-elo-v1</t>
        </is>
      </c>
      <c r="BD43" s="24" t="inlineStr">
        <is>
          <t>82612f1b27d5065af8d70fd6669509ff00dc1c7e3a91bb423192bf3b0a9736ce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unknown</t>
        </is>
      </c>
      <c r="BH43" s="24" t="inlineStr">
        <is>
          <t>2026-07-20T23:55:04.938091Z</t>
        </is>
      </c>
      <c r="BI43" s="24" t="inlineStr">
        <is>
          <t>["same_event","same_team_same_day","same_league_same_day"]</t>
        </is>
      </c>
      <c r="BJ43" s="38" t="n"/>
      <c r="BK43" s="26" t="n">
        <v>100</v>
      </c>
      <c r="BL43" s="39" t="n">
        <v>2</v>
      </c>
      <c r="BM43" s="28" t="n">
        <v>0.5</v>
      </c>
      <c r="BN43" s="28" t="n"/>
      <c r="BO43" s="28" t="n"/>
      <c r="BP43" s="38" t="n"/>
      <c r="BQ43" s="39" t="n"/>
      <c r="BR43" s="28" t="n"/>
      <c r="BS43" s="28" t="n"/>
      <c r="BT43" s="28" t="n"/>
      <c r="BU43" s="38" t="n"/>
      <c r="BV43" s="29" t="n"/>
      <c r="BW43" s="24" t="n"/>
      <c r="BX43" s="40" t="n"/>
      <c r="BY43" s="39" t="n"/>
      <c r="BZ43" s="24" t="n"/>
      <c r="CA43" s="31" t="n"/>
    </row>
    <row r="44" ht="36" customHeight="1">
      <c r="A44" s="24" t="inlineStr">
        <is>
          <t>a9ca1cd5b3634dfe</t>
        </is>
      </c>
      <c r="B44" s="24" t="inlineStr">
        <is>
          <t>2026-07-20T23:55:05.148841Z</t>
        </is>
      </c>
      <c r="C44" s="24" t="inlineStr">
        <is>
          <t>2026-07-21T06:45:00Z</t>
        </is>
      </c>
      <c r="D44" s="24" t="inlineStr">
        <is>
          <t>54872</t>
        </is>
      </c>
      <c r="E44" s="24" t="inlineStr">
        <is>
          <t>LOL</t>
        </is>
      </c>
      <c r="F44" s="24" t="inlineStr">
        <is>
          <t>Dplus KIA</t>
        </is>
      </c>
      <c r="G44" s="24" t="inlineStr">
        <is>
          <t>BNK FEARX</t>
        </is>
      </c>
      <c r="H44" s="24" t="inlineStr">
        <is>
          <t>moneyline</t>
        </is>
      </c>
      <c r="I44" s="24" t="inlineStr">
        <is>
          <t>away</t>
        </is>
      </c>
      <c r="J44" s="38" t="n"/>
      <c r="K44" s="24" t="inlineStr">
        <is>
          <t>polymarket_us</t>
        </is>
      </c>
      <c r="L44" s="26" t="n">
        <v>-186</v>
      </c>
      <c r="M44" s="39" t="n">
        <v>1.537634</v>
      </c>
      <c r="N44" s="28" t="n">
        <v>0.65035</v>
      </c>
      <c r="O44" s="28" t="n">
        <v>0.743682</v>
      </c>
      <c r="P44" s="28" t="n"/>
      <c r="Q44" s="28" t="n">
        <v>0.093682</v>
      </c>
      <c r="R44" s="26" t="n">
        <v>93</v>
      </c>
      <c r="S44" s="29" t="n">
        <v>2</v>
      </c>
      <c r="T44" s="24" t="inlineStr">
        <is>
          <t>lol-neutral-series-elo-v1</t>
        </is>
      </c>
      <c r="U44" s="24" t="inlineStr">
        <is>
          <t>open</t>
        </is>
      </c>
      <c r="V44" s="24" t="n"/>
      <c r="W44" s="26" t="n"/>
      <c r="X44" s="26" t="n"/>
      <c r="Y44" s="38" t="n"/>
      <c r="Z44" s="26" t="n"/>
      <c r="AA44" s="28" t="n"/>
      <c r="AB44" s="28" t="n"/>
      <c r="AC44" s="40" t="n"/>
      <c r="AD44" s="24" t="n"/>
      <c r="AE44" s="31" t="inlineStr">
        <is>
          <t>Neutral Elo baseline; executable ask 0.6500 (aec-lol-bfx-dk-2026-07-21).</t>
        </is>
      </c>
      <c r="AF44" s="31" t="inlineStr">
        <is>
          <t>Research baseline; zero-unit shadow until qualified.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Dplus KIA</t>
        </is>
      </c>
      <c r="AQ44" s="24" t="inlineStr">
        <is>
          <t>Dplus KIA</t>
        </is>
      </c>
      <c r="AR44" s="24" t="inlineStr">
        <is>
          <t>Dplus KIA</t>
        </is>
      </c>
      <c r="AS44" s="24" t="inlineStr">
        <is>
          <t>BNK FEARX</t>
        </is>
      </c>
      <c r="AT44" s="24" t="inlineStr">
        <is>
          <t>BNK FEARX</t>
        </is>
      </c>
      <c r="AU44" s="24" t="inlineStr">
        <is>
          <t>BNK FEARX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82612f1b27d5065af8d70fd6669509ff00dc1c7e3a91bb423192bf3b0a9736ce</t>
        </is>
      </c>
      <c r="BB44" s="24" t="inlineStr">
        <is>
          <t>neutral_elo</t>
        </is>
      </c>
      <c r="BC44" s="24" t="inlineStr">
        <is>
          <t>lol-neutral-series-elo-v1</t>
        </is>
      </c>
      <c r="BD44" s="24" t="inlineStr">
        <is>
          <t>82612f1b27d5065af8d70fd6669509ff00dc1c7e3a91bb423192bf3b0a9736ce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unknown</t>
        </is>
      </c>
      <c r="BH44" s="24" t="inlineStr">
        <is>
          <t>2026-07-20T23:55:05.148841Z</t>
        </is>
      </c>
      <c r="BI44" s="24" t="inlineStr">
        <is>
          <t>["same_event","same_team_same_day","same_league_same_day"]</t>
        </is>
      </c>
      <c r="BJ44" s="38" t="n"/>
      <c r="BK44" s="26" t="n">
        <v>-186</v>
      </c>
      <c r="BL44" s="39" t="n">
        <v>1.537634</v>
      </c>
      <c r="BM44" s="28" t="n">
        <v>0.65035</v>
      </c>
      <c r="BN44" s="28" t="n"/>
      <c r="BO44" s="28" t="n"/>
      <c r="BP44" s="38" t="n"/>
      <c r="BQ44" s="39" t="n"/>
      <c r="BR44" s="28" t="n"/>
      <c r="BS44" s="28" t="n"/>
      <c r="BT44" s="28" t="n"/>
      <c r="BU44" s="38" t="n"/>
      <c r="BV44" s="29" t="n"/>
      <c r="BW44" s="24" t="n"/>
      <c r="BX44" s="40" t="n"/>
      <c r="BY44" s="39" t="n"/>
      <c r="BZ44" s="24" t="n"/>
      <c r="CA44" s="31" t="n"/>
    </row>
    <row r="45" ht="36" customHeight="1">
      <c r="A45" s="24" t="inlineStr">
        <is>
          <t>75188f3572ee4984</t>
        </is>
      </c>
      <c r="B45" s="24" t="inlineStr">
        <is>
          <t>2026-07-20T23:55:05.362117Z</t>
        </is>
      </c>
      <c r="C45" s="24" t="inlineStr">
        <is>
          <t>2026-07-21T07:30:00Z</t>
        </is>
      </c>
      <c r="D45" s="24" t="inlineStr">
        <is>
          <t>54874</t>
        </is>
      </c>
      <c r="E45" s="24" t="inlineStr">
        <is>
          <t>LOL</t>
        </is>
      </c>
      <c r="F45" s="24" t="inlineStr">
        <is>
          <t>T1</t>
        </is>
      </c>
      <c r="G45" s="24" t="inlineStr">
        <is>
          <t>Gen.G</t>
        </is>
      </c>
      <c r="H45" s="24" t="inlineStr">
        <is>
          <t>moneyline</t>
        </is>
      </c>
      <c r="I45" s="24" t="inlineStr">
        <is>
          <t>home</t>
        </is>
      </c>
      <c r="J45" s="38" t="n"/>
      <c r="K45" s="24" t="inlineStr">
        <is>
          <t>polymarket_us</t>
        </is>
      </c>
      <c r="L45" s="26" t="n">
        <v>117</v>
      </c>
      <c r="M45" s="39" t="n">
        <v>2.17</v>
      </c>
      <c r="N45" s="28" t="n">
        <v>0.460829</v>
      </c>
      <c r="O45" s="28" t="n">
        <v>0.708943</v>
      </c>
      <c r="P45" s="28" t="n"/>
      <c r="Q45" s="28" t="n">
        <v>0.248943</v>
      </c>
      <c r="R45" s="26" t="n">
        <v>100</v>
      </c>
      <c r="S45" s="29" t="n">
        <v>2</v>
      </c>
      <c r="T45" s="24" t="inlineStr">
        <is>
          <t>lol-neutral-series-elo-v1</t>
        </is>
      </c>
      <c r="U45" s="24" t="inlineStr">
        <is>
          <t>open</t>
        </is>
      </c>
      <c r="V45" s="24" t="n"/>
      <c r="W45" s="26" t="n"/>
      <c r="X45" s="26" t="n"/>
      <c r="Y45" s="38" t="n"/>
      <c r="Z45" s="26" t="n"/>
      <c r="AA45" s="28" t="n"/>
      <c r="AB45" s="28" t="n"/>
      <c r="AC45" s="40" t="n"/>
      <c r="AD45" s="24" t="n"/>
      <c r="AE45" s="31" t="inlineStr">
        <is>
          <t>Neutral Elo baseline; executable ask 0.4600 (aec-lol-gen-t1-2026-07-21).</t>
        </is>
      </c>
      <c r="AF45" s="31" t="inlineStr">
        <is>
          <t>Research baseline; zero-unit shadow until qualified.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T1</t>
        </is>
      </c>
      <c r="AQ45" s="24" t="inlineStr">
        <is>
          <t>T1</t>
        </is>
      </c>
      <c r="AR45" s="24" t="inlineStr">
        <is>
          <t>T1</t>
        </is>
      </c>
      <c r="AS45" s="24" t="inlineStr">
        <is>
          <t>Gen.G</t>
        </is>
      </c>
      <c r="AT45" s="24" t="inlineStr">
        <is>
          <t>Gen.G</t>
        </is>
      </c>
      <c r="AU45" s="24" t="inlineStr">
        <is>
          <t>Gen.G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82612f1b27d5065af8d70fd6669509ff00dc1c7e3a91bb423192bf3b0a9736ce</t>
        </is>
      </c>
      <c r="BB45" s="24" t="inlineStr">
        <is>
          <t>neutral_elo</t>
        </is>
      </c>
      <c r="BC45" s="24" t="inlineStr">
        <is>
          <t>lol-neutral-series-elo-v1</t>
        </is>
      </c>
      <c r="BD45" s="24" t="inlineStr">
        <is>
          <t>82612f1b27d5065af8d70fd6669509ff00dc1c7e3a91bb423192bf3b0a9736ce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unknown</t>
        </is>
      </c>
      <c r="BH45" s="24" t="inlineStr">
        <is>
          <t>2026-07-20T23:55:05.362117Z</t>
        </is>
      </c>
      <c r="BI45" s="24" t="inlineStr">
        <is>
          <t>["same_event","same_team_same_day","same_league_same_day"]</t>
        </is>
      </c>
      <c r="BJ45" s="38" t="n"/>
      <c r="BK45" s="26" t="n">
        <v>117</v>
      </c>
      <c r="BL45" s="39" t="n">
        <v>2.17</v>
      </c>
      <c r="BM45" s="28" t="n">
        <v>0.460829</v>
      </c>
      <c r="BN45" s="28" t="n"/>
      <c r="BO45" s="28" t="n"/>
      <c r="BP45" s="38" t="n"/>
      <c r="BQ45" s="39" t="n"/>
      <c r="BR45" s="28" t="n"/>
      <c r="BS45" s="28" t="n"/>
      <c r="BT45" s="28" t="n"/>
      <c r="BU45" s="38" t="n"/>
      <c r="BV45" s="29" t="n"/>
      <c r="BW45" s="24" t="n"/>
      <c r="BX45" s="40" t="n"/>
      <c r="BY45" s="39" t="n"/>
      <c r="BZ45" s="24" t="n"/>
      <c r="CA45" s="31" t="n"/>
    </row>
    <row r="46" ht="36" customHeight="1">
      <c r="A46" s="24" t="inlineStr">
        <is>
          <t>f383592a511a4604</t>
        </is>
      </c>
      <c r="B46" s="24" t="inlineStr">
        <is>
          <t>2026-07-20T23:55:05.646189Z</t>
        </is>
      </c>
      <c r="C46" s="24" t="inlineStr">
        <is>
          <t>2026-07-21T08:15:00Z</t>
        </is>
      </c>
      <c r="D46" s="24" t="inlineStr">
        <is>
          <t>54877</t>
        </is>
      </c>
      <c r="E46" s="24" t="inlineStr">
        <is>
          <t>LOL</t>
        </is>
      </c>
      <c r="F46" s="24" t="inlineStr">
        <is>
          <t>Dplus KIA</t>
        </is>
      </c>
      <c r="G46" s="24" t="inlineStr">
        <is>
          <t>KT Rolster</t>
        </is>
      </c>
      <c r="H46" s="24" t="inlineStr">
        <is>
          <t>moneyline</t>
        </is>
      </c>
      <c r="I46" s="24" t="inlineStr">
        <is>
          <t>away</t>
        </is>
      </c>
      <c r="J46" s="38" t="n"/>
      <c r="K46" s="24" t="inlineStr">
        <is>
          <t>polymarket_us</t>
        </is>
      </c>
      <c r="L46" s="26" t="n">
        <v>122</v>
      </c>
      <c r="M46" s="39" t="n">
        <v>2.22</v>
      </c>
      <c r="N46" s="28" t="n">
        <v>0.45045</v>
      </c>
      <c r="O46" s="28" t="n">
        <v>0.678236</v>
      </c>
      <c r="P46" s="28" t="n"/>
      <c r="Q46" s="28" t="n">
        <v>0.228236</v>
      </c>
      <c r="R46" s="26" t="n">
        <v>100</v>
      </c>
      <c r="S46" s="29" t="n">
        <v>2</v>
      </c>
      <c r="T46" s="24" t="inlineStr">
        <is>
          <t>lol-neutral-series-elo-v1</t>
        </is>
      </c>
      <c r="U46" s="24" t="inlineStr">
        <is>
          <t>open</t>
        </is>
      </c>
      <c r="V46" s="24" t="n"/>
      <c r="W46" s="26" t="n"/>
      <c r="X46" s="26" t="n"/>
      <c r="Y46" s="38" t="n"/>
      <c r="Z46" s="26" t="n"/>
      <c r="AA46" s="28" t="n"/>
      <c r="AB46" s="28" t="n"/>
      <c r="AC46" s="40" t="n"/>
      <c r="AD46" s="24" t="n"/>
      <c r="AE46" s="31" t="inlineStr">
        <is>
          <t>Neutral Elo baseline; executable ask 0.4500 (aec-lol-kt-dk-2026-07-21).</t>
        </is>
      </c>
      <c r="AF46" s="31" t="inlineStr">
        <is>
          <t>Research baseline; zero-unit shadow until qualified.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Dplus KIA</t>
        </is>
      </c>
      <c r="AQ46" s="24" t="inlineStr">
        <is>
          <t>Dplus KIA</t>
        </is>
      </c>
      <c r="AR46" s="24" t="inlineStr">
        <is>
          <t>Dplus KIA</t>
        </is>
      </c>
      <c r="AS46" s="24" t="inlineStr">
        <is>
          <t>KT Rolster</t>
        </is>
      </c>
      <c r="AT46" s="24" t="inlineStr">
        <is>
          <t>KT Rolster</t>
        </is>
      </c>
      <c r="AU46" s="24" t="inlineStr">
        <is>
          <t>KT Rolster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82612f1b27d5065af8d70fd6669509ff00dc1c7e3a91bb423192bf3b0a9736ce</t>
        </is>
      </c>
      <c r="BB46" s="24" t="inlineStr">
        <is>
          <t>neutral_elo</t>
        </is>
      </c>
      <c r="BC46" s="24" t="inlineStr">
        <is>
          <t>lol-neutral-series-elo-v1</t>
        </is>
      </c>
      <c r="BD46" s="24" t="inlineStr">
        <is>
          <t>82612f1b27d5065af8d70fd6669509ff00dc1c7e3a91bb423192bf3b0a9736ce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unknown</t>
        </is>
      </c>
      <c r="BH46" s="24" t="inlineStr">
        <is>
          <t>2026-07-20T23:55:05.646189Z</t>
        </is>
      </c>
      <c r="BI46" s="24" t="inlineStr">
        <is>
          <t>["same_event","same_team_same_day","same_league_same_day"]</t>
        </is>
      </c>
      <c r="BJ46" s="38" t="n"/>
      <c r="BK46" s="26" t="n">
        <v>122</v>
      </c>
      <c r="BL46" s="39" t="n">
        <v>2.22</v>
      </c>
      <c r="BM46" s="28" t="n">
        <v>0.45045</v>
      </c>
      <c r="BN46" s="28" t="n"/>
      <c r="BO46" s="28" t="n"/>
      <c r="BP46" s="38" t="n"/>
      <c r="BQ46" s="39" t="n"/>
      <c r="BR46" s="28" t="n"/>
      <c r="BS46" s="28" t="n"/>
      <c r="BT46" s="28" t="n"/>
      <c r="BU46" s="38" t="n"/>
      <c r="BV46" s="29" t="n"/>
      <c r="BW46" s="24" t="n"/>
      <c r="BX46" s="40" t="n"/>
      <c r="BY46" s="39" t="n"/>
      <c r="BZ46" s="24" t="n"/>
      <c r="CA46" s="31" t="n"/>
    </row>
    <row r="47" ht="36" customHeight="1">
      <c r="A47" s="24" t="inlineStr">
        <is>
          <t>b94c90f730bb4444</t>
        </is>
      </c>
      <c r="B47" s="24" t="inlineStr">
        <is>
          <t>2026-07-20T23:55:05.939827Z</t>
        </is>
      </c>
      <c r="C47" s="24" t="inlineStr">
        <is>
          <t>2026-07-21T09:00:00Z</t>
        </is>
      </c>
      <c r="D47" s="24" t="inlineStr">
        <is>
          <t>54883</t>
        </is>
      </c>
      <c r="E47" s="24" t="inlineStr">
        <is>
          <t>LOL</t>
        </is>
      </c>
      <c r="F47" s="24" t="inlineStr">
        <is>
          <t>Gen.G</t>
        </is>
      </c>
      <c r="G47" s="24" t="inlineStr">
        <is>
          <t>HANJIN BRION</t>
        </is>
      </c>
      <c r="H47" s="24" t="inlineStr">
        <is>
          <t>moneyline</t>
        </is>
      </c>
      <c r="I47" s="24" t="inlineStr">
        <is>
          <t>away</t>
        </is>
      </c>
      <c r="J47" s="38" t="n"/>
      <c r="K47" s="24" t="inlineStr">
        <is>
          <t>polymarket_us</t>
        </is>
      </c>
      <c r="L47" s="26" t="n">
        <v>100</v>
      </c>
      <c r="M47" s="39" t="n">
        <v>2</v>
      </c>
      <c r="N47" s="28" t="n">
        <v>0.5</v>
      </c>
      <c r="O47" s="28" t="n">
        <v>0.75</v>
      </c>
      <c r="P47" s="28" t="n"/>
      <c r="Q47" s="28" t="n">
        <v>0.25</v>
      </c>
      <c r="R47" s="26" t="n">
        <v>100</v>
      </c>
      <c r="S47" s="29" t="n">
        <v>2</v>
      </c>
      <c r="T47" s="24" t="inlineStr">
        <is>
          <t>lol-neutral-series-elo-v1</t>
        </is>
      </c>
      <c r="U47" s="24" t="inlineStr">
        <is>
          <t>open</t>
        </is>
      </c>
      <c r="V47" s="24" t="n"/>
      <c r="W47" s="26" t="n"/>
      <c r="X47" s="26" t="n"/>
      <c r="Y47" s="38" t="n"/>
      <c r="Z47" s="26" t="n"/>
      <c r="AA47" s="28" t="n"/>
      <c r="AB47" s="28" t="n"/>
      <c r="AC47" s="40" t="n"/>
      <c r="AD47" s="24" t="n"/>
      <c r="AE47" s="31" t="inlineStr">
        <is>
          <t>Neutral Elo baseline; executable ask 0.5000 (aec-lol-bro-gen-2026-07-21).</t>
        </is>
      </c>
      <c r="AF47" s="31" t="inlineStr">
        <is>
          <t>Research baseline; zero-unit shadow until qualified.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3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Gen.G</t>
        </is>
      </c>
      <c r="AQ47" s="24" t="inlineStr">
        <is>
          <t>Gen.G</t>
        </is>
      </c>
      <c r="AR47" s="24" t="inlineStr">
        <is>
          <t>Gen.G</t>
        </is>
      </c>
      <c r="AS47" s="24" t="inlineStr">
        <is>
          <t>HANJIN BRION</t>
        </is>
      </c>
      <c r="AT47" s="24" t="inlineStr">
        <is>
          <t>HANJIN BRION</t>
        </is>
      </c>
      <c r="AU47" s="24" t="inlineStr">
        <is>
          <t>HANJIN BRION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82612f1b27d5065af8d70fd6669509ff00dc1c7e3a91bb423192bf3b0a9736ce</t>
        </is>
      </c>
      <c r="BB47" s="24" t="inlineStr">
        <is>
          <t>neutral_elo</t>
        </is>
      </c>
      <c r="BC47" s="24" t="inlineStr">
        <is>
          <t>lol-neutral-series-elo-v1</t>
        </is>
      </c>
      <c r="BD47" s="24" t="inlineStr">
        <is>
          <t>82612f1b27d5065af8d70fd6669509ff00dc1c7e3a91bb423192bf3b0a9736ce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unknown</t>
        </is>
      </c>
      <c r="BH47" s="24" t="inlineStr">
        <is>
          <t>2026-07-20T23:55:05.939827Z</t>
        </is>
      </c>
      <c r="BI47" s="24" t="inlineStr">
        <is>
          <t>["same_event","same_team_same_day","same_league_same_day"]</t>
        </is>
      </c>
      <c r="BJ47" s="38" t="n"/>
      <c r="BK47" s="26" t="n">
        <v>100</v>
      </c>
      <c r="BL47" s="39" t="n">
        <v>2</v>
      </c>
      <c r="BM47" s="28" t="n">
        <v>0.5</v>
      </c>
      <c r="BN47" s="28" t="n"/>
      <c r="BO47" s="28" t="n"/>
      <c r="BP47" s="38" t="n"/>
      <c r="BQ47" s="39" t="n"/>
      <c r="BR47" s="28" t="n"/>
      <c r="BS47" s="28" t="n"/>
      <c r="BT47" s="28" t="n"/>
      <c r="BU47" s="38" t="n"/>
      <c r="BV47" s="29" t="n"/>
      <c r="BW47" s="24" t="n"/>
      <c r="BX47" s="40" t="n"/>
      <c r="BY47" s="39" t="n"/>
      <c r="BZ47" s="24" t="n"/>
      <c r="CA47" s="31" t="n"/>
    </row>
    <row r="48" ht="36" customHeight="1">
      <c r="A48" s="24" t="inlineStr">
        <is>
          <t>5bb4d8ca22ba48c4</t>
        </is>
      </c>
      <c r="B48" s="24" t="inlineStr">
        <is>
          <t>2026-07-20T23:55:06.432838Z</t>
        </is>
      </c>
      <c r="C48" s="24" t="inlineStr">
        <is>
          <t>2026-07-21T09:45:00Z</t>
        </is>
      </c>
      <c r="D48" s="24" t="inlineStr">
        <is>
          <t>54930</t>
        </is>
      </c>
      <c r="E48" s="24" t="inlineStr">
        <is>
          <t>LOL</t>
        </is>
      </c>
      <c r="F48" s="24" t="inlineStr">
        <is>
          <t>Nongshim Red Force</t>
        </is>
      </c>
      <c r="G48" s="24" t="inlineStr">
        <is>
          <t>Hanwha Life Esports</t>
        </is>
      </c>
      <c r="H48" s="24" t="inlineStr">
        <is>
          <t>moneyline</t>
        </is>
      </c>
      <c r="I48" s="24" t="inlineStr">
        <is>
          <t>home</t>
        </is>
      </c>
      <c r="J48" s="38" t="n"/>
      <c r="K48" s="24" t="inlineStr">
        <is>
          <t>polymarket_us</t>
        </is>
      </c>
      <c r="L48" s="26" t="n">
        <v>108</v>
      </c>
      <c r="M48" s="39" t="n">
        <v>2.08</v>
      </c>
      <c r="N48" s="28" t="n">
        <v>0.480769</v>
      </c>
      <c r="O48" s="28" t="n">
        <v>0.749995</v>
      </c>
      <c r="P48" s="28" t="n"/>
      <c r="Q48" s="28" t="n">
        <v>0.269995</v>
      </c>
      <c r="R48" s="26" t="n">
        <v>100</v>
      </c>
      <c r="S48" s="29" t="n">
        <v>2</v>
      </c>
      <c r="T48" s="24" t="inlineStr">
        <is>
          <t>lol-neutral-series-elo-v1</t>
        </is>
      </c>
      <c r="U48" s="24" t="inlineStr">
        <is>
          <t>open</t>
        </is>
      </c>
      <c r="V48" s="24" t="n"/>
      <c r="W48" s="26" t="n"/>
      <c r="X48" s="26" t="n"/>
      <c r="Y48" s="38" t="n"/>
      <c r="Z48" s="26" t="n"/>
      <c r="AA48" s="28" t="n"/>
      <c r="AB48" s="28" t="n"/>
      <c r="AC48" s="40" t="n"/>
      <c r="AD48" s="24" t="n"/>
      <c r="AE48" s="31" t="inlineStr">
        <is>
          <t>Neutral Elo baseline; executable ask 0.4800 (aec-lol-hle-ns-2026-07-21).</t>
        </is>
      </c>
      <c r="AF48" s="31" t="inlineStr">
        <is>
          <t>Research baseline; zero-unit shadow until qualified.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3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Nongshim Red Force</t>
        </is>
      </c>
      <c r="AQ48" s="24" t="inlineStr">
        <is>
          <t>Nongshim Red Force</t>
        </is>
      </c>
      <c r="AR48" s="24" t="inlineStr">
        <is>
          <t>Nongshim Red Force</t>
        </is>
      </c>
      <c r="AS48" s="24" t="inlineStr">
        <is>
          <t>Hanwha Life Esports</t>
        </is>
      </c>
      <c r="AT48" s="24" t="inlineStr">
        <is>
          <t>Hanwha Life Esports</t>
        </is>
      </c>
      <c r="AU48" s="24" t="inlineStr">
        <is>
          <t>Hanwha Life Esports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82612f1b27d5065af8d70fd6669509ff00dc1c7e3a91bb423192bf3b0a9736ce</t>
        </is>
      </c>
      <c r="BB48" s="24" t="inlineStr">
        <is>
          <t>neutral_elo</t>
        </is>
      </c>
      <c r="BC48" s="24" t="inlineStr">
        <is>
          <t>lol-neutral-series-elo-v1</t>
        </is>
      </c>
      <c r="BD48" s="24" t="inlineStr">
        <is>
          <t>82612f1b27d5065af8d70fd6669509ff00dc1c7e3a91bb423192bf3b0a9736ce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unknown</t>
        </is>
      </c>
      <c r="BH48" s="24" t="inlineStr">
        <is>
          <t>2026-07-20T23:55:06.432838Z</t>
        </is>
      </c>
      <c r="BI48" s="24" t="inlineStr">
        <is>
          <t>["same_event","same_team_same_day","same_league_same_day"]</t>
        </is>
      </c>
      <c r="BJ48" s="38" t="n"/>
      <c r="BK48" s="26" t="n">
        <v>108</v>
      </c>
      <c r="BL48" s="39" t="n">
        <v>2.08</v>
      </c>
      <c r="BM48" s="28" t="n">
        <v>0.480769</v>
      </c>
      <c r="BN48" s="28" t="n"/>
      <c r="BO48" s="28" t="n"/>
      <c r="BP48" s="38" t="n"/>
      <c r="BQ48" s="39" t="n"/>
      <c r="BR48" s="28" t="n"/>
      <c r="BS48" s="28" t="n"/>
      <c r="BT48" s="28" t="n"/>
      <c r="BU48" s="38" t="n"/>
      <c r="BV48" s="29" t="n"/>
      <c r="BW48" s="24" t="n"/>
      <c r="BX48" s="40" t="n"/>
      <c r="BY48" s="39" t="n"/>
      <c r="BZ48" s="24" t="n"/>
      <c r="CA48" s="31" t="n"/>
    </row>
    <row r="49" ht="36" customHeight="1">
      <c r="A49" s="24" t="inlineStr">
        <is>
          <t>6972fd0056ee42b4</t>
        </is>
      </c>
      <c r="B49" s="24" t="inlineStr">
        <is>
          <t>2026-07-20T23:55:06.659566Z</t>
        </is>
      </c>
      <c r="C49" s="24" t="inlineStr">
        <is>
          <t>2026-07-21T10:30:00Z</t>
        </is>
      </c>
      <c r="D49" s="24" t="inlineStr">
        <is>
          <t>54950</t>
        </is>
      </c>
      <c r="E49" s="24" t="inlineStr">
        <is>
          <t>LOL</t>
        </is>
      </c>
      <c r="F49" s="24" t="inlineStr">
        <is>
          <t>Kiwoom DRX</t>
        </is>
      </c>
      <c r="G49" s="24" t="inlineStr">
        <is>
          <t>T1</t>
        </is>
      </c>
      <c r="H49" s="24" t="inlineStr">
        <is>
          <t>moneyline</t>
        </is>
      </c>
      <c r="I49" s="24" t="inlineStr">
        <is>
          <t>home</t>
        </is>
      </c>
      <c r="J49" s="38" t="n"/>
      <c r="K49" s="24" t="inlineStr">
        <is>
          <t>polymarket_us</t>
        </is>
      </c>
      <c r="L49" s="26" t="n">
        <v>-133</v>
      </c>
      <c r="M49" s="39" t="n">
        <v>1.75188</v>
      </c>
      <c r="N49" s="28" t="n">
        <v>0.570815</v>
      </c>
      <c r="O49" s="28" t="n">
        <v>0.7499980000000001</v>
      </c>
      <c r="P49" s="28" t="n"/>
      <c r="Q49" s="28" t="n">
        <v>0.179998</v>
      </c>
      <c r="R49" s="26" t="n">
        <v>100</v>
      </c>
      <c r="S49" s="29" t="n">
        <v>2</v>
      </c>
      <c r="T49" s="24" t="inlineStr">
        <is>
          <t>lol-neutral-series-elo-v1</t>
        </is>
      </c>
      <c r="U49" s="24" t="inlineStr">
        <is>
          <t>open</t>
        </is>
      </c>
      <c r="V49" s="24" t="n"/>
      <c r="W49" s="26" t="n"/>
      <c r="X49" s="26" t="n"/>
      <c r="Y49" s="38" t="n"/>
      <c r="Z49" s="26" t="n"/>
      <c r="AA49" s="28" t="n"/>
      <c r="AB49" s="28" t="n"/>
      <c r="AC49" s="40" t="n"/>
      <c r="AD49" s="24" t="n"/>
      <c r="AE49" s="31" t="inlineStr">
        <is>
          <t>Neutral Elo baseline; executable ask 0.5700 (aec-lol-t1-krx-2026-07-21).</t>
        </is>
      </c>
      <c r="AF49" s="31" t="inlineStr">
        <is>
          <t>Research baseline; zero-unit shadow until qualified.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model_qualified</t>
        </is>
      </c>
      <c r="AL49" s="26" t="n">
        <v>3</v>
      </c>
      <c r="AM49" s="24" t="inlineStr">
        <is>
          <t>QUALIFIED_SHADOW_CALL</t>
        </is>
      </c>
      <c r="AN49" s="24" t="inlineStr">
        <is>
          <t>CALL</t>
        </is>
      </c>
      <c r="AO49" s="24" t="inlineStr">
        <is>
          <t>QUALIFIED</t>
        </is>
      </c>
      <c r="AP49" s="24" t="inlineStr">
        <is>
          <t>Kiwoom DRX</t>
        </is>
      </c>
      <c r="AQ49" s="24" t="inlineStr">
        <is>
          <t>Kiwoom DRX</t>
        </is>
      </c>
      <c r="AR49" s="24" t="inlineStr">
        <is>
          <t>Kiwoom DRX</t>
        </is>
      </c>
      <c r="AS49" s="24" t="inlineStr">
        <is>
          <t>T1</t>
        </is>
      </c>
      <c r="AT49" s="24" t="inlineStr">
        <is>
          <t>T1</t>
        </is>
      </c>
      <c r="AU49" s="24" t="inlineStr">
        <is>
          <t>T1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82612f1b27d5065af8d70fd6669509ff00dc1c7e3a91bb423192bf3b0a9736ce</t>
        </is>
      </c>
      <c r="BB49" s="24" t="inlineStr">
        <is>
          <t>neutral_elo</t>
        </is>
      </c>
      <c r="BC49" s="24" t="inlineStr">
        <is>
          <t>lol-neutral-series-elo-v1</t>
        </is>
      </c>
      <c r="BD49" s="24" t="inlineStr">
        <is>
          <t>82612f1b27d5065af8d70fd6669509ff00dc1c7e3a91bb423192bf3b0a9736ce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unknown</t>
        </is>
      </c>
      <c r="BH49" s="24" t="inlineStr">
        <is>
          <t>2026-07-20T23:55:06.659566Z</t>
        </is>
      </c>
      <c r="BI49" s="24" t="inlineStr">
        <is>
          <t>["same_event","same_team_same_day","same_league_same_day"]</t>
        </is>
      </c>
      <c r="BJ49" s="38" t="n"/>
      <c r="BK49" s="26" t="n">
        <v>-133</v>
      </c>
      <c r="BL49" s="39" t="n">
        <v>1.75188</v>
      </c>
      <c r="BM49" s="28" t="n">
        <v>0.570815</v>
      </c>
      <c r="BN49" s="28" t="n"/>
      <c r="BO49" s="28" t="n"/>
      <c r="BP49" s="38" t="n"/>
      <c r="BQ49" s="39" t="n"/>
      <c r="BR49" s="28" t="n"/>
      <c r="BS49" s="28" t="n"/>
      <c r="BT49" s="28" t="n"/>
      <c r="BU49" s="38" t="n"/>
      <c r="BV49" s="29" t="n"/>
      <c r="BW49" s="24" t="n"/>
      <c r="BX49" s="40" t="n"/>
      <c r="BY49" s="39" t="n"/>
      <c r="BZ49" s="24" t="n"/>
      <c r="CA49" s="31" t="n"/>
    </row>
    <row r="50" ht="36" customHeight="1">
      <c r="A50" s="24" t="inlineStr">
        <is>
          <t>916521591ef04b74</t>
        </is>
      </c>
      <c r="B50" s="24" t="inlineStr">
        <is>
          <t>2026-07-20T23:55:06.890172Z</t>
        </is>
      </c>
      <c r="C50" s="24" t="inlineStr">
        <is>
          <t>2026-07-21T11:15:00Z</t>
        </is>
      </c>
      <c r="D50" s="24" t="inlineStr">
        <is>
          <t>54961</t>
        </is>
      </c>
      <c r="E50" s="24" t="inlineStr">
        <is>
          <t>LOL</t>
        </is>
      </c>
      <c r="F50" s="24" t="inlineStr">
        <is>
          <t>DN SOOPers</t>
        </is>
      </c>
      <c r="G50" s="24" t="inlineStr">
        <is>
          <t>Hanwha Life Esports</t>
        </is>
      </c>
      <c r="H50" s="24" t="inlineStr">
        <is>
          <t>moneyline</t>
        </is>
      </c>
      <c r="I50" s="24" t="inlineStr">
        <is>
          <t>home</t>
        </is>
      </c>
      <c r="J50" s="38" t="n"/>
      <c r="K50" s="24" t="inlineStr">
        <is>
          <t>polymarket_us</t>
        </is>
      </c>
      <c r="L50" s="26" t="n">
        <v>-113</v>
      </c>
      <c r="M50" s="39" t="n">
        <v>1.884956</v>
      </c>
      <c r="N50" s="28" t="n">
        <v>0.530516</v>
      </c>
      <c r="O50" s="28" t="n">
        <v>0.75</v>
      </c>
      <c r="P50" s="28" t="n"/>
      <c r="Q50" s="28" t="n">
        <v>0.22</v>
      </c>
      <c r="R50" s="26" t="n">
        <v>100</v>
      </c>
      <c r="S50" s="29" t="n">
        <v>2</v>
      </c>
      <c r="T50" s="24" t="inlineStr">
        <is>
          <t>lol-neutral-series-elo-v1</t>
        </is>
      </c>
      <c r="U50" s="24" t="inlineStr">
        <is>
          <t>open</t>
        </is>
      </c>
      <c r="V50" s="24" t="n"/>
      <c r="W50" s="26" t="n"/>
      <c r="X50" s="26" t="n"/>
      <c r="Y50" s="38" t="n"/>
      <c r="Z50" s="26" t="n"/>
      <c r="AA50" s="28" t="n"/>
      <c r="AB50" s="28" t="n"/>
      <c r="AC50" s="40" t="n"/>
      <c r="AD50" s="24" t="n"/>
      <c r="AE50" s="31" t="inlineStr">
        <is>
          <t>Neutral Elo baseline; executable ask 0.5300 (aec-lol-hle-dns-2026-07-21).</t>
        </is>
      </c>
      <c r="AF50" s="31" t="inlineStr">
        <is>
          <t>Research baseline; zero-unit shadow until qualified.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3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DN SOOPers</t>
        </is>
      </c>
      <c r="AQ50" s="24" t="inlineStr">
        <is>
          <t>DN SOOPers</t>
        </is>
      </c>
      <c r="AR50" s="24" t="inlineStr">
        <is>
          <t>DN SOOPers</t>
        </is>
      </c>
      <c r="AS50" s="24" t="inlineStr">
        <is>
          <t>Hanwha Life Esports</t>
        </is>
      </c>
      <c r="AT50" s="24" t="inlineStr">
        <is>
          <t>Hanwha Life Esports</t>
        </is>
      </c>
      <c r="AU50" s="24" t="inlineStr">
        <is>
          <t>Hanwha Life Esports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82612f1b27d5065af8d70fd6669509ff00dc1c7e3a91bb423192bf3b0a9736ce</t>
        </is>
      </c>
      <c r="BB50" s="24" t="inlineStr">
        <is>
          <t>neutral_elo</t>
        </is>
      </c>
      <c r="BC50" s="24" t="inlineStr">
        <is>
          <t>lol-neutral-series-elo-v1</t>
        </is>
      </c>
      <c r="BD50" s="24" t="inlineStr">
        <is>
          <t>82612f1b27d5065af8d70fd6669509ff00dc1c7e3a91bb423192bf3b0a9736ce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unknown</t>
        </is>
      </c>
      <c r="BH50" s="24" t="inlineStr">
        <is>
          <t>2026-07-20T23:55:06.890172Z</t>
        </is>
      </c>
      <c r="BI50" s="24" t="inlineStr">
        <is>
          <t>["same_event","same_team_same_day","same_league_same_day"]</t>
        </is>
      </c>
      <c r="BJ50" s="38" t="n"/>
      <c r="BK50" s="26" t="n">
        <v>-113</v>
      </c>
      <c r="BL50" s="39" t="n">
        <v>1.884956</v>
      </c>
      <c r="BM50" s="28" t="n">
        <v>0.530516</v>
      </c>
      <c r="BN50" s="28" t="n"/>
      <c r="BO50" s="28" t="n"/>
      <c r="BP50" s="38" t="n"/>
      <c r="BQ50" s="39" t="n"/>
      <c r="BR50" s="28" t="n"/>
      <c r="BS50" s="28" t="n"/>
      <c r="BT50" s="28" t="n"/>
      <c r="BU50" s="38" t="n"/>
      <c r="BV50" s="29" t="n"/>
      <c r="BW50" s="24" t="n"/>
      <c r="BX50" s="40" t="n"/>
      <c r="BY50" s="39" t="n"/>
      <c r="BZ50" s="24" t="n"/>
      <c r="CA50" s="31" t="n"/>
    </row>
    <row r="51" ht="36" customHeight="1">
      <c r="A51" s="24" t="inlineStr">
        <is>
          <t>1e4191a0349f4cc6</t>
        </is>
      </c>
      <c r="B51" s="24" t="inlineStr">
        <is>
          <t>2026-07-21T03:21:23.346420Z</t>
        </is>
      </c>
      <c r="C51" s="24" t="inlineStr">
        <is>
          <t>2026-07-21T16:00:00Z</t>
        </is>
      </c>
      <c r="D51" s="24" t="inlineStr">
        <is>
          <t>56853</t>
        </is>
      </c>
      <c r="E51" s="24" t="inlineStr">
        <is>
          <t>LOL</t>
        </is>
      </c>
      <c r="F51" s="24" t="inlineStr">
        <is>
          <t>Ici Japon Corp. Esport</t>
        </is>
      </c>
      <c r="G51" s="24" t="inlineStr">
        <is>
          <t>TLN Pirates</t>
        </is>
      </c>
      <c r="H51" s="24" t="inlineStr">
        <is>
          <t>moneyline</t>
        </is>
      </c>
      <c r="I51" s="24" t="inlineStr">
        <is>
          <t>home</t>
        </is>
      </c>
      <c r="J51" s="38" t="n"/>
      <c r="K51" s="24" t="inlineStr">
        <is>
          <t>polymarket_us</t>
        </is>
      </c>
      <c r="L51" s="26" t="n">
        <v>-144</v>
      </c>
      <c r="M51" s="39" t="n">
        <v>1.694444</v>
      </c>
      <c r="N51" s="28" t="n">
        <v>0.590164</v>
      </c>
      <c r="O51" s="28" t="n">
        <v>0.650242</v>
      </c>
      <c r="P51" s="28" t="n"/>
      <c r="Q51" s="28" t="n">
        <v>0.060242</v>
      </c>
      <c r="R51" s="26" t="n">
        <v>60</v>
      </c>
      <c r="S51" s="29" t="n">
        <v>2</v>
      </c>
      <c r="T51" s="24" t="inlineStr">
        <is>
          <t>lol-neutral-series-elo-v1</t>
        </is>
      </c>
      <c r="U51" s="24" t="inlineStr">
        <is>
          <t>open</t>
        </is>
      </c>
      <c r="V51" s="24" t="n"/>
      <c r="W51" s="26" t="n"/>
      <c r="X51" s="26" t="n"/>
      <c r="Y51" s="38" t="n"/>
      <c r="Z51" s="26" t="n"/>
      <c r="AA51" s="28" t="n"/>
      <c r="AB51" s="28" t="n"/>
      <c r="AC51" s="40" t="n"/>
      <c r="AD51" s="24" t="n"/>
      <c r="AE51" s="31" t="inlineStr">
        <is>
          <t>Neutral Elo baseline; executable ask 0.5900 (aec-lol-tlnp-ijc-2026-07-21).</t>
        </is>
      </c>
      <c r="AF51" s="31" t="inlineStr">
        <is>
          <t>Research baseline; zero-unit shadow until qualified.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model_qualified</t>
        </is>
      </c>
      <c r="AL51" s="26" t="n">
        <v>3</v>
      </c>
      <c r="AM51" s="24" t="inlineStr">
        <is>
          <t>QUALIFIED_SHADOW_CALL</t>
        </is>
      </c>
      <c r="AN51" s="24" t="inlineStr">
        <is>
          <t>CALL</t>
        </is>
      </c>
      <c r="AO51" s="24" t="inlineStr">
        <is>
          <t>QUALIFIED</t>
        </is>
      </c>
      <c r="AP51" s="24" t="inlineStr">
        <is>
          <t>Ici Japon Corp. Esport</t>
        </is>
      </c>
      <c r="AQ51" s="24" t="inlineStr">
        <is>
          <t>Ici Japon Corp. Esport</t>
        </is>
      </c>
      <c r="AR51" s="24" t="inlineStr">
        <is>
          <t>Ici Japon Corp. Esport</t>
        </is>
      </c>
      <c r="AS51" s="24" t="inlineStr">
        <is>
          <t>TLN Pirates</t>
        </is>
      </c>
      <c r="AT51" s="24" t="inlineStr">
        <is>
          <t>TLN Pirates</t>
        </is>
      </c>
      <c r="AU51" s="24" t="inlineStr">
        <is>
          <t>TLN Pirates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82612f1b27d5065af8d70fd6669509ff00dc1c7e3a91bb423192bf3b0a9736ce</t>
        </is>
      </c>
      <c r="BB51" s="24" t="inlineStr">
        <is>
          <t>neutral_elo</t>
        </is>
      </c>
      <c r="BC51" s="24" t="inlineStr">
        <is>
          <t>lol-neutral-series-elo-v1</t>
        </is>
      </c>
      <c r="BD51" s="24" t="inlineStr">
        <is>
          <t>82612f1b27d5065af8d70fd6669509ff00dc1c7e3a91bb423192bf3b0a9736ce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unknown</t>
        </is>
      </c>
      <c r="BH51" s="24" t="inlineStr">
        <is>
          <t>2026-07-21T03:21:23.346420Z</t>
        </is>
      </c>
      <c r="BI51" s="24" t="inlineStr">
        <is>
          <t>["same_event","same_team_same_day","same_league_same_day"]</t>
        </is>
      </c>
      <c r="BJ51" s="38" t="n"/>
      <c r="BK51" s="26" t="n">
        <v>-144</v>
      </c>
      <c r="BL51" s="39" t="n">
        <v>1.694444</v>
      </c>
      <c r="BM51" s="28" t="n">
        <v>0.590164</v>
      </c>
      <c r="BN51" s="28" t="n"/>
      <c r="BO51" s="28" t="n"/>
      <c r="BP51" s="38" t="n"/>
      <c r="BQ51" s="39" t="n"/>
      <c r="BR51" s="28" t="n"/>
      <c r="BS51" s="28" t="n"/>
      <c r="BT51" s="28" t="n"/>
      <c r="BU51" s="38" t="n"/>
      <c r="BV51" s="29" t="n"/>
      <c r="BW51" s="24" t="n"/>
      <c r="BX51" s="40" t="n"/>
      <c r="BY51" s="39" t="n"/>
      <c r="BZ51" s="24" t="n"/>
      <c r="CA51" s="31" t="n"/>
    </row>
    <row r="52" ht="36" customHeight="1">
      <c r="A52" s="24" t="inlineStr">
        <is>
          <t>b8e878cebae74ce6</t>
        </is>
      </c>
      <c r="B52" s="24" t="inlineStr">
        <is>
          <t>2026-07-21T03:21:23.671795Z</t>
        </is>
      </c>
      <c r="C52" s="24" t="inlineStr">
        <is>
          <t>2026-07-21T17:00:00Z</t>
        </is>
      </c>
      <c r="D52" s="24" t="inlineStr">
        <is>
          <t>55198</t>
        </is>
      </c>
      <c r="E52" s="24" t="inlineStr">
        <is>
          <t>LOL</t>
        </is>
      </c>
      <c r="F52" s="24" t="inlineStr">
        <is>
          <t>Once Upon A Team</t>
        </is>
      </c>
      <c r="G52" s="24" t="inlineStr">
        <is>
          <t>mCon esports</t>
        </is>
      </c>
      <c r="H52" s="24" t="inlineStr">
        <is>
          <t>moneyline</t>
        </is>
      </c>
      <c r="I52" s="24" t="inlineStr">
        <is>
          <t>home</t>
        </is>
      </c>
      <c r="J52" s="38" t="n"/>
      <c r="K52" s="24" t="inlineStr">
        <is>
          <t>polymarket_us</t>
        </is>
      </c>
      <c r="L52" s="26" t="n">
        <v>-144</v>
      </c>
      <c r="M52" s="39" t="n">
        <v>1.694444</v>
      </c>
      <c r="N52" s="28" t="n">
        <v>0.590164</v>
      </c>
      <c r="O52" s="28" t="n">
        <v>0.650024</v>
      </c>
      <c r="P52" s="28" t="n"/>
      <c r="Q52" s="28" t="n">
        <v>0.060024</v>
      </c>
      <c r="R52" s="26" t="n">
        <v>60</v>
      </c>
      <c r="S52" s="29" t="n">
        <v>2</v>
      </c>
      <c r="T52" s="24" t="inlineStr">
        <is>
          <t>lol-neutral-series-elo-v1</t>
        </is>
      </c>
      <c r="U52" s="24" t="inlineStr">
        <is>
          <t>open</t>
        </is>
      </c>
      <c r="V52" s="24" t="n"/>
      <c r="W52" s="26" t="n"/>
      <c r="X52" s="26" t="n"/>
      <c r="Y52" s="38" t="n"/>
      <c r="Z52" s="26" t="n"/>
      <c r="AA52" s="28" t="n"/>
      <c r="AB52" s="28" t="n"/>
      <c r="AC52" s="40" t="n"/>
      <c r="AD52" s="24" t="n"/>
      <c r="AE52" s="31" t="inlineStr">
        <is>
          <t>Neutral Elo baseline; executable ask 0.5900 (aec-lol-mcn-ouat-2026-07-21).</t>
        </is>
      </c>
      <c r="AF52" s="31" t="inlineStr">
        <is>
          <t>Research baseline; zero-unit shadow until qualified.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model_qualified</t>
        </is>
      </c>
      <c r="AL52" s="26" t="n">
        <v>3</v>
      </c>
      <c r="AM52" s="24" t="inlineStr">
        <is>
          <t>QUALIFIED_SHADOW_CALL</t>
        </is>
      </c>
      <c r="AN52" s="24" t="inlineStr">
        <is>
          <t>CALL</t>
        </is>
      </c>
      <c r="AO52" s="24" t="inlineStr">
        <is>
          <t>QUALIFIED</t>
        </is>
      </c>
      <c r="AP52" s="24" t="inlineStr">
        <is>
          <t>Once Upon A Team</t>
        </is>
      </c>
      <c r="AQ52" s="24" t="inlineStr">
        <is>
          <t>Once Upon A Team</t>
        </is>
      </c>
      <c r="AR52" s="24" t="inlineStr">
        <is>
          <t>Once Upon A Team</t>
        </is>
      </c>
      <c r="AS52" s="24" t="inlineStr">
        <is>
          <t>mCon esports</t>
        </is>
      </c>
      <c r="AT52" s="24" t="inlineStr">
        <is>
          <t>mCon esports</t>
        </is>
      </c>
      <c r="AU52" s="24" t="inlineStr">
        <is>
          <t>mCon esports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82612f1b27d5065af8d70fd6669509ff00dc1c7e3a91bb423192bf3b0a9736ce</t>
        </is>
      </c>
      <c r="BB52" s="24" t="inlineStr">
        <is>
          <t>neutral_elo</t>
        </is>
      </c>
      <c r="BC52" s="24" t="inlineStr">
        <is>
          <t>lol-neutral-series-elo-v1</t>
        </is>
      </c>
      <c r="BD52" s="24" t="inlineStr">
        <is>
          <t>82612f1b27d5065af8d70fd6669509ff00dc1c7e3a91bb423192bf3b0a9736ce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unknown</t>
        </is>
      </c>
      <c r="BH52" s="24" t="inlineStr">
        <is>
          <t>2026-07-21T03:21:23.671795Z</t>
        </is>
      </c>
      <c r="BI52" s="24" t="inlineStr">
        <is>
          <t>["same_event","same_team_same_day","same_league_same_day"]</t>
        </is>
      </c>
      <c r="BJ52" s="38" t="n"/>
      <c r="BK52" s="26" t="n">
        <v>-144</v>
      </c>
      <c r="BL52" s="39" t="n">
        <v>1.694444</v>
      </c>
      <c r="BM52" s="28" t="n">
        <v>0.590164</v>
      </c>
      <c r="BN52" s="28" t="n"/>
      <c r="BO52" s="28" t="n"/>
      <c r="BP52" s="38" t="n"/>
      <c r="BQ52" s="39" t="n"/>
      <c r="BR52" s="28" t="n"/>
      <c r="BS52" s="28" t="n"/>
      <c r="BT52" s="28" t="n"/>
      <c r="BU52" s="38" t="n"/>
      <c r="BV52" s="29" t="n"/>
      <c r="BW52" s="24" t="n"/>
      <c r="BX52" s="40" t="n"/>
      <c r="BY52" s="39" t="n"/>
      <c r="BZ52" s="24" t="n"/>
      <c r="CA52" s="31" t="n"/>
    </row>
    <row r="53" ht="36" customHeight="1">
      <c r="A53" s="24" t="inlineStr">
        <is>
          <t>3d480e15edd64412</t>
        </is>
      </c>
      <c r="B53" s="24" t="inlineStr">
        <is>
          <t>2026-07-21T03:21:23.924434Z</t>
        </is>
      </c>
      <c r="C53" s="24" t="inlineStr">
        <is>
          <t>2026-07-21T18:30:00Z</t>
        </is>
      </c>
      <c r="D53" s="24" t="inlineStr">
        <is>
          <t>57016</t>
        </is>
      </c>
      <c r="E53" s="24" t="inlineStr">
        <is>
          <t>LOL</t>
        </is>
      </c>
      <c r="F53" s="24" t="inlineStr">
        <is>
          <t>Baam Esports</t>
        </is>
      </c>
      <c r="G53" s="24" t="inlineStr">
        <is>
          <t>Pyramid IV Esports</t>
        </is>
      </c>
      <c r="H53" s="24" t="inlineStr">
        <is>
          <t>moneyline</t>
        </is>
      </c>
      <c r="I53" s="24" t="inlineStr">
        <is>
          <t>home</t>
        </is>
      </c>
      <c r="J53" s="38" t="n"/>
      <c r="K53" s="24" t="inlineStr">
        <is>
          <t>polymarket_us</t>
        </is>
      </c>
      <c r="L53" s="26" t="n">
        <v>113</v>
      </c>
      <c r="M53" s="39" t="n">
        <v>2.13</v>
      </c>
      <c r="N53" s="28" t="n">
        <v>0.469484</v>
      </c>
      <c r="O53" s="28" t="n">
        <v>0.503502</v>
      </c>
      <c r="P53" s="28" t="n"/>
      <c r="Q53" s="28" t="n">
        <v>0.033502</v>
      </c>
      <c r="R53" s="26" t="n">
        <v>33</v>
      </c>
      <c r="S53" s="29" t="n">
        <v>0.5</v>
      </c>
      <c r="T53" s="24" t="inlineStr">
        <is>
          <t>lol-neutral-series-elo-v1</t>
        </is>
      </c>
      <c r="U53" s="24" t="inlineStr">
        <is>
          <t>open</t>
        </is>
      </c>
      <c r="V53" s="24" t="n"/>
      <c r="W53" s="26" t="n"/>
      <c r="X53" s="26" t="n"/>
      <c r="Y53" s="38" t="n"/>
      <c r="Z53" s="26" t="n"/>
      <c r="AA53" s="28" t="n"/>
      <c r="AB53" s="28" t="n"/>
      <c r="AC53" s="40" t="n"/>
      <c r="AD53" s="24" t="n"/>
      <c r="AE53" s="31" t="inlineStr">
        <is>
          <t>Neutral Elo baseline; executable ask 0.4700 (aec-lol-piv-bam-2026-07-21).</t>
        </is>
      </c>
      <c r="AF53" s="31" t="inlineStr">
        <is>
          <t>Research baseline; zero-unit shadow until qualified.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model_qualified</t>
        </is>
      </c>
      <c r="AL53" s="26" t="n">
        <v>3</v>
      </c>
      <c r="AM53" s="24" t="inlineStr">
        <is>
          <t>QUALIFIED_SHADOW_CALL</t>
        </is>
      </c>
      <c r="AN53" s="24" t="inlineStr">
        <is>
          <t>CALL</t>
        </is>
      </c>
      <c r="AO53" s="24" t="inlineStr">
        <is>
          <t>QUALIFIED</t>
        </is>
      </c>
      <c r="AP53" s="24" t="inlineStr">
        <is>
          <t>Baam Esports</t>
        </is>
      </c>
      <c r="AQ53" s="24" t="inlineStr">
        <is>
          <t>Baam Esports</t>
        </is>
      </c>
      <c r="AR53" s="24" t="inlineStr">
        <is>
          <t>Baam Esports</t>
        </is>
      </c>
      <c r="AS53" s="24" t="inlineStr">
        <is>
          <t>Pyramid IV Esports</t>
        </is>
      </c>
      <c r="AT53" s="24" t="inlineStr">
        <is>
          <t>Pyramid IV Esports</t>
        </is>
      </c>
      <c r="AU53" s="24" t="inlineStr">
        <is>
          <t>Pyramid IV Esports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82612f1b27d5065af8d70fd6669509ff00dc1c7e3a91bb423192bf3b0a9736ce</t>
        </is>
      </c>
      <c r="BB53" s="24" t="inlineStr">
        <is>
          <t>neutral_elo</t>
        </is>
      </c>
      <c r="BC53" s="24" t="inlineStr">
        <is>
          <t>lol-neutral-series-elo-v1</t>
        </is>
      </c>
      <c r="BD53" s="24" t="inlineStr">
        <is>
          <t>82612f1b27d5065af8d70fd6669509ff00dc1c7e3a91bb423192bf3b0a9736ce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unknown</t>
        </is>
      </c>
      <c r="BH53" s="24" t="inlineStr">
        <is>
          <t>2026-07-21T03:21:23.924434Z</t>
        </is>
      </c>
      <c r="BI53" s="24" t="inlineStr">
        <is>
          <t>["same_event","same_team_same_day","same_league_same_day"]</t>
        </is>
      </c>
      <c r="BJ53" s="38" t="n"/>
      <c r="BK53" s="26" t="n">
        <v>113</v>
      </c>
      <c r="BL53" s="39" t="n">
        <v>2.13</v>
      </c>
      <c r="BM53" s="28" t="n">
        <v>0.469484</v>
      </c>
      <c r="BN53" s="28" t="n"/>
      <c r="BO53" s="28" t="n"/>
      <c r="BP53" s="38" t="n"/>
      <c r="BQ53" s="39" t="n"/>
      <c r="BR53" s="28" t="n"/>
      <c r="BS53" s="28" t="n"/>
      <c r="BT53" s="28" t="n"/>
      <c r="BU53" s="38" t="n"/>
      <c r="BV53" s="29" t="n"/>
      <c r="BW53" s="24" t="n"/>
      <c r="BX53" s="40" t="n"/>
      <c r="BY53" s="39" t="n"/>
      <c r="BZ53" s="24" t="n"/>
      <c r="CA53" s="31" t="n"/>
    </row>
    <row r="54" ht="36" customHeight="1">
      <c r="A54" s="24" t="inlineStr">
        <is>
          <t>d2a35f448244400a</t>
        </is>
      </c>
      <c r="B54" s="24" t="inlineStr">
        <is>
          <t>2026-07-21T03:21:24.180904Z</t>
        </is>
      </c>
      <c r="C54" s="24" t="inlineStr">
        <is>
          <t>2026-07-21T19:00:00Z</t>
        </is>
      </c>
      <c r="D54" s="24" t="inlineStr">
        <is>
          <t>56856</t>
        </is>
      </c>
      <c r="E54" s="24" t="inlineStr">
        <is>
          <t>LOL</t>
        </is>
      </c>
      <c r="F54" s="24" t="inlineStr">
        <is>
          <t>Joblife</t>
        </is>
      </c>
      <c r="G54" s="24" t="inlineStr">
        <is>
          <t>Galions</t>
        </is>
      </c>
      <c r="H54" s="24" t="inlineStr">
        <is>
          <t>moneyline</t>
        </is>
      </c>
      <c r="I54" s="24" t="inlineStr">
        <is>
          <t>home</t>
        </is>
      </c>
      <c r="J54" s="38" t="n"/>
      <c r="K54" s="24" t="inlineStr">
        <is>
          <t>polymarket_us</t>
        </is>
      </c>
      <c r="L54" s="26" t="n">
        <v>-194</v>
      </c>
      <c r="M54" s="39" t="n">
        <v>1.515464</v>
      </c>
      <c r="N54" s="28" t="n">
        <v>0.659864</v>
      </c>
      <c r="O54" s="28" t="n">
        <v>0.748054</v>
      </c>
      <c r="P54" s="28" t="n"/>
      <c r="Q54" s="28" t="n">
        <v>0.08805399999999999</v>
      </c>
      <c r="R54" s="26" t="n">
        <v>88</v>
      </c>
      <c r="S54" s="29" t="n">
        <v>2</v>
      </c>
      <c r="T54" s="24" t="inlineStr">
        <is>
          <t>lol-neutral-series-elo-v1</t>
        </is>
      </c>
      <c r="U54" s="24" t="inlineStr">
        <is>
          <t>open</t>
        </is>
      </c>
      <c r="V54" s="24" t="n"/>
      <c r="W54" s="26" t="n"/>
      <c r="X54" s="26" t="n"/>
      <c r="Y54" s="38" t="n"/>
      <c r="Z54" s="26" t="n"/>
      <c r="AA54" s="28" t="n"/>
      <c r="AB54" s="28" t="n"/>
      <c r="AC54" s="40" t="n"/>
      <c r="AD54" s="24" t="n"/>
      <c r="AE54" s="31" t="inlineStr">
        <is>
          <t>Neutral Elo baseline; executable ask 0.6600 (aec-lol-gal-jl-2026-07-21).</t>
        </is>
      </c>
      <c r="AF54" s="31" t="inlineStr">
        <is>
          <t>Research baseline; zero-unit shadow until qualified.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model_qualified</t>
        </is>
      </c>
      <c r="AL54" s="26" t="n">
        <v>3</v>
      </c>
      <c r="AM54" s="24" t="inlineStr">
        <is>
          <t>QUALIFIED_SHADOW_CALL</t>
        </is>
      </c>
      <c r="AN54" s="24" t="inlineStr">
        <is>
          <t>CALL</t>
        </is>
      </c>
      <c r="AO54" s="24" t="inlineStr">
        <is>
          <t>QUALIFIED</t>
        </is>
      </c>
      <c r="AP54" s="24" t="inlineStr">
        <is>
          <t>Joblife</t>
        </is>
      </c>
      <c r="AQ54" s="24" t="inlineStr">
        <is>
          <t>Joblife</t>
        </is>
      </c>
      <c r="AR54" s="24" t="inlineStr">
        <is>
          <t>Joblife</t>
        </is>
      </c>
      <c r="AS54" s="24" t="inlineStr">
        <is>
          <t>Galions</t>
        </is>
      </c>
      <c r="AT54" s="24" t="inlineStr">
        <is>
          <t>Galions</t>
        </is>
      </c>
      <c r="AU54" s="24" t="inlineStr">
        <is>
          <t>Galions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82612f1b27d5065af8d70fd6669509ff00dc1c7e3a91bb423192bf3b0a9736ce</t>
        </is>
      </c>
      <c r="BB54" s="24" t="inlineStr">
        <is>
          <t>neutral_elo</t>
        </is>
      </c>
      <c r="BC54" s="24" t="inlineStr">
        <is>
          <t>lol-neutral-series-elo-v1</t>
        </is>
      </c>
      <c r="BD54" s="24" t="inlineStr">
        <is>
          <t>82612f1b27d5065af8d70fd6669509ff00dc1c7e3a91bb423192bf3b0a9736ce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unknown</t>
        </is>
      </c>
      <c r="BH54" s="24" t="inlineStr">
        <is>
          <t>2026-07-21T03:21:24.180904Z</t>
        </is>
      </c>
      <c r="BI54" s="24" t="inlineStr">
        <is>
          <t>["same_event","same_team_same_day","same_league_same_day"]</t>
        </is>
      </c>
      <c r="BJ54" s="38" t="n"/>
      <c r="BK54" s="26" t="n">
        <v>-194</v>
      </c>
      <c r="BL54" s="39" t="n">
        <v>1.515464</v>
      </c>
      <c r="BM54" s="28" t="n">
        <v>0.659864</v>
      </c>
      <c r="BN54" s="28" t="n"/>
      <c r="BO54" s="28" t="n"/>
      <c r="BP54" s="38" t="n"/>
      <c r="BQ54" s="39" t="n"/>
      <c r="BR54" s="28" t="n"/>
      <c r="BS54" s="28" t="n"/>
      <c r="BT54" s="28" t="n"/>
      <c r="BU54" s="38" t="n"/>
      <c r="BV54" s="29" t="n"/>
      <c r="BW54" s="24" t="n"/>
      <c r="BX54" s="40" t="n"/>
      <c r="BY54" s="39" t="n"/>
      <c r="BZ54" s="24" t="n"/>
      <c r="CA54" s="31" t="n"/>
    </row>
    <row r="55" ht="36" customHeight="1">
      <c r="A55" s="24" t="inlineStr">
        <is>
          <t>8de05129364d4fdc</t>
        </is>
      </c>
      <c r="B55" s="24" t="inlineStr">
        <is>
          <t>2026-07-21T03:21:24.442694Z</t>
        </is>
      </c>
      <c r="C55" s="24" t="inlineStr">
        <is>
          <t>2026-07-21T21:00:00Z</t>
        </is>
      </c>
      <c r="D55" s="24" t="inlineStr">
        <is>
          <t>55205</t>
        </is>
      </c>
      <c r="E55" s="24" t="inlineStr">
        <is>
          <t>LOL</t>
        </is>
      </c>
      <c r="F55" s="24" t="inlineStr">
        <is>
          <t>RMD Gaming</t>
        </is>
      </c>
      <c r="G55" s="24" t="inlineStr">
        <is>
          <t>paiN Gaming Academy</t>
        </is>
      </c>
      <c r="H55" s="24" t="inlineStr">
        <is>
          <t>moneyline</t>
        </is>
      </c>
      <c r="I55" s="24" t="inlineStr">
        <is>
          <t>home</t>
        </is>
      </c>
      <c r="J55" s="38" t="n"/>
      <c r="K55" s="24" t="inlineStr">
        <is>
          <t>polymarket_us</t>
        </is>
      </c>
      <c r="L55" s="26" t="n">
        <v>-203</v>
      </c>
      <c r="M55" s="39" t="n">
        <v>1.492611</v>
      </c>
      <c r="N55" s="28" t="n">
        <v>0.669967</v>
      </c>
      <c r="O55" s="28" t="n">
        <v>0.731785</v>
      </c>
      <c r="P55" s="28" t="n"/>
      <c r="Q55" s="28" t="n">
        <v>0.061785</v>
      </c>
      <c r="R55" s="26" t="n">
        <v>61</v>
      </c>
      <c r="S55" s="29" t="n">
        <v>2</v>
      </c>
      <c r="T55" s="24" t="inlineStr">
        <is>
          <t>lol-neutral-series-elo-v1</t>
        </is>
      </c>
      <c r="U55" s="24" t="inlineStr">
        <is>
          <t>open</t>
        </is>
      </c>
      <c r="V55" s="24" t="n"/>
      <c r="W55" s="26" t="n"/>
      <c r="X55" s="26" t="n"/>
      <c r="Y55" s="38" t="n"/>
      <c r="Z55" s="26" t="n"/>
      <c r="AA55" s="28" t="n"/>
      <c r="AB55" s="28" t="n"/>
      <c r="AC55" s="40" t="n"/>
      <c r="AD55" s="24" t="n"/>
      <c r="AE55" s="31" t="inlineStr">
        <is>
          <t>Neutral Elo baseline; executable ask 0.6700 (aec-lol-pnga-rmd-2026-07-21).</t>
        </is>
      </c>
      <c r="AF55" s="31" t="inlineStr">
        <is>
          <t>Research baseline; zero-unit shadow until qualified.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model_qualified</t>
        </is>
      </c>
      <c r="AL55" s="26" t="n">
        <v>3</v>
      </c>
      <c r="AM55" s="24" t="inlineStr">
        <is>
          <t>QUALIFIED_SHADOW_CALL</t>
        </is>
      </c>
      <c r="AN55" s="24" t="inlineStr">
        <is>
          <t>CALL</t>
        </is>
      </c>
      <c r="AO55" s="24" t="inlineStr">
        <is>
          <t>QUALIFIED</t>
        </is>
      </c>
      <c r="AP55" s="24" t="inlineStr">
        <is>
          <t>RMD Gaming</t>
        </is>
      </c>
      <c r="AQ55" s="24" t="inlineStr">
        <is>
          <t>RMD Gaming</t>
        </is>
      </c>
      <c r="AR55" s="24" t="inlineStr">
        <is>
          <t>RMD Gaming</t>
        </is>
      </c>
      <c r="AS55" s="24" t="inlineStr">
        <is>
          <t>paiN Gaming Academy</t>
        </is>
      </c>
      <c r="AT55" s="24" t="inlineStr">
        <is>
          <t>paiN Gaming Academy</t>
        </is>
      </c>
      <c r="AU55" s="24" t="inlineStr">
        <is>
          <t>paiN Gaming Academy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82612f1b27d5065af8d70fd6669509ff00dc1c7e3a91bb423192bf3b0a9736ce</t>
        </is>
      </c>
      <c r="BB55" s="24" t="inlineStr">
        <is>
          <t>neutral_elo</t>
        </is>
      </c>
      <c r="BC55" s="24" t="inlineStr">
        <is>
          <t>lol-neutral-series-elo-v1</t>
        </is>
      </c>
      <c r="BD55" s="24" t="inlineStr">
        <is>
          <t>82612f1b27d5065af8d70fd6669509ff00dc1c7e3a91bb423192bf3b0a9736ce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unknown</t>
        </is>
      </c>
      <c r="BH55" s="24" t="inlineStr">
        <is>
          <t>2026-07-21T03:21:24.442694Z</t>
        </is>
      </c>
      <c r="BI55" s="24" t="inlineStr">
        <is>
          <t>["same_event","same_team_same_day","same_league_same_day"]</t>
        </is>
      </c>
      <c r="BJ55" s="38" t="n"/>
      <c r="BK55" s="26" t="n">
        <v>-203</v>
      </c>
      <c r="BL55" s="39" t="n">
        <v>1.492611</v>
      </c>
      <c r="BM55" s="28" t="n">
        <v>0.669967</v>
      </c>
      <c r="BN55" s="28" t="n"/>
      <c r="BO55" s="28" t="n"/>
      <c r="BP55" s="38" t="n"/>
      <c r="BQ55" s="39" t="n"/>
      <c r="BR55" s="28" t="n"/>
      <c r="BS55" s="28" t="n"/>
      <c r="BT55" s="28" t="n"/>
      <c r="BU55" s="38" t="n"/>
      <c r="BV55" s="29" t="n"/>
      <c r="BW55" s="24" t="n"/>
      <c r="BX55" s="40" t="n"/>
      <c r="BY55" s="39" t="n"/>
      <c r="BZ55" s="24" t="n"/>
      <c r="CA55" s="31" t="n"/>
    </row>
    <row r="56" ht="36" customHeight="1">
      <c r="A56" s="24" t="inlineStr">
        <is>
          <t>46820ba6ae0949a3</t>
        </is>
      </c>
      <c r="B56" s="24" t="inlineStr">
        <is>
          <t>2026-07-21T03:21:24.705162Z</t>
        </is>
      </c>
      <c r="C56" s="24" t="inlineStr">
        <is>
          <t>2026-07-21T22:00:00Z</t>
        </is>
      </c>
      <c r="D56" s="24" t="inlineStr">
        <is>
          <t>55206</t>
        </is>
      </c>
      <c r="E56" s="24" t="inlineStr">
        <is>
          <t>LOL</t>
        </is>
      </c>
      <c r="F56" s="24" t="inlineStr">
        <is>
          <t>Estral Esports</t>
        </is>
      </c>
      <c r="G56" s="24" t="inlineStr">
        <is>
          <t>KaBuM! Ilha das Lendas</t>
        </is>
      </c>
      <c r="H56" s="24" t="inlineStr">
        <is>
          <t>moneyline</t>
        </is>
      </c>
      <c r="I56" s="24" t="inlineStr">
        <is>
          <t>home</t>
        </is>
      </c>
      <c r="J56" s="38" t="n"/>
      <c r="K56" s="24" t="inlineStr">
        <is>
          <t>polymarket_us</t>
        </is>
      </c>
      <c r="L56" s="26" t="n">
        <v>163</v>
      </c>
      <c r="M56" s="39" t="n">
        <v>2.63</v>
      </c>
      <c r="N56" s="28" t="n">
        <v>0.380228</v>
      </c>
      <c r="O56" s="28" t="n">
        <v>0.59232</v>
      </c>
      <c r="P56" s="28" t="n"/>
      <c r="Q56" s="28" t="n">
        <v>0.21232</v>
      </c>
      <c r="R56" s="26" t="n">
        <v>100</v>
      </c>
      <c r="S56" s="29" t="n">
        <v>1.5</v>
      </c>
      <c r="T56" s="24" t="inlineStr">
        <is>
          <t>lol-neutral-series-elo-v1</t>
        </is>
      </c>
      <c r="U56" s="24" t="inlineStr">
        <is>
          <t>open</t>
        </is>
      </c>
      <c r="V56" s="24" t="n"/>
      <c r="W56" s="26" t="n"/>
      <c r="X56" s="26" t="n"/>
      <c r="Y56" s="38" t="n"/>
      <c r="Z56" s="26" t="n"/>
      <c r="AA56" s="28" t="n"/>
      <c r="AB56" s="28" t="n"/>
      <c r="AC56" s="40" t="n"/>
      <c r="AD56" s="24" t="n"/>
      <c r="AE56" s="31" t="inlineStr">
        <is>
          <t>Neutral Elo baseline; executable ask 0.3800 (aec-lol-kbm-est-2026-07-21).</t>
        </is>
      </c>
      <c r="AF56" s="31" t="inlineStr">
        <is>
          <t>Research baseline; zero-unit shadow until qualified.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model_qualified</t>
        </is>
      </c>
      <c r="AL56" s="26" t="n">
        <v>3</v>
      </c>
      <c r="AM56" s="24" t="inlineStr">
        <is>
          <t>QUALIFIED_SHADOW_CALL</t>
        </is>
      </c>
      <c r="AN56" s="24" t="inlineStr">
        <is>
          <t>CALL</t>
        </is>
      </c>
      <c r="AO56" s="24" t="inlineStr">
        <is>
          <t>QUALIFIED</t>
        </is>
      </c>
      <c r="AP56" s="24" t="inlineStr">
        <is>
          <t>Estral Esports</t>
        </is>
      </c>
      <c r="AQ56" s="24" t="inlineStr">
        <is>
          <t>Estral Esports</t>
        </is>
      </c>
      <c r="AR56" s="24" t="inlineStr">
        <is>
          <t>Estral Esports</t>
        </is>
      </c>
      <c r="AS56" s="24" t="inlineStr">
        <is>
          <t>KaBuM! Ilha das Lendas</t>
        </is>
      </c>
      <c r="AT56" s="24" t="inlineStr">
        <is>
          <t>KaBuM! Ilha das Lendas</t>
        </is>
      </c>
      <c r="AU56" s="24" t="inlineStr">
        <is>
          <t>KaBuM! Ilha das Lendas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82612f1b27d5065af8d70fd6669509ff00dc1c7e3a91bb423192bf3b0a9736ce</t>
        </is>
      </c>
      <c r="BB56" s="24" t="inlineStr">
        <is>
          <t>neutral_elo</t>
        </is>
      </c>
      <c r="BC56" s="24" t="inlineStr">
        <is>
          <t>lol-neutral-series-elo-v1</t>
        </is>
      </c>
      <c r="BD56" s="24" t="inlineStr">
        <is>
          <t>82612f1b27d5065af8d70fd6669509ff00dc1c7e3a91bb423192bf3b0a9736ce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unknown</t>
        </is>
      </c>
      <c r="BH56" s="24" t="inlineStr">
        <is>
          <t>2026-07-21T03:21:24.705162Z</t>
        </is>
      </c>
      <c r="BI56" s="24" t="inlineStr">
        <is>
          <t>["same_event","same_team_same_day","same_league_same_day"]</t>
        </is>
      </c>
      <c r="BJ56" s="38" t="n"/>
      <c r="BK56" s="26" t="n">
        <v>163</v>
      </c>
      <c r="BL56" s="39" t="n">
        <v>2.63</v>
      </c>
      <c r="BM56" s="28" t="n">
        <v>0.380228</v>
      </c>
      <c r="BN56" s="28" t="n"/>
      <c r="BO56" s="28" t="n"/>
      <c r="BP56" s="38" t="n"/>
      <c r="BQ56" s="39" t="n"/>
      <c r="BR56" s="28" t="n"/>
      <c r="BS56" s="28" t="n"/>
      <c r="BT56" s="28" t="n"/>
      <c r="BU56" s="38" t="n"/>
      <c r="BV56" s="29" t="n"/>
      <c r="BW56" s="24" t="n"/>
      <c r="BX56" s="40" t="n"/>
      <c r="BY56" s="39" t="n"/>
      <c r="BZ56" s="24" t="n"/>
      <c r="CA56" s="31" t="n"/>
    </row>
    <row r="57" ht="36" customHeight="1">
      <c r="A57" s="24" t="inlineStr">
        <is>
          <t>cf3246af1f474a60</t>
        </is>
      </c>
      <c r="B57" s="24" t="inlineStr">
        <is>
          <t>2026-07-21T03:21:24.968970Z</t>
        </is>
      </c>
      <c r="C57" s="24" t="inlineStr">
        <is>
          <t>2026-07-22T00:00:00Z</t>
        </is>
      </c>
      <c r="D57" s="24" t="inlineStr">
        <is>
          <t>55211</t>
        </is>
      </c>
      <c r="E57" s="24" t="inlineStr">
        <is>
          <t>LOL</t>
        </is>
      </c>
      <c r="F57" s="24" t="inlineStr">
        <is>
          <t>7REX</t>
        </is>
      </c>
      <c r="G57" s="24" t="inlineStr">
        <is>
          <t>Vivo Keyd Stars Academy</t>
        </is>
      </c>
      <c r="H57" s="24" t="inlineStr">
        <is>
          <t>moneyline</t>
        </is>
      </c>
      <c r="I57" s="24" t="inlineStr">
        <is>
          <t>home</t>
        </is>
      </c>
      <c r="J57" s="38" t="n"/>
      <c r="K57" s="24" t="inlineStr">
        <is>
          <t>polymarket_us</t>
        </is>
      </c>
      <c r="L57" s="26" t="n">
        <v>-213</v>
      </c>
      <c r="M57" s="39" t="n">
        <v>1.469484</v>
      </c>
      <c r="N57" s="28" t="n">
        <v>0.680511</v>
      </c>
      <c r="O57" s="28" t="n">
        <v>0.704201</v>
      </c>
      <c r="P57" s="28" t="n"/>
      <c r="Q57" s="28" t="n">
        <v>0.024201</v>
      </c>
      <c r="R57" s="26" t="n">
        <v>24</v>
      </c>
      <c r="S57" s="29" t="n">
        <v>2</v>
      </c>
      <c r="T57" s="24" t="inlineStr">
        <is>
          <t>lol-neutral-series-elo-v1</t>
        </is>
      </c>
      <c r="U57" s="24" t="inlineStr">
        <is>
          <t>open</t>
        </is>
      </c>
      <c r="V57" s="24" t="n"/>
      <c r="W57" s="26" t="n"/>
      <c r="X57" s="26" t="n"/>
      <c r="Y57" s="38" t="n"/>
      <c r="Z57" s="26" t="n"/>
      <c r="AA57" s="28" t="n"/>
      <c r="AB57" s="28" t="n"/>
      <c r="AC57" s="40" t="n"/>
      <c r="AD57" s="24" t="n"/>
      <c r="AE57" s="31" t="inlineStr">
        <is>
          <t>Neutral Elo baseline; executable ask 0.6800 (aec-lol-vksa-7rex-2026-07-22).</t>
        </is>
      </c>
      <c r="AF57" s="31" t="inlineStr">
        <is>
          <t>Research baseline; zero-unit shadow until qualified.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model_qualified</t>
        </is>
      </c>
      <c r="AL57" s="26" t="n">
        <v>3</v>
      </c>
      <c r="AM57" s="24" t="inlineStr">
        <is>
          <t>QUALIFIED_SHADOW_CALL</t>
        </is>
      </c>
      <c r="AN57" s="24" t="inlineStr">
        <is>
          <t>CALL</t>
        </is>
      </c>
      <c r="AO57" s="24" t="inlineStr">
        <is>
          <t>QUALIFIED</t>
        </is>
      </c>
      <c r="AP57" s="24" t="inlineStr">
        <is>
          <t>7REX</t>
        </is>
      </c>
      <c r="AQ57" s="24" t="inlineStr">
        <is>
          <t>7REX</t>
        </is>
      </c>
      <c r="AR57" s="24" t="inlineStr">
        <is>
          <t>7REX</t>
        </is>
      </c>
      <c r="AS57" s="24" t="inlineStr">
        <is>
          <t>Vivo Keyd Stars Academy</t>
        </is>
      </c>
      <c r="AT57" s="24" t="inlineStr">
        <is>
          <t>Vivo Keyd Stars Academy</t>
        </is>
      </c>
      <c r="AU57" s="24" t="inlineStr">
        <is>
          <t>Vivo Keyd Stars Academy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82612f1b27d5065af8d70fd6669509ff00dc1c7e3a91bb423192bf3b0a9736ce</t>
        </is>
      </c>
      <c r="BB57" s="24" t="inlineStr">
        <is>
          <t>neutral_elo</t>
        </is>
      </c>
      <c r="BC57" s="24" t="inlineStr">
        <is>
          <t>lol-neutral-series-elo-v1</t>
        </is>
      </c>
      <c r="BD57" s="24" t="inlineStr">
        <is>
          <t>82612f1b27d5065af8d70fd6669509ff00dc1c7e3a91bb423192bf3b0a9736ce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unknown</t>
        </is>
      </c>
      <c r="BH57" s="24" t="inlineStr">
        <is>
          <t>2026-07-21T03:21:24.968970Z</t>
        </is>
      </c>
      <c r="BI57" s="24" t="inlineStr">
        <is>
          <t>["same_event","same_team_same_day","same_league_same_day"]</t>
        </is>
      </c>
      <c r="BJ57" s="38" t="n"/>
      <c r="BK57" s="26" t="n">
        <v>-213</v>
      </c>
      <c r="BL57" s="39" t="n">
        <v>1.469484</v>
      </c>
      <c r="BM57" s="28" t="n">
        <v>0.680511</v>
      </c>
      <c r="BN57" s="28" t="n"/>
      <c r="BO57" s="28" t="n"/>
      <c r="BP57" s="38" t="n"/>
      <c r="BQ57" s="39" t="n"/>
      <c r="BR57" s="28" t="n"/>
      <c r="BS57" s="28" t="n"/>
      <c r="BT57" s="28" t="n"/>
      <c r="BU57" s="38" t="n"/>
      <c r="BV57" s="29" t="n"/>
      <c r="BW57" s="24" t="n"/>
      <c r="BX57" s="40" t="n"/>
      <c r="BY57" s="39" t="n"/>
      <c r="BZ57" s="24" t="n"/>
      <c r="CA57" s="31" t="n"/>
    </row>
    <row r="58" ht="36" customHeight="1">
      <c r="A58" s="24" t="inlineStr">
        <is>
          <t>046d3fd9c78e4d72</t>
        </is>
      </c>
      <c r="B58" s="24" t="inlineStr">
        <is>
          <t>2026-07-21T03:22:24.834802Z</t>
        </is>
      </c>
      <c r="C58" s="24" t="inlineStr">
        <is>
          <t>2026-07-21T08:00:00Z</t>
        </is>
      </c>
      <c r="D58" s="24" t="inlineStr">
        <is>
          <t>56863</t>
        </is>
      </c>
      <c r="E58" s="24" t="inlineStr">
        <is>
          <t>CS2</t>
        </is>
      </c>
      <c r="F58" s="24" t="inlineStr">
        <is>
          <t>eternal premium</t>
        </is>
      </c>
      <c r="G58" s="24" t="inlineStr">
        <is>
          <t>Mai Tai</t>
        </is>
      </c>
      <c r="H58" s="24" t="inlineStr">
        <is>
          <t>moneyline</t>
        </is>
      </c>
      <c r="I58" s="24" t="inlineStr">
        <is>
          <t>away</t>
        </is>
      </c>
      <c r="J58" s="38" t="n"/>
      <c r="K58" s="24" t="inlineStr">
        <is>
          <t>polymarket_us</t>
        </is>
      </c>
      <c r="L58" s="26" t="n">
        <v>156</v>
      </c>
      <c r="M58" s="39" t="n">
        <v>2.56</v>
      </c>
      <c r="N58" s="28" t="n">
        <v>0.390625</v>
      </c>
      <c r="O58" s="28" t="n">
        <v>0.64963</v>
      </c>
      <c r="P58" s="28" t="n"/>
      <c r="Q58" s="28" t="n">
        <v>0.25963</v>
      </c>
      <c r="R58" s="26" t="n">
        <v>100</v>
      </c>
      <c r="S58" s="29" t="n">
        <v>2</v>
      </c>
      <c r="T58" s="24" t="inlineStr">
        <is>
          <t>cs2-neutral-series-elo-v1</t>
        </is>
      </c>
      <c r="U58" s="24" t="inlineStr">
        <is>
          <t>open</t>
        </is>
      </c>
      <c r="V58" s="24" t="n"/>
      <c r="W58" s="26" t="n"/>
      <c r="X58" s="26" t="n"/>
      <c r="Y58" s="38" t="n"/>
      <c r="Z58" s="26" t="n"/>
      <c r="AA58" s="28" t="n"/>
      <c r="AB58" s="28" t="n"/>
      <c r="AC58" s="40" t="n"/>
      <c r="AD58" s="24" t="n"/>
      <c r="AE58" s="31" t="inlineStr">
        <is>
          <t>Neutral Elo baseline; executable ask 0.3900 (aec-cs2-mta-ep-2026-07-21).</t>
        </is>
      </c>
      <c r="AF58" s="31" t="inlineStr">
        <is>
          <t>Research baseline; zero-unit shadow until qualified.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model_qualified</t>
        </is>
      </c>
      <c r="AL58" s="26" t="n">
        <v>3</v>
      </c>
      <c r="AM58" s="24" t="inlineStr">
        <is>
          <t>QUALIFIED_SHADOW_CALL</t>
        </is>
      </c>
      <c r="AN58" s="24" t="inlineStr">
        <is>
          <t>CALL</t>
        </is>
      </c>
      <c r="AO58" s="24" t="inlineStr">
        <is>
          <t>QUALIFIED</t>
        </is>
      </c>
      <c r="AP58" s="24" t="inlineStr">
        <is>
          <t>eternal premium</t>
        </is>
      </c>
      <c r="AQ58" s="24" t="inlineStr">
        <is>
          <t>eternal premium</t>
        </is>
      </c>
      <c r="AR58" s="24" t="inlineStr">
        <is>
          <t>eternal premium</t>
        </is>
      </c>
      <c r="AS58" s="24" t="inlineStr">
        <is>
          <t>Mai Tai</t>
        </is>
      </c>
      <c r="AT58" s="24" t="inlineStr">
        <is>
          <t>Mai Tai</t>
        </is>
      </c>
      <c r="AU58" s="24" t="inlineStr">
        <is>
          <t>Mai Tai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9dbde86ab8062ac73a51c94b0ad431573ac8b755ccd742d86794849a749958c7</t>
        </is>
      </c>
      <c r="BB58" s="24" t="inlineStr">
        <is>
          <t>neutral_elo</t>
        </is>
      </c>
      <c r="BC58" s="24" t="inlineStr">
        <is>
          <t>cs2-neutral-series-elo-v1</t>
        </is>
      </c>
      <c r="BD58" s="24" t="inlineStr">
        <is>
          <t>9dbde86ab8062ac73a51c94b0ad431573ac8b755ccd742d86794849a749958c7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unknown</t>
        </is>
      </c>
      <c r="BH58" s="24" t="inlineStr">
        <is>
          <t>2026-07-21T03:22:24.834802Z</t>
        </is>
      </c>
      <c r="BI58" s="24" t="inlineStr">
        <is>
          <t>["same_event","same_team_same_day","same_league_same_day"]</t>
        </is>
      </c>
      <c r="BJ58" s="38" t="n"/>
      <c r="BK58" s="26" t="n">
        <v>156</v>
      </c>
      <c r="BL58" s="39" t="n">
        <v>2.56</v>
      </c>
      <c r="BM58" s="28" t="n">
        <v>0.390625</v>
      </c>
      <c r="BN58" s="28" t="n"/>
      <c r="BO58" s="28" t="n"/>
      <c r="BP58" s="38" t="n"/>
      <c r="BQ58" s="39" t="n"/>
      <c r="BR58" s="28" t="n"/>
      <c r="BS58" s="28" t="n"/>
      <c r="BT58" s="28" t="n"/>
      <c r="BU58" s="38" t="n"/>
      <c r="BV58" s="29" t="n"/>
      <c r="BW58" s="24" t="n"/>
      <c r="BX58" s="40" t="n"/>
      <c r="BY58" s="39" t="n"/>
      <c r="BZ58" s="24" t="n"/>
      <c r="CA58" s="31" t="n"/>
    </row>
    <row r="59" ht="36" customHeight="1">
      <c r="A59" s="24" t="inlineStr">
        <is>
          <t>fc787994a82c4b99</t>
        </is>
      </c>
      <c r="B59" s="24" t="inlineStr">
        <is>
          <t>2026-07-21T03:22:25.111853Z</t>
        </is>
      </c>
      <c r="C59" s="24" t="inlineStr">
        <is>
          <t>2026-07-21T08:00:00Z</t>
        </is>
      </c>
      <c r="D59" s="24" t="inlineStr">
        <is>
          <t>57522</t>
        </is>
      </c>
      <c r="E59" s="24" t="inlineStr">
        <is>
          <t>CS2</t>
        </is>
      </c>
      <c r="F59" s="24" t="inlineStr">
        <is>
          <t>G2 Ares</t>
        </is>
      </c>
      <c r="G59" s="24" t="inlineStr">
        <is>
          <t>CYBERSHOKE Prospects</t>
        </is>
      </c>
      <c r="H59" s="24" t="inlineStr">
        <is>
          <t>moneyline</t>
        </is>
      </c>
      <c r="I59" s="24" t="inlineStr">
        <is>
          <t>home</t>
        </is>
      </c>
      <c r="J59" s="38" t="n"/>
      <c r="K59" s="24" t="inlineStr">
        <is>
          <t>polymarket_us</t>
        </is>
      </c>
      <c r="L59" s="26" t="n">
        <v>113</v>
      </c>
      <c r="M59" s="39" t="n">
        <v>2.13</v>
      </c>
      <c r="N59" s="28" t="n">
        <v>0.469484</v>
      </c>
      <c r="O59" s="28" t="n">
        <v>0.651424</v>
      </c>
      <c r="P59" s="28" t="n"/>
      <c r="Q59" s="28" t="n">
        <v>0.181424</v>
      </c>
      <c r="R59" s="26" t="n">
        <v>100</v>
      </c>
      <c r="S59" s="29" t="n">
        <v>2</v>
      </c>
      <c r="T59" s="24" t="inlineStr">
        <is>
          <t>cs2-neutral-series-elo-v1</t>
        </is>
      </c>
      <c r="U59" s="24" t="inlineStr">
        <is>
          <t>open</t>
        </is>
      </c>
      <c r="V59" s="24" t="n"/>
      <c r="W59" s="26" t="n"/>
      <c r="X59" s="26" t="n"/>
      <c r="Y59" s="38" t="n"/>
      <c r="Z59" s="26" t="n"/>
      <c r="AA59" s="28" t="n"/>
      <c r="AB59" s="28" t="n"/>
      <c r="AC59" s="40" t="n"/>
      <c r="AD59" s="24" t="n"/>
      <c r="AE59" s="31" t="inlineStr">
        <is>
          <t>Neutral Elo baseline; executable ask 0.4700 (aec-cs2-cshp-g2a-2026-07-21).</t>
        </is>
      </c>
      <c r="AF59" s="31" t="inlineStr">
        <is>
          <t>Research baseline; zero-unit shadow until qualified.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model_qualified</t>
        </is>
      </c>
      <c r="AL59" s="26" t="n">
        <v>3</v>
      </c>
      <c r="AM59" s="24" t="inlineStr">
        <is>
          <t>QUALIFIED_SHADOW_CALL</t>
        </is>
      </c>
      <c r="AN59" s="24" t="inlineStr">
        <is>
          <t>CALL</t>
        </is>
      </c>
      <c r="AO59" s="24" t="inlineStr">
        <is>
          <t>QUALIFIED</t>
        </is>
      </c>
      <c r="AP59" s="24" t="inlineStr">
        <is>
          <t>G2 Ares</t>
        </is>
      </c>
      <c r="AQ59" s="24" t="inlineStr">
        <is>
          <t>G2 Ares</t>
        </is>
      </c>
      <c r="AR59" s="24" t="inlineStr">
        <is>
          <t>G2 Ares</t>
        </is>
      </c>
      <c r="AS59" s="24" t="inlineStr">
        <is>
          <t>CYBERSHOKE Prospects</t>
        </is>
      </c>
      <c r="AT59" s="24" t="inlineStr">
        <is>
          <t>CYBERSHOKE Prospects</t>
        </is>
      </c>
      <c r="AU59" s="24" t="inlineStr">
        <is>
          <t>CYBERSHOKE Prospects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9dbde86ab8062ac73a51c94b0ad431573ac8b755ccd742d86794849a749958c7</t>
        </is>
      </c>
      <c r="BB59" s="24" t="inlineStr">
        <is>
          <t>neutral_elo</t>
        </is>
      </c>
      <c r="BC59" s="24" t="inlineStr">
        <is>
          <t>cs2-neutral-series-elo-v1</t>
        </is>
      </c>
      <c r="BD59" s="24" t="inlineStr">
        <is>
          <t>9dbde86ab8062ac73a51c94b0ad431573ac8b755ccd742d86794849a749958c7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unknown</t>
        </is>
      </c>
      <c r="BH59" s="24" t="inlineStr">
        <is>
          <t>2026-07-21T03:22:25.111853Z</t>
        </is>
      </c>
      <c r="BI59" s="24" t="inlineStr">
        <is>
          <t>["same_event","same_team_same_day","same_league_same_day"]</t>
        </is>
      </c>
      <c r="BJ59" s="38" t="n"/>
      <c r="BK59" s="26" t="n">
        <v>113</v>
      </c>
      <c r="BL59" s="39" t="n">
        <v>2.13</v>
      </c>
      <c r="BM59" s="28" t="n">
        <v>0.469484</v>
      </c>
      <c r="BN59" s="28" t="n"/>
      <c r="BO59" s="28" t="n"/>
      <c r="BP59" s="38" t="n"/>
      <c r="BQ59" s="39" t="n"/>
      <c r="BR59" s="28" t="n"/>
      <c r="BS59" s="28" t="n"/>
      <c r="BT59" s="28" t="n"/>
      <c r="BU59" s="38" t="n"/>
      <c r="BV59" s="29" t="n"/>
      <c r="BW59" s="24" t="n"/>
      <c r="BX59" s="40" t="n"/>
      <c r="BY59" s="39" t="n"/>
      <c r="BZ59" s="24" t="n"/>
      <c r="CA59" s="31" t="n"/>
    </row>
    <row r="60" ht="36" customHeight="1">
      <c r="A60" s="24" t="inlineStr">
        <is>
          <t>4e51e760c7d547ec</t>
        </is>
      </c>
      <c r="B60" s="24" t="inlineStr">
        <is>
          <t>2026-07-21T03:22:25.393606Z</t>
        </is>
      </c>
      <c r="C60" s="24" t="inlineStr">
        <is>
          <t>2026-07-21T10:00:00Z</t>
        </is>
      </c>
      <c r="D60" s="24" t="inlineStr">
        <is>
          <t>54926</t>
        </is>
      </c>
      <c r="E60" s="24" t="inlineStr">
        <is>
          <t>CS2</t>
        </is>
      </c>
      <c r="F60" s="24" t="inlineStr">
        <is>
          <t>NIP</t>
        </is>
      </c>
      <c r="G60" s="24" t="inlineStr">
        <is>
          <t>M80</t>
        </is>
      </c>
      <c r="H60" s="24" t="inlineStr">
        <is>
          <t>moneyline</t>
        </is>
      </c>
      <c r="I60" s="24" t="inlineStr">
        <is>
          <t>home</t>
        </is>
      </c>
      <c r="J60" s="38" t="n"/>
      <c r="K60" s="24" t="inlineStr">
        <is>
          <t>polymarket_us</t>
        </is>
      </c>
      <c r="L60" s="26" t="n">
        <v>108</v>
      </c>
      <c r="M60" s="39" t="n">
        <v>2.08</v>
      </c>
      <c r="N60" s="28" t="n">
        <v>0.480769</v>
      </c>
      <c r="O60" s="28" t="n">
        <v>0.670551</v>
      </c>
      <c r="P60" s="28" t="n"/>
      <c r="Q60" s="28" t="n">
        <v>0.190551</v>
      </c>
      <c r="R60" s="26" t="n">
        <v>100</v>
      </c>
      <c r="S60" s="29" t="n">
        <v>2</v>
      </c>
      <c r="T60" s="24" t="inlineStr">
        <is>
          <t>cs2-neutral-series-elo-v1</t>
        </is>
      </c>
      <c r="U60" s="24" t="inlineStr">
        <is>
          <t>open</t>
        </is>
      </c>
      <c r="V60" s="24" t="n"/>
      <c r="W60" s="26" t="n"/>
      <c r="X60" s="26" t="n"/>
      <c r="Y60" s="38" t="n"/>
      <c r="Z60" s="26" t="n"/>
      <c r="AA60" s="28" t="n"/>
      <c r="AB60" s="28" t="n"/>
      <c r="AC60" s="40" t="n"/>
      <c r="AD60" s="24" t="n"/>
      <c r="AE60" s="31" t="inlineStr">
        <is>
          <t>Neutral Elo baseline; executable ask 0.4800 (aec-cs2-m80-nip-2026-07-21).</t>
        </is>
      </c>
      <c r="AF60" s="31" t="inlineStr">
        <is>
          <t>Research baseline; zero-unit shadow until qualified.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model_qualified</t>
        </is>
      </c>
      <c r="AL60" s="26" t="n">
        <v>3</v>
      </c>
      <c r="AM60" s="24" t="inlineStr">
        <is>
          <t>QUALIFIED_SHADOW_CALL</t>
        </is>
      </c>
      <c r="AN60" s="24" t="inlineStr">
        <is>
          <t>CALL</t>
        </is>
      </c>
      <c r="AO60" s="24" t="inlineStr">
        <is>
          <t>QUALIFIED</t>
        </is>
      </c>
      <c r="AP60" s="24" t="inlineStr">
        <is>
          <t>NIP</t>
        </is>
      </c>
      <c r="AQ60" s="24" t="inlineStr">
        <is>
          <t>NIP</t>
        </is>
      </c>
      <c r="AR60" s="24" t="inlineStr">
        <is>
          <t>NIP</t>
        </is>
      </c>
      <c r="AS60" s="24" t="inlineStr">
        <is>
          <t>M80</t>
        </is>
      </c>
      <c r="AT60" s="24" t="inlineStr">
        <is>
          <t>M80</t>
        </is>
      </c>
      <c r="AU60" s="24" t="inlineStr">
        <is>
          <t>M80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9dbde86ab8062ac73a51c94b0ad431573ac8b755ccd742d86794849a749958c7</t>
        </is>
      </c>
      <c r="BB60" s="24" t="inlineStr">
        <is>
          <t>neutral_elo</t>
        </is>
      </c>
      <c r="BC60" s="24" t="inlineStr">
        <is>
          <t>cs2-neutral-series-elo-v1</t>
        </is>
      </c>
      <c r="BD60" s="24" t="inlineStr">
        <is>
          <t>9dbde86ab8062ac73a51c94b0ad431573ac8b755ccd742d86794849a749958c7</t>
        </is>
      </c>
      <c r="BE60" s="24" t="inlineStr">
        <is>
          <t>1</t>
        </is>
      </c>
      <c r="BF60" s="24" t="inlineStr">
        <is>
          <t>1</t>
        </is>
      </c>
      <c r="BG60" s="24" t="inlineStr">
        <is>
          <t>unknown</t>
        </is>
      </c>
      <c r="BH60" s="24" t="inlineStr">
        <is>
          <t>2026-07-21T03:22:25.393606Z</t>
        </is>
      </c>
      <c r="BI60" s="24" t="inlineStr">
        <is>
          <t>["same_event","same_team_same_day","same_league_same_day"]</t>
        </is>
      </c>
      <c r="BJ60" s="38" t="n"/>
      <c r="BK60" s="26" t="n">
        <v>108</v>
      </c>
      <c r="BL60" s="39" t="n">
        <v>2.08</v>
      </c>
      <c r="BM60" s="28" t="n">
        <v>0.480769</v>
      </c>
      <c r="BN60" s="28" t="n"/>
      <c r="BO60" s="28" t="n"/>
      <c r="BP60" s="38" t="n"/>
      <c r="BQ60" s="39" t="n"/>
      <c r="BR60" s="28" t="n"/>
      <c r="BS60" s="28" t="n"/>
      <c r="BT60" s="28" t="n"/>
      <c r="BU60" s="38" t="n"/>
      <c r="BV60" s="29" t="n"/>
      <c r="BW60" s="24" t="n"/>
      <c r="BX60" s="40" t="n"/>
      <c r="BY60" s="39" t="n"/>
      <c r="BZ60" s="24" t="n"/>
      <c r="CA60" s="31" t="n"/>
    </row>
    <row r="61" ht="36" customHeight="1">
      <c r="A61" s="24" t="inlineStr">
        <is>
          <t>6d28b2d91c0e43cb</t>
        </is>
      </c>
      <c r="B61" s="24" t="inlineStr">
        <is>
          <t>2026-07-21T03:22:25.674986Z</t>
        </is>
      </c>
      <c r="C61" s="24" t="inlineStr">
        <is>
          <t>2026-07-21T10:30:00Z</t>
        </is>
      </c>
      <c r="D61" s="24" t="inlineStr">
        <is>
          <t>56029</t>
        </is>
      </c>
      <c r="E61" s="24" t="inlineStr">
        <is>
          <t>CS2</t>
        </is>
      </c>
      <c r="F61" s="24" t="inlineStr">
        <is>
          <t>CYBERSHOKE Esports</t>
        </is>
      </c>
      <c r="G61" s="24" t="inlineStr">
        <is>
          <t>BET-M 33</t>
        </is>
      </c>
      <c r="H61" s="24" t="inlineStr">
        <is>
          <t>moneyline</t>
        </is>
      </c>
      <c r="I61" s="24" t="inlineStr">
        <is>
          <t>home</t>
        </is>
      </c>
      <c r="J61" s="38" t="n"/>
      <c r="K61" s="24" t="inlineStr">
        <is>
          <t>polymarket_us</t>
        </is>
      </c>
      <c r="L61" s="26" t="n">
        <v>156</v>
      </c>
      <c r="M61" s="39" t="n">
        <v>2.56</v>
      </c>
      <c r="N61" s="28" t="n">
        <v>0.390625</v>
      </c>
      <c r="O61" s="28" t="n">
        <v>0.7467510000000001</v>
      </c>
      <c r="P61" s="28" t="n"/>
      <c r="Q61" s="28" t="n">
        <v>0.356751</v>
      </c>
      <c r="R61" s="26" t="n">
        <v>100</v>
      </c>
      <c r="S61" s="29" t="n">
        <v>2</v>
      </c>
      <c r="T61" s="24" t="inlineStr">
        <is>
          <t>cs2-neutral-series-elo-v1</t>
        </is>
      </c>
      <c r="U61" s="24" t="inlineStr">
        <is>
          <t>open</t>
        </is>
      </c>
      <c r="V61" s="24" t="n"/>
      <c r="W61" s="26" t="n"/>
      <c r="X61" s="26" t="n"/>
      <c r="Y61" s="38" t="n"/>
      <c r="Z61" s="26" t="n"/>
      <c r="AA61" s="28" t="n"/>
      <c r="AB61" s="28" t="n"/>
      <c r="AC61" s="40" t="n"/>
      <c r="AD61" s="24" t="n"/>
      <c r="AE61" s="31" t="inlineStr">
        <is>
          <t>Neutral Elo baseline; executable ask 0.3900 (aec-cs2-33-cs-2026-07-21).</t>
        </is>
      </c>
      <c r="AF61" s="31" t="inlineStr">
        <is>
          <t>Research baseline; zero-unit shadow until qualified.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model_qualified</t>
        </is>
      </c>
      <c r="AL61" s="26" t="n">
        <v>3</v>
      </c>
      <c r="AM61" s="24" t="inlineStr">
        <is>
          <t>QUALIFIED_SHADOW_CALL</t>
        </is>
      </c>
      <c r="AN61" s="24" t="inlineStr">
        <is>
          <t>CALL</t>
        </is>
      </c>
      <c r="AO61" s="24" t="inlineStr">
        <is>
          <t>QUALIFIED</t>
        </is>
      </c>
      <c r="AP61" s="24" t="inlineStr">
        <is>
          <t>CYBERSHOKE Esports</t>
        </is>
      </c>
      <c r="AQ61" s="24" t="inlineStr">
        <is>
          <t>CYBERSHOKE Esports</t>
        </is>
      </c>
      <c r="AR61" s="24" t="inlineStr">
        <is>
          <t>CYBERSHOKE Esports</t>
        </is>
      </c>
      <c r="AS61" s="24" t="inlineStr">
        <is>
          <t>BET-M 33</t>
        </is>
      </c>
      <c r="AT61" s="24" t="inlineStr">
        <is>
          <t>BET-M 33</t>
        </is>
      </c>
      <c r="AU61" s="24" t="inlineStr">
        <is>
          <t>BET-M 33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9dbde86ab8062ac73a51c94b0ad431573ac8b755ccd742d86794849a749958c7</t>
        </is>
      </c>
      <c r="BB61" s="24" t="inlineStr">
        <is>
          <t>neutral_elo</t>
        </is>
      </c>
      <c r="BC61" s="24" t="inlineStr">
        <is>
          <t>cs2-neutral-series-elo-v1</t>
        </is>
      </c>
      <c r="BD61" s="24" t="inlineStr">
        <is>
          <t>9dbde86ab8062ac73a51c94b0ad431573ac8b755ccd742d86794849a749958c7</t>
        </is>
      </c>
      <c r="BE61" s="24" t="inlineStr">
        <is>
          <t>1</t>
        </is>
      </c>
      <c r="BF61" s="24" t="inlineStr">
        <is>
          <t>1</t>
        </is>
      </c>
      <c r="BG61" s="24" t="inlineStr">
        <is>
          <t>unknown</t>
        </is>
      </c>
      <c r="BH61" s="24" t="inlineStr">
        <is>
          <t>2026-07-21T03:22:25.674986Z</t>
        </is>
      </c>
      <c r="BI61" s="24" t="inlineStr">
        <is>
          <t>["same_event","same_team_same_day","same_league_same_day"]</t>
        </is>
      </c>
      <c r="BJ61" s="38" t="n"/>
      <c r="BK61" s="26" t="n">
        <v>156</v>
      </c>
      <c r="BL61" s="39" t="n">
        <v>2.56</v>
      </c>
      <c r="BM61" s="28" t="n">
        <v>0.390625</v>
      </c>
      <c r="BN61" s="28" t="n"/>
      <c r="BO61" s="28" t="n"/>
      <c r="BP61" s="38" t="n"/>
      <c r="BQ61" s="39" t="n"/>
      <c r="BR61" s="28" t="n"/>
      <c r="BS61" s="28" t="n"/>
      <c r="BT61" s="28" t="n"/>
      <c r="BU61" s="38" t="n"/>
      <c r="BV61" s="29" t="n"/>
      <c r="BW61" s="24" t="n"/>
      <c r="BX61" s="40" t="n"/>
      <c r="BY61" s="39" t="n"/>
      <c r="BZ61" s="24" t="n"/>
      <c r="CA61" s="31" t="n"/>
    </row>
    <row r="62" ht="36" customHeight="1">
      <c r="A62" s="24" t="inlineStr">
        <is>
          <t>92ab4b9b757a4d51</t>
        </is>
      </c>
      <c r="B62" s="24" t="inlineStr">
        <is>
          <t>2026-07-21T03:22:25.976642Z</t>
        </is>
      </c>
      <c r="C62" s="24" t="inlineStr">
        <is>
          <t>2026-07-21T13:00:00Z</t>
        </is>
      </c>
      <c r="D62" s="24" t="inlineStr">
        <is>
          <t>56030</t>
        </is>
      </c>
      <c r="E62" s="24" t="inlineStr">
        <is>
          <t>CS2</t>
        </is>
      </c>
      <c r="F62" s="24" t="inlineStr">
        <is>
          <t>Gentle Mates</t>
        </is>
      </c>
      <c r="G62" s="24" t="inlineStr">
        <is>
          <t>3DMAX</t>
        </is>
      </c>
      <c r="H62" s="24" t="inlineStr">
        <is>
          <t>moneyline</t>
        </is>
      </c>
      <c r="I62" s="24" t="inlineStr">
        <is>
          <t>away</t>
        </is>
      </c>
      <c r="J62" s="38" t="n"/>
      <c r="K62" s="24" t="inlineStr">
        <is>
          <t>polymarket_us</t>
        </is>
      </c>
      <c r="L62" s="26" t="n">
        <v>117</v>
      </c>
      <c r="M62" s="39" t="n">
        <v>2.17</v>
      </c>
      <c r="N62" s="28" t="n">
        <v>0.460829</v>
      </c>
      <c r="O62" s="28" t="n">
        <v>0.569167</v>
      </c>
      <c r="P62" s="28" t="n"/>
      <c r="Q62" s="28" t="n">
        <v>0.109167</v>
      </c>
      <c r="R62" s="26" t="n">
        <v>100</v>
      </c>
      <c r="S62" s="29" t="n">
        <v>1.25</v>
      </c>
      <c r="T62" s="24" t="inlineStr">
        <is>
          <t>cs2-neutral-series-elo-v1</t>
        </is>
      </c>
      <c r="U62" s="24" t="inlineStr">
        <is>
          <t>open</t>
        </is>
      </c>
      <c r="V62" s="24" t="n"/>
      <c r="W62" s="26" t="n"/>
      <c r="X62" s="26" t="n"/>
      <c r="Y62" s="38" t="n"/>
      <c r="Z62" s="26" t="n"/>
      <c r="AA62" s="28" t="n"/>
      <c r="AB62" s="28" t="n"/>
      <c r="AC62" s="40" t="n"/>
      <c r="AD62" s="24" t="n"/>
      <c r="AE62" s="31" t="inlineStr">
        <is>
          <t>Neutral Elo baseline; executable ask 0.4600 (aec-cs2-3dmax-m8-2026-07-21).</t>
        </is>
      </c>
      <c r="AF62" s="31" t="inlineStr">
        <is>
          <t>Research baseline; zero-unit shadow until qualified.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model_qualified</t>
        </is>
      </c>
      <c r="AL62" s="26" t="n">
        <v>3</v>
      </c>
      <c r="AM62" s="24" t="inlineStr">
        <is>
          <t>QUALIFIED_SHADOW_CALL</t>
        </is>
      </c>
      <c r="AN62" s="24" t="inlineStr">
        <is>
          <t>CALL</t>
        </is>
      </c>
      <c r="AO62" s="24" t="inlineStr">
        <is>
          <t>QUALIFIED</t>
        </is>
      </c>
      <c r="AP62" s="24" t="inlineStr">
        <is>
          <t>Gentle Mates</t>
        </is>
      </c>
      <c r="AQ62" s="24" t="inlineStr">
        <is>
          <t>Gentle Mates</t>
        </is>
      </c>
      <c r="AR62" s="24" t="inlineStr">
        <is>
          <t>Gentle Mates</t>
        </is>
      </c>
      <c r="AS62" s="24" t="inlineStr">
        <is>
          <t>3DMAX</t>
        </is>
      </c>
      <c r="AT62" s="24" t="inlineStr">
        <is>
          <t>3DMAX</t>
        </is>
      </c>
      <c r="AU62" s="24" t="inlineStr">
        <is>
          <t>3DMAX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9dbde86ab8062ac73a51c94b0ad431573ac8b755ccd742d86794849a749958c7</t>
        </is>
      </c>
      <c r="BB62" s="24" t="inlineStr">
        <is>
          <t>neutral_elo</t>
        </is>
      </c>
      <c r="BC62" s="24" t="inlineStr">
        <is>
          <t>cs2-neutral-series-elo-v1</t>
        </is>
      </c>
      <c r="BD62" s="24" t="inlineStr">
        <is>
          <t>9dbde86ab8062ac73a51c94b0ad431573ac8b755ccd742d86794849a749958c7</t>
        </is>
      </c>
      <c r="BE62" s="24" t="inlineStr">
        <is>
          <t>1</t>
        </is>
      </c>
      <c r="BF62" s="24" t="inlineStr">
        <is>
          <t>1</t>
        </is>
      </c>
      <c r="BG62" s="24" t="inlineStr">
        <is>
          <t>unknown</t>
        </is>
      </c>
      <c r="BH62" s="24" t="inlineStr">
        <is>
          <t>2026-07-21T03:22:25.976642Z</t>
        </is>
      </c>
      <c r="BI62" s="24" t="inlineStr">
        <is>
          <t>["same_event","same_team_same_day","same_league_same_day"]</t>
        </is>
      </c>
      <c r="BJ62" s="38" t="n"/>
      <c r="BK62" s="26" t="n">
        <v>117</v>
      </c>
      <c r="BL62" s="39" t="n">
        <v>2.17</v>
      </c>
      <c r="BM62" s="28" t="n">
        <v>0.460829</v>
      </c>
      <c r="BN62" s="28" t="n"/>
      <c r="BO62" s="28" t="n"/>
      <c r="BP62" s="38" t="n"/>
      <c r="BQ62" s="39" t="n"/>
      <c r="BR62" s="28" t="n"/>
      <c r="BS62" s="28" t="n"/>
      <c r="BT62" s="28" t="n"/>
      <c r="BU62" s="38" t="n"/>
      <c r="BV62" s="29" t="n"/>
      <c r="BW62" s="24" t="n"/>
      <c r="BX62" s="40" t="n"/>
      <c r="BY62" s="39" t="n"/>
      <c r="BZ62" s="24" t="n"/>
      <c r="CA62" s="31" t="n"/>
    </row>
    <row r="63" ht="36" customHeight="1">
      <c r="A63" s="24" t="inlineStr">
        <is>
          <t>1aef576950e144a8</t>
        </is>
      </c>
      <c r="B63" s="24" t="inlineStr">
        <is>
          <t>2026-07-21T03:22:26.273160Z</t>
        </is>
      </c>
      <c r="C63" s="24" t="inlineStr">
        <is>
          <t>2026-07-21T16:00:00Z</t>
        </is>
      </c>
      <c r="D63" s="24" t="inlineStr">
        <is>
          <t>50619</t>
        </is>
      </c>
      <c r="E63" s="24" t="inlineStr">
        <is>
          <t>CS2</t>
        </is>
      </c>
      <c r="F63" s="24" t="inlineStr">
        <is>
          <t>BOJONG</t>
        </is>
      </c>
      <c r="G63" s="24" t="inlineStr">
        <is>
          <t>Entropy</t>
        </is>
      </c>
      <c r="H63" s="24" t="inlineStr">
        <is>
          <t>moneyline</t>
        </is>
      </c>
      <c r="I63" s="24" t="inlineStr">
        <is>
          <t>home</t>
        </is>
      </c>
      <c r="J63" s="38" t="n"/>
      <c r="K63" s="24" t="inlineStr">
        <is>
          <t>polymarket_us</t>
        </is>
      </c>
      <c r="L63" s="26" t="n">
        <v>-117</v>
      </c>
      <c r="M63" s="39" t="n">
        <v>1.854701</v>
      </c>
      <c r="N63" s="28" t="n">
        <v>0.539171</v>
      </c>
      <c r="O63" s="28" t="n">
        <v>0.71144</v>
      </c>
      <c r="P63" s="28" t="n"/>
      <c r="Q63" s="28" t="n">
        <v>0.17144</v>
      </c>
      <c r="R63" s="26" t="n">
        <v>100</v>
      </c>
      <c r="S63" s="29" t="n">
        <v>2</v>
      </c>
      <c r="T63" s="24" t="inlineStr">
        <is>
          <t>cs2-neutral-series-elo-v1</t>
        </is>
      </c>
      <c r="U63" s="24" t="inlineStr">
        <is>
          <t>open</t>
        </is>
      </c>
      <c r="V63" s="24" t="n"/>
      <c r="W63" s="26" t="n"/>
      <c r="X63" s="26" t="n"/>
      <c r="Y63" s="38" t="n"/>
      <c r="Z63" s="26" t="n"/>
      <c r="AA63" s="28" t="n"/>
      <c r="AB63" s="28" t="n"/>
      <c r="AC63" s="40" t="n"/>
      <c r="AD63" s="24" t="n"/>
      <c r="AE63" s="31" t="inlineStr">
        <is>
          <t>Neutral Elo baseline; executable ask 0.5400 (aec-cs2-ent-bjng-2026-07-14).</t>
        </is>
      </c>
      <c r="AF63" s="31" t="inlineStr">
        <is>
          <t>Research baseline; zero-unit shadow until qualified.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3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BOJONG</t>
        </is>
      </c>
      <c r="AQ63" s="24" t="inlineStr">
        <is>
          <t>BOJONG</t>
        </is>
      </c>
      <c r="AR63" s="24" t="inlineStr">
        <is>
          <t>BOJONG</t>
        </is>
      </c>
      <c r="AS63" s="24" t="inlineStr">
        <is>
          <t>Entropy</t>
        </is>
      </c>
      <c r="AT63" s="24" t="inlineStr">
        <is>
          <t>Entropy</t>
        </is>
      </c>
      <c r="AU63" s="24" t="inlineStr">
        <is>
          <t>Entropy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9dbde86ab8062ac73a51c94b0ad431573ac8b755ccd742d86794849a749958c7</t>
        </is>
      </c>
      <c r="BB63" s="24" t="inlineStr">
        <is>
          <t>neutral_elo</t>
        </is>
      </c>
      <c r="BC63" s="24" t="inlineStr">
        <is>
          <t>cs2-neutral-series-elo-v1</t>
        </is>
      </c>
      <c r="BD63" s="24" t="inlineStr">
        <is>
          <t>9dbde86ab8062ac73a51c94b0ad431573ac8b755ccd742d86794849a749958c7</t>
        </is>
      </c>
      <c r="BE63" s="24" t="inlineStr">
        <is>
          <t>1</t>
        </is>
      </c>
      <c r="BF63" s="24" t="inlineStr">
        <is>
          <t>1</t>
        </is>
      </c>
      <c r="BG63" s="24" t="inlineStr">
        <is>
          <t>unknown</t>
        </is>
      </c>
      <c r="BH63" s="24" t="inlineStr">
        <is>
          <t>2026-07-21T03:22:26.273160Z</t>
        </is>
      </c>
      <c r="BI63" s="24" t="inlineStr">
        <is>
          <t>["same_event","same_team_same_day","same_league_same_day"]</t>
        </is>
      </c>
      <c r="BJ63" s="38" t="n"/>
      <c r="BK63" s="26" t="n">
        <v>-117</v>
      </c>
      <c r="BL63" s="39" t="n">
        <v>1.854701</v>
      </c>
      <c r="BM63" s="28" t="n">
        <v>0.539171</v>
      </c>
      <c r="BN63" s="28" t="n"/>
      <c r="BO63" s="28" t="n"/>
      <c r="BP63" s="38" t="n"/>
      <c r="BQ63" s="39" t="n"/>
      <c r="BR63" s="28" t="n"/>
      <c r="BS63" s="28" t="n"/>
      <c r="BT63" s="28" t="n"/>
      <c r="BU63" s="38" t="n"/>
      <c r="BV63" s="29" t="n"/>
      <c r="BW63" s="24" t="n"/>
      <c r="BX63" s="40" t="n"/>
      <c r="BY63" s="39" t="n"/>
      <c r="BZ63" s="24" t="n"/>
      <c r="CA63" s="31" t="n"/>
    </row>
    <row r="64" ht="36" customHeight="1">
      <c r="A64" s="24" t="inlineStr">
        <is>
          <t>110d457a3dff430a</t>
        </is>
      </c>
      <c r="B64" s="24" t="inlineStr">
        <is>
          <t>2026-07-21T03:22:26.572469Z</t>
        </is>
      </c>
      <c r="C64" s="24" t="inlineStr">
        <is>
          <t>2026-07-21T17:30:00Z</t>
        </is>
      </c>
      <c r="D64" s="24" t="inlineStr">
        <is>
          <t>55178</t>
        </is>
      </c>
      <c r="E64" s="24" t="inlineStr">
        <is>
          <t>CS2</t>
        </is>
      </c>
      <c r="F64" s="24" t="inlineStr">
        <is>
          <t>Wildcard</t>
        </is>
      </c>
      <c r="G64" s="24" t="inlineStr">
        <is>
          <t>Alliance</t>
        </is>
      </c>
      <c r="H64" s="24" t="inlineStr">
        <is>
          <t>moneyline</t>
        </is>
      </c>
      <c r="I64" s="24" t="inlineStr">
        <is>
          <t>home</t>
        </is>
      </c>
      <c r="J64" s="38" t="n"/>
      <c r="K64" s="24" t="inlineStr">
        <is>
          <t>polymarket_us</t>
        </is>
      </c>
      <c r="L64" s="26" t="n">
        <v>-178</v>
      </c>
      <c r="M64" s="39" t="n">
        <v>1.561798</v>
      </c>
      <c r="N64" s="28" t="n">
        <v>0.640288</v>
      </c>
      <c r="O64" s="28" t="n">
        <v>0.715788</v>
      </c>
      <c r="P64" s="28" t="n"/>
      <c r="Q64" s="28" t="n">
        <v>0.07578799999999999</v>
      </c>
      <c r="R64" s="26" t="n">
        <v>75</v>
      </c>
      <c r="S64" s="29" t="n">
        <v>2</v>
      </c>
      <c r="T64" s="24" t="inlineStr">
        <is>
          <t>cs2-neutral-series-elo-v1</t>
        </is>
      </c>
      <c r="U64" s="24" t="inlineStr">
        <is>
          <t>open</t>
        </is>
      </c>
      <c r="V64" s="24" t="n"/>
      <c r="W64" s="26" t="n"/>
      <c r="X64" s="26" t="n"/>
      <c r="Y64" s="38" t="n"/>
      <c r="Z64" s="26" t="n"/>
      <c r="AA64" s="28" t="n"/>
      <c r="AB64" s="28" t="n"/>
      <c r="AC64" s="40" t="n"/>
      <c r="AD64" s="24" t="n"/>
      <c r="AE64" s="31" t="inlineStr">
        <is>
          <t>Neutral Elo baseline; executable ask 0.6400 (aec-cs2-all-wc-2026-07-21).</t>
        </is>
      </c>
      <c r="AF64" s="31" t="inlineStr">
        <is>
          <t>Research baseline; zero-unit shadow until qualified.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model_qualified</t>
        </is>
      </c>
      <c r="AL64" s="26" t="n">
        <v>3</v>
      </c>
      <c r="AM64" s="24" t="inlineStr">
        <is>
          <t>QUALIFIED_SHADOW_CALL</t>
        </is>
      </c>
      <c r="AN64" s="24" t="inlineStr">
        <is>
          <t>CALL</t>
        </is>
      </c>
      <c r="AO64" s="24" t="inlineStr">
        <is>
          <t>QUALIFIED</t>
        </is>
      </c>
      <c r="AP64" s="24" t="inlineStr">
        <is>
          <t>Wildcard</t>
        </is>
      </c>
      <c r="AQ64" s="24" t="inlineStr">
        <is>
          <t>Wildcard</t>
        </is>
      </c>
      <c r="AR64" s="24" t="inlineStr">
        <is>
          <t>Wildcard</t>
        </is>
      </c>
      <c r="AS64" s="24" t="inlineStr">
        <is>
          <t>Alliance</t>
        </is>
      </c>
      <c r="AT64" s="24" t="inlineStr">
        <is>
          <t>Alliance</t>
        </is>
      </c>
      <c r="AU64" s="24" t="inlineStr">
        <is>
          <t>Alliance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9dbde86ab8062ac73a51c94b0ad431573ac8b755ccd742d86794849a749958c7</t>
        </is>
      </c>
      <c r="BB64" s="24" t="inlineStr">
        <is>
          <t>neutral_elo</t>
        </is>
      </c>
      <c r="BC64" s="24" t="inlineStr">
        <is>
          <t>cs2-neutral-series-elo-v1</t>
        </is>
      </c>
      <c r="BD64" s="24" t="inlineStr">
        <is>
          <t>9dbde86ab8062ac73a51c94b0ad431573ac8b755ccd742d86794849a749958c7</t>
        </is>
      </c>
      <c r="BE64" s="24" t="inlineStr">
        <is>
          <t>1</t>
        </is>
      </c>
      <c r="BF64" s="24" t="inlineStr">
        <is>
          <t>1</t>
        </is>
      </c>
      <c r="BG64" s="24" t="inlineStr">
        <is>
          <t>unknown</t>
        </is>
      </c>
      <c r="BH64" s="24" t="inlineStr">
        <is>
          <t>2026-07-21T03:22:26.572469Z</t>
        </is>
      </c>
      <c r="BI64" s="24" t="inlineStr">
        <is>
          <t>["same_event","same_team_same_day","same_league_same_day"]</t>
        </is>
      </c>
      <c r="BJ64" s="38" t="n"/>
      <c r="BK64" s="26" t="n">
        <v>-178</v>
      </c>
      <c r="BL64" s="39" t="n">
        <v>1.561798</v>
      </c>
      <c r="BM64" s="28" t="n">
        <v>0.640288</v>
      </c>
      <c r="BN64" s="28" t="n"/>
      <c r="BO64" s="28" t="n"/>
      <c r="BP64" s="38" t="n"/>
      <c r="BQ64" s="39" t="n"/>
      <c r="BR64" s="28" t="n"/>
      <c r="BS64" s="28" t="n"/>
      <c r="BT64" s="28" t="n"/>
      <c r="BU64" s="38" t="n"/>
      <c r="BV64" s="29" t="n"/>
      <c r="BW64" s="24" t="n"/>
      <c r="BX64" s="40" t="n"/>
      <c r="BY64" s="39" t="n"/>
      <c r="BZ64" s="24" t="n"/>
      <c r="CA64" s="31" t="n"/>
    </row>
    <row r="65" ht="36" customHeight="1">
      <c r="A65" s="24" t="inlineStr">
        <is>
          <t>23ff1f11e60542ce</t>
        </is>
      </c>
      <c r="B65" s="24" t="inlineStr">
        <is>
          <t>2026-07-21T03:22:26.943026Z</t>
        </is>
      </c>
      <c r="C65" s="24" t="inlineStr">
        <is>
          <t>2026-07-21T19:00:00Z</t>
        </is>
      </c>
      <c r="D65" s="24" t="inlineStr">
        <is>
          <t>56760</t>
        </is>
      </c>
      <c r="E65" s="24" t="inlineStr">
        <is>
          <t>CS2</t>
        </is>
      </c>
      <c r="F65" s="24" t="inlineStr">
        <is>
          <t>ALKA GAMING</t>
        </is>
      </c>
      <c r="G65" s="24" t="inlineStr">
        <is>
          <t>Procyon Gaming</t>
        </is>
      </c>
      <c r="H65" s="24" t="inlineStr">
        <is>
          <t>moneyline</t>
        </is>
      </c>
      <c r="I65" s="24" t="inlineStr">
        <is>
          <t>away</t>
        </is>
      </c>
      <c r="J65" s="38" t="n"/>
      <c r="K65" s="24" t="inlineStr">
        <is>
          <t>polymarket_us</t>
        </is>
      </c>
      <c r="L65" s="26" t="n">
        <v>-133</v>
      </c>
      <c r="M65" s="39" t="n">
        <v>1.75188</v>
      </c>
      <c r="N65" s="28" t="n">
        <v>0.570815</v>
      </c>
      <c r="O65" s="28" t="n">
        <v>0.700612</v>
      </c>
      <c r="P65" s="28" t="n"/>
      <c r="Q65" s="28" t="n">
        <v>0.130612</v>
      </c>
      <c r="R65" s="26" t="n">
        <v>100</v>
      </c>
      <c r="S65" s="29" t="n">
        <v>2</v>
      </c>
      <c r="T65" s="24" t="inlineStr">
        <is>
          <t>cs2-neutral-series-elo-v1</t>
        </is>
      </c>
      <c r="U65" s="24" t="inlineStr">
        <is>
          <t>open</t>
        </is>
      </c>
      <c r="V65" s="24" t="n"/>
      <c r="W65" s="26" t="n"/>
      <c r="X65" s="26" t="n"/>
      <c r="Y65" s="38" t="n"/>
      <c r="Z65" s="26" t="n"/>
      <c r="AA65" s="28" t="n"/>
      <c r="AB65" s="28" t="n"/>
      <c r="AC65" s="40" t="n"/>
      <c r="AD65" s="24" t="n"/>
      <c r="AE65" s="31" t="inlineStr">
        <is>
          <t>Neutral Elo baseline; executable ask 0.5700 (aec-cs2-pcy-alka-2026-07-21).</t>
        </is>
      </c>
      <c r="AF65" s="31" t="inlineStr">
        <is>
          <t>Research baseline; zero-unit shadow until qualified.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model_qualified</t>
        </is>
      </c>
      <c r="AL65" s="26" t="n">
        <v>3</v>
      </c>
      <c r="AM65" s="24" t="inlineStr">
        <is>
          <t>QUALIFIED_SHADOW_CALL</t>
        </is>
      </c>
      <c r="AN65" s="24" t="inlineStr">
        <is>
          <t>CALL</t>
        </is>
      </c>
      <c r="AO65" s="24" t="inlineStr">
        <is>
          <t>QUALIFIED</t>
        </is>
      </c>
      <c r="AP65" s="24" t="inlineStr">
        <is>
          <t>ALKA GAMING</t>
        </is>
      </c>
      <c r="AQ65" s="24" t="inlineStr">
        <is>
          <t>ALKA GAMING</t>
        </is>
      </c>
      <c r="AR65" s="24" t="inlineStr">
        <is>
          <t>ALKA GAMING</t>
        </is>
      </c>
      <c r="AS65" s="24" t="inlineStr">
        <is>
          <t>Procyon Gaming</t>
        </is>
      </c>
      <c r="AT65" s="24" t="inlineStr">
        <is>
          <t>Procyon Gaming</t>
        </is>
      </c>
      <c r="AU65" s="24" t="inlineStr">
        <is>
          <t>Procyon Gaming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9dbde86ab8062ac73a51c94b0ad431573ac8b755ccd742d86794849a749958c7</t>
        </is>
      </c>
      <c r="BB65" s="24" t="inlineStr">
        <is>
          <t>neutral_elo</t>
        </is>
      </c>
      <c r="BC65" s="24" t="inlineStr">
        <is>
          <t>cs2-neutral-series-elo-v1</t>
        </is>
      </c>
      <c r="BD65" s="24" t="inlineStr">
        <is>
          <t>9dbde86ab8062ac73a51c94b0ad431573ac8b755ccd742d86794849a749958c7</t>
        </is>
      </c>
      <c r="BE65" s="24" t="inlineStr">
        <is>
          <t>1</t>
        </is>
      </c>
      <c r="BF65" s="24" t="inlineStr">
        <is>
          <t>1</t>
        </is>
      </c>
      <c r="BG65" s="24" t="inlineStr">
        <is>
          <t>unknown</t>
        </is>
      </c>
      <c r="BH65" s="24" t="inlineStr">
        <is>
          <t>2026-07-21T03:22:26.943026Z</t>
        </is>
      </c>
      <c r="BI65" s="24" t="inlineStr">
        <is>
          <t>["same_event","same_team_same_day","same_league_same_day"]</t>
        </is>
      </c>
      <c r="BJ65" s="38" t="n"/>
      <c r="BK65" s="26" t="n">
        <v>-133</v>
      </c>
      <c r="BL65" s="39" t="n">
        <v>1.75188</v>
      </c>
      <c r="BM65" s="28" t="n">
        <v>0.570815</v>
      </c>
      <c r="BN65" s="28" t="n"/>
      <c r="BO65" s="28" t="n"/>
      <c r="BP65" s="38" t="n"/>
      <c r="BQ65" s="39" t="n"/>
      <c r="BR65" s="28" t="n"/>
      <c r="BS65" s="28" t="n"/>
      <c r="BT65" s="28" t="n"/>
      <c r="BU65" s="38" t="n"/>
      <c r="BV65" s="29" t="n"/>
      <c r="BW65" s="24" t="n"/>
      <c r="BX65" s="40" t="n"/>
      <c r="BY65" s="39" t="n"/>
      <c r="BZ65" s="24" t="n"/>
      <c r="CA65" s="31" t="n"/>
    </row>
    <row r="66" ht="36" customHeight="1">
      <c r="A66" s="24" t="inlineStr">
        <is>
          <t>76f8847ced664957</t>
        </is>
      </c>
      <c r="B66" s="24" t="inlineStr">
        <is>
          <t>2026-07-21T03:23:38.960975Z</t>
        </is>
      </c>
      <c r="C66" s="24" t="inlineStr">
        <is>
          <t>2026-07-22T08:00:00Z</t>
        </is>
      </c>
      <c r="D66" s="24" t="inlineStr">
        <is>
          <t>57989</t>
        </is>
      </c>
      <c r="E66" s="24" t="inlineStr">
        <is>
          <t>CS2</t>
        </is>
      </c>
      <c r="F66" s="24" t="inlineStr">
        <is>
          <t>Rune Eaters</t>
        </is>
      </c>
      <c r="G66" s="24" t="inlineStr">
        <is>
          <t>Black Phoenix</t>
        </is>
      </c>
      <c r="H66" s="24" t="inlineStr">
        <is>
          <t>moneyline</t>
        </is>
      </c>
      <c r="I66" s="24" t="inlineStr">
        <is>
          <t>away</t>
        </is>
      </c>
      <c r="J66" s="38" t="n"/>
      <c r="K66" s="24" t="inlineStr">
        <is>
          <t>polymarket_us</t>
        </is>
      </c>
      <c r="L66" s="26" t="n">
        <v>138</v>
      </c>
      <c r="M66" s="39" t="n">
        <v>2.38</v>
      </c>
      <c r="N66" s="28" t="n">
        <v>0.420168</v>
      </c>
      <c r="O66" s="28" t="n">
        <v>0.629112</v>
      </c>
      <c r="P66" s="28" t="n"/>
      <c r="Q66" s="28" t="n">
        <v>0.209112</v>
      </c>
      <c r="R66" s="26" t="n">
        <v>100</v>
      </c>
      <c r="S66" s="29" t="n">
        <v>1.75</v>
      </c>
      <c r="T66" s="24" t="inlineStr">
        <is>
          <t>cs2-neutral-series-elo-v1</t>
        </is>
      </c>
      <c r="U66" s="24" t="inlineStr">
        <is>
          <t>open</t>
        </is>
      </c>
      <c r="V66" s="24" t="n"/>
      <c r="W66" s="26" t="n"/>
      <c r="X66" s="26" t="n"/>
      <c r="Y66" s="38" t="n"/>
      <c r="Z66" s="26" t="n"/>
      <c r="AA66" s="28" t="n"/>
      <c r="AB66" s="28" t="n"/>
      <c r="AC66" s="40" t="n"/>
      <c r="AD66" s="24" t="n"/>
      <c r="AE66" s="31" t="inlineStr">
        <is>
          <t>Neutral Elo baseline; executable ask 0.4200 (aec-cs2-bpl-re-2026-07-22).</t>
        </is>
      </c>
      <c r="AF66" s="31" t="inlineStr">
        <is>
          <t>Research baseline; zero-unit shadow until qualified.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model_qualified</t>
        </is>
      </c>
      <c r="AL66" s="26" t="n">
        <v>3</v>
      </c>
      <c r="AM66" s="24" t="inlineStr">
        <is>
          <t>QUALIFIED_SHADOW_CALL</t>
        </is>
      </c>
      <c r="AN66" s="24" t="inlineStr">
        <is>
          <t>CALL</t>
        </is>
      </c>
      <c r="AO66" s="24" t="inlineStr">
        <is>
          <t>QUALIFIED</t>
        </is>
      </c>
      <c r="AP66" s="24" t="inlineStr">
        <is>
          <t>Rune Eaters</t>
        </is>
      </c>
      <c r="AQ66" s="24" t="inlineStr">
        <is>
          <t>Rune Eaters</t>
        </is>
      </c>
      <c r="AR66" s="24" t="inlineStr">
        <is>
          <t>Rune Eaters</t>
        </is>
      </c>
      <c r="AS66" s="24" t="inlineStr">
        <is>
          <t>Black Phoenix</t>
        </is>
      </c>
      <c r="AT66" s="24" t="inlineStr">
        <is>
          <t>Black Phoenix</t>
        </is>
      </c>
      <c r="AU66" s="24" t="inlineStr">
        <is>
          <t>Black Phoenix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9dbde86ab8062ac73a51c94b0ad431573ac8b755ccd742d86794849a749958c7</t>
        </is>
      </c>
      <c r="BB66" s="24" t="inlineStr">
        <is>
          <t>neutral_elo</t>
        </is>
      </c>
      <c r="BC66" s="24" t="inlineStr">
        <is>
          <t>cs2-neutral-series-elo-v1</t>
        </is>
      </c>
      <c r="BD66" s="24" t="inlineStr">
        <is>
          <t>9dbde86ab8062ac73a51c94b0ad431573ac8b755ccd742d86794849a749958c7</t>
        </is>
      </c>
      <c r="BE66" s="24" t="inlineStr">
        <is>
          <t>1</t>
        </is>
      </c>
      <c r="BF66" s="24" t="inlineStr">
        <is>
          <t>1</t>
        </is>
      </c>
      <c r="BG66" s="24" t="inlineStr">
        <is>
          <t>unknown</t>
        </is>
      </c>
      <c r="BH66" s="24" t="inlineStr">
        <is>
          <t>2026-07-21T03:23:38.960975Z</t>
        </is>
      </c>
      <c r="BI66" s="24" t="inlineStr">
        <is>
          <t>["same_event","same_team_same_day","same_league_same_day"]</t>
        </is>
      </c>
      <c r="BJ66" s="38" t="n"/>
      <c r="BK66" s="26" t="n">
        <v>138</v>
      </c>
      <c r="BL66" s="39" t="n">
        <v>2.38</v>
      </c>
      <c r="BM66" s="28" t="n">
        <v>0.420168</v>
      </c>
      <c r="BN66" s="28" t="n"/>
      <c r="BO66" s="28" t="n"/>
      <c r="BP66" s="38" t="n"/>
      <c r="BQ66" s="39" t="n"/>
      <c r="BR66" s="28" t="n"/>
      <c r="BS66" s="28" t="n"/>
      <c r="BT66" s="28" t="n"/>
      <c r="BU66" s="38" t="n"/>
      <c r="BV66" s="29" t="n"/>
      <c r="BW66" s="24" t="n"/>
      <c r="BX66" s="40" t="n"/>
      <c r="BY66" s="39" t="n"/>
      <c r="BZ66" s="24" t="n"/>
      <c r="CA66" s="31" t="n"/>
    </row>
    <row r="67" ht="36" customHeight="1">
      <c r="A67" s="24" t="inlineStr">
        <is>
          <t>e05499360e0946b9</t>
        </is>
      </c>
      <c r="B67" s="24" t="inlineStr">
        <is>
          <t>2026-07-21T03:37:13.798671Z</t>
        </is>
      </c>
      <c r="C67" s="24" t="inlineStr">
        <is>
          <t>2026-07-21T11:00:00Z</t>
        </is>
      </c>
      <c r="D67" s="24" t="inlineStr">
        <is>
          <t>56865</t>
        </is>
      </c>
      <c r="E67" s="24" t="inlineStr">
        <is>
          <t>CS2</t>
        </is>
      </c>
      <c r="F67" s="24" t="inlineStr">
        <is>
          <t>Julie&amp;cie</t>
        </is>
      </c>
      <c r="G67" s="24" t="inlineStr">
        <is>
          <t>Honvéd</t>
        </is>
      </c>
      <c r="H67" s="24" t="inlineStr">
        <is>
          <t>moneyline</t>
        </is>
      </c>
      <c r="I67" s="24" t="inlineStr">
        <is>
          <t>home</t>
        </is>
      </c>
      <c r="J67" s="38" t="n"/>
      <c r="K67" s="24" t="inlineStr">
        <is>
          <t>polymarket_us</t>
        </is>
      </c>
      <c r="L67" s="26" t="n">
        <v>-194</v>
      </c>
      <c r="M67" s="39" t="n">
        <v>1.515464</v>
      </c>
      <c r="N67" s="28" t="n">
        <v>0.659864</v>
      </c>
      <c r="O67" s="28" t="n">
        <v>0.705785</v>
      </c>
      <c r="P67" s="28" t="n"/>
      <c r="Q67" s="28" t="n">
        <v>0.045785</v>
      </c>
      <c r="R67" s="26" t="n">
        <v>45</v>
      </c>
      <c r="S67" s="29" t="n">
        <v>2</v>
      </c>
      <c r="T67" s="24" t="inlineStr">
        <is>
          <t>cs2-neutral-series-elo-v1</t>
        </is>
      </c>
      <c r="U67" s="24" t="inlineStr">
        <is>
          <t>open</t>
        </is>
      </c>
      <c r="V67" s="24" t="n"/>
      <c r="W67" s="26" t="n"/>
      <c r="X67" s="26" t="n"/>
      <c r="Y67" s="38" t="n"/>
      <c r="Z67" s="26" t="n"/>
      <c r="AA67" s="28" t="n"/>
      <c r="AB67" s="28" t="n"/>
      <c r="AC67" s="40" t="n"/>
      <c r="AD67" s="24" t="n"/>
      <c r="AE67" s="31" t="inlineStr">
        <is>
          <t>Neutral Elo baseline; executable ask 0.6600 (aec-cs2-hon-jul-2026-07-21).</t>
        </is>
      </c>
      <c r="AF67" s="31" t="inlineStr">
        <is>
          <t>Research baseline; zero-unit shadow until qualified.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model_qualified</t>
        </is>
      </c>
      <c r="AL67" s="26" t="n">
        <v>3</v>
      </c>
      <c r="AM67" s="24" t="inlineStr">
        <is>
          <t>QUALIFIED_SHADOW_CALL</t>
        </is>
      </c>
      <c r="AN67" s="24" t="inlineStr">
        <is>
          <t>CALL</t>
        </is>
      </c>
      <c r="AO67" s="24" t="inlineStr">
        <is>
          <t>QUALIFIED</t>
        </is>
      </c>
      <c r="AP67" s="24" t="inlineStr">
        <is>
          <t>Julie&amp;cie</t>
        </is>
      </c>
      <c r="AQ67" s="24" t="inlineStr">
        <is>
          <t>Julie&amp;cie</t>
        </is>
      </c>
      <c r="AR67" s="24" t="inlineStr">
        <is>
          <t>Julie&amp;cie</t>
        </is>
      </c>
      <c r="AS67" s="24" t="inlineStr">
        <is>
          <t>Honvéd</t>
        </is>
      </c>
      <c r="AT67" s="24" t="inlineStr">
        <is>
          <t>Honvéd</t>
        </is>
      </c>
      <c r="AU67" s="24" t="inlineStr">
        <is>
          <t>Honvéd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9dbde86ab8062ac73a51c94b0ad431573ac8b755ccd742d86794849a749958c7</t>
        </is>
      </c>
      <c r="BB67" s="24" t="inlineStr">
        <is>
          <t>neutral_elo</t>
        </is>
      </c>
      <c r="BC67" s="24" t="inlineStr">
        <is>
          <t>cs2-neutral-series-elo-v1</t>
        </is>
      </c>
      <c r="BD67" s="24" t="inlineStr">
        <is>
          <t>9dbde86ab8062ac73a51c94b0ad431573ac8b755ccd742d86794849a749958c7</t>
        </is>
      </c>
      <c r="BE67" s="24" t="inlineStr">
        <is>
          <t>1</t>
        </is>
      </c>
      <c r="BF67" s="24" t="inlineStr">
        <is>
          <t>1</t>
        </is>
      </c>
      <c r="BG67" s="24" t="inlineStr">
        <is>
          <t>unknown</t>
        </is>
      </c>
      <c r="BH67" s="24" t="inlineStr">
        <is>
          <t>2026-07-21T03:37:13.798671Z</t>
        </is>
      </c>
      <c r="BI67" s="24" t="inlineStr">
        <is>
          <t>["same_event","same_team_same_day","same_league_same_day"]</t>
        </is>
      </c>
      <c r="BJ67" s="38" t="n"/>
      <c r="BK67" s="26" t="n">
        <v>-194</v>
      </c>
      <c r="BL67" s="39" t="n">
        <v>1.515464</v>
      </c>
      <c r="BM67" s="28" t="n">
        <v>0.659864</v>
      </c>
      <c r="BN67" s="28" t="n"/>
      <c r="BO67" s="28" t="n"/>
      <c r="BP67" s="38" t="n"/>
      <c r="BQ67" s="39" t="n"/>
      <c r="BR67" s="28" t="n"/>
      <c r="BS67" s="28" t="n"/>
      <c r="BT67" s="28" t="n"/>
      <c r="BU67" s="38" t="n"/>
      <c r="BV67" s="29" t="n"/>
      <c r="BW67" s="24" t="n"/>
      <c r="BX67" s="40" t="n"/>
      <c r="BY67" s="39" t="n"/>
      <c r="BZ67" s="24" t="n"/>
      <c r="CA67" s="31" t="n"/>
    </row>
    <row r="68" ht="36" customHeight="1">
      <c r="A68" s="24" t="inlineStr">
        <is>
          <t>d8b509d231b749ff</t>
        </is>
      </c>
      <c r="B68" s="24" t="inlineStr">
        <is>
          <t>2026-07-21T04:39:43.652985Z</t>
        </is>
      </c>
      <c r="C68" s="24" t="inlineStr">
        <is>
          <t>2026-07-21T21:40:00-0400</t>
        </is>
      </c>
      <c r="D68" s="24" t="inlineStr">
        <is>
          <t>401816213</t>
        </is>
      </c>
      <c r="E68" s="24" t="inlineStr">
        <is>
          <t>MLB</t>
        </is>
      </c>
      <c r="F68" s="24" t="inlineStr">
        <is>
          <t>Athletics</t>
        </is>
      </c>
      <c r="G68" s="24" t="inlineStr">
        <is>
          <t>Arizona Diamondbacks</t>
        </is>
      </c>
      <c r="H68" s="24" t="inlineStr">
        <is>
          <t>moneyline</t>
        </is>
      </c>
      <c r="I68" s="24" t="inlineStr">
        <is>
          <t>home</t>
        </is>
      </c>
      <c r="J68" s="38" t="n"/>
      <c r="K68" s="24" t="inlineStr">
        <is>
          <t>polymarket_us</t>
        </is>
      </c>
      <c r="L68" s="26" t="n">
        <v>-127</v>
      </c>
      <c r="M68" s="39" t="n">
        <v>1.787402</v>
      </c>
      <c r="N68" s="28" t="n">
        <v>0.5594710000000001</v>
      </c>
      <c r="O68" s="28" t="n">
        <v>0.58189</v>
      </c>
      <c r="P68" s="28" t="n"/>
      <c r="Q68" s="28" t="n">
        <v>0.022419</v>
      </c>
      <c r="R68" s="26" t="n">
        <v>31</v>
      </c>
      <c r="S68" s="29" t="n">
        <v>1.25</v>
      </c>
      <c r="T68" s="24" t="inlineStr">
        <is>
          <t>mlb-elo-trend-lr-v4</t>
        </is>
      </c>
      <c r="U68" s="24" t="inlineStr">
        <is>
          <t>open</t>
        </is>
      </c>
      <c r="V68" s="24" t="n"/>
      <c r="W68" s="26" t="n"/>
      <c r="X68" s="26" t="n"/>
      <c r="Y68" s="38" t="n"/>
      <c r="Z68" s="26" t="n"/>
      <c r="AA68" s="28" t="n"/>
      <c r="AB68" s="28" t="n"/>
      <c r="AC68" s="40" t="n"/>
      <c r="AD68" s="24" t="n"/>
      <c r="AE68" s="31" t="inlineStr">
        <is>
          <t>Learned LR call at threshold 0.5500; executable ask 0.5600 (aec-mlb-ath-az-2026-07-21).</t>
        </is>
      </c>
      <c r="AF68" s="31" t="inlineStr">
        <is>
          <t>Learned model; promotion gate not yet open; zero-unit research until review.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NO_CALL_LOW_EDGE</t>
        </is>
      </c>
      <c r="AP68" s="24" t="inlineStr">
        <is>
          <t>mlb-ath</t>
        </is>
      </c>
      <c r="AQ68" s="24" t="inlineStr">
        <is>
          <t>Athletics</t>
        </is>
      </c>
      <c r="AR68" s="24" t="inlineStr">
        <is>
          <t>Athletics</t>
        </is>
      </c>
      <c r="AS68" s="24" t="inlineStr">
        <is>
          <t>mlb-ari</t>
        </is>
      </c>
      <c r="AT68" s="24" t="inlineStr">
        <is>
          <t>Arizona Diamondbacks</t>
        </is>
      </c>
      <c r="AU68" s="24" t="inlineStr">
        <is>
          <t>Arizona Diamondbacks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5224fb6ffbc9ddf8fa517627b830ac851192da94d241963d556945393a42bb9d</t>
        </is>
      </c>
      <c r="BB68" s="24" t="inlineStr">
        <is>
          <t>learned_lr</t>
        </is>
      </c>
      <c r="BC68" s="24" t="inlineStr">
        <is>
          <t>mlb-elo-trend-lr-v4</t>
        </is>
      </c>
      <c r="BD68" s="24" t="inlineStr">
        <is>
          <t>5224fb6ffbc9ddf8fa517627b830ac851192da94d241963d556945393a42bb9d</t>
        </is>
      </c>
      <c r="BE68" s="24" t="inlineStr">
        <is>
          <t>9892b2a76fbe9db3</t>
        </is>
      </c>
      <c r="BF68" s="24" t="inlineStr">
        <is>
          <t>1</t>
        </is>
      </c>
      <c r="BG68" s="24" t="inlineStr">
        <is>
          <t>mlb-elo-trend-lr-v4</t>
        </is>
      </c>
      <c r="BH68" s="24" t="inlineStr">
        <is>
          <t>2026-07-21T04:39:17.517164Z</t>
        </is>
      </c>
      <c r="BI68" s="24" t="inlineStr">
        <is>
          <t>["same_event","same_team_same_day","same_league_same_day"]</t>
        </is>
      </c>
      <c r="BJ68" s="38" t="n"/>
      <c r="BK68" s="26" t="n">
        <v>-127</v>
      </c>
      <c r="BL68" s="39" t="n">
        <v>1.787402</v>
      </c>
      <c r="BM68" s="28" t="n">
        <v>0.5594710000000001</v>
      </c>
      <c r="BN68" s="28" t="n">
        <v>0.557214</v>
      </c>
      <c r="BO68" s="28" t="n"/>
      <c r="BP68" s="38" t="n"/>
      <c r="BQ68" s="39" t="n"/>
      <c r="BR68" s="28" t="n"/>
      <c r="BS68" s="28" t="n"/>
      <c r="BT68" s="28" t="n"/>
      <c r="BU68" s="38" t="n"/>
      <c r="BV68" s="29" t="n"/>
      <c r="BW68" s="24" t="n"/>
      <c r="BX68" s="40" t="n"/>
      <c r="BY68" s="39" t="n"/>
      <c r="BZ68" s="24" t="n"/>
      <c r="CA68" s="31" t="n"/>
    </row>
    <row r="69" ht="36" customHeight="1">
      <c r="A69" s="24" t="inlineStr">
        <is>
          <t>91bedfe6718a4a34</t>
        </is>
      </c>
      <c r="B69" s="24" t="inlineStr">
        <is>
          <t>2026-07-21T04:40:39.530059Z</t>
        </is>
      </c>
      <c r="C69" s="24" t="inlineStr">
        <is>
          <t>2026-07-22T11:00:00Z</t>
        </is>
      </c>
      <c r="D69" s="24" t="inlineStr">
        <is>
          <t>55996</t>
        </is>
      </c>
      <c r="E69" s="24" t="inlineStr">
        <is>
          <t>LOL</t>
        </is>
      </c>
      <c r="F69" s="24" t="inlineStr">
        <is>
          <t>Team WE</t>
        </is>
      </c>
      <c r="G69" s="24" t="inlineStr">
        <is>
          <t>Top Esports</t>
        </is>
      </c>
      <c r="H69" s="24" t="inlineStr">
        <is>
          <t>moneyline</t>
        </is>
      </c>
      <c r="I69" s="24" t="inlineStr">
        <is>
          <t>home</t>
        </is>
      </c>
      <c r="J69" s="38" t="n"/>
      <c r="K69" s="24" t="inlineStr">
        <is>
          <t>polymarket_us</t>
        </is>
      </c>
      <c r="L69" s="26" t="n">
        <v>-203</v>
      </c>
      <c r="M69" s="39" t="n">
        <v>1.492611</v>
      </c>
      <c r="N69" s="28" t="n">
        <v>0.669967</v>
      </c>
      <c r="O69" s="28" t="n">
        <v>0.748396</v>
      </c>
      <c r="P69" s="28" t="n"/>
      <c r="Q69" s="28" t="n">
        <v>0.07839599999999999</v>
      </c>
      <c r="R69" s="26" t="n">
        <v>78</v>
      </c>
      <c r="S69" s="29" t="n">
        <v>2</v>
      </c>
      <c r="T69" s="24" t="inlineStr">
        <is>
          <t>lol-neutral-series-elo-v1</t>
        </is>
      </c>
      <c r="U69" s="24" t="inlineStr">
        <is>
          <t>open</t>
        </is>
      </c>
      <c r="V69" s="24" t="n"/>
      <c r="W69" s="26" t="n"/>
      <c r="X69" s="26" t="n"/>
      <c r="Y69" s="38" t="n"/>
      <c r="Z69" s="26" t="n"/>
      <c r="AA69" s="28" t="n"/>
      <c r="AB69" s="28" t="n"/>
      <c r="AC69" s="40" t="n"/>
      <c r="AD69" s="24" t="n"/>
      <c r="AE69" s="31" t="inlineStr">
        <is>
          <t>Neutral Elo baseline; executable ask 0.6700 (aec-lol-tes-we-2026-07-22).</t>
        </is>
      </c>
      <c r="AF69" s="31" t="inlineStr">
        <is>
          <t>Research baseline; zero-unit shadow until qualified.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model_qualified</t>
        </is>
      </c>
      <c r="AL69" s="26" t="n">
        <v>3</v>
      </c>
      <c r="AM69" s="24" t="inlineStr">
        <is>
          <t>QUALIFIED_SHADOW_CALL</t>
        </is>
      </c>
      <c r="AN69" s="24" t="inlineStr">
        <is>
          <t>CALL</t>
        </is>
      </c>
      <c r="AO69" s="24" t="inlineStr">
        <is>
          <t>QUALIFIED</t>
        </is>
      </c>
      <c r="AP69" s="24" t="inlineStr">
        <is>
          <t>Team WE</t>
        </is>
      </c>
      <c r="AQ69" s="24" t="inlineStr">
        <is>
          <t>Team WE</t>
        </is>
      </c>
      <c r="AR69" s="24" t="inlineStr">
        <is>
          <t>Team WE</t>
        </is>
      </c>
      <c r="AS69" s="24" t="inlineStr">
        <is>
          <t>Top Esports</t>
        </is>
      </c>
      <c r="AT69" s="24" t="inlineStr">
        <is>
          <t>Top Esports</t>
        </is>
      </c>
      <c r="AU69" s="24" t="inlineStr">
        <is>
          <t>Top Esports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82612f1b27d5065af8d70fd6669509ff00dc1c7e3a91bb423192bf3b0a9736ce</t>
        </is>
      </c>
      <c r="BB69" s="24" t="inlineStr">
        <is>
          <t>neutral_elo</t>
        </is>
      </c>
      <c r="BC69" s="24" t="inlineStr">
        <is>
          <t>lol-neutral-series-elo-v1</t>
        </is>
      </c>
      <c r="BD69" s="24" t="inlineStr">
        <is>
          <t>82612f1b27d5065af8d70fd6669509ff00dc1c7e3a91bb423192bf3b0a9736ce</t>
        </is>
      </c>
      <c r="BE69" s="24" t="inlineStr">
        <is>
          <t>1</t>
        </is>
      </c>
      <c r="BF69" s="24" t="inlineStr">
        <is>
          <t>1</t>
        </is>
      </c>
      <c r="BG69" s="24" t="inlineStr">
        <is>
          <t>unknown</t>
        </is>
      </c>
      <c r="BH69" s="24" t="inlineStr">
        <is>
          <t>2026-07-21T04:40:39.530059Z</t>
        </is>
      </c>
      <c r="BI69" s="24" t="inlineStr">
        <is>
          <t>["same_event","same_team_same_day","same_league_same_day"]</t>
        </is>
      </c>
      <c r="BJ69" s="38" t="n"/>
      <c r="BK69" s="26" t="n">
        <v>-203</v>
      </c>
      <c r="BL69" s="39" t="n">
        <v>1.492611</v>
      </c>
      <c r="BM69" s="28" t="n">
        <v>0.669967</v>
      </c>
      <c r="BN69" s="28" t="n"/>
      <c r="BO69" s="28" t="n"/>
      <c r="BP69" s="38" t="n"/>
      <c r="BQ69" s="39" t="n"/>
      <c r="BR69" s="28" t="n"/>
      <c r="BS69" s="28" t="n"/>
      <c r="BT69" s="28" t="n"/>
      <c r="BU69" s="38" t="n"/>
      <c r="BV69" s="29" t="n"/>
      <c r="BW69" s="24" t="n"/>
      <c r="BX69" s="40" t="n"/>
      <c r="BY69" s="39" t="n"/>
      <c r="BZ69" s="24" t="n"/>
      <c r="CA69" s="31" t="n"/>
    </row>
    <row r="70" ht="36" customHeight="1">
      <c r="A70" s="24" t="inlineStr">
        <is>
          <t>6bfc970ce3e64df9</t>
        </is>
      </c>
      <c r="B70" s="24" t="inlineStr">
        <is>
          <t>2026-07-21T04:40:39.852711Z</t>
        </is>
      </c>
      <c r="C70" s="24" t="inlineStr">
        <is>
          <t>2026-07-22T15:00:00Z</t>
        </is>
      </c>
      <c r="D70" s="24" t="inlineStr">
        <is>
          <t>56056</t>
        </is>
      </c>
      <c r="E70" s="24" t="inlineStr">
        <is>
          <t>LOL</t>
        </is>
      </c>
      <c r="F70" s="24" t="inlineStr">
        <is>
          <t>FALKE Esports</t>
        </is>
      </c>
      <c r="G70" s="24" t="inlineStr">
        <is>
          <t>UB Alma Mater</t>
        </is>
      </c>
      <c r="H70" s="24" t="inlineStr">
        <is>
          <t>moneyline</t>
        </is>
      </c>
      <c r="I70" s="24" t="inlineStr">
        <is>
          <t>home</t>
        </is>
      </c>
      <c r="J70" s="38" t="n"/>
      <c r="K70" s="24" t="inlineStr">
        <is>
          <t>polymarket_us</t>
        </is>
      </c>
      <c r="L70" s="26" t="n">
        <v>203</v>
      </c>
      <c r="M70" s="39" t="n">
        <v>3.03</v>
      </c>
      <c r="N70" s="28" t="n">
        <v>0.330033</v>
      </c>
      <c r="O70" s="28" t="n">
        <v>0.64693</v>
      </c>
      <c r="P70" s="28" t="n"/>
      <c r="Q70" s="28" t="n">
        <v>0.31693</v>
      </c>
      <c r="R70" s="26" t="n">
        <v>100</v>
      </c>
      <c r="S70" s="29" t="n">
        <v>2</v>
      </c>
      <c r="T70" s="24" t="inlineStr">
        <is>
          <t>lol-neutral-series-elo-v1</t>
        </is>
      </c>
      <c r="U70" s="24" t="inlineStr">
        <is>
          <t>open</t>
        </is>
      </c>
      <c r="V70" s="24" t="n"/>
      <c r="W70" s="26" t="n"/>
      <c r="X70" s="26" t="n"/>
      <c r="Y70" s="38" t="n"/>
      <c r="Z70" s="26" t="n"/>
      <c r="AA70" s="28" t="n"/>
      <c r="AB70" s="28" t="n"/>
      <c r="AC70" s="40" t="n"/>
      <c r="AD70" s="24" t="n"/>
      <c r="AE70" s="31" t="inlineStr">
        <is>
          <t>Neutral Elo baseline; executable ask 0.3300 (aec-lol-ub-flk-2026-07-22).</t>
        </is>
      </c>
      <c r="AF70" s="31" t="inlineStr">
        <is>
          <t>Research baseline; zero-unit shadow until qualified.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3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FALKE Esports</t>
        </is>
      </c>
      <c r="AQ70" s="24" t="inlineStr">
        <is>
          <t>FALKE Esports</t>
        </is>
      </c>
      <c r="AR70" s="24" t="inlineStr">
        <is>
          <t>FALKE Esports</t>
        </is>
      </c>
      <c r="AS70" s="24" t="inlineStr">
        <is>
          <t>UB Alma Mater</t>
        </is>
      </c>
      <c r="AT70" s="24" t="inlineStr">
        <is>
          <t>UB Alma Mater</t>
        </is>
      </c>
      <c r="AU70" s="24" t="inlineStr">
        <is>
          <t>UB Alma Mater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82612f1b27d5065af8d70fd6669509ff00dc1c7e3a91bb423192bf3b0a9736ce</t>
        </is>
      </c>
      <c r="BB70" s="24" t="inlineStr">
        <is>
          <t>neutral_elo</t>
        </is>
      </c>
      <c r="BC70" s="24" t="inlineStr">
        <is>
          <t>lol-neutral-series-elo-v1</t>
        </is>
      </c>
      <c r="BD70" s="24" t="inlineStr">
        <is>
          <t>82612f1b27d5065af8d70fd6669509ff00dc1c7e3a91bb423192bf3b0a9736ce</t>
        </is>
      </c>
      <c r="BE70" s="24" t="inlineStr">
        <is>
          <t>1</t>
        </is>
      </c>
      <c r="BF70" s="24" t="inlineStr">
        <is>
          <t>1</t>
        </is>
      </c>
      <c r="BG70" s="24" t="inlineStr">
        <is>
          <t>unknown</t>
        </is>
      </c>
      <c r="BH70" s="24" t="inlineStr">
        <is>
          <t>2026-07-21T04:40:39.852711Z</t>
        </is>
      </c>
      <c r="BI70" s="24" t="inlineStr">
        <is>
          <t>["same_event","same_team_same_day","same_league_same_day"]</t>
        </is>
      </c>
      <c r="BJ70" s="38" t="n"/>
      <c r="BK70" s="26" t="n">
        <v>203</v>
      </c>
      <c r="BL70" s="39" t="n">
        <v>3.03</v>
      </c>
      <c r="BM70" s="28" t="n">
        <v>0.330033</v>
      </c>
      <c r="BN70" s="28" t="n"/>
      <c r="BO70" s="28" t="n"/>
      <c r="BP70" s="38" t="n"/>
      <c r="BQ70" s="39" t="n"/>
      <c r="BR70" s="28" t="n"/>
      <c r="BS70" s="28" t="n"/>
      <c r="BT70" s="28" t="n"/>
      <c r="BU70" s="38" t="n"/>
      <c r="BV70" s="29" t="n"/>
      <c r="BW70" s="24" t="n"/>
      <c r="BX70" s="40" t="n"/>
      <c r="BY70" s="39" t="n"/>
      <c r="BZ70" s="24" t="n"/>
      <c r="CA70" s="31" t="n"/>
    </row>
    <row r="71" ht="36" customHeight="1">
      <c r="A71" s="24" t="inlineStr">
        <is>
          <t>9b7656db50b347b6</t>
        </is>
      </c>
      <c r="B71" s="24" t="inlineStr">
        <is>
          <t>2026-07-21T04:40:40.178590Z</t>
        </is>
      </c>
      <c r="C71" s="24" t="inlineStr">
        <is>
          <t>2026-07-22T17:30:00Z</t>
        </is>
      </c>
      <c r="D71" s="24" t="inlineStr">
        <is>
          <t>56127</t>
        </is>
      </c>
      <c r="E71" s="24" t="inlineStr">
        <is>
          <t>LOL</t>
        </is>
      </c>
      <c r="F71" s="24" t="inlineStr">
        <is>
          <t>UCAM Esports Club</t>
        </is>
      </c>
      <c r="G71" s="24" t="inlineStr">
        <is>
          <t>Barça eSports</t>
        </is>
      </c>
      <c r="H71" s="24" t="inlineStr">
        <is>
          <t>moneyline</t>
        </is>
      </c>
      <c r="I71" s="24" t="inlineStr">
        <is>
          <t>away</t>
        </is>
      </c>
      <c r="J71" s="38" t="n"/>
      <c r="K71" s="24" t="inlineStr">
        <is>
          <t>polymarket_us</t>
        </is>
      </c>
      <c r="L71" s="26" t="n">
        <v>-144</v>
      </c>
      <c r="M71" s="39" t="n">
        <v>1.694444</v>
      </c>
      <c r="N71" s="28" t="n">
        <v>0.590164</v>
      </c>
      <c r="O71" s="28" t="n">
        <v>0.6951349999999999</v>
      </c>
      <c r="P71" s="28" t="n"/>
      <c r="Q71" s="28" t="n">
        <v>0.105135</v>
      </c>
      <c r="R71" s="26" t="n">
        <v>100</v>
      </c>
      <c r="S71" s="29" t="n">
        <v>2</v>
      </c>
      <c r="T71" s="24" t="inlineStr">
        <is>
          <t>lol-neutral-series-elo-v1</t>
        </is>
      </c>
      <c r="U71" s="24" t="inlineStr">
        <is>
          <t>open</t>
        </is>
      </c>
      <c r="V71" s="24" t="n"/>
      <c r="W71" s="26" t="n"/>
      <c r="X71" s="26" t="n"/>
      <c r="Y71" s="38" t="n"/>
      <c r="Z71" s="26" t="n"/>
      <c r="AA71" s="28" t="n"/>
      <c r="AB71" s="28" t="n"/>
      <c r="AC71" s="40" t="n"/>
      <c r="AD71" s="24" t="n"/>
      <c r="AE71" s="31" t="inlineStr">
        <is>
          <t>Neutral Elo baseline; executable ask 0.5900 (aec-lol-bar-ucam-2026-07-22).</t>
        </is>
      </c>
      <c r="AF71" s="31" t="inlineStr">
        <is>
          <t>Research baseline; zero-unit shadow until qualified.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model_qualified</t>
        </is>
      </c>
      <c r="AL71" s="26" t="n">
        <v>3</v>
      </c>
      <c r="AM71" s="24" t="inlineStr">
        <is>
          <t>QUALIFIED_SHADOW_CALL</t>
        </is>
      </c>
      <c r="AN71" s="24" t="inlineStr">
        <is>
          <t>CALL</t>
        </is>
      </c>
      <c r="AO71" s="24" t="inlineStr">
        <is>
          <t>QUALIFIED</t>
        </is>
      </c>
      <c r="AP71" s="24" t="inlineStr">
        <is>
          <t>UCAM Esports Club</t>
        </is>
      </c>
      <c r="AQ71" s="24" t="inlineStr">
        <is>
          <t>UCAM Esports Club</t>
        </is>
      </c>
      <c r="AR71" s="24" t="inlineStr">
        <is>
          <t>UCAM Esports Club</t>
        </is>
      </c>
      <c r="AS71" s="24" t="inlineStr">
        <is>
          <t>Barça eSports</t>
        </is>
      </c>
      <c r="AT71" s="24" t="inlineStr">
        <is>
          <t>Barça eSports</t>
        </is>
      </c>
      <c r="AU71" s="24" t="inlineStr">
        <is>
          <t>Barça eSports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82612f1b27d5065af8d70fd6669509ff00dc1c7e3a91bb423192bf3b0a9736ce</t>
        </is>
      </c>
      <c r="BB71" s="24" t="inlineStr">
        <is>
          <t>neutral_elo</t>
        </is>
      </c>
      <c r="BC71" s="24" t="inlineStr">
        <is>
          <t>lol-neutral-series-elo-v1</t>
        </is>
      </c>
      <c r="BD71" s="24" t="inlineStr">
        <is>
          <t>82612f1b27d5065af8d70fd6669509ff00dc1c7e3a91bb423192bf3b0a9736ce</t>
        </is>
      </c>
      <c r="BE71" s="24" t="inlineStr">
        <is>
          <t>1</t>
        </is>
      </c>
      <c r="BF71" s="24" t="inlineStr">
        <is>
          <t>1</t>
        </is>
      </c>
      <c r="BG71" s="24" t="inlineStr">
        <is>
          <t>unknown</t>
        </is>
      </c>
      <c r="BH71" s="24" t="inlineStr">
        <is>
          <t>2026-07-21T04:40:40.178590Z</t>
        </is>
      </c>
      <c r="BI71" s="24" t="inlineStr">
        <is>
          <t>["same_event","same_team_same_day","same_league_same_day"]</t>
        </is>
      </c>
      <c r="BJ71" s="38" t="n"/>
      <c r="BK71" s="26" t="n">
        <v>-144</v>
      </c>
      <c r="BL71" s="39" t="n">
        <v>1.694444</v>
      </c>
      <c r="BM71" s="28" t="n">
        <v>0.590164</v>
      </c>
      <c r="BN71" s="28" t="n"/>
      <c r="BO71" s="28" t="n"/>
      <c r="BP71" s="38" t="n"/>
      <c r="BQ71" s="39" t="n"/>
      <c r="BR71" s="28" t="n"/>
      <c r="BS71" s="28" t="n"/>
      <c r="BT71" s="28" t="n"/>
      <c r="BU71" s="38" t="n"/>
      <c r="BV71" s="29" t="n"/>
      <c r="BW71" s="24" t="n"/>
      <c r="BX71" s="40" t="n"/>
      <c r="BY71" s="39" t="n"/>
      <c r="BZ71" s="24" t="n"/>
      <c r="CA71" s="31" t="n"/>
    </row>
    <row r="72" ht="36" customHeight="1">
      <c r="A72" s="24" t="inlineStr">
        <is>
          <t>c8e1a4ddb2b147b4</t>
        </is>
      </c>
      <c r="B72" s="24" t="inlineStr">
        <is>
          <t>2026-07-21T05:21:42.337431Z</t>
        </is>
      </c>
      <c r="C72" s="24" t="inlineStr">
        <is>
          <t>2026-07-21T18:30:00Z</t>
        </is>
      </c>
      <c r="D72" s="24" t="inlineStr">
        <is>
          <t>58068</t>
        </is>
      </c>
      <c r="E72" s="24" t="inlineStr">
        <is>
          <t>CS2</t>
        </is>
      </c>
      <c r="F72" s="24" t="inlineStr">
        <is>
          <t>Strael-Bora</t>
        </is>
      </c>
      <c r="G72" s="24" t="inlineStr">
        <is>
          <t>Bushido Wildcats</t>
        </is>
      </c>
      <c r="H72" s="24" t="inlineStr">
        <is>
          <t>moneyline</t>
        </is>
      </c>
      <c r="I72" s="24" t="inlineStr">
        <is>
          <t>home</t>
        </is>
      </c>
      <c r="J72" s="38" t="n"/>
      <c r="K72" s="24" t="inlineStr">
        <is>
          <t>polymarket_us</t>
        </is>
      </c>
      <c r="L72" s="26" t="n">
        <v>-223</v>
      </c>
      <c r="M72" s="39" t="n">
        <v>1.44843</v>
      </c>
      <c r="N72" s="28" t="n">
        <v>0.690402</v>
      </c>
      <c r="O72" s="28" t="n">
        <v>0.710718</v>
      </c>
      <c r="P72" s="28" t="n"/>
      <c r="Q72" s="28" t="n">
        <v>0.020718</v>
      </c>
      <c r="R72" s="26" t="n">
        <v>20</v>
      </c>
      <c r="S72" s="29" t="n">
        <v>2</v>
      </c>
      <c r="T72" s="24" t="inlineStr">
        <is>
          <t>cs2-neutral-series-elo-v1</t>
        </is>
      </c>
      <c r="U72" s="24" t="inlineStr">
        <is>
          <t>open</t>
        </is>
      </c>
      <c r="V72" s="24" t="n"/>
      <c r="W72" s="26" t="n"/>
      <c r="X72" s="26" t="n"/>
      <c r="Y72" s="38" t="n"/>
      <c r="Z72" s="26" t="n"/>
      <c r="AA72" s="28" t="n"/>
      <c r="AB72" s="28" t="n"/>
      <c r="AC72" s="40" t="n"/>
      <c r="AD72" s="24" t="n"/>
      <c r="AE72" s="31" t="inlineStr">
        <is>
          <t>Neutral Elo baseline; executable ask 0.6900 (aec-cs2-bw-sb-2026-07-21).</t>
        </is>
      </c>
      <c r="AF72" s="31" t="inlineStr">
        <is>
          <t>Research baseline; zero-unit shadow until qualified.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model_qualified</t>
        </is>
      </c>
      <c r="AL72" s="26" t="n">
        <v>3</v>
      </c>
      <c r="AM72" s="24" t="inlineStr">
        <is>
          <t>QUALIFIED_SHADOW_CALL</t>
        </is>
      </c>
      <c r="AN72" s="24" t="inlineStr">
        <is>
          <t>CALL</t>
        </is>
      </c>
      <c r="AO72" s="24" t="inlineStr">
        <is>
          <t>QUALIFIED</t>
        </is>
      </c>
      <c r="AP72" s="24" t="inlineStr">
        <is>
          <t>Strael-Bora</t>
        </is>
      </c>
      <c r="AQ72" s="24" t="inlineStr">
        <is>
          <t>Strael-Bora</t>
        </is>
      </c>
      <c r="AR72" s="24" t="inlineStr">
        <is>
          <t>Strael-Bora</t>
        </is>
      </c>
      <c r="AS72" s="24" t="inlineStr">
        <is>
          <t>Bushido Wildcats</t>
        </is>
      </c>
      <c r="AT72" s="24" t="inlineStr">
        <is>
          <t>Bushido Wildcats</t>
        </is>
      </c>
      <c r="AU72" s="24" t="inlineStr">
        <is>
          <t>Bushido Wildcats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9dbde86ab8062ac73a51c94b0ad431573ac8b755ccd742d86794849a749958c7</t>
        </is>
      </c>
      <c r="BB72" s="24" t="inlineStr">
        <is>
          <t>neutral_elo</t>
        </is>
      </c>
      <c r="BC72" s="24" t="inlineStr">
        <is>
          <t>cs2-neutral-series-elo-v1</t>
        </is>
      </c>
      <c r="BD72" s="24" t="inlineStr">
        <is>
          <t>9dbde86ab8062ac73a51c94b0ad431573ac8b755ccd742d86794849a749958c7</t>
        </is>
      </c>
      <c r="BE72" s="24" t="inlineStr">
        <is>
          <t>1</t>
        </is>
      </c>
      <c r="BF72" s="24" t="inlineStr">
        <is>
          <t>1</t>
        </is>
      </c>
      <c r="BG72" s="24" t="inlineStr">
        <is>
          <t>unknown</t>
        </is>
      </c>
      <c r="BH72" s="24" t="inlineStr">
        <is>
          <t>2026-07-21T05:21:42.337431Z</t>
        </is>
      </c>
      <c r="BI72" s="24" t="inlineStr">
        <is>
          <t>["same_event","same_team_same_day","same_league_same_day"]</t>
        </is>
      </c>
      <c r="BJ72" s="38" t="n"/>
      <c r="BK72" s="26" t="n">
        <v>-223</v>
      </c>
      <c r="BL72" s="39" t="n">
        <v>1.44843</v>
      </c>
      <c r="BM72" s="28" t="n">
        <v>0.690402</v>
      </c>
      <c r="BN72" s="28" t="n"/>
      <c r="BO72" s="28" t="n"/>
      <c r="BP72" s="38" t="n"/>
      <c r="BQ72" s="39" t="n"/>
      <c r="BR72" s="28" t="n"/>
      <c r="BS72" s="28" t="n"/>
      <c r="BT72" s="28" t="n"/>
      <c r="BU72" s="38" t="n"/>
      <c r="BV72" s="29" t="n"/>
      <c r="BW72" s="24" t="n"/>
      <c r="BX72" s="40" t="n"/>
      <c r="BY72" s="39" t="n"/>
      <c r="BZ72" s="24" t="n"/>
      <c r="CA72" s="31" t="n"/>
    </row>
    <row r="73" ht="36" customHeight="1">
      <c r="A73" s="24" t="inlineStr">
        <is>
          <t>29fb46cae668405f</t>
        </is>
      </c>
      <c r="B73" s="24" t="inlineStr">
        <is>
          <t>2026-07-21T08:13:56.528127Z</t>
        </is>
      </c>
      <c r="C73" s="24" t="inlineStr">
        <is>
          <t>2026-07-21T11:00:00Z</t>
        </is>
      </c>
      <c r="D73" s="24" t="inlineStr">
        <is>
          <t>57524</t>
        </is>
      </c>
      <c r="E73" s="24" t="inlineStr">
        <is>
          <t>CS2</t>
        </is>
      </c>
      <c r="F73" s="24" t="inlineStr">
        <is>
          <t>Entropy</t>
        </is>
      </c>
      <c r="G73" s="24" t="inlineStr">
        <is>
          <t>Esport Academy Copenhagen</t>
        </is>
      </c>
      <c r="H73" s="24" t="inlineStr">
        <is>
          <t>moneyline</t>
        </is>
      </c>
      <c r="I73" s="24" t="inlineStr">
        <is>
          <t>away</t>
        </is>
      </c>
      <c r="J73" s="38" t="n"/>
      <c r="K73" s="24" t="inlineStr">
        <is>
          <t>polymarket_us</t>
        </is>
      </c>
      <c r="L73" s="26" t="n">
        <v>-108</v>
      </c>
      <c r="M73" s="39" t="n">
        <v>1.925926</v>
      </c>
      <c r="N73" s="28" t="n">
        <v>0.519231</v>
      </c>
      <c r="O73" s="28" t="n">
        <v>0.602113</v>
      </c>
      <c r="P73" s="28" t="n"/>
      <c r="Q73" s="28" t="n">
        <v>0.08211300000000001</v>
      </c>
      <c r="R73" s="26" t="n">
        <v>82</v>
      </c>
      <c r="S73" s="29" t="n">
        <v>1.5</v>
      </c>
      <c r="T73" s="24" t="inlineStr">
        <is>
          <t>cs2-neutral-series-elo-v1</t>
        </is>
      </c>
      <c r="U73" s="24" t="inlineStr">
        <is>
          <t>open</t>
        </is>
      </c>
      <c r="V73" s="24" t="n"/>
      <c r="W73" s="26" t="n"/>
      <c r="X73" s="26" t="n"/>
      <c r="Y73" s="38" t="n"/>
      <c r="Z73" s="26" t="n"/>
      <c r="AA73" s="28" t="n"/>
      <c r="AB73" s="28" t="n"/>
      <c r="AC73" s="40" t="n"/>
      <c r="AD73" s="24" t="n"/>
      <c r="AE73" s="31" t="inlineStr">
        <is>
          <t>Neutral Elo baseline; executable ask 0.5200 (aec-cs2-eac-ent-2026-07-21).</t>
        </is>
      </c>
      <c r="AF73" s="31" t="inlineStr">
        <is>
          <t>Research baseline; zero-unit shadow until qualified.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model_qualified</t>
        </is>
      </c>
      <c r="AL73" s="26" t="n">
        <v>3</v>
      </c>
      <c r="AM73" s="24" t="inlineStr">
        <is>
          <t>QUALIFIED_SHADOW_CALL</t>
        </is>
      </c>
      <c r="AN73" s="24" t="inlineStr">
        <is>
          <t>CALL</t>
        </is>
      </c>
      <c r="AO73" s="24" t="inlineStr">
        <is>
          <t>QUALIFIED</t>
        </is>
      </c>
      <c r="AP73" s="24" t="inlineStr">
        <is>
          <t>Entropy</t>
        </is>
      </c>
      <c r="AQ73" s="24" t="inlineStr">
        <is>
          <t>Entropy</t>
        </is>
      </c>
      <c r="AR73" s="24" t="inlineStr">
        <is>
          <t>Entropy</t>
        </is>
      </c>
      <c r="AS73" s="24" t="inlineStr">
        <is>
          <t>Esport Academy Copenhagen</t>
        </is>
      </c>
      <c r="AT73" s="24" t="inlineStr">
        <is>
          <t>Esport Academy Copenhagen</t>
        </is>
      </c>
      <c r="AU73" s="24" t="inlineStr">
        <is>
          <t>Esport Academy Copenhagen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9dbde86ab8062ac73a51c94b0ad431573ac8b755ccd742d86794849a749958c7</t>
        </is>
      </c>
      <c r="BB73" s="24" t="inlineStr">
        <is>
          <t>neutral_elo</t>
        </is>
      </c>
      <c r="BC73" s="24" t="inlineStr">
        <is>
          <t>cs2-neutral-series-elo-v1</t>
        </is>
      </c>
      <c r="BD73" s="24" t="inlineStr">
        <is>
          <t>9dbde86ab8062ac73a51c94b0ad431573ac8b755ccd742d86794849a749958c7</t>
        </is>
      </c>
      <c r="BE73" s="24" t="inlineStr">
        <is>
          <t>1</t>
        </is>
      </c>
      <c r="BF73" s="24" t="inlineStr">
        <is>
          <t>1</t>
        </is>
      </c>
      <c r="BG73" s="24" t="inlineStr">
        <is>
          <t>unknown</t>
        </is>
      </c>
      <c r="BH73" s="24" t="inlineStr">
        <is>
          <t>2026-07-21T08:13:56.528127Z</t>
        </is>
      </c>
      <c r="BI73" s="24" t="inlineStr">
        <is>
          <t>["same_event","same_team_same_day","same_league_same_day"]</t>
        </is>
      </c>
      <c r="BJ73" s="38" t="n"/>
      <c r="BK73" s="26" t="n">
        <v>-108</v>
      </c>
      <c r="BL73" s="39" t="n">
        <v>1.925926</v>
      </c>
      <c r="BM73" s="28" t="n">
        <v>0.519231</v>
      </c>
      <c r="BN73" s="28" t="n"/>
      <c r="BO73" s="28" t="n"/>
      <c r="BP73" s="38" t="n"/>
      <c r="BQ73" s="39" t="n"/>
      <c r="BR73" s="28" t="n"/>
      <c r="BS73" s="28" t="n"/>
      <c r="BT73" s="28" t="n"/>
      <c r="BU73" s="38" t="n"/>
      <c r="BV73" s="29" t="n"/>
      <c r="BW73" s="24" t="n"/>
      <c r="BX73" s="40" t="n"/>
      <c r="BY73" s="39" t="n"/>
      <c r="BZ73" s="24" t="n"/>
      <c r="CA73" s="31" t="n"/>
    </row>
    <row r="74" ht="36" customHeight="1">
      <c r="A74" s="24" t="inlineStr">
        <is>
          <t>42c5e25bbaa741b6</t>
        </is>
      </c>
      <c r="B74" s="24" t="inlineStr">
        <is>
          <t>2026-07-21T08:13:57.068809Z</t>
        </is>
      </c>
      <c r="C74" s="24" t="inlineStr">
        <is>
          <t>2026-07-21T16:00:00Z</t>
        </is>
      </c>
      <c r="D74" s="24" t="inlineStr">
        <is>
          <t>56032</t>
        </is>
      </c>
      <c r="E74" s="24" t="inlineStr">
        <is>
          <t>CS2</t>
        </is>
      </c>
      <c r="F74" s="24" t="inlineStr">
        <is>
          <t>FOKUS</t>
        </is>
      </c>
      <c r="G74" s="24" t="inlineStr">
        <is>
          <t>Astralis</t>
        </is>
      </c>
      <c r="H74" s="24" t="inlineStr">
        <is>
          <t>moneyline</t>
        </is>
      </c>
      <c r="I74" s="24" t="inlineStr">
        <is>
          <t>home</t>
        </is>
      </c>
      <c r="J74" s="38" t="n"/>
      <c r="K74" s="24" t="inlineStr">
        <is>
          <t>polymarket_us</t>
        </is>
      </c>
      <c r="L74" s="26" t="n">
        <v>-233</v>
      </c>
      <c r="M74" s="39" t="n">
        <v>1.429185</v>
      </c>
      <c r="N74" s="28" t="n">
        <v>0.6997</v>
      </c>
      <c r="O74" s="28" t="n">
        <v>0.725656</v>
      </c>
      <c r="P74" s="28" t="n"/>
      <c r="Q74" s="28" t="n">
        <v>0.025656</v>
      </c>
      <c r="R74" s="26" t="n">
        <v>25</v>
      </c>
      <c r="S74" s="29" t="n">
        <v>2</v>
      </c>
      <c r="T74" s="24" t="inlineStr">
        <is>
          <t>cs2-neutral-series-elo-v1</t>
        </is>
      </c>
      <c r="U74" s="24" t="inlineStr">
        <is>
          <t>open</t>
        </is>
      </c>
      <c r="V74" s="24" t="n"/>
      <c r="W74" s="26" t="n"/>
      <c r="X74" s="26" t="n"/>
      <c r="Y74" s="38" t="n"/>
      <c r="Z74" s="26" t="n"/>
      <c r="AA74" s="28" t="n"/>
      <c r="AB74" s="28" t="n"/>
      <c r="AC74" s="40" t="n"/>
      <c r="AD74" s="24" t="n"/>
      <c r="AE74" s="31" t="inlineStr">
        <is>
          <t>Neutral Elo baseline; executable ask 0.7000 (aec-cs2-ast-fokus-2026-07-21).</t>
        </is>
      </c>
      <c r="AF74" s="31" t="inlineStr">
        <is>
          <t>Research baseline; zero-unit shadow until qualified.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model_qualified</t>
        </is>
      </c>
      <c r="AL74" s="26" t="n">
        <v>3</v>
      </c>
      <c r="AM74" s="24" t="inlineStr">
        <is>
          <t>QUALIFIED_SHADOW_CALL</t>
        </is>
      </c>
      <c r="AN74" s="24" t="inlineStr">
        <is>
          <t>CALL</t>
        </is>
      </c>
      <c r="AO74" s="24" t="inlineStr">
        <is>
          <t>QUALIFIED</t>
        </is>
      </c>
      <c r="AP74" s="24" t="inlineStr">
        <is>
          <t>FOKUS</t>
        </is>
      </c>
      <c r="AQ74" s="24" t="inlineStr">
        <is>
          <t>FOKUS</t>
        </is>
      </c>
      <c r="AR74" s="24" t="inlineStr">
        <is>
          <t>FOKUS</t>
        </is>
      </c>
      <c r="AS74" s="24" t="inlineStr">
        <is>
          <t>Astralis</t>
        </is>
      </c>
      <c r="AT74" s="24" t="inlineStr">
        <is>
          <t>Astralis</t>
        </is>
      </c>
      <c r="AU74" s="24" t="inlineStr">
        <is>
          <t>Astralis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9dbde86ab8062ac73a51c94b0ad431573ac8b755ccd742d86794849a749958c7</t>
        </is>
      </c>
      <c r="BB74" s="24" t="inlineStr">
        <is>
          <t>neutral_elo</t>
        </is>
      </c>
      <c r="BC74" s="24" t="inlineStr">
        <is>
          <t>cs2-neutral-series-elo-v1</t>
        </is>
      </c>
      <c r="BD74" s="24" t="inlineStr">
        <is>
          <t>9dbde86ab8062ac73a51c94b0ad431573ac8b755ccd742d86794849a749958c7</t>
        </is>
      </c>
      <c r="BE74" s="24" t="inlineStr">
        <is>
          <t>1</t>
        </is>
      </c>
      <c r="BF74" s="24" t="inlineStr">
        <is>
          <t>1</t>
        </is>
      </c>
      <c r="BG74" s="24" t="inlineStr">
        <is>
          <t>unknown</t>
        </is>
      </c>
      <c r="BH74" s="24" t="inlineStr">
        <is>
          <t>2026-07-21T08:13:57.068809Z</t>
        </is>
      </c>
      <c r="BI74" s="24" t="inlineStr">
        <is>
          <t>["same_event","same_team_same_day","same_league_same_day"]</t>
        </is>
      </c>
      <c r="BJ74" s="38" t="n"/>
      <c r="BK74" s="26" t="n">
        <v>-233</v>
      </c>
      <c r="BL74" s="39" t="n">
        <v>1.429185</v>
      </c>
      <c r="BM74" s="28" t="n">
        <v>0.6997</v>
      </c>
      <c r="BN74" s="28" t="n"/>
      <c r="BO74" s="28" t="n"/>
      <c r="BP74" s="38" t="n"/>
      <c r="BQ74" s="39" t="n"/>
      <c r="BR74" s="28" t="n"/>
      <c r="BS74" s="28" t="n"/>
      <c r="BT74" s="28" t="n"/>
      <c r="BU74" s="38" t="n"/>
      <c r="BV74" s="29" t="n"/>
      <c r="BW74" s="24" t="n"/>
      <c r="BX74" s="40" t="n"/>
      <c r="BY74" s="39" t="n"/>
      <c r="BZ74" s="24" t="n"/>
      <c r="CA74" s="31" t="n"/>
    </row>
    <row r="75" ht="36" customHeight="1">
      <c r="A75" s="24" t="inlineStr">
        <is>
          <t>e4f64939c21b430a</t>
        </is>
      </c>
      <c r="B75" s="24" t="inlineStr">
        <is>
          <t>2026-07-21T08:13:57.416034Z</t>
        </is>
      </c>
      <c r="C75" s="24" t="inlineStr">
        <is>
          <t>2026-07-21T17:00:00Z</t>
        </is>
      </c>
      <c r="D75" s="24" t="inlineStr">
        <is>
          <t>57988</t>
        </is>
      </c>
      <c r="E75" s="24" t="inlineStr">
        <is>
          <t>CS2</t>
        </is>
      </c>
      <c r="F75" s="24" t="inlineStr">
        <is>
          <t>Just Players</t>
        </is>
      </c>
      <c r="G75" s="24" t="inlineStr">
        <is>
          <t>ex-RUSTEC</t>
        </is>
      </c>
      <c r="H75" s="24" t="inlineStr">
        <is>
          <t>moneyline</t>
        </is>
      </c>
      <c r="I75" s="24" t="inlineStr">
        <is>
          <t>away</t>
        </is>
      </c>
      <c r="J75" s="38" t="n"/>
      <c r="K75" s="24" t="inlineStr">
        <is>
          <t>polymarket_us</t>
        </is>
      </c>
      <c r="L75" s="26" t="n">
        <v>-117</v>
      </c>
      <c r="M75" s="39" t="n">
        <v>1.854701</v>
      </c>
      <c r="N75" s="28" t="n">
        <v>0.539171</v>
      </c>
      <c r="O75" s="28" t="n">
        <v>0.6339399999999999</v>
      </c>
      <c r="P75" s="28" t="n"/>
      <c r="Q75" s="28" t="n">
        <v>0.09394</v>
      </c>
      <c r="R75" s="26" t="n">
        <v>93</v>
      </c>
      <c r="S75" s="29" t="n">
        <v>1.75</v>
      </c>
      <c r="T75" s="24" t="inlineStr">
        <is>
          <t>cs2-neutral-series-elo-v1</t>
        </is>
      </c>
      <c r="U75" s="24" t="inlineStr">
        <is>
          <t>open</t>
        </is>
      </c>
      <c r="V75" s="24" t="n"/>
      <c r="W75" s="26" t="n"/>
      <c r="X75" s="26" t="n"/>
      <c r="Y75" s="38" t="n"/>
      <c r="Z75" s="26" t="n"/>
      <c r="AA75" s="28" t="n"/>
      <c r="AB75" s="28" t="n"/>
      <c r="AC75" s="40" t="n"/>
      <c r="AD75" s="24" t="n"/>
      <c r="AE75" s="31" t="inlineStr">
        <is>
          <t>Neutral Elo baseline; executable ask 0.5400 (aec-cs2-erx-jpu-2026-07-21).</t>
        </is>
      </c>
      <c r="AF75" s="31" t="inlineStr">
        <is>
          <t>Research baseline; zero-unit shadow until qualified.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model_qualified</t>
        </is>
      </c>
      <c r="AL75" s="26" t="n">
        <v>3</v>
      </c>
      <c r="AM75" s="24" t="inlineStr">
        <is>
          <t>QUALIFIED_SHADOW_CALL</t>
        </is>
      </c>
      <c r="AN75" s="24" t="inlineStr">
        <is>
          <t>CALL</t>
        </is>
      </c>
      <c r="AO75" s="24" t="inlineStr">
        <is>
          <t>QUALIFIED</t>
        </is>
      </c>
      <c r="AP75" s="24" t="inlineStr">
        <is>
          <t>Just Players</t>
        </is>
      </c>
      <c r="AQ75" s="24" t="inlineStr">
        <is>
          <t>Just Players</t>
        </is>
      </c>
      <c r="AR75" s="24" t="inlineStr">
        <is>
          <t>Just Players</t>
        </is>
      </c>
      <c r="AS75" s="24" t="inlineStr">
        <is>
          <t>ex-RUSTEC</t>
        </is>
      </c>
      <c r="AT75" s="24" t="inlineStr">
        <is>
          <t>ex-RUSTEC</t>
        </is>
      </c>
      <c r="AU75" s="24" t="inlineStr">
        <is>
          <t>ex-RUSTEC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9dbde86ab8062ac73a51c94b0ad431573ac8b755ccd742d86794849a749958c7</t>
        </is>
      </c>
      <c r="BB75" s="24" t="inlineStr">
        <is>
          <t>neutral_elo</t>
        </is>
      </c>
      <c r="BC75" s="24" t="inlineStr">
        <is>
          <t>cs2-neutral-series-elo-v1</t>
        </is>
      </c>
      <c r="BD75" s="24" t="inlineStr">
        <is>
          <t>9dbde86ab8062ac73a51c94b0ad431573ac8b755ccd742d86794849a749958c7</t>
        </is>
      </c>
      <c r="BE75" s="24" t="inlineStr">
        <is>
          <t>1</t>
        </is>
      </c>
      <c r="BF75" s="24" t="inlineStr">
        <is>
          <t>1</t>
        </is>
      </c>
      <c r="BG75" s="24" t="inlineStr">
        <is>
          <t>unknown</t>
        </is>
      </c>
      <c r="BH75" s="24" t="inlineStr">
        <is>
          <t>2026-07-21T08:13:57.416034Z</t>
        </is>
      </c>
      <c r="BI75" s="24" t="inlineStr">
        <is>
          <t>["same_event","same_team_same_day","same_league_same_day"]</t>
        </is>
      </c>
      <c r="BJ75" s="38" t="n"/>
      <c r="BK75" s="26" t="n">
        <v>-117</v>
      </c>
      <c r="BL75" s="39" t="n">
        <v>1.854701</v>
      </c>
      <c r="BM75" s="28" t="n">
        <v>0.539171</v>
      </c>
      <c r="BN75" s="28" t="n"/>
      <c r="BO75" s="28" t="n"/>
      <c r="BP75" s="38" t="n"/>
      <c r="BQ75" s="39" t="n"/>
      <c r="BR75" s="28" t="n"/>
      <c r="BS75" s="28" t="n"/>
      <c r="BT75" s="28" t="n"/>
      <c r="BU75" s="38" t="n"/>
      <c r="BV75" s="29" t="n"/>
      <c r="BW75" s="24" t="n"/>
      <c r="BX75" s="40" t="n"/>
      <c r="BY75" s="39" t="n"/>
      <c r="BZ75" s="24" t="n"/>
      <c r="CA75" s="31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2026-07-21T08:13:57Z</dcterms:created>
  <dcterms:modified xsi:type="dcterms:W3CDTF">2026-07-21T08:14:27Z</dcterms:modified>
</cp:coreProperties>
</file>