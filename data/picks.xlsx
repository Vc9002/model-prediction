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35" headerRowCount="1">
  <autoFilter ref="A1:CA35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COUNTA('Picks'!$A$2:$A$35)</f>
        <v/>
      </c>
      <c r="C4" s="6">
        <f>COUNTIF('Picks'!$U$2:$U$35,"open")</f>
        <v/>
      </c>
      <c r="E4" s="6">
        <f>COUNTIF('Picks'!$U$2:$U$35,"settled")</f>
        <v/>
      </c>
      <c r="G4" s="6">
        <f>IF(COUNTIFS('Picks'!$U$2:$U$35,"settled",'Picks'!$V$2:$V$35,"win")+COUNTIFS('Picks'!$U$2:$U$35,"settled",'Picks'!$V$2:$V$35,"loss")&gt;=$L$2,"Ready","Insufficient sample")</f>
        <v/>
      </c>
    </row>
    <row r="5"/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COUNTIF('Picks'!$BX$2:$BX$35,"&gt;0")</f>
        <v/>
      </c>
      <c r="C7" s="6">
        <f>COUNTIFS('Picks'!$BX$2:$BX$35,"&gt;0",'Picks'!$V$2:$V$35,"win")&amp;"-"&amp;COUNTIFS('Picks'!$BX$2:$BX$35,"&gt;0",'Picks'!$V$2:$V$35,"loss")</f>
        <v/>
      </c>
      <c r="E7" s="32">
        <f>IFERROR(COUNTIFS('Picks'!$BX$2:$BX$35,"&gt;0",'Picks'!$V$2:$V$35,"win")/(COUNTIFS('Picks'!$BX$2:$BX$35,"&gt;0",'Picks'!$V$2:$V$35,"win")+COUNTIFS('Picks'!$BX$2:$BX$35,"&gt;0",'Picks'!$V$2:$V$35,"loss")),0)</f>
        <v/>
      </c>
      <c r="G7" s="32">
        <f>IFERROR(SUM('Picks'!$BY$2:$BY$35)/SUM('Picks'!$BX$2:$BX$35),0)</f>
        <v/>
      </c>
    </row>
    <row r="8"/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SUM('Picks'!$BY$2:$BY$35)</f>
        <v/>
      </c>
      <c r="C10" s="9">
        <f>IFERROR(AVERAGEIF('Picks'!$AB$2:$AB$35,"&lt;&gt;",'Picks'!$AB$2:$AB$35),0)</f>
        <v/>
      </c>
      <c r="E10" s="6">
        <f>COUNTIFS('Picks'!$AM$2:$AM$35,"QUALIFIED_SHADOW_CALL",'Picks'!$U$2:$U$35,"settled")</f>
        <v/>
      </c>
      <c r="G10" s="33">
        <f>SUMIFS('Picks'!$AC$2:$AC$35,'Picks'!$AM$2:$AM$35,"QUALIFIED_SHADOW_CALL")</f>
        <v/>
      </c>
    </row>
    <row r="11"/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COUNTIFS('Picks'!$H$2:$H$35,$A14,'Picks'!$U$2:$U$35,"settled")</f>
        <v/>
      </c>
      <c r="C14" s="13">
        <f>COUNTIFS('Picks'!$H$2:$H$35,$A14,'Picks'!$U$2:$U$35,"settled",'Picks'!$V$2:$V$35,"win")</f>
        <v/>
      </c>
      <c r="D14" s="13">
        <f>COUNTIFS('Picks'!$H$2:$H$35,$A14,'Picks'!$U$2:$U$35,"settled",'Picks'!$V$2:$V$35,"loss")</f>
        <v/>
      </c>
      <c r="E14" s="34">
        <f>IFERROR(C14/(C14+D14),0)</f>
        <v/>
      </c>
      <c r="F14" s="35">
        <f>SUMIFS('Picks'!$BY$2:$BY$35,'Picks'!$H$2:$H$35,$A14)</f>
        <v/>
      </c>
      <c r="G14" s="16">
        <f>IFERROR(AVERAGEIFS('Picks'!$AB$2:$AB$35,'Picks'!$H$2:$H$35,$A14,'Picks'!$U$2:$U$35,"settled"),0)</f>
        <v/>
      </c>
    </row>
    <row r="15">
      <c r="A15" s="17" t="inlineStr">
        <is>
          <t>spread</t>
        </is>
      </c>
      <c r="B15" s="18">
        <f>COUNTIFS('Picks'!$H$2:$H$35,$A15,'Picks'!$U$2:$U$35,"settled")</f>
        <v/>
      </c>
      <c r="C15" s="18">
        <f>COUNTIFS('Picks'!$H$2:$H$35,$A15,'Picks'!$U$2:$U$35,"settled",'Picks'!$V$2:$V$35,"win")</f>
        <v/>
      </c>
      <c r="D15" s="18">
        <f>COUNTIFS('Picks'!$H$2:$H$35,$A15,'Picks'!$U$2:$U$35,"settled",'Picks'!$V$2:$V$35,"loss")</f>
        <v/>
      </c>
      <c r="E15" s="36">
        <f>IFERROR(C15/(C15+D15),0)</f>
        <v/>
      </c>
      <c r="F15" s="37">
        <f>SUMIFS('Picks'!$BY$2:$BY$35,'Picks'!$H$2:$H$35,$A15)</f>
        <v/>
      </c>
      <c r="G15" s="21">
        <f>IFERROR(AVERAGEIFS('Picks'!$AB$2:$AB$35,'Picks'!$H$2:$H$35,$A15,'Picks'!$U$2:$U$35,"settled"),0)</f>
        <v/>
      </c>
    </row>
    <row r="16">
      <c r="A16" s="12" t="inlineStr">
        <is>
          <t>total</t>
        </is>
      </c>
      <c r="B16" s="13">
        <f>COUNTIFS('Picks'!$H$2:$H$35,$A16,'Picks'!$U$2:$U$35,"settled")</f>
        <v/>
      </c>
      <c r="C16" s="13">
        <f>COUNTIFS('Picks'!$H$2:$H$35,$A16,'Picks'!$U$2:$U$35,"settled",'Picks'!$V$2:$V$35,"win")</f>
        <v/>
      </c>
      <c r="D16" s="13">
        <f>COUNTIFS('Picks'!$H$2:$H$35,$A16,'Picks'!$U$2:$U$35,"settled",'Picks'!$V$2:$V$35,"loss")</f>
        <v/>
      </c>
      <c r="E16" s="34">
        <f>IFERROR(C16/(C16+D16),0)</f>
        <v/>
      </c>
      <c r="F16" s="35">
        <f>SUMIFS('Picks'!$BY$2:$BY$35,'Picks'!$H$2:$H$35,$A16)</f>
        <v/>
      </c>
      <c r="G16" s="16">
        <f>IFERROR(AVERAGEIFS('Picks'!$AB$2:$AB$35,'Picks'!$H$2:$H$35,$A16,'Picks'!$U$2:$U$35,"settled"),0)</f>
        <v/>
      </c>
    </row>
    <row r="17"/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-133</v>
      </c>
      <c r="M3" s="39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38" t="n"/>
      <c r="Z3" s="26" t="n"/>
      <c r="AA3" s="28" t="n"/>
      <c r="AB3" s="28" t="n"/>
      <c r="AC3" s="4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38" t="n"/>
      <c r="BK3" s="26" t="n">
        <v>-133</v>
      </c>
      <c r="BL3" s="39" t="n">
        <v>1.75188</v>
      </c>
      <c r="BM3" s="28" t="n">
        <v>0.570815</v>
      </c>
      <c r="BN3" s="28" t="n">
        <v>0.567164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>
        <v>1</v>
      </c>
      <c r="BY3" s="39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-102</v>
      </c>
      <c r="M4" s="39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38" t="n"/>
      <c r="Z4" s="26" t="n"/>
      <c r="AA4" s="28" t="n"/>
      <c r="AB4" s="28" t="n"/>
      <c r="AC4" s="4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38" t="n"/>
      <c r="BK4" s="26" t="n">
        <v>-102</v>
      </c>
      <c r="BL4" s="39" t="n">
        <v>1.980392</v>
      </c>
      <c r="BM4" s="28" t="n">
        <v>0.50495</v>
      </c>
      <c r="BN4" s="28" t="n">
        <v>0.502488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-133</v>
      </c>
      <c r="M5" s="39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38" t="n"/>
      <c r="Z5" s="26" t="n"/>
      <c r="AA5" s="28" t="n"/>
      <c r="AB5" s="28" t="n"/>
      <c r="AC5" s="4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38" t="n"/>
      <c r="BK5" s="26" t="n">
        <v>-133</v>
      </c>
      <c r="BL5" s="39" t="n">
        <v>1.75188</v>
      </c>
      <c r="BM5" s="28" t="n">
        <v>0.570815</v>
      </c>
      <c r="BN5" s="28" t="n">
        <v>0.567164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-104</v>
      </c>
      <c r="M6" s="39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38" t="n"/>
      <c r="Z6" s="26" t="n"/>
      <c r="AA6" s="28" t="n"/>
      <c r="AB6" s="28" t="n"/>
      <c r="AC6" s="4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38" t="n"/>
      <c r="BK6" s="26" t="n">
        <v>-104</v>
      </c>
      <c r="BL6" s="39" t="n">
        <v>1.961538</v>
      </c>
      <c r="BM6" s="28" t="n">
        <v>0.509804</v>
      </c>
      <c r="BN6" s="28" t="n">
        <v>0.507463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38" t="n"/>
      <c r="Z7" s="26" t="n"/>
      <c r="AA7" s="28" t="n"/>
      <c r="AB7" s="28" t="n"/>
      <c r="AC7" s="4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-106</v>
      </c>
      <c r="M8" s="39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38" t="n"/>
      <c r="Z8" s="26" t="n"/>
      <c r="AA8" s="28" t="n"/>
      <c r="AB8" s="28" t="n"/>
      <c r="AC8" s="4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38" t="n"/>
      <c r="BK8" s="26" t="n">
        <v>-106</v>
      </c>
      <c r="BL8" s="39" t="n">
        <v>1.943396</v>
      </c>
      <c r="BM8" s="28" t="n">
        <v>0.514563</v>
      </c>
      <c r="BN8" s="28" t="n">
        <v>0.5124379999999999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-102</v>
      </c>
      <c r="M9" s="39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38" t="n"/>
      <c r="Z9" s="26" t="n"/>
      <c r="AA9" s="28" t="n"/>
      <c r="AB9" s="28" t="n"/>
      <c r="AC9" s="4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38" t="n"/>
      <c r="BK9" s="26" t="n">
        <v>-102</v>
      </c>
      <c r="BL9" s="39" t="n">
        <v>1.980392</v>
      </c>
      <c r="BM9" s="28" t="n">
        <v>0.50495</v>
      </c>
      <c r="BN9" s="28" t="n">
        <v>0.502488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-138</v>
      </c>
      <c r="M10" s="39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38" t="n"/>
      <c r="Z10" s="26" t="n"/>
      <c r="AA10" s="28" t="n"/>
      <c r="AB10" s="28" t="n"/>
      <c r="AC10" s="4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38" t="n"/>
      <c r="BK10" s="26" t="n">
        <v>-138</v>
      </c>
      <c r="BL10" s="39" t="n">
        <v>1.724638</v>
      </c>
      <c r="BM10" s="28" t="n">
        <v>0.579832</v>
      </c>
      <c r="BN10" s="28" t="n">
        <v>0.577114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102</v>
      </c>
      <c r="M11" s="39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38" t="n"/>
      <c r="Z11" s="26" t="n"/>
      <c r="AA11" s="28" t="n"/>
      <c r="AB11" s="28" t="n"/>
      <c r="AC11" s="4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38" t="n"/>
      <c r="BK11" s="26" t="n">
        <v>102</v>
      </c>
      <c r="BL11" s="39" t="n">
        <v>2.02</v>
      </c>
      <c r="BM11" s="28" t="n">
        <v>0.49505</v>
      </c>
      <c r="BN11" s="28" t="n">
        <v>0.492537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-102</v>
      </c>
      <c r="M12" s="39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38" t="n"/>
      <c r="Z12" s="26" t="n"/>
      <c r="AA12" s="28" t="n"/>
      <c r="AB12" s="28" t="n"/>
      <c r="AC12" s="4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38" t="n"/>
      <c r="BK12" s="26" t="n">
        <v>-102</v>
      </c>
      <c r="BL12" s="39" t="n">
        <v>1.980392</v>
      </c>
      <c r="BM12" s="28" t="n">
        <v>0.50495</v>
      </c>
      <c r="BN12" s="28" t="n">
        <v>0.502488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38" t="n"/>
      <c r="Z13" s="26" t="n"/>
      <c r="AA13" s="28" t="n"/>
      <c r="AB13" s="28" t="n"/>
      <c r="AC13" s="4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-104</v>
      </c>
      <c r="M14" s="39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38" t="n"/>
      <c r="Z14" s="26" t="n"/>
      <c r="AA14" s="28" t="n"/>
      <c r="AB14" s="28" t="n"/>
      <c r="AC14" s="4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38" t="n"/>
      <c r="BK14" s="26" t="n">
        <v>-104</v>
      </c>
      <c r="BL14" s="39" t="n">
        <v>1.961538</v>
      </c>
      <c r="BM14" s="28" t="n">
        <v>0.509804</v>
      </c>
      <c r="BN14" s="28" t="n">
        <v>0.507463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>
        <v>1</v>
      </c>
      <c r="BY14" s="39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-104</v>
      </c>
      <c r="M15" s="39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38" t="n"/>
      <c r="Z15" s="26" t="n"/>
      <c r="AA15" s="28" t="n"/>
      <c r="AB15" s="28" t="n"/>
      <c r="AC15" s="4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38" t="n"/>
      <c r="BK15" s="26" t="n">
        <v>-104</v>
      </c>
      <c r="BL15" s="39" t="n">
        <v>1.961538</v>
      </c>
      <c r="BM15" s="28" t="n">
        <v>0.509804</v>
      </c>
      <c r="BN15" s="28" t="n">
        <v>0.507463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>
        <v>1</v>
      </c>
      <c r="BY15" s="39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-111</v>
      </c>
      <c r="M16" s="39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38" t="n"/>
      <c r="Z16" s="26" t="n"/>
      <c r="AA16" s="28" t="n"/>
      <c r="AB16" s="28" t="n"/>
      <c r="AC16" s="4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38" t="n"/>
      <c r="BK16" s="26" t="n">
        <v>-111</v>
      </c>
      <c r="BL16" s="39" t="n">
        <v>1.900901</v>
      </c>
      <c r="BM16" s="28" t="n">
        <v>0.526066</v>
      </c>
      <c r="BN16" s="28" t="n">
        <v>0.522388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>
        <v>1</v>
      </c>
      <c r="BY16" s="39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-108</v>
      </c>
      <c r="M17" s="39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38" t="n"/>
      <c r="Z17" s="26" t="n"/>
      <c r="AA17" s="28" t="n"/>
      <c r="AB17" s="28" t="n"/>
      <c r="AC17" s="4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38" t="n"/>
      <c r="BK17" s="26" t="n">
        <v>-108</v>
      </c>
      <c r="BL17" s="39" t="n">
        <v>1.925926</v>
      </c>
      <c r="BM17" s="28" t="n">
        <v>0.519231</v>
      </c>
      <c r="BN17" s="28" t="n">
        <v>0.5148509999999999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>
        <v>1</v>
      </c>
      <c r="BY17" s="39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111</v>
      </c>
      <c r="M18" s="39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38" t="n"/>
      <c r="Z18" s="26" t="n"/>
      <c r="AA18" s="28" t="n"/>
      <c r="AB18" s="28" t="n"/>
      <c r="AC18" s="4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38" t="n"/>
      <c r="BK18" s="26" t="n">
        <v>111</v>
      </c>
      <c r="BL18" s="39" t="n">
        <v>2.11</v>
      </c>
      <c r="BM18" s="28" t="n">
        <v>0.473934</v>
      </c>
      <c r="BN18" s="28" t="n">
        <v>0.472637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>
        <v>1</v>
      </c>
      <c r="BY18" s="39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-125</v>
      </c>
      <c r="M19" s="39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38" t="n"/>
      <c r="Z19" s="26" t="n"/>
      <c r="AA19" s="28" t="n"/>
      <c r="AB19" s="28" t="n"/>
      <c r="AC19" s="4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38" t="n"/>
      <c r="BK19" s="26" t="n">
        <v>-125</v>
      </c>
      <c r="BL19" s="39" t="n">
        <v>1.8</v>
      </c>
      <c r="BM19" s="28" t="n">
        <v>0.555556</v>
      </c>
      <c r="BN19" s="28" t="n">
        <v>0.552239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>
        <v>1</v>
      </c>
      <c r="BY19" s="39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38" t="n"/>
      <c r="K20" s="24" t="inlineStr">
        <is>
          <t>polymarket_us</t>
        </is>
      </c>
      <c r="L20" s="26" t="n">
        <v>106</v>
      </c>
      <c r="M20" s="39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38" t="n"/>
      <c r="Z20" s="26" t="n"/>
      <c r="AA20" s="28" t="n"/>
      <c r="AB20" s="28" t="n"/>
      <c r="AC20" s="4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38" t="n"/>
      <c r="BK20" s="26" t="n">
        <v>106</v>
      </c>
      <c r="BL20" s="39" t="n">
        <v>2.06</v>
      </c>
      <c r="BM20" s="28" t="n">
        <v>0.485437</v>
      </c>
      <c r="BN20" s="28" t="n">
        <v>0.482587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>
        <v>1</v>
      </c>
      <c r="BY20" s="39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</t>
        </is>
      </c>
      <c r="L21" s="26" t="n">
        <v>-106</v>
      </c>
      <c r="M21" s="39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38" t="n"/>
      <c r="Z21" s="26" t="n"/>
      <c r="AA21" s="28" t="n"/>
      <c r="AB21" s="28" t="n"/>
      <c r="AC21" s="4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38" t="n"/>
      <c r="BK21" s="26" t="n">
        <v>-106</v>
      </c>
      <c r="BL21" s="39" t="n">
        <v>1.943396</v>
      </c>
      <c r="BM21" s="28" t="n">
        <v>0.514563</v>
      </c>
      <c r="BN21" s="28" t="n">
        <v>0.5124379999999999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</t>
        </is>
      </c>
      <c r="L22" s="26" t="n">
        <v>-106</v>
      </c>
      <c r="M22" s="39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38" t="n"/>
      <c r="Z22" s="26" t="n"/>
      <c r="AA22" s="28" t="n"/>
      <c r="AB22" s="28" t="n"/>
      <c r="AC22" s="4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38" t="n"/>
      <c r="BK22" s="26" t="n">
        <v>-106</v>
      </c>
      <c r="BL22" s="39" t="n">
        <v>1.943396</v>
      </c>
      <c r="BM22" s="28" t="n">
        <v>0.514563</v>
      </c>
      <c r="BN22" s="28" t="n">
        <v>0.5124379999999999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</t>
        </is>
      </c>
      <c r="L23" s="26" t="n">
        <v>-141</v>
      </c>
      <c r="M23" s="39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38" t="n"/>
      <c r="Z23" s="26" t="n"/>
      <c r="AA23" s="28" t="n"/>
      <c r="AB23" s="28" t="n"/>
      <c r="AC23" s="4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38" t="n"/>
      <c r="BK23" s="26" t="n">
        <v>-141</v>
      </c>
      <c r="BL23" s="39" t="n">
        <v>1.70922</v>
      </c>
      <c r="BM23" s="28" t="n">
        <v>0.585062</v>
      </c>
      <c r="BN23" s="28" t="n">
        <v>0.58209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</t>
        </is>
      </c>
      <c r="L24" s="26" t="n">
        <v>-133</v>
      </c>
      <c r="M24" s="39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38" t="n"/>
      <c r="Z24" s="26" t="n"/>
      <c r="AA24" s="28" t="n"/>
      <c r="AB24" s="28" t="n"/>
      <c r="AC24" s="4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38" t="n"/>
      <c r="BK24" s="26" t="n">
        <v>-133</v>
      </c>
      <c r="BL24" s="39" t="n">
        <v>1.75188</v>
      </c>
      <c r="BM24" s="28" t="n">
        <v>0.570815</v>
      </c>
      <c r="BN24" s="28" t="n">
        <v>0.567164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38" t="n"/>
      <c r="K25" s="24" t="inlineStr">
        <is>
          <t>polymarket</t>
        </is>
      </c>
      <c r="L25" s="26" t="n">
        <v>104</v>
      </c>
      <c r="M25" s="39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38" t="n"/>
      <c r="Z25" s="26" t="n"/>
      <c r="AA25" s="28" t="n"/>
      <c r="AB25" s="28" t="n"/>
      <c r="AC25" s="4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38" t="n"/>
      <c r="BK25" s="26" t="n">
        <v>104</v>
      </c>
      <c r="BL25" s="39" t="n">
        <v>2.04</v>
      </c>
      <c r="BM25" s="28" t="n">
        <v>0.490196</v>
      </c>
      <c r="BN25" s="28" t="n">
        <v>0.487562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38" t="n"/>
      <c r="K26" s="24" t="inlineStr">
        <is>
          <t>polymarket</t>
        </is>
      </c>
      <c r="L26" s="26" t="n">
        <v>-104</v>
      </c>
      <c r="M26" s="39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38" t="n"/>
      <c r="Z26" s="26" t="n"/>
      <c r="AA26" s="28" t="n"/>
      <c r="AB26" s="28" t="n"/>
      <c r="AC26" s="4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38" t="n"/>
      <c r="BK26" s="26" t="n">
        <v>-104</v>
      </c>
      <c r="BL26" s="39" t="n">
        <v>1.961538</v>
      </c>
      <c r="BM26" s="28" t="n">
        <v>0.509804</v>
      </c>
      <c r="BN26" s="28" t="n">
        <v>0.507463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</t>
        </is>
      </c>
      <c r="L27" s="26" t="n">
        <v>120</v>
      </c>
      <c r="M27" s="39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38" t="n"/>
      <c r="Z27" s="26" t="n"/>
      <c r="AA27" s="28" t="n"/>
      <c r="AB27" s="28" t="n"/>
      <c r="AC27" s="4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38" t="n"/>
      <c r="BK27" s="26" t="n">
        <v>120</v>
      </c>
      <c r="BL27" s="39" t="n">
        <v>2.2</v>
      </c>
      <c r="BM27" s="28" t="n">
        <v>0.454545</v>
      </c>
      <c r="BN27" s="28" t="n">
        <v>0.452736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</t>
        </is>
      </c>
      <c r="L28" s="26" t="n">
        <v>100</v>
      </c>
      <c r="M28" s="39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38" t="n"/>
      <c r="Z28" s="26" t="n"/>
      <c r="AA28" s="28" t="n"/>
      <c r="AB28" s="28" t="n"/>
      <c r="AC28" s="4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38" t="n"/>
      <c r="BK28" s="26" t="n">
        <v>100</v>
      </c>
      <c r="BL28" s="39" t="n">
        <v>2</v>
      </c>
      <c r="BM28" s="28" t="n">
        <v>0.5</v>
      </c>
      <c r="BN28" s="28" t="n">
        <v>0.497512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108</v>
      </c>
      <c r="M29" s="39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38" t="n"/>
      <c r="Z29" s="26" t="n"/>
      <c r="AA29" s="28" t="n"/>
      <c r="AB29" s="28" t="n"/>
      <c r="AC29" s="4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38" t="n"/>
      <c r="BK29" s="26" t="n">
        <v>108</v>
      </c>
      <c r="BL29" s="39" t="n">
        <v>2.08</v>
      </c>
      <c r="BM29" s="28" t="n">
        <v>0.480769</v>
      </c>
      <c r="BN29" s="28" t="n">
        <v>0.477612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>
        <v>1</v>
      </c>
      <c r="BY29" s="39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38" t="n"/>
      <c r="K30" s="24" t="inlineStr">
        <is>
          <t>polymarket_us</t>
        </is>
      </c>
      <c r="L30" s="26" t="n">
        <v>-133</v>
      </c>
      <c r="M30" s="39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38" t="n"/>
      <c r="Z30" s="26" t="n"/>
      <c r="AA30" s="28" t="n"/>
      <c r="AB30" s="28" t="n"/>
      <c r="AC30" s="4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38" t="n"/>
      <c r="BK30" s="26" t="n">
        <v>-133</v>
      </c>
      <c r="BL30" s="39" t="n">
        <v>1.75188</v>
      </c>
      <c r="BM30" s="28" t="n">
        <v>0.570815</v>
      </c>
      <c r="BN30" s="28" t="n">
        <v>0.567164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>
        <v>1</v>
      </c>
      <c r="BY30" s="39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130</v>
      </c>
      <c r="M31" s="39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38" t="n"/>
      <c r="Z31" s="26" t="n"/>
      <c r="AA31" s="28" t="n"/>
      <c r="AB31" s="28" t="n"/>
      <c r="AC31" s="4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38" t="n"/>
      <c r="BK31" s="26" t="n">
        <v>130</v>
      </c>
      <c r="BL31" s="39" t="n">
        <v>2.3</v>
      </c>
      <c r="BM31" s="28" t="n">
        <v>0.434783</v>
      </c>
      <c r="BN31" s="28" t="n">
        <v>0.432836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>
        <v>1</v>
      </c>
      <c r="BY31" s="39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3b298c42597d4a62</t>
        </is>
      </c>
      <c r="B32" s="24" t="inlineStr">
        <is>
          <t>2026-07-20T15:22:23.198190Z</t>
        </is>
      </c>
      <c r="C32" s="24" t="inlineStr">
        <is>
          <t>2026-07-20T18:40:00-0400</t>
        </is>
      </c>
      <c r="D32" s="24" t="inlineStr">
        <is>
          <t>401816188</t>
        </is>
      </c>
      <c r="E32" s="24" t="inlineStr">
        <is>
          <t>MLB</t>
        </is>
      </c>
      <c r="F32" s="24" t="inlineStr">
        <is>
          <t>Minnesota Twins</t>
        </is>
      </c>
      <c r="G32" s="24" t="inlineStr">
        <is>
          <t>Cleveland Guardians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111</v>
      </c>
      <c r="M32" s="39" t="n">
        <v>2.11</v>
      </c>
      <c r="N32" s="28" t="n">
        <v>0.473934</v>
      </c>
      <c r="O32" s="28" t="n">
        <v>0.5726869999999999</v>
      </c>
      <c r="P32" s="28" t="n"/>
      <c r="Q32" s="28" t="n">
        <v>0.09875299999999999</v>
      </c>
      <c r="R32" s="26" t="n">
        <v>99</v>
      </c>
      <c r="S32" s="29" t="n">
        <v>1.25</v>
      </c>
      <c r="T32" s="24" t="inlineStr">
        <is>
          <t>mlb-elo-trend-lr-v4</t>
        </is>
      </c>
      <c r="U32" s="24" t="inlineStr">
        <is>
          <t>open</t>
        </is>
      </c>
      <c r="V32" s="24" t="n"/>
      <c r="W32" s="26" t="n"/>
      <c r="X32" s="26" t="n"/>
      <c r="Y32" s="38" t="n"/>
      <c r="Z32" s="26" t="n"/>
      <c r="AA32" s="28" t="n"/>
      <c r="AB32" s="28" t="n"/>
      <c r="AC32" s="40" t="n"/>
      <c r="AD32" s="24" t="n"/>
      <c r="AE32" s="31" t="inlineStr">
        <is>
          <t>Learned LR call at threshold 0.5500; executable ask 0.4750 (aec-mlb-min-cle-2026-07-20).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NO_CALL_LARGE_DISAGREEMENT_REVIEW</t>
        </is>
      </c>
      <c r="AP32" s="24" t="inlineStr">
        <is>
          <t>mlb-min</t>
        </is>
      </c>
      <c r="AQ32" s="24" t="inlineStr">
        <is>
          <t>Minnesota Twins</t>
        </is>
      </c>
      <c r="AR32" s="24" t="inlineStr">
        <is>
          <t>Minnesota Twins</t>
        </is>
      </c>
      <c r="AS32" s="24" t="inlineStr">
        <is>
          <t>mlb-cle</t>
        </is>
      </c>
      <c r="AT32" s="24" t="inlineStr">
        <is>
          <t>Cleveland Guardians</t>
        </is>
      </c>
      <c r="AU32" s="24" t="inlineStr">
        <is>
          <t>Cleveland Guardians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2170ac399ced5417</t>
        </is>
      </c>
      <c r="BF32" s="24" t="inlineStr">
        <is>
          <t>1</t>
        </is>
      </c>
      <c r="BG32" s="24" t="inlineStr">
        <is>
          <t>mlb-elo-trend-lr-v4</t>
        </is>
      </c>
      <c r="BH32" s="24" t="inlineStr">
        <is>
          <t>2026-07-20T14:57:32.219947Z</t>
        </is>
      </c>
      <c r="BI32" s="24" t="inlineStr">
        <is>
          <t>["same_event","same_team_same_day","same_league_same_day"]</t>
        </is>
      </c>
      <c r="BJ32" s="38" t="n"/>
      <c r="BK32" s="26" t="n">
        <v>111</v>
      </c>
      <c r="BL32" s="39" t="n">
        <v>2.11</v>
      </c>
      <c r="BM32" s="28" t="n">
        <v>0.473934</v>
      </c>
      <c r="BN32" s="28" t="n">
        <v>0.472637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/>
      <c r="BY32" s="39" t="n"/>
      <c r="BZ32" s="24" t="n"/>
      <c r="CA32" s="31" t="n"/>
    </row>
    <row r="33" ht="36" customHeight="1">
      <c r="A33" s="24" t="inlineStr">
        <is>
          <t>81ad16e9351d4806</t>
        </is>
      </c>
      <c r="B33" s="24" t="inlineStr">
        <is>
          <t>2026-07-20T15:22:23.198190Z</t>
        </is>
      </c>
      <c r="C33" s="24" t="inlineStr">
        <is>
          <t>2026-07-20T19:05:00-0400</t>
        </is>
      </c>
      <c r="D33" s="24" t="inlineStr">
        <is>
          <t>401816189</t>
        </is>
      </c>
      <c r="E33" s="24" t="inlineStr">
        <is>
          <t>MLB</t>
        </is>
      </c>
      <c r="F33" s="24" t="inlineStr">
        <is>
          <t>Pittsburgh Pirates</t>
        </is>
      </c>
      <c r="G33" s="24" t="inlineStr">
        <is>
          <t>New York Yankees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-108</v>
      </c>
      <c r="M33" s="39" t="n">
        <v>1.925926</v>
      </c>
      <c r="N33" s="28" t="n">
        <v>0.519231</v>
      </c>
      <c r="O33" s="28" t="n">
        <v>0.578558</v>
      </c>
      <c r="P33" s="28" t="n"/>
      <c r="Q33" s="28" t="n">
        <v>0.059327</v>
      </c>
      <c r="R33" s="26" t="n">
        <v>50</v>
      </c>
      <c r="S33" s="29" t="n">
        <v>1.25</v>
      </c>
      <c r="T33" s="24" t="inlineStr">
        <is>
          <t>mlb-elo-trend-lr-v4</t>
        </is>
      </c>
      <c r="U33" s="24" t="inlineStr">
        <is>
          <t>open</t>
        </is>
      </c>
      <c r="V33" s="24" t="n"/>
      <c r="W33" s="26" t="n"/>
      <c r="X33" s="26" t="n"/>
      <c r="Y33" s="38" t="n"/>
      <c r="Z33" s="26" t="n"/>
      <c r="AA33" s="28" t="n"/>
      <c r="AB33" s="28" t="n"/>
      <c r="AC33" s="40" t="n"/>
      <c r="AD33" s="24" t="n"/>
      <c r="AE33" s="31" t="inlineStr">
        <is>
          <t>Learned LR call at threshold 0.5500; executable ask 0.5200 (aec-mlb-pit-nyy-2026-07-20).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mlb-pit</t>
        </is>
      </c>
      <c r="AQ33" s="24" t="inlineStr">
        <is>
          <t>Pittsburgh Pirates</t>
        </is>
      </c>
      <c r="AR33" s="24" t="inlineStr">
        <is>
          <t>Pittsburgh Pirates</t>
        </is>
      </c>
      <c r="AS33" s="24" t="inlineStr">
        <is>
          <t>mlb-nyy</t>
        </is>
      </c>
      <c r="AT33" s="24" t="inlineStr">
        <is>
          <t>New York Yankees</t>
        </is>
      </c>
      <c r="AU33" s="24" t="inlineStr">
        <is>
          <t>New York Yankees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38ab7db5a3798f0c</t>
        </is>
      </c>
      <c r="BF33" s="24" t="inlineStr">
        <is>
          <t>1</t>
        </is>
      </c>
      <c r="BG33" s="24" t="inlineStr">
        <is>
          <t>mlb-elo-trend-lr-v4</t>
        </is>
      </c>
      <c r="BH33" s="24" t="inlineStr">
        <is>
          <t>2026-07-20T14:57:35.056972Z</t>
        </is>
      </c>
      <c r="BI33" s="24" t="inlineStr">
        <is>
          <t>["same_event","same_team_same_day","same_league_same_day"]</t>
        </is>
      </c>
      <c r="BJ33" s="38" t="n"/>
      <c r="BK33" s="26" t="n">
        <v>-108</v>
      </c>
      <c r="BL33" s="39" t="n">
        <v>1.925926</v>
      </c>
      <c r="BM33" s="28" t="n">
        <v>0.519231</v>
      </c>
      <c r="BN33" s="28" t="n">
        <v>0.517413</v>
      </c>
      <c r="BO33" s="28" t="n"/>
      <c r="BP33" s="38" t="n"/>
      <c r="BQ33" s="39" t="n"/>
      <c r="BR33" s="28" t="n"/>
      <c r="BS33" s="28" t="n"/>
      <c r="BT33" s="28" t="n"/>
      <c r="BU33" s="38" t="n"/>
      <c r="BV33" s="29" t="n"/>
      <c r="BW33" s="24" t="n"/>
      <c r="BX33" s="40" t="n"/>
      <c r="BY33" s="39" t="n"/>
      <c r="BZ33" s="24" t="n"/>
      <c r="CA33" s="31" t="n"/>
    </row>
    <row r="34" ht="36" customHeight="1">
      <c r="A34" s="24" t="inlineStr">
        <is>
          <t>d928b5795af74522</t>
        </is>
      </c>
      <c r="B34" s="24" t="inlineStr">
        <is>
          <t>2026-07-20T15:22:23.198190Z</t>
        </is>
      </c>
      <c r="C34" s="24" t="inlineStr">
        <is>
          <t>2026-07-20T20:05:00-0400</t>
        </is>
      </c>
      <c r="D34" s="24" t="inlineStr">
        <is>
          <t>401816193</t>
        </is>
      </c>
      <c r="E34" s="24" t="inlineStr">
        <is>
          <t>MLB</t>
        </is>
      </c>
      <c r="F34" s="24" t="inlineStr">
        <is>
          <t>Detroit Tigers</t>
        </is>
      </c>
      <c r="G34" s="24" t="inlineStr">
        <is>
          <t>Chicago Cubs</t>
        </is>
      </c>
      <c r="H34" s="24" t="inlineStr">
        <is>
          <t>moneyline</t>
        </is>
      </c>
      <c r="I34" s="24" t="inlineStr">
        <is>
          <t>home</t>
        </is>
      </c>
      <c r="J34" s="38" t="n"/>
      <c r="K34" s="24" t="inlineStr">
        <is>
          <t>polymarket_us</t>
        </is>
      </c>
      <c r="L34" s="26" t="n">
        <v>-108</v>
      </c>
      <c r="M34" s="39" t="n">
        <v>1.925926</v>
      </c>
      <c r="N34" s="28" t="n">
        <v>0.519231</v>
      </c>
      <c r="O34" s="28" t="n">
        <v>0.566967</v>
      </c>
      <c r="P34" s="28" t="n"/>
      <c r="Q34" s="28" t="n">
        <v>0.047736</v>
      </c>
      <c r="R34" s="26" t="n">
        <v>44</v>
      </c>
      <c r="S34" s="29" t="n">
        <v>1.25</v>
      </c>
      <c r="T34" s="24" t="inlineStr">
        <is>
          <t>mlb-elo-trend-lr-v4</t>
        </is>
      </c>
      <c r="U34" s="24" t="inlineStr">
        <is>
          <t>open</t>
        </is>
      </c>
      <c r="V34" s="24" t="n"/>
      <c r="W34" s="26" t="n"/>
      <c r="X34" s="26" t="n"/>
      <c r="Y34" s="38" t="n"/>
      <c r="Z34" s="26" t="n"/>
      <c r="AA34" s="28" t="n"/>
      <c r="AB34" s="28" t="n"/>
      <c r="AC34" s="40" t="n"/>
      <c r="AD34" s="24" t="n"/>
      <c r="AE34" s="31" t="inlineStr">
        <is>
          <t>Learned LR call at threshold 0.5500; executable ask 0.5200 (aec-mlb-det-chc-2026-07-20).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mlb-det</t>
        </is>
      </c>
      <c r="AQ34" s="24" t="inlineStr">
        <is>
          <t>Detroit Tigers</t>
        </is>
      </c>
      <c r="AR34" s="24" t="inlineStr">
        <is>
          <t>Detroit Tigers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b84afb2c70e14d93</t>
        </is>
      </c>
      <c r="BF34" s="24" t="inlineStr">
        <is>
          <t>1</t>
        </is>
      </c>
      <c r="BG34" s="24" t="inlineStr">
        <is>
          <t>mlb-elo-trend-lr-v4</t>
        </is>
      </c>
      <c r="BH34" s="24" t="inlineStr">
        <is>
          <t>2026-07-20T14:57:46.871986Z</t>
        </is>
      </c>
      <c r="BI34" s="24" t="inlineStr">
        <is>
          <t>["same_event","same_team_same_day","same_league_same_day"]</t>
        </is>
      </c>
      <c r="BJ34" s="38" t="n"/>
      <c r="BK34" s="26" t="n">
        <v>-108</v>
      </c>
      <c r="BL34" s="39" t="n">
        <v>1.925926</v>
      </c>
      <c r="BM34" s="28" t="n">
        <v>0.519231</v>
      </c>
      <c r="BN34" s="28" t="n">
        <v>0.517413</v>
      </c>
      <c r="BO34" s="28" t="n"/>
      <c r="BP34" s="38" t="n"/>
      <c r="BQ34" s="39" t="n"/>
      <c r="BR34" s="28" t="n"/>
      <c r="BS34" s="28" t="n"/>
      <c r="BT34" s="28" t="n"/>
      <c r="BU34" s="38" t="n"/>
      <c r="BV34" s="29" t="n"/>
      <c r="BW34" s="24" t="n"/>
      <c r="BX34" s="40" t="n"/>
      <c r="BY34" s="39" t="n"/>
      <c r="BZ34" s="24" t="n"/>
      <c r="CA34" s="31" t="n"/>
    </row>
    <row r="35" ht="36" customHeight="1">
      <c r="A35" s="24" t="inlineStr">
        <is>
          <t>1b170fab0ebb46ee</t>
        </is>
      </c>
      <c r="B35" s="24" t="inlineStr">
        <is>
          <t>2026-07-20T15:28:43.848060Z</t>
        </is>
      </c>
      <c r="C35" s="24" t="inlineStr">
        <is>
          <t>2026-07-20T20:00:00-0400</t>
        </is>
      </c>
      <c r="D35" s="24" t="inlineStr">
        <is>
          <t>401892393</t>
        </is>
      </c>
      <c r="E35" s="24" t="inlineStr">
        <is>
          <t>WNBA</t>
        </is>
      </c>
      <c r="F35" s="24" t="inlineStr">
        <is>
          <t>New York Liberty</t>
        </is>
      </c>
      <c r="G35" s="24" t="inlineStr">
        <is>
          <t>Dallas Wings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156</v>
      </c>
      <c r="M35" s="39" t="n">
        <v>2.56</v>
      </c>
      <c r="N35" s="28" t="n">
        <v>0.390625</v>
      </c>
      <c r="O35" s="28" t="n">
        <v>0.688998</v>
      </c>
      <c r="P35" s="28" t="n"/>
      <c r="Q35" s="28" t="n">
        <v>0.298373</v>
      </c>
      <c r="R35" s="26" t="n">
        <v>100</v>
      </c>
      <c r="S35" s="29" t="n">
        <v>2</v>
      </c>
      <c r="T35" s="24" t="inlineStr">
        <is>
          <t>wnba-elo-trend-lr-v3</t>
        </is>
      </c>
      <c r="U35" s="24" t="inlineStr">
        <is>
          <t>open</t>
        </is>
      </c>
      <c r="V35" s="24" t="n"/>
      <c r="W35" s="26" t="n"/>
      <c r="X35" s="26" t="n"/>
      <c r="Y35" s="38" t="n"/>
      <c r="Z35" s="26" t="n"/>
      <c r="AA35" s="28" t="n"/>
      <c r="AB35" s="28" t="n"/>
      <c r="AC35" s="40" t="n"/>
      <c r="AD35" s="24" t="n"/>
      <c r="AE35" s="31" t="inlineStr">
        <is>
          <t>Learned LR call at threshold 0.5051; executable ask 0.3900 (aec-wnba-ny-dal-2026-07-20).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wnba-nyl</t>
        </is>
      </c>
      <c r="AQ35" s="24" t="inlineStr">
        <is>
          <t>New York Liberty</t>
        </is>
      </c>
      <c r="AR35" s="24" t="inlineStr">
        <is>
          <t>New York Liberty</t>
        </is>
      </c>
      <c r="AS35" s="24" t="inlineStr">
        <is>
          <t>wnba-dal</t>
        </is>
      </c>
      <c r="AT35" s="24" t="inlineStr">
        <is>
          <t>Dallas Wings</t>
        </is>
      </c>
      <c r="AU35" s="24" t="inlineStr">
        <is>
          <t>Dallas Wings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43ee2f84f025c10f83f80a8c22d49c35c420734a8a730b5f272287225cceee4b</t>
        </is>
      </c>
      <c r="BB35" s="24" t="inlineStr">
        <is>
          <t>learned_lr</t>
        </is>
      </c>
      <c r="BC35" s="24" t="inlineStr">
        <is>
          <t>wnba-elo-trend-lr-v3</t>
        </is>
      </c>
      <c r="BD35" s="24" t="inlineStr">
        <is>
          <t>43ee2f84f025c10f83f80a8c22d49c35c420734a8a730b5f272287225cceee4b</t>
        </is>
      </c>
      <c r="BE35" s="24" t="inlineStr">
        <is>
          <t>c20bbb99f1fff741</t>
        </is>
      </c>
      <c r="BF35" s="24" t="inlineStr">
        <is>
          <t>1</t>
        </is>
      </c>
      <c r="BG35" s="24" t="inlineStr">
        <is>
          <t>wnba-elo-trend-lr-v3</t>
        </is>
      </c>
      <c r="BH35" s="24" t="inlineStr">
        <is>
          <t>2026-07-20T14:57:58.731031Z</t>
        </is>
      </c>
      <c r="BI35" s="24" t="inlineStr">
        <is>
          <t>["same_event","same_team_same_day","same_league_same_day"]</t>
        </is>
      </c>
      <c r="BJ35" s="38" t="n"/>
      <c r="BK35" s="26" t="n">
        <v>156</v>
      </c>
      <c r="BL35" s="39" t="n">
        <v>2.56</v>
      </c>
      <c r="BM35" s="28" t="n">
        <v>0.390625</v>
      </c>
      <c r="BN35" s="28" t="n">
        <v>0.386139</v>
      </c>
      <c r="BO35" s="28" t="n"/>
      <c r="BP35" s="38" t="n"/>
      <c r="BQ35" s="39" t="n"/>
      <c r="BR35" s="28" t="n"/>
      <c r="BS35" s="28" t="n"/>
      <c r="BT35" s="28" t="n"/>
      <c r="BU35" s="38" t="n"/>
      <c r="BV35" s="29" t="n"/>
      <c r="BW35" s="24" t="n"/>
      <c r="BX35" s="40" t="n"/>
      <c r="BY35" s="39" t="n"/>
      <c r="BZ35" s="24" t="n"/>
      <c r="CA35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2026-07-20T15:28:43Z</dcterms:created>
  <dcterms:modified xsi:type="dcterms:W3CDTF">2026-07-20T15:34:12Z</dcterms:modified>
</cp:coreProperties>
</file>