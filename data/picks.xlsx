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0.0###"/>
    <numFmt numFmtId="167" formatCode="0.00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6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  <xf numFmtId="164" fontId="6" fillId="5" borderId="0" applyAlignment="1" pivotButton="0" quotePrefix="0" xfId="0">
      <alignment vertical="center"/>
    </xf>
    <xf numFmtId="165" fontId="6" fillId="5" borderId="0" applyAlignment="1" pivotButton="0" quotePrefix="0" xfId="0">
      <alignment vertical="center"/>
    </xf>
    <xf numFmtId="164" fontId="2" fillId="6" borderId="0" applyAlignment="1" pivotButton="0" quotePrefix="0" xfId="0">
      <alignment horizontal="right"/>
    </xf>
    <xf numFmtId="165" fontId="2" fillId="6" borderId="0" applyAlignment="1" pivotButton="0" quotePrefix="0" xfId="0">
      <alignment horizontal="right"/>
    </xf>
    <xf numFmtId="164" fontId="2" fillId="7" borderId="0" applyAlignment="1" pivotButton="0" quotePrefix="0" xfId="0">
      <alignment horizontal="right"/>
    </xf>
    <xf numFmtId="165" fontId="2" fillId="7" borderId="0" applyAlignment="1" pivotButton="0" quotePrefix="0" xfId="0">
      <alignment horizontal="right"/>
    </xf>
    <xf numFmtId="166" fontId="2" fillId="0" borderId="0" applyAlignment="1" pivotButton="0" quotePrefix="0" xfId="0">
      <alignment horizontal="right" vertical="top"/>
    </xf>
    <xf numFmtId="167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39" headerRowCount="1">
  <autoFilter ref="A1:CA39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COUNTA('Picks'!$A$2:$A$39)</f>
        <v/>
      </c>
      <c r="C4" s="6">
        <f>COUNTIF('Picks'!$U$2:$U$39,"open")</f>
        <v/>
      </c>
      <c r="E4" s="6">
        <f>COUNTIF('Picks'!$U$2:$U$39,"settled")</f>
        <v/>
      </c>
      <c r="G4" s="6">
        <f>IF(COUNTIFS('Picks'!$U$2:$U$39,"settled",'Picks'!$V$2:$V$39,"win")+COUNTIFS('Picks'!$U$2:$U$39,"settled",'Picks'!$V$2:$V$39,"loss")&gt;=$L$2,"Ready","Insufficient sample")</f>
        <v/>
      </c>
    </row>
    <row r="5"/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COUNTIF('Picks'!$BX$2:$BX$39,"&gt;0")</f>
        <v/>
      </c>
      <c r="C7" s="6">
        <f>COUNTIFS('Picks'!$BX$2:$BX$39,"&gt;0",'Picks'!$V$2:$V$39,"win")&amp;"-"&amp;COUNTIFS('Picks'!$BX$2:$BX$39,"&gt;0",'Picks'!$V$2:$V$39,"loss")</f>
        <v/>
      </c>
      <c r="E7" s="32">
        <f>IFERROR(COUNTIFS('Picks'!$BX$2:$BX$39,"&gt;0",'Picks'!$V$2:$V$39,"win")/(COUNTIFS('Picks'!$BX$2:$BX$39,"&gt;0",'Picks'!$V$2:$V$39,"win")+COUNTIFS('Picks'!$BX$2:$BX$39,"&gt;0",'Picks'!$V$2:$V$39,"loss")),0)</f>
        <v/>
      </c>
      <c r="G7" s="32">
        <f>IFERROR(SUM('Picks'!$BY$2:$BY$39)/SUM('Picks'!$BX$2:$BX$39),0)</f>
        <v/>
      </c>
    </row>
    <row r="8"/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33">
        <f>SUM('Picks'!$BY$2:$BY$39)</f>
        <v/>
      </c>
      <c r="C10" s="9">
        <f>IFERROR(AVERAGEIF('Picks'!$AB$2:$AB$39,"&lt;&gt;",'Picks'!$AB$2:$AB$39),0)</f>
        <v/>
      </c>
      <c r="E10" s="6">
        <f>COUNTIFS('Picks'!$AM$2:$AM$39,"QUALIFIED_SHADOW_CALL",'Picks'!$U$2:$U$39,"settled")</f>
        <v/>
      </c>
      <c r="G10" s="33">
        <f>SUMIFS('Picks'!$AC$2:$AC$39,'Picks'!$AM$2:$AM$39,"QUALIFIED_SHADOW_CALL")</f>
        <v/>
      </c>
    </row>
    <row r="11"/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COUNTIFS('Picks'!$H$2:$H$39,$A14,'Picks'!$U$2:$U$39,"settled")</f>
        <v/>
      </c>
      <c r="C14" s="13">
        <f>COUNTIFS('Picks'!$H$2:$H$39,$A14,'Picks'!$U$2:$U$39,"settled",'Picks'!$V$2:$V$39,"win")</f>
        <v/>
      </c>
      <c r="D14" s="13">
        <f>COUNTIFS('Picks'!$H$2:$H$39,$A14,'Picks'!$U$2:$U$39,"settled",'Picks'!$V$2:$V$39,"loss")</f>
        <v/>
      </c>
      <c r="E14" s="34">
        <f>IFERROR(C14/(C14+D14),0)</f>
        <v/>
      </c>
      <c r="F14" s="35">
        <f>SUMIFS('Picks'!$BY$2:$BY$39,'Picks'!$H$2:$H$39,$A14)</f>
        <v/>
      </c>
      <c r="G14" s="16">
        <f>IFERROR(AVERAGEIFS('Picks'!$AB$2:$AB$39,'Picks'!$H$2:$H$39,$A14,'Picks'!$U$2:$U$39,"settled"),0)</f>
        <v/>
      </c>
    </row>
    <row r="15">
      <c r="A15" s="17" t="inlineStr">
        <is>
          <t>spread</t>
        </is>
      </c>
      <c r="B15" s="18">
        <f>COUNTIFS('Picks'!$H$2:$H$39,$A15,'Picks'!$U$2:$U$39,"settled")</f>
        <v/>
      </c>
      <c r="C15" s="18">
        <f>COUNTIFS('Picks'!$H$2:$H$39,$A15,'Picks'!$U$2:$U$39,"settled",'Picks'!$V$2:$V$39,"win")</f>
        <v/>
      </c>
      <c r="D15" s="18">
        <f>COUNTIFS('Picks'!$H$2:$H$39,$A15,'Picks'!$U$2:$U$39,"settled",'Picks'!$V$2:$V$39,"loss")</f>
        <v/>
      </c>
      <c r="E15" s="36">
        <f>IFERROR(C15/(C15+D15),0)</f>
        <v/>
      </c>
      <c r="F15" s="37">
        <f>SUMIFS('Picks'!$BY$2:$BY$39,'Picks'!$H$2:$H$39,$A15)</f>
        <v/>
      </c>
      <c r="G15" s="21">
        <f>IFERROR(AVERAGEIFS('Picks'!$AB$2:$AB$39,'Picks'!$H$2:$H$39,$A15,'Picks'!$U$2:$U$39,"settled"),0)</f>
        <v/>
      </c>
    </row>
    <row r="16">
      <c r="A16" s="12" t="inlineStr">
        <is>
          <t>total</t>
        </is>
      </c>
      <c r="B16" s="13">
        <f>COUNTIFS('Picks'!$H$2:$H$39,$A16,'Picks'!$U$2:$U$39,"settled")</f>
        <v/>
      </c>
      <c r="C16" s="13">
        <f>COUNTIFS('Picks'!$H$2:$H$39,$A16,'Picks'!$U$2:$U$39,"settled",'Picks'!$V$2:$V$39,"win")</f>
        <v/>
      </c>
      <c r="D16" s="13">
        <f>COUNTIFS('Picks'!$H$2:$H$39,$A16,'Picks'!$U$2:$U$39,"settled",'Picks'!$V$2:$V$39,"loss")</f>
        <v/>
      </c>
      <c r="E16" s="34">
        <f>IFERROR(C16/(C16+D16),0)</f>
        <v/>
      </c>
      <c r="F16" s="35">
        <f>SUMIFS('Picks'!$BY$2:$BY$39,'Picks'!$H$2:$H$39,$A16)</f>
        <v/>
      </c>
      <c r="G16" s="16">
        <f>IFERROR(AVERAGEIFS('Picks'!$AB$2:$AB$39,'Picks'!$H$2:$H$39,$A16,'Picks'!$U$2:$U$39,"settled"),0)</f>
        <v/>
      </c>
    </row>
    <row r="17"/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38" t="n"/>
      <c r="K2" s="24" t="inlineStr">
        <is>
          <t>polymarket_us</t>
        </is>
      </c>
      <c r="L2" s="26" t="n">
        <v>117</v>
      </c>
      <c r="M2" s="39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38" t="n"/>
      <c r="Z2" s="26" t="n"/>
      <c r="AA2" s="28" t="n"/>
      <c r="AB2" s="28" t="n"/>
      <c r="AC2" s="4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38" t="n"/>
      <c r="BK2" s="26" t="n">
        <v>117</v>
      </c>
      <c r="BL2" s="39" t="n">
        <v>2.17</v>
      </c>
      <c r="BM2" s="28" t="n">
        <v>0.460829</v>
      </c>
      <c r="BN2" s="28" t="n">
        <v>0.455446</v>
      </c>
      <c r="BO2" s="28" t="n"/>
      <c r="BP2" s="38" t="n"/>
      <c r="BQ2" s="39" t="n"/>
      <c r="BR2" s="28" t="n"/>
      <c r="BS2" s="28" t="n"/>
      <c r="BT2" s="28" t="n"/>
      <c r="BU2" s="38" t="n"/>
      <c r="BV2" s="29" t="n"/>
      <c r="BW2" s="24" t="n"/>
      <c r="BX2" s="40" t="n">
        <v>1</v>
      </c>
      <c r="BY2" s="39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38" t="n"/>
      <c r="K3" s="24" t="inlineStr">
        <is>
          <t>polymarket_us</t>
        </is>
      </c>
      <c r="L3" s="26" t="n">
        <v>-133</v>
      </c>
      <c r="M3" s="39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38" t="n"/>
      <c r="Z3" s="26" t="n"/>
      <c r="AA3" s="28" t="n"/>
      <c r="AB3" s="28" t="n"/>
      <c r="AC3" s="4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38" t="n"/>
      <c r="BK3" s="26" t="n">
        <v>-133</v>
      </c>
      <c r="BL3" s="39" t="n">
        <v>1.75188</v>
      </c>
      <c r="BM3" s="28" t="n">
        <v>0.570815</v>
      </c>
      <c r="BN3" s="28" t="n">
        <v>0.567164</v>
      </c>
      <c r="BO3" s="28" t="n"/>
      <c r="BP3" s="38" t="n"/>
      <c r="BQ3" s="39" t="n"/>
      <c r="BR3" s="28" t="n"/>
      <c r="BS3" s="28" t="n"/>
      <c r="BT3" s="28" t="n"/>
      <c r="BU3" s="38" t="n"/>
      <c r="BV3" s="29" t="n"/>
      <c r="BW3" s="24" t="n"/>
      <c r="BX3" s="40" t="n">
        <v>1</v>
      </c>
      <c r="BY3" s="39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38" t="n"/>
      <c r="K4" s="24" t="inlineStr">
        <is>
          <t>polymarket_us</t>
        </is>
      </c>
      <c r="L4" s="26" t="n">
        <v>-102</v>
      </c>
      <c r="M4" s="39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38" t="n"/>
      <c r="Z4" s="26" t="n"/>
      <c r="AA4" s="28" t="n"/>
      <c r="AB4" s="28" t="n"/>
      <c r="AC4" s="4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38" t="n"/>
      <c r="BK4" s="26" t="n">
        <v>-102</v>
      </c>
      <c r="BL4" s="39" t="n">
        <v>1.980392</v>
      </c>
      <c r="BM4" s="28" t="n">
        <v>0.50495</v>
      </c>
      <c r="BN4" s="28" t="n">
        <v>0.502488</v>
      </c>
      <c r="BO4" s="28" t="n"/>
      <c r="BP4" s="38" t="n"/>
      <c r="BQ4" s="39" t="n"/>
      <c r="BR4" s="28" t="n"/>
      <c r="BS4" s="28" t="n"/>
      <c r="BT4" s="28" t="n"/>
      <c r="BU4" s="38" t="n"/>
      <c r="BV4" s="29" t="n"/>
      <c r="BW4" s="24" t="n"/>
      <c r="BX4" s="40" t="n">
        <v>1</v>
      </c>
      <c r="BY4" s="39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38" t="n"/>
      <c r="K5" s="24" t="inlineStr">
        <is>
          <t>polymarket_us</t>
        </is>
      </c>
      <c r="L5" s="26" t="n">
        <v>-133</v>
      </c>
      <c r="M5" s="39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38" t="n"/>
      <c r="Z5" s="26" t="n"/>
      <c r="AA5" s="28" t="n"/>
      <c r="AB5" s="28" t="n"/>
      <c r="AC5" s="4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38" t="n"/>
      <c r="BK5" s="26" t="n">
        <v>-133</v>
      </c>
      <c r="BL5" s="39" t="n">
        <v>1.75188</v>
      </c>
      <c r="BM5" s="28" t="n">
        <v>0.570815</v>
      </c>
      <c r="BN5" s="28" t="n">
        <v>0.567164</v>
      </c>
      <c r="BO5" s="28" t="n"/>
      <c r="BP5" s="38" t="n"/>
      <c r="BQ5" s="39" t="n"/>
      <c r="BR5" s="28" t="n"/>
      <c r="BS5" s="28" t="n"/>
      <c r="BT5" s="28" t="n"/>
      <c r="BU5" s="38" t="n"/>
      <c r="BV5" s="29" t="n"/>
      <c r="BW5" s="24" t="n"/>
      <c r="BX5" s="40" t="n">
        <v>1</v>
      </c>
      <c r="BY5" s="39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38" t="n"/>
      <c r="K6" s="24" t="inlineStr">
        <is>
          <t>polymarket_us</t>
        </is>
      </c>
      <c r="L6" s="26" t="n">
        <v>-104</v>
      </c>
      <c r="M6" s="39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38" t="n"/>
      <c r="Z6" s="26" t="n"/>
      <c r="AA6" s="28" t="n"/>
      <c r="AB6" s="28" t="n"/>
      <c r="AC6" s="4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38" t="n"/>
      <c r="BK6" s="26" t="n">
        <v>-104</v>
      </c>
      <c r="BL6" s="39" t="n">
        <v>1.961538</v>
      </c>
      <c r="BM6" s="28" t="n">
        <v>0.509804</v>
      </c>
      <c r="BN6" s="28" t="n">
        <v>0.507463</v>
      </c>
      <c r="BO6" s="28" t="n"/>
      <c r="BP6" s="38" t="n"/>
      <c r="BQ6" s="39" t="n"/>
      <c r="BR6" s="28" t="n"/>
      <c r="BS6" s="28" t="n"/>
      <c r="BT6" s="28" t="n"/>
      <c r="BU6" s="38" t="n"/>
      <c r="BV6" s="29" t="n"/>
      <c r="BW6" s="24" t="n"/>
      <c r="BX6" s="40" t="n">
        <v>1</v>
      </c>
      <c r="BY6" s="39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38" t="n"/>
      <c r="K7" s="24" t="inlineStr">
        <is>
          <t>polymarket_us</t>
        </is>
      </c>
      <c r="L7" s="26" t="n">
        <v>-104</v>
      </c>
      <c r="M7" s="39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38" t="n"/>
      <c r="Z7" s="26" t="n"/>
      <c r="AA7" s="28" t="n"/>
      <c r="AB7" s="28" t="n"/>
      <c r="AC7" s="4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38" t="n"/>
      <c r="BK7" s="26" t="n">
        <v>-104</v>
      </c>
      <c r="BL7" s="39" t="n">
        <v>1.961538</v>
      </c>
      <c r="BM7" s="28" t="n">
        <v>0.509804</v>
      </c>
      <c r="BN7" s="28" t="n">
        <v>0.507463</v>
      </c>
      <c r="BO7" s="28" t="n"/>
      <c r="BP7" s="38" t="n"/>
      <c r="BQ7" s="39" t="n"/>
      <c r="BR7" s="28" t="n"/>
      <c r="BS7" s="28" t="n"/>
      <c r="BT7" s="28" t="n"/>
      <c r="BU7" s="38" t="n"/>
      <c r="BV7" s="29" t="n"/>
      <c r="BW7" s="24" t="n"/>
      <c r="BX7" s="40" t="n">
        <v>1</v>
      </c>
      <c r="BY7" s="39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38" t="n"/>
      <c r="K8" s="24" t="inlineStr">
        <is>
          <t>polymarket_us</t>
        </is>
      </c>
      <c r="L8" s="26" t="n">
        <v>-106</v>
      </c>
      <c r="M8" s="39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38" t="n"/>
      <c r="Z8" s="26" t="n"/>
      <c r="AA8" s="28" t="n"/>
      <c r="AB8" s="28" t="n"/>
      <c r="AC8" s="4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38" t="n"/>
      <c r="BK8" s="26" t="n">
        <v>-106</v>
      </c>
      <c r="BL8" s="39" t="n">
        <v>1.943396</v>
      </c>
      <c r="BM8" s="28" t="n">
        <v>0.514563</v>
      </c>
      <c r="BN8" s="28" t="n">
        <v>0.5124379999999999</v>
      </c>
      <c r="BO8" s="28" t="n"/>
      <c r="BP8" s="38" t="n"/>
      <c r="BQ8" s="39" t="n"/>
      <c r="BR8" s="28" t="n"/>
      <c r="BS8" s="28" t="n"/>
      <c r="BT8" s="28" t="n"/>
      <c r="BU8" s="38" t="n"/>
      <c r="BV8" s="29" t="n"/>
      <c r="BW8" s="24" t="n"/>
      <c r="BX8" s="40" t="n">
        <v>1</v>
      </c>
      <c r="BY8" s="39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38" t="n"/>
      <c r="K9" s="24" t="inlineStr">
        <is>
          <t>polymarket_us</t>
        </is>
      </c>
      <c r="L9" s="26" t="n">
        <v>-102</v>
      </c>
      <c r="M9" s="39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38" t="n"/>
      <c r="Z9" s="26" t="n"/>
      <c r="AA9" s="28" t="n"/>
      <c r="AB9" s="28" t="n"/>
      <c r="AC9" s="4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38" t="n"/>
      <c r="BK9" s="26" t="n">
        <v>-102</v>
      </c>
      <c r="BL9" s="39" t="n">
        <v>1.980392</v>
      </c>
      <c r="BM9" s="28" t="n">
        <v>0.50495</v>
      </c>
      <c r="BN9" s="28" t="n">
        <v>0.502488</v>
      </c>
      <c r="BO9" s="28" t="n"/>
      <c r="BP9" s="38" t="n"/>
      <c r="BQ9" s="39" t="n"/>
      <c r="BR9" s="28" t="n"/>
      <c r="BS9" s="28" t="n"/>
      <c r="BT9" s="28" t="n"/>
      <c r="BU9" s="38" t="n"/>
      <c r="BV9" s="29" t="n"/>
      <c r="BW9" s="24" t="n"/>
      <c r="BX9" s="40" t="n">
        <v>1</v>
      </c>
      <c r="BY9" s="39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38" t="n"/>
      <c r="K10" s="24" t="inlineStr">
        <is>
          <t>polymarket_us</t>
        </is>
      </c>
      <c r="L10" s="26" t="n">
        <v>-138</v>
      </c>
      <c r="M10" s="39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38" t="n"/>
      <c r="Z10" s="26" t="n"/>
      <c r="AA10" s="28" t="n"/>
      <c r="AB10" s="28" t="n"/>
      <c r="AC10" s="4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38" t="n"/>
      <c r="BK10" s="26" t="n">
        <v>-138</v>
      </c>
      <c r="BL10" s="39" t="n">
        <v>1.724638</v>
      </c>
      <c r="BM10" s="28" t="n">
        <v>0.579832</v>
      </c>
      <c r="BN10" s="28" t="n">
        <v>0.577114</v>
      </c>
      <c r="BO10" s="28" t="n"/>
      <c r="BP10" s="38" t="n"/>
      <c r="BQ10" s="39" t="n"/>
      <c r="BR10" s="28" t="n"/>
      <c r="BS10" s="28" t="n"/>
      <c r="BT10" s="28" t="n"/>
      <c r="BU10" s="38" t="n"/>
      <c r="BV10" s="29" t="n"/>
      <c r="BW10" s="24" t="n"/>
      <c r="BX10" s="40" t="n">
        <v>1</v>
      </c>
      <c r="BY10" s="39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38" t="n"/>
      <c r="K11" s="24" t="inlineStr">
        <is>
          <t>polymarket_us</t>
        </is>
      </c>
      <c r="L11" s="26" t="n">
        <v>102</v>
      </c>
      <c r="M11" s="39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38" t="n"/>
      <c r="Z11" s="26" t="n"/>
      <c r="AA11" s="28" t="n"/>
      <c r="AB11" s="28" t="n"/>
      <c r="AC11" s="4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38" t="n"/>
      <c r="BK11" s="26" t="n">
        <v>102</v>
      </c>
      <c r="BL11" s="39" t="n">
        <v>2.02</v>
      </c>
      <c r="BM11" s="28" t="n">
        <v>0.49505</v>
      </c>
      <c r="BN11" s="28" t="n">
        <v>0.492537</v>
      </c>
      <c r="BO11" s="28" t="n"/>
      <c r="BP11" s="38" t="n"/>
      <c r="BQ11" s="39" t="n"/>
      <c r="BR11" s="28" t="n"/>
      <c r="BS11" s="28" t="n"/>
      <c r="BT11" s="28" t="n"/>
      <c r="BU11" s="38" t="n"/>
      <c r="BV11" s="29" t="n"/>
      <c r="BW11" s="24" t="n"/>
      <c r="BX11" s="40" t="n">
        <v>1</v>
      </c>
      <c r="BY11" s="39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38" t="n"/>
      <c r="K12" s="24" t="inlineStr">
        <is>
          <t>polymarket_us</t>
        </is>
      </c>
      <c r="L12" s="26" t="n">
        <v>-102</v>
      </c>
      <c r="M12" s="39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38" t="n"/>
      <c r="Z12" s="26" t="n"/>
      <c r="AA12" s="28" t="n"/>
      <c r="AB12" s="28" t="n"/>
      <c r="AC12" s="4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38" t="n"/>
      <c r="BK12" s="26" t="n">
        <v>-102</v>
      </c>
      <c r="BL12" s="39" t="n">
        <v>1.980392</v>
      </c>
      <c r="BM12" s="28" t="n">
        <v>0.50495</v>
      </c>
      <c r="BN12" s="28" t="n">
        <v>0.502488</v>
      </c>
      <c r="BO12" s="28" t="n"/>
      <c r="BP12" s="38" t="n"/>
      <c r="BQ12" s="39" t="n"/>
      <c r="BR12" s="28" t="n"/>
      <c r="BS12" s="28" t="n"/>
      <c r="BT12" s="28" t="n"/>
      <c r="BU12" s="38" t="n"/>
      <c r="BV12" s="29" t="n"/>
      <c r="BW12" s="24" t="n"/>
      <c r="BX12" s="40" t="n">
        <v>1</v>
      </c>
      <c r="BY12" s="39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38" t="n"/>
      <c r="K13" s="24" t="inlineStr">
        <is>
          <t>polymarket_us</t>
        </is>
      </c>
      <c r="L13" s="26" t="n">
        <v>-102</v>
      </c>
      <c r="M13" s="39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38" t="n"/>
      <c r="Z13" s="26" t="n"/>
      <c r="AA13" s="28" t="n"/>
      <c r="AB13" s="28" t="n"/>
      <c r="AC13" s="4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38" t="n"/>
      <c r="BK13" s="26" t="n">
        <v>-102</v>
      </c>
      <c r="BL13" s="39" t="n">
        <v>1.980392</v>
      </c>
      <c r="BM13" s="28" t="n">
        <v>0.50495</v>
      </c>
      <c r="BN13" s="28" t="n">
        <v>0.502488</v>
      </c>
      <c r="BO13" s="28" t="n"/>
      <c r="BP13" s="38" t="n"/>
      <c r="BQ13" s="39" t="n"/>
      <c r="BR13" s="28" t="n"/>
      <c r="BS13" s="28" t="n"/>
      <c r="BT13" s="28" t="n"/>
      <c r="BU13" s="38" t="n"/>
      <c r="BV13" s="29" t="n"/>
      <c r="BW13" s="24" t="n"/>
      <c r="BX13" s="40" t="n">
        <v>1</v>
      </c>
      <c r="BY13" s="39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38" t="n"/>
      <c r="K14" s="24" t="inlineStr">
        <is>
          <t>polymarket_us</t>
        </is>
      </c>
      <c r="L14" s="26" t="n">
        <v>-104</v>
      </c>
      <c r="M14" s="39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38" t="n"/>
      <c r="Z14" s="26" t="n"/>
      <c r="AA14" s="28" t="n"/>
      <c r="AB14" s="28" t="n"/>
      <c r="AC14" s="4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38" t="n"/>
      <c r="BK14" s="26" t="n">
        <v>-104</v>
      </c>
      <c r="BL14" s="39" t="n">
        <v>1.961538</v>
      </c>
      <c r="BM14" s="28" t="n">
        <v>0.509804</v>
      </c>
      <c r="BN14" s="28" t="n">
        <v>0.507463</v>
      </c>
      <c r="BO14" s="28" t="n"/>
      <c r="BP14" s="38" t="n"/>
      <c r="BQ14" s="39" t="n"/>
      <c r="BR14" s="28" t="n"/>
      <c r="BS14" s="28" t="n"/>
      <c r="BT14" s="28" t="n"/>
      <c r="BU14" s="38" t="n"/>
      <c r="BV14" s="29" t="n"/>
      <c r="BW14" s="24" t="n"/>
      <c r="BX14" s="40" t="n">
        <v>1</v>
      </c>
      <c r="BY14" s="39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38" t="n"/>
      <c r="K15" s="24" t="inlineStr">
        <is>
          <t>polymarket_us</t>
        </is>
      </c>
      <c r="L15" s="26" t="n">
        <v>-104</v>
      </c>
      <c r="M15" s="39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38" t="n"/>
      <c r="Z15" s="26" t="n"/>
      <c r="AA15" s="28" t="n"/>
      <c r="AB15" s="28" t="n"/>
      <c r="AC15" s="4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38" t="n"/>
      <c r="BK15" s="26" t="n">
        <v>-104</v>
      </c>
      <c r="BL15" s="39" t="n">
        <v>1.961538</v>
      </c>
      <c r="BM15" s="28" t="n">
        <v>0.509804</v>
      </c>
      <c r="BN15" s="28" t="n">
        <v>0.507463</v>
      </c>
      <c r="BO15" s="28" t="n"/>
      <c r="BP15" s="38" t="n"/>
      <c r="BQ15" s="39" t="n"/>
      <c r="BR15" s="28" t="n"/>
      <c r="BS15" s="28" t="n"/>
      <c r="BT15" s="28" t="n"/>
      <c r="BU15" s="38" t="n"/>
      <c r="BV15" s="29" t="n"/>
      <c r="BW15" s="24" t="n"/>
      <c r="BX15" s="40" t="n">
        <v>1</v>
      </c>
      <c r="BY15" s="39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38" t="n"/>
      <c r="K16" s="24" t="inlineStr">
        <is>
          <t>polymarket_us</t>
        </is>
      </c>
      <c r="L16" s="26" t="n">
        <v>-111</v>
      </c>
      <c r="M16" s="39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38" t="n"/>
      <c r="Z16" s="26" t="n"/>
      <c r="AA16" s="28" t="n"/>
      <c r="AB16" s="28" t="n"/>
      <c r="AC16" s="4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38" t="n"/>
      <c r="BK16" s="26" t="n">
        <v>-111</v>
      </c>
      <c r="BL16" s="39" t="n">
        <v>1.900901</v>
      </c>
      <c r="BM16" s="28" t="n">
        <v>0.526066</v>
      </c>
      <c r="BN16" s="28" t="n">
        <v>0.522388</v>
      </c>
      <c r="BO16" s="28" t="n"/>
      <c r="BP16" s="38" t="n"/>
      <c r="BQ16" s="39" t="n"/>
      <c r="BR16" s="28" t="n"/>
      <c r="BS16" s="28" t="n"/>
      <c r="BT16" s="28" t="n"/>
      <c r="BU16" s="38" t="n"/>
      <c r="BV16" s="29" t="n"/>
      <c r="BW16" s="24" t="n"/>
      <c r="BX16" s="40" t="n">
        <v>1</v>
      </c>
      <c r="BY16" s="39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38" t="n"/>
      <c r="K17" s="24" t="inlineStr">
        <is>
          <t>polymarket_us</t>
        </is>
      </c>
      <c r="L17" s="26" t="n">
        <v>-108</v>
      </c>
      <c r="M17" s="39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38" t="n"/>
      <c r="Z17" s="26" t="n"/>
      <c r="AA17" s="28" t="n"/>
      <c r="AB17" s="28" t="n"/>
      <c r="AC17" s="4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38" t="n"/>
      <c r="BK17" s="26" t="n">
        <v>-108</v>
      </c>
      <c r="BL17" s="39" t="n">
        <v>1.925926</v>
      </c>
      <c r="BM17" s="28" t="n">
        <v>0.519231</v>
      </c>
      <c r="BN17" s="28" t="n">
        <v>0.5148509999999999</v>
      </c>
      <c r="BO17" s="28" t="n"/>
      <c r="BP17" s="38" t="n"/>
      <c r="BQ17" s="39" t="n"/>
      <c r="BR17" s="28" t="n"/>
      <c r="BS17" s="28" t="n"/>
      <c r="BT17" s="28" t="n"/>
      <c r="BU17" s="38" t="n"/>
      <c r="BV17" s="29" t="n"/>
      <c r="BW17" s="24" t="n"/>
      <c r="BX17" s="40" t="n">
        <v>1</v>
      </c>
      <c r="BY17" s="39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38" t="n"/>
      <c r="K18" s="24" t="inlineStr">
        <is>
          <t>polymarket_us</t>
        </is>
      </c>
      <c r="L18" s="26" t="n">
        <v>111</v>
      </c>
      <c r="M18" s="39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38" t="n"/>
      <c r="Z18" s="26" t="n"/>
      <c r="AA18" s="28" t="n"/>
      <c r="AB18" s="28" t="n"/>
      <c r="AC18" s="4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38" t="n"/>
      <c r="BK18" s="26" t="n">
        <v>111</v>
      </c>
      <c r="BL18" s="39" t="n">
        <v>2.11</v>
      </c>
      <c r="BM18" s="28" t="n">
        <v>0.473934</v>
      </c>
      <c r="BN18" s="28" t="n">
        <v>0.472637</v>
      </c>
      <c r="BO18" s="28" t="n"/>
      <c r="BP18" s="38" t="n"/>
      <c r="BQ18" s="39" t="n"/>
      <c r="BR18" s="28" t="n"/>
      <c r="BS18" s="28" t="n"/>
      <c r="BT18" s="28" t="n"/>
      <c r="BU18" s="38" t="n"/>
      <c r="BV18" s="29" t="n"/>
      <c r="BW18" s="24" t="n"/>
      <c r="BX18" s="40" t="n">
        <v>1</v>
      </c>
      <c r="BY18" s="39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38" t="n"/>
      <c r="K19" s="24" t="inlineStr">
        <is>
          <t>polymarket_us</t>
        </is>
      </c>
      <c r="L19" s="26" t="n">
        <v>-125</v>
      </c>
      <c r="M19" s="39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38" t="n"/>
      <c r="Z19" s="26" t="n"/>
      <c r="AA19" s="28" t="n"/>
      <c r="AB19" s="28" t="n"/>
      <c r="AC19" s="4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38" t="n"/>
      <c r="BK19" s="26" t="n">
        <v>-125</v>
      </c>
      <c r="BL19" s="39" t="n">
        <v>1.8</v>
      </c>
      <c r="BM19" s="28" t="n">
        <v>0.555556</v>
      </c>
      <c r="BN19" s="28" t="n">
        <v>0.552239</v>
      </c>
      <c r="BO19" s="28" t="n"/>
      <c r="BP19" s="38" t="n"/>
      <c r="BQ19" s="39" t="n"/>
      <c r="BR19" s="28" t="n"/>
      <c r="BS19" s="28" t="n"/>
      <c r="BT19" s="28" t="n"/>
      <c r="BU19" s="38" t="n"/>
      <c r="BV19" s="29" t="n"/>
      <c r="BW19" s="24" t="n"/>
      <c r="BX19" s="40" t="n">
        <v>1</v>
      </c>
      <c r="BY19" s="39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38" t="n"/>
      <c r="K20" s="24" t="inlineStr">
        <is>
          <t>polymarket_us</t>
        </is>
      </c>
      <c r="L20" s="26" t="n">
        <v>106</v>
      </c>
      <c r="M20" s="39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38" t="n"/>
      <c r="Z20" s="26" t="n"/>
      <c r="AA20" s="28" t="n"/>
      <c r="AB20" s="28" t="n"/>
      <c r="AC20" s="4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38" t="n"/>
      <c r="BK20" s="26" t="n">
        <v>106</v>
      </c>
      <c r="BL20" s="39" t="n">
        <v>2.06</v>
      </c>
      <c r="BM20" s="28" t="n">
        <v>0.485437</v>
      </c>
      <c r="BN20" s="28" t="n">
        <v>0.482587</v>
      </c>
      <c r="BO20" s="28" t="n"/>
      <c r="BP20" s="38" t="n"/>
      <c r="BQ20" s="39" t="n"/>
      <c r="BR20" s="28" t="n"/>
      <c r="BS20" s="28" t="n"/>
      <c r="BT20" s="28" t="n"/>
      <c r="BU20" s="38" t="n"/>
      <c r="BV20" s="29" t="n"/>
      <c r="BW20" s="24" t="n"/>
      <c r="BX20" s="40" t="n">
        <v>1</v>
      </c>
      <c r="BY20" s="39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38" t="n"/>
      <c r="K21" s="24" t="inlineStr">
        <is>
          <t>polymarket</t>
        </is>
      </c>
      <c r="L21" s="26" t="n">
        <v>-106</v>
      </c>
      <c r="M21" s="39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38" t="n"/>
      <c r="Z21" s="26" t="n"/>
      <c r="AA21" s="28" t="n"/>
      <c r="AB21" s="28" t="n"/>
      <c r="AC21" s="4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38" t="n"/>
      <c r="BK21" s="26" t="n">
        <v>-106</v>
      </c>
      <c r="BL21" s="39" t="n">
        <v>1.943396</v>
      </c>
      <c r="BM21" s="28" t="n">
        <v>0.514563</v>
      </c>
      <c r="BN21" s="28" t="n">
        <v>0.5124379999999999</v>
      </c>
      <c r="BO21" s="28" t="n"/>
      <c r="BP21" s="38" t="n"/>
      <c r="BQ21" s="39" t="n"/>
      <c r="BR21" s="28" t="n"/>
      <c r="BS21" s="28" t="n"/>
      <c r="BT21" s="28" t="n"/>
      <c r="BU21" s="38" t="n"/>
      <c r="BV21" s="29" t="n"/>
      <c r="BW21" s="24" t="n"/>
      <c r="BX21" s="40" t="n"/>
      <c r="BY21" s="39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38" t="n"/>
      <c r="K22" s="24" t="inlineStr">
        <is>
          <t>polymarket</t>
        </is>
      </c>
      <c r="L22" s="26" t="n">
        <v>-106</v>
      </c>
      <c r="M22" s="39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38" t="n"/>
      <c r="Z22" s="26" t="n"/>
      <c r="AA22" s="28" t="n"/>
      <c r="AB22" s="28" t="n"/>
      <c r="AC22" s="4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38" t="n"/>
      <c r="BK22" s="26" t="n">
        <v>-106</v>
      </c>
      <c r="BL22" s="39" t="n">
        <v>1.943396</v>
      </c>
      <c r="BM22" s="28" t="n">
        <v>0.514563</v>
      </c>
      <c r="BN22" s="28" t="n">
        <v>0.5124379999999999</v>
      </c>
      <c r="BO22" s="28" t="n"/>
      <c r="BP22" s="38" t="n"/>
      <c r="BQ22" s="39" t="n"/>
      <c r="BR22" s="28" t="n"/>
      <c r="BS22" s="28" t="n"/>
      <c r="BT22" s="28" t="n"/>
      <c r="BU22" s="38" t="n"/>
      <c r="BV22" s="29" t="n"/>
      <c r="BW22" s="24" t="n"/>
      <c r="BX22" s="40" t="n"/>
      <c r="BY22" s="39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38" t="n"/>
      <c r="K23" s="24" t="inlineStr">
        <is>
          <t>polymarket</t>
        </is>
      </c>
      <c r="L23" s="26" t="n">
        <v>-141</v>
      </c>
      <c r="M23" s="39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38" t="n"/>
      <c r="Z23" s="26" t="n"/>
      <c r="AA23" s="28" t="n"/>
      <c r="AB23" s="28" t="n"/>
      <c r="AC23" s="4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38" t="n"/>
      <c r="BK23" s="26" t="n">
        <v>-141</v>
      </c>
      <c r="BL23" s="39" t="n">
        <v>1.70922</v>
      </c>
      <c r="BM23" s="28" t="n">
        <v>0.585062</v>
      </c>
      <c r="BN23" s="28" t="n">
        <v>0.58209</v>
      </c>
      <c r="BO23" s="28" t="n"/>
      <c r="BP23" s="38" t="n"/>
      <c r="BQ23" s="39" t="n"/>
      <c r="BR23" s="28" t="n"/>
      <c r="BS23" s="28" t="n"/>
      <c r="BT23" s="28" t="n"/>
      <c r="BU23" s="38" t="n"/>
      <c r="BV23" s="29" t="n"/>
      <c r="BW23" s="24" t="n"/>
      <c r="BX23" s="40" t="n"/>
      <c r="BY23" s="39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38" t="n"/>
      <c r="K24" s="24" t="inlineStr">
        <is>
          <t>polymarket</t>
        </is>
      </c>
      <c r="L24" s="26" t="n">
        <v>-133</v>
      </c>
      <c r="M24" s="39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38" t="n"/>
      <c r="Z24" s="26" t="n"/>
      <c r="AA24" s="28" t="n"/>
      <c r="AB24" s="28" t="n"/>
      <c r="AC24" s="4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38" t="n"/>
      <c r="BK24" s="26" t="n">
        <v>-133</v>
      </c>
      <c r="BL24" s="39" t="n">
        <v>1.75188</v>
      </c>
      <c r="BM24" s="28" t="n">
        <v>0.570815</v>
      </c>
      <c r="BN24" s="28" t="n">
        <v>0.567164</v>
      </c>
      <c r="BO24" s="28" t="n"/>
      <c r="BP24" s="38" t="n"/>
      <c r="BQ24" s="39" t="n"/>
      <c r="BR24" s="28" t="n"/>
      <c r="BS24" s="28" t="n"/>
      <c r="BT24" s="28" t="n"/>
      <c r="BU24" s="38" t="n"/>
      <c r="BV24" s="29" t="n"/>
      <c r="BW24" s="24" t="n"/>
      <c r="BX24" s="40" t="n"/>
      <c r="BY24" s="39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38" t="n"/>
      <c r="K25" s="24" t="inlineStr">
        <is>
          <t>polymarket</t>
        </is>
      </c>
      <c r="L25" s="26" t="n">
        <v>104</v>
      </c>
      <c r="M25" s="39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38" t="n"/>
      <c r="Z25" s="26" t="n"/>
      <c r="AA25" s="28" t="n"/>
      <c r="AB25" s="28" t="n"/>
      <c r="AC25" s="4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38" t="n"/>
      <c r="BK25" s="26" t="n">
        <v>104</v>
      </c>
      <c r="BL25" s="39" t="n">
        <v>2.04</v>
      </c>
      <c r="BM25" s="28" t="n">
        <v>0.490196</v>
      </c>
      <c r="BN25" s="28" t="n">
        <v>0.487562</v>
      </c>
      <c r="BO25" s="28" t="n"/>
      <c r="BP25" s="38" t="n"/>
      <c r="BQ25" s="39" t="n"/>
      <c r="BR25" s="28" t="n"/>
      <c r="BS25" s="28" t="n"/>
      <c r="BT25" s="28" t="n"/>
      <c r="BU25" s="38" t="n"/>
      <c r="BV25" s="29" t="n"/>
      <c r="BW25" s="24" t="n"/>
      <c r="BX25" s="40" t="n"/>
      <c r="BY25" s="39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38" t="n"/>
      <c r="K26" s="24" t="inlineStr">
        <is>
          <t>polymarket</t>
        </is>
      </c>
      <c r="L26" s="26" t="n">
        <v>-104</v>
      </c>
      <c r="M26" s="39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38" t="n"/>
      <c r="Z26" s="26" t="n"/>
      <c r="AA26" s="28" t="n"/>
      <c r="AB26" s="28" t="n"/>
      <c r="AC26" s="4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38" t="n"/>
      <c r="BK26" s="26" t="n">
        <v>-104</v>
      </c>
      <c r="BL26" s="39" t="n">
        <v>1.961538</v>
      </c>
      <c r="BM26" s="28" t="n">
        <v>0.509804</v>
      </c>
      <c r="BN26" s="28" t="n">
        <v>0.507463</v>
      </c>
      <c r="BO26" s="28" t="n"/>
      <c r="BP26" s="38" t="n"/>
      <c r="BQ26" s="39" t="n"/>
      <c r="BR26" s="28" t="n"/>
      <c r="BS26" s="28" t="n"/>
      <c r="BT26" s="28" t="n"/>
      <c r="BU26" s="38" t="n"/>
      <c r="BV26" s="29" t="n"/>
      <c r="BW26" s="24" t="n"/>
      <c r="BX26" s="40" t="n"/>
      <c r="BY26" s="39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38" t="n"/>
      <c r="K27" s="24" t="inlineStr">
        <is>
          <t>polymarket</t>
        </is>
      </c>
      <c r="L27" s="26" t="n">
        <v>120</v>
      </c>
      <c r="M27" s="39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38" t="n"/>
      <c r="Z27" s="26" t="n"/>
      <c r="AA27" s="28" t="n"/>
      <c r="AB27" s="28" t="n"/>
      <c r="AC27" s="4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38" t="n"/>
      <c r="BK27" s="26" t="n">
        <v>120</v>
      </c>
      <c r="BL27" s="39" t="n">
        <v>2.2</v>
      </c>
      <c r="BM27" s="28" t="n">
        <v>0.454545</v>
      </c>
      <c r="BN27" s="28" t="n">
        <v>0.452736</v>
      </c>
      <c r="BO27" s="28" t="n"/>
      <c r="BP27" s="38" t="n"/>
      <c r="BQ27" s="39" t="n"/>
      <c r="BR27" s="28" t="n"/>
      <c r="BS27" s="28" t="n"/>
      <c r="BT27" s="28" t="n"/>
      <c r="BU27" s="38" t="n"/>
      <c r="BV27" s="29" t="n"/>
      <c r="BW27" s="24" t="n"/>
      <c r="BX27" s="40" t="n"/>
      <c r="BY27" s="39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38" t="n"/>
      <c r="K28" s="24" t="inlineStr">
        <is>
          <t>polymarket</t>
        </is>
      </c>
      <c r="L28" s="26" t="n">
        <v>100</v>
      </c>
      <c r="M28" s="39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38" t="n"/>
      <c r="Z28" s="26" t="n"/>
      <c r="AA28" s="28" t="n"/>
      <c r="AB28" s="28" t="n"/>
      <c r="AC28" s="4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38" t="n"/>
      <c r="BK28" s="26" t="n">
        <v>100</v>
      </c>
      <c r="BL28" s="39" t="n">
        <v>2</v>
      </c>
      <c r="BM28" s="28" t="n">
        <v>0.5</v>
      </c>
      <c r="BN28" s="28" t="n">
        <v>0.497512</v>
      </c>
      <c r="BO28" s="28" t="n"/>
      <c r="BP28" s="38" t="n"/>
      <c r="BQ28" s="39" t="n"/>
      <c r="BR28" s="28" t="n"/>
      <c r="BS28" s="28" t="n"/>
      <c r="BT28" s="28" t="n"/>
      <c r="BU28" s="38" t="n"/>
      <c r="BV28" s="29" t="n"/>
      <c r="BW28" s="24" t="n"/>
      <c r="BX28" s="40" t="n"/>
      <c r="BY28" s="39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38" t="n"/>
      <c r="K29" s="24" t="inlineStr">
        <is>
          <t>polymarket_us</t>
        </is>
      </c>
      <c r="L29" s="26" t="n">
        <v>108</v>
      </c>
      <c r="M29" s="39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38" t="n"/>
      <c r="Z29" s="26" t="n"/>
      <c r="AA29" s="28" t="n"/>
      <c r="AB29" s="28" t="n"/>
      <c r="AC29" s="4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38" t="n"/>
      <c r="BK29" s="26" t="n">
        <v>108</v>
      </c>
      <c r="BL29" s="39" t="n">
        <v>2.08</v>
      </c>
      <c r="BM29" s="28" t="n">
        <v>0.480769</v>
      </c>
      <c r="BN29" s="28" t="n">
        <v>0.477612</v>
      </c>
      <c r="BO29" s="28" t="n"/>
      <c r="BP29" s="38" t="n"/>
      <c r="BQ29" s="39" t="n"/>
      <c r="BR29" s="28" t="n"/>
      <c r="BS29" s="28" t="n"/>
      <c r="BT29" s="28" t="n"/>
      <c r="BU29" s="38" t="n"/>
      <c r="BV29" s="29" t="n"/>
      <c r="BW29" s="24" t="n"/>
      <c r="BX29" s="40" t="n">
        <v>1</v>
      </c>
      <c r="BY29" s="39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38" t="n"/>
      <c r="K30" s="24" t="inlineStr">
        <is>
          <t>polymarket_us</t>
        </is>
      </c>
      <c r="L30" s="26" t="n">
        <v>-133</v>
      </c>
      <c r="M30" s="39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38" t="n"/>
      <c r="Z30" s="26" t="n"/>
      <c r="AA30" s="28" t="n"/>
      <c r="AB30" s="28" t="n"/>
      <c r="AC30" s="4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38" t="n"/>
      <c r="BK30" s="26" t="n">
        <v>-133</v>
      </c>
      <c r="BL30" s="39" t="n">
        <v>1.75188</v>
      </c>
      <c r="BM30" s="28" t="n">
        <v>0.570815</v>
      </c>
      <c r="BN30" s="28" t="n">
        <v>0.567164</v>
      </c>
      <c r="BO30" s="28" t="n"/>
      <c r="BP30" s="38" t="n"/>
      <c r="BQ30" s="39" t="n"/>
      <c r="BR30" s="28" t="n"/>
      <c r="BS30" s="28" t="n"/>
      <c r="BT30" s="28" t="n"/>
      <c r="BU30" s="38" t="n"/>
      <c r="BV30" s="29" t="n"/>
      <c r="BW30" s="24" t="n"/>
      <c r="BX30" s="40" t="n">
        <v>1</v>
      </c>
      <c r="BY30" s="39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38" t="n"/>
      <c r="K31" s="24" t="inlineStr">
        <is>
          <t>polymarket_us</t>
        </is>
      </c>
      <c r="L31" s="26" t="n">
        <v>130</v>
      </c>
      <c r="M31" s="39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38" t="n"/>
      <c r="Z31" s="26" t="n"/>
      <c r="AA31" s="28" t="n"/>
      <c r="AB31" s="28" t="n"/>
      <c r="AC31" s="4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38" t="n"/>
      <c r="BK31" s="26" t="n">
        <v>130</v>
      </c>
      <c r="BL31" s="39" t="n">
        <v>2.3</v>
      </c>
      <c r="BM31" s="28" t="n">
        <v>0.434783</v>
      </c>
      <c r="BN31" s="28" t="n">
        <v>0.432836</v>
      </c>
      <c r="BO31" s="28" t="n"/>
      <c r="BP31" s="38" t="n"/>
      <c r="BQ31" s="39" t="n"/>
      <c r="BR31" s="28" t="n"/>
      <c r="BS31" s="28" t="n"/>
      <c r="BT31" s="28" t="n"/>
      <c r="BU31" s="38" t="n"/>
      <c r="BV31" s="29" t="n"/>
      <c r="BW31" s="24" t="n"/>
      <c r="BX31" s="40" t="n">
        <v>1</v>
      </c>
      <c r="BY31" s="39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ad621924660a4d49</t>
        </is>
      </c>
      <c r="B32" s="24" t="inlineStr">
        <is>
          <t>2026-07-20T15:44:08.951770Z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38" t="n"/>
      <c r="K32" s="24" t="inlineStr">
        <is>
          <t>polymarket_us</t>
        </is>
      </c>
      <c r="L32" s="26" t="n">
        <v>113</v>
      </c>
      <c r="M32" s="39" t="n">
        <v>2.13</v>
      </c>
      <c r="N32" s="28" t="n">
        <v>0.469484</v>
      </c>
      <c r="O32" s="28" t="n">
        <v>0.5726869999999999</v>
      </c>
      <c r="P32" s="28" t="n"/>
      <c r="Q32" s="28" t="n">
        <v>0.103203</v>
      </c>
      <c r="R32" s="26" t="n">
        <v>100</v>
      </c>
      <c r="S32" s="29" t="n">
        <v>1.25</v>
      </c>
      <c r="T32" s="24" t="inlineStr">
        <is>
          <t>mlb-elo-trend-lr-v4</t>
        </is>
      </c>
      <c r="U32" s="24" t="inlineStr">
        <is>
          <t>open</t>
        </is>
      </c>
      <c r="V32" s="24" t="n"/>
      <c r="W32" s="26" t="n"/>
      <c r="X32" s="26" t="n"/>
      <c r="Y32" s="38" t="n"/>
      <c r="Z32" s="26" t="n"/>
      <c r="AA32" s="28" t="n"/>
      <c r="AB32" s="28" t="n"/>
      <c r="AC32" s="40" t="n"/>
      <c r="AD32" s="24" t="n"/>
      <c r="AE32" s="31" t="inlineStr">
        <is>
          <t>Learned LR call at threshold 0.5500; executable ask 0.4700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2170ac399ced5417</t>
        </is>
      </c>
      <c r="BF32" s="24" t="inlineStr">
        <is>
          <t>1</t>
        </is>
      </c>
      <c r="BG32" s="24" t="inlineStr">
        <is>
          <t>mlb-elo-trend-lr-v4</t>
        </is>
      </c>
      <c r="BH32" s="24" t="inlineStr">
        <is>
          <t>2026-07-20T15:40:37.473344Z</t>
        </is>
      </c>
      <c r="BI32" s="24" t="inlineStr">
        <is>
          <t>["same_event","same_team_same_day","same_league_same_day"]</t>
        </is>
      </c>
      <c r="BJ32" s="38" t="n"/>
      <c r="BK32" s="26" t="n">
        <v>113</v>
      </c>
      <c r="BL32" s="39" t="n">
        <v>2.13</v>
      </c>
      <c r="BM32" s="28" t="n">
        <v>0.469484</v>
      </c>
      <c r="BN32" s="28" t="n">
        <v>0.467662</v>
      </c>
      <c r="BO32" s="28" t="n"/>
      <c r="BP32" s="38" t="n"/>
      <c r="BQ32" s="39" t="n"/>
      <c r="BR32" s="28" t="n"/>
      <c r="BS32" s="28" t="n"/>
      <c r="BT32" s="28" t="n"/>
      <c r="BU32" s="38" t="n"/>
      <c r="BV32" s="29" t="n"/>
      <c r="BW32" s="24" t="n"/>
      <c r="BX32" s="40" t="n"/>
      <c r="BY32" s="39" t="n"/>
      <c r="BZ32" s="24" t="n"/>
      <c r="CA32" s="31" t="n"/>
    </row>
    <row r="33" ht="36" customHeight="1">
      <c r="A33" s="24" t="inlineStr">
        <is>
          <t>a72d0dab60924d62</t>
        </is>
      </c>
      <c r="B33" s="24" t="inlineStr">
        <is>
          <t>2026-07-20T15:44:08.951770Z</t>
        </is>
      </c>
      <c r="C33" s="24" t="inlineStr">
        <is>
          <t>2026-07-20T19:05:00-0400</t>
        </is>
      </c>
      <c r="D33" s="24" t="inlineStr">
        <is>
          <t>401816189</t>
        </is>
      </c>
      <c r="E33" s="24" t="inlineStr">
        <is>
          <t>MLB</t>
        </is>
      </c>
      <c r="F33" s="24" t="inlineStr">
        <is>
          <t>Pittsburgh Pirates</t>
        </is>
      </c>
      <c r="G33" s="24" t="inlineStr">
        <is>
          <t>New York Yankees</t>
        </is>
      </c>
      <c r="H33" s="24" t="inlineStr">
        <is>
          <t>moneyline</t>
        </is>
      </c>
      <c r="I33" s="24" t="inlineStr">
        <is>
          <t>home</t>
        </is>
      </c>
      <c r="J33" s="38" t="n"/>
      <c r="K33" s="24" t="inlineStr">
        <is>
          <t>polymarket_us</t>
        </is>
      </c>
      <c r="L33" s="26" t="n">
        <v>-108</v>
      </c>
      <c r="M33" s="39" t="n">
        <v>1.925926</v>
      </c>
      <c r="N33" s="28" t="n">
        <v>0.519231</v>
      </c>
      <c r="O33" s="28" t="n">
        <v>0.578558</v>
      </c>
      <c r="P33" s="28" t="n"/>
      <c r="Q33" s="28" t="n">
        <v>0.059327</v>
      </c>
      <c r="R33" s="26" t="n">
        <v>50</v>
      </c>
      <c r="S33" s="29" t="n">
        <v>1.25</v>
      </c>
      <c r="T33" s="24" t="inlineStr">
        <is>
          <t>mlb-elo-trend-lr-v4</t>
        </is>
      </c>
      <c r="U33" s="24" t="inlineStr">
        <is>
          <t>open</t>
        </is>
      </c>
      <c r="V33" s="24" t="n"/>
      <c r="W33" s="26" t="n"/>
      <c r="X33" s="26" t="n"/>
      <c r="Y33" s="38" t="n"/>
      <c r="Z33" s="26" t="n"/>
      <c r="AA33" s="28" t="n"/>
      <c r="AB33" s="28" t="n"/>
      <c r="AC33" s="40" t="n"/>
      <c r="AD33" s="24" t="n"/>
      <c r="AE33" s="31" t="inlineStr">
        <is>
          <t>Learned LR call at threshold 0.5500; executable ask 0.5200 (aec-mlb-pit-nyy-2026-07-20).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mlb-pit</t>
        </is>
      </c>
      <c r="AQ33" s="24" t="inlineStr">
        <is>
          <t>Pittsburgh Pirates</t>
        </is>
      </c>
      <c r="AR33" s="24" t="inlineStr">
        <is>
          <t>Pittsburgh Pirates</t>
        </is>
      </c>
      <c r="AS33" s="24" t="inlineStr">
        <is>
          <t>mlb-nyy</t>
        </is>
      </c>
      <c r="AT33" s="24" t="inlineStr">
        <is>
          <t>New York Yankees</t>
        </is>
      </c>
      <c r="AU33" s="24" t="inlineStr">
        <is>
          <t>New York Yankees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38ab7db5a3798f0c</t>
        </is>
      </c>
      <c r="BF33" s="24" t="inlineStr">
        <is>
          <t>1</t>
        </is>
      </c>
      <c r="BG33" s="24" t="inlineStr">
        <is>
          <t>mlb-elo-trend-lr-v4</t>
        </is>
      </c>
      <c r="BH33" s="24" t="inlineStr">
        <is>
          <t>2026-07-20T15:40:38.983839Z</t>
        </is>
      </c>
      <c r="BI33" s="24" t="inlineStr">
        <is>
          <t>["same_event","same_team_same_day","same_league_same_day"]</t>
        </is>
      </c>
      <c r="BJ33" s="38" t="n"/>
      <c r="BK33" s="26" t="n">
        <v>-108</v>
      </c>
      <c r="BL33" s="39" t="n">
        <v>1.925926</v>
      </c>
      <c r="BM33" s="28" t="n">
        <v>0.519231</v>
      </c>
      <c r="BN33" s="28" t="n">
        <v>0.517413</v>
      </c>
      <c r="BO33" s="28" t="n"/>
      <c r="BP33" s="38" t="n"/>
      <c r="BQ33" s="39" t="n"/>
      <c r="BR33" s="28" t="n"/>
      <c r="BS33" s="28" t="n"/>
      <c r="BT33" s="28" t="n"/>
      <c r="BU33" s="38" t="n"/>
      <c r="BV33" s="29" t="n"/>
      <c r="BW33" s="24" t="n"/>
      <c r="BX33" s="40" t="n"/>
      <c r="BY33" s="39" t="n"/>
      <c r="BZ33" s="24" t="n"/>
      <c r="CA33" s="31" t="n"/>
    </row>
    <row r="34" ht="36" customHeight="1">
      <c r="A34" s="24" t="inlineStr">
        <is>
          <t>f96e5bd1ebcc4c62</t>
        </is>
      </c>
      <c r="B34" s="24" t="inlineStr">
        <is>
          <t>2026-07-20T15:44:08.951770Z</t>
        </is>
      </c>
      <c r="C34" s="24" t="inlineStr">
        <is>
          <t>2026-07-20T20:05:00-0400</t>
        </is>
      </c>
      <c r="D34" s="24" t="inlineStr">
        <is>
          <t>401816193</t>
        </is>
      </c>
      <c r="E34" s="24" t="inlineStr">
        <is>
          <t>MLB</t>
        </is>
      </c>
      <c r="F34" s="24" t="inlineStr">
        <is>
          <t>Detroit Tigers</t>
        </is>
      </c>
      <c r="G34" s="24" t="inlineStr">
        <is>
          <t>Chicago Cubs</t>
        </is>
      </c>
      <c r="H34" s="24" t="inlineStr">
        <is>
          <t>moneyline</t>
        </is>
      </c>
      <c r="I34" s="24" t="inlineStr">
        <is>
          <t>home</t>
        </is>
      </c>
      <c r="J34" s="38" t="n"/>
      <c r="K34" s="24" t="inlineStr">
        <is>
          <t>polymarket_us</t>
        </is>
      </c>
      <c r="L34" s="26" t="n">
        <v>-108</v>
      </c>
      <c r="M34" s="39" t="n">
        <v>1.925926</v>
      </c>
      <c r="N34" s="28" t="n">
        <v>0.519231</v>
      </c>
      <c r="O34" s="28" t="n">
        <v>0.566967</v>
      </c>
      <c r="P34" s="28" t="n"/>
      <c r="Q34" s="28" t="n">
        <v>0.047736</v>
      </c>
      <c r="R34" s="26" t="n">
        <v>44</v>
      </c>
      <c r="S34" s="29" t="n">
        <v>1.25</v>
      </c>
      <c r="T34" s="24" t="inlineStr">
        <is>
          <t>mlb-elo-trend-lr-v4</t>
        </is>
      </c>
      <c r="U34" s="24" t="inlineStr">
        <is>
          <t>open</t>
        </is>
      </c>
      <c r="V34" s="24" t="n"/>
      <c r="W34" s="26" t="n"/>
      <c r="X34" s="26" t="n"/>
      <c r="Y34" s="38" t="n"/>
      <c r="Z34" s="26" t="n"/>
      <c r="AA34" s="28" t="n"/>
      <c r="AB34" s="28" t="n"/>
      <c r="AC34" s="40" t="n"/>
      <c r="AD34" s="24" t="n"/>
      <c r="AE34" s="31" t="inlineStr">
        <is>
          <t>Learned LR call at threshold 0.5500; executable ask 0.5200 (aec-mlb-det-chc-2026-07-20).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mlb-det</t>
        </is>
      </c>
      <c r="AQ34" s="24" t="inlineStr">
        <is>
          <t>Detroit Tigers</t>
        </is>
      </c>
      <c r="AR34" s="24" t="inlineStr">
        <is>
          <t>Detroit Tigers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b84afb2c70e14d93</t>
        </is>
      </c>
      <c r="BF34" s="24" t="inlineStr">
        <is>
          <t>1</t>
        </is>
      </c>
      <c r="BG34" s="24" t="inlineStr">
        <is>
          <t>mlb-elo-trend-lr-v4</t>
        </is>
      </c>
      <c r="BH34" s="24" t="inlineStr">
        <is>
          <t>2026-07-20T15:40:51.564498Z</t>
        </is>
      </c>
      <c r="BI34" s="24" t="inlineStr">
        <is>
          <t>["same_event","same_team_same_day","same_league_same_day"]</t>
        </is>
      </c>
      <c r="BJ34" s="38" t="n"/>
      <c r="BK34" s="26" t="n">
        <v>-108</v>
      </c>
      <c r="BL34" s="39" t="n">
        <v>1.925926</v>
      </c>
      <c r="BM34" s="28" t="n">
        <v>0.519231</v>
      </c>
      <c r="BN34" s="28" t="n">
        <v>0.5148509999999999</v>
      </c>
      <c r="BO34" s="28" t="n"/>
      <c r="BP34" s="38" t="n"/>
      <c r="BQ34" s="39" t="n"/>
      <c r="BR34" s="28" t="n"/>
      <c r="BS34" s="28" t="n"/>
      <c r="BT34" s="28" t="n"/>
      <c r="BU34" s="38" t="n"/>
      <c r="BV34" s="29" t="n"/>
      <c r="BW34" s="24" t="n"/>
      <c r="BX34" s="40" t="n"/>
      <c r="BY34" s="39" t="n"/>
      <c r="BZ34" s="24" t="n"/>
      <c r="CA34" s="31" t="n"/>
    </row>
    <row r="35" ht="36" customHeight="1">
      <c r="A35" s="24" t="inlineStr">
        <is>
          <t>147749d13cbd4451</t>
        </is>
      </c>
      <c r="B35" s="24" t="inlineStr">
        <is>
          <t>2026-07-20T15:44:12.511288Z</t>
        </is>
      </c>
      <c r="C35" s="24" t="inlineStr">
        <is>
          <t>2026-07-20T20:00:00-0400</t>
        </is>
      </c>
      <c r="D35" s="24" t="inlineStr">
        <is>
          <t>401892393</t>
        </is>
      </c>
      <c r="E35" s="24" t="inlineStr">
        <is>
          <t>WNBA</t>
        </is>
      </c>
      <c r="F35" s="24" t="inlineStr">
        <is>
          <t>New York Liberty</t>
        </is>
      </c>
      <c r="G35" s="24" t="inlineStr">
        <is>
          <t>Dallas Wings</t>
        </is>
      </c>
      <c r="H35" s="24" t="inlineStr">
        <is>
          <t>moneyline</t>
        </is>
      </c>
      <c r="I35" s="24" t="inlineStr">
        <is>
          <t>home</t>
        </is>
      </c>
      <c r="J35" s="38" t="n"/>
      <c r="K35" s="24" t="inlineStr">
        <is>
          <t>polymarket_us</t>
        </is>
      </c>
      <c r="L35" s="26" t="n">
        <v>150</v>
      </c>
      <c r="M35" s="39" t="n">
        <v>2.5</v>
      </c>
      <c r="N35" s="28" t="n">
        <v>0.4</v>
      </c>
      <c r="O35" s="28" t="n">
        <v>0.688998</v>
      </c>
      <c r="P35" s="28" t="n"/>
      <c r="Q35" s="28" t="n">
        <v>0.288998</v>
      </c>
      <c r="R35" s="26" t="n">
        <v>100</v>
      </c>
      <c r="S35" s="29" t="n">
        <v>2</v>
      </c>
      <c r="T35" s="24" t="inlineStr">
        <is>
          <t>wnba-elo-trend-lr-v3</t>
        </is>
      </c>
      <c r="U35" s="24" t="inlineStr">
        <is>
          <t>open</t>
        </is>
      </c>
      <c r="V35" s="24" t="n"/>
      <c r="W35" s="26" t="n"/>
      <c r="X35" s="26" t="n"/>
      <c r="Y35" s="38" t="n"/>
      <c r="Z35" s="26" t="n"/>
      <c r="AA35" s="28" t="n"/>
      <c r="AB35" s="28" t="n"/>
      <c r="AC35" s="40" t="n"/>
      <c r="AD35" s="24" t="n"/>
      <c r="AE35" s="31" t="inlineStr">
        <is>
          <t>Learned LR call at threshold 0.5051; executable ask 0.4000 (aec-wnba-ny-dal-2026-07-20).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wnba-nyl</t>
        </is>
      </c>
      <c r="AQ35" s="24" t="inlineStr">
        <is>
          <t>New York Liberty</t>
        </is>
      </c>
      <c r="AR35" s="24" t="inlineStr">
        <is>
          <t>New York Liberty</t>
        </is>
      </c>
      <c r="AS35" s="24" t="inlineStr">
        <is>
          <t>wnba-dal</t>
        </is>
      </c>
      <c r="AT35" s="24" t="inlineStr">
        <is>
          <t>Dallas Wings</t>
        </is>
      </c>
      <c r="AU35" s="24" t="inlineStr">
        <is>
          <t>Dallas Wings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43ee2f84f025c10f83f80a8c22d49c35c420734a8a730b5f272287225cceee4b</t>
        </is>
      </c>
      <c r="BB35" s="24" t="inlineStr">
        <is>
          <t>learned_lr</t>
        </is>
      </c>
      <c r="BC35" s="24" t="inlineStr">
        <is>
          <t>wnba-elo-trend-lr-v3</t>
        </is>
      </c>
      <c r="BD35" s="24" t="inlineStr">
        <is>
          <t>43ee2f84f025c10f83f80a8c22d49c35c420734a8a730b5f272287225cceee4b</t>
        </is>
      </c>
      <c r="BE35" s="24" t="inlineStr">
        <is>
          <t>c20bbb99f1fff741</t>
        </is>
      </c>
      <c r="BF35" s="24" t="inlineStr">
        <is>
          <t>1</t>
        </is>
      </c>
      <c r="BG35" s="24" t="inlineStr">
        <is>
          <t>wnba-elo-trend-lr-v3</t>
        </is>
      </c>
      <c r="BH35" s="24" t="inlineStr">
        <is>
          <t>2026-07-20T15:41:03.863692Z</t>
        </is>
      </c>
      <c r="BI35" s="24" t="inlineStr">
        <is>
          <t>["same_event","same_team_same_day","same_league_same_day"]</t>
        </is>
      </c>
      <c r="BJ35" s="38" t="n"/>
      <c r="BK35" s="26" t="n">
        <v>150</v>
      </c>
      <c r="BL35" s="39" t="n">
        <v>2.5</v>
      </c>
      <c r="BM35" s="28" t="n">
        <v>0.4</v>
      </c>
      <c r="BN35" s="28" t="n">
        <v>0.39604</v>
      </c>
      <c r="BO35" s="28" t="n"/>
      <c r="BP35" s="38" t="n"/>
      <c r="BQ35" s="39" t="n"/>
      <c r="BR35" s="28" t="n"/>
      <c r="BS35" s="28" t="n"/>
      <c r="BT35" s="28" t="n"/>
      <c r="BU35" s="38" t="n"/>
      <c r="BV35" s="29" t="n"/>
      <c r="BW35" s="24" t="n"/>
      <c r="BX35" s="40" t="n"/>
      <c r="BY35" s="39" t="n"/>
      <c r="BZ35" s="24" t="n"/>
      <c r="CA35" s="31" t="n"/>
    </row>
    <row r="36" ht="36" customHeight="1">
      <c r="A36" s="24" t="inlineStr">
        <is>
          <t>2ca332931d5a4fdb</t>
        </is>
      </c>
      <c r="B36" s="24" t="inlineStr">
        <is>
          <t>2026-07-20T16:32:37.034238Z</t>
        </is>
      </c>
      <c r="C36" s="24" t="inlineStr">
        <is>
          <t>2026-07-20T20:00:00Z</t>
        </is>
      </c>
      <c r="D36" s="24" t="inlineStr">
        <is>
          <t>54491</t>
        </is>
      </c>
      <c r="E36" s="24" t="inlineStr">
        <is>
          <t>LOL</t>
        </is>
      </c>
      <c r="F36" s="24" t="inlineStr">
        <is>
          <t>KaBuM! Ilha das Lendas</t>
        </is>
      </c>
      <c r="G36" s="24" t="inlineStr">
        <is>
          <t>Vivo Keyd Stars Academy</t>
        </is>
      </c>
      <c r="H36" s="24" t="inlineStr">
        <is>
          <t>moneyline</t>
        </is>
      </c>
      <c r="I36" s="24" t="inlineStr">
        <is>
          <t>home</t>
        </is>
      </c>
      <c r="J36" s="38" t="n"/>
      <c r="K36" s="24" t="inlineStr">
        <is>
          <t>polymarket_us</t>
        </is>
      </c>
      <c r="L36" s="26" t="n">
        <v>144</v>
      </c>
      <c r="M36" s="39" t="n">
        <v>2.44</v>
      </c>
      <c r="N36" s="28" t="n">
        <v>0.409836</v>
      </c>
      <c r="O36" s="28" t="n">
        <v>0.527501</v>
      </c>
      <c r="P36" s="28" t="n"/>
      <c r="Q36" s="28" t="n">
        <v>0.117501</v>
      </c>
      <c r="R36" s="26" t="n">
        <v>100</v>
      </c>
      <c r="S36" s="29" t="n">
        <v>0.75</v>
      </c>
      <c r="T36" s="24" t="inlineStr">
        <is>
          <t>lol-neutral-series-elo-v1</t>
        </is>
      </c>
      <c r="U36" s="24" t="inlineStr">
        <is>
          <t>open</t>
        </is>
      </c>
      <c r="V36" s="24" t="n"/>
      <c r="W36" s="26" t="n"/>
      <c r="X36" s="26" t="n"/>
      <c r="Y36" s="38" t="n"/>
      <c r="Z36" s="26" t="n"/>
      <c r="AA36" s="28" t="n"/>
      <c r="AB36" s="28" t="n"/>
      <c r="AC36" s="40" t="n"/>
      <c r="AD36" s="24" t="n"/>
      <c r="AE36" s="31" t="inlineStr">
        <is>
          <t>Neutral Elo baseline; executable ask 0.4100 (aec-lol-vksa-kbm-2026-07-20).</t>
        </is>
      </c>
      <c r="AF36" s="31" t="inlineStr">
        <is>
          <t>Research baseline; zero-unit shadow until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KaBuM! Ilha das Lendas</t>
        </is>
      </c>
      <c r="AQ36" s="24" t="inlineStr">
        <is>
          <t>KaBuM! Ilha das Lendas</t>
        </is>
      </c>
      <c r="AR36" s="24" t="inlineStr">
        <is>
          <t>KaBuM! Ilha das Lendas</t>
        </is>
      </c>
      <c r="AS36" s="24" t="inlineStr">
        <is>
          <t>Vivo Keyd Stars Academy</t>
        </is>
      </c>
      <c r="AT36" s="24" t="inlineStr">
        <is>
          <t>Vivo Keyd Stars Academy</t>
        </is>
      </c>
      <c r="AU36" s="24" t="inlineStr">
        <is>
          <t>Vivo Keyd Stars Academy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1f56359bf30bb6d51629a345226e3008ebfe73210551f6db9f5ce09f656ffdd6</t>
        </is>
      </c>
      <c r="BB36" s="24" t="inlineStr">
        <is>
          <t>neutral_elo</t>
        </is>
      </c>
      <c r="BC36" s="24" t="inlineStr">
        <is>
          <t>lol-neutral-series-elo-v1</t>
        </is>
      </c>
      <c r="BD36" s="24" t="inlineStr">
        <is>
          <t>1f56359bf30bb6d51629a345226e3008ebfe73210551f6db9f5ce09f656ffdd6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unknown</t>
        </is>
      </c>
      <c r="BH36" s="24" t="inlineStr">
        <is>
          <t>2026-07-20T16:32:37.034238Z</t>
        </is>
      </c>
      <c r="BI36" s="24" t="inlineStr">
        <is>
          <t>["same_event","same_team_same_day","same_league_same_day"]</t>
        </is>
      </c>
      <c r="BJ36" s="38" t="n"/>
      <c r="BK36" s="26" t="n">
        <v>144</v>
      </c>
      <c r="BL36" s="39" t="n">
        <v>2.44</v>
      </c>
      <c r="BM36" s="28" t="n">
        <v>0.409836</v>
      </c>
      <c r="BN36" s="28" t="n"/>
      <c r="BO36" s="28" t="n"/>
      <c r="BP36" s="38" t="n"/>
      <c r="BQ36" s="39" t="n"/>
      <c r="BR36" s="28" t="n"/>
      <c r="BS36" s="28" t="n"/>
      <c r="BT36" s="28" t="n"/>
      <c r="BU36" s="38" t="n"/>
      <c r="BV36" s="29" t="n"/>
      <c r="BW36" s="24" t="n"/>
      <c r="BX36" s="40" t="n"/>
      <c r="BY36" s="39" t="n"/>
      <c r="BZ36" s="24" t="n"/>
      <c r="CA36" s="31" t="n"/>
    </row>
    <row r="37" ht="36" customHeight="1">
      <c r="A37" s="24" t="inlineStr">
        <is>
          <t>19b13148b06b408d</t>
        </is>
      </c>
      <c r="B37" s="24" t="inlineStr">
        <is>
          <t>2026-07-20T16:32:37.134076Z</t>
        </is>
      </c>
      <c r="C37" s="24" t="inlineStr">
        <is>
          <t>2026-07-20T21:00:00Z</t>
        </is>
      </c>
      <c r="D37" s="24" t="inlineStr">
        <is>
          <t>54670</t>
        </is>
      </c>
      <c r="E37" s="24" t="inlineStr">
        <is>
          <t>LOL</t>
        </is>
      </c>
      <c r="F37" s="24" t="inlineStr">
        <is>
          <t>INTZ e-Sports</t>
        </is>
      </c>
      <c r="G37" s="24" t="inlineStr">
        <is>
          <t>7REX</t>
        </is>
      </c>
      <c r="H37" s="24" t="inlineStr">
        <is>
          <t>moneyline</t>
        </is>
      </c>
      <c r="I37" s="24" t="inlineStr">
        <is>
          <t>away</t>
        </is>
      </c>
      <c r="J37" s="38" t="n"/>
      <c r="K37" s="24" t="inlineStr">
        <is>
          <t>polymarket_us</t>
        </is>
      </c>
      <c r="L37" s="26" t="n">
        <v>186</v>
      </c>
      <c r="M37" s="39" t="n">
        <v>2.86</v>
      </c>
      <c r="N37" s="28" t="n">
        <v>0.34965</v>
      </c>
      <c r="O37" s="28" t="n">
        <v>0.533959</v>
      </c>
      <c r="P37" s="28" t="n"/>
      <c r="Q37" s="28" t="n">
        <v>0.183959</v>
      </c>
      <c r="R37" s="26" t="n">
        <v>100</v>
      </c>
      <c r="S37" s="29" t="n">
        <v>0.75</v>
      </c>
      <c r="T37" s="24" t="inlineStr">
        <is>
          <t>lol-neutral-series-elo-v1</t>
        </is>
      </c>
      <c r="U37" s="24" t="inlineStr">
        <is>
          <t>open</t>
        </is>
      </c>
      <c r="V37" s="24" t="n"/>
      <c r="W37" s="26" t="n"/>
      <c r="X37" s="26" t="n"/>
      <c r="Y37" s="38" t="n"/>
      <c r="Z37" s="26" t="n"/>
      <c r="AA37" s="28" t="n"/>
      <c r="AB37" s="28" t="n"/>
      <c r="AC37" s="40" t="n"/>
      <c r="AD37" s="24" t="n"/>
      <c r="AE37" s="31" t="inlineStr">
        <is>
          <t>Neutral Elo baseline; executable ask 0.3500 (aec-lol-itz-7rex-2026-07-20).</t>
        </is>
      </c>
      <c r="AF37" s="31" t="inlineStr">
        <is>
          <t>Research baseline; zero-unit shadow until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INTZ e-Sports</t>
        </is>
      </c>
      <c r="AQ37" s="24" t="inlineStr">
        <is>
          <t>INTZ e-Sports</t>
        </is>
      </c>
      <c r="AR37" s="24" t="inlineStr">
        <is>
          <t>INTZ e-Sports</t>
        </is>
      </c>
      <c r="AS37" s="24" t="inlineStr">
        <is>
          <t>7REX</t>
        </is>
      </c>
      <c r="AT37" s="24" t="inlineStr">
        <is>
          <t>7REX</t>
        </is>
      </c>
      <c r="AU37" s="24" t="inlineStr">
        <is>
          <t>7REX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1f56359bf30bb6d51629a345226e3008ebfe73210551f6db9f5ce09f656ffdd6</t>
        </is>
      </c>
      <c r="BB37" s="24" t="inlineStr">
        <is>
          <t>neutral_elo</t>
        </is>
      </c>
      <c r="BC37" s="24" t="inlineStr">
        <is>
          <t>lol-neutral-series-elo-v1</t>
        </is>
      </c>
      <c r="BD37" s="24" t="inlineStr">
        <is>
          <t>1f56359bf30bb6d51629a345226e3008ebfe73210551f6db9f5ce09f656ffdd6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unknown</t>
        </is>
      </c>
      <c r="BH37" s="24" t="inlineStr">
        <is>
          <t>2026-07-20T16:32:37.134076Z</t>
        </is>
      </c>
      <c r="BI37" s="24" t="inlineStr">
        <is>
          <t>["same_event","same_team_same_day","same_league_same_day"]</t>
        </is>
      </c>
      <c r="BJ37" s="38" t="n"/>
      <c r="BK37" s="26" t="n">
        <v>186</v>
      </c>
      <c r="BL37" s="39" t="n">
        <v>2.86</v>
      </c>
      <c r="BM37" s="28" t="n">
        <v>0.34965</v>
      </c>
      <c r="BN37" s="28" t="n"/>
      <c r="BO37" s="28" t="n"/>
      <c r="BP37" s="38" t="n"/>
      <c r="BQ37" s="39" t="n"/>
      <c r="BR37" s="28" t="n"/>
      <c r="BS37" s="28" t="n"/>
      <c r="BT37" s="28" t="n"/>
      <c r="BU37" s="38" t="n"/>
      <c r="BV37" s="29" t="n"/>
      <c r="BW37" s="24" t="n"/>
      <c r="BX37" s="40" t="n"/>
      <c r="BY37" s="39" t="n"/>
      <c r="BZ37" s="24" t="n"/>
      <c r="CA37" s="31" t="n"/>
    </row>
    <row r="38" ht="36" customHeight="1">
      <c r="A38" s="24" t="inlineStr">
        <is>
          <t>3646f4334f58469d</t>
        </is>
      </c>
      <c r="B38" s="24" t="inlineStr">
        <is>
          <t>2026-07-20T16:32:43.485216Z</t>
        </is>
      </c>
      <c r="C38" s="24" t="inlineStr">
        <is>
          <t>2026-07-20T17:00:00Z</t>
        </is>
      </c>
      <c r="D38" s="24" t="inlineStr">
        <is>
          <t>56113</t>
        </is>
      </c>
      <c r="E38" s="24" t="inlineStr">
        <is>
          <t>CS2</t>
        </is>
      </c>
      <c r="F38" s="24" t="inlineStr">
        <is>
          <t>Inner Circle Academy</t>
        </is>
      </c>
      <c r="G38" s="24" t="inlineStr">
        <is>
          <t>Endless Journey</t>
        </is>
      </c>
      <c r="H38" s="24" t="inlineStr">
        <is>
          <t>moneyline</t>
        </is>
      </c>
      <c r="I38" s="24" t="inlineStr">
        <is>
          <t>away</t>
        </is>
      </c>
      <c r="J38" s="38" t="n"/>
      <c r="K38" s="24" t="inlineStr">
        <is>
          <t>polymarket_us</t>
        </is>
      </c>
      <c r="L38" s="26" t="n">
        <v>113</v>
      </c>
      <c r="M38" s="39" t="n">
        <v>2.13</v>
      </c>
      <c r="N38" s="28" t="n">
        <v>0.469484</v>
      </c>
      <c r="O38" s="28" t="n">
        <v>0.576217</v>
      </c>
      <c r="P38" s="28" t="n"/>
      <c r="Q38" s="28" t="n">
        <v>0.106217</v>
      </c>
      <c r="R38" s="26" t="n">
        <v>100</v>
      </c>
      <c r="S38" s="29" t="n">
        <v>1.25</v>
      </c>
      <c r="T38" s="24" t="inlineStr">
        <is>
          <t>cs2-neutral-series-elo-v1</t>
        </is>
      </c>
      <c r="U38" s="24" t="inlineStr">
        <is>
          <t>open</t>
        </is>
      </c>
      <c r="V38" s="24" t="n"/>
      <c r="W38" s="26" t="n"/>
      <c r="X38" s="26" t="n"/>
      <c r="Y38" s="38" t="n"/>
      <c r="Z38" s="26" t="n"/>
      <c r="AA38" s="28" t="n"/>
      <c r="AB38" s="28" t="n"/>
      <c r="AC38" s="40" t="n"/>
      <c r="AD38" s="24" t="n"/>
      <c r="AE38" s="31" t="inlineStr">
        <is>
          <t>Neutral Elo baseline; executable ask 0.4700 (aec-cs2-ica-ej-2026-07-20).</t>
        </is>
      </c>
      <c r="AF38" s="31" t="inlineStr">
        <is>
          <t>Research baseline; zero-unit shadow until qualified.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Inner Circle Academy</t>
        </is>
      </c>
      <c r="AQ38" s="24" t="inlineStr">
        <is>
          <t>Inner Circle Academy</t>
        </is>
      </c>
      <c r="AR38" s="24" t="inlineStr">
        <is>
          <t>Inner Circle Academy</t>
        </is>
      </c>
      <c r="AS38" s="24" t="inlineStr">
        <is>
          <t>Endless Journey</t>
        </is>
      </c>
      <c r="AT38" s="24" t="inlineStr">
        <is>
          <t>Endless Journey</t>
        </is>
      </c>
      <c r="AU38" s="24" t="inlineStr">
        <is>
          <t>Endless Journey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40df7f7b9128e86cfbc485914f5801a00963b62604711b733b60f782ba9e258b</t>
        </is>
      </c>
      <c r="BB38" s="24" t="inlineStr">
        <is>
          <t>neutral_elo</t>
        </is>
      </c>
      <c r="BC38" s="24" t="inlineStr">
        <is>
          <t>cs2-neutral-series-elo-v1</t>
        </is>
      </c>
      <c r="BD38" s="24" t="inlineStr">
        <is>
          <t>40df7f7b9128e86cfbc485914f5801a00963b62604711b733b60f782ba9e258b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unknown</t>
        </is>
      </c>
      <c r="BH38" s="24" t="inlineStr">
        <is>
          <t>2026-07-20T16:32:43.485216Z</t>
        </is>
      </c>
      <c r="BI38" s="24" t="inlineStr">
        <is>
          <t>["same_event","same_team_same_day","same_league_same_day"]</t>
        </is>
      </c>
      <c r="BJ38" s="38" t="n"/>
      <c r="BK38" s="26" t="n">
        <v>113</v>
      </c>
      <c r="BL38" s="39" t="n">
        <v>2.13</v>
      </c>
      <c r="BM38" s="28" t="n">
        <v>0.469484</v>
      </c>
      <c r="BN38" s="28" t="n"/>
      <c r="BO38" s="28" t="n"/>
      <c r="BP38" s="38" t="n"/>
      <c r="BQ38" s="39" t="n"/>
      <c r="BR38" s="28" t="n"/>
      <c r="BS38" s="28" t="n"/>
      <c r="BT38" s="28" t="n"/>
      <c r="BU38" s="38" t="n"/>
      <c r="BV38" s="29" t="n"/>
      <c r="BW38" s="24" t="n"/>
      <c r="BX38" s="40" t="n"/>
      <c r="BY38" s="39" t="n"/>
      <c r="BZ38" s="24" t="n"/>
      <c r="CA38" s="31" t="n"/>
    </row>
    <row r="39" ht="36" customHeight="1">
      <c r="A39" s="24" t="inlineStr">
        <is>
          <t>a2f62addc7be49e9</t>
        </is>
      </c>
      <c r="B39" s="24" t="inlineStr">
        <is>
          <t>2026-07-20T16:32:43.612711Z</t>
        </is>
      </c>
      <c r="C39" s="24" t="inlineStr">
        <is>
          <t>2026-07-20T21:00:00Z</t>
        </is>
      </c>
      <c r="D39" s="24" t="inlineStr">
        <is>
          <t>54672</t>
        </is>
      </c>
      <c r="E39" s="24" t="inlineStr">
        <is>
          <t>CS2</t>
        </is>
      </c>
      <c r="F39" s="24" t="inlineStr">
        <is>
          <t>METANOIA WOLVES</t>
        </is>
      </c>
      <c r="G39" s="24" t="inlineStr">
        <is>
          <t>RED Canids Academy</t>
        </is>
      </c>
      <c r="H39" s="24" t="inlineStr">
        <is>
          <t>moneyline</t>
        </is>
      </c>
      <c r="I39" s="24" t="inlineStr">
        <is>
          <t>home</t>
        </is>
      </c>
      <c r="J39" s="38" t="n"/>
      <c r="K39" s="24" t="inlineStr">
        <is>
          <t>polymarket_us</t>
        </is>
      </c>
      <c r="L39" s="26" t="n">
        <v>-144</v>
      </c>
      <c r="M39" s="39" t="n">
        <v>1.694444</v>
      </c>
      <c r="N39" s="28" t="n">
        <v>0.590164</v>
      </c>
      <c r="O39" s="28" t="n">
        <v>0.692542</v>
      </c>
      <c r="P39" s="28" t="n"/>
      <c r="Q39" s="28" t="n">
        <v>0.102542</v>
      </c>
      <c r="R39" s="26" t="n">
        <v>100</v>
      </c>
      <c r="S39" s="29" t="n">
        <v>2</v>
      </c>
      <c r="T39" s="24" t="inlineStr">
        <is>
          <t>cs2-neutral-series-elo-v1</t>
        </is>
      </c>
      <c r="U39" s="24" t="inlineStr">
        <is>
          <t>open</t>
        </is>
      </c>
      <c r="V39" s="24" t="n"/>
      <c r="W39" s="26" t="n"/>
      <c r="X39" s="26" t="n"/>
      <c r="Y39" s="38" t="n"/>
      <c r="Z39" s="26" t="n"/>
      <c r="AA39" s="28" t="n"/>
      <c r="AB39" s="28" t="n"/>
      <c r="AC39" s="40" t="n"/>
      <c r="AD39" s="24" t="n"/>
      <c r="AE39" s="31" t="inlineStr">
        <is>
          <t>Neutral Elo baseline; executable ask 0.5900 (aec-cs2-reda-mw-2026-07-20).</t>
        </is>
      </c>
      <c r="AF39" s="31" t="inlineStr">
        <is>
          <t>Research baseline; zero-unit shadow until qualified.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METANOIA WOLVES</t>
        </is>
      </c>
      <c r="AQ39" s="24" t="inlineStr">
        <is>
          <t>METANOIA WOLVES</t>
        </is>
      </c>
      <c r="AR39" s="24" t="inlineStr">
        <is>
          <t>METANOIA WOLVES</t>
        </is>
      </c>
      <c r="AS39" s="24" t="inlineStr">
        <is>
          <t>RED Canids Academy</t>
        </is>
      </c>
      <c r="AT39" s="24" t="inlineStr">
        <is>
          <t>RED Canids Academy</t>
        </is>
      </c>
      <c r="AU39" s="24" t="inlineStr">
        <is>
          <t>RED Canids Academy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40df7f7b9128e86cfbc485914f5801a00963b62604711b733b60f782ba9e258b</t>
        </is>
      </c>
      <c r="BB39" s="24" t="inlineStr">
        <is>
          <t>neutral_elo</t>
        </is>
      </c>
      <c r="BC39" s="24" t="inlineStr">
        <is>
          <t>cs2-neutral-series-elo-v1</t>
        </is>
      </c>
      <c r="BD39" s="24" t="inlineStr">
        <is>
          <t>40df7f7b9128e86cfbc485914f5801a00963b62604711b733b60f782ba9e258b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unknown</t>
        </is>
      </c>
      <c r="BH39" s="24" t="inlineStr">
        <is>
          <t>2026-07-20T16:32:43.612711Z</t>
        </is>
      </c>
      <c r="BI39" s="24" t="inlineStr">
        <is>
          <t>["same_event","same_team_same_day","same_league_same_day"]</t>
        </is>
      </c>
      <c r="BJ39" s="38" t="n"/>
      <c r="BK39" s="26" t="n">
        <v>-144</v>
      </c>
      <c r="BL39" s="39" t="n">
        <v>1.694444</v>
      </c>
      <c r="BM39" s="28" t="n">
        <v>0.590164</v>
      </c>
      <c r="BN39" s="28" t="n"/>
      <c r="BO39" s="28" t="n"/>
      <c r="BP39" s="38" t="n"/>
      <c r="BQ39" s="39" t="n"/>
      <c r="BR39" s="28" t="n"/>
      <c r="BS39" s="28" t="n"/>
      <c r="BT39" s="28" t="n"/>
      <c r="BU39" s="38" t="n"/>
      <c r="BV39" s="29" t="n"/>
      <c r="BW39" s="24" t="n"/>
      <c r="BX39" s="40" t="n"/>
      <c r="BY39" s="39" t="n"/>
      <c r="BZ39" s="24" t="n"/>
      <c r="CA39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2026-07-20T16:32:43Z</dcterms:created>
  <dcterms:modified xsi:type="dcterms:W3CDTF">2026-07-20T16:37:36Z</dcterms:modified>
</cp:coreProperties>
</file>