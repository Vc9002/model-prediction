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12" headerRowCount="1">
  <autoFilter ref="A1:CA12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COUNTA('Picks'!$A$2:$A$12)</f>
        <v/>
      </c>
      <c r="C4" s="6">
        <f>COUNTIF('Picks'!$U$2:$U$12,"open")</f>
        <v/>
      </c>
      <c r="E4" s="6">
        <f>COUNTIF('Picks'!$U$2:$U$12,"settled")</f>
        <v/>
      </c>
      <c r="G4" s="6">
        <f>IF(COUNTIFS('Picks'!$U$2:$U$12,"settled",'Picks'!$V$2:$V$12,"win")+COUNTIFS('Picks'!$U$2:$U$12,"settled",'Picks'!$V$2:$V$12,"loss")&gt;=$L$2,"Ready","Insufficient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COUNTIF('Picks'!$BX$2:$BX$12,"&gt;0")</f>
        <v/>
      </c>
      <c r="C7" s="6">
        <f>COUNTIFS('Picks'!$BX$2:$BX$12,"&gt;0",'Picks'!$V$2:$V$12,"win")&amp;"-"&amp;COUNTIFS('Picks'!$BX$2:$BX$12,"&gt;0",'Picks'!$V$2:$V$12,"loss")</f>
        <v/>
      </c>
      <c r="E7" s="7">
        <f>IFERROR(COUNTIFS('Picks'!$BX$2:$BX$12,"&gt;0",'Picks'!$V$2:$V$12,"win")/(COUNTIFS('Picks'!$BX$2:$BX$12,"&gt;0",'Picks'!$V$2:$V$12,"win")+COUNTIFS('Picks'!$BX$2:$BX$12,"&gt;0",'Picks'!$V$2:$V$12,"loss")),0)</f>
        <v/>
      </c>
      <c r="G7" s="7">
        <f>IFERROR(SUM('Picks'!$BY$2:$BY$12)/SUM('Picks'!$BX$2:$BX$12),0)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SUM('Picks'!$BY$2:$BY$12)</f>
        <v/>
      </c>
      <c r="C10" s="9">
        <f>IFERROR(AVERAGEIF('Picks'!$AB$2:$AB$12,"&lt;&gt;",'Picks'!$AB$2:$AB$12),0)</f>
        <v/>
      </c>
      <c r="E10" s="6">
        <f>COUNTIFS('Picks'!$AM$2:$AM$12,"QUALIFIED_SHADOW_CALL",'Picks'!$U$2:$U$12,"settled")</f>
        <v/>
      </c>
      <c r="G10" s="8">
        <f>SUMIFS('Picks'!$AC$2:$AC$12,'Picks'!$AM$2:$AM$12,"QUALIFIED_SHADOW_CALL")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COUNTIFS('Picks'!$H$2:$H$12,$A14,'Picks'!$U$2:$U$12,"settled")</f>
        <v/>
      </c>
      <c r="C14" s="13">
        <f>COUNTIFS('Picks'!$H$2:$H$12,$A14,'Picks'!$U$2:$U$12,"settled",'Picks'!$V$2:$V$12,"win")</f>
        <v/>
      </c>
      <c r="D14" s="13">
        <f>COUNTIFS('Picks'!$H$2:$H$12,$A14,'Picks'!$U$2:$U$12,"settled",'Picks'!$V$2:$V$12,"loss")</f>
        <v/>
      </c>
      <c r="E14" s="14">
        <f>IFERROR(C14/(C14+D14),0)</f>
        <v/>
      </c>
      <c r="F14" s="15">
        <f>SUMIFS('Picks'!$BY$2:$BY$12,'Picks'!$H$2:$H$12,$A14)</f>
        <v/>
      </c>
      <c r="G14" s="16">
        <f>IFERROR(AVERAGEIFS('Picks'!$AB$2:$AB$12,'Picks'!$H$2:$H$12,$A14,'Picks'!$U$2:$U$12,"settled"),0)</f>
        <v/>
      </c>
    </row>
    <row r="15">
      <c r="A15" s="17" t="inlineStr">
        <is>
          <t>spread</t>
        </is>
      </c>
      <c r="B15" s="18">
        <f>COUNTIFS('Picks'!$H$2:$H$12,$A15,'Picks'!$U$2:$U$12,"settled")</f>
        <v/>
      </c>
      <c r="C15" s="18">
        <f>COUNTIFS('Picks'!$H$2:$H$12,$A15,'Picks'!$U$2:$U$12,"settled",'Picks'!$V$2:$V$12,"win")</f>
        <v/>
      </c>
      <c r="D15" s="18">
        <f>COUNTIFS('Picks'!$H$2:$H$12,$A15,'Picks'!$U$2:$U$12,"settled",'Picks'!$V$2:$V$12,"loss")</f>
        <v/>
      </c>
      <c r="E15" s="19">
        <f>IFERROR(C15/(C15+D15),0)</f>
        <v/>
      </c>
      <c r="F15" s="20">
        <f>SUMIFS('Picks'!$BY$2:$BY$12,'Picks'!$H$2:$H$12,$A15)</f>
        <v/>
      </c>
      <c r="G15" s="21">
        <f>IFERROR(AVERAGEIFS('Picks'!$AB$2:$AB$12,'Picks'!$H$2:$H$12,$A15,'Picks'!$U$2:$U$12,"settled"),0)</f>
        <v/>
      </c>
    </row>
    <row r="16">
      <c r="A16" s="12" t="inlineStr">
        <is>
          <t>total</t>
        </is>
      </c>
      <c r="B16" s="13">
        <f>COUNTIFS('Picks'!$H$2:$H$12,$A16,'Picks'!$U$2:$U$12,"settled")</f>
        <v/>
      </c>
      <c r="C16" s="13">
        <f>COUNTIFS('Picks'!$H$2:$H$12,$A16,'Picks'!$U$2:$U$12,"settled",'Picks'!$V$2:$V$12,"win")</f>
        <v/>
      </c>
      <c r="D16" s="13">
        <f>COUNTIFS('Picks'!$H$2:$H$12,$A16,'Picks'!$U$2:$U$12,"settled",'Picks'!$V$2:$V$12,"loss")</f>
        <v/>
      </c>
      <c r="E16" s="14">
        <f>IFERROR(C16/(C16+D16),0)</f>
        <v/>
      </c>
      <c r="F16" s="15">
        <f>SUMIFS('Picks'!$BY$2:$BY$12,'Picks'!$H$2:$H$12,$A16)</f>
        <v/>
      </c>
      <c r="G16" s="16">
        <f>IFERROR(AVERAGEIFS('Picks'!$AB$2:$AB$12,'Picks'!$H$2:$H$12,$A16,'Picks'!$U$2:$U$12,"settled"),0)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103bf81cbfea407b</t>
        </is>
      </c>
      <c r="B2" s="24" t="inlineStr">
        <is>
          <t>2026-07-17T10:46:59.346636Z</t>
        </is>
      </c>
      <c r="C2" s="24" t="inlineStr">
        <is>
          <t>2026-07-17T23:40Z</t>
        </is>
      </c>
      <c r="D2" s="24" t="inlineStr">
        <is>
          <t>401816148</t>
        </is>
      </c>
      <c r="E2" s="24" t="inlineStr">
        <is>
          <t>MLB</t>
        </is>
      </c>
      <c r="F2" s="24" t="inlineStr">
        <is>
          <t>Miami Marlins</t>
        </is>
      </c>
      <c r="G2" s="24" t="inlineStr">
        <is>
          <t>Milwaukee Brewers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-141</v>
      </c>
      <c r="M2" s="27" t="n">
        <v>1.70922</v>
      </c>
      <c r="N2" s="28" t="n">
        <v>0.585062</v>
      </c>
      <c r="O2" s="28" t="n">
        <v>0.605633</v>
      </c>
      <c r="P2" s="28" t="n"/>
      <c r="Q2" s="28" t="n">
        <v>0.020571</v>
      </c>
      <c r="R2" s="26" t="n">
        <v>60</v>
      </c>
      <c r="S2" s="29" t="n">
        <v>0</v>
      </c>
      <c r="T2" s="24" t="inlineStr">
        <is>
          <t>mlb-elo-trend-lr-v2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Learned LR call at threshold 0.6018; executable ask 0.5850 (aec-mlb-mia-mil-2026-07-17).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NO_CALL_MISSING_UNCERTAINTY</t>
        </is>
      </c>
      <c r="AP2" s="24" t="inlineStr">
        <is>
          <t>mlb-mia</t>
        </is>
      </c>
      <c r="AQ2" s="24" t="inlineStr">
        <is>
          <t>Miami Marlins</t>
        </is>
      </c>
      <c r="AR2" s="24" t="inlineStr">
        <is>
          <t>Miami Marlins</t>
        </is>
      </c>
      <c r="AS2" s="24" t="inlineStr">
        <is>
          <t>mlb-mil</t>
        </is>
      </c>
      <c r="AT2" s="24" t="inlineStr">
        <is>
          <t>Milwaukee Brewers</t>
        </is>
      </c>
      <c r="AU2" s="24" t="inlineStr">
        <is>
          <t>Milwaukee Brewers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eed4b7c819bfee0eef9a6f0eed227768ba9753462e9402edf6af8e42fcd378dd</t>
        </is>
      </c>
      <c r="BB2" s="24" t="inlineStr">
        <is>
          <t>learned_lr</t>
        </is>
      </c>
      <c r="BC2" s="24" t="inlineStr">
        <is>
          <t>mlb-elo-trend-lr-v2</t>
        </is>
      </c>
      <c r="BD2" s="24" t="inlineStr">
        <is>
          <t>eed4b7c819bfee0eef9a6f0eed227768ba9753462e9402edf6af8e42fcd378dd</t>
        </is>
      </c>
      <c r="BE2" s="24" t="inlineStr">
        <is>
          <t>27ad4a1da893e4b8</t>
        </is>
      </c>
      <c r="BF2" s="24" t="inlineStr">
        <is>
          <t>1</t>
        </is>
      </c>
      <c r="BG2" s="24" t="inlineStr">
        <is>
          <t>mlb-elo-trend-lr-v2</t>
        </is>
      </c>
      <c r="BH2" s="24" t="inlineStr">
        <is>
          <t>2026-07-17T10:46:42.600125Z</t>
        </is>
      </c>
      <c r="BI2" s="24" t="inlineStr">
        <is>
          <t>["same_event","same_team_same_day","same_league_same_day"]</t>
        </is>
      </c>
      <c r="BJ2" s="25" t="n"/>
      <c r="BK2" s="26" t="n">
        <v>-141</v>
      </c>
      <c r="BL2" s="27" t="n">
        <v>1.70922</v>
      </c>
      <c r="BM2" s="28" t="n">
        <v>0.585062</v>
      </c>
      <c r="BN2" s="28" t="n">
        <v>0.58209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</row>
    <row r="3" ht="36" customHeight="1">
      <c r="A3" s="24" t="inlineStr">
        <is>
          <t>69b8edc361c5483f</t>
        </is>
      </c>
      <c r="B3" s="24" t="inlineStr">
        <is>
          <t>2026-07-17T10:46:59.346636Z</t>
        </is>
      </c>
      <c r="C3" s="24" t="inlineStr">
        <is>
          <t>2026-07-18T00:05Z</t>
        </is>
      </c>
      <c r="D3" s="24" t="inlineStr">
        <is>
          <t>401816149</t>
        </is>
      </c>
      <c r="E3" s="24" t="inlineStr">
        <is>
          <t>MLB</t>
        </is>
      </c>
      <c r="F3" s="24" t="inlineStr">
        <is>
          <t>Minnesota Twins</t>
        </is>
      </c>
      <c r="G3" s="24" t="inlineStr">
        <is>
          <t>Chicago Cubs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-130</v>
      </c>
      <c r="M3" s="27" t="n">
        <v>1.769231</v>
      </c>
      <c r="N3" s="28" t="n">
        <v>0.565217</v>
      </c>
      <c r="O3" s="28" t="n">
        <v>0.606876</v>
      </c>
      <c r="P3" s="28" t="n"/>
      <c r="Q3" s="28" t="n">
        <v>0.041659</v>
      </c>
      <c r="R3" s="26" t="n">
        <v>71</v>
      </c>
      <c r="S3" s="29" t="n">
        <v>0</v>
      </c>
      <c r="T3" s="24" t="inlineStr">
        <is>
          <t>mlb-elo-trend-lr-v2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Learned LR call at threshold 0.6018; executable ask 0.5650 (aec-mlb-min-chc-2026-07-17).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NO_CALL_MISSING_UNCERTAINTY</t>
        </is>
      </c>
      <c r="AP3" s="24" t="inlineStr">
        <is>
          <t>mlb-min</t>
        </is>
      </c>
      <c r="AQ3" s="24" t="inlineStr">
        <is>
          <t>Minnesota Twins</t>
        </is>
      </c>
      <c r="AR3" s="24" t="inlineStr">
        <is>
          <t>Minnesota Twins</t>
        </is>
      </c>
      <c r="AS3" s="24" t="inlineStr">
        <is>
          <t>mlb-chc</t>
        </is>
      </c>
      <c r="AT3" s="24" t="inlineStr">
        <is>
          <t>Chicago Cubs</t>
        </is>
      </c>
      <c r="AU3" s="24" t="inlineStr">
        <is>
          <t>Chicago Cubs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eed4b7c819bfee0eef9a6f0eed227768ba9753462e9402edf6af8e42fcd378dd</t>
        </is>
      </c>
      <c r="BB3" s="24" t="inlineStr">
        <is>
          <t>learned_lr</t>
        </is>
      </c>
      <c r="BC3" s="24" t="inlineStr">
        <is>
          <t>mlb-elo-trend-lr-v2</t>
        </is>
      </c>
      <c r="BD3" s="24" t="inlineStr">
        <is>
          <t>eed4b7c819bfee0eef9a6f0eed227768ba9753462e9402edf6af8e42fcd378dd</t>
        </is>
      </c>
      <c r="BE3" s="24" t="inlineStr">
        <is>
          <t>8438bc3f26be5eae</t>
        </is>
      </c>
      <c r="BF3" s="24" t="inlineStr">
        <is>
          <t>1</t>
        </is>
      </c>
      <c r="BG3" s="24" t="inlineStr">
        <is>
          <t>mlb-elo-trend-lr-v2</t>
        </is>
      </c>
      <c r="BH3" s="24" t="inlineStr">
        <is>
          <t>2026-07-17T10:46:43.720462Z</t>
        </is>
      </c>
      <c r="BI3" s="24" t="inlineStr">
        <is>
          <t>["same_event","same_team_same_day","same_league_same_day"]</t>
        </is>
      </c>
      <c r="BJ3" s="25" t="n"/>
      <c r="BK3" s="26" t="n">
        <v>-130</v>
      </c>
      <c r="BL3" s="27" t="n">
        <v>1.769231</v>
      </c>
      <c r="BM3" s="28" t="n">
        <v>0.565217</v>
      </c>
      <c r="BN3" s="28" t="n">
        <v>0.562189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</row>
    <row r="4" ht="36" customHeight="1">
      <c r="A4" s="24" t="inlineStr">
        <is>
          <t>1784b306a2764ca0</t>
        </is>
      </c>
      <c r="B4" s="24" t="inlineStr">
        <is>
          <t>2026-07-17T10:47:01.653330Z</t>
        </is>
      </c>
      <c r="C4" s="24" t="inlineStr">
        <is>
          <t>2026-07-17T23:30Z</t>
        </is>
      </c>
      <c r="D4" s="24" t="inlineStr">
        <is>
          <t>401857073</t>
        </is>
      </c>
      <c r="E4" s="24" t="inlineStr">
        <is>
          <t>WNBA</t>
        </is>
      </c>
      <c r="F4" s="24" t="inlineStr">
        <is>
          <t>Seattle Storm</t>
        </is>
      </c>
      <c r="G4" s="24" t="inlineStr">
        <is>
          <t>Indiana Fever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0.6531090000000001</v>
      </c>
      <c r="P4" s="28" t="n"/>
      <c r="Q4" s="28" t="n">
        <v>-0.127111</v>
      </c>
      <c r="R4" s="26" t="n">
        <v>0</v>
      </c>
      <c r="S4" s="29" t="n">
        <v>0</v>
      </c>
      <c r="T4" s="24" t="inlineStr">
        <is>
          <t>wnba-elo-trend-lr-v2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Learned LR call at threshold 0.5018; executable ask 0.7800 (aec-wnba-sea-ind-2026-07-17).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NO_CALL_MISSING_UNCERTAINTY</t>
        </is>
      </c>
      <c r="AP4" s="24" t="inlineStr">
        <is>
          <t>wnba-sea</t>
        </is>
      </c>
      <c r="AQ4" s="24" t="inlineStr">
        <is>
          <t>Seattle Storm</t>
        </is>
      </c>
      <c r="AR4" s="24" t="inlineStr">
        <is>
          <t>Seattle Storm</t>
        </is>
      </c>
      <c r="AS4" s="24" t="inlineStr">
        <is>
          <t>wnba-ind</t>
        </is>
      </c>
      <c r="AT4" s="24" t="inlineStr">
        <is>
          <t>Indiana Fever</t>
        </is>
      </c>
      <c r="AU4" s="24" t="inlineStr">
        <is>
          <t>Indiana Fever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593925b19cd0d6a88880d7d2e868f8b3cffef14f1697019de3a8a7e28e173bc7</t>
        </is>
      </c>
      <c r="BB4" s="24" t="inlineStr">
        <is>
          <t>learned_lr</t>
        </is>
      </c>
      <c r="BC4" s="24" t="inlineStr">
        <is>
          <t>wnba-elo-trend-lr-v2</t>
        </is>
      </c>
      <c r="BD4" s="24" t="inlineStr">
        <is>
          <t>593925b19cd0d6a88880d7d2e868f8b3cffef14f1697019de3a8a7e28e173bc7</t>
        </is>
      </c>
      <c r="BE4" s="24" t="inlineStr">
        <is>
          <t>15f518082bd1133e</t>
        </is>
      </c>
      <c r="BF4" s="24" t="inlineStr">
        <is>
          <t>1</t>
        </is>
      </c>
      <c r="BG4" s="24" t="inlineStr">
        <is>
          <t>wnba-elo-trend-lr-v2</t>
        </is>
      </c>
      <c r="BH4" s="24" t="inlineStr">
        <is>
          <t>2026-07-17T10:46:53.056520Z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</row>
    <row r="5" ht="36" customHeight="1">
      <c r="A5" s="24" t="inlineStr">
        <is>
          <t>c6927110c2754085</t>
        </is>
      </c>
      <c r="B5" s="24" t="inlineStr">
        <is>
          <t>2026-07-17T10:47:01.653330Z</t>
        </is>
      </c>
      <c r="C5" s="24" t="inlineStr">
        <is>
          <t>2026-07-17T23:30Z</t>
        </is>
      </c>
      <c r="D5" s="24" t="inlineStr">
        <is>
          <t>401857075</t>
        </is>
      </c>
      <c r="E5" s="24" t="inlineStr">
        <is>
          <t>WNBA</t>
        </is>
      </c>
      <c r="F5" s="24" t="inlineStr">
        <is>
          <t>Los Angeles Sparks</t>
        </is>
      </c>
      <c r="G5" s="24" t="inlineStr">
        <is>
          <t>Chicago Sky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104</v>
      </c>
      <c r="M5" s="27" t="n">
        <v>2.04</v>
      </c>
      <c r="N5" s="28" t="n">
        <v>0.490196</v>
      </c>
      <c r="O5" s="28" t="n">
        <v>0.580113</v>
      </c>
      <c r="P5" s="28" t="n"/>
      <c r="Q5" s="28" t="n">
        <v>0.089917</v>
      </c>
      <c r="R5" s="26" t="n">
        <v>95</v>
      </c>
      <c r="S5" s="29" t="n">
        <v>0</v>
      </c>
      <c r="T5" s="24" t="inlineStr">
        <is>
          <t>wnba-elo-trend-lr-v2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Learned LR call at threshold 0.5018; executable ask 0.4900 (aec-wnba-la-chi-2026-07-17).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NO_CALL_MISSING_UNCERTAINTY</t>
        </is>
      </c>
      <c r="AP5" s="24" t="inlineStr">
        <is>
          <t>wnba-las</t>
        </is>
      </c>
      <c r="AQ5" s="24" t="inlineStr">
        <is>
          <t>Los Angeles Sparks</t>
        </is>
      </c>
      <c r="AR5" s="24" t="inlineStr">
        <is>
          <t>Los Angeles Sparks</t>
        </is>
      </c>
      <c r="AS5" s="24" t="inlineStr">
        <is>
          <t>wnba-chi</t>
        </is>
      </c>
      <c r="AT5" s="24" t="inlineStr">
        <is>
          <t>Chicago Sky</t>
        </is>
      </c>
      <c r="AU5" s="24" t="inlineStr">
        <is>
          <t>Chicago Sky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593925b19cd0d6a88880d7d2e868f8b3cffef14f1697019de3a8a7e28e173bc7</t>
        </is>
      </c>
      <c r="BB5" s="24" t="inlineStr">
        <is>
          <t>learned_lr</t>
        </is>
      </c>
      <c r="BC5" s="24" t="inlineStr">
        <is>
          <t>wnba-elo-trend-lr-v2</t>
        </is>
      </c>
      <c r="BD5" s="24" t="inlineStr">
        <is>
          <t>593925b19cd0d6a88880d7d2e868f8b3cffef14f1697019de3a8a7e28e173bc7</t>
        </is>
      </c>
      <c r="BE5" s="24" t="inlineStr">
        <is>
          <t>8c7d8b8b613f1c27</t>
        </is>
      </c>
      <c r="BF5" s="24" t="inlineStr">
        <is>
          <t>1</t>
        </is>
      </c>
      <c r="BG5" s="24" t="inlineStr">
        <is>
          <t>wnba-elo-trend-lr-v2</t>
        </is>
      </c>
      <c r="BH5" s="24" t="inlineStr">
        <is>
          <t>2026-07-17T10:46:55.117340Z</t>
        </is>
      </c>
      <c r="BI5" s="24" t="inlineStr">
        <is>
          <t>["same_event","same_team_same_day","same_league_same_day"]</t>
        </is>
      </c>
      <c r="BJ5" s="25" t="n"/>
      <c r="BK5" s="26" t="n">
        <v>104</v>
      </c>
      <c r="BL5" s="27" t="n">
        <v>2.04</v>
      </c>
      <c r="BM5" s="28" t="n">
        <v>0.490196</v>
      </c>
      <c r="BN5" s="28" t="n">
        <v>0.485149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</row>
    <row r="6" ht="36" customHeight="1">
      <c r="A6" s="24" t="inlineStr">
        <is>
          <t>ec5e7cc40c1a4c2b</t>
        </is>
      </c>
      <c r="B6" s="24" t="inlineStr">
        <is>
          <t>2026-07-17T10:47:01.653330Z</t>
        </is>
      </c>
      <c r="C6" s="24" t="inlineStr">
        <is>
          <t>2026-07-18T02:00Z</t>
        </is>
      </c>
      <c r="D6" s="24" t="inlineStr">
        <is>
          <t>401857076</t>
        </is>
      </c>
      <c r="E6" s="24" t="inlineStr">
        <is>
          <t>WNBA</t>
        </is>
      </c>
      <c r="F6" s="24" t="inlineStr">
        <is>
          <t>Connecticut Sun</t>
        </is>
      </c>
      <c r="G6" s="24" t="inlineStr">
        <is>
          <t>Phoenix Mercury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0.672243</v>
      </c>
      <c r="P6" s="28" t="n"/>
      <c r="Q6" s="28" t="n">
        <v>0.031955</v>
      </c>
      <c r="R6" s="26" t="n">
        <v>66</v>
      </c>
      <c r="S6" s="29" t="n">
        <v>0</v>
      </c>
      <c r="T6" s="24" t="inlineStr">
        <is>
          <t>wnba-elo-trend-lr-v2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Learned LR call at threshold 0.5018; executable ask 0.6400 (aec-wnba-conn-phx-2026-07-17).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NO_CALL_MISSING_UNCERTAINTY</t>
        </is>
      </c>
      <c r="AP6" s="24" t="inlineStr">
        <is>
          <t>wnba-con</t>
        </is>
      </c>
      <c r="AQ6" s="24" t="inlineStr">
        <is>
          <t>Connecticut Sun</t>
        </is>
      </c>
      <c r="AR6" s="24" t="inlineStr">
        <is>
          <t>Connecticut Sun</t>
        </is>
      </c>
      <c r="AS6" s="24" t="inlineStr">
        <is>
          <t>wnba-phx</t>
        </is>
      </c>
      <c r="AT6" s="24" t="inlineStr">
        <is>
          <t>Phoenix Mercury</t>
        </is>
      </c>
      <c r="AU6" s="24" t="inlineStr">
        <is>
          <t>Phoenix Mercury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593925b19cd0d6a88880d7d2e868f8b3cffef14f1697019de3a8a7e28e173bc7</t>
        </is>
      </c>
      <c r="BB6" s="24" t="inlineStr">
        <is>
          <t>learned_lr</t>
        </is>
      </c>
      <c r="BC6" s="24" t="inlineStr">
        <is>
          <t>wnba-elo-trend-lr-v2</t>
        </is>
      </c>
      <c r="BD6" s="24" t="inlineStr">
        <is>
          <t>593925b19cd0d6a88880d7d2e868f8b3cffef14f1697019de3a8a7e28e173bc7</t>
        </is>
      </c>
      <c r="BE6" s="24" t="inlineStr">
        <is>
          <t>5b26e70fb7a6c509</t>
        </is>
      </c>
      <c r="BF6" s="24" t="inlineStr">
        <is>
          <t>1</t>
        </is>
      </c>
      <c r="BG6" s="24" t="inlineStr">
        <is>
          <t>wnba-elo-trend-lr-v2</t>
        </is>
      </c>
      <c r="BH6" s="24" t="inlineStr">
        <is>
          <t>2026-07-17T10:46:56.693440Z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</row>
    <row r="7" ht="36" customHeight="1">
      <c r="A7" s="24" t="inlineStr">
        <is>
          <t>d0e98df55d684f7a</t>
        </is>
      </c>
      <c r="B7" s="24" t="inlineStr">
        <is>
          <t>2026-07-17T14:02:14.862720Z</t>
        </is>
      </c>
      <c r="C7" s="24" t="inlineStr">
        <is>
          <t>2026-07-17T23:40Z</t>
        </is>
      </c>
      <c r="D7" s="24" t="inlineStr">
        <is>
          <t>401816148</t>
        </is>
      </c>
      <c r="E7" s="24" t="inlineStr">
        <is>
          <t>MLB</t>
        </is>
      </c>
      <c r="F7" s="24" t="inlineStr">
        <is>
          <t>Miami Marlins</t>
        </is>
      </c>
      <c r="G7" s="24" t="inlineStr">
        <is>
          <t>Milwaukee Brewers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-141</v>
      </c>
      <c r="M7" s="27" t="n">
        <v>1.70922</v>
      </c>
      <c r="N7" s="28" t="n">
        <v>0.585062</v>
      </c>
      <c r="O7" s="28" t="n">
        <v>0.605633</v>
      </c>
      <c r="P7" s="28" t="n"/>
      <c r="Q7" s="28" t="n">
        <v>0.020571</v>
      </c>
      <c r="R7" s="26" t="n">
        <v>60</v>
      </c>
      <c r="S7" s="29" t="n">
        <v>0</v>
      </c>
      <c r="T7" s="24" t="inlineStr">
        <is>
          <t>mlb-elo-trend-lr-v3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Learned LR call at threshold 0.6018; executable ask 0.5850 (aec-mlb-mia-mil-2026-07-17).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NO_CALL_MISSING_UNCERTAINTY</t>
        </is>
      </c>
      <c r="AP7" s="24" t="inlineStr">
        <is>
          <t>mlb-mia</t>
        </is>
      </c>
      <c r="AQ7" s="24" t="inlineStr">
        <is>
          <t>Miami Marlins</t>
        </is>
      </c>
      <c r="AR7" s="24" t="inlineStr">
        <is>
          <t>Miami Marlins</t>
        </is>
      </c>
      <c r="AS7" s="24" t="inlineStr">
        <is>
          <t>mlb-mil</t>
        </is>
      </c>
      <c r="AT7" s="24" t="inlineStr">
        <is>
          <t>Milwaukee Brewers</t>
        </is>
      </c>
      <c r="AU7" s="24" t="inlineStr">
        <is>
          <t>Milwaukee Brewers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a454281ab207d2924d585d6b967363fb8e88af45132e3e9d354e4351fb5c237f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a454281ab207d2924d585d6b967363fb8e88af45132e3e9d354e4351fb5c237f</t>
        </is>
      </c>
      <c r="BE7" s="24" t="inlineStr">
        <is>
          <t>27ad4a1da893e4b8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2026-07-17T14:01:56.626918Z</t>
        </is>
      </c>
      <c r="BI7" s="24" t="inlineStr">
        <is>
          <t>["same_event","same_team_same_day","same_league_same_day"]</t>
        </is>
      </c>
      <c r="BJ7" s="25" t="n"/>
      <c r="BK7" s="26" t="n">
        <v>-141</v>
      </c>
      <c r="BL7" s="27" t="n">
        <v>1.70922</v>
      </c>
      <c r="BM7" s="28" t="n">
        <v>0.585062</v>
      </c>
      <c r="BN7" s="28" t="n">
        <v>0.58209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</row>
    <row r="8" ht="36" customHeight="1">
      <c r="A8" s="24" t="inlineStr">
        <is>
          <t>3b98081a1ff04c62</t>
        </is>
      </c>
      <c r="B8" s="24" t="inlineStr">
        <is>
          <t>2026-07-17T14:02:14.862720Z</t>
        </is>
      </c>
      <c r="C8" s="24" t="inlineStr">
        <is>
          <t>2026-07-18T00:05Z</t>
        </is>
      </c>
      <c r="D8" s="24" t="inlineStr">
        <is>
          <t>401816149</t>
        </is>
      </c>
      <c r="E8" s="24" t="inlineStr">
        <is>
          <t>MLB</t>
        </is>
      </c>
      <c r="F8" s="24" t="inlineStr">
        <is>
          <t>Minnesota Twins</t>
        </is>
      </c>
      <c r="G8" s="24" t="inlineStr">
        <is>
          <t>Chicago Cubs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-130</v>
      </c>
      <c r="M8" s="27" t="n">
        <v>1.769231</v>
      </c>
      <c r="N8" s="28" t="n">
        <v>0.565217</v>
      </c>
      <c r="O8" s="28" t="n">
        <v>0.606876</v>
      </c>
      <c r="P8" s="28" t="n"/>
      <c r="Q8" s="28" t="n">
        <v>0.041659</v>
      </c>
      <c r="R8" s="26" t="n">
        <v>71</v>
      </c>
      <c r="S8" s="29" t="n">
        <v>0</v>
      </c>
      <c r="T8" s="24" t="inlineStr">
        <is>
          <t>mlb-elo-trend-lr-v3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Learned LR call at threshold 0.6018; executable ask 0.5650 (aec-mlb-min-chc-2026-07-17).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NO_CALL_MISSING_UNCERTAINTY</t>
        </is>
      </c>
      <c r="AP8" s="24" t="inlineStr">
        <is>
          <t>mlb-min</t>
        </is>
      </c>
      <c r="AQ8" s="24" t="inlineStr">
        <is>
          <t>Minnesota Twins</t>
        </is>
      </c>
      <c r="AR8" s="24" t="inlineStr">
        <is>
          <t>Minnesota Twins</t>
        </is>
      </c>
      <c r="AS8" s="24" t="inlineStr">
        <is>
          <t>mlb-chc</t>
        </is>
      </c>
      <c r="AT8" s="24" t="inlineStr">
        <is>
          <t>Chicago Cubs</t>
        </is>
      </c>
      <c r="AU8" s="24" t="inlineStr">
        <is>
          <t>Chicago Cubs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a454281ab207d2924d585d6b967363fb8e88af45132e3e9d354e4351fb5c237f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a454281ab207d2924d585d6b967363fb8e88af45132e3e9d354e4351fb5c237f</t>
        </is>
      </c>
      <c r="BE8" s="24" t="inlineStr">
        <is>
          <t>8438bc3f26be5eae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2026-07-17T14:01:57.663980Z</t>
        </is>
      </c>
      <c r="BI8" s="24" t="inlineStr">
        <is>
          <t>["same_event","same_team_same_day","same_league_same_day"]</t>
        </is>
      </c>
      <c r="BJ8" s="25" t="n"/>
      <c r="BK8" s="26" t="n">
        <v>-130</v>
      </c>
      <c r="BL8" s="27" t="n">
        <v>1.769231</v>
      </c>
      <c r="BM8" s="28" t="n">
        <v>0.565217</v>
      </c>
      <c r="BN8" s="28" t="n">
        <v>0.562189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</row>
    <row r="9" ht="36" customHeight="1">
      <c r="A9" s="24" t="inlineStr">
        <is>
          <t>f592ac231a074ea9</t>
        </is>
      </c>
      <c r="B9" s="24" t="inlineStr">
        <is>
          <t>2026-07-17T14:02:17.091788Z</t>
        </is>
      </c>
      <c r="C9" s="24" t="inlineStr">
        <is>
          <t>2026-07-17T23:30Z</t>
        </is>
      </c>
      <c r="D9" s="24" t="inlineStr">
        <is>
          <t>401857075</t>
        </is>
      </c>
      <c r="E9" s="24" t="inlineStr">
        <is>
          <t>WNBA</t>
        </is>
      </c>
      <c r="F9" s="24" t="inlineStr">
        <is>
          <t>Los Angeles Sparks</t>
        </is>
      </c>
      <c r="G9" s="24" t="inlineStr">
        <is>
          <t>Chicago Sky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0.580113</v>
      </c>
      <c r="P9" s="28" t="n"/>
      <c r="Q9" s="28" t="n">
        <v>0.099344</v>
      </c>
      <c r="R9" s="26" t="n">
        <v>100</v>
      </c>
      <c r="S9" s="29" t="n">
        <v>0</v>
      </c>
      <c r="T9" s="24" t="inlineStr">
        <is>
          <t>wnba-elo-trend-lr-v3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Learned LR call at threshold 0.5018; executable ask 0.4800 (aec-wnba-la-chi-2026-07-17).</t>
        </is>
      </c>
      <c r="AF9" s="31" t="inlineStr">
        <is>
          <t>Learned model; promotion gate not yet open; zero-unit research until review.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NO_CALL_MISSING_UNCERTAINTY</t>
        </is>
      </c>
      <c r="AP9" s="24" t="inlineStr">
        <is>
          <t>wnba-las</t>
        </is>
      </c>
      <c r="AQ9" s="24" t="inlineStr">
        <is>
          <t>Los Angeles Sparks</t>
        </is>
      </c>
      <c r="AR9" s="24" t="inlineStr">
        <is>
          <t>Los Angeles Sparks</t>
        </is>
      </c>
      <c r="AS9" s="24" t="inlineStr">
        <is>
          <t>wnba-chi</t>
        </is>
      </c>
      <c r="AT9" s="24" t="inlineStr">
        <is>
          <t>Chicago Sky</t>
        </is>
      </c>
      <c r="AU9" s="24" t="inlineStr">
        <is>
          <t>Chicago Sky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286653236675a65e58674d10837572801218599b31772016e9d8575bfefa53b4</t>
        </is>
      </c>
      <c r="BB9" s="24" t="inlineStr">
        <is>
          <t>learned_lr</t>
        </is>
      </c>
      <c r="BC9" s="24" t="inlineStr">
        <is>
          <t>wnba-elo-trend-lr-v3</t>
        </is>
      </c>
      <c r="BD9" s="24" t="inlineStr">
        <is>
          <t>286653236675a65e58674d10837572801218599b31772016e9d8575bfefa53b4</t>
        </is>
      </c>
      <c r="BE9" s="24" t="inlineStr">
        <is>
          <t>8c7d8b8b613f1c27</t>
        </is>
      </c>
      <c r="BF9" s="24" t="inlineStr">
        <is>
          <t>1</t>
        </is>
      </c>
      <c r="BG9" s="24" t="inlineStr">
        <is>
          <t>wnba-elo-trend-lr-v3</t>
        </is>
      </c>
      <c r="BH9" s="24" t="inlineStr">
        <is>
          <t>2026-07-17T14:02:10.568774Z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>
        <v>0.475248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</row>
    <row r="10" ht="36" customHeight="1">
      <c r="A10" s="24" t="inlineStr">
        <is>
          <t>3405fe6d522c42ec</t>
        </is>
      </c>
      <c r="B10" s="24" t="inlineStr">
        <is>
          <t>2026-07-17T14:02:17.091788Z</t>
        </is>
      </c>
      <c r="C10" s="24" t="inlineStr">
        <is>
          <t>2026-07-18T02:00Z</t>
        </is>
      </c>
      <c r="D10" s="24" t="inlineStr">
        <is>
          <t>401857076</t>
        </is>
      </c>
      <c r="E10" s="24" t="inlineStr">
        <is>
          <t>WNBA</t>
        </is>
      </c>
      <c r="F10" s="24" t="inlineStr">
        <is>
          <t>Connecticut Sun</t>
        </is>
      </c>
      <c r="G10" s="24" t="inlineStr">
        <is>
          <t>Phoenix Mercury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-178</v>
      </c>
      <c r="M10" s="27" t="n">
        <v>1.561798</v>
      </c>
      <c r="N10" s="28" t="n">
        <v>0.640288</v>
      </c>
      <c r="O10" s="28" t="n">
        <v>0.672243</v>
      </c>
      <c r="P10" s="28" t="n"/>
      <c r="Q10" s="28" t="n">
        <v>0.031955</v>
      </c>
      <c r="R10" s="26" t="n">
        <v>66</v>
      </c>
      <c r="S10" s="29" t="n">
        <v>0</v>
      </c>
      <c r="T10" s="24" t="inlineStr">
        <is>
          <t>wnba-elo-trend-lr-v3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Learned LR call at threshold 0.5018; executable ask 0.6400 (aec-wnba-conn-phx-2026-07-17).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NO_CALL_MISSING_UNCERTAINTY</t>
        </is>
      </c>
      <c r="AP10" s="24" t="inlineStr">
        <is>
          <t>wnba-con</t>
        </is>
      </c>
      <c r="AQ10" s="24" t="inlineStr">
        <is>
          <t>Connecticut Sun</t>
        </is>
      </c>
      <c r="AR10" s="24" t="inlineStr">
        <is>
          <t>Connecticut Sun</t>
        </is>
      </c>
      <c r="AS10" s="24" t="inlineStr">
        <is>
          <t>wnba-phx</t>
        </is>
      </c>
      <c r="AT10" s="24" t="inlineStr">
        <is>
          <t>Phoenix Mercury</t>
        </is>
      </c>
      <c r="AU10" s="24" t="inlineStr">
        <is>
          <t>Phoenix Mercury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286653236675a65e58674d10837572801218599b31772016e9d8575bfefa53b4</t>
        </is>
      </c>
      <c r="BB10" s="24" t="inlineStr">
        <is>
          <t>learned_lr</t>
        </is>
      </c>
      <c r="BC10" s="24" t="inlineStr">
        <is>
          <t>wnba-elo-trend-lr-v3</t>
        </is>
      </c>
      <c r="BD10" s="24" t="inlineStr">
        <is>
          <t>286653236675a65e58674d10837572801218599b31772016e9d8575bfefa53b4</t>
        </is>
      </c>
      <c r="BE10" s="24" t="inlineStr">
        <is>
          <t>5b26e70fb7a6c509</t>
        </is>
      </c>
      <c r="BF10" s="24" t="inlineStr">
        <is>
          <t>1</t>
        </is>
      </c>
      <c r="BG10" s="24" t="inlineStr">
        <is>
          <t>wnba-elo-trend-lr-v3</t>
        </is>
      </c>
      <c r="BH10" s="24" t="inlineStr">
        <is>
          <t>2026-07-17T14:02:11.780961Z</t>
        </is>
      </c>
      <c r="BI10" s="24" t="inlineStr">
        <is>
          <t>["same_event","same_team_same_day","same_league_same_day"]</t>
        </is>
      </c>
      <c r="BJ10" s="25" t="n"/>
      <c r="BK10" s="26" t="n">
        <v>-178</v>
      </c>
      <c r="BL10" s="27" t="n">
        <v>1.561798</v>
      </c>
      <c r="BM10" s="28" t="n">
        <v>0.640288</v>
      </c>
      <c r="BN10" s="28" t="n">
        <v>0.633663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</row>
    <row r="11" ht="36" customHeight="1">
      <c r="A11" s="24" t="inlineStr">
        <is>
          <t>93a3540bf0dd49bb</t>
        </is>
      </c>
      <c r="B11" s="24" t="inlineStr">
        <is>
          <t>2026-07-17T16:21:24.725309Z</t>
        </is>
      </c>
      <c r="C11" s="24" t="inlineStr">
        <is>
          <t>2026-07-18T20:10Z</t>
        </is>
      </c>
      <c r="D11" s="24" t="inlineStr">
        <is>
          <t>401816163</t>
        </is>
      </c>
      <c r="E11" s="24" t="inlineStr">
        <is>
          <t>MLB</t>
        </is>
      </c>
      <c r="F11" s="24" t="inlineStr">
        <is>
          <t>Miami Marlins</t>
        </is>
      </c>
      <c r="G11" s="24" t="inlineStr">
        <is>
          <t>Milwaukee Brewers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-130</v>
      </c>
      <c r="M11" s="27" t="n">
        <v>1.769231</v>
      </c>
      <c r="N11" s="28" t="n">
        <v>0.565217</v>
      </c>
      <c r="O11" s="28" t="n">
        <v>0.605633</v>
      </c>
      <c r="P11" s="28" t="n"/>
      <c r="Q11" s="28" t="n">
        <v>0.040416</v>
      </c>
      <c r="R11" s="26" t="n">
        <v>70</v>
      </c>
      <c r="S11" s="29" t="n">
        <v>0</v>
      </c>
      <c r="T11" s="24" t="inlineStr">
        <is>
          <t>mlb-elo-trend-lr-v3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Learned LR call at threshold 0.6018; executable ask 0.5650 (aec-mlb-mia-mil-2026-07-18).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NO_CALL_MISSING_UNCERTAINTY</t>
        </is>
      </c>
      <c r="AP11" s="24" t="inlineStr">
        <is>
          <t>mlb-mia</t>
        </is>
      </c>
      <c r="AQ11" s="24" t="inlineStr">
        <is>
          <t>Miami Marlins</t>
        </is>
      </c>
      <c r="AR11" s="24" t="inlineStr">
        <is>
          <t>Miami Marlins</t>
        </is>
      </c>
      <c r="AS11" s="24" t="inlineStr">
        <is>
          <t>mlb-mil</t>
        </is>
      </c>
      <c r="AT11" s="24" t="inlineStr">
        <is>
          <t>Milwaukee Brewers</t>
        </is>
      </c>
      <c r="AU11" s="24" t="inlineStr">
        <is>
          <t>Milwaukee Brewers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a454281ab207d2924d585d6b967363fb8e88af45132e3e9d354e4351fb5c237f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a454281ab207d2924d585d6b967363fb8e88af45132e3e9d354e4351fb5c237f</t>
        </is>
      </c>
      <c r="BE11" s="24" t="inlineStr">
        <is>
          <t>c7348ce29d666909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2026-07-17T16:21:07.161405Z</t>
        </is>
      </c>
      <c r="BI11" s="24" t="inlineStr">
        <is>
          <t>["same_event","same_team_same_day","same_league_same_day"]</t>
        </is>
      </c>
      <c r="BJ11" s="25" t="n"/>
      <c r="BK11" s="26" t="n">
        <v>-130</v>
      </c>
      <c r="BL11" s="27" t="n">
        <v>1.769231</v>
      </c>
      <c r="BM11" s="28" t="n">
        <v>0.565217</v>
      </c>
      <c r="BN11" s="28" t="n">
        <v>0.562189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</row>
    <row r="12" ht="36" customHeight="1">
      <c r="A12" s="24" t="inlineStr">
        <is>
          <t>c884dc7cf1104640</t>
        </is>
      </c>
      <c r="B12" s="24" t="inlineStr">
        <is>
          <t>2026-07-17T16:21:30.375686Z</t>
        </is>
      </c>
      <c r="C12" s="24" t="inlineStr">
        <is>
          <t>2026-07-19T00:00Z</t>
        </is>
      </c>
      <c r="D12" s="24" t="inlineStr">
        <is>
          <t>401857077</t>
        </is>
      </c>
      <c r="E12" s="24" t="inlineStr">
        <is>
          <t>WNBA</t>
        </is>
      </c>
      <c r="F12" s="24" t="inlineStr">
        <is>
          <t>New York Liberty</t>
        </is>
      </c>
      <c r="G12" s="24" t="inlineStr">
        <is>
          <t>Indiana Fever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117</v>
      </c>
      <c r="M12" s="27" t="n">
        <v>2.17</v>
      </c>
      <c r="N12" s="28" t="n">
        <v>0.460829</v>
      </c>
      <c r="O12" s="28" t="n">
        <v>0.632778</v>
      </c>
      <c r="P12" s="28" t="n"/>
      <c r="Q12" s="28" t="n">
        <v>0.171949</v>
      </c>
      <c r="R12" s="26" t="n">
        <v>100</v>
      </c>
      <c r="S12" s="29" t="n">
        <v>0</v>
      </c>
      <c r="T12" s="24" t="inlineStr">
        <is>
          <t>wnba-elo-trend-lr-v3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0.5018; executable ask 0.4600 (aec-wnba-ny-ind-2026-07-18).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NO_CALL_MISSING_UNCERTAINTY</t>
        </is>
      </c>
      <c r="AP12" s="24" t="inlineStr">
        <is>
          <t>wnba-nyl</t>
        </is>
      </c>
      <c r="AQ12" s="24" t="inlineStr">
        <is>
          <t>New York Liberty</t>
        </is>
      </c>
      <c r="AR12" s="24" t="inlineStr">
        <is>
          <t>New York Liberty</t>
        </is>
      </c>
      <c r="AS12" s="24" t="inlineStr">
        <is>
          <t>wnba-ind</t>
        </is>
      </c>
      <c r="AT12" s="24" t="inlineStr">
        <is>
          <t>Indiana Fever</t>
        </is>
      </c>
      <c r="AU12" s="24" t="inlineStr">
        <is>
          <t>Indiana Fever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286653236675a65e58674d10837572801218599b31772016e9d8575bfefa53b4</t>
        </is>
      </c>
      <c r="BB12" s="24" t="inlineStr">
        <is>
          <t>learned_lr</t>
        </is>
      </c>
      <c r="BC12" s="24" t="inlineStr">
        <is>
          <t>wnba-elo-trend-lr-v3</t>
        </is>
      </c>
      <c r="BD12" s="24" t="inlineStr">
        <is>
          <t>286653236675a65e58674d10837572801218599b31772016e9d8575bfefa53b4</t>
        </is>
      </c>
      <c r="BE12" s="24" t="inlineStr">
        <is>
          <t>e4f3f616d306cafe</t>
        </is>
      </c>
      <c r="BF12" s="24" t="inlineStr">
        <is>
          <t>1</t>
        </is>
      </c>
      <c r="BG12" s="24" t="inlineStr">
        <is>
          <t>wnba-elo-trend-lr-v3</t>
        </is>
      </c>
      <c r="BH12" s="24" t="inlineStr">
        <is>
          <t>2026-07-17T16:21:13.188564Z</t>
        </is>
      </c>
      <c r="BI12" s="24" t="inlineStr">
        <is>
          <t>["same_event","same_team_same_day","same_league_same_day"]</t>
        </is>
      </c>
      <c r="BJ12" s="25" t="n"/>
      <c r="BK12" s="26" t="n">
        <v>117</v>
      </c>
      <c r="BL12" s="27" t="n">
        <v>2.17</v>
      </c>
      <c r="BM12" s="28" t="n">
        <v>0.460829</v>
      </c>
      <c r="BN12" s="28" t="n">
        <v>0.455446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2026-07-17T16:21:30Z</dcterms:created>
  <dcterms:modified xsi:type="dcterms:W3CDTF">2026-07-17T16:21:30Z</dcterms:modified>
</cp:coreProperties>
</file>