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71" headerRowCount="1">
  <autoFilter ref="A1:CA71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COUNTA('Picks'!$A$2:$A$71)</f>
        <v/>
      </c>
      <c r="C4" s="6">
        <f>COUNTIF('Picks'!$U$2:$U$71,"open")</f>
        <v/>
      </c>
      <c r="E4" s="6">
        <f>COUNTIF('Picks'!$U$2:$U$71,"settled")</f>
        <v/>
      </c>
      <c r="G4" s="6">
        <f>IF(COUNTIFS('Picks'!$U$2:$U$71,"settled",'Picks'!$V$2:$V$71,"win")+COUNTIFS('Picks'!$U$2:$U$71,"settled",'Picks'!$V$2:$V$71,"loss")&gt;=$L$2,"Ready","Insufficient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COUNTIF('Picks'!$BX$2:$BX$71,"&gt;0")</f>
        <v/>
      </c>
      <c r="C7" s="6">
        <f>COUNTIFS('Picks'!$BX$2:$BX$71,"&gt;0",'Picks'!$V$2:$V$71,"win")&amp;"-"&amp;COUNTIFS('Picks'!$BX$2:$BX$71,"&gt;0",'Picks'!$V$2:$V$71,"loss")</f>
        <v/>
      </c>
      <c r="E7" s="32">
        <f>IFERROR(COUNTIFS('Picks'!$BX$2:$BX$71,"&gt;0",'Picks'!$V$2:$V$71,"win")/(COUNTIFS('Picks'!$BX$2:$BX$71,"&gt;0",'Picks'!$V$2:$V$71,"win")+COUNTIFS('Picks'!$BX$2:$BX$71,"&gt;0",'Picks'!$V$2:$V$71,"loss")),0)</f>
        <v/>
      </c>
      <c r="G7" s="32">
        <f>IFERROR(SUM('Picks'!$BY$2:$BY$71)/SUM('Picks'!$BX$2:$BX$71),0)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SUM('Picks'!$BY$2:$BY$71)</f>
        <v/>
      </c>
      <c r="C10" s="9">
        <f>IFERROR(AVERAGEIF('Picks'!$AB$2:$AB$71,"&lt;&gt;",'Picks'!$AB$2:$AB$71),0)</f>
        <v/>
      </c>
      <c r="E10" s="6">
        <f>COUNTIFS('Picks'!$AM$2:$AM$71,"QUALIFIED_SHADOW_CALL",'Picks'!$U$2:$U$71,"settled")</f>
        <v/>
      </c>
      <c r="G10" s="33">
        <f>SUMIFS('Picks'!$AC$2:$AC$71,'Picks'!$AM$2:$AM$71,"QUALIFIED_SHADOW_CALL")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COUNTIFS('Picks'!$H$2:$H$71,$A14,'Picks'!$U$2:$U$71,"settled")</f>
        <v/>
      </c>
      <c r="C14" s="13">
        <f>COUNTIFS('Picks'!$H$2:$H$71,$A14,'Picks'!$U$2:$U$71,"settled",'Picks'!$V$2:$V$71,"win")</f>
        <v/>
      </c>
      <c r="D14" s="13">
        <f>COUNTIFS('Picks'!$H$2:$H$71,$A14,'Picks'!$U$2:$U$71,"settled",'Picks'!$V$2:$V$71,"loss")</f>
        <v/>
      </c>
      <c r="E14" s="34">
        <f>IFERROR(C14/(C14+D14),0)</f>
        <v/>
      </c>
      <c r="F14" s="35">
        <f>SUMIFS('Picks'!$BY$2:$BY$71,'Picks'!$H$2:$H$71,$A14)</f>
        <v/>
      </c>
      <c r="G14" s="16">
        <f>IFERROR(AVERAGEIFS('Picks'!$AB$2:$AB$71,'Picks'!$H$2:$H$71,$A14,'Picks'!$U$2:$U$71,"settled"),0)</f>
        <v/>
      </c>
    </row>
    <row r="15">
      <c r="A15" s="17" t="inlineStr">
        <is>
          <t>spread</t>
        </is>
      </c>
      <c r="B15" s="18">
        <f>COUNTIFS('Picks'!$H$2:$H$71,$A15,'Picks'!$U$2:$U$71,"settled")</f>
        <v/>
      </c>
      <c r="C15" s="18">
        <f>COUNTIFS('Picks'!$H$2:$H$71,$A15,'Picks'!$U$2:$U$71,"settled",'Picks'!$V$2:$V$71,"win")</f>
        <v/>
      </c>
      <c r="D15" s="18">
        <f>COUNTIFS('Picks'!$H$2:$H$71,$A15,'Picks'!$U$2:$U$71,"settled",'Picks'!$V$2:$V$71,"loss")</f>
        <v/>
      </c>
      <c r="E15" s="36">
        <f>IFERROR(C15/(C15+D15),0)</f>
        <v/>
      </c>
      <c r="F15" s="37">
        <f>SUMIFS('Picks'!$BY$2:$BY$71,'Picks'!$H$2:$H$71,$A15)</f>
        <v/>
      </c>
      <c r="G15" s="21">
        <f>IFERROR(AVERAGEIFS('Picks'!$AB$2:$AB$71,'Picks'!$H$2:$H$71,$A15,'Picks'!$U$2:$U$71,"settled"),0)</f>
        <v/>
      </c>
    </row>
    <row r="16">
      <c r="A16" s="12" t="inlineStr">
        <is>
          <t>total</t>
        </is>
      </c>
      <c r="B16" s="13">
        <f>COUNTIFS('Picks'!$H$2:$H$71,$A16,'Picks'!$U$2:$U$71,"settled")</f>
        <v/>
      </c>
      <c r="C16" s="13">
        <f>COUNTIFS('Picks'!$H$2:$H$71,$A16,'Picks'!$U$2:$U$71,"settled",'Picks'!$V$2:$V$71,"win")</f>
        <v/>
      </c>
      <c r="D16" s="13">
        <f>COUNTIFS('Picks'!$H$2:$H$71,$A16,'Picks'!$U$2:$U$71,"settled",'Picks'!$V$2:$V$71,"loss")</f>
        <v/>
      </c>
      <c r="E16" s="34">
        <f>IFERROR(C16/(C16+D16),0)</f>
        <v/>
      </c>
      <c r="F16" s="35">
        <f>SUMIFS('Picks'!$BY$2:$BY$71,'Picks'!$H$2:$H$71,$A16)</f>
        <v/>
      </c>
      <c r="G16" s="16">
        <f>IFERROR(AVERAGEIFS('Picks'!$AB$2:$AB$71,'Picks'!$H$2:$H$71,$A16,'Picks'!$U$2:$U$71,"settled"),0)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-104</v>
      </c>
      <c r="M15" s="39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38" t="n"/>
      <c r="Z15" s="26" t="n"/>
      <c r="AA15" s="28" t="n"/>
      <c r="AB15" s="28" t="n"/>
      <c r="AC15" s="4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38" t="n"/>
      <c r="BK15" s="26" t="n">
        <v>-104</v>
      </c>
      <c r="BL15" s="39" t="n">
        <v>1.961538</v>
      </c>
      <c r="BM15" s="28" t="n">
        <v>0.509804</v>
      </c>
      <c r="BN15" s="28" t="n">
        <v>0.507463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-111</v>
      </c>
      <c r="M16" s="39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38" t="n"/>
      <c r="Z16" s="26" t="n"/>
      <c r="AA16" s="28" t="n"/>
      <c r="AB16" s="28" t="n"/>
      <c r="AC16" s="4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38" t="n"/>
      <c r="BK16" s="26" t="n">
        <v>-111</v>
      </c>
      <c r="BL16" s="39" t="n">
        <v>1.900901</v>
      </c>
      <c r="BM16" s="28" t="n">
        <v>0.526066</v>
      </c>
      <c r="BN16" s="28" t="n">
        <v>0.522388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-108</v>
      </c>
      <c r="M17" s="39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38" t="n"/>
      <c r="Z17" s="26" t="n"/>
      <c r="AA17" s="28" t="n"/>
      <c r="AB17" s="28" t="n"/>
      <c r="AC17" s="4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38" t="n"/>
      <c r="BK17" s="26" t="n">
        <v>-108</v>
      </c>
      <c r="BL17" s="39" t="n">
        <v>1.925926</v>
      </c>
      <c r="BM17" s="28" t="n">
        <v>0.519231</v>
      </c>
      <c r="BN17" s="28" t="n">
        <v>0.5148509999999999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>
        <v>1</v>
      </c>
      <c r="BY17" s="39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111</v>
      </c>
      <c r="M18" s="39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38" t="n"/>
      <c r="Z18" s="26" t="n"/>
      <c r="AA18" s="28" t="n"/>
      <c r="AB18" s="28" t="n"/>
      <c r="AC18" s="4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38" t="n"/>
      <c r="BK18" s="26" t="n">
        <v>111</v>
      </c>
      <c r="BL18" s="39" t="n">
        <v>2.11</v>
      </c>
      <c r="BM18" s="28" t="n">
        <v>0.473934</v>
      </c>
      <c r="BN18" s="28" t="n">
        <v>0.472637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>
        <v>1</v>
      </c>
      <c r="BY18" s="39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-125</v>
      </c>
      <c r="M19" s="39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38" t="n"/>
      <c r="Z19" s="26" t="n"/>
      <c r="AA19" s="28" t="n"/>
      <c r="AB19" s="28" t="n"/>
      <c r="AC19" s="4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38" t="n"/>
      <c r="BK19" s="26" t="n">
        <v>-125</v>
      </c>
      <c r="BL19" s="39" t="n">
        <v>1.8</v>
      </c>
      <c r="BM19" s="28" t="n">
        <v>0.555556</v>
      </c>
      <c r="BN19" s="28" t="n">
        <v>0.552239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>
        <v>1</v>
      </c>
      <c r="BY19" s="39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38" t="n"/>
      <c r="Z20" s="26" t="n"/>
      <c r="AA20" s="28" t="n"/>
      <c r="AB20" s="28" t="n"/>
      <c r="AC20" s="4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38" t="n"/>
      <c r="BK20" s="26" t="n">
        <v>106</v>
      </c>
      <c r="BL20" s="39" t="n">
        <v>2.06</v>
      </c>
      <c r="BM20" s="28" t="n">
        <v>0.485437</v>
      </c>
      <c r="BN20" s="28" t="n">
        <v>0.482587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>
        <v>1</v>
      </c>
      <c r="BY20" s="39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38" t="n"/>
      <c r="Z21" s="26" t="n"/>
      <c r="AA21" s="28" t="n"/>
      <c r="AB21" s="28" t="n"/>
      <c r="AC21" s="4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38" t="n"/>
      <c r="BK21" s="26" t="n">
        <v>-106</v>
      </c>
      <c r="BL21" s="39" t="n">
        <v>1.943396</v>
      </c>
      <c r="BM21" s="28" t="n">
        <v>0.514563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-106</v>
      </c>
      <c r="M22" s="39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38" t="n"/>
      <c r="Z22" s="26" t="n"/>
      <c r="AA22" s="28" t="n"/>
      <c r="AB22" s="28" t="n"/>
      <c r="AC22" s="4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38" t="n"/>
      <c r="BK22" s="26" t="n">
        <v>-106</v>
      </c>
      <c r="BL22" s="39" t="n">
        <v>1.943396</v>
      </c>
      <c r="BM22" s="28" t="n">
        <v>0.514563</v>
      </c>
      <c r="BN22" s="28" t="n">
        <v>0.5124379999999999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</t>
        </is>
      </c>
      <c r="L23" s="26" t="n">
        <v>-141</v>
      </c>
      <c r="M23" s="39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38" t="n"/>
      <c r="Z23" s="26" t="n"/>
      <c r="AA23" s="28" t="n"/>
      <c r="AB23" s="28" t="n"/>
      <c r="AC23" s="4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38" t="n"/>
      <c r="BK23" s="26" t="n">
        <v>-141</v>
      </c>
      <c r="BL23" s="39" t="n">
        <v>1.70922</v>
      </c>
      <c r="BM23" s="28" t="n">
        <v>0.585062</v>
      </c>
      <c r="BN23" s="28" t="n">
        <v>0.58209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-133</v>
      </c>
      <c r="M24" s="39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38" t="n"/>
      <c r="Z24" s="26" t="n"/>
      <c r="AA24" s="28" t="n"/>
      <c r="AB24" s="28" t="n"/>
      <c r="AC24" s="4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38" t="n"/>
      <c r="BK24" s="26" t="n">
        <v>-133</v>
      </c>
      <c r="BL24" s="39" t="n">
        <v>1.75188</v>
      </c>
      <c r="BM24" s="28" t="n">
        <v>0.570815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</t>
        </is>
      </c>
      <c r="L25" s="26" t="n">
        <v>104</v>
      </c>
      <c r="M25" s="39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38" t="n"/>
      <c r="Z25" s="26" t="n"/>
      <c r="AA25" s="28" t="n"/>
      <c r="AB25" s="28" t="n"/>
      <c r="AC25" s="4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38" t="n"/>
      <c r="BK25" s="26" t="n">
        <v>104</v>
      </c>
      <c r="BL25" s="39" t="n">
        <v>2.04</v>
      </c>
      <c r="BM25" s="28" t="n">
        <v>0.490196</v>
      </c>
      <c r="BN25" s="28" t="n">
        <v>0.487562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</t>
        </is>
      </c>
      <c r="L26" s="26" t="n">
        <v>-104</v>
      </c>
      <c r="M26" s="39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38" t="n"/>
      <c r="Z26" s="26" t="n"/>
      <c r="AA26" s="28" t="n"/>
      <c r="AB26" s="28" t="n"/>
      <c r="AC26" s="4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38" t="n"/>
      <c r="BK26" s="26" t="n">
        <v>-104</v>
      </c>
      <c r="BL26" s="39" t="n">
        <v>1.961538</v>
      </c>
      <c r="BM26" s="28" t="n">
        <v>0.509804</v>
      </c>
      <c r="BN26" s="28" t="n">
        <v>0.507463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120</v>
      </c>
      <c r="M27" s="39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38" t="n"/>
      <c r="Z27" s="26" t="n"/>
      <c r="AA27" s="28" t="n"/>
      <c r="AB27" s="28" t="n"/>
      <c r="AC27" s="4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38" t="n"/>
      <c r="BK27" s="26" t="n">
        <v>120</v>
      </c>
      <c r="BL27" s="39" t="n">
        <v>2.2</v>
      </c>
      <c r="BM27" s="28" t="n">
        <v>0.454545</v>
      </c>
      <c r="BN27" s="28" t="n">
        <v>0.452736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100</v>
      </c>
      <c r="M28" s="39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38" t="n"/>
      <c r="Z28" s="26" t="n"/>
      <c r="AA28" s="28" t="n"/>
      <c r="AB28" s="28" t="n"/>
      <c r="AC28" s="4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38" t="n"/>
      <c r="BK28" s="26" t="n">
        <v>100</v>
      </c>
      <c r="BL28" s="39" t="n">
        <v>2</v>
      </c>
      <c r="BM28" s="28" t="n">
        <v>0.5</v>
      </c>
      <c r="BN28" s="28" t="n">
        <v>0.497512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108</v>
      </c>
      <c r="M29" s="39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38" t="n"/>
      <c r="Z29" s="26" t="n"/>
      <c r="AA29" s="28" t="n"/>
      <c r="AB29" s="28" t="n"/>
      <c r="AC29" s="4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38" t="n"/>
      <c r="BK29" s="26" t="n">
        <v>108</v>
      </c>
      <c r="BL29" s="39" t="n">
        <v>2.08</v>
      </c>
      <c r="BM29" s="28" t="n">
        <v>0.480769</v>
      </c>
      <c r="BN29" s="28" t="n">
        <v>0.477612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>
        <v>1</v>
      </c>
      <c r="BY29" s="39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-133</v>
      </c>
      <c r="M30" s="39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38" t="n"/>
      <c r="Z30" s="26" t="n"/>
      <c r="AA30" s="28" t="n"/>
      <c r="AB30" s="28" t="n"/>
      <c r="AC30" s="4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38" t="n"/>
      <c r="BK30" s="26" t="n">
        <v>-133</v>
      </c>
      <c r="BL30" s="39" t="n">
        <v>1.75188</v>
      </c>
      <c r="BM30" s="28" t="n">
        <v>0.570815</v>
      </c>
      <c r="BN30" s="28" t="n">
        <v>0.567164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>
        <v>1</v>
      </c>
      <c r="BY30" s="39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130</v>
      </c>
      <c r="M31" s="39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38" t="n"/>
      <c r="Z31" s="26" t="n"/>
      <c r="AA31" s="28" t="n"/>
      <c r="AB31" s="28" t="n"/>
      <c r="AC31" s="4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38" t="n"/>
      <c r="BK31" s="26" t="n">
        <v>130</v>
      </c>
      <c r="BL31" s="39" t="n">
        <v>2.3</v>
      </c>
      <c r="BM31" s="28" t="n">
        <v>0.434783</v>
      </c>
      <c r="BN31" s="28" t="n">
        <v>0.432836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>
        <v>1</v>
      </c>
      <c r="BY31" s="39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542e7a0dbfec4eb5</t>
        </is>
      </c>
      <c r="B32" s="24" t="inlineStr">
        <is>
          <t>2026-07-20T16:50:34.398508Z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115</v>
      </c>
      <c r="M32" s="39" t="n">
        <v>2.15</v>
      </c>
      <c r="N32" s="28" t="n">
        <v>0.465116</v>
      </c>
      <c r="O32" s="28" t="n">
        <v>0.5726869999999999</v>
      </c>
      <c r="P32" s="28" t="n"/>
      <c r="Q32" s="28" t="n">
        <v>0.107571</v>
      </c>
      <c r="R32" s="26" t="n">
        <v>100</v>
      </c>
      <c r="S32" s="29" t="n">
        <v>1.25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win</t>
        </is>
      </c>
      <c r="W32" s="26" t="n">
        <v>4</v>
      </c>
      <c r="X32" s="26" t="n">
        <v>13</v>
      </c>
      <c r="Y32" s="38" t="n"/>
      <c r="Z32" s="26" t="n"/>
      <c r="AA32" s="28" t="n"/>
      <c r="AB32" s="28" t="n"/>
      <c r="AC32" s="40" t="n">
        <v>1.4375</v>
      </c>
      <c r="AD32" s="24" t="inlineStr">
        <is>
          <t>2026-07-21T03:22:54.737922Z</t>
        </is>
      </c>
      <c r="AE32" s="31" t="inlineStr">
        <is>
          <t>Learned LR call at threshold 0.5500; executable ask 0.4650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2170ac399ced5417</t>
        </is>
      </c>
      <c r="BF32" s="24" t="inlineStr">
        <is>
          <t>1</t>
        </is>
      </c>
      <c r="BG32" s="24" t="inlineStr">
        <is>
          <t>mlb-elo-trend-lr-v4</t>
        </is>
      </c>
      <c r="BH32" s="24" t="inlineStr">
        <is>
          <t>2026-07-20T16:49:43.428041Z</t>
        </is>
      </c>
      <c r="BI32" s="24" t="inlineStr">
        <is>
          <t>["same_event","same_team_same_day","same_league_same_day"]</t>
        </is>
      </c>
      <c r="BJ32" s="38" t="n"/>
      <c r="BK32" s="26" t="n">
        <v>115</v>
      </c>
      <c r="BL32" s="39" t="n">
        <v>2.15</v>
      </c>
      <c r="BM32" s="28" t="n">
        <v>0.465116</v>
      </c>
      <c r="BN32" s="28" t="n">
        <v>0.462687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>
        <v>1</v>
      </c>
      <c r="BY32" s="39" t="n">
        <v>1.15</v>
      </c>
      <c r="BZ32" s="24" t="inlineStr">
        <is>
          <t>2026-07-21T03:22:54.737922Z</t>
        </is>
      </c>
      <c r="CA32" s="31" t="inlineStr">
        <is>
          <t>fixed one-unit hypothetical scoring; no real exposure or execution</t>
        </is>
      </c>
    </row>
    <row r="33" ht="36" customHeight="1">
      <c r="A33" s="24" t="inlineStr">
        <is>
          <t>554be71d308247ed</t>
        </is>
      </c>
      <c r="B33" s="24" t="inlineStr">
        <is>
          <t>2026-07-20T16:50:34.398508Z</t>
        </is>
      </c>
      <c r="C33" s="24" t="inlineStr">
        <is>
          <t>2026-07-20T19:05:00-0400</t>
        </is>
      </c>
      <c r="D33" s="24" t="inlineStr">
        <is>
          <t>401816189</t>
        </is>
      </c>
      <c r="E33" s="24" t="inlineStr">
        <is>
          <t>MLB</t>
        </is>
      </c>
      <c r="F33" s="24" t="inlineStr">
        <is>
          <t>Pittsburgh Pirates</t>
        </is>
      </c>
      <c r="G33" s="24" t="inlineStr">
        <is>
          <t>New York Yankees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-108</v>
      </c>
      <c r="M33" s="39" t="n">
        <v>1.925926</v>
      </c>
      <c r="N33" s="28" t="n">
        <v>0.519231</v>
      </c>
      <c r="O33" s="28" t="n">
        <v>0.578558</v>
      </c>
      <c r="P33" s="28" t="n"/>
      <c r="Q33" s="28" t="n">
        <v>0.059327</v>
      </c>
      <c r="R33" s="26" t="n">
        <v>50</v>
      </c>
      <c r="S33" s="29" t="n">
        <v>1.25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win</t>
        </is>
      </c>
      <c r="W33" s="26" t="n">
        <v>5</v>
      </c>
      <c r="X33" s="26" t="n">
        <v>8</v>
      </c>
      <c r="Y33" s="38" t="n"/>
      <c r="Z33" s="26" t="n"/>
      <c r="AA33" s="28" t="n"/>
      <c r="AB33" s="28" t="n"/>
      <c r="AC33" s="40" t="n">
        <v>1.1574</v>
      </c>
      <c r="AD33" s="24" t="inlineStr">
        <is>
          <t>2026-07-21T03:22:55.055992Z</t>
        </is>
      </c>
      <c r="AE33" s="31" t="inlineStr">
        <is>
          <t>Learned LR call at threshold 0.5500; executable ask 0.5200 (aec-mlb-pit-nyy-2026-07-20).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mlb-pit</t>
        </is>
      </c>
      <c r="AQ33" s="24" t="inlineStr">
        <is>
          <t>Pittsburgh Pirates</t>
        </is>
      </c>
      <c r="AR33" s="24" t="inlineStr">
        <is>
          <t>Pittsburgh Pirates</t>
        </is>
      </c>
      <c r="AS33" s="24" t="inlineStr">
        <is>
          <t>mlb-nyy</t>
        </is>
      </c>
      <c r="AT33" s="24" t="inlineStr">
        <is>
          <t>New York Yankees</t>
        </is>
      </c>
      <c r="AU33" s="24" t="inlineStr">
        <is>
          <t>New York Yankees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38ab7db5a3798f0c</t>
        </is>
      </c>
      <c r="BF33" s="24" t="inlineStr">
        <is>
          <t>1</t>
        </is>
      </c>
      <c r="BG33" s="24" t="inlineStr">
        <is>
          <t>mlb-elo-trend-lr-v4</t>
        </is>
      </c>
      <c r="BH33" s="24" t="inlineStr">
        <is>
          <t>2026-07-20T16:49:45.032018Z</t>
        </is>
      </c>
      <c r="BI33" s="24" t="inlineStr">
        <is>
          <t>["same_event","same_team_same_day","same_league_same_day"]</t>
        </is>
      </c>
      <c r="BJ33" s="38" t="n"/>
      <c r="BK33" s="26" t="n">
        <v>-108</v>
      </c>
      <c r="BL33" s="39" t="n">
        <v>1.925926</v>
      </c>
      <c r="BM33" s="28" t="n">
        <v>0.519231</v>
      </c>
      <c r="BN33" s="28" t="n">
        <v>0.517413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>
        <v>1</v>
      </c>
      <c r="BY33" s="39" t="n">
        <v>0.925926</v>
      </c>
      <c r="BZ33" s="24" t="inlineStr">
        <is>
          <t>2026-07-21T03:22:55.055992Z</t>
        </is>
      </c>
      <c r="CA33" s="31" t="inlineStr">
        <is>
          <t>fixed one-unit hypothetical scoring; no real exposure or execution</t>
        </is>
      </c>
    </row>
    <row r="34" ht="36" customHeight="1">
      <c r="A34" s="24" t="inlineStr">
        <is>
          <t>af79b4620f7a4af3</t>
        </is>
      </c>
      <c r="B34" s="24" t="inlineStr">
        <is>
          <t>2026-07-20T16:50:34.398508Z</t>
        </is>
      </c>
      <c r="C34" s="24" t="inlineStr">
        <is>
          <t>2026-07-20T20:05:00-0400</t>
        </is>
      </c>
      <c r="D34" s="24" t="inlineStr">
        <is>
          <t>401816193</t>
        </is>
      </c>
      <c r="E34" s="24" t="inlineStr">
        <is>
          <t>MLB</t>
        </is>
      </c>
      <c r="F34" s="24" t="inlineStr">
        <is>
          <t>Detroit Tigers</t>
        </is>
      </c>
      <c r="G34" s="24" t="inlineStr">
        <is>
          <t>Chicago Cubs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-106</v>
      </c>
      <c r="M34" s="39" t="n">
        <v>1.943396</v>
      </c>
      <c r="N34" s="28" t="n">
        <v>0.514563</v>
      </c>
      <c r="O34" s="28" t="n">
        <v>0.566967</v>
      </c>
      <c r="P34" s="28" t="n"/>
      <c r="Q34" s="28" t="n">
        <v>0.052404</v>
      </c>
      <c r="R34" s="26" t="n">
        <v>46</v>
      </c>
      <c r="S34" s="29" t="n">
        <v>1.25</v>
      </c>
      <c r="T34" s="24" t="inlineStr">
        <is>
          <t>mlb-elo-trend-lr-v4</t>
        </is>
      </c>
      <c r="U34" s="24" t="inlineStr">
        <is>
          <t>settled</t>
        </is>
      </c>
      <c r="V34" s="24" t="inlineStr">
        <is>
          <t>loss</t>
        </is>
      </c>
      <c r="W34" s="26" t="n">
        <v>8</v>
      </c>
      <c r="X34" s="26" t="n">
        <v>6</v>
      </c>
      <c r="Y34" s="38" t="n"/>
      <c r="Z34" s="26" t="n"/>
      <c r="AA34" s="28" t="n"/>
      <c r="AB34" s="28" t="n"/>
      <c r="AC34" s="40" t="n">
        <v>-1.25</v>
      </c>
      <c r="AD34" s="24" t="inlineStr">
        <is>
          <t>2026-07-21T04:41:10.971771Z</t>
        </is>
      </c>
      <c r="AE34" s="31" t="inlineStr">
        <is>
          <t>Learned LR call at threshold 0.5500; executable ask 0.5150 (aec-mlb-det-chc-2026-07-20).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mlb-det</t>
        </is>
      </c>
      <c r="AQ34" s="24" t="inlineStr">
        <is>
          <t>Detroit Tigers</t>
        </is>
      </c>
      <c r="AR34" s="24" t="inlineStr">
        <is>
          <t>Detroit Tigers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b84afb2c70e14d93</t>
        </is>
      </c>
      <c r="BF34" s="24" t="inlineStr">
        <is>
          <t>1</t>
        </is>
      </c>
      <c r="BG34" s="24" t="inlineStr">
        <is>
          <t>mlb-elo-trend-lr-v4</t>
        </is>
      </c>
      <c r="BH34" s="24" t="inlineStr">
        <is>
          <t>2026-07-20T16:49:55.275935Z</t>
        </is>
      </c>
      <c r="BI34" s="24" t="inlineStr">
        <is>
          <t>["same_event","same_team_same_day","same_league_same_day"]</t>
        </is>
      </c>
      <c r="BJ34" s="38" t="n"/>
      <c r="BK34" s="26" t="n">
        <v>-106</v>
      </c>
      <c r="BL34" s="39" t="n">
        <v>1.943396</v>
      </c>
      <c r="BM34" s="28" t="n">
        <v>0.514563</v>
      </c>
      <c r="BN34" s="28" t="n">
        <v>0.5124379999999999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</row>
    <row r="35" ht="36" customHeight="1">
      <c r="A35" s="24" t="inlineStr">
        <is>
          <t>283f71257d594ea5</t>
        </is>
      </c>
      <c r="B35" s="24" t="inlineStr">
        <is>
          <t>2026-07-20T16:50:37.639352Z</t>
        </is>
      </c>
      <c r="C35" s="24" t="inlineStr">
        <is>
          <t>2026-07-20T20:00:00-0400</t>
        </is>
      </c>
      <c r="D35" s="24" t="inlineStr">
        <is>
          <t>401892393</t>
        </is>
      </c>
      <c r="E35" s="24" t="inlineStr">
        <is>
          <t>WNBA</t>
        </is>
      </c>
      <c r="F35" s="24" t="inlineStr">
        <is>
          <t>New York Liberty</t>
        </is>
      </c>
      <c r="G35" s="24" t="inlineStr">
        <is>
          <t>Dallas Wings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150</v>
      </c>
      <c r="M35" s="39" t="n">
        <v>2.5</v>
      </c>
      <c r="N35" s="28" t="n">
        <v>0.4</v>
      </c>
      <c r="O35" s="28" t="n">
        <v>0.751217</v>
      </c>
      <c r="P35" s="28" t="n"/>
      <c r="Q35" s="28" t="n">
        <v>0.351217</v>
      </c>
      <c r="R35" s="26" t="n">
        <v>100</v>
      </c>
      <c r="S35" s="29" t="n">
        <v>2</v>
      </c>
      <c r="T35" s="24" t="inlineStr">
        <is>
          <t>wnba-elo-trend-lr-v3</t>
        </is>
      </c>
      <c r="U35" s="24" t="inlineStr">
        <is>
          <t>settled</t>
        </is>
      </c>
      <c r="V35" s="24" t="inlineStr">
        <is>
          <t>loss</t>
        </is>
      </c>
      <c r="W35" s="26" t="n">
        <v>99</v>
      </c>
      <c r="X35" s="26" t="n">
        <v>98</v>
      </c>
      <c r="Y35" s="38" t="n"/>
      <c r="Z35" s="26" t="n"/>
      <c r="AA35" s="28" t="n"/>
      <c r="AB35" s="28" t="n"/>
      <c r="AC35" s="40" t="n">
        <v>-2</v>
      </c>
      <c r="AD35" s="24" t="inlineStr">
        <is>
          <t>2026-07-21T03:22:55.455883Z</t>
        </is>
      </c>
      <c r="AE35" s="31" t="inlineStr">
        <is>
          <t>Learned LR call at threshold 0.5051; executable ask 0.4000 (aec-wnba-ny-dal-2026-07-20).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wnba-nyl</t>
        </is>
      </c>
      <c r="AQ35" s="24" t="inlineStr">
        <is>
          <t>New York Liberty</t>
        </is>
      </c>
      <c r="AR35" s="24" t="inlineStr">
        <is>
          <t>New York Liberty</t>
        </is>
      </c>
      <c r="AS35" s="24" t="inlineStr">
        <is>
          <t>wnba-dal</t>
        </is>
      </c>
      <c r="AT35" s="24" t="inlineStr">
        <is>
          <t>Dallas Wings</t>
        </is>
      </c>
      <c r="AU35" s="24" t="inlineStr">
        <is>
          <t>Dallas Wings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43ee2f84f025c10f83f80a8c22d49c35c420734a8a730b5f272287225cceee4b</t>
        </is>
      </c>
      <c r="BB35" s="24" t="inlineStr">
        <is>
          <t>learned_lr</t>
        </is>
      </c>
      <c r="BC35" s="24" t="inlineStr">
        <is>
          <t>wnba-elo-trend-lr-v3</t>
        </is>
      </c>
      <c r="BD35" s="24" t="inlineStr">
        <is>
          <t>43ee2f84f025c10f83f80a8c22d49c35c420734a8a730b5f272287225cceee4b</t>
        </is>
      </c>
      <c r="BE35" s="24" t="inlineStr">
        <is>
          <t>3b474aa853a60d81</t>
        </is>
      </c>
      <c r="BF35" s="24" t="inlineStr">
        <is>
          <t>1</t>
        </is>
      </c>
      <c r="BG35" s="24" t="inlineStr">
        <is>
          <t>wnba-elo-trend-lr-v3</t>
        </is>
      </c>
      <c r="BH35" s="24" t="inlineStr">
        <is>
          <t>2026-07-20T16:50:05.640054Z</t>
        </is>
      </c>
      <c r="BI35" s="24" t="inlineStr">
        <is>
          <t>["same_event","same_team_same_day","same_league_same_day"]</t>
        </is>
      </c>
      <c r="BJ35" s="38" t="n"/>
      <c r="BK35" s="26" t="n">
        <v>150</v>
      </c>
      <c r="BL35" s="39" t="n">
        <v>2.5</v>
      </c>
      <c r="BM35" s="28" t="n">
        <v>0.4</v>
      </c>
      <c r="BN35" s="28" t="n">
        <v>0.39604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>
        <v>1</v>
      </c>
      <c r="BY35" s="39" t="n">
        <v>-1</v>
      </c>
      <c r="BZ35" s="24" t="inlineStr">
        <is>
          <t>2026-07-21T03:22:55.455883Z</t>
        </is>
      </c>
      <c r="CA35" s="31" t="inlineStr">
        <is>
          <t>fixed one-unit hypothetical scoring; no real exposure or execution</t>
        </is>
      </c>
    </row>
    <row r="36" ht="36" customHeight="1">
      <c r="A36" s="24" t="inlineStr">
        <is>
          <t>9fcdfe37492a4081</t>
        </is>
      </c>
      <c r="B36" s="24" t="inlineStr">
        <is>
          <t>2026-07-20T17:15:20.228896Z</t>
        </is>
      </c>
      <c r="C36" s="24" t="inlineStr">
        <is>
          <t>2026-07-21T18:40:00-0400</t>
        </is>
      </c>
      <c r="D36" s="24" t="inlineStr">
        <is>
          <t>401816203</t>
        </is>
      </c>
      <c r="E36" s="24" t="inlineStr">
        <is>
          <t>MLB</t>
        </is>
      </c>
      <c r="F36" s="24" t="inlineStr">
        <is>
          <t>Minnesota Twins</t>
        </is>
      </c>
      <c r="G36" s="24" t="inlineStr">
        <is>
          <t>Cleveland Guardians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-120</v>
      </c>
      <c r="M36" s="39" t="n">
        <v>1.833333</v>
      </c>
      <c r="N36" s="28" t="n">
        <v>0.545455</v>
      </c>
      <c r="O36" s="28" t="n">
        <v>0.5726869999999999</v>
      </c>
      <c r="P36" s="28" t="n"/>
      <c r="Q36" s="28" t="n">
        <v>0.027232</v>
      </c>
      <c r="R36" s="26" t="n">
        <v>34</v>
      </c>
      <c r="S36" s="29" t="n">
        <v>1.25</v>
      </c>
      <c r="T36" s="24" t="inlineStr">
        <is>
          <t>mlb-elo-trend-lr-v4</t>
        </is>
      </c>
      <c r="U36" s="24" t="inlineStr">
        <is>
          <t>open</t>
        </is>
      </c>
      <c r="V36" s="24" t="n"/>
      <c r="W36" s="26" t="n"/>
      <c r="X36" s="26" t="n"/>
      <c r="Y36" s="38" t="n"/>
      <c r="Z36" s="26" t="n"/>
      <c r="AA36" s="28" t="n"/>
      <c r="AB36" s="28" t="n"/>
      <c r="AC36" s="40" t="n"/>
      <c r="AD36" s="24" t="n"/>
      <c r="AE36" s="31" t="inlineStr">
        <is>
          <t>Learned LR call at threshold 0.5500; executable ask 0.5450 (aec-mlb-min-cle-2026-07-21).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mlb-min</t>
        </is>
      </c>
      <c r="AQ36" s="24" t="inlineStr">
        <is>
          <t>Minnesota Twins</t>
        </is>
      </c>
      <c r="AR36" s="24" t="inlineStr">
        <is>
          <t>Minnesota Twins</t>
        </is>
      </c>
      <c r="AS36" s="24" t="inlineStr">
        <is>
          <t>mlb-cle</t>
        </is>
      </c>
      <c r="AT36" s="24" t="inlineStr">
        <is>
          <t>Cleveland Guardians</t>
        </is>
      </c>
      <c r="AU36" s="24" t="inlineStr">
        <is>
          <t>Cleveland Guardians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b2d94e21762e8b04</t>
        </is>
      </c>
      <c r="BF36" s="24" t="inlineStr">
        <is>
          <t>1</t>
        </is>
      </c>
      <c r="BG36" s="24" t="inlineStr">
        <is>
          <t>mlb-elo-trend-lr-v4</t>
        </is>
      </c>
      <c r="BH36" s="24" t="inlineStr">
        <is>
          <t>2026-07-20T17:14:54.293063Z</t>
        </is>
      </c>
      <c r="BI36" s="24" t="inlineStr">
        <is>
          <t>["same_event","same_team_same_day","same_league_same_day"]</t>
        </is>
      </c>
      <c r="BJ36" s="38" t="n"/>
      <c r="BK36" s="26" t="n">
        <v>-120</v>
      </c>
      <c r="BL36" s="39" t="n">
        <v>1.833333</v>
      </c>
      <c r="BM36" s="28" t="n">
        <v>0.545455</v>
      </c>
      <c r="BN36" s="28" t="n">
        <v>0.542289</v>
      </c>
      <c r="BO36" s="28" t="n"/>
      <c r="BP36" s="38" t="n"/>
      <c r="BQ36" s="39" t="n"/>
      <c r="BR36" s="28" t="n"/>
      <c r="BS36" s="28" t="n"/>
      <c r="BT36" s="28" t="n"/>
      <c r="BU36" s="38" t="n"/>
      <c r="BV36" s="29" t="n"/>
      <c r="BW36" s="24" t="n"/>
      <c r="BX36" s="40" t="n"/>
      <c r="BY36" s="39" t="n"/>
      <c r="BZ36" s="24" t="n"/>
      <c r="CA36" s="31" t="n"/>
    </row>
    <row r="37" ht="36" customHeight="1">
      <c r="A37" s="24" t="inlineStr">
        <is>
          <t>fcd259e35f4a4663</t>
        </is>
      </c>
      <c r="B37" s="24" t="inlineStr">
        <is>
          <t>2026-07-20T17:15:20.228896Z</t>
        </is>
      </c>
      <c r="C37" s="24" t="inlineStr">
        <is>
          <t>2026-07-21T19:05:00-0400</t>
        </is>
      </c>
      <c r="D37" s="24" t="inlineStr">
        <is>
          <t>401816204</t>
        </is>
      </c>
      <c r="E37" s="24" t="inlineStr">
        <is>
          <t>MLB</t>
        </is>
      </c>
      <c r="F37" s="24" t="inlineStr">
        <is>
          <t>Pittsburgh Pirates</t>
        </is>
      </c>
      <c r="G37" s="24" t="inlineStr">
        <is>
          <t>New York Yankees</t>
        </is>
      </c>
      <c r="H37" s="24" t="inlineStr">
        <is>
          <t>moneyline</t>
        </is>
      </c>
      <c r="I37" s="24" t="inlineStr">
        <is>
          <t>home</t>
        </is>
      </c>
      <c r="J37" s="38" t="n"/>
      <c r="K37" s="24" t="inlineStr">
        <is>
          <t>polymarket_us</t>
        </is>
      </c>
      <c r="L37" s="26" t="n">
        <v>-122</v>
      </c>
      <c r="M37" s="39" t="n">
        <v>1.819672</v>
      </c>
      <c r="N37" s="28" t="n">
        <v>0.54955</v>
      </c>
      <c r="O37" s="28" t="n">
        <v>0.578558</v>
      </c>
      <c r="P37" s="28" t="n"/>
      <c r="Q37" s="28" t="n">
        <v>0.029008</v>
      </c>
      <c r="R37" s="26" t="n">
        <v>35</v>
      </c>
      <c r="S37" s="29" t="n">
        <v>1.25</v>
      </c>
      <c r="T37" s="24" t="inlineStr">
        <is>
          <t>mlb-elo-trend-lr-v4</t>
        </is>
      </c>
      <c r="U37" s="24" t="inlineStr">
        <is>
          <t>open</t>
        </is>
      </c>
      <c r="V37" s="24" t="n"/>
      <c r="W37" s="26" t="n"/>
      <c r="X37" s="26" t="n"/>
      <c r="Y37" s="38" t="n"/>
      <c r="Z37" s="26" t="n"/>
      <c r="AA37" s="28" t="n"/>
      <c r="AB37" s="28" t="n"/>
      <c r="AC37" s="40" t="n"/>
      <c r="AD37" s="24" t="n"/>
      <c r="AE37" s="31" t="inlineStr">
        <is>
          <t>Learned LR call at threshold 0.5500; executable ask 0.5500 (aec-mlb-pit-nyy-2026-07-21).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mlb-pit</t>
        </is>
      </c>
      <c r="AQ37" s="24" t="inlineStr">
        <is>
          <t>Pittsburgh Pirates</t>
        </is>
      </c>
      <c r="AR37" s="24" t="inlineStr">
        <is>
          <t>Pittsburgh Pirates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bbfea681245ee8a0</t>
        </is>
      </c>
      <c r="BF37" s="24" t="inlineStr">
        <is>
          <t>1</t>
        </is>
      </c>
      <c r="BG37" s="24" t="inlineStr">
        <is>
          <t>mlb-elo-trend-lr-v4</t>
        </is>
      </c>
      <c r="BH37" s="24" t="inlineStr">
        <is>
          <t>2026-07-20T17:14:55.363860Z</t>
        </is>
      </c>
      <c r="BI37" s="24" t="inlineStr">
        <is>
          <t>["same_event","same_team_same_day","same_league_same_day"]</t>
        </is>
      </c>
      <c r="BJ37" s="38" t="n"/>
      <c r="BK37" s="26" t="n">
        <v>-122</v>
      </c>
      <c r="BL37" s="39" t="n">
        <v>1.819672</v>
      </c>
      <c r="BM37" s="28" t="n">
        <v>0.54955</v>
      </c>
      <c r="BN37" s="28" t="n">
        <v>0.547264</v>
      </c>
      <c r="BO37" s="28" t="n"/>
      <c r="BP37" s="38" t="n"/>
      <c r="BQ37" s="39" t="n"/>
      <c r="BR37" s="28" t="n"/>
      <c r="BS37" s="28" t="n"/>
      <c r="BT37" s="28" t="n"/>
      <c r="BU37" s="38" t="n"/>
      <c r="BV37" s="29" t="n"/>
      <c r="BW37" s="24" t="n"/>
      <c r="BX37" s="40" t="n"/>
      <c r="BY37" s="39" t="n"/>
      <c r="BZ37" s="24" t="n"/>
      <c r="CA37" s="31" t="n"/>
    </row>
    <row r="38" ht="36" customHeight="1">
      <c r="A38" s="24" t="inlineStr">
        <is>
          <t>347b8168f3884fa8</t>
        </is>
      </c>
      <c r="B38" s="24" t="inlineStr">
        <is>
          <t>2026-07-20T17:15:20.228896Z</t>
        </is>
      </c>
      <c r="C38" s="24" t="inlineStr">
        <is>
          <t>2026-07-21T19:40:00-0400</t>
        </is>
      </c>
      <c r="D38" s="24" t="inlineStr">
        <is>
          <t>401816210</t>
        </is>
      </c>
      <c r="E38" s="24" t="inlineStr">
        <is>
          <t>MLB</t>
        </is>
      </c>
      <c r="F38" s="24" t="inlineStr">
        <is>
          <t>New York Mets</t>
        </is>
      </c>
      <c r="G38" s="24" t="inlineStr">
        <is>
          <t>Milwaukee Brewers</t>
        </is>
      </c>
      <c r="H38" s="24" t="inlineStr">
        <is>
          <t>moneyline</t>
        </is>
      </c>
      <c r="I38" s="24" t="inlineStr">
        <is>
          <t>home</t>
        </is>
      </c>
      <c r="J38" s="38" t="n"/>
      <c r="K38" s="24" t="inlineStr">
        <is>
          <t>polymarket_us</t>
        </is>
      </c>
      <c r="L38" s="26" t="n">
        <v>-147</v>
      </c>
      <c r="M38" s="39" t="n">
        <v>1.680272</v>
      </c>
      <c r="N38" s="28" t="n">
        <v>0.5951419999999999</v>
      </c>
      <c r="O38" s="28" t="n">
        <v>0.640995</v>
      </c>
      <c r="P38" s="28" t="n"/>
      <c r="Q38" s="28" t="n">
        <v>0.045853</v>
      </c>
      <c r="R38" s="26" t="n">
        <v>43</v>
      </c>
      <c r="S38" s="29" t="n">
        <v>2</v>
      </c>
      <c r="T38" s="24" t="inlineStr">
        <is>
          <t>mlb-elo-trend-lr-v4</t>
        </is>
      </c>
      <c r="U38" s="24" t="inlineStr">
        <is>
          <t>open</t>
        </is>
      </c>
      <c r="V38" s="24" t="n"/>
      <c r="W38" s="26" t="n"/>
      <c r="X38" s="26" t="n"/>
      <c r="Y38" s="38" t="n"/>
      <c r="Z38" s="26" t="n"/>
      <c r="AA38" s="28" t="n"/>
      <c r="AB38" s="28" t="n"/>
      <c r="AC38" s="40" t="n"/>
      <c r="AD38" s="24" t="n"/>
      <c r="AE38" s="31" t="inlineStr">
        <is>
          <t>Learned LR call at threshold 0.5500; executable ask 0.5950 (aec-mlb-nym-mil-2026-07-21).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mlb-nym</t>
        </is>
      </c>
      <c r="AQ38" s="24" t="inlineStr">
        <is>
          <t>New York Mets</t>
        </is>
      </c>
      <c r="AR38" s="24" t="inlineStr">
        <is>
          <t>New York Mets</t>
        </is>
      </c>
      <c r="AS38" s="24" t="inlineStr">
        <is>
          <t>mlb-mil</t>
        </is>
      </c>
      <c r="AT38" s="24" t="inlineStr">
        <is>
          <t>Milwaukee Brewers</t>
        </is>
      </c>
      <c r="AU38" s="24" t="inlineStr">
        <is>
          <t>Milwaukee Brewers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b3842f29fc9906ce</t>
        </is>
      </c>
      <c r="BF38" s="24" t="inlineStr">
        <is>
          <t>1</t>
        </is>
      </c>
      <c r="BG38" s="24" t="inlineStr">
        <is>
          <t>mlb-elo-trend-lr-v4</t>
        </is>
      </c>
      <c r="BH38" s="24" t="inlineStr">
        <is>
          <t>2026-07-20T17:14:58.905361Z</t>
        </is>
      </c>
      <c r="BI38" s="24" t="inlineStr">
        <is>
          <t>["same_event","same_team_same_day","same_league_same_day"]</t>
        </is>
      </c>
      <c r="BJ38" s="38" t="n"/>
      <c r="BK38" s="26" t="n">
        <v>-147</v>
      </c>
      <c r="BL38" s="39" t="n">
        <v>1.680272</v>
      </c>
      <c r="BM38" s="28" t="n">
        <v>0.5951419999999999</v>
      </c>
      <c r="BN38" s="28" t="n">
        <v>0.59204</v>
      </c>
      <c r="BO38" s="28" t="n"/>
      <c r="BP38" s="38" t="n"/>
      <c r="BQ38" s="39" t="n"/>
      <c r="BR38" s="28" t="n"/>
      <c r="BS38" s="28" t="n"/>
      <c r="BT38" s="28" t="n"/>
      <c r="BU38" s="38" t="n"/>
      <c r="BV38" s="29" t="n"/>
      <c r="BW38" s="24" t="n"/>
      <c r="BX38" s="40" t="n"/>
      <c r="BY38" s="39" t="n"/>
      <c r="BZ38" s="24" t="n"/>
      <c r="CA38" s="31" t="n"/>
    </row>
    <row r="39" ht="36" customHeight="1">
      <c r="A39" s="24" t="inlineStr">
        <is>
          <t>d4fba39d53894882</t>
        </is>
      </c>
      <c r="B39" s="24" t="inlineStr">
        <is>
          <t>2026-07-20T17:15:20.228896Z</t>
        </is>
      </c>
      <c r="C39" s="24" t="inlineStr">
        <is>
          <t>2026-07-21T20:05:00-0400</t>
        </is>
      </c>
      <c r="D39" s="24" t="inlineStr">
        <is>
          <t>401816208</t>
        </is>
      </c>
      <c r="E39" s="24" t="inlineStr">
        <is>
          <t>MLB</t>
        </is>
      </c>
      <c r="F39" s="24" t="inlineStr">
        <is>
          <t>Detroit Tigers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-113</v>
      </c>
      <c r="M39" s="39" t="n">
        <v>1.884956</v>
      </c>
      <c r="N39" s="28" t="n">
        <v>0.530516</v>
      </c>
      <c r="O39" s="28" t="n">
        <v>0.566967</v>
      </c>
      <c r="P39" s="28" t="n"/>
      <c r="Q39" s="28" t="n">
        <v>0.036451</v>
      </c>
      <c r="R39" s="26" t="n">
        <v>38</v>
      </c>
      <c r="S39" s="29" t="n">
        <v>1.25</v>
      </c>
      <c r="T39" s="24" t="inlineStr">
        <is>
          <t>mlb-elo-trend-lr-v4</t>
        </is>
      </c>
      <c r="U39" s="24" t="inlineStr">
        <is>
          <t>open</t>
        </is>
      </c>
      <c r="V39" s="24" t="n"/>
      <c r="W39" s="26" t="n"/>
      <c r="X39" s="26" t="n"/>
      <c r="Y39" s="38" t="n"/>
      <c r="Z39" s="26" t="n"/>
      <c r="AA39" s="28" t="n"/>
      <c r="AB39" s="28" t="n"/>
      <c r="AC39" s="40" t="n"/>
      <c r="AD39" s="24" t="n"/>
      <c r="AE39" s="31" t="inlineStr">
        <is>
          <t>Learned LR call at threshold 0.5500; executable ask 0.5300 (aec-mlb-det-chc-2026-07-21).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mlb-det</t>
        </is>
      </c>
      <c r="AQ39" s="24" t="inlineStr">
        <is>
          <t>Detroit Tigers</t>
        </is>
      </c>
      <c r="AR39" s="24" t="inlineStr">
        <is>
          <t>Detroit Tigers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ac77cab6921e81d4</t>
        </is>
      </c>
      <c r="BF39" s="24" t="inlineStr">
        <is>
          <t>1</t>
        </is>
      </c>
      <c r="BG39" s="24" t="inlineStr">
        <is>
          <t>mlb-elo-trend-lr-v4</t>
        </is>
      </c>
      <c r="BH39" s="24" t="inlineStr">
        <is>
          <t>2026-07-20T17:15:01.752155Z</t>
        </is>
      </c>
      <c r="BI39" s="24" t="inlineStr">
        <is>
          <t>["same_event","same_team_same_day","same_league_same_day"]</t>
        </is>
      </c>
      <c r="BJ39" s="38" t="n"/>
      <c r="BK39" s="26" t="n">
        <v>-113</v>
      </c>
      <c r="BL39" s="39" t="n">
        <v>1.884956</v>
      </c>
      <c r="BM39" s="28" t="n">
        <v>0.530516</v>
      </c>
      <c r="BN39" s="28" t="n">
        <v>0.527363</v>
      </c>
      <c r="BO39" s="28" t="n"/>
      <c r="BP39" s="38" t="n"/>
      <c r="BQ39" s="39" t="n"/>
      <c r="BR39" s="28" t="n"/>
      <c r="BS39" s="28" t="n"/>
      <c r="BT39" s="28" t="n"/>
      <c r="BU39" s="38" t="n"/>
      <c r="BV39" s="29" t="n"/>
      <c r="BW39" s="24" t="n"/>
      <c r="BX39" s="40" t="n"/>
      <c r="BY39" s="39" t="n"/>
      <c r="BZ39" s="24" t="n"/>
      <c r="CA39" s="31" t="n"/>
    </row>
    <row r="40" ht="36" customHeight="1">
      <c r="A40" s="24" t="inlineStr">
        <is>
          <t>52731564c1734162</t>
        </is>
      </c>
      <c r="B40" s="24" t="inlineStr">
        <is>
          <t>2026-07-20T17:15:20.228896Z</t>
        </is>
      </c>
      <c r="C40" s="24" t="inlineStr">
        <is>
          <t>2026-07-21T20:40:00-0400</t>
        </is>
      </c>
      <c r="D40" s="24" t="inlineStr">
        <is>
          <t>401816212</t>
        </is>
      </c>
      <c r="E40" s="24" t="inlineStr">
        <is>
          <t>MLB</t>
        </is>
      </c>
      <c r="F40" s="24" t="inlineStr">
        <is>
          <t>Washington Nationals</t>
        </is>
      </c>
      <c r="G40" s="24" t="inlineStr">
        <is>
          <t>Colorado Rockies</t>
        </is>
      </c>
      <c r="H40" s="24" t="inlineStr">
        <is>
          <t>moneyline</t>
        </is>
      </c>
      <c r="I40" s="24" t="inlineStr">
        <is>
          <t>away</t>
        </is>
      </c>
      <c r="J40" s="38" t="n"/>
      <c r="K40" s="24" t="inlineStr">
        <is>
          <t>polymarket_us</t>
        </is>
      </c>
      <c r="L40" s="26" t="n">
        <v>104</v>
      </c>
      <c r="M40" s="39" t="n">
        <v>2.04</v>
      </c>
      <c r="N40" s="28" t="n">
        <v>0.490196</v>
      </c>
      <c r="O40" s="28" t="n">
        <v>0.5563709999999999</v>
      </c>
      <c r="P40" s="28" t="n"/>
      <c r="Q40" s="28" t="n">
        <v>0.066175</v>
      </c>
      <c r="R40" s="26" t="n">
        <v>53</v>
      </c>
      <c r="S40" s="29" t="n">
        <v>1</v>
      </c>
      <c r="T40" s="24" t="inlineStr">
        <is>
          <t>mlb-elo-trend-lr-v4</t>
        </is>
      </c>
      <c r="U40" s="24" t="inlineStr">
        <is>
          <t>open</t>
        </is>
      </c>
      <c r="V40" s="24" t="n"/>
      <c r="W40" s="26" t="n"/>
      <c r="X40" s="26" t="n"/>
      <c r="Y40" s="38" t="n"/>
      <c r="Z40" s="26" t="n"/>
      <c r="AA40" s="28" t="n"/>
      <c r="AB40" s="28" t="n"/>
      <c r="AC40" s="40" t="n"/>
      <c r="AD40" s="24" t="n"/>
      <c r="AE40" s="31" t="inlineStr">
        <is>
          <t>Learned LR call at threshold 0.5500; executable ask 0.4900 (aec-mlb-wsh-col-2026-07-21).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mlb-wsh</t>
        </is>
      </c>
      <c r="AQ40" s="24" t="inlineStr">
        <is>
          <t>Washington Nationals</t>
        </is>
      </c>
      <c r="AR40" s="24" t="inlineStr">
        <is>
          <t>Washington Nationals</t>
        </is>
      </c>
      <c r="AS40" s="24" t="inlineStr">
        <is>
          <t>mlb-col</t>
        </is>
      </c>
      <c r="AT40" s="24" t="inlineStr">
        <is>
          <t>Colorado Rockies</t>
        </is>
      </c>
      <c r="AU40" s="24" t="inlineStr">
        <is>
          <t>Colorado Rockies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398815bb9dc03ea8</t>
        </is>
      </c>
      <c r="BF40" s="24" t="inlineStr">
        <is>
          <t>1</t>
        </is>
      </c>
      <c r="BG40" s="24" t="inlineStr">
        <is>
          <t>mlb-elo-trend-lr-v4</t>
        </is>
      </c>
      <c r="BH40" s="24" t="inlineStr">
        <is>
          <t>2026-07-20T17:15:04.006935Z</t>
        </is>
      </c>
      <c r="BI40" s="24" t="inlineStr">
        <is>
          <t>["same_event","same_team_same_day","same_league_same_day"]</t>
        </is>
      </c>
      <c r="BJ40" s="38" t="n"/>
      <c r="BK40" s="26" t="n">
        <v>104</v>
      </c>
      <c r="BL40" s="39" t="n">
        <v>2.04</v>
      </c>
      <c r="BM40" s="28" t="n">
        <v>0.490196</v>
      </c>
      <c r="BN40" s="28" t="n">
        <v>0.487562</v>
      </c>
      <c r="BO40" s="28" t="n"/>
      <c r="BP40" s="38" t="n"/>
      <c r="BQ40" s="39" t="n"/>
      <c r="BR40" s="28" t="n"/>
      <c r="BS40" s="28" t="n"/>
      <c r="BT40" s="28" t="n"/>
      <c r="BU40" s="38" t="n"/>
      <c r="BV40" s="29" t="n"/>
      <c r="BW40" s="24" t="n"/>
      <c r="BX40" s="40" t="n"/>
      <c r="BY40" s="39" t="n"/>
      <c r="BZ40" s="24" t="n"/>
      <c r="CA40" s="31" t="n"/>
    </row>
    <row r="41" ht="36" customHeight="1">
      <c r="A41" s="24" t="inlineStr">
        <is>
          <t>4a8e6cdea47f4a8a</t>
        </is>
      </c>
      <c r="B41" s="24" t="inlineStr">
        <is>
          <t>2026-07-20T17:15:20.228896Z</t>
        </is>
      </c>
      <c r="C41" s="24" t="inlineStr">
        <is>
          <t>2026-07-21T21:40:00-0400</t>
        </is>
      </c>
      <c r="D41" s="24" t="inlineStr">
        <is>
          <t>401816214</t>
        </is>
      </c>
      <c r="E41" s="24" t="inlineStr">
        <is>
          <t>MLB</t>
        </is>
      </c>
      <c r="F41" s="24" t="inlineStr">
        <is>
          <t>Cincinnati Reds</t>
        </is>
      </c>
      <c r="G41" s="24" t="inlineStr">
        <is>
          <t>Seattle Mariners</t>
        </is>
      </c>
      <c r="H41" s="24" t="inlineStr">
        <is>
          <t>moneyline</t>
        </is>
      </c>
      <c r="I41" s="24" t="inlineStr">
        <is>
          <t>home</t>
        </is>
      </c>
      <c r="J41" s="38" t="n"/>
      <c r="K41" s="24" t="inlineStr">
        <is>
          <t>polymarket_us</t>
        </is>
      </c>
      <c r="L41" s="26" t="n">
        <v>-113</v>
      </c>
      <c r="M41" s="39" t="n">
        <v>1.884956</v>
      </c>
      <c r="N41" s="28" t="n">
        <v>0.530516</v>
      </c>
      <c r="O41" s="28" t="n">
        <v>0.592852</v>
      </c>
      <c r="P41" s="28" t="n"/>
      <c r="Q41" s="28" t="n">
        <v>0.062336</v>
      </c>
      <c r="R41" s="26" t="n">
        <v>51</v>
      </c>
      <c r="S41" s="29" t="n">
        <v>1.5</v>
      </c>
      <c r="T41" s="24" t="inlineStr">
        <is>
          <t>mlb-elo-trend-lr-v4</t>
        </is>
      </c>
      <c r="U41" s="24" t="inlineStr">
        <is>
          <t>open</t>
        </is>
      </c>
      <c r="V41" s="24" t="n"/>
      <c r="W41" s="26" t="n"/>
      <c r="X41" s="26" t="n"/>
      <c r="Y41" s="38" t="n"/>
      <c r="Z41" s="26" t="n"/>
      <c r="AA41" s="28" t="n"/>
      <c r="AB41" s="28" t="n"/>
      <c r="AC41" s="40" t="n"/>
      <c r="AD41" s="24" t="n"/>
      <c r="AE41" s="31" t="inlineStr">
        <is>
          <t>Learned LR call at threshold 0.5500; executable ask 0.5300 (aec-mlb-cin-sea-2026-07-21).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mlb-cin</t>
        </is>
      </c>
      <c r="AQ41" s="24" t="inlineStr">
        <is>
          <t>Cincinnati Reds</t>
        </is>
      </c>
      <c r="AR41" s="24" t="inlineStr">
        <is>
          <t>Cincinnati Reds</t>
        </is>
      </c>
      <c r="AS41" s="24" t="inlineStr">
        <is>
          <t>mlb-sea</t>
        </is>
      </c>
      <c r="AT41" s="24" t="inlineStr">
        <is>
          <t>Seattle Mariners</t>
        </is>
      </c>
      <c r="AU41" s="24" t="inlineStr">
        <is>
          <t>Seattle Mariners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5c7208cbf934ad36</t>
        </is>
      </c>
      <c r="BF41" s="24" t="inlineStr">
        <is>
          <t>1</t>
        </is>
      </c>
      <c r="BG41" s="24" t="inlineStr">
        <is>
          <t>mlb-elo-trend-lr-v4</t>
        </is>
      </c>
      <c r="BH41" s="24" t="inlineStr">
        <is>
          <t>2026-07-20T17:15:06.161452Z</t>
        </is>
      </c>
      <c r="BI41" s="24" t="inlineStr">
        <is>
          <t>["same_event","same_team_same_day","same_league_same_day"]</t>
        </is>
      </c>
      <c r="BJ41" s="38" t="n"/>
      <c r="BK41" s="26" t="n">
        <v>-113</v>
      </c>
      <c r="BL41" s="39" t="n">
        <v>1.884956</v>
      </c>
      <c r="BM41" s="28" t="n">
        <v>0.530516</v>
      </c>
      <c r="BN41" s="28" t="n">
        <v>0.527363</v>
      </c>
      <c r="BO41" s="28" t="n"/>
      <c r="BP41" s="38" t="n"/>
      <c r="BQ41" s="39" t="n"/>
      <c r="BR41" s="28" t="n"/>
      <c r="BS41" s="28" t="n"/>
      <c r="BT41" s="28" t="n"/>
      <c r="BU41" s="38" t="n"/>
      <c r="BV41" s="29" t="n"/>
      <c r="BW41" s="24" t="n"/>
      <c r="BX41" s="40" t="n"/>
      <c r="BY41" s="39" t="n"/>
      <c r="BZ41" s="24" t="n"/>
      <c r="CA41" s="31" t="n"/>
    </row>
    <row r="42" ht="36" customHeight="1">
      <c r="A42" s="24" t="inlineStr">
        <is>
          <t>fcdcb914359a4eda</t>
        </is>
      </c>
      <c r="B42" s="24" t="inlineStr">
        <is>
          <t>2026-07-20T23:55:04.721086Z</t>
        </is>
      </c>
      <c r="C42" s="24" t="inlineStr">
        <is>
          <t>2026-07-21T00:00:00Z</t>
        </is>
      </c>
      <c r="D42" s="24" t="inlineStr">
        <is>
          <t>54745</t>
        </is>
      </c>
      <c r="E42" s="24" t="inlineStr">
        <is>
          <t>LOL</t>
        </is>
      </c>
      <c r="F42" s="24" t="inlineStr">
        <is>
          <t>paiN Gaming Academy</t>
        </is>
      </c>
      <c r="G42" s="24" t="inlineStr">
        <is>
          <t>Estral Esports</t>
        </is>
      </c>
      <c r="H42" s="24" t="inlineStr">
        <is>
          <t>moneyline</t>
        </is>
      </c>
      <c r="I42" s="24" t="inlineStr">
        <is>
          <t>away</t>
        </is>
      </c>
      <c r="J42" s="38" t="n"/>
      <c r="K42" s="24" t="inlineStr">
        <is>
          <t>polymarket_us</t>
        </is>
      </c>
      <c r="L42" s="26" t="n">
        <v>203</v>
      </c>
      <c r="M42" s="39" t="n">
        <v>3.03</v>
      </c>
      <c r="N42" s="28" t="n">
        <v>0.330033</v>
      </c>
      <c r="O42" s="28" t="n">
        <v>0.619265</v>
      </c>
      <c r="P42" s="28" t="n"/>
      <c r="Q42" s="28" t="n">
        <v>0.289265</v>
      </c>
      <c r="R42" s="26" t="n">
        <v>100</v>
      </c>
      <c r="S42" s="29" t="n">
        <v>1.75</v>
      </c>
      <c r="T42" s="24" t="inlineStr">
        <is>
          <t>lol-neutral-series-elo-v1</t>
        </is>
      </c>
      <c r="U42" s="24" t="inlineStr">
        <is>
          <t>open</t>
        </is>
      </c>
      <c r="V42" s="24" t="n"/>
      <c r="W42" s="26" t="n"/>
      <c r="X42" s="26" t="n"/>
      <c r="Y42" s="38" t="n"/>
      <c r="Z42" s="26" t="n"/>
      <c r="AA42" s="28" t="n"/>
      <c r="AB42" s="28" t="n"/>
      <c r="AC42" s="40" t="n"/>
      <c r="AD42" s="24" t="n"/>
      <c r="AE42" s="31" t="inlineStr">
        <is>
          <t>Neutral Elo baseline; executable ask 0.3300 (aec-lol-est-pnga-2026-07-21).</t>
        </is>
      </c>
      <c r="AF42" s="31" t="inlineStr">
        <is>
          <t>Research baseline; zero-unit shadow until qualified.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paiN Gaming Academy</t>
        </is>
      </c>
      <c r="AQ42" s="24" t="inlineStr">
        <is>
          <t>paiN Gaming Academy</t>
        </is>
      </c>
      <c r="AR42" s="24" t="inlineStr">
        <is>
          <t>paiN Gaming Academy</t>
        </is>
      </c>
      <c r="AS42" s="24" t="inlineStr">
        <is>
          <t>Estral Esports</t>
        </is>
      </c>
      <c r="AT42" s="24" t="inlineStr">
        <is>
          <t>Estral Esports</t>
        </is>
      </c>
      <c r="AU42" s="24" t="inlineStr">
        <is>
          <t>Estral Esports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82612f1b27d5065af8d70fd6669509ff00dc1c7e3a91bb423192bf3b0a9736ce</t>
        </is>
      </c>
      <c r="BB42" s="24" t="inlineStr">
        <is>
          <t>neutral_elo</t>
        </is>
      </c>
      <c r="BC42" s="24" t="inlineStr">
        <is>
          <t>lol-neutral-series-elo-v1</t>
        </is>
      </c>
      <c r="BD42" s="24" t="inlineStr">
        <is>
          <t>82612f1b27d5065af8d70fd6669509ff00dc1c7e3a91bb423192bf3b0a9736ce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unknown</t>
        </is>
      </c>
      <c r="BH42" s="24" t="inlineStr">
        <is>
          <t>2026-07-20T23:55:04.721086Z</t>
        </is>
      </c>
      <c r="BI42" s="24" t="inlineStr">
        <is>
          <t>["same_event","same_team_same_day","same_league_same_day"]</t>
        </is>
      </c>
      <c r="BJ42" s="38" t="n"/>
      <c r="BK42" s="26" t="n">
        <v>203</v>
      </c>
      <c r="BL42" s="39" t="n">
        <v>3.03</v>
      </c>
      <c r="BM42" s="28" t="n">
        <v>0.330033</v>
      </c>
      <c r="BN42" s="28" t="n"/>
      <c r="BO42" s="28" t="n"/>
      <c r="BP42" s="38" t="n"/>
      <c r="BQ42" s="39" t="n"/>
      <c r="BR42" s="28" t="n"/>
      <c r="BS42" s="28" t="n"/>
      <c r="BT42" s="28" t="n"/>
      <c r="BU42" s="38" t="n"/>
      <c r="BV42" s="29" t="n"/>
      <c r="BW42" s="24" t="n"/>
      <c r="BX42" s="40" t="n"/>
      <c r="BY42" s="39" t="n"/>
      <c r="BZ42" s="24" t="n"/>
      <c r="CA42" s="31" t="n"/>
    </row>
    <row r="43" ht="36" customHeight="1">
      <c r="A43" s="24" t="inlineStr">
        <is>
          <t>eda357b25fa14ae7</t>
        </is>
      </c>
      <c r="B43" s="24" t="inlineStr">
        <is>
          <t>2026-07-20T23:55:04.938091Z</t>
        </is>
      </c>
      <c r="C43" s="24" t="inlineStr">
        <is>
          <t>2026-07-21T06:00:00Z</t>
        </is>
      </c>
      <c r="D43" s="24" t="inlineStr">
        <is>
          <t>54870</t>
        </is>
      </c>
      <c r="E43" s="24" t="inlineStr">
        <is>
          <t>LOL</t>
        </is>
      </c>
      <c r="F43" s="24" t="inlineStr">
        <is>
          <t>Hanwha Life Esports</t>
        </is>
      </c>
      <c r="G43" s="24" t="inlineStr">
        <is>
          <t>Gen.G</t>
        </is>
      </c>
      <c r="H43" s="24" t="inlineStr">
        <is>
          <t>moneyline</t>
        </is>
      </c>
      <c r="I43" s="24" t="inlineStr">
        <is>
          <t>home</t>
        </is>
      </c>
      <c r="J43" s="38" t="n"/>
      <c r="K43" s="24" t="inlineStr">
        <is>
          <t>polymarket_us</t>
        </is>
      </c>
      <c r="L43" s="26" t="n">
        <v>100</v>
      </c>
      <c r="M43" s="39" t="n">
        <v>2</v>
      </c>
      <c r="N43" s="28" t="n">
        <v>0.5</v>
      </c>
      <c r="O43" s="28" t="n">
        <v>0.685001</v>
      </c>
      <c r="P43" s="28" t="n"/>
      <c r="Q43" s="28" t="n">
        <v>0.185001</v>
      </c>
      <c r="R43" s="26" t="n">
        <v>100</v>
      </c>
      <c r="S43" s="29" t="n">
        <v>2</v>
      </c>
      <c r="T43" s="24" t="inlineStr">
        <is>
          <t>lol-neutral-series-elo-v1</t>
        </is>
      </c>
      <c r="U43" s="24" t="inlineStr">
        <is>
          <t>open</t>
        </is>
      </c>
      <c r="V43" s="24" t="n"/>
      <c r="W43" s="26" t="n"/>
      <c r="X43" s="26" t="n"/>
      <c r="Y43" s="38" t="n"/>
      <c r="Z43" s="26" t="n"/>
      <c r="AA43" s="28" t="n"/>
      <c r="AB43" s="28" t="n"/>
      <c r="AC43" s="40" t="n"/>
      <c r="AD43" s="24" t="n"/>
      <c r="AE43" s="31" t="inlineStr">
        <is>
          <t>Neutral Elo baseline; executable ask 0.5000 (aec-lol-gen-hle-2026-07-21).</t>
        </is>
      </c>
      <c r="AF43" s="31" t="inlineStr">
        <is>
          <t>Research baseline; zero-unit shadow until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Hanwha Life Esports</t>
        </is>
      </c>
      <c r="AQ43" s="24" t="inlineStr">
        <is>
          <t>Hanwha Life Esports</t>
        </is>
      </c>
      <c r="AR43" s="24" t="inlineStr">
        <is>
          <t>Hanwha Life Esports</t>
        </is>
      </c>
      <c r="AS43" s="24" t="inlineStr">
        <is>
          <t>Gen.G</t>
        </is>
      </c>
      <c r="AT43" s="24" t="inlineStr">
        <is>
          <t>Gen.G</t>
        </is>
      </c>
      <c r="AU43" s="24" t="inlineStr">
        <is>
          <t>Gen.G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82612f1b27d5065af8d70fd6669509ff00dc1c7e3a91bb423192bf3b0a9736ce</t>
        </is>
      </c>
      <c r="BB43" s="24" t="inlineStr">
        <is>
          <t>neutral_elo</t>
        </is>
      </c>
      <c r="BC43" s="24" t="inlineStr">
        <is>
          <t>lol-neutral-series-elo-v1</t>
        </is>
      </c>
      <c r="BD43" s="24" t="inlineStr">
        <is>
          <t>82612f1b27d5065af8d70fd6669509ff00dc1c7e3a91bb423192bf3b0a9736ce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unknown</t>
        </is>
      </c>
      <c r="BH43" s="24" t="inlineStr">
        <is>
          <t>2026-07-20T23:55:04.938091Z</t>
        </is>
      </c>
      <c r="BI43" s="24" t="inlineStr">
        <is>
          <t>["same_event","same_team_same_day","same_league_same_day"]</t>
        </is>
      </c>
      <c r="BJ43" s="38" t="n"/>
      <c r="BK43" s="26" t="n">
        <v>100</v>
      </c>
      <c r="BL43" s="39" t="n">
        <v>2</v>
      </c>
      <c r="BM43" s="28" t="n">
        <v>0.5</v>
      </c>
      <c r="BN43" s="28" t="n"/>
      <c r="BO43" s="28" t="n"/>
      <c r="BP43" s="38" t="n"/>
      <c r="BQ43" s="39" t="n"/>
      <c r="BR43" s="28" t="n"/>
      <c r="BS43" s="28" t="n"/>
      <c r="BT43" s="28" t="n"/>
      <c r="BU43" s="38" t="n"/>
      <c r="BV43" s="29" t="n"/>
      <c r="BW43" s="24" t="n"/>
      <c r="BX43" s="40" t="n"/>
      <c r="BY43" s="39" t="n"/>
      <c r="BZ43" s="24" t="n"/>
      <c r="CA43" s="31" t="n"/>
    </row>
    <row r="44" ht="36" customHeight="1">
      <c r="A44" s="24" t="inlineStr">
        <is>
          <t>a9ca1cd5b3634dfe</t>
        </is>
      </c>
      <c r="B44" s="24" t="inlineStr">
        <is>
          <t>2026-07-20T23:55:05.148841Z</t>
        </is>
      </c>
      <c r="C44" s="24" t="inlineStr">
        <is>
          <t>2026-07-21T06:45:00Z</t>
        </is>
      </c>
      <c r="D44" s="24" t="inlineStr">
        <is>
          <t>54872</t>
        </is>
      </c>
      <c r="E44" s="24" t="inlineStr">
        <is>
          <t>LOL</t>
        </is>
      </c>
      <c r="F44" s="24" t="inlineStr">
        <is>
          <t>Dplus KIA</t>
        </is>
      </c>
      <c r="G44" s="24" t="inlineStr">
        <is>
          <t>BNK FEARX</t>
        </is>
      </c>
      <c r="H44" s="24" t="inlineStr">
        <is>
          <t>moneyline</t>
        </is>
      </c>
      <c r="I44" s="24" t="inlineStr">
        <is>
          <t>away</t>
        </is>
      </c>
      <c r="J44" s="38" t="n"/>
      <c r="K44" s="24" t="inlineStr">
        <is>
          <t>polymarket_us</t>
        </is>
      </c>
      <c r="L44" s="26" t="n">
        <v>-186</v>
      </c>
      <c r="M44" s="39" t="n">
        <v>1.537634</v>
      </c>
      <c r="N44" s="28" t="n">
        <v>0.65035</v>
      </c>
      <c r="O44" s="28" t="n">
        <v>0.743682</v>
      </c>
      <c r="P44" s="28" t="n"/>
      <c r="Q44" s="28" t="n">
        <v>0.093682</v>
      </c>
      <c r="R44" s="26" t="n">
        <v>93</v>
      </c>
      <c r="S44" s="29" t="n">
        <v>2</v>
      </c>
      <c r="T44" s="24" t="inlineStr">
        <is>
          <t>lol-neutral-series-elo-v1</t>
        </is>
      </c>
      <c r="U44" s="24" t="inlineStr">
        <is>
          <t>open</t>
        </is>
      </c>
      <c r="V44" s="24" t="n"/>
      <c r="W44" s="26" t="n"/>
      <c r="X44" s="26" t="n"/>
      <c r="Y44" s="38" t="n"/>
      <c r="Z44" s="26" t="n"/>
      <c r="AA44" s="28" t="n"/>
      <c r="AB44" s="28" t="n"/>
      <c r="AC44" s="40" t="n"/>
      <c r="AD44" s="24" t="n"/>
      <c r="AE44" s="31" t="inlineStr">
        <is>
          <t>Neutral Elo baseline; executable ask 0.6500 (aec-lol-bfx-dk-2026-07-21).</t>
        </is>
      </c>
      <c r="AF44" s="31" t="inlineStr">
        <is>
          <t>Research baseline; zero-unit shadow until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Dplus KIA</t>
        </is>
      </c>
      <c r="AQ44" s="24" t="inlineStr">
        <is>
          <t>Dplus KIA</t>
        </is>
      </c>
      <c r="AR44" s="24" t="inlineStr">
        <is>
          <t>Dplus KIA</t>
        </is>
      </c>
      <c r="AS44" s="24" t="inlineStr">
        <is>
          <t>BNK FEARX</t>
        </is>
      </c>
      <c r="AT44" s="24" t="inlineStr">
        <is>
          <t>BNK FEARX</t>
        </is>
      </c>
      <c r="AU44" s="24" t="inlineStr">
        <is>
          <t>BNK FEARX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82612f1b27d5065af8d70fd6669509ff00dc1c7e3a91bb423192bf3b0a9736ce</t>
        </is>
      </c>
      <c r="BB44" s="24" t="inlineStr">
        <is>
          <t>neutral_elo</t>
        </is>
      </c>
      <c r="BC44" s="24" t="inlineStr">
        <is>
          <t>lol-neutral-series-elo-v1</t>
        </is>
      </c>
      <c r="BD44" s="24" t="inlineStr">
        <is>
          <t>82612f1b27d5065af8d70fd6669509ff00dc1c7e3a91bb423192bf3b0a9736ce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unknown</t>
        </is>
      </c>
      <c r="BH44" s="24" t="inlineStr">
        <is>
          <t>2026-07-20T23:55:05.148841Z</t>
        </is>
      </c>
      <c r="BI44" s="24" t="inlineStr">
        <is>
          <t>["same_event","same_team_same_day","same_league_same_day"]</t>
        </is>
      </c>
      <c r="BJ44" s="38" t="n"/>
      <c r="BK44" s="26" t="n">
        <v>-186</v>
      </c>
      <c r="BL44" s="39" t="n">
        <v>1.537634</v>
      </c>
      <c r="BM44" s="28" t="n">
        <v>0.65035</v>
      </c>
      <c r="BN44" s="28" t="n"/>
      <c r="BO44" s="28" t="n"/>
      <c r="BP44" s="38" t="n"/>
      <c r="BQ44" s="39" t="n"/>
      <c r="BR44" s="28" t="n"/>
      <c r="BS44" s="28" t="n"/>
      <c r="BT44" s="28" t="n"/>
      <c r="BU44" s="38" t="n"/>
      <c r="BV44" s="29" t="n"/>
      <c r="BW44" s="24" t="n"/>
      <c r="BX44" s="40" t="n"/>
      <c r="BY44" s="39" t="n"/>
      <c r="BZ44" s="24" t="n"/>
      <c r="CA44" s="31" t="n"/>
    </row>
    <row r="45" ht="36" customHeight="1">
      <c r="A45" s="24" t="inlineStr">
        <is>
          <t>75188f3572ee4984</t>
        </is>
      </c>
      <c r="B45" s="24" t="inlineStr">
        <is>
          <t>2026-07-20T23:55:05.362117Z</t>
        </is>
      </c>
      <c r="C45" s="24" t="inlineStr">
        <is>
          <t>2026-07-21T07:30:00Z</t>
        </is>
      </c>
      <c r="D45" s="24" t="inlineStr">
        <is>
          <t>54874</t>
        </is>
      </c>
      <c r="E45" s="24" t="inlineStr">
        <is>
          <t>LOL</t>
        </is>
      </c>
      <c r="F45" s="24" t="inlineStr">
        <is>
          <t>T1</t>
        </is>
      </c>
      <c r="G45" s="24" t="inlineStr">
        <is>
          <t>Gen.G</t>
        </is>
      </c>
      <c r="H45" s="24" t="inlineStr">
        <is>
          <t>moneyline</t>
        </is>
      </c>
      <c r="I45" s="24" t="inlineStr">
        <is>
          <t>home</t>
        </is>
      </c>
      <c r="J45" s="38" t="n"/>
      <c r="K45" s="24" t="inlineStr">
        <is>
          <t>polymarket_us</t>
        </is>
      </c>
      <c r="L45" s="26" t="n">
        <v>117</v>
      </c>
      <c r="M45" s="39" t="n">
        <v>2.17</v>
      </c>
      <c r="N45" s="28" t="n">
        <v>0.460829</v>
      </c>
      <c r="O45" s="28" t="n">
        <v>0.708943</v>
      </c>
      <c r="P45" s="28" t="n"/>
      <c r="Q45" s="28" t="n">
        <v>0.248943</v>
      </c>
      <c r="R45" s="26" t="n">
        <v>100</v>
      </c>
      <c r="S45" s="29" t="n">
        <v>2</v>
      </c>
      <c r="T45" s="24" t="inlineStr">
        <is>
          <t>lol-neutral-series-elo-v1</t>
        </is>
      </c>
      <c r="U45" s="24" t="inlineStr">
        <is>
          <t>open</t>
        </is>
      </c>
      <c r="V45" s="24" t="n"/>
      <c r="W45" s="26" t="n"/>
      <c r="X45" s="26" t="n"/>
      <c r="Y45" s="38" t="n"/>
      <c r="Z45" s="26" t="n"/>
      <c r="AA45" s="28" t="n"/>
      <c r="AB45" s="28" t="n"/>
      <c r="AC45" s="40" t="n"/>
      <c r="AD45" s="24" t="n"/>
      <c r="AE45" s="31" t="inlineStr">
        <is>
          <t>Neutral Elo baseline; executable ask 0.4600 (aec-lol-gen-t1-2026-07-21).</t>
        </is>
      </c>
      <c r="AF45" s="31" t="inlineStr">
        <is>
          <t>Research baseline; zero-unit shadow until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T1</t>
        </is>
      </c>
      <c r="AQ45" s="24" t="inlineStr">
        <is>
          <t>T1</t>
        </is>
      </c>
      <c r="AR45" s="24" t="inlineStr">
        <is>
          <t>T1</t>
        </is>
      </c>
      <c r="AS45" s="24" t="inlineStr">
        <is>
          <t>Gen.G</t>
        </is>
      </c>
      <c r="AT45" s="24" t="inlineStr">
        <is>
          <t>Gen.G</t>
        </is>
      </c>
      <c r="AU45" s="24" t="inlineStr">
        <is>
          <t>Gen.G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82612f1b27d5065af8d70fd6669509ff00dc1c7e3a91bb423192bf3b0a9736ce</t>
        </is>
      </c>
      <c r="BB45" s="24" t="inlineStr">
        <is>
          <t>neutral_elo</t>
        </is>
      </c>
      <c r="BC45" s="24" t="inlineStr">
        <is>
          <t>lol-neutral-series-elo-v1</t>
        </is>
      </c>
      <c r="BD45" s="24" t="inlineStr">
        <is>
          <t>82612f1b27d5065af8d70fd6669509ff00dc1c7e3a91bb423192bf3b0a9736ce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unknown</t>
        </is>
      </c>
      <c r="BH45" s="24" t="inlineStr">
        <is>
          <t>2026-07-20T23:55:05.362117Z</t>
        </is>
      </c>
      <c r="BI45" s="24" t="inlineStr">
        <is>
          <t>["same_event","same_team_same_day","same_league_same_day"]</t>
        </is>
      </c>
      <c r="BJ45" s="38" t="n"/>
      <c r="BK45" s="26" t="n">
        <v>117</v>
      </c>
      <c r="BL45" s="39" t="n">
        <v>2.17</v>
      </c>
      <c r="BM45" s="28" t="n">
        <v>0.460829</v>
      </c>
      <c r="BN45" s="28" t="n"/>
      <c r="BO45" s="28" t="n"/>
      <c r="BP45" s="38" t="n"/>
      <c r="BQ45" s="39" t="n"/>
      <c r="BR45" s="28" t="n"/>
      <c r="BS45" s="28" t="n"/>
      <c r="BT45" s="28" t="n"/>
      <c r="BU45" s="38" t="n"/>
      <c r="BV45" s="29" t="n"/>
      <c r="BW45" s="24" t="n"/>
      <c r="BX45" s="40" t="n"/>
      <c r="BY45" s="39" t="n"/>
      <c r="BZ45" s="24" t="n"/>
      <c r="CA45" s="31" t="n"/>
    </row>
    <row r="46" ht="36" customHeight="1">
      <c r="A46" s="24" t="inlineStr">
        <is>
          <t>f383592a511a4604</t>
        </is>
      </c>
      <c r="B46" s="24" t="inlineStr">
        <is>
          <t>2026-07-20T23:55:05.646189Z</t>
        </is>
      </c>
      <c r="C46" s="24" t="inlineStr">
        <is>
          <t>2026-07-21T08:15:00Z</t>
        </is>
      </c>
      <c r="D46" s="24" t="inlineStr">
        <is>
          <t>54877</t>
        </is>
      </c>
      <c r="E46" s="24" t="inlineStr">
        <is>
          <t>LOL</t>
        </is>
      </c>
      <c r="F46" s="24" t="inlineStr">
        <is>
          <t>Dplus KIA</t>
        </is>
      </c>
      <c r="G46" s="24" t="inlineStr">
        <is>
          <t>KT Rolster</t>
        </is>
      </c>
      <c r="H46" s="24" t="inlineStr">
        <is>
          <t>moneyline</t>
        </is>
      </c>
      <c r="I46" s="24" t="inlineStr">
        <is>
          <t>away</t>
        </is>
      </c>
      <c r="J46" s="38" t="n"/>
      <c r="K46" s="24" t="inlineStr">
        <is>
          <t>polymarket_us</t>
        </is>
      </c>
      <c r="L46" s="26" t="n">
        <v>122</v>
      </c>
      <c r="M46" s="39" t="n">
        <v>2.22</v>
      </c>
      <c r="N46" s="28" t="n">
        <v>0.45045</v>
      </c>
      <c r="O46" s="28" t="n">
        <v>0.678236</v>
      </c>
      <c r="P46" s="28" t="n"/>
      <c r="Q46" s="28" t="n">
        <v>0.228236</v>
      </c>
      <c r="R46" s="26" t="n">
        <v>100</v>
      </c>
      <c r="S46" s="29" t="n">
        <v>2</v>
      </c>
      <c r="T46" s="24" t="inlineStr">
        <is>
          <t>lol-neutral-series-elo-v1</t>
        </is>
      </c>
      <c r="U46" s="24" t="inlineStr">
        <is>
          <t>open</t>
        </is>
      </c>
      <c r="V46" s="24" t="n"/>
      <c r="W46" s="26" t="n"/>
      <c r="X46" s="26" t="n"/>
      <c r="Y46" s="38" t="n"/>
      <c r="Z46" s="26" t="n"/>
      <c r="AA46" s="28" t="n"/>
      <c r="AB46" s="28" t="n"/>
      <c r="AC46" s="40" t="n"/>
      <c r="AD46" s="24" t="n"/>
      <c r="AE46" s="31" t="inlineStr">
        <is>
          <t>Neutral Elo baseline; executable ask 0.4500 (aec-lol-kt-dk-2026-07-21).</t>
        </is>
      </c>
      <c r="AF46" s="31" t="inlineStr">
        <is>
          <t>Research baseline; zero-unit shadow until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Dplus KIA</t>
        </is>
      </c>
      <c r="AQ46" s="24" t="inlineStr">
        <is>
          <t>Dplus KIA</t>
        </is>
      </c>
      <c r="AR46" s="24" t="inlineStr">
        <is>
          <t>Dplus KIA</t>
        </is>
      </c>
      <c r="AS46" s="24" t="inlineStr">
        <is>
          <t>KT Rolster</t>
        </is>
      </c>
      <c r="AT46" s="24" t="inlineStr">
        <is>
          <t>KT Rolster</t>
        </is>
      </c>
      <c r="AU46" s="24" t="inlineStr">
        <is>
          <t>KT Rolster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82612f1b27d5065af8d70fd6669509ff00dc1c7e3a91bb423192bf3b0a9736ce</t>
        </is>
      </c>
      <c r="BB46" s="24" t="inlineStr">
        <is>
          <t>neutral_elo</t>
        </is>
      </c>
      <c r="BC46" s="24" t="inlineStr">
        <is>
          <t>lol-neutral-series-elo-v1</t>
        </is>
      </c>
      <c r="BD46" s="24" t="inlineStr">
        <is>
          <t>82612f1b27d5065af8d70fd6669509ff00dc1c7e3a91bb423192bf3b0a9736ce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unknown</t>
        </is>
      </c>
      <c r="BH46" s="24" t="inlineStr">
        <is>
          <t>2026-07-20T23:55:05.646189Z</t>
        </is>
      </c>
      <c r="BI46" s="24" t="inlineStr">
        <is>
          <t>["same_event","same_team_same_day","same_league_same_day"]</t>
        </is>
      </c>
      <c r="BJ46" s="38" t="n"/>
      <c r="BK46" s="26" t="n">
        <v>122</v>
      </c>
      <c r="BL46" s="39" t="n">
        <v>2.22</v>
      </c>
      <c r="BM46" s="28" t="n">
        <v>0.45045</v>
      </c>
      <c r="BN46" s="28" t="n"/>
      <c r="BO46" s="28" t="n"/>
      <c r="BP46" s="38" t="n"/>
      <c r="BQ46" s="39" t="n"/>
      <c r="BR46" s="28" t="n"/>
      <c r="BS46" s="28" t="n"/>
      <c r="BT46" s="28" t="n"/>
      <c r="BU46" s="38" t="n"/>
      <c r="BV46" s="29" t="n"/>
      <c r="BW46" s="24" t="n"/>
      <c r="BX46" s="40" t="n"/>
      <c r="BY46" s="39" t="n"/>
      <c r="BZ46" s="24" t="n"/>
      <c r="CA46" s="31" t="n"/>
    </row>
    <row r="47" ht="36" customHeight="1">
      <c r="A47" s="24" t="inlineStr">
        <is>
          <t>b94c90f730bb4444</t>
        </is>
      </c>
      <c r="B47" s="24" t="inlineStr">
        <is>
          <t>2026-07-20T23:55:05.939827Z</t>
        </is>
      </c>
      <c r="C47" s="24" t="inlineStr">
        <is>
          <t>2026-07-21T09:00:00Z</t>
        </is>
      </c>
      <c r="D47" s="24" t="inlineStr">
        <is>
          <t>54883</t>
        </is>
      </c>
      <c r="E47" s="24" t="inlineStr">
        <is>
          <t>LOL</t>
        </is>
      </c>
      <c r="F47" s="24" t="inlineStr">
        <is>
          <t>Gen.G</t>
        </is>
      </c>
      <c r="G47" s="24" t="inlineStr">
        <is>
          <t>HANJIN BRION</t>
        </is>
      </c>
      <c r="H47" s="24" t="inlineStr">
        <is>
          <t>moneyline</t>
        </is>
      </c>
      <c r="I47" s="24" t="inlineStr">
        <is>
          <t>away</t>
        </is>
      </c>
      <c r="J47" s="38" t="n"/>
      <c r="K47" s="24" t="inlineStr">
        <is>
          <t>polymarket_us</t>
        </is>
      </c>
      <c r="L47" s="26" t="n">
        <v>100</v>
      </c>
      <c r="M47" s="39" t="n">
        <v>2</v>
      </c>
      <c r="N47" s="28" t="n">
        <v>0.5</v>
      </c>
      <c r="O47" s="28" t="n">
        <v>0.75</v>
      </c>
      <c r="P47" s="28" t="n"/>
      <c r="Q47" s="28" t="n">
        <v>0.25</v>
      </c>
      <c r="R47" s="26" t="n">
        <v>100</v>
      </c>
      <c r="S47" s="29" t="n">
        <v>2</v>
      </c>
      <c r="T47" s="24" t="inlineStr">
        <is>
          <t>lol-neutral-series-elo-v1</t>
        </is>
      </c>
      <c r="U47" s="24" t="inlineStr">
        <is>
          <t>open</t>
        </is>
      </c>
      <c r="V47" s="24" t="n"/>
      <c r="W47" s="26" t="n"/>
      <c r="X47" s="26" t="n"/>
      <c r="Y47" s="38" t="n"/>
      <c r="Z47" s="26" t="n"/>
      <c r="AA47" s="28" t="n"/>
      <c r="AB47" s="28" t="n"/>
      <c r="AC47" s="40" t="n"/>
      <c r="AD47" s="24" t="n"/>
      <c r="AE47" s="31" t="inlineStr">
        <is>
          <t>Neutral Elo baseline; executable ask 0.5000 (aec-lol-bro-gen-2026-07-21).</t>
        </is>
      </c>
      <c r="AF47" s="31" t="inlineStr">
        <is>
          <t>Research baseline; zero-unit shadow until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Gen.G</t>
        </is>
      </c>
      <c r="AQ47" s="24" t="inlineStr">
        <is>
          <t>Gen.G</t>
        </is>
      </c>
      <c r="AR47" s="24" t="inlineStr">
        <is>
          <t>Gen.G</t>
        </is>
      </c>
      <c r="AS47" s="24" t="inlineStr">
        <is>
          <t>HANJIN BRION</t>
        </is>
      </c>
      <c r="AT47" s="24" t="inlineStr">
        <is>
          <t>HANJIN BRION</t>
        </is>
      </c>
      <c r="AU47" s="24" t="inlineStr">
        <is>
          <t>HANJIN BRION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82612f1b27d5065af8d70fd6669509ff00dc1c7e3a91bb423192bf3b0a9736ce</t>
        </is>
      </c>
      <c r="BB47" s="24" t="inlineStr">
        <is>
          <t>neutral_elo</t>
        </is>
      </c>
      <c r="BC47" s="24" t="inlineStr">
        <is>
          <t>lol-neutral-series-elo-v1</t>
        </is>
      </c>
      <c r="BD47" s="24" t="inlineStr">
        <is>
          <t>82612f1b27d5065af8d70fd6669509ff00dc1c7e3a91bb423192bf3b0a9736ce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unknown</t>
        </is>
      </c>
      <c r="BH47" s="24" t="inlineStr">
        <is>
          <t>2026-07-20T23:55:05.939827Z</t>
        </is>
      </c>
      <c r="BI47" s="24" t="inlineStr">
        <is>
          <t>["same_event","same_team_same_day","same_league_same_day"]</t>
        </is>
      </c>
      <c r="BJ47" s="38" t="n"/>
      <c r="BK47" s="26" t="n">
        <v>100</v>
      </c>
      <c r="BL47" s="39" t="n">
        <v>2</v>
      </c>
      <c r="BM47" s="28" t="n">
        <v>0.5</v>
      </c>
      <c r="BN47" s="28" t="n"/>
      <c r="BO47" s="28" t="n"/>
      <c r="BP47" s="38" t="n"/>
      <c r="BQ47" s="39" t="n"/>
      <c r="BR47" s="28" t="n"/>
      <c r="BS47" s="28" t="n"/>
      <c r="BT47" s="28" t="n"/>
      <c r="BU47" s="38" t="n"/>
      <c r="BV47" s="29" t="n"/>
      <c r="BW47" s="24" t="n"/>
      <c r="BX47" s="40" t="n"/>
      <c r="BY47" s="39" t="n"/>
      <c r="BZ47" s="24" t="n"/>
      <c r="CA47" s="31" t="n"/>
    </row>
    <row r="48" ht="36" customHeight="1">
      <c r="A48" s="24" t="inlineStr">
        <is>
          <t>5bb4d8ca22ba48c4</t>
        </is>
      </c>
      <c r="B48" s="24" t="inlineStr">
        <is>
          <t>2026-07-20T23:55:06.432838Z</t>
        </is>
      </c>
      <c r="C48" s="24" t="inlineStr">
        <is>
          <t>2026-07-21T09:45:00Z</t>
        </is>
      </c>
      <c r="D48" s="24" t="inlineStr">
        <is>
          <t>54930</t>
        </is>
      </c>
      <c r="E48" s="24" t="inlineStr">
        <is>
          <t>LOL</t>
        </is>
      </c>
      <c r="F48" s="24" t="inlineStr">
        <is>
          <t>Nongshim Red Force</t>
        </is>
      </c>
      <c r="G48" s="24" t="inlineStr">
        <is>
          <t>Hanwha Life Esports</t>
        </is>
      </c>
      <c r="H48" s="24" t="inlineStr">
        <is>
          <t>moneyline</t>
        </is>
      </c>
      <c r="I48" s="24" t="inlineStr">
        <is>
          <t>home</t>
        </is>
      </c>
      <c r="J48" s="38" t="n"/>
      <c r="K48" s="24" t="inlineStr">
        <is>
          <t>polymarket_us</t>
        </is>
      </c>
      <c r="L48" s="26" t="n">
        <v>108</v>
      </c>
      <c r="M48" s="39" t="n">
        <v>2.08</v>
      </c>
      <c r="N48" s="28" t="n">
        <v>0.480769</v>
      </c>
      <c r="O48" s="28" t="n">
        <v>0.749995</v>
      </c>
      <c r="P48" s="28" t="n"/>
      <c r="Q48" s="28" t="n">
        <v>0.269995</v>
      </c>
      <c r="R48" s="26" t="n">
        <v>100</v>
      </c>
      <c r="S48" s="29" t="n">
        <v>2</v>
      </c>
      <c r="T48" s="24" t="inlineStr">
        <is>
          <t>lol-neutral-series-elo-v1</t>
        </is>
      </c>
      <c r="U48" s="24" t="inlineStr">
        <is>
          <t>open</t>
        </is>
      </c>
      <c r="V48" s="24" t="n"/>
      <c r="W48" s="26" t="n"/>
      <c r="X48" s="26" t="n"/>
      <c r="Y48" s="38" t="n"/>
      <c r="Z48" s="26" t="n"/>
      <c r="AA48" s="28" t="n"/>
      <c r="AB48" s="28" t="n"/>
      <c r="AC48" s="40" t="n"/>
      <c r="AD48" s="24" t="n"/>
      <c r="AE48" s="31" t="inlineStr">
        <is>
          <t>Neutral Elo baseline; executable ask 0.4800 (aec-lol-hle-ns-2026-07-21).</t>
        </is>
      </c>
      <c r="AF48" s="31" t="inlineStr">
        <is>
          <t>Research baseline; zero-unit shadow until qualified.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Nongshim Red Force</t>
        </is>
      </c>
      <c r="AQ48" s="24" t="inlineStr">
        <is>
          <t>Nongshim Red Force</t>
        </is>
      </c>
      <c r="AR48" s="24" t="inlineStr">
        <is>
          <t>Nongshim Red Force</t>
        </is>
      </c>
      <c r="AS48" s="24" t="inlineStr">
        <is>
          <t>Hanwha Life Esports</t>
        </is>
      </c>
      <c r="AT48" s="24" t="inlineStr">
        <is>
          <t>Hanwha Life Esports</t>
        </is>
      </c>
      <c r="AU48" s="24" t="inlineStr">
        <is>
          <t>Hanwha Life Esports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82612f1b27d5065af8d70fd6669509ff00dc1c7e3a91bb423192bf3b0a9736ce</t>
        </is>
      </c>
      <c r="BB48" s="24" t="inlineStr">
        <is>
          <t>neutral_elo</t>
        </is>
      </c>
      <c r="BC48" s="24" t="inlineStr">
        <is>
          <t>lol-neutral-series-elo-v1</t>
        </is>
      </c>
      <c r="BD48" s="24" t="inlineStr">
        <is>
          <t>82612f1b27d5065af8d70fd6669509ff00dc1c7e3a91bb423192bf3b0a9736ce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unknown</t>
        </is>
      </c>
      <c r="BH48" s="24" t="inlineStr">
        <is>
          <t>2026-07-20T23:55:06.432838Z</t>
        </is>
      </c>
      <c r="BI48" s="24" t="inlineStr">
        <is>
          <t>["same_event","same_team_same_day","same_league_same_day"]</t>
        </is>
      </c>
      <c r="BJ48" s="38" t="n"/>
      <c r="BK48" s="26" t="n">
        <v>108</v>
      </c>
      <c r="BL48" s="39" t="n">
        <v>2.08</v>
      </c>
      <c r="BM48" s="28" t="n">
        <v>0.480769</v>
      </c>
      <c r="BN48" s="28" t="n"/>
      <c r="BO48" s="28" t="n"/>
      <c r="BP48" s="38" t="n"/>
      <c r="BQ48" s="39" t="n"/>
      <c r="BR48" s="28" t="n"/>
      <c r="BS48" s="28" t="n"/>
      <c r="BT48" s="28" t="n"/>
      <c r="BU48" s="38" t="n"/>
      <c r="BV48" s="29" t="n"/>
      <c r="BW48" s="24" t="n"/>
      <c r="BX48" s="40" t="n"/>
      <c r="BY48" s="39" t="n"/>
      <c r="BZ48" s="24" t="n"/>
      <c r="CA48" s="31" t="n"/>
    </row>
    <row r="49" ht="36" customHeight="1">
      <c r="A49" s="24" t="inlineStr">
        <is>
          <t>6972fd0056ee42b4</t>
        </is>
      </c>
      <c r="B49" s="24" t="inlineStr">
        <is>
          <t>2026-07-20T23:55:06.659566Z</t>
        </is>
      </c>
      <c r="C49" s="24" t="inlineStr">
        <is>
          <t>2026-07-21T10:30:00Z</t>
        </is>
      </c>
      <c r="D49" s="24" t="inlineStr">
        <is>
          <t>54950</t>
        </is>
      </c>
      <c r="E49" s="24" t="inlineStr">
        <is>
          <t>LOL</t>
        </is>
      </c>
      <c r="F49" s="24" t="inlineStr">
        <is>
          <t>Kiwoom DRX</t>
        </is>
      </c>
      <c r="G49" s="24" t="inlineStr">
        <is>
          <t>T1</t>
        </is>
      </c>
      <c r="H49" s="24" t="inlineStr">
        <is>
          <t>moneyline</t>
        </is>
      </c>
      <c r="I49" s="24" t="inlineStr">
        <is>
          <t>home</t>
        </is>
      </c>
      <c r="J49" s="38" t="n"/>
      <c r="K49" s="24" t="inlineStr">
        <is>
          <t>polymarket_us</t>
        </is>
      </c>
      <c r="L49" s="26" t="n">
        <v>-133</v>
      </c>
      <c r="M49" s="39" t="n">
        <v>1.75188</v>
      </c>
      <c r="N49" s="28" t="n">
        <v>0.570815</v>
      </c>
      <c r="O49" s="28" t="n">
        <v>0.7499980000000001</v>
      </c>
      <c r="P49" s="28" t="n"/>
      <c r="Q49" s="28" t="n">
        <v>0.179998</v>
      </c>
      <c r="R49" s="26" t="n">
        <v>100</v>
      </c>
      <c r="S49" s="29" t="n">
        <v>2</v>
      </c>
      <c r="T49" s="24" t="inlineStr">
        <is>
          <t>lol-neutral-series-elo-v1</t>
        </is>
      </c>
      <c r="U49" s="24" t="inlineStr">
        <is>
          <t>open</t>
        </is>
      </c>
      <c r="V49" s="24" t="n"/>
      <c r="W49" s="26" t="n"/>
      <c r="X49" s="26" t="n"/>
      <c r="Y49" s="38" t="n"/>
      <c r="Z49" s="26" t="n"/>
      <c r="AA49" s="28" t="n"/>
      <c r="AB49" s="28" t="n"/>
      <c r="AC49" s="40" t="n"/>
      <c r="AD49" s="24" t="n"/>
      <c r="AE49" s="31" t="inlineStr">
        <is>
          <t>Neutral Elo baseline; executable ask 0.5700 (aec-lol-t1-krx-2026-07-21).</t>
        </is>
      </c>
      <c r="AF49" s="31" t="inlineStr">
        <is>
          <t>Research baseline; zero-unit shadow until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Kiwoom DRX</t>
        </is>
      </c>
      <c r="AQ49" s="24" t="inlineStr">
        <is>
          <t>Kiwoom DRX</t>
        </is>
      </c>
      <c r="AR49" s="24" t="inlineStr">
        <is>
          <t>Kiwoom DRX</t>
        </is>
      </c>
      <c r="AS49" s="24" t="inlineStr">
        <is>
          <t>T1</t>
        </is>
      </c>
      <c r="AT49" s="24" t="inlineStr">
        <is>
          <t>T1</t>
        </is>
      </c>
      <c r="AU49" s="24" t="inlineStr">
        <is>
          <t>T1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82612f1b27d5065af8d70fd6669509ff00dc1c7e3a91bb423192bf3b0a9736ce</t>
        </is>
      </c>
      <c r="BB49" s="24" t="inlineStr">
        <is>
          <t>neutral_elo</t>
        </is>
      </c>
      <c r="BC49" s="24" t="inlineStr">
        <is>
          <t>lol-neutral-series-elo-v1</t>
        </is>
      </c>
      <c r="BD49" s="24" t="inlineStr">
        <is>
          <t>82612f1b27d5065af8d70fd6669509ff00dc1c7e3a91bb423192bf3b0a9736ce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unknown</t>
        </is>
      </c>
      <c r="BH49" s="24" t="inlineStr">
        <is>
          <t>2026-07-20T23:55:06.659566Z</t>
        </is>
      </c>
      <c r="BI49" s="24" t="inlineStr">
        <is>
          <t>["same_event","same_team_same_day","same_league_same_day"]</t>
        </is>
      </c>
      <c r="BJ49" s="38" t="n"/>
      <c r="BK49" s="26" t="n">
        <v>-133</v>
      </c>
      <c r="BL49" s="39" t="n">
        <v>1.75188</v>
      </c>
      <c r="BM49" s="28" t="n">
        <v>0.570815</v>
      </c>
      <c r="BN49" s="28" t="n"/>
      <c r="BO49" s="28" t="n"/>
      <c r="BP49" s="38" t="n"/>
      <c r="BQ49" s="39" t="n"/>
      <c r="BR49" s="28" t="n"/>
      <c r="BS49" s="28" t="n"/>
      <c r="BT49" s="28" t="n"/>
      <c r="BU49" s="38" t="n"/>
      <c r="BV49" s="29" t="n"/>
      <c r="BW49" s="24" t="n"/>
      <c r="BX49" s="40" t="n"/>
      <c r="BY49" s="39" t="n"/>
      <c r="BZ49" s="24" t="n"/>
      <c r="CA49" s="31" t="n"/>
    </row>
    <row r="50" ht="36" customHeight="1">
      <c r="A50" s="24" t="inlineStr">
        <is>
          <t>916521591ef04b74</t>
        </is>
      </c>
      <c r="B50" s="24" t="inlineStr">
        <is>
          <t>2026-07-20T23:55:06.890172Z</t>
        </is>
      </c>
      <c r="C50" s="24" t="inlineStr">
        <is>
          <t>2026-07-21T11:15:00Z</t>
        </is>
      </c>
      <c r="D50" s="24" t="inlineStr">
        <is>
          <t>54961</t>
        </is>
      </c>
      <c r="E50" s="24" t="inlineStr">
        <is>
          <t>LOL</t>
        </is>
      </c>
      <c r="F50" s="24" t="inlineStr">
        <is>
          <t>DN SOOPers</t>
        </is>
      </c>
      <c r="G50" s="24" t="inlineStr">
        <is>
          <t>Hanwha Life Esports</t>
        </is>
      </c>
      <c r="H50" s="24" t="inlineStr">
        <is>
          <t>moneyline</t>
        </is>
      </c>
      <c r="I50" s="24" t="inlineStr">
        <is>
          <t>home</t>
        </is>
      </c>
      <c r="J50" s="38" t="n"/>
      <c r="K50" s="24" t="inlineStr">
        <is>
          <t>polymarket_us</t>
        </is>
      </c>
      <c r="L50" s="26" t="n">
        <v>-113</v>
      </c>
      <c r="M50" s="39" t="n">
        <v>1.884956</v>
      </c>
      <c r="N50" s="28" t="n">
        <v>0.530516</v>
      </c>
      <c r="O50" s="28" t="n">
        <v>0.75</v>
      </c>
      <c r="P50" s="28" t="n"/>
      <c r="Q50" s="28" t="n">
        <v>0.22</v>
      </c>
      <c r="R50" s="26" t="n">
        <v>100</v>
      </c>
      <c r="S50" s="29" t="n">
        <v>2</v>
      </c>
      <c r="T50" s="24" t="inlineStr">
        <is>
          <t>lol-neutral-series-elo-v1</t>
        </is>
      </c>
      <c r="U50" s="24" t="inlineStr">
        <is>
          <t>open</t>
        </is>
      </c>
      <c r="V50" s="24" t="n"/>
      <c r="W50" s="26" t="n"/>
      <c r="X50" s="26" t="n"/>
      <c r="Y50" s="38" t="n"/>
      <c r="Z50" s="26" t="n"/>
      <c r="AA50" s="28" t="n"/>
      <c r="AB50" s="28" t="n"/>
      <c r="AC50" s="40" t="n"/>
      <c r="AD50" s="24" t="n"/>
      <c r="AE50" s="31" t="inlineStr">
        <is>
          <t>Neutral Elo baseline; executable ask 0.5300 (aec-lol-hle-dns-2026-07-21).</t>
        </is>
      </c>
      <c r="AF50" s="31" t="inlineStr">
        <is>
          <t>Research baseline; zero-unit shadow until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DN SOOPers</t>
        </is>
      </c>
      <c r="AQ50" s="24" t="inlineStr">
        <is>
          <t>DN SOOPers</t>
        </is>
      </c>
      <c r="AR50" s="24" t="inlineStr">
        <is>
          <t>DN SOOPers</t>
        </is>
      </c>
      <c r="AS50" s="24" t="inlineStr">
        <is>
          <t>Hanwha Life Esports</t>
        </is>
      </c>
      <c r="AT50" s="24" t="inlineStr">
        <is>
          <t>Hanwha Life Esports</t>
        </is>
      </c>
      <c r="AU50" s="24" t="inlineStr">
        <is>
          <t>Hanwha Life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82612f1b27d5065af8d70fd6669509ff00dc1c7e3a91bb423192bf3b0a9736ce</t>
        </is>
      </c>
      <c r="BB50" s="24" t="inlineStr">
        <is>
          <t>neutral_elo</t>
        </is>
      </c>
      <c r="BC50" s="24" t="inlineStr">
        <is>
          <t>lol-neutral-series-elo-v1</t>
        </is>
      </c>
      <c r="BD50" s="24" t="inlineStr">
        <is>
          <t>82612f1b27d5065af8d70fd6669509ff00dc1c7e3a91bb423192bf3b0a9736ce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unknown</t>
        </is>
      </c>
      <c r="BH50" s="24" t="inlineStr">
        <is>
          <t>2026-07-20T23:55:06.890172Z</t>
        </is>
      </c>
      <c r="BI50" s="24" t="inlineStr">
        <is>
          <t>["same_event","same_team_same_day","same_league_same_day"]</t>
        </is>
      </c>
      <c r="BJ50" s="38" t="n"/>
      <c r="BK50" s="26" t="n">
        <v>-113</v>
      </c>
      <c r="BL50" s="39" t="n">
        <v>1.884956</v>
      </c>
      <c r="BM50" s="28" t="n">
        <v>0.530516</v>
      </c>
      <c r="BN50" s="28" t="n"/>
      <c r="BO50" s="28" t="n"/>
      <c r="BP50" s="38" t="n"/>
      <c r="BQ50" s="39" t="n"/>
      <c r="BR50" s="28" t="n"/>
      <c r="BS50" s="28" t="n"/>
      <c r="BT50" s="28" t="n"/>
      <c r="BU50" s="38" t="n"/>
      <c r="BV50" s="29" t="n"/>
      <c r="BW50" s="24" t="n"/>
      <c r="BX50" s="40" t="n"/>
      <c r="BY50" s="39" t="n"/>
      <c r="BZ50" s="24" t="n"/>
      <c r="CA50" s="31" t="n"/>
    </row>
    <row r="51" ht="36" customHeight="1">
      <c r="A51" s="24" t="inlineStr">
        <is>
          <t>1e4191a0349f4cc6</t>
        </is>
      </c>
      <c r="B51" s="24" t="inlineStr">
        <is>
          <t>2026-07-21T03:21:23.346420Z</t>
        </is>
      </c>
      <c r="C51" s="24" t="inlineStr">
        <is>
          <t>2026-07-21T16:00:00Z</t>
        </is>
      </c>
      <c r="D51" s="24" t="inlineStr">
        <is>
          <t>56853</t>
        </is>
      </c>
      <c r="E51" s="24" t="inlineStr">
        <is>
          <t>LOL</t>
        </is>
      </c>
      <c r="F51" s="24" t="inlineStr">
        <is>
          <t>Ici Japon Corp. Esport</t>
        </is>
      </c>
      <c r="G51" s="24" t="inlineStr">
        <is>
          <t>TLN Pirates</t>
        </is>
      </c>
      <c r="H51" s="24" t="inlineStr">
        <is>
          <t>moneyline</t>
        </is>
      </c>
      <c r="I51" s="24" t="inlineStr">
        <is>
          <t>home</t>
        </is>
      </c>
      <c r="J51" s="38" t="n"/>
      <c r="K51" s="24" t="inlineStr">
        <is>
          <t>polymarket_us</t>
        </is>
      </c>
      <c r="L51" s="26" t="n">
        <v>-144</v>
      </c>
      <c r="M51" s="39" t="n">
        <v>1.694444</v>
      </c>
      <c r="N51" s="28" t="n">
        <v>0.590164</v>
      </c>
      <c r="O51" s="28" t="n">
        <v>0.650242</v>
      </c>
      <c r="P51" s="28" t="n"/>
      <c r="Q51" s="28" t="n">
        <v>0.060242</v>
      </c>
      <c r="R51" s="26" t="n">
        <v>60</v>
      </c>
      <c r="S51" s="29" t="n">
        <v>2</v>
      </c>
      <c r="T51" s="24" t="inlineStr">
        <is>
          <t>lol-neutral-series-elo-v1</t>
        </is>
      </c>
      <c r="U51" s="24" t="inlineStr">
        <is>
          <t>open</t>
        </is>
      </c>
      <c r="V51" s="24" t="n"/>
      <c r="W51" s="26" t="n"/>
      <c r="X51" s="26" t="n"/>
      <c r="Y51" s="38" t="n"/>
      <c r="Z51" s="26" t="n"/>
      <c r="AA51" s="28" t="n"/>
      <c r="AB51" s="28" t="n"/>
      <c r="AC51" s="40" t="n"/>
      <c r="AD51" s="24" t="n"/>
      <c r="AE51" s="31" t="inlineStr">
        <is>
          <t>Neutral Elo baseline; executable ask 0.5900 (aec-lol-tlnp-ijc-2026-07-21).</t>
        </is>
      </c>
      <c r="AF51" s="31" t="inlineStr">
        <is>
          <t>Research baseline; zero-unit shadow until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Ici Japon Corp. Esport</t>
        </is>
      </c>
      <c r="AQ51" s="24" t="inlineStr">
        <is>
          <t>Ici Japon Corp. Esport</t>
        </is>
      </c>
      <c r="AR51" s="24" t="inlineStr">
        <is>
          <t>Ici Japon Corp. Esport</t>
        </is>
      </c>
      <c r="AS51" s="24" t="inlineStr">
        <is>
          <t>TLN Pirates</t>
        </is>
      </c>
      <c r="AT51" s="24" t="inlineStr">
        <is>
          <t>TLN Pirates</t>
        </is>
      </c>
      <c r="AU51" s="24" t="inlineStr">
        <is>
          <t>TLN Pirates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82612f1b27d5065af8d70fd6669509ff00dc1c7e3a91bb423192bf3b0a9736ce</t>
        </is>
      </c>
      <c r="BB51" s="24" t="inlineStr">
        <is>
          <t>neutral_elo</t>
        </is>
      </c>
      <c r="BC51" s="24" t="inlineStr">
        <is>
          <t>lol-neutral-series-elo-v1</t>
        </is>
      </c>
      <c r="BD51" s="24" t="inlineStr">
        <is>
          <t>82612f1b27d5065af8d70fd6669509ff00dc1c7e3a91bb423192bf3b0a9736ce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unknown</t>
        </is>
      </c>
      <c r="BH51" s="24" t="inlineStr">
        <is>
          <t>2026-07-21T03:21:23.346420Z</t>
        </is>
      </c>
      <c r="BI51" s="24" t="inlineStr">
        <is>
          <t>["same_event","same_team_same_day","same_league_same_day"]</t>
        </is>
      </c>
      <c r="BJ51" s="38" t="n"/>
      <c r="BK51" s="26" t="n">
        <v>-144</v>
      </c>
      <c r="BL51" s="39" t="n">
        <v>1.694444</v>
      </c>
      <c r="BM51" s="28" t="n">
        <v>0.590164</v>
      </c>
      <c r="BN51" s="28" t="n"/>
      <c r="BO51" s="28" t="n"/>
      <c r="BP51" s="38" t="n"/>
      <c r="BQ51" s="39" t="n"/>
      <c r="BR51" s="28" t="n"/>
      <c r="BS51" s="28" t="n"/>
      <c r="BT51" s="28" t="n"/>
      <c r="BU51" s="38" t="n"/>
      <c r="BV51" s="29" t="n"/>
      <c r="BW51" s="24" t="n"/>
      <c r="BX51" s="40" t="n"/>
      <c r="BY51" s="39" t="n"/>
      <c r="BZ51" s="24" t="n"/>
      <c r="CA51" s="31" t="n"/>
    </row>
    <row r="52" ht="36" customHeight="1">
      <c r="A52" s="24" t="inlineStr">
        <is>
          <t>b8e878cebae74ce6</t>
        </is>
      </c>
      <c r="B52" s="24" t="inlineStr">
        <is>
          <t>2026-07-21T03:21:23.671795Z</t>
        </is>
      </c>
      <c r="C52" s="24" t="inlineStr">
        <is>
          <t>2026-07-21T17:00:00Z</t>
        </is>
      </c>
      <c r="D52" s="24" t="inlineStr">
        <is>
          <t>55198</t>
        </is>
      </c>
      <c r="E52" s="24" t="inlineStr">
        <is>
          <t>LOL</t>
        </is>
      </c>
      <c r="F52" s="24" t="inlineStr">
        <is>
          <t>Once Upon A Team</t>
        </is>
      </c>
      <c r="G52" s="24" t="inlineStr">
        <is>
          <t>mCon esports</t>
        </is>
      </c>
      <c r="H52" s="24" t="inlineStr">
        <is>
          <t>moneyline</t>
        </is>
      </c>
      <c r="I52" s="24" t="inlineStr">
        <is>
          <t>home</t>
        </is>
      </c>
      <c r="J52" s="38" t="n"/>
      <c r="K52" s="24" t="inlineStr">
        <is>
          <t>polymarket_us</t>
        </is>
      </c>
      <c r="L52" s="26" t="n">
        <v>-144</v>
      </c>
      <c r="M52" s="39" t="n">
        <v>1.694444</v>
      </c>
      <c r="N52" s="28" t="n">
        <v>0.590164</v>
      </c>
      <c r="O52" s="28" t="n">
        <v>0.650024</v>
      </c>
      <c r="P52" s="28" t="n"/>
      <c r="Q52" s="28" t="n">
        <v>0.060024</v>
      </c>
      <c r="R52" s="26" t="n">
        <v>60</v>
      </c>
      <c r="S52" s="29" t="n">
        <v>2</v>
      </c>
      <c r="T52" s="24" t="inlineStr">
        <is>
          <t>lol-neutral-series-elo-v1</t>
        </is>
      </c>
      <c r="U52" s="24" t="inlineStr">
        <is>
          <t>open</t>
        </is>
      </c>
      <c r="V52" s="24" t="n"/>
      <c r="W52" s="26" t="n"/>
      <c r="X52" s="26" t="n"/>
      <c r="Y52" s="38" t="n"/>
      <c r="Z52" s="26" t="n"/>
      <c r="AA52" s="28" t="n"/>
      <c r="AB52" s="28" t="n"/>
      <c r="AC52" s="40" t="n"/>
      <c r="AD52" s="24" t="n"/>
      <c r="AE52" s="31" t="inlineStr">
        <is>
          <t>Neutral Elo baseline; executable ask 0.5900 (aec-lol-mcn-ouat-2026-07-21).</t>
        </is>
      </c>
      <c r="AF52" s="31" t="inlineStr">
        <is>
          <t>Research baseline; zero-unit shadow until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Once Upon A Team</t>
        </is>
      </c>
      <c r="AQ52" s="24" t="inlineStr">
        <is>
          <t>Once Upon A Team</t>
        </is>
      </c>
      <c r="AR52" s="24" t="inlineStr">
        <is>
          <t>Once Upon A Team</t>
        </is>
      </c>
      <c r="AS52" s="24" t="inlineStr">
        <is>
          <t>mCon esports</t>
        </is>
      </c>
      <c r="AT52" s="24" t="inlineStr">
        <is>
          <t>mCon esports</t>
        </is>
      </c>
      <c r="AU52" s="24" t="inlineStr">
        <is>
          <t>mCon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82612f1b27d5065af8d70fd6669509ff00dc1c7e3a91bb423192bf3b0a9736ce</t>
        </is>
      </c>
      <c r="BB52" s="24" t="inlineStr">
        <is>
          <t>neutral_elo</t>
        </is>
      </c>
      <c r="BC52" s="24" t="inlineStr">
        <is>
          <t>lol-neutral-series-elo-v1</t>
        </is>
      </c>
      <c r="BD52" s="24" t="inlineStr">
        <is>
          <t>82612f1b27d5065af8d70fd6669509ff00dc1c7e3a91bb423192bf3b0a9736ce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unknown</t>
        </is>
      </c>
      <c r="BH52" s="24" t="inlineStr">
        <is>
          <t>2026-07-21T03:21:23.671795Z</t>
        </is>
      </c>
      <c r="BI52" s="24" t="inlineStr">
        <is>
          <t>["same_event","same_team_same_day","same_league_same_day"]</t>
        </is>
      </c>
      <c r="BJ52" s="38" t="n"/>
      <c r="BK52" s="26" t="n">
        <v>-144</v>
      </c>
      <c r="BL52" s="39" t="n">
        <v>1.694444</v>
      </c>
      <c r="BM52" s="28" t="n">
        <v>0.590164</v>
      </c>
      <c r="BN52" s="28" t="n"/>
      <c r="BO52" s="28" t="n"/>
      <c r="BP52" s="38" t="n"/>
      <c r="BQ52" s="39" t="n"/>
      <c r="BR52" s="28" t="n"/>
      <c r="BS52" s="28" t="n"/>
      <c r="BT52" s="28" t="n"/>
      <c r="BU52" s="38" t="n"/>
      <c r="BV52" s="29" t="n"/>
      <c r="BW52" s="24" t="n"/>
      <c r="BX52" s="40" t="n"/>
      <c r="BY52" s="39" t="n"/>
      <c r="BZ52" s="24" t="n"/>
      <c r="CA52" s="31" t="n"/>
    </row>
    <row r="53" ht="36" customHeight="1">
      <c r="A53" s="24" t="inlineStr">
        <is>
          <t>3d480e15edd64412</t>
        </is>
      </c>
      <c r="B53" s="24" t="inlineStr">
        <is>
          <t>2026-07-21T03:21:23.924434Z</t>
        </is>
      </c>
      <c r="C53" s="24" t="inlineStr">
        <is>
          <t>2026-07-21T18:30:00Z</t>
        </is>
      </c>
      <c r="D53" s="24" t="inlineStr">
        <is>
          <t>57016</t>
        </is>
      </c>
      <c r="E53" s="24" t="inlineStr">
        <is>
          <t>LOL</t>
        </is>
      </c>
      <c r="F53" s="24" t="inlineStr">
        <is>
          <t>Baam Esports</t>
        </is>
      </c>
      <c r="G53" s="24" t="inlineStr">
        <is>
          <t>Pyramid IV Esports</t>
        </is>
      </c>
      <c r="H53" s="24" t="inlineStr">
        <is>
          <t>moneyline</t>
        </is>
      </c>
      <c r="I53" s="24" t="inlineStr">
        <is>
          <t>home</t>
        </is>
      </c>
      <c r="J53" s="38" t="n"/>
      <c r="K53" s="24" t="inlineStr">
        <is>
          <t>polymarket_us</t>
        </is>
      </c>
      <c r="L53" s="26" t="n">
        <v>113</v>
      </c>
      <c r="M53" s="39" t="n">
        <v>2.13</v>
      </c>
      <c r="N53" s="28" t="n">
        <v>0.469484</v>
      </c>
      <c r="O53" s="28" t="n">
        <v>0.503502</v>
      </c>
      <c r="P53" s="28" t="n"/>
      <c r="Q53" s="28" t="n">
        <v>0.033502</v>
      </c>
      <c r="R53" s="26" t="n">
        <v>33</v>
      </c>
      <c r="S53" s="29" t="n">
        <v>0.5</v>
      </c>
      <c r="T53" s="24" t="inlineStr">
        <is>
          <t>lol-neutral-series-elo-v1</t>
        </is>
      </c>
      <c r="U53" s="24" t="inlineStr">
        <is>
          <t>open</t>
        </is>
      </c>
      <c r="V53" s="24" t="n"/>
      <c r="W53" s="26" t="n"/>
      <c r="X53" s="26" t="n"/>
      <c r="Y53" s="38" t="n"/>
      <c r="Z53" s="26" t="n"/>
      <c r="AA53" s="28" t="n"/>
      <c r="AB53" s="28" t="n"/>
      <c r="AC53" s="40" t="n"/>
      <c r="AD53" s="24" t="n"/>
      <c r="AE53" s="31" t="inlineStr">
        <is>
          <t>Neutral Elo baseline; executable ask 0.4700 (aec-lol-piv-bam-2026-07-21).</t>
        </is>
      </c>
      <c r="AF53" s="31" t="inlineStr">
        <is>
          <t>Research baseline; zero-unit shadow until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Baam Esports</t>
        </is>
      </c>
      <c r="AQ53" s="24" t="inlineStr">
        <is>
          <t>Baam Esports</t>
        </is>
      </c>
      <c r="AR53" s="24" t="inlineStr">
        <is>
          <t>Baam Esports</t>
        </is>
      </c>
      <c r="AS53" s="24" t="inlineStr">
        <is>
          <t>Pyramid IV Esports</t>
        </is>
      </c>
      <c r="AT53" s="24" t="inlineStr">
        <is>
          <t>Pyramid IV Esports</t>
        </is>
      </c>
      <c r="AU53" s="24" t="inlineStr">
        <is>
          <t>Pyramid IV Esports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82612f1b27d5065af8d70fd6669509ff00dc1c7e3a91bb423192bf3b0a9736ce</t>
        </is>
      </c>
      <c r="BB53" s="24" t="inlineStr">
        <is>
          <t>neutral_elo</t>
        </is>
      </c>
      <c r="BC53" s="24" t="inlineStr">
        <is>
          <t>lol-neutral-series-elo-v1</t>
        </is>
      </c>
      <c r="BD53" s="24" t="inlineStr">
        <is>
          <t>82612f1b27d5065af8d70fd6669509ff00dc1c7e3a91bb423192bf3b0a9736ce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unknown</t>
        </is>
      </c>
      <c r="BH53" s="24" t="inlineStr">
        <is>
          <t>2026-07-21T03:21:23.924434Z</t>
        </is>
      </c>
      <c r="BI53" s="24" t="inlineStr">
        <is>
          <t>["same_event","same_team_same_day","same_league_same_day"]</t>
        </is>
      </c>
      <c r="BJ53" s="38" t="n"/>
      <c r="BK53" s="26" t="n">
        <v>113</v>
      </c>
      <c r="BL53" s="39" t="n">
        <v>2.13</v>
      </c>
      <c r="BM53" s="28" t="n">
        <v>0.469484</v>
      </c>
      <c r="BN53" s="28" t="n"/>
      <c r="BO53" s="28" t="n"/>
      <c r="BP53" s="38" t="n"/>
      <c r="BQ53" s="39" t="n"/>
      <c r="BR53" s="28" t="n"/>
      <c r="BS53" s="28" t="n"/>
      <c r="BT53" s="28" t="n"/>
      <c r="BU53" s="38" t="n"/>
      <c r="BV53" s="29" t="n"/>
      <c r="BW53" s="24" t="n"/>
      <c r="BX53" s="40" t="n"/>
      <c r="BY53" s="39" t="n"/>
      <c r="BZ53" s="24" t="n"/>
      <c r="CA53" s="31" t="n"/>
    </row>
    <row r="54" ht="36" customHeight="1">
      <c r="A54" s="24" t="inlineStr">
        <is>
          <t>d2a35f448244400a</t>
        </is>
      </c>
      <c r="B54" s="24" t="inlineStr">
        <is>
          <t>2026-07-21T03:21:24.180904Z</t>
        </is>
      </c>
      <c r="C54" s="24" t="inlineStr">
        <is>
          <t>2026-07-21T19:00:00Z</t>
        </is>
      </c>
      <c r="D54" s="24" t="inlineStr">
        <is>
          <t>56856</t>
        </is>
      </c>
      <c r="E54" s="24" t="inlineStr">
        <is>
          <t>LOL</t>
        </is>
      </c>
      <c r="F54" s="24" t="inlineStr">
        <is>
          <t>Joblife</t>
        </is>
      </c>
      <c r="G54" s="24" t="inlineStr">
        <is>
          <t>Galions</t>
        </is>
      </c>
      <c r="H54" s="24" t="inlineStr">
        <is>
          <t>moneyline</t>
        </is>
      </c>
      <c r="I54" s="24" t="inlineStr">
        <is>
          <t>home</t>
        </is>
      </c>
      <c r="J54" s="38" t="n"/>
      <c r="K54" s="24" t="inlineStr">
        <is>
          <t>polymarket_us</t>
        </is>
      </c>
      <c r="L54" s="26" t="n">
        <v>-194</v>
      </c>
      <c r="M54" s="39" t="n">
        <v>1.515464</v>
      </c>
      <c r="N54" s="28" t="n">
        <v>0.659864</v>
      </c>
      <c r="O54" s="28" t="n">
        <v>0.748054</v>
      </c>
      <c r="P54" s="28" t="n"/>
      <c r="Q54" s="28" t="n">
        <v>0.08805399999999999</v>
      </c>
      <c r="R54" s="26" t="n">
        <v>88</v>
      </c>
      <c r="S54" s="29" t="n">
        <v>2</v>
      </c>
      <c r="T54" s="24" t="inlineStr">
        <is>
          <t>lol-neutral-series-elo-v1</t>
        </is>
      </c>
      <c r="U54" s="24" t="inlineStr">
        <is>
          <t>open</t>
        </is>
      </c>
      <c r="V54" s="24" t="n"/>
      <c r="W54" s="26" t="n"/>
      <c r="X54" s="26" t="n"/>
      <c r="Y54" s="38" t="n"/>
      <c r="Z54" s="26" t="n"/>
      <c r="AA54" s="28" t="n"/>
      <c r="AB54" s="28" t="n"/>
      <c r="AC54" s="40" t="n"/>
      <c r="AD54" s="24" t="n"/>
      <c r="AE54" s="31" t="inlineStr">
        <is>
          <t>Neutral Elo baseline; executable ask 0.6600 (aec-lol-gal-jl-2026-07-21).</t>
        </is>
      </c>
      <c r="AF54" s="31" t="inlineStr">
        <is>
          <t>Research baseline; zero-unit shadow until qualified.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Joblife</t>
        </is>
      </c>
      <c r="AQ54" s="24" t="inlineStr">
        <is>
          <t>Joblife</t>
        </is>
      </c>
      <c r="AR54" s="24" t="inlineStr">
        <is>
          <t>Joblife</t>
        </is>
      </c>
      <c r="AS54" s="24" t="inlineStr">
        <is>
          <t>Galions</t>
        </is>
      </c>
      <c r="AT54" s="24" t="inlineStr">
        <is>
          <t>Galions</t>
        </is>
      </c>
      <c r="AU54" s="24" t="inlineStr">
        <is>
          <t>Galions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82612f1b27d5065af8d70fd6669509ff00dc1c7e3a91bb423192bf3b0a9736ce</t>
        </is>
      </c>
      <c r="BB54" s="24" t="inlineStr">
        <is>
          <t>neutral_elo</t>
        </is>
      </c>
      <c r="BC54" s="24" t="inlineStr">
        <is>
          <t>lol-neutral-series-elo-v1</t>
        </is>
      </c>
      <c r="BD54" s="24" t="inlineStr">
        <is>
          <t>82612f1b27d5065af8d70fd6669509ff00dc1c7e3a91bb423192bf3b0a9736ce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unknown</t>
        </is>
      </c>
      <c r="BH54" s="24" t="inlineStr">
        <is>
          <t>2026-07-21T03:21:24.180904Z</t>
        </is>
      </c>
      <c r="BI54" s="24" t="inlineStr">
        <is>
          <t>["same_event","same_team_same_day","same_league_same_day"]</t>
        </is>
      </c>
      <c r="BJ54" s="38" t="n"/>
      <c r="BK54" s="26" t="n">
        <v>-194</v>
      </c>
      <c r="BL54" s="39" t="n">
        <v>1.515464</v>
      </c>
      <c r="BM54" s="28" t="n">
        <v>0.659864</v>
      </c>
      <c r="BN54" s="28" t="n"/>
      <c r="BO54" s="28" t="n"/>
      <c r="BP54" s="38" t="n"/>
      <c r="BQ54" s="39" t="n"/>
      <c r="BR54" s="28" t="n"/>
      <c r="BS54" s="28" t="n"/>
      <c r="BT54" s="28" t="n"/>
      <c r="BU54" s="38" t="n"/>
      <c r="BV54" s="29" t="n"/>
      <c r="BW54" s="24" t="n"/>
      <c r="BX54" s="40" t="n"/>
      <c r="BY54" s="39" t="n"/>
      <c r="BZ54" s="24" t="n"/>
      <c r="CA54" s="31" t="n"/>
    </row>
    <row r="55" ht="36" customHeight="1">
      <c r="A55" s="24" t="inlineStr">
        <is>
          <t>8de05129364d4fdc</t>
        </is>
      </c>
      <c r="B55" s="24" t="inlineStr">
        <is>
          <t>2026-07-21T03:21:24.442694Z</t>
        </is>
      </c>
      <c r="C55" s="24" t="inlineStr">
        <is>
          <t>2026-07-21T21:00:00Z</t>
        </is>
      </c>
      <c r="D55" s="24" t="inlineStr">
        <is>
          <t>55205</t>
        </is>
      </c>
      <c r="E55" s="24" t="inlineStr">
        <is>
          <t>LOL</t>
        </is>
      </c>
      <c r="F55" s="24" t="inlineStr">
        <is>
          <t>RMD Gaming</t>
        </is>
      </c>
      <c r="G55" s="24" t="inlineStr">
        <is>
          <t>paiN Gaming Academy</t>
        </is>
      </c>
      <c r="H55" s="24" t="inlineStr">
        <is>
          <t>moneyline</t>
        </is>
      </c>
      <c r="I55" s="24" t="inlineStr">
        <is>
          <t>home</t>
        </is>
      </c>
      <c r="J55" s="38" t="n"/>
      <c r="K55" s="24" t="inlineStr">
        <is>
          <t>polymarket_us</t>
        </is>
      </c>
      <c r="L55" s="26" t="n">
        <v>-203</v>
      </c>
      <c r="M55" s="39" t="n">
        <v>1.492611</v>
      </c>
      <c r="N55" s="28" t="n">
        <v>0.669967</v>
      </c>
      <c r="O55" s="28" t="n">
        <v>0.731785</v>
      </c>
      <c r="P55" s="28" t="n"/>
      <c r="Q55" s="28" t="n">
        <v>0.061785</v>
      </c>
      <c r="R55" s="26" t="n">
        <v>61</v>
      </c>
      <c r="S55" s="29" t="n">
        <v>2</v>
      </c>
      <c r="T55" s="24" t="inlineStr">
        <is>
          <t>lol-neutral-series-elo-v1</t>
        </is>
      </c>
      <c r="U55" s="24" t="inlineStr">
        <is>
          <t>open</t>
        </is>
      </c>
      <c r="V55" s="24" t="n"/>
      <c r="W55" s="26" t="n"/>
      <c r="X55" s="26" t="n"/>
      <c r="Y55" s="38" t="n"/>
      <c r="Z55" s="26" t="n"/>
      <c r="AA55" s="28" t="n"/>
      <c r="AB55" s="28" t="n"/>
      <c r="AC55" s="40" t="n"/>
      <c r="AD55" s="24" t="n"/>
      <c r="AE55" s="31" t="inlineStr">
        <is>
          <t>Neutral Elo baseline; executable ask 0.6700 (aec-lol-pnga-rmd-2026-07-21).</t>
        </is>
      </c>
      <c r="AF55" s="31" t="inlineStr">
        <is>
          <t>Research baseline; zero-unit shadow until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RMD Gaming</t>
        </is>
      </c>
      <c r="AQ55" s="24" t="inlineStr">
        <is>
          <t>RMD Gaming</t>
        </is>
      </c>
      <c r="AR55" s="24" t="inlineStr">
        <is>
          <t>RMD Gaming</t>
        </is>
      </c>
      <c r="AS55" s="24" t="inlineStr">
        <is>
          <t>paiN Gaming Academy</t>
        </is>
      </c>
      <c r="AT55" s="24" t="inlineStr">
        <is>
          <t>paiN Gaming Academy</t>
        </is>
      </c>
      <c r="AU55" s="24" t="inlineStr">
        <is>
          <t>paiN Gaming Academy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82612f1b27d5065af8d70fd6669509ff00dc1c7e3a91bb423192bf3b0a9736ce</t>
        </is>
      </c>
      <c r="BB55" s="24" t="inlineStr">
        <is>
          <t>neutral_elo</t>
        </is>
      </c>
      <c r="BC55" s="24" t="inlineStr">
        <is>
          <t>lol-neutral-series-elo-v1</t>
        </is>
      </c>
      <c r="BD55" s="24" t="inlineStr">
        <is>
          <t>82612f1b27d5065af8d70fd6669509ff00dc1c7e3a91bb423192bf3b0a9736ce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unknown</t>
        </is>
      </c>
      <c r="BH55" s="24" t="inlineStr">
        <is>
          <t>2026-07-21T03:21:24.442694Z</t>
        </is>
      </c>
      <c r="BI55" s="24" t="inlineStr">
        <is>
          <t>["same_event","same_team_same_day","same_league_same_day"]</t>
        </is>
      </c>
      <c r="BJ55" s="38" t="n"/>
      <c r="BK55" s="26" t="n">
        <v>-203</v>
      </c>
      <c r="BL55" s="39" t="n">
        <v>1.492611</v>
      </c>
      <c r="BM55" s="28" t="n">
        <v>0.669967</v>
      </c>
      <c r="BN55" s="28" t="n"/>
      <c r="BO55" s="28" t="n"/>
      <c r="BP55" s="38" t="n"/>
      <c r="BQ55" s="39" t="n"/>
      <c r="BR55" s="28" t="n"/>
      <c r="BS55" s="28" t="n"/>
      <c r="BT55" s="28" t="n"/>
      <c r="BU55" s="38" t="n"/>
      <c r="BV55" s="29" t="n"/>
      <c r="BW55" s="24" t="n"/>
      <c r="BX55" s="40" t="n"/>
      <c r="BY55" s="39" t="n"/>
      <c r="BZ55" s="24" t="n"/>
      <c r="CA55" s="31" t="n"/>
    </row>
    <row r="56" ht="36" customHeight="1">
      <c r="A56" s="24" t="inlineStr">
        <is>
          <t>46820ba6ae0949a3</t>
        </is>
      </c>
      <c r="B56" s="24" t="inlineStr">
        <is>
          <t>2026-07-21T03:21:24.705162Z</t>
        </is>
      </c>
      <c r="C56" s="24" t="inlineStr">
        <is>
          <t>2026-07-21T22:00:00Z</t>
        </is>
      </c>
      <c r="D56" s="24" t="inlineStr">
        <is>
          <t>55206</t>
        </is>
      </c>
      <c r="E56" s="24" t="inlineStr">
        <is>
          <t>LOL</t>
        </is>
      </c>
      <c r="F56" s="24" t="inlineStr">
        <is>
          <t>Estral Esports</t>
        </is>
      </c>
      <c r="G56" s="24" t="inlineStr">
        <is>
          <t>KaBuM! Ilha das Lendas</t>
        </is>
      </c>
      <c r="H56" s="24" t="inlineStr">
        <is>
          <t>moneyline</t>
        </is>
      </c>
      <c r="I56" s="24" t="inlineStr">
        <is>
          <t>home</t>
        </is>
      </c>
      <c r="J56" s="38" t="n"/>
      <c r="K56" s="24" t="inlineStr">
        <is>
          <t>polymarket_us</t>
        </is>
      </c>
      <c r="L56" s="26" t="n">
        <v>163</v>
      </c>
      <c r="M56" s="39" t="n">
        <v>2.63</v>
      </c>
      <c r="N56" s="28" t="n">
        <v>0.380228</v>
      </c>
      <c r="O56" s="28" t="n">
        <v>0.59232</v>
      </c>
      <c r="P56" s="28" t="n"/>
      <c r="Q56" s="28" t="n">
        <v>0.21232</v>
      </c>
      <c r="R56" s="26" t="n">
        <v>100</v>
      </c>
      <c r="S56" s="29" t="n">
        <v>1.5</v>
      </c>
      <c r="T56" s="24" t="inlineStr">
        <is>
          <t>lol-neutral-series-elo-v1</t>
        </is>
      </c>
      <c r="U56" s="24" t="inlineStr">
        <is>
          <t>open</t>
        </is>
      </c>
      <c r="V56" s="24" t="n"/>
      <c r="W56" s="26" t="n"/>
      <c r="X56" s="26" t="n"/>
      <c r="Y56" s="38" t="n"/>
      <c r="Z56" s="26" t="n"/>
      <c r="AA56" s="28" t="n"/>
      <c r="AB56" s="28" t="n"/>
      <c r="AC56" s="40" t="n"/>
      <c r="AD56" s="24" t="n"/>
      <c r="AE56" s="31" t="inlineStr">
        <is>
          <t>Neutral Elo baseline; executable ask 0.3800 (aec-lol-kbm-est-2026-07-21).</t>
        </is>
      </c>
      <c r="AF56" s="31" t="inlineStr">
        <is>
          <t>Research baseline; zero-unit shadow until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Estral Esports</t>
        </is>
      </c>
      <c r="AQ56" s="24" t="inlineStr">
        <is>
          <t>Estral Esports</t>
        </is>
      </c>
      <c r="AR56" s="24" t="inlineStr">
        <is>
          <t>Estral Esports</t>
        </is>
      </c>
      <c r="AS56" s="24" t="inlineStr">
        <is>
          <t>KaBuM! Ilha das Lendas</t>
        </is>
      </c>
      <c r="AT56" s="24" t="inlineStr">
        <is>
          <t>KaBuM! Ilha das Lendas</t>
        </is>
      </c>
      <c r="AU56" s="24" t="inlineStr">
        <is>
          <t>KaBuM! Ilha das Lendas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82612f1b27d5065af8d70fd6669509ff00dc1c7e3a91bb423192bf3b0a9736ce</t>
        </is>
      </c>
      <c r="BB56" s="24" t="inlineStr">
        <is>
          <t>neutral_elo</t>
        </is>
      </c>
      <c r="BC56" s="24" t="inlineStr">
        <is>
          <t>lol-neutral-series-elo-v1</t>
        </is>
      </c>
      <c r="BD56" s="24" t="inlineStr">
        <is>
          <t>82612f1b27d5065af8d70fd6669509ff00dc1c7e3a91bb423192bf3b0a9736ce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unknown</t>
        </is>
      </c>
      <c r="BH56" s="24" t="inlineStr">
        <is>
          <t>2026-07-21T03:21:24.705162Z</t>
        </is>
      </c>
      <c r="BI56" s="24" t="inlineStr">
        <is>
          <t>["same_event","same_team_same_day","same_league_same_day"]</t>
        </is>
      </c>
      <c r="BJ56" s="38" t="n"/>
      <c r="BK56" s="26" t="n">
        <v>163</v>
      </c>
      <c r="BL56" s="39" t="n">
        <v>2.63</v>
      </c>
      <c r="BM56" s="28" t="n">
        <v>0.380228</v>
      </c>
      <c r="BN56" s="28" t="n"/>
      <c r="BO56" s="28" t="n"/>
      <c r="BP56" s="38" t="n"/>
      <c r="BQ56" s="39" t="n"/>
      <c r="BR56" s="28" t="n"/>
      <c r="BS56" s="28" t="n"/>
      <c r="BT56" s="28" t="n"/>
      <c r="BU56" s="38" t="n"/>
      <c r="BV56" s="29" t="n"/>
      <c r="BW56" s="24" t="n"/>
      <c r="BX56" s="40" t="n"/>
      <c r="BY56" s="39" t="n"/>
      <c r="BZ56" s="24" t="n"/>
      <c r="CA56" s="31" t="n"/>
    </row>
    <row r="57" ht="36" customHeight="1">
      <c r="A57" s="24" t="inlineStr">
        <is>
          <t>cf3246af1f474a60</t>
        </is>
      </c>
      <c r="B57" s="24" t="inlineStr">
        <is>
          <t>2026-07-21T03:21:24.968970Z</t>
        </is>
      </c>
      <c r="C57" s="24" t="inlineStr">
        <is>
          <t>2026-07-22T00:00:00Z</t>
        </is>
      </c>
      <c r="D57" s="24" t="inlineStr">
        <is>
          <t>55211</t>
        </is>
      </c>
      <c r="E57" s="24" t="inlineStr">
        <is>
          <t>LOL</t>
        </is>
      </c>
      <c r="F57" s="24" t="inlineStr">
        <is>
          <t>7REX</t>
        </is>
      </c>
      <c r="G57" s="24" t="inlineStr">
        <is>
          <t>Vivo Keyd Stars Academy</t>
        </is>
      </c>
      <c r="H57" s="24" t="inlineStr">
        <is>
          <t>moneyline</t>
        </is>
      </c>
      <c r="I57" s="24" t="inlineStr">
        <is>
          <t>home</t>
        </is>
      </c>
      <c r="J57" s="38" t="n"/>
      <c r="K57" s="24" t="inlineStr">
        <is>
          <t>polymarket_us</t>
        </is>
      </c>
      <c r="L57" s="26" t="n">
        <v>-213</v>
      </c>
      <c r="M57" s="39" t="n">
        <v>1.469484</v>
      </c>
      <c r="N57" s="28" t="n">
        <v>0.680511</v>
      </c>
      <c r="O57" s="28" t="n">
        <v>0.704201</v>
      </c>
      <c r="P57" s="28" t="n"/>
      <c r="Q57" s="28" t="n">
        <v>0.024201</v>
      </c>
      <c r="R57" s="26" t="n">
        <v>24</v>
      </c>
      <c r="S57" s="29" t="n">
        <v>2</v>
      </c>
      <c r="T57" s="24" t="inlineStr">
        <is>
          <t>lol-neutral-series-elo-v1</t>
        </is>
      </c>
      <c r="U57" s="24" t="inlineStr">
        <is>
          <t>open</t>
        </is>
      </c>
      <c r="V57" s="24" t="n"/>
      <c r="W57" s="26" t="n"/>
      <c r="X57" s="26" t="n"/>
      <c r="Y57" s="38" t="n"/>
      <c r="Z57" s="26" t="n"/>
      <c r="AA57" s="28" t="n"/>
      <c r="AB57" s="28" t="n"/>
      <c r="AC57" s="40" t="n"/>
      <c r="AD57" s="24" t="n"/>
      <c r="AE57" s="31" t="inlineStr">
        <is>
          <t>Neutral Elo baseline; executable ask 0.6800 (aec-lol-vksa-7rex-2026-07-22).</t>
        </is>
      </c>
      <c r="AF57" s="31" t="inlineStr">
        <is>
          <t>Research baseline; zero-unit shadow until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7REX</t>
        </is>
      </c>
      <c r="AQ57" s="24" t="inlineStr">
        <is>
          <t>7REX</t>
        </is>
      </c>
      <c r="AR57" s="24" t="inlineStr">
        <is>
          <t>7REX</t>
        </is>
      </c>
      <c r="AS57" s="24" t="inlineStr">
        <is>
          <t>Vivo Keyd Stars Academy</t>
        </is>
      </c>
      <c r="AT57" s="24" t="inlineStr">
        <is>
          <t>Vivo Keyd Stars Academy</t>
        </is>
      </c>
      <c r="AU57" s="24" t="inlineStr">
        <is>
          <t>Vivo Keyd Stars Academy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82612f1b27d5065af8d70fd6669509ff00dc1c7e3a91bb423192bf3b0a9736ce</t>
        </is>
      </c>
      <c r="BB57" s="24" t="inlineStr">
        <is>
          <t>neutral_elo</t>
        </is>
      </c>
      <c r="BC57" s="24" t="inlineStr">
        <is>
          <t>lol-neutral-series-elo-v1</t>
        </is>
      </c>
      <c r="BD57" s="24" t="inlineStr">
        <is>
          <t>82612f1b27d5065af8d70fd6669509ff00dc1c7e3a91bb423192bf3b0a9736ce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unknown</t>
        </is>
      </c>
      <c r="BH57" s="24" t="inlineStr">
        <is>
          <t>2026-07-21T03:21:24.968970Z</t>
        </is>
      </c>
      <c r="BI57" s="24" t="inlineStr">
        <is>
          <t>["same_event","same_team_same_day","same_league_same_day"]</t>
        </is>
      </c>
      <c r="BJ57" s="38" t="n"/>
      <c r="BK57" s="26" t="n">
        <v>-213</v>
      </c>
      <c r="BL57" s="39" t="n">
        <v>1.469484</v>
      </c>
      <c r="BM57" s="28" t="n">
        <v>0.680511</v>
      </c>
      <c r="BN57" s="28" t="n"/>
      <c r="BO57" s="28" t="n"/>
      <c r="BP57" s="38" t="n"/>
      <c r="BQ57" s="39" t="n"/>
      <c r="BR57" s="28" t="n"/>
      <c r="BS57" s="28" t="n"/>
      <c r="BT57" s="28" t="n"/>
      <c r="BU57" s="38" t="n"/>
      <c r="BV57" s="29" t="n"/>
      <c r="BW57" s="24" t="n"/>
      <c r="BX57" s="40" t="n"/>
      <c r="BY57" s="39" t="n"/>
      <c r="BZ57" s="24" t="n"/>
      <c r="CA57" s="31" t="n"/>
    </row>
    <row r="58" ht="36" customHeight="1">
      <c r="A58" s="24" t="inlineStr">
        <is>
          <t>046d3fd9c78e4d72</t>
        </is>
      </c>
      <c r="B58" s="24" t="inlineStr">
        <is>
          <t>2026-07-21T03:22:24.834802Z</t>
        </is>
      </c>
      <c r="C58" s="24" t="inlineStr">
        <is>
          <t>2026-07-21T08:00:00Z</t>
        </is>
      </c>
      <c r="D58" s="24" t="inlineStr">
        <is>
          <t>56863</t>
        </is>
      </c>
      <c r="E58" s="24" t="inlineStr">
        <is>
          <t>CS2</t>
        </is>
      </c>
      <c r="F58" s="24" t="inlineStr">
        <is>
          <t>eternal premium</t>
        </is>
      </c>
      <c r="G58" s="24" t="inlineStr">
        <is>
          <t>Mai Tai</t>
        </is>
      </c>
      <c r="H58" s="24" t="inlineStr">
        <is>
          <t>moneyline</t>
        </is>
      </c>
      <c r="I58" s="24" t="inlineStr">
        <is>
          <t>away</t>
        </is>
      </c>
      <c r="J58" s="38" t="n"/>
      <c r="K58" s="24" t="inlineStr">
        <is>
          <t>polymarket_us</t>
        </is>
      </c>
      <c r="L58" s="26" t="n">
        <v>156</v>
      </c>
      <c r="M58" s="39" t="n">
        <v>2.56</v>
      </c>
      <c r="N58" s="28" t="n">
        <v>0.390625</v>
      </c>
      <c r="O58" s="28" t="n">
        <v>0.64963</v>
      </c>
      <c r="P58" s="28" t="n"/>
      <c r="Q58" s="28" t="n">
        <v>0.25963</v>
      </c>
      <c r="R58" s="26" t="n">
        <v>100</v>
      </c>
      <c r="S58" s="29" t="n">
        <v>2</v>
      </c>
      <c r="T58" s="24" t="inlineStr">
        <is>
          <t>cs2-neutral-series-elo-v1</t>
        </is>
      </c>
      <c r="U58" s="24" t="inlineStr">
        <is>
          <t>open</t>
        </is>
      </c>
      <c r="V58" s="24" t="n"/>
      <c r="W58" s="26" t="n"/>
      <c r="X58" s="26" t="n"/>
      <c r="Y58" s="38" t="n"/>
      <c r="Z58" s="26" t="n"/>
      <c r="AA58" s="28" t="n"/>
      <c r="AB58" s="28" t="n"/>
      <c r="AC58" s="40" t="n"/>
      <c r="AD58" s="24" t="n"/>
      <c r="AE58" s="31" t="inlineStr">
        <is>
          <t>Neutral Elo baseline; executable ask 0.3900 (aec-cs2-mta-ep-2026-07-21).</t>
        </is>
      </c>
      <c r="AF58" s="31" t="inlineStr">
        <is>
          <t>Research baseline; zero-unit shadow until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eternal premium</t>
        </is>
      </c>
      <c r="AQ58" s="24" t="inlineStr">
        <is>
          <t>eternal premium</t>
        </is>
      </c>
      <c r="AR58" s="24" t="inlineStr">
        <is>
          <t>eternal premium</t>
        </is>
      </c>
      <c r="AS58" s="24" t="inlineStr">
        <is>
          <t>Mai Tai</t>
        </is>
      </c>
      <c r="AT58" s="24" t="inlineStr">
        <is>
          <t>Mai Tai</t>
        </is>
      </c>
      <c r="AU58" s="24" t="inlineStr">
        <is>
          <t>Mai Tai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9dbde86ab8062ac73a51c94b0ad431573ac8b755ccd742d86794849a749958c7</t>
        </is>
      </c>
      <c r="BB58" s="24" t="inlineStr">
        <is>
          <t>neutral_elo</t>
        </is>
      </c>
      <c r="BC58" s="24" t="inlineStr">
        <is>
          <t>cs2-neutral-series-elo-v1</t>
        </is>
      </c>
      <c r="BD58" s="24" t="inlineStr">
        <is>
          <t>9dbde86ab8062ac73a51c94b0ad431573ac8b755ccd742d86794849a749958c7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unknown</t>
        </is>
      </c>
      <c r="BH58" s="24" t="inlineStr">
        <is>
          <t>2026-07-21T03:22:24.834802Z</t>
        </is>
      </c>
      <c r="BI58" s="24" t="inlineStr">
        <is>
          <t>["same_event","same_team_same_day","same_league_same_day"]</t>
        </is>
      </c>
      <c r="BJ58" s="38" t="n"/>
      <c r="BK58" s="26" t="n">
        <v>156</v>
      </c>
      <c r="BL58" s="39" t="n">
        <v>2.56</v>
      </c>
      <c r="BM58" s="28" t="n">
        <v>0.390625</v>
      </c>
      <c r="BN58" s="28" t="n"/>
      <c r="BO58" s="28" t="n"/>
      <c r="BP58" s="38" t="n"/>
      <c r="BQ58" s="39" t="n"/>
      <c r="BR58" s="28" t="n"/>
      <c r="BS58" s="28" t="n"/>
      <c r="BT58" s="28" t="n"/>
      <c r="BU58" s="38" t="n"/>
      <c r="BV58" s="29" t="n"/>
      <c r="BW58" s="24" t="n"/>
      <c r="BX58" s="40" t="n"/>
      <c r="BY58" s="39" t="n"/>
      <c r="BZ58" s="24" t="n"/>
      <c r="CA58" s="31" t="n"/>
    </row>
    <row r="59" ht="36" customHeight="1">
      <c r="A59" s="24" t="inlineStr">
        <is>
          <t>fc787994a82c4b99</t>
        </is>
      </c>
      <c r="B59" s="24" t="inlineStr">
        <is>
          <t>2026-07-21T03:22:25.111853Z</t>
        </is>
      </c>
      <c r="C59" s="24" t="inlineStr">
        <is>
          <t>2026-07-21T08:00:00Z</t>
        </is>
      </c>
      <c r="D59" s="24" t="inlineStr">
        <is>
          <t>57522</t>
        </is>
      </c>
      <c r="E59" s="24" t="inlineStr">
        <is>
          <t>CS2</t>
        </is>
      </c>
      <c r="F59" s="24" t="inlineStr">
        <is>
          <t>G2 Ares</t>
        </is>
      </c>
      <c r="G59" s="24" t="inlineStr">
        <is>
          <t>CYBERSHOKE Prospects</t>
        </is>
      </c>
      <c r="H59" s="24" t="inlineStr">
        <is>
          <t>moneyline</t>
        </is>
      </c>
      <c r="I59" s="24" t="inlineStr">
        <is>
          <t>home</t>
        </is>
      </c>
      <c r="J59" s="38" t="n"/>
      <c r="K59" s="24" t="inlineStr">
        <is>
          <t>polymarket_us</t>
        </is>
      </c>
      <c r="L59" s="26" t="n">
        <v>113</v>
      </c>
      <c r="M59" s="39" t="n">
        <v>2.13</v>
      </c>
      <c r="N59" s="28" t="n">
        <v>0.469484</v>
      </c>
      <c r="O59" s="28" t="n">
        <v>0.651424</v>
      </c>
      <c r="P59" s="28" t="n"/>
      <c r="Q59" s="28" t="n">
        <v>0.181424</v>
      </c>
      <c r="R59" s="26" t="n">
        <v>100</v>
      </c>
      <c r="S59" s="29" t="n">
        <v>2</v>
      </c>
      <c r="T59" s="24" t="inlineStr">
        <is>
          <t>cs2-neutral-series-elo-v1</t>
        </is>
      </c>
      <c r="U59" s="24" t="inlineStr">
        <is>
          <t>open</t>
        </is>
      </c>
      <c r="V59" s="24" t="n"/>
      <c r="W59" s="26" t="n"/>
      <c r="X59" s="26" t="n"/>
      <c r="Y59" s="38" t="n"/>
      <c r="Z59" s="26" t="n"/>
      <c r="AA59" s="28" t="n"/>
      <c r="AB59" s="28" t="n"/>
      <c r="AC59" s="40" t="n"/>
      <c r="AD59" s="24" t="n"/>
      <c r="AE59" s="31" t="inlineStr">
        <is>
          <t>Neutral Elo baseline; executable ask 0.4700 (aec-cs2-cshp-g2a-2026-07-21).</t>
        </is>
      </c>
      <c r="AF59" s="31" t="inlineStr">
        <is>
          <t>Research baseline; zero-unit shadow until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G2 Ares</t>
        </is>
      </c>
      <c r="AQ59" s="24" t="inlineStr">
        <is>
          <t>G2 Ares</t>
        </is>
      </c>
      <c r="AR59" s="24" t="inlineStr">
        <is>
          <t>G2 Ares</t>
        </is>
      </c>
      <c r="AS59" s="24" t="inlineStr">
        <is>
          <t>CYBERSHOKE Prospects</t>
        </is>
      </c>
      <c r="AT59" s="24" t="inlineStr">
        <is>
          <t>CYBERSHOKE Prospects</t>
        </is>
      </c>
      <c r="AU59" s="24" t="inlineStr">
        <is>
          <t>CYBERSHOKE Prospects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9dbde86ab8062ac73a51c94b0ad431573ac8b755ccd742d86794849a749958c7</t>
        </is>
      </c>
      <c r="BB59" s="24" t="inlineStr">
        <is>
          <t>neutral_elo</t>
        </is>
      </c>
      <c r="BC59" s="24" t="inlineStr">
        <is>
          <t>cs2-neutral-series-elo-v1</t>
        </is>
      </c>
      <c r="BD59" s="24" t="inlineStr">
        <is>
          <t>9dbde86ab8062ac73a51c94b0ad431573ac8b755ccd742d86794849a749958c7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unknown</t>
        </is>
      </c>
      <c r="BH59" s="24" t="inlineStr">
        <is>
          <t>2026-07-21T03:22:25.111853Z</t>
        </is>
      </c>
      <c r="BI59" s="24" t="inlineStr">
        <is>
          <t>["same_event","same_team_same_day","same_league_same_day"]</t>
        </is>
      </c>
      <c r="BJ59" s="38" t="n"/>
      <c r="BK59" s="26" t="n">
        <v>113</v>
      </c>
      <c r="BL59" s="39" t="n">
        <v>2.13</v>
      </c>
      <c r="BM59" s="28" t="n">
        <v>0.469484</v>
      </c>
      <c r="BN59" s="28" t="n"/>
      <c r="BO59" s="28" t="n"/>
      <c r="BP59" s="38" t="n"/>
      <c r="BQ59" s="39" t="n"/>
      <c r="BR59" s="28" t="n"/>
      <c r="BS59" s="28" t="n"/>
      <c r="BT59" s="28" t="n"/>
      <c r="BU59" s="38" t="n"/>
      <c r="BV59" s="29" t="n"/>
      <c r="BW59" s="24" t="n"/>
      <c r="BX59" s="40" t="n"/>
      <c r="BY59" s="39" t="n"/>
      <c r="BZ59" s="24" t="n"/>
      <c r="CA59" s="31" t="n"/>
    </row>
    <row r="60" ht="36" customHeight="1">
      <c r="A60" s="24" t="inlineStr">
        <is>
          <t>4e51e760c7d547ec</t>
        </is>
      </c>
      <c r="B60" s="24" t="inlineStr">
        <is>
          <t>2026-07-21T03:22:25.393606Z</t>
        </is>
      </c>
      <c r="C60" s="24" t="inlineStr">
        <is>
          <t>2026-07-21T10:00:00Z</t>
        </is>
      </c>
      <c r="D60" s="24" t="inlineStr">
        <is>
          <t>54926</t>
        </is>
      </c>
      <c r="E60" s="24" t="inlineStr">
        <is>
          <t>CS2</t>
        </is>
      </c>
      <c r="F60" s="24" t="inlineStr">
        <is>
          <t>NIP</t>
        </is>
      </c>
      <c r="G60" s="24" t="inlineStr">
        <is>
          <t>M80</t>
        </is>
      </c>
      <c r="H60" s="24" t="inlineStr">
        <is>
          <t>moneyline</t>
        </is>
      </c>
      <c r="I60" s="24" t="inlineStr">
        <is>
          <t>home</t>
        </is>
      </c>
      <c r="J60" s="38" t="n"/>
      <c r="K60" s="24" t="inlineStr">
        <is>
          <t>polymarket_us</t>
        </is>
      </c>
      <c r="L60" s="26" t="n">
        <v>108</v>
      </c>
      <c r="M60" s="39" t="n">
        <v>2.08</v>
      </c>
      <c r="N60" s="28" t="n">
        <v>0.480769</v>
      </c>
      <c r="O60" s="28" t="n">
        <v>0.670551</v>
      </c>
      <c r="P60" s="28" t="n"/>
      <c r="Q60" s="28" t="n">
        <v>0.190551</v>
      </c>
      <c r="R60" s="26" t="n">
        <v>100</v>
      </c>
      <c r="S60" s="29" t="n">
        <v>2</v>
      </c>
      <c r="T60" s="24" t="inlineStr">
        <is>
          <t>cs2-neutral-series-elo-v1</t>
        </is>
      </c>
      <c r="U60" s="24" t="inlineStr">
        <is>
          <t>open</t>
        </is>
      </c>
      <c r="V60" s="24" t="n"/>
      <c r="W60" s="26" t="n"/>
      <c r="X60" s="26" t="n"/>
      <c r="Y60" s="38" t="n"/>
      <c r="Z60" s="26" t="n"/>
      <c r="AA60" s="28" t="n"/>
      <c r="AB60" s="28" t="n"/>
      <c r="AC60" s="40" t="n"/>
      <c r="AD60" s="24" t="n"/>
      <c r="AE60" s="31" t="inlineStr">
        <is>
          <t>Neutral Elo baseline; executable ask 0.4800 (aec-cs2-m80-nip-2026-07-21).</t>
        </is>
      </c>
      <c r="AF60" s="31" t="inlineStr">
        <is>
          <t>Research baseline; zero-unit shadow until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NIP</t>
        </is>
      </c>
      <c r="AQ60" s="24" t="inlineStr">
        <is>
          <t>NIP</t>
        </is>
      </c>
      <c r="AR60" s="24" t="inlineStr">
        <is>
          <t>NIP</t>
        </is>
      </c>
      <c r="AS60" s="24" t="inlineStr">
        <is>
          <t>M80</t>
        </is>
      </c>
      <c r="AT60" s="24" t="inlineStr">
        <is>
          <t>M80</t>
        </is>
      </c>
      <c r="AU60" s="24" t="inlineStr">
        <is>
          <t>M80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9dbde86ab8062ac73a51c94b0ad431573ac8b755ccd742d86794849a749958c7</t>
        </is>
      </c>
      <c r="BB60" s="24" t="inlineStr">
        <is>
          <t>neutral_elo</t>
        </is>
      </c>
      <c r="BC60" s="24" t="inlineStr">
        <is>
          <t>cs2-neutral-series-elo-v1</t>
        </is>
      </c>
      <c r="BD60" s="24" t="inlineStr">
        <is>
          <t>9dbde86ab8062ac73a51c94b0ad431573ac8b755ccd742d86794849a749958c7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unknown</t>
        </is>
      </c>
      <c r="BH60" s="24" t="inlineStr">
        <is>
          <t>2026-07-21T03:22:25.393606Z</t>
        </is>
      </c>
      <c r="BI60" s="24" t="inlineStr">
        <is>
          <t>["same_event","same_team_same_day","same_league_same_day"]</t>
        </is>
      </c>
      <c r="BJ60" s="38" t="n"/>
      <c r="BK60" s="26" t="n">
        <v>108</v>
      </c>
      <c r="BL60" s="39" t="n">
        <v>2.08</v>
      </c>
      <c r="BM60" s="28" t="n">
        <v>0.480769</v>
      </c>
      <c r="BN60" s="28" t="n"/>
      <c r="BO60" s="28" t="n"/>
      <c r="BP60" s="38" t="n"/>
      <c r="BQ60" s="39" t="n"/>
      <c r="BR60" s="28" t="n"/>
      <c r="BS60" s="28" t="n"/>
      <c r="BT60" s="28" t="n"/>
      <c r="BU60" s="38" t="n"/>
      <c r="BV60" s="29" t="n"/>
      <c r="BW60" s="24" t="n"/>
      <c r="BX60" s="40" t="n"/>
      <c r="BY60" s="39" t="n"/>
      <c r="BZ60" s="24" t="n"/>
      <c r="CA60" s="31" t="n"/>
    </row>
    <row r="61" ht="36" customHeight="1">
      <c r="A61" s="24" t="inlineStr">
        <is>
          <t>6d28b2d91c0e43cb</t>
        </is>
      </c>
      <c r="B61" s="24" t="inlineStr">
        <is>
          <t>2026-07-21T03:22:25.674986Z</t>
        </is>
      </c>
      <c r="C61" s="24" t="inlineStr">
        <is>
          <t>2026-07-21T10:30:00Z</t>
        </is>
      </c>
      <c r="D61" s="24" t="inlineStr">
        <is>
          <t>56029</t>
        </is>
      </c>
      <c r="E61" s="24" t="inlineStr">
        <is>
          <t>CS2</t>
        </is>
      </c>
      <c r="F61" s="24" t="inlineStr">
        <is>
          <t>CYBERSHOKE Esports</t>
        </is>
      </c>
      <c r="G61" s="24" t="inlineStr">
        <is>
          <t>BET-M 33</t>
        </is>
      </c>
      <c r="H61" s="24" t="inlineStr">
        <is>
          <t>moneyline</t>
        </is>
      </c>
      <c r="I61" s="24" t="inlineStr">
        <is>
          <t>home</t>
        </is>
      </c>
      <c r="J61" s="38" t="n"/>
      <c r="K61" s="24" t="inlineStr">
        <is>
          <t>polymarket_us</t>
        </is>
      </c>
      <c r="L61" s="26" t="n">
        <v>156</v>
      </c>
      <c r="M61" s="39" t="n">
        <v>2.56</v>
      </c>
      <c r="N61" s="28" t="n">
        <v>0.390625</v>
      </c>
      <c r="O61" s="28" t="n">
        <v>0.7467510000000001</v>
      </c>
      <c r="P61" s="28" t="n"/>
      <c r="Q61" s="28" t="n">
        <v>0.356751</v>
      </c>
      <c r="R61" s="26" t="n">
        <v>100</v>
      </c>
      <c r="S61" s="29" t="n">
        <v>2</v>
      </c>
      <c r="T61" s="24" t="inlineStr">
        <is>
          <t>cs2-neutral-series-elo-v1</t>
        </is>
      </c>
      <c r="U61" s="24" t="inlineStr">
        <is>
          <t>open</t>
        </is>
      </c>
      <c r="V61" s="24" t="n"/>
      <c r="W61" s="26" t="n"/>
      <c r="X61" s="26" t="n"/>
      <c r="Y61" s="38" t="n"/>
      <c r="Z61" s="26" t="n"/>
      <c r="AA61" s="28" t="n"/>
      <c r="AB61" s="28" t="n"/>
      <c r="AC61" s="40" t="n"/>
      <c r="AD61" s="24" t="n"/>
      <c r="AE61" s="31" t="inlineStr">
        <is>
          <t>Neutral Elo baseline; executable ask 0.3900 (aec-cs2-33-cs-2026-07-21).</t>
        </is>
      </c>
      <c r="AF61" s="31" t="inlineStr">
        <is>
          <t>Research baseline; zero-unit shadow until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CYBERSHOKE Esports</t>
        </is>
      </c>
      <c r="AQ61" s="24" t="inlineStr">
        <is>
          <t>CYBERSHOKE Esports</t>
        </is>
      </c>
      <c r="AR61" s="24" t="inlineStr">
        <is>
          <t>CYBERSHOKE Esports</t>
        </is>
      </c>
      <c r="AS61" s="24" t="inlineStr">
        <is>
          <t>BET-M 33</t>
        </is>
      </c>
      <c r="AT61" s="24" t="inlineStr">
        <is>
          <t>BET-M 33</t>
        </is>
      </c>
      <c r="AU61" s="24" t="inlineStr">
        <is>
          <t>BET-M 33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9dbde86ab8062ac73a51c94b0ad431573ac8b755ccd742d86794849a749958c7</t>
        </is>
      </c>
      <c r="BB61" s="24" t="inlineStr">
        <is>
          <t>neutral_elo</t>
        </is>
      </c>
      <c r="BC61" s="24" t="inlineStr">
        <is>
          <t>cs2-neutral-series-elo-v1</t>
        </is>
      </c>
      <c r="BD61" s="24" t="inlineStr">
        <is>
          <t>9dbde86ab8062ac73a51c94b0ad431573ac8b755ccd742d86794849a749958c7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unknown</t>
        </is>
      </c>
      <c r="BH61" s="24" t="inlineStr">
        <is>
          <t>2026-07-21T03:22:25.674986Z</t>
        </is>
      </c>
      <c r="BI61" s="24" t="inlineStr">
        <is>
          <t>["same_event","same_team_same_day","same_league_same_day"]</t>
        </is>
      </c>
      <c r="BJ61" s="38" t="n"/>
      <c r="BK61" s="26" t="n">
        <v>156</v>
      </c>
      <c r="BL61" s="39" t="n">
        <v>2.56</v>
      </c>
      <c r="BM61" s="28" t="n">
        <v>0.390625</v>
      </c>
      <c r="BN61" s="28" t="n"/>
      <c r="BO61" s="28" t="n"/>
      <c r="BP61" s="38" t="n"/>
      <c r="BQ61" s="39" t="n"/>
      <c r="BR61" s="28" t="n"/>
      <c r="BS61" s="28" t="n"/>
      <c r="BT61" s="28" t="n"/>
      <c r="BU61" s="38" t="n"/>
      <c r="BV61" s="29" t="n"/>
      <c r="BW61" s="24" t="n"/>
      <c r="BX61" s="40" t="n"/>
      <c r="BY61" s="39" t="n"/>
      <c r="BZ61" s="24" t="n"/>
      <c r="CA61" s="31" t="n"/>
    </row>
    <row r="62" ht="36" customHeight="1">
      <c r="A62" s="24" t="inlineStr">
        <is>
          <t>92ab4b9b757a4d51</t>
        </is>
      </c>
      <c r="B62" s="24" t="inlineStr">
        <is>
          <t>2026-07-21T03:22:25.976642Z</t>
        </is>
      </c>
      <c r="C62" s="24" t="inlineStr">
        <is>
          <t>2026-07-21T13:00:00Z</t>
        </is>
      </c>
      <c r="D62" s="24" t="inlineStr">
        <is>
          <t>56030</t>
        </is>
      </c>
      <c r="E62" s="24" t="inlineStr">
        <is>
          <t>CS2</t>
        </is>
      </c>
      <c r="F62" s="24" t="inlineStr">
        <is>
          <t>Gentle Mates</t>
        </is>
      </c>
      <c r="G62" s="24" t="inlineStr">
        <is>
          <t>3DMAX</t>
        </is>
      </c>
      <c r="H62" s="24" t="inlineStr">
        <is>
          <t>moneyline</t>
        </is>
      </c>
      <c r="I62" s="24" t="inlineStr">
        <is>
          <t>away</t>
        </is>
      </c>
      <c r="J62" s="38" t="n"/>
      <c r="K62" s="24" t="inlineStr">
        <is>
          <t>polymarket_us</t>
        </is>
      </c>
      <c r="L62" s="26" t="n">
        <v>117</v>
      </c>
      <c r="M62" s="39" t="n">
        <v>2.17</v>
      </c>
      <c r="N62" s="28" t="n">
        <v>0.460829</v>
      </c>
      <c r="O62" s="28" t="n">
        <v>0.569167</v>
      </c>
      <c r="P62" s="28" t="n"/>
      <c r="Q62" s="28" t="n">
        <v>0.109167</v>
      </c>
      <c r="R62" s="26" t="n">
        <v>100</v>
      </c>
      <c r="S62" s="29" t="n">
        <v>1.25</v>
      </c>
      <c r="T62" s="24" t="inlineStr">
        <is>
          <t>cs2-neutral-series-elo-v1</t>
        </is>
      </c>
      <c r="U62" s="24" t="inlineStr">
        <is>
          <t>open</t>
        </is>
      </c>
      <c r="V62" s="24" t="n"/>
      <c r="W62" s="26" t="n"/>
      <c r="X62" s="26" t="n"/>
      <c r="Y62" s="38" t="n"/>
      <c r="Z62" s="26" t="n"/>
      <c r="AA62" s="28" t="n"/>
      <c r="AB62" s="28" t="n"/>
      <c r="AC62" s="40" t="n"/>
      <c r="AD62" s="24" t="n"/>
      <c r="AE62" s="31" t="inlineStr">
        <is>
          <t>Neutral Elo baseline; executable ask 0.4600 (aec-cs2-3dmax-m8-2026-07-21).</t>
        </is>
      </c>
      <c r="AF62" s="31" t="inlineStr">
        <is>
          <t>Research baseline; zero-unit shadow until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Gentle Mates</t>
        </is>
      </c>
      <c r="AQ62" s="24" t="inlineStr">
        <is>
          <t>Gentle Mates</t>
        </is>
      </c>
      <c r="AR62" s="24" t="inlineStr">
        <is>
          <t>Gentle Mates</t>
        </is>
      </c>
      <c r="AS62" s="24" t="inlineStr">
        <is>
          <t>3DMAX</t>
        </is>
      </c>
      <c r="AT62" s="24" t="inlineStr">
        <is>
          <t>3DMAX</t>
        </is>
      </c>
      <c r="AU62" s="24" t="inlineStr">
        <is>
          <t>3DMAX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9dbde86ab8062ac73a51c94b0ad431573ac8b755ccd742d86794849a749958c7</t>
        </is>
      </c>
      <c r="BB62" s="24" t="inlineStr">
        <is>
          <t>neutral_elo</t>
        </is>
      </c>
      <c r="BC62" s="24" t="inlineStr">
        <is>
          <t>cs2-neutral-series-elo-v1</t>
        </is>
      </c>
      <c r="BD62" s="24" t="inlineStr">
        <is>
          <t>9dbde86ab8062ac73a51c94b0ad431573ac8b755ccd742d86794849a749958c7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unknown</t>
        </is>
      </c>
      <c r="BH62" s="24" t="inlineStr">
        <is>
          <t>2026-07-21T03:22:25.976642Z</t>
        </is>
      </c>
      <c r="BI62" s="24" t="inlineStr">
        <is>
          <t>["same_event","same_team_same_day","same_league_same_day"]</t>
        </is>
      </c>
      <c r="BJ62" s="38" t="n"/>
      <c r="BK62" s="26" t="n">
        <v>117</v>
      </c>
      <c r="BL62" s="39" t="n">
        <v>2.17</v>
      </c>
      <c r="BM62" s="28" t="n">
        <v>0.460829</v>
      </c>
      <c r="BN62" s="28" t="n"/>
      <c r="BO62" s="28" t="n"/>
      <c r="BP62" s="38" t="n"/>
      <c r="BQ62" s="39" t="n"/>
      <c r="BR62" s="28" t="n"/>
      <c r="BS62" s="28" t="n"/>
      <c r="BT62" s="28" t="n"/>
      <c r="BU62" s="38" t="n"/>
      <c r="BV62" s="29" t="n"/>
      <c r="BW62" s="24" t="n"/>
      <c r="BX62" s="40" t="n"/>
      <c r="BY62" s="39" t="n"/>
      <c r="BZ62" s="24" t="n"/>
      <c r="CA62" s="31" t="n"/>
    </row>
    <row r="63" ht="36" customHeight="1">
      <c r="A63" s="24" t="inlineStr">
        <is>
          <t>1aef576950e144a8</t>
        </is>
      </c>
      <c r="B63" s="24" t="inlineStr">
        <is>
          <t>2026-07-21T03:22:26.273160Z</t>
        </is>
      </c>
      <c r="C63" s="24" t="inlineStr">
        <is>
          <t>2026-07-21T16:00:00Z</t>
        </is>
      </c>
      <c r="D63" s="24" t="inlineStr">
        <is>
          <t>50619</t>
        </is>
      </c>
      <c r="E63" s="24" t="inlineStr">
        <is>
          <t>CS2</t>
        </is>
      </c>
      <c r="F63" s="24" t="inlineStr">
        <is>
          <t>BOJONG</t>
        </is>
      </c>
      <c r="G63" s="24" t="inlineStr">
        <is>
          <t>Entropy</t>
        </is>
      </c>
      <c r="H63" s="24" t="inlineStr">
        <is>
          <t>moneyline</t>
        </is>
      </c>
      <c r="I63" s="24" t="inlineStr">
        <is>
          <t>home</t>
        </is>
      </c>
      <c r="J63" s="38" t="n"/>
      <c r="K63" s="24" t="inlineStr">
        <is>
          <t>polymarket_us</t>
        </is>
      </c>
      <c r="L63" s="26" t="n">
        <v>-117</v>
      </c>
      <c r="M63" s="39" t="n">
        <v>1.854701</v>
      </c>
      <c r="N63" s="28" t="n">
        <v>0.539171</v>
      </c>
      <c r="O63" s="28" t="n">
        <v>0.71144</v>
      </c>
      <c r="P63" s="28" t="n"/>
      <c r="Q63" s="28" t="n">
        <v>0.17144</v>
      </c>
      <c r="R63" s="26" t="n">
        <v>100</v>
      </c>
      <c r="S63" s="29" t="n">
        <v>2</v>
      </c>
      <c r="T63" s="24" t="inlineStr">
        <is>
          <t>cs2-neutral-series-elo-v1</t>
        </is>
      </c>
      <c r="U63" s="24" t="inlineStr">
        <is>
          <t>open</t>
        </is>
      </c>
      <c r="V63" s="24" t="n"/>
      <c r="W63" s="26" t="n"/>
      <c r="X63" s="26" t="n"/>
      <c r="Y63" s="38" t="n"/>
      <c r="Z63" s="26" t="n"/>
      <c r="AA63" s="28" t="n"/>
      <c r="AB63" s="28" t="n"/>
      <c r="AC63" s="40" t="n"/>
      <c r="AD63" s="24" t="n"/>
      <c r="AE63" s="31" t="inlineStr">
        <is>
          <t>Neutral Elo baseline; executable ask 0.5400 (aec-cs2-ent-bjng-2026-07-14).</t>
        </is>
      </c>
      <c r="AF63" s="31" t="inlineStr">
        <is>
          <t>Research baseline; zero-unit shadow until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BOJONG</t>
        </is>
      </c>
      <c r="AQ63" s="24" t="inlineStr">
        <is>
          <t>BOJONG</t>
        </is>
      </c>
      <c r="AR63" s="24" t="inlineStr">
        <is>
          <t>BOJONG</t>
        </is>
      </c>
      <c r="AS63" s="24" t="inlineStr">
        <is>
          <t>Entropy</t>
        </is>
      </c>
      <c r="AT63" s="24" t="inlineStr">
        <is>
          <t>Entropy</t>
        </is>
      </c>
      <c r="AU63" s="24" t="inlineStr">
        <is>
          <t>Entropy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9dbde86ab8062ac73a51c94b0ad431573ac8b755ccd742d86794849a749958c7</t>
        </is>
      </c>
      <c r="BB63" s="24" t="inlineStr">
        <is>
          <t>neutral_elo</t>
        </is>
      </c>
      <c r="BC63" s="24" t="inlineStr">
        <is>
          <t>cs2-neutral-series-elo-v1</t>
        </is>
      </c>
      <c r="BD63" s="24" t="inlineStr">
        <is>
          <t>9dbde86ab8062ac73a51c94b0ad431573ac8b755ccd742d86794849a749958c7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unknown</t>
        </is>
      </c>
      <c r="BH63" s="24" t="inlineStr">
        <is>
          <t>2026-07-21T03:22:26.273160Z</t>
        </is>
      </c>
      <c r="BI63" s="24" t="inlineStr">
        <is>
          <t>["same_event","same_team_same_day","same_league_same_day"]</t>
        </is>
      </c>
      <c r="BJ63" s="38" t="n"/>
      <c r="BK63" s="26" t="n">
        <v>-117</v>
      </c>
      <c r="BL63" s="39" t="n">
        <v>1.854701</v>
      </c>
      <c r="BM63" s="28" t="n">
        <v>0.539171</v>
      </c>
      <c r="BN63" s="28" t="n"/>
      <c r="BO63" s="28" t="n"/>
      <c r="BP63" s="38" t="n"/>
      <c r="BQ63" s="39" t="n"/>
      <c r="BR63" s="28" t="n"/>
      <c r="BS63" s="28" t="n"/>
      <c r="BT63" s="28" t="n"/>
      <c r="BU63" s="38" t="n"/>
      <c r="BV63" s="29" t="n"/>
      <c r="BW63" s="24" t="n"/>
      <c r="BX63" s="40" t="n"/>
      <c r="BY63" s="39" t="n"/>
      <c r="BZ63" s="24" t="n"/>
      <c r="CA63" s="31" t="n"/>
    </row>
    <row r="64" ht="36" customHeight="1">
      <c r="A64" s="24" t="inlineStr">
        <is>
          <t>110d457a3dff430a</t>
        </is>
      </c>
      <c r="B64" s="24" t="inlineStr">
        <is>
          <t>2026-07-21T03:22:26.572469Z</t>
        </is>
      </c>
      <c r="C64" s="24" t="inlineStr">
        <is>
          <t>2026-07-21T17:30:00Z</t>
        </is>
      </c>
      <c r="D64" s="24" t="inlineStr">
        <is>
          <t>55178</t>
        </is>
      </c>
      <c r="E64" s="24" t="inlineStr">
        <is>
          <t>CS2</t>
        </is>
      </c>
      <c r="F64" s="24" t="inlineStr">
        <is>
          <t>Wildcard</t>
        </is>
      </c>
      <c r="G64" s="24" t="inlineStr">
        <is>
          <t>Alliance</t>
        </is>
      </c>
      <c r="H64" s="24" t="inlineStr">
        <is>
          <t>moneyline</t>
        </is>
      </c>
      <c r="I64" s="24" t="inlineStr">
        <is>
          <t>home</t>
        </is>
      </c>
      <c r="J64" s="38" t="n"/>
      <c r="K64" s="24" t="inlineStr">
        <is>
          <t>polymarket_us</t>
        </is>
      </c>
      <c r="L64" s="26" t="n">
        <v>-178</v>
      </c>
      <c r="M64" s="39" t="n">
        <v>1.561798</v>
      </c>
      <c r="N64" s="28" t="n">
        <v>0.640288</v>
      </c>
      <c r="O64" s="28" t="n">
        <v>0.715788</v>
      </c>
      <c r="P64" s="28" t="n"/>
      <c r="Q64" s="28" t="n">
        <v>0.07578799999999999</v>
      </c>
      <c r="R64" s="26" t="n">
        <v>75</v>
      </c>
      <c r="S64" s="29" t="n">
        <v>2</v>
      </c>
      <c r="T64" s="24" t="inlineStr">
        <is>
          <t>cs2-neutral-series-elo-v1</t>
        </is>
      </c>
      <c r="U64" s="24" t="inlineStr">
        <is>
          <t>open</t>
        </is>
      </c>
      <c r="V64" s="24" t="n"/>
      <c r="W64" s="26" t="n"/>
      <c r="X64" s="26" t="n"/>
      <c r="Y64" s="38" t="n"/>
      <c r="Z64" s="26" t="n"/>
      <c r="AA64" s="28" t="n"/>
      <c r="AB64" s="28" t="n"/>
      <c r="AC64" s="40" t="n"/>
      <c r="AD64" s="24" t="n"/>
      <c r="AE64" s="31" t="inlineStr">
        <is>
          <t>Neutral Elo baseline; executable ask 0.6400 (aec-cs2-all-wc-2026-07-21).</t>
        </is>
      </c>
      <c r="AF64" s="31" t="inlineStr">
        <is>
          <t>Research baseline; zero-unit shadow until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Wildcard</t>
        </is>
      </c>
      <c r="AQ64" s="24" t="inlineStr">
        <is>
          <t>Wildcard</t>
        </is>
      </c>
      <c r="AR64" s="24" t="inlineStr">
        <is>
          <t>Wildcard</t>
        </is>
      </c>
      <c r="AS64" s="24" t="inlineStr">
        <is>
          <t>Alliance</t>
        </is>
      </c>
      <c r="AT64" s="24" t="inlineStr">
        <is>
          <t>Alliance</t>
        </is>
      </c>
      <c r="AU64" s="24" t="inlineStr">
        <is>
          <t>Alliance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9dbde86ab8062ac73a51c94b0ad431573ac8b755ccd742d86794849a749958c7</t>
        </is>
      </c>
      <c r="BB64" s="24" t="inlineStr">
        <is>
          <t>neutral_elo</t>
        </is>
      </c>
      <c r="BC64" s="24" t="inlineStr">
        <is>
          <t>cs2-neutral-series-elo-v1</t>
        </is>
      </c>
      <c r="BD64" s="24" t="inlineStr">
        <is>
          <t>9dbde86ab8062ac73a51c94b0ad431573ac8b755ccd742d86794849a749958c7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unknown</t>
        </is>
      </c>
      <c r="BH64" s="24" t="inlineStr">
        <is>
          <t>2026-07-21T03:22:26.572469Z</t>
        </is>
      </c>
      <c r="BI64" s="24" t="inlineStr">
        <is>
          <t>["same_event","same_team_same_day","same_league_same_day"]</t>
        </is>
      </c>
      <c r="BJ64" s="38" t="n"/>
      <c r="BK64" s="26" t="n">
        <v>-178</v>
      </c>
      <c r="BL64" s="39" t="n">
        <v>1.561798</v>
      </c>
      <c r="BM64" s="28" t="n">
        <v>0.640288</v>
      </c>
      <c r="BN64" s="28" t="n"/>
      <c r="BO64" s="28" t="n"/>
      <c r="BP64" s="38" t="n"/>
      <c r="BQ64" s="39" t="n"/>
      <c r="BR64" s="28" t="n"/>
      <c r="BS64" s="28" t="n"/>
      <c r="BT64" s="28" t="n"/>
      <c r="BU64" s="38" t="n"/>
      <c r="BV64" s="29" t="n"/>
      <c r="BW64" s="24" t="n"/>
      <c r="BX64" s="40" t="n"/>
      <c r="BY64" s="39" t="n"/>
      <c r="BZ64" s="24" t="n"/>
      <c r="CA64" s="31" t="n"/>
    </row>
    <row r="65" ht="36" customHeight="1">
      <c r="A65" s="24" t="inlineStr">
        <is>
          <t>23ff1f11e60542ce</t>
        </is>
      </c>
      <c r="B65" s="24" t="inlineStr">
        <is>
          <t>2026-07-21T03:22:26.943026Z</t>
        </is>
      </c>
      <c r="C65" s="24" t="inlineStr">
        <is>
          <t>2026-07-21T19:00:00Z</t>
        </is>
      </c>
      <c r="D65" s="24" t="inlineStr">
        <is>
          <t>56760</t>
        </is>
      </c>
      <c r="E65" s="24" t="inlineStr">
        <is>
          <t>CS2</t>
        </is>
      </c>
      <c r="F65" s="24" t="inlineStr">
        <is>
          <t>ALKA GAMING</t>
        </is>
      </c>
      <c r="G65" s="24" t="inlineStr">
        <is>
          <t>Procyon Gaming</t>
        </is>
      </c>
      <c r="H65" s="24" t="inlineStr">
        <is>
          <t>moneyline</t>
        </is>
      </c>
      <c r="I65" s="24" t="inlineStr">
        <is>
          <t>away</t>
        </is>
      </c>
      <c r="J65" s="38" t="n"/>
      <c r="K65" s="24" t="inlineStr">
        <is>
          <t>polymarket_us</t>
        </is>
      </c>
      <c r="L65" s="26" t="n">
        <v>-133</v>
      </c>
      <c r="M65" s="39" t="n">
        <v>1.75188</v>
      </c>
      <c r="N65" s="28" t="n">
        <v>0.570815</v>
      </c>
      <c r="O65" s="28" t="n">
        <v>0.700612</v>
      </c>
      <c r="P65" s="28" t="n"/>
      <c r="Q65" s="28" t="n">
        <v>0.130612</v>
      </c>
      <c r="R65" s="26" t="n">
        <v>100</v>
      </c>
      <c r="S65" s="29" t="n">
        <v>2</v>
      </c>
      <c r="T65" s="24" t="inlineStr">
        <is>
          <t>cs2-neutral-series-elo-v1</t>
        </is>
      </c>
      <c r="U65" s="24" t="inlineStr">
        <is>
          <t>open</t>
        </is>
      </c>
      <c r="V65" s="24" t="n"/>
      <c r="W65" s="26" t="n"/>
      <c r="X65" s="26" t="n"/>
      <c r="Y65" s="38" t="n"/>
      <c r="Z65" s="26" t="n"/>
      <c r="AA65" s="28" t="n"/>
      <c r="AB65" s="28" t="n"/>
      <c r="AC65" s="40" t="n"/>
      <c r="AD65" s="24" t="n"/>
      <c r="AE65" s="31" t="inlineStr">
        <is>
          <t>Neutral Elo baseline; executable ask 0.5700 (aec-cs2-pcy-alka-2026-07-21).</t>
        </is>
      </c>
      <c r="AF65" s="31" t="inlineStr">
        <is>
          <t>Research baseline; zero-unit shadow until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ALKA GAMING</t>
        </is>
      </c>
      <c r="AQ65" s="24" t="inlineStr">
        <is>
          <t>ALKA GAMING</t>
        </is>
      </c>
      <c r="AR65" s="24" t="inlineStr">
        <is>
          <t>ALKA GAMING</t>
        </is>
      </c>
      <c r="AS65" s="24" t="inlineStr">
        <is>
          <t>Procyon Gaming</t>
        </is>
      </c>
      <c r="AT65" s="24" t="inlineStr">
        <is>
          <t>Procyon Gaming</t>
        </is>
      </c>
      <c r="AU65" s="24" t="inlineStr">
        <is>
          <t>Procyon Gaming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9dbde86ab8062ac73a51c94b0ad431573ac8b755ccd742d86794849a749958c7</t>
        </is>
      </c>
      <c r="BB65" s="24" t="inlineStr">
        <is>
          <t>neutral_elo</t>
        </is>
      </c>
      <c r="BC65" s="24" t="inlineStr">
        <is>
          <t>cs2-neutral-series-elo-v1</t>
        </is>
      </c>
      <c r="BD65" s="24" t="inlineStr">
        <is>
          <t>9dbde86ab8062ac73a51c94b0ad431573ac8b755ccd742d86794849a749958c7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unknown</t>
        </is>
      </c>
      <c r="BH65" s="24" t="inlineStr">
        <is>
          <t>2026-07-21T03:22:26.943026Z</t>
        </is>
      </c>
      <c r="BI65" s="24" t="inlineStr">
        <is>
          <t>["same_event","same_team_same_day","same_league_same_day"]</t>
        </is>
      </c>
      <c r="BJ65" s="38" t="n"/>
      <c r="BK65" s="26" t="n">
        <v>-133</v>
      </c>
      <c r="BL65" s="39" t="n">
        <v>1.75188</v>
      </c>
      <c r="BM65" s="28" t="n">
        <v>0.570815</v>
      </c>
      <c r="BN65" s="28" t="n"/>
      <c r="BO65" s="28" t="n"/>
      <c r="BP65" s="38" t="n"/>
      <c r="BQ65" s="39" t="n"/>
      <c r="BR65" s="28" t="n"/>
      <c r="BS65" s="28" t="n"/>
      <c r="BT65" s="28" t="n"/>
      <c r="BU65" s="38" t="n"/>
      <c r="BV65" s="29" t="n"/>
      <c r="BW65" s="24" t="n"/>
      <c r="BX65" s="40" t="n"/>
      <c r="BY65" s="39" t="n"/>
      <c r="BZ65" s="24" t="n"/>
      <c r="CA65" s="31" t="n"/>
    </row>
    <row r="66" ht="36" customHeight="1">
      <c r="A66" s="24" t="inlineStr">
        <is>
          <t>76f8847ced664957</t>
        </is>
      </c>
      <c r="B66" s="24" t="inlineStr">
        <is>
          <t>2026-07-21T03:23:38.960975Z</t>
        </is>
      </c>
      <c r="C66" s="24" t="inlineStr">
        <is>
          <t>2026-07-22T08:00:00Z</t>
        </is>
      </c>
      <c r="D66" s="24" t="inlineStr">
        <is>
          <t>57989</t>
        </is>
      </c>
      <c r="E66" s="24" t="inlineStr">
        <is>
          <t>CS2</t>
        </is>
      </c>
      <c r="F66" s="24" t="inlineStr">
        <is>
          <t>Rune Eaters</t>
        </is>
      </c>
      <c r="G66" s="24" t="inlineStr">
        <is>
          <t>Black Phoenix</t>
        </is>
      </c>
      <c r="H66" s="24" t="inlineStr">
        <is>
          <t>moneyline</t>
        </is>
      </c>
      <c r="I66" s="24" t="inlineStr">
        <is>
          <t>away</t>
        </is>
      </c>
      <c r="J66" s="38" t="n"/>
      <c r="K66" s="24" t="inlineStr">
        <is>
          <t>polymarket_us</t>
        </is>
      </c>
      <c r="L66" s="26" t="n">
        <v>138</v>
      </c>
      <c r="M66" s="39" t="n">
        <v>2.38</v>
      </c>
      <c r="N66" s="28" t="n">
        <v>0.420168</v>
      </c>
      <c r="O66" s="28" t="n">
        <v>0.629112</v>
      </c>
      <c r="P66" s="28" t="n"/>
      <c r="Q66" s="28" t="n">
        <v>0.209112</v>
      </c>
      <c r="R66" s="26" t="n">
        <v>100</v>
      </c>
      <c r="S66" s="29" t="n">
        <v>1.75</v>
      </c>
      <c r="T66" s="24" t="inlineStr">
        <is>
          <t>cs2-neutral-series-elo-v1</t>
        </is>
      </c>
      <c r="U66" s="24" t="inlineStr">
        <is>
          <t>open</t>
        </is>
      </c>
      <c r="V66" s="24" t="n"/>
      <c r="W66" s="26" t="n"/>
      <c r="X66" s="26" t="n"/>
      <c r="Y66" s="38" t="n"/>
      <c r="Z66" s="26" t="n"/>
      <c r="AA66" s="28" t="n"/>
      <c r="AB66" s="28" t="n"/>
      <c r="AC66" s="40" t="n"/>
      <c r="AD66" s="24" t="n"/>
      <c r="AE66" s="31" t="inlineStr">
        <is>
          <t>Neutral Elo baseline; executable ask 0.4200 (aec-cs2-bpl-re-2026-07-22).</t>
        </is>
      </c>
      <c r="AF66" s="31" t="inlineStr">
        <is>
          <t>Research baseline; zero-unit shadow until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Rune Eaters</t>
        </is>
      </c>
      <c r="AQ66" s="24" t="inlineStr">
        <is>
          <t>Rune Eaters</t>
        </is>
      </c>
      <c r="AR66" s="24" t="inlineStr">
        <is>
          <t>Rune Eaters</t>
        </is>
      </c>
      <c r="AS66" s="24" t="inlineStr">
        <is>
          <t>Black Phoenix</t>
        </is>
      </c>
      <c r="AT66" s="24" t="inlineStr">
        <is>
          <t>Black Phoenix</t>
        </is>
      </c>
      <c r="AU66" s="24" t="inlineStr">
        <is>
          <t>Black Phoenix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9dbde86ab8062ac73a51c94b0ad431573ac8b755ccd742d86794849a749958c7</t>
        </is>
      </c>
      <c r="BB66" s="24" t="inlineStr">
        <is>
          <t>neutral_elo</t>
        </is>
      </c>
      <c r="BC66" s="24" t="inlineStr">
        <is>
          <t>cs2-neutral-series-elo-v1</t>
        </is>
      </c>
      <c r="BD66" s="24" t="inlineStr">
        <is>
          <t>9dbde86ab8062ac73a51c94b0ad431573ac8b755ccd742d86794849a749958c7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unknown</t>
        </is>
      </c>
      <c r="BH66" s="24" t="inlineStr">
        <is>
          <t>2026-07-21T03:23:38.960975Z</t>
        </is>
      </c>
      <c r="BI66" s="24" t="inlineStr">
        <is>
          <t>["same_event","same_team_same_day","same_league_same_day"]</t>
        </is>
      </c>
      <c r="BJ66" s="38" t="n"/>
      <c r="BK66" s="26" t="n">
        <v>138</v>
      </c>
      <c r="BL66" s="39" t="n">
        <v>2.38</v>
      </c>
      <c r="BM66" s="28" t="n">
        <v>0.420168</v>
      </c>
      <c r="BN66" s="28" t="n"/>
      <c r="BO66" s="28" t="n"/>
      <c r="BP66" s="38" t="n"/>
      <c r="BQ66" s="39" t="n"/>
      <c r="BR66" s="28" t="n"/>
      <c r="BS66" s="28" t="n"/>
      <c r="BT66" s="28" t="n"/>
      <c r="BU66" s="38" t="n"/>
      <c r="BV66" s="29" t="n"/>
      <c r="BW66" s="24" t="n"/>
      <c r="BX66" s="40" t="n"/>
      <c r="BY66" s="39" t="n"/>
      <c r="BZ66" s="24" t="n"/>
      <c r="CA66" s="31" t="n"/>
    </row>
    <row r="67" ht="36" customHeight="1">
      <c r="A67" s="24" t="inlineStr">
        <is>
          <t>e05499360e0946b9</t>
        </is>
      </c>
      <c r="B67" s="24" t="inlineStr">
        <is>
          <t>2026-07-21T03:37:13.798671Z</t>
        </is>
      </c>
      <c r="C67" s="24" t="inlineStr">
        <is>
          <t>2026-07-21T11:00:00Z</t>
        </is>
      </c>
      <c r="D67" s="24" t="inlineStr">
        <is>
          <t>56865</t>
        </is>
      </c>
      <c r="E67" s="24" t="inlineStr">
        <is>
          <t>CS2</t>
        </is>
      </c>
      <c r="F67" s="24" t="inlineStr">
        <is>
          <t>Julie&amp;cie</t>
        </is>
      </c>
      <c r="G67" s="24" t="inlineStr">
        <is>
          <t>Honvéd</t>
        </is>
      </c>
      <c r="H67" s="24" t="inlineStr">
        <is>
          <t>moneyline</t>
        </is>
      </c>
      <c r="I67" s="24" t="inlineStr">
        <is>
          <t>home</t>
        </is>
      </c>
      <c r="J67" s="38" t="n"/>
      <c r="K67" s="24" t="inlineStr">
        <is>
          <t>polymarket_us</t>
        </is>
      </c>
      <c r="L67" s="26" t="n">
        <v>-194</v>
      </c>
      <c r="M67" s="39" t="n">
        <v>1.515464</v>
      </c>
      <c r="N67" s="28" t="n">
        <v>0.659864</v>
      </c>
      <c r="O67" s="28" t="n">
        <v>0.705785</v>
      </c>
      <c r="P67" s="28" t="n"/>
      <c r="Q67" s="28" t="n">
        <v>0.045785</v>
      </c>
      <c r="R67" s="26" t="n">
        <v>45</v>
      </c>
      <c r="S67" s="29" t="n">
        <v>2</v>
      </c>
      <c r="T67" s="24" t="inlineStr">
        <is>
          <t>cs2-neutral-series-elo-v1</t>
        </is>
      </c>
      <c r="U67" s="24" t="inlineStr">
        <is>
          <t>open</t>
        </is>
      </c>
      <c r="V67" s="24" t="n"/>
      <c r="W67" s="26" t="n"/>
      <c r="X67" s="26" t="n"/>
      <c r="Y67" s="38" t="n"/>
      <c r="Z67" s="26" t="n"/>
      <c r="AA67" s="28" t="n"/>
      <c r="AB67" s="28" t="n"/>
      <c r="AC67" s="40" t="n"/>
      <c r="AD67" s="24" t="n"/>
      <c r="AE67" s="31" t="inlineStr">
        <is>
          <t>Neutral Elo baseline; executable ask 0.6600 (aec-cs2-hon-jul-2026-07-21).</t>
        </is>
      </c>
      <c r="AF67" s="31" t="inlineStr">
        <is>
          <t>Research baseline; zero-unit shadow until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Julie&amp;cie</t>
        </is>
      </c>
      <c r="AQ67" s="24" t="inlineStr">
        <is>
          <t>Julie&amp;cie</t>
        </is>
      </c>
      <c r="AR67" s="24" t="inlineStr">
        <is>
          <t>Julie&amp;cie</t>
        </is>
      </c>
      <c r="AS67" s="24" t="inlineStr">
        <is>
          <t>Honvéd</t>
        </is>
      </c>
      <c r="AT67" s="24" t="inlineStr">
        <is>
          <t>Honvéd</t>
        </is>
      </c>
      <c r="AU67" s="24" t="inlineStr">
        <is>
          <t>Honvéd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9dbde86ab8062ac73a51c94b0ad431573ac8b755ccd742d86794849a749958c7</t>
        </is>
      </c>
      <c r="BB67" s="24" t="inlineStr">
        <is>
          <t>neutral_elo</t>
        </is>
      </c>
      <c r="BC67" s="24" t="inlineStr">
        <is>
          <t>cs2-neutral-series-elo-v1</t>
        </is>
      </c>
      <c r="BD67" s="24" t="inlineStr">
        <is>
          <t>9dbde86ab8062ac73a51c94b0ad431573ac8b755ccd742d86794849a749958c7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unknown</t>
        </is>
      </c>
      <c r="BH67" s="24" t="inlineStr">
        <is>
          <t>2026-07-21T03:37:13.798671Z</t>
        </is>
      </c>
      <c r="BI67" s="24" t="inlineStr">
        <is>
          <t>["same_event","same_team_same_day","same_league_same_day"]</t>
        </is>
      </c>
      <c r="BJ67" s="38" t="n"/>
      <c r="BK67" s="26" t="n">
        <v>-194</v>
      </c>
      <c r="BL67" s="39" t="n">
        <v>1.515464</v>
      </c>
      <c r="BM67" s="28" t="n">
        <v>0.659864</v>
      </c>
      <c r="BN67" s="28" t="n"/>
      <c r="BO67" s="28" t="n"/>
      <c r="BP67" s="38" t="n"/>
      <c r="BQ67" s="39" t="n"/>
      <c r="BR67" s="28" t="n"/>
      <c r="BS67" s="28" t="n"/>
      <c r="BT67" s="28" t="n"/>
      <c r="BU67" s="38" t="n"/>
      <c r="BV67" s="29" t="n"/>
      <c r="BW67" s="24" t="n"/>
      <c r="BX67" s="40" t="n"/>
      <c r="BY67" s="39" t="n"/>
      <c r="BZ67" s="24" t="n"/>
      <c r="CA67" s="31" t="n"/>
    </row>
    <row r="68" ht="36" customHeight="1">
      <c r="A68" s="24" t="inlineStr">
        <is>
          <t>d8b509d231b749ff</t>
        </is>
      </c>
      <c r="B68" s="24" t="inlineStr">
        <is>
          <t>2026-07-21T04:39:43.652985Z</t>
        </is>
      </c>
      <c r="C68" s="24" t="inlineStr">
        <is>
          <t>2026-07-21T21:40:00-0400</t>
        </is>
      </c>
      <c r="D68" s="24" t="inlineStr">
        <is>
          <t>401816213</t>
        </is>
      </c>
      <c r="E68" s="24" t="inlineStr">
        <is>
          <t>MLB</t>
        </is>
      </c>
      <c r="F68" s="24" t="inlineStr">
        <is>
          <t>Athletics</t>
        </is>
      </c>
      <c r="G68" s="24" t="inlineStr">
        <is>
          <t>Arizona Diamondbacks</t>
        </is>
      </c>
      <c r="H68" s="24" t="inlineStr">
        <is>
          <t>moneyline</t>
        </is>
      </c>
      <c r="I68" s="24" t="inlineStr">
        <is>
          <t>home</t>
        </is>
      </c>
      <c r="J68" s="38" t="n"/>
      <c r="K68" s="24" t="inlineStr">
        <is>
          <t>polymarket_us</t>
        </is>
      </c>
      <c r="L68" s="26" t="n">
        <v>-127</v>
      </c>
      <c r="M68" s="39" t="n">
        <v>1.787402</v>
      </c>
      <c r="N68" s="28" t="n">
        <v>0.5594710000000001</v>
      </c>
      <c r="O68" s="28" t="n">
        <v>0.58189</v>
      </c>
      <c r="P68" s="28" t="n"/>
      <c r="Q68" s="28" t="n">
        <v>0.022419</v>
      </c>
      <c r="R68" s="26" t="n">
        <v>31</v>
      </c>
      <c r="S68" s="29" t="n">
        <v>1.25</v>
      </c>
      <c r="T68" s="24" t="inlineStr">
        <is>
          <t>mlb-elo-trend-lr-v4</t>
        </is>
      </c>
      <c r="U68" s="24" t="inlineStr">
        <is>
          <t>open</t>
        </is>
      </c>
      <c r="V68" s="24" t="n"/>
      <c r="W68" s="26" t="n"/>
      <c r="X68" s="26" t="n"/>
      <c r="Y68" s="38" t="n"/>
      <c r="Z68" s="26" t="n"/>
      <c r="AA68" s="28" t="n"/>
      <c r="AB68" s="28" t="n"/>
      <c r="AC68" s="40" t="n"/>
      <c r="AD68" s="24" t="n"/>
      <c r="AE68" s="31" t="inlineStr">
        <is>
          <t>Learned LR call at threshold 0.5500; executable ask 0.5600 (aec-mlb-ath-az-2026-07-21).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mlb-ath</t>
        </is>
      </c>
      <c r="AQ68" s="24" t="inlineStr">
        <is>
          <t>Athletics</t>
        </is>
      </c>
      <c r="AR68" s="24" t="inlineStr">
        <is>
          <t>Athletics</t>
        </is>
      </c>
      <c r="AS68" s="24" t="inlineStr">
        <is>
          <t>mlb-ari</t>
        </is>
      </c>
      <c r="AT68" s="24" t="inlineStr">
        <is>
          <t>Arizona Diamondbacks</t>
        </is>
      </c>
      <c r="AU68" s="24" t="inlineStr">
        <is>
          <t>Arizona Diamondbacks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5224fb6ffbc9ddf8fa517627b830ac851192da94d241963d556945393a42bb9d</t>
        </is>
      </c>
      <c r="BB68" s="24" t="inlineStr">
        <is>
          <t>learned_lr</t>
        </is>
      </c>
      <c r="BC68" s="24" t="inlineStr">
        <is>
          <t>mlb-elo-trend-lr-v4</t>
        </is>
      </c>
      <c r="BD68" s="24" t="inlineStr">
        <is>
          <t>5224fb6ffbc9ddf8fa517627b830ac851192da94d241963d556945393a42bb9d</t>
        </is>
      </c>
      <c r="BE68" s="24" t="inlineStr">
        <is>
          <t>9892b2a76fbe9db3</t>
        </is>
      </c>
      <c r="BF68" s="24" t="inlineStr">
        <is>
          <t>1</t>
        </is>
      </c>
      <c r="BG68" s="24" t="inlineStr">
        <is>
          <t>mlb-elo-trend-lr-v4</t>
        </is>
      </c>
      <c r="BH68" s="24" t="inlineStr">
        <is>
          <t>2026-07-21T04:39:17.517164Z</t>
        </is>
      </c>
      <c r="BI68" s="24" t="inlineStr">
        <is>
          <t>["same_event","same_team_same_day","same_league_same_day"]</t>
        </is>
      </c>
      <c r="BJ68" s="38" t="n"/>
      <c r="BK68" s="26" t="n">
        <v>-127</v>
      </c>
      <c r="BL68" s="39" t="n">
        <v>1.787402</v>
      </c>
      <c r="BM68" s="28" t="n">
        <v>0.5594710000000001</v>
      </c>
      <c r="BN68" s="28" t="n">
        <v>0.557214</v>
      </c>
      <c r="BO68" s="28" t="n"/>
      <c r="BP68" s="38" t="n"/>
      <c r="BQ68" s="39" t="n"/>
      <c r="BR68" s="28" t="n"/>
      <c r="BS68" s="28" t="n"/>
      <c r="BT68" s="28" t="n"/>
      <c r="BU68" s="38" t="n"/>
      <c r="BV68" s="29" t="n"/>
      <c r="BW68" s="24" t="n"/>
      <c r="BX68" s="40" t="n"/>
      <c r="BY68" s="39" t="n"/>
      <c r="BZ68" s="24" t="n"/>
      <c r="CA68" s="31" t="n"/>
    </row>
    <row r="69" ht="36" customHeight="1">
      <c r="A69" s="24" t="inlineStr">
        <is>
          <t>91bedfe6718a4a34</t>
        </is>
      </c>
      <c r="B69" s="24" t="inlineStr">
        <is>
          <t>2026-07-21T04:40:39.530059Z</t>
        </is>
      </c>
      <c r="C69" s="24" t="inlineStr">
        <is>
          <t>2026-07-22T11:00:00Z</t>
        </is>
      </c>
      <c r="D69" s="24" t="inlineStr">
        <is>
          <t>55996</t>
        </is>
      </c>
      <c r="E69" s="24" t="inlineStr">
        <is>
          <t>LOL</t>
        </is>
      </c>
      <c r="F69" s="24" t="inlineStr">
        <is>
          <t>Team WE</t>
        </is>
      </c>
      <c r="G69" s="24" t="inlineStr">
        <is>
          <t>Top Esports</t>
        </is>
      </c>
      <c r="H69" s="24" t="inlineStr">
        <is>
          <t>moneyline</t>
        </is>
      </c>
      <c r="I69" s="24" t="inlineStr">
        <is>
          <t>home</t>
        </is>
      </c>
      <c r="J69" s="38" t="n"/>
      <c r="K69" s="24" t="inlineStr">
        <is>
          <t>polymarket_us</t>
        </is>
      </c>
      <c r="L69" s="26" t="n">
        <v>-203</v>
      </c>
      <c r="M69" s="39" t="n">
        <v>1.492611</v>
      </c>
      <c r="N69" s="28" t="n">
        <v>0.669967</v>
      </c>
      <c r="O69" s="28" t="n">
        <v>0.748396</v>
      </c>
      <c r="P69" s="28" t="n"/>
      <c r="Q69" s="28" t="n">
        <v>0.07839599999999999</v>
      </c>
      <c r="R69" s="26" t="n">
        <v>78</v>
      </c>
      <c r="S69" s="29" t="n">
        <v>2</v>
      </c>
      <c r="T69" s="24" t="inlineStr">
        <is>
          <t>lol-neutral-series-elo-v1</t>
        </is>
      </c>
      <c r="U69" s="24" t="inlineStr">
        <is>
          <t>open</t>
        </is>
      </c>
      <c r="V69" s="24" t="n"/>
      <c r="W69" s="26" t="n"/>
      <c r="X69" s="26" t="n"/>
      <c r="Y69" s="38" t="n"/>
      <c r="Z69" s="26" t="n"/>
      <c r="AA69" s="28" t="n"/>
      <c r="AB69" s="28" t="n"/>
      <c r="AC69" s="40" t="n"/>
      <c r="AD69" s="24" t="n"/>
      <c r="AE69" s="31" t="inlineStr">
        <is>
          <t>Neutral Elo baseline; executable ask 0.6700 (aec-lol-tes-we-2026-07-22).</t>
        </is>
      </c>
      <c r="AF69" s="31" t="inlineStr">
        <is>
          <t>Research baseline; zero-unit shadow until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Team WE</t>
        </is>
      </c>
      <c r="AQ69" s="24" t="inlineStr">
        <is>
          <t>Team WE</t>
        </is>
      </c>
      <c r="AR69" s="24" t="inlineStr">
        <is>
          <t>Team WE</t>
        </is>
      </c>
      <c r="AS69" s="24" t="inlineStr">
        <is>
          <t>Top Esports</t>
        </is>
      </c>
      <c r="AT69" s="24" t="inlineStr">
        <is>
          <t>Top Esports</t>
        </is>
      </c>
      <c r="AU69" s="24" t="inlineStr">
        <is>
          <t>Top Esports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82612f1b27d5065af8d70fd6669509ff00dc1c7e3a91bb423192bf3b0a9736ce</t>
        </is>
      </c>
      <c r="BB69" s="24" t="inlineStr">
        <is>
          <t>neutral_elo</t>
        </is>
      </c>
      <c r="BC69" s="24" t="inlineStr">
        <is>
          <t>lol-neutral-series-elo-v1</t>
        </is>
      </c>
      <c r="BD69" s="24" t="inlineStr">
        <is>
          <t>82612f1b27d5065af8d70fd6669509ff00dc1c7e3a91bb423192bf3b0a9736ce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unknown</t>
        </is>
      </c>
      <c r="BH69" s="24" t="inlineStr">
        <is>
          <t>2026-07-21T04:40:39.530059Z</t>
        </is>
      </c>
      <c r="BI69" s="24" t="inlineStr">
        <is>
          <t>["same_event","same_team_same_day","same_league_same_day"]</t>
        </is>
      </c>
      <c r="BJ69" s="38" t="n"/>
      <c r="BK69" s="26" t="n">
        <v>-203</v>
      </c>
      <c r="BL69" s="39" t="n">
        <v>1.492611</v>
      </c>
      <c r="BM69" s="28" t="n">
        <v>0.669967</v>
      </c>
      <c r="BN69" s="28" t="n"/>
      <c r="BO69" s="28" t="n"/>
      <c r="BP69" s="38" t="n"/>
      <c r="BQ69" s="39" t="n"/>
      <c r="BR69" s="28" t="n"/>
      <c r="BS69" s="28" t="n"/>
      <c r="BT69" s="28" t="n"/>
      <c r="BU69" s="38" t="n"/>
      <c r="BV69" s="29" t="n"/>
      <c r="BW69" s="24" t="n"/>
      <c r="BX69" s="40" t="n"/>
      <c r="BY69" s="39" t="n"/>
      <c r="BZ69" s="24" t="n"/>
      <c r="CA69" s="31" t="n"/>
    </row>
    <row r="70" ht="36" customHeight="1">
      <c r="A70" s="24" t="inlineStr">
        <is>
          <t>6bfc970ce3e64df9</t>
        </is>
      </c>
      <c r="B70" s="24" t="inlineStr">
        <is>
          <t>2026-07-21T04:40:39.852711Z</t>
        </is>
      </c>
      <c r="C70" s="24" t="inlineStr">
        <is>
          <t>2026-07-22T15:00:00Z</t>
        </is>
      </c>
      <c r="D70" s="24" t="inlineStr">
        <is>
          <t>56056</t>
        </is>
      </c>
      <c r="E70" s="24" t="inlineStr">
        <is>
          <t>LOL</t>
        </is>
      </c>
      <c r="F70" s="24" t="inlineStr">
        <is>
          <t>FALKE Esports</t>
        </is>
      </c>
      <c r="G70" s="24" t="inlineStr">
        <is>
          <t>UB Alma Mater</t>
        </is>
      </c>
      <c r="H70" s="24" t="inlineStr">
        <is>
          <t>moneyline</t>
        </is>
      </c>
      <c r="I70" s="24" t="inlineStr">
        <is>
          <t>home</t>
        </is>
      </c>
      <c r="J70" s="38" t="n"/>
      <c r="K70" s="24" t="inlineStr">
        <is>
          <t>polymarket_us</t>
        </is>
      </c>
      <c r="L70" s="26" t="n">
        <v>203</v>
      </c>
      <c r="M70" s="39" t="n">
        <v>3.03</v>
      </c>
      <c r="N70" s="28" t="n">
        <v>0.330033</v>
      </c>
      <c r="O70" s="28" t="n">
        <v>0.64693</v>
      </c>
      <c r="P70" s="28" t="n"/>
      <c r="Q70" s="28" t="n">
        <v>0.31693</v>
      </c>
      <c r="R70" s="26" t="n">
        <v>100</v>
      </c>
      <c r="S70" s="29" t="n">
        <v>2</v>
      </c>
      <c r="T70" s="24" t="inlineStr">
        <is>
          <t>lol-neutral-series-elo-v1</t>
        </is>
      </c>
      <c r="U70" s="24" t="inlineStr">
        <is>
          <t>open</t>
        </is>
      </c>
      <c r="V70" s="24" t="n"/>
      <c r="W70" s="26" t="n"/>
      <c r="X70" s="26" t="n"/>
      <c r="Y70" s="38" t="n"/>
      <c r="Z70" s="26" t="n"/>
      <c r="AA70" s="28" t="n"/>
      <c r="AB70" s="28" t="n"/>
      <c r="AC70" s="40" t="n"/>
      <c r="AD70" s="24" t="n"/>
      <c r="AE70" s="31" t="inlineStr">
        <is>
          <t>Neutral Elo baseline; executable ask 0.3300 (aec-lol-ub-flk-2026-07-22).</t>
        </is>
      </c>
      <c r="AF70" s="31" t="inlineStr">
        <is>
          <t>Research baseline; zero-unit shadow until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FALKE Esports</t>
        </is>
      </c>
      <c r="AQ70" s="24" t="inlineStr">
        <is>
          <t>FALKE Esports</t>
        </is>
      </c>
      <c r="AR70" s="24" t="inlineStr">
        <is>
          <t>FALKE Esports</t>
        </is>
      </c>
      <c r="AS70" s="24" t="inlineStr">
        <is>
          <t>UB Alma Mater</t>
        </is>
      </c>
      <c r="AT70" s="24" t="inlineStr">
        <is>
          <t>UB Alma Mater</t>
        </is>
      </c>
      <c r="AU70" s="24" t="inlineStr">
        <is>
          <t>UB Alma Mater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82612f1b27d5065af8d70fd6669509ff00dc1c7e3a91bb423192bf3b0a9736ce</t>
        </is>
      </c>
      <c r="BB70" s="24" t="inlineStr">
        <is>
          <t>neutral_elo</t>
        </is>
      </c>
      <c r="BC70" s="24" t="inlineStr">
        <is>
          <t>lol-neutral-series-elo-v1</t>
        </is>
      </c>
      <c r="BD70" s="24" t="inlineStr">
        <is>
          <t>82612f1b27d5065af8d70fd6669509ff00dc1c7e3a91bb423192bf3b0a9736ce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unknown</t>
        </is>
      </c>
      <c r="BH70" s="24" t="inlineStr">
        <is>
          <t>2026-07-21T04:40:39.852711Z</t>
        </is>
      </c>
      <c r="BI70" s="24" t="inlineStr">
        <is>
          <t>["same_event","same_team_same_day","same_league_same_day"]</t>
        </is>
      </c>
      <c r="BJ70" s="38" t="n"/>
      <c r="BK70" s="26" t="n">
        <v>203</v>
      </c>
      <c r="BL70" s="39" t="n">
        <v>3.03</v>
      </c>
      <c r="BM70" s="28" t="n">
        <v>0.330033</v>
      </c>
      <c r="BN70" s="28" t="n"/>
      <c r="BO70" s="28" t="n"/>
      <c r="BP70" s="38" t="n"/>
      <c r="BQ70" s="39" t="n"/>
      <c r="BR70" s="28" t="n"/>
      <c r="BS70" s="28" t="n"/>
      <c r="BT70" s="28" t="n"/>
      <c r="BU70" s="38" t="n"/>
      <c r="BV70" s="29" t="n"/>
      <c r="BW70" s="24" t="n"/>
      <c r="BX70" s="40" t="n"/>
      <c r="BY70" s="39" t="n"/>
      <c r="BZ70" s="24" t="n"/>
      <c r="CA70" s="31" t="n"/>
    </row>
    <row r="71" ht="36" customHeight="1">
      <c r="A71" s="24" t="inlineStr">
        <is>
          <t>9b7656db50b347b6</t>
        </is>
      </c>
      <c r="B71" s="24" t="inlineStr">
        <is>
          <t>2026-07-21T04:40:40.178590Z</t>
        </is>
      </c>
      <c r="C71" s="24" t="inlineStr">
        <is>
          <t>2026-07-22T17:30:00Z</t>
        </is>
      </c>
      <c r="D71" s="24" t="inlineStr">
        <is>
          <t>56127</t>
        </is>
      </c>
      <c r="E71" s="24" t="inlineStr">
        <is>
          <t>LOL</t>
        </is>
      </c>
      <c r="F71" s="24" t="inlineStr">
        <is>
          <t>UCAM Esports Club</t>
        </is>
      </c>
      <c r="G71" s="24" t="inlineStr">
        <is>
          <t>Barça eSports</t>
        </is>
      </c>
      <c r="H71" s="24" t="inlineStr">
        <is>
          <t>moneyline</t>
        </is>
      </c>
      <c r="I71" s="24" t="inlineStr">
        <is>
          <t>away</t>
        </is>
      </c>
      <c r="J71" s="38" t="n"/>
      <c r="K71" s="24" t="inlineStr">
        <is>
          <t>polymarket_us</t>
        </is>
      </c>
      <c r="L71" s="26" t="n">
        <v>-144</v>
      </c>
      <c r="M71" s="39" t="n">
        <v>1.694444</v>
      </c>
      <c r="N71" s="28" t="n">
        <v>0.590164</v>
      </c>
      <c r="O71" s="28" t="n">
        <v>0.6951349999999999</v>
      </c>
      <c r="P71" s="28" t="n"/>
      <c r="Q71" s="28" t="n">
        <v>0.105135</v>
      </c>
      <c r="R71" s="26" t="n">
        <v>100</v>
      </c>
      <c r="S71" s="29" t="n">
        <v>2</v>
      </c>
      <c r="T71" s="24" t="inlineStr">
        <is>
          <t>lol-neutral-series-elo-v1</t>
        </is>
      </c>
      <c r="U71" s="24" t="inlineStr">
        <is>
          <t>open</t>
        </is>
      </c>
      <c r="V71" s="24" t="n"/>
      <c r="W71" s="26" t="n"/>
      <c r="X71" s="26" t="n"/>
      <c r="Y71" s="38" t="n"/>
      <c r="Z71" s="26" t="n"/>
      <c r="AA71" s="28" t="n"/>
      <c r="AB71" s="28" t="n"/>
      <c r="AC71" s="40" t="n"/>
      <c r="AD71" s="24" t="n"/>
      <c r="AE71" s="31" t="inlineStr">
        <is>
          <t>Neutral Elo baseline; executable ask 0.5900 (aec-lol-bar-ucam-2026-07-22).</t>
        </is>
      </c>
      <c r="AF71" s="31" t="inlineStr">
        <is>
          <t>Research baseline; zero-unit shadow until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UCAM Esports Club</t>
        </is>
      </c>
      <c r="AQ71" s="24" t="inlineStr">
        <is>
          <t>UCAM Esports Club</t>
        </is>
      </c>
      <c r="AR71" s="24" t="inlineStr">
        <is>
          <t>UCAM Esports Club</t>
        </is>
      </c>
      <c r="AS71" s="24" t="inlineStr">
        <is>
          <t>Barça eSports</t>
        </is>
      </c>
      <c r="AT71" s="24" t="inlineStr">
        <is>
          <t>Barça eSports</t>
        </is>
      </c>
      <c r="AU71" s="24" t="inlineStr">
        <is>
          <t>Barça eSports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82612f1b27d5065af8d70fd6669509ff00dc1c7e3a91bb423192bf3b0a9736ce</t>
        </is>
      </c>
      <c r="BB71" s="24" t="inlineStr">
        <is>
          <t>neutral_elo</t>
        </is>
      </c>
      <c r="BC71" s="24" t="inlineStr">
        <is>
          <t>lol-neutral-series-elo-v1</t>
        </is>
      </c>
      <c r="BD71" s="24" t="inlineStr">
        <is>
          <t>82612f1b27d5065af8d70fd6669509ff00dc1c7e3a91bb423192bf3b0a9736ce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unknown</t>
        </is>
      </c>
      <c r="BH71" s="24" t="inlineStr">
        <is>
          <t>2026-07-21T04:40:40.178590Z</t>
        </is>
      </c>
      <c r="BI71" s="24" t="inlineStr">
        <is>
          <t>["same_event","same_team_same_day","same_league_same_day"]</t>
        </is>
      </c>
      <c r="BJ71" s="38" t="n"/>
      <c r="BK71" s="26" t="n">
        <v>-144</v>
      </c>
      <c r="BL71" s="39" t="n">
        <v>1.694444</v>
      </c>
      <c r="BM71" s="28" t="n">
        <v>0.590164</v>
      </c>
      <c r="BN71" s="28" t="n"/>
      <c r="BO71" s="28" t="n"/>
      <c r="BP71" s="38" t="n"/>
      <c r="BQ71" s="39" t="n"/>
      <c r="BR71" s="28" t="n"/>
      <c r="BS71" s="28" t="n"/>
      <c r="BT71" s="28" t="n"/>
      <c r="BU71" s="38" t="n"/>
      <c r="BV71" s="29" t="n"/>
      <c r="BW71" s="24" t="n"/>
      <c r="BX71" s="40" t="n"/>
      <c r="BY71" s="39" t="n"/>
      <c r="BZ71" s="24" t="n"/>
      <c r="CA71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2026-07-21T04:41:10Z</dcterms:created>
  <dcterms:modified xsi:type="dcterms:W3CDTF">2026-07-21T04:46:33Z</dcterms:modified>
</cp:coreProperties>
</file>