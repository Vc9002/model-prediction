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P51" headerRowCount="1">
  <autoFilter ref="A1:DP51"/>
  <tableColumns count="12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COUNTA('Picks'!$A$2:$A$51)</f>
        <v/>
      </c>
      <c r="C4" s="6">
        <f>COUNTIF('Picks'!$U$2:$U$51,"open")</f>
        <v/>
      </c>
      <c r="E4" s="6">
        <f>COUNTIF('Picks'!$U$2:$U$51,"settled")</f>
        <v/>
      </c>
      <c r="G4" s="6">
        <f>IF(COUNTIFS('Picks'!$U$2:$U$51,"settled",'Picks'!$V$2:$V$51,"win")+COUNTIFS('Picks'!$U$2:$U$51,"settled",'Picks'!$V$2:$V$51,"loss")&gt;=$L$2,"Ready","Insufficient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COUNTIF('Picks'!$BX$2:$BX$51,"&gt;0")</f>
        <v/>
      </c>
      <c r="C7" s="6">
        <f>COUNTIFS('Picks'!$BX$2:$BX$51,"&gt;0",'Picks'!$V$2:$V$51,"win")&amp;"-"&amp;COUNTIFS('Picks'!$BX$2:$BX$51,"&gt;0",'Picks'!$V$2:$V$51,"loss")</f>
        <v/>
      </c>
      <c r="E7" s="7">
        <f>IFERROR(COUNTIFS('Picks'!$BX$2:$BX$51,"&gt;0",'Picks'!$V$2:$V$51,"win")/(COUNTIFS('Picks'!$BX$2:$BX$51,"&gt;0",'Picks'!$V$2:$V$51,"win")+COUNTIFS('Picks'!$BX$2:$BX$51,"&gt;0",'Picks'!$V$2:$V$51,"loss")),0)</f>
        <v/>
      </c>
      <c r="G7" s="7">
        <f>IFERROR(SUM('Picks'!$BY$2:$BY$51)/SUM('Picks'!$BX$2:$BX$51),0)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SUM('Picks'!$BY$2:$BY$51)</f>
        <v/>
      </c>
      <c r="C10" s="9">
        <f>IFERROR(AVERAGEIF('Picks'!$AB$2:$AB$51,"&lt;&gt;",'Picks'!$AB$2:$AB$51),0)</f>
        <v/>
      </c>
      <c r="E10" s="6">
        <f>COUNTIFS('Picks'!$AM$2:$AM$51,"QUALIFIED_SHADOW_CALL",'Picks'!$U$2:$U$51,"settled")</f>
        <v/>
      </c>
      <c r="G10" s="8">
        <f>SUMIFS('Picks'!$AC$2:$AC$51,'Picks'!$AM$2:$AM$51,"QUALIFIED_SHADOW_CALL")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COUNTIFS('Picks'!$H$2:$H$51,$A14,'Picks'!$U$2:$U$51,"settled")</f>
        <v/>
      </c>
      <c r="C14" s="13">
        <f>COUNTIFS('Picks'!$H$2:$H$51,$A14,'Picks'!$U$2:$U$51,"settled",'Picks'!$V$2:$V$51,"win")</f>
        <v/>
      </c>
      <c r="D14" s="13">
        <f>COUNTIFS('Picks'!$H$2:$H$51,$A14,'Picks'!$U$2:$U$51,"settled",'Picks'!$V$2:$V$51,"loss")</f>
        <v/>
      </c>
      <c r="E14" s="14">
        <f>IFERROR(C14/(C14+D14),0)</f>
        <v/>
      </c>
      <c r="F14" s="15">
        <f>SUMIFS('Picks'!$BY$2:$BY$51,'Picks'!$H$2:$H$51,$A14)</f>
        <v/>
      </c>
      <c r="G14" s="16">
        <f>IFERROR(AVERAGEIFS('Picks'!$AB$2:$AB$51,'Picks'!$H$2:$H$51,$A14,'Picks'!$U$2:$U$51,"settled"),0)</f>
        <v/>
      </c>
    </row>
    <row r="15">
      <c r="A15" s="17" t="inlineStr">
        <is>
          <t>spread</t>
        </is>
      </c>
      <c r="B15" s="18">
        <f>COUNTIFS('Picks'!$H$2:$H$51,$A15,'Picks'!$U$2:$U$51,"settled")</f>
        <v/>
      </c>
      <c r="C15" s="18">
        <f>COUNTIFS('Picks'!$H$2:$H$51,$A15,'Picks'!$U$2:$U$51,"settled",'Picks'!$V$2:$V$51,"win")</f>
        <v/>
      </c>
      <c r="D15" s="18">
        <f>COUNTIFS('Picks'!$H$2:$H$51,$A15,'Picks'!$U$2:$U$51,"settled",'Picks'!$V$2:$V$51,"loss")</f>
        <v/>
      </c>
      <c r="E15" s="19">
        <f>IFERROR(C15/(C15+D15),0)</f>
        <v/>
      </c>
      <c r="F15" s="20">
        <f>SUMIFS('Picks'!$BY$2:$BY$51,'Picks'!$H$2:$H$51,$A15)</f>
        <v/>
      </c>
      <c r="G15" s="21">
        <f>IFERROR(AVERAGEIFS('Picks'!$AB$2:$AB$51,'Picks'!$H$2:$H$51,$A15,'Picks'!$U$2:$U$51,"settled"),0)</f>
        <v/>
      </c>
    </row>
    <row r="16">
      <c r="A16" s="12" t="inlineStr">
        <is>
          <t>total</t>
        </is>
      </c>
      <c r="B16" s="13">
        <f>COUNTIFS('Picks'!$H$2:$H$51,$A16,'Picks'!$U$2:$U$51,"settled")</f>
        <v/>
      </c>
      <c r="C16" s="13">
        <f>COUNTIFS('Picks'!$H$2:$H$51,$A16,'Picks'!$U$2:$U$51,"settled",'Picks'!$V$2:$V$51,"win")</f>
        <v/>
      </c>
      <c r="D16" s="13">
        <f>COUNTIFS('Picks'!$H$2:$H$51,$A16,'Picks'!$U$2:$U$51,"settled",'Picks'!$V$2:$V$51,"loss")</f>
        <v/>
      </c>
      <c r="E16" s="14">
        <f>IFERROR(C16/(C16+D16),0)</f>
        <v/>
      </c>
      <c r="F16" s="15">
        <f>SUMIFS('Picks'!$BY$2:$BY$51,'Picks'!$H$2:$H$51,$A16)</f>
        <v/>
      </c>
      <c r="G16" s="16">
        <f>IFERROR(AVERAGEIFS('Picks'!$AB$2:$AB$51,'Picks'!$H$2:$H$51,$A16,'Picks'!$U$2:$U$51,"settled"),0)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P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</row>
    <row r="2" ht="36" customHeight="1">
      <c r="A2" s="24" t="inlineStr">
        <is>
          <t>b8a584f8a0a9497d</t>
        </is>
      </c>
      <c r="B2" s="24" t="inlineStr">
        <is>
          <t>2026-08-30T06:02:49.633456Z</t>
        </is>
      </c>
      <c r="C2" s="24" t="inlineStr">
        <is>
          <t>2026-08-30T17:40Z</t>
        </is>
      </c>
      <c r="D2" s="24" t="inlineStr">
        <is>
          <t>tsc-mlb-kc-cle-2026-08-30-7pt5</t>
        </is>
      </c>
      <c r="E2" s="24" t="inlineStr">
        <is>
          <t>MLB</t>
        </is>
      </c>
      <c r="F2" s="24" t="inlineStr">
        <is>
          <t>Kansas City Royals</t>
        </is>
      </c>
      <c r="G2" s="24" t="inlineStr">
        <is>
          <t>Cleveland Guardians</t>
        </is>
      </c>
      <c r="H2" s="24" t="inlineStr">
        <is>
          <t>total</t>
        </is>
      </c>
      <c r="I2" s="24" t="inlineStr">
        <is>
          <t>over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0.4854</v>
      </c>
      <c r="O2" s="28" t="n">
        <v>0.5246</v>
      </c>
      <c r="P2" s="28" t="n"/>
      <c r="Q2" s="28" t="n">
        <v>0.0392</v>
      </c>
      <c r="R2" s="26" t="n"/>
      <c r="S2" s="29" t="n">
        <v>1</v>
      </c>
      <c r="T2" s="24" t="inlineStr">
        <is>
          <t>measured-edge-totals-v3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11</v>
      </c>
      <c r="Y2" s="25" t="n"/>
      <c r="Z2" s="26" t="n"/>
      <c r="AA2" s="28" t="n"/>
      <c r="AB2" s="28" t="n"/>
      <c r="AC2" s="30" t="n">
        <v>1.08</v>
      </c>
      <c r="AD2" s="24" t="inlineStr">
        <is>
          <t>2026-08-30T21:02:17.739705Z</t>
        </is>
      </c>
      <c r="AE2" s="31" t="inlineStr">
        <is>
          <t>Auto-Buyer order C67Z6DT08KDG on tsc-mlb-kc-cle-2026-08-30-7pt5 (long)</t>
        </is>
      </c>
      <c r="AF2" s="31" t="n"/>
      <c r="AG2" s="24" t="n"/>
      <c r="AH2" s="24" t="n"/>
      <c r="AI2" s="31" t="n"/>
      <c r="AJ2" s="31" t="n"/>
      <c r="AK2" s="24" t="n"/>
      <c r="AL2" s="26" t="n">
        <v>4</v>
      </c>
      <c r="AM2" s="24" t="inlineStr">
        <is>
          <t>decision</t>
        </is>
      </c>
      <c r="AN2" s="24" t="inlineStr">
        <is>
          <t>take</t>
        </is>
      </c>
      <c r="AO2" s="24" t="inlineStr">
        <is>
          <t>AUTO_BUYER_EXECUTION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5" t="n"/>
      <c r="BK2" s="26" t="n"/>
      <c r="BL2" s="27" t="n"/>
      <c r="BM2" s="28" t="n"/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</row>
    <row r="3" ht="36" customHeight="1">
      <c r="A3" s="24" t="inlineStr">
        <is>
          <t>df8b468b5dd94f63</t>
        </is>
      </c>
      <c r="B3" s="24" t="inlineStr">
        <is>
          <t>2026-08-30T06:02:50.394636Z</t>
        </is>
      </c>
      <c r="C3" s="24" t="inlineStr">
        <is>
          <t>2026-08-30T17:40Z</t>
        </is>
      </c>
      <c r="D3" s="24" t="inlineStr">
        <is>
          <t>tsc-mlb-sd-tb-2026-08-30-7pt5</t>
        </is>
      </c>
      <c r="E3" s="24" t="inlineStr">
        <is>
          <t>MLB</t>
        </is>
      </c>
      <c r="F3" s="24" t="inlineStr">
        <is>
          <t>San Diego Padres</t>
        </is>
      </c>
      <c r="G3" s="24" t="inlineStr">
        <is>
          <t>Tampa Bay Rays</t>
        </is>
      </c>
      <c r="H3" s="24" t="inlineStr">
        <is>
          <t>total</t>
        </is>
      </c>
      <c r="I3" s="24" t="inlineStr">
        <is>
          <t>over</t>
        </is>
      </c>
      <c r="J3" s="25" t="n"/>
      <c r="K3" s="24" t="inlineStr">
        <is>
          <t>polymarket_us</t>
        </is>
      </c>
      <c r="L3" s="26" t="n">
        <v>113</v>
      </c>
      <c r="M3" s="27" t="n">
        <v>2.13</v>
      </c>
      <c r="N3" s="28" t="n">
        <v>0.4651</v>
      </c>
      <c r="O3" s="28" t="n">
        <v>0.5128</v>
      </c>
      <c r="P3" s="28" t="n"/>
      <c r="Q3" s="28" t="n">
        <v>0.0477</v>
      </c>
      <c r="R3" s="26" t="n"/>
      <c r="S3" s="29" t="n">
        <v>1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5</v>
      </c>
      <c r="Y3" s="25" t="n"/>
      <c r="Z3" s="26" t="n"/>
      <c r="AA3" s="28" t="n"/>
      <c r="AB3" s="28" t="n"/>
      <c r="AC3" s="30" t="n">
        <v>1.13</v>
      </c>
      <c r="AD3" s="24" t="inlineStr">
        <is>
          <t>2026-08-30T21:02:17.739705Z</t>
        </is>
      </c>
      <c r="AE3" s="31" t="inlineStr">
        <is>
          <t>Auto-Buyer order C67YHJR2YKDF on tsc-mlb-sd-tb-2026-08-30-7pt5 (long)</t>
        </is>
      </c>
      <c r="AF3" s="31" t="n"/>
      <c r="AG3" s="24" t="n"/>
      <c r="AH3" s="24" t="n"/>
      <c r="AI3" s="31" t="n"/>
      <c r="AJ3" s="31" t="n"/>
      <c r="AK3" s="24" t="n"/>
      <c r="AL3" s="26" t="n">
        <v>4</v>
      </c>
      <c r="AM3" s="24" t="inlineStr">
        <is>
          <t>decision</t>
        </is>
      </c>
      <c r="AN3" s="24" t="inlineStr">
        <is>
          <t>take</t>
        </is>
      </c>
      <c r="AO3" s="24" t="inlineStr">
        <is>
          <t>AUTO_BUYER_EXECUTION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n"/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25" t="n"/>
      <c r="BK3" s="26" t="n"/>
      <c r="BL3" s="27" t="n"/>
      <c r="BM3" s="28" t="n"/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n"/>
      <c r="DK3" s="24" t="n"/>
      <c r="DL3" s="24" t="n"/>
      <c r="DM3" s="24" t="n"/>
      <c r="DN3" s="24" t="n"/>
      <c r="DO3" s="24" t="n"/>
      <c r="DP3" s="24" t="n"/>
    </row>
    <row r="4" ht="36" customHeight="1">
      <c r="A4" s="24" t="inlineStr">
        <is>
          <t>44b32ecba1cd46f1</t>
        </is>
      </c>
      <c r="B4" s="24" t="inlineStr">
        <is>
          <t>2026-08-30T06:02:51.181135Z</t>
        </is>
      </c>
      <c r="C4" s="24" t="inlineStr">
        <is>
          <t>2026-08-30T18:15Z</t>
        </is>
      </c>
      <c r="D4" s="24" t="inlineStr">
        <is>
          <t>tsc-mlb-pit-stl-2026-08-30-8pt5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St. Louis Cardinals</t>
        </is>
      </c>
      <c r="H4" s="24" t="inlineStr">
        <is>
          <t>total</t>
        </is>
      </c>
      <c r="I4" s="24" t="inlineStr">
        <is>
          <t>over</t>
        </is>
      </c>
      <c r="J4" s="25" t="n"/>
      <c r="K4" s="24" t="inlineStr">
        <is>
          <t>polymarket_us</t>
        </is>
      </c>
      <c r="L4" s="26" t="n">
        <v>122</v>
      </c>
      <c r="M4" s="27" t="n">
        <v>2.22</v>
      </c>
      <c r="N4" s="28" t="n">
        <v>0.4444</v>
      </c>
      <c r="O4" s="28" t="n">
        <v>0.5098</v>
      </c>
      <c r="P4" s="28" t="n"/>
      <c r="Q4" s="28" t="n">
        <v>0.0654</v>
      </c>
      <c r="R4" s="26" t="n"/>
      <c r="S4" s="29" t="n">
        <v>1.25</v>
      </c>
      <c r="T4" s="24" t="inlineStr">
        <is>
          <t>measured-edge-totals-v3</t>
        </is>
      </c>
      <c r="U4" s="24" t="inlineStr">
        <is>
          <t>settled</t>
        </is>
      </c>
      <c r="V4" s="24" t="inlineStr">
        <is>
          <t>win</t>
        </is>
      </c>
      <c r="W4" s="26" t="n">
        <v>5</v>
      </c>
      <c r="X4" s="26" t="n">
        <v>4</v>
      </c>
      <c r="Y4" s="25" t="n"/>
      <c r="Z4" s="26" t="n"/>
      <c r="AA4" s="28" t="n"/>
      <c r="AB4" s="28" t="n"/>
      <c r="AC4" s="30" t="n">
        <v>1.53</v>
      </c>
      <c r="AD4" s="24" t="inlineStr">
        <is>
          <t>2026-08-30T21:29:23.578191Z</t>
        </is>
      </c>
      <c r="AE4" s="31" t="inlineStr">
        <is>
          <t>Auto-Buyer order C67YHJ9BAKDN on tsc-mlb-pit-stl-2026-08-30-8pt5 (long)</t>
        </is>
      </c>
      <c r="AF4" s="31" t="n"/>
      <c r="AG4" s="24" t="n"/>
      <c r="AH4" s="24" t="n"/>
      <c r="AI4" s="31" t="n"/>
      <c r="AJ4" s="31" t="n"/>
      <c r="AK4" s="24" t="n"/>
      <c r="AL4" s="26" t="n">
        <v>4</v>
      </c>
      <c r="AM4" s="24" t="inlineStr">
        <is>
          <t>decision</t>
        </is>
      </c>
      <c r="AN4" s="24" t="inlineStr">
        <is>
          <t>take</t>
        </is>
      </c>
      <c r="AO4" s="24" t="inlineStr">
        <is>
          <t>AUTO_BUYER_EXECUTION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n"/>
      <c r="AY4" s="24" t="n"/>
      <c r="AZ4" s="24" t="n"/>
      <c r="BA4" s="24" t="n"/>
      <c r="BB4" s="24" t="n"/>
      <c r="BC4" s="24" t="n"/>
      <c r="BD4" s="24" t="n"/>
      <c r="BE4" s="24" t="n"/>
      <c r="BF4" s="24" t="n"/>
      <c r="BG4" s="24" t="n"/>
      <c r="BH4" s="24" t="n"/>
      <c r="BI4" s="24" t="n"/>
      <c r="BJ4" s="25" t="n"/>
      <c r="BK4" s="26" t="n"/>
      <c r="BL4" s="27" t="n"/>
      <c r="BM4" s="28" t="n"/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n"/>
      <c r="DK4" s="24" t="n"/>
      <c r="DL4" s="24" t="n"/>
      <c r="DM4" s="24" t="n"/>
      <c r="DN4" s="24" t="n"/>
      <c r="DO4" s="24" t="n"/>
      <c r="DP4" s="24" t="n"/>
    </row>
    <row r="5" ht="36" customHeight="1">
      <c r="A5" s="24" t="inlineStr">
        <is>
          <t>41531896487148ea</t>
        </is>
      </c>
      <c r="B5" s="24" t="inlineStr">
        <is>
          <t>2026-08-30T06:02:51.950453Z</t>
        </is>
      </c>
      <c r="C5" s="24" t="inlineStr">
        <is>
          <t>2026-08-30T15:00Z</t>
        </is>
      </c>
      <c r="D5" s="24" t="inlineStr">
        <is>
          <t>aec-wta-renzar-poliat-2026-08-30</t>
        </is>
      </c>
      <c r="E5" s="24" t="inlineStr">
        <is>
          <t>TENNIS</t>
        </is>
      </c>
      <c r="F5" s="24" t="inlineStr">
        <is>
          <t>Polina Iatcenko</t>
        </is>
      </c>
      <c r="G5" s="24" t="inlineStr">
        <is>
          <t>Renata Zarazua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122</v>
      </c>
      <c r="M5" s="27" t="n">
        <v>2.22</v>
      </c>
      <c r="N5" s="28" t="n">
        <v>0.4608</v>
      </c>
      <c r="O5" s="28" t="n">
        <v>0.5933</v>
      </c>
      <c r="P5" s="28" t="n"/>
      <c r="Q5" s="28" t="n">
        <v>0.1325</v>
      </c>
      <c r="R5" s="26" t="n"/>
      <c r="S5" s="29" t="n">
        <v>1.5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/>
      <c r="Y5" s="25" t="n"/>
      <c r="Z5" s="26" t="n"/>
      <c r="AA5" s="28" t="n"/>
      <c r="AB5" s="28" t="n"/>
      <c r="AC5" s="30" t="n">
        <v>1.83</v>
      </c>
      <c r="AD5" s="24" t="inlineStr">
        <is>
          <t>2026-08-30T21:02:17.739705Z</t>
        </is>
      </c>
      <c r="AE5" s="31" t="inlineStr">
        <is>
          <t>Auto-Buyer order C67ZBV5R6KDK on aec-wta-renzar-poliat-2026-08-30 (short)</t>
        </is>
      </c>
      <c r="AF5" s="31" t="n"/>
      <c r="AG5" s="24" t="n"/>
      <c r="AH5" s="24" t="n"/>
      <c r="AI5" s="31" t="n"/>
      <c r="AJ5" s="31" t="n"/>
      <c r="AK5" s="24" t="n"/>
      <c r="AL5" s="26" t="n">
        <v>4</v>
      </c>
      <c r="AM5" s="24" t="inlineStr">
        <is>
          <t>decision</t>
        </is>
      </c>
      <c r="AN5" s="24" t="inlineStr">
        <is>
          <t>take</t>
        </is>
      </c>
      <c r="AO5" s="24" t="inlineStr">
        <is>
          <t>AUTO_BUYER_EXECUTION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n"/>
      <c r="AY5" s="24" t="n"/>
      <c r="AZ5" s="24" t="n"/>
      <c r="BA5" s="24" t="n"/>
      <c r="BB5" s="24" t="n"/>
      <c r="BC5" s="24" t="n"/>
      <c r="BD5" s="24" t="n"/>
      <c r="BE5" s="24" t="n"/>
      <c r="BF5" s="24" t="n"/>
      <c r="BG5" s="24" t="n"/>
      <c r="BH5" s="24" t="n"/>
      <c r="BI5" s="24" t="n"/>
      <c r="BJ5" s="25" t="n"/>
      <c r="BK5" s="26" t="n"/>
      <c r="BL5" s="27" t="n"/>
      <c r="BM5" s="28" t="n"/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n"/>
      <c r="DK5" s="24" t="n"/>
      <c r="DL5" s="24" t="n"/>
      <c r="DM5" s="24" t="n"/>
      <c r="DN5" s="24" t="n"/>
      <c r="DO5" s="24" t="n"/>
      <c r="DP5" s="24" t="n"/>
    </row>
    <row r="6" ht="36" customHeight="1">
      <c r="A6" s="24" t="inlineStr">
        <is>
          <t>3e1c2af682a74477</t>
        </is>
      </c>
      <c r="B6" s="24" t="inlineStr">
        <is>
          <t>2026-08-30T06:02:52.944185Z</t>
        </is>
      </c>
      <c r="C6" s="24" t="inlineStr">
        <is>
          <t>2026-08-30T17:00Z</t>
        </is>
      </c>
      <c r="D6" s="24" t="inlineStr">
        <is>
          <t>aec-wta-lucste-dayyas-2026-08-30</t>
        </is>
      </c>
      <c r="E6" s="24" t="inlineStr">
        <is>
          <t>TENNIS</t>
        </is>
      </c>
      <c r="F6" s="24" t="inlineStr">
        <is>
          <t>Dayana Yastremska</t>
        </is>
      </c>
      <c r="G6" s="24" t="inlineStr">
        <is>
          <t>Lucrezia Stefanini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0.4202</v>
      </c>
      <c r="O6" s="28" t="n">
        <v>0.5391</v>
      </c>
      <c r="P6" s="28" t="n"/>
      <c r="Q6" s="28" t="n">
        <v>0.1189</v>
      </c>
      <c r="R6" s="26" t="n"/>
      <c r="S6" s="29" t="n">
        <v>1.5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/>
      <c r="X6" s="26" t="n">
        <v>1</v>
      </c>
      <c r="Y6" s="25" t="n"/>
      <c r="Z6" s="26" t="n"/>
      <c r="AA6" s="28" t="n"/>
      <c r="AB6" s="28" t="n"/>
      <c r="AC6" s="30" t="n">
        <v>2.07</v>
      </c>
      <c r="AD6" s="24" t="inlineStr">
        <is>
          <t>2026-08-30T21:02:17.739705Z</t>
        </is>
      </c>
      <c r="AE6" s="31" t="inlineStr">
        <is>
          <t>Auto-Buyer order C67YX9ESEKDE on aec-wta-lucste-dayyas-2026-08-30 (long)</t>
        </is>
      </c>
      <c r="AF6" s="31" t="n"/>
      <c r="AG6" s="24" t="n"/>
      <c r="AH6" s="24" t="n"/>
      <c r="AI6" s="31" t="n"/>
      <c r="AJ6" s="31" t="n"/>
      <c r="AK6" s="24" t="n"/>
      <c r="AL6" s="26" t="n">
        <v>4</v>
      </c>
      <c r="AM6" s="24" t="inlineStr">
        <is>
          <t>decision</t>
        </is>
      </c>
      <c r="AN6" s="24" t="inlineStr">
        <is>
          <t>take</t>
        </is>
      </c>
      <c r="AO6" s="24" t="inlineStr">
        <is>
          <t>AUTO_BUYER_EXECUTION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5" t="n"/>
      <c r="BK6" s="26" t="n"/>
      <c r="BL6" s="27" t="n"/>
      <c r="BM6" s="28" t="n"/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n"/>
      <c r="DK6" s="24" t="n"/>
      <c r="DL6" s="24" t="n"/>
      <c r="DM6" s="24" t="n"/>
      <c r="DN6" s="24" t="n"/>
      <c r="DO6" s="24" t="n"/>
      <c r="DP6" s="24" t="n"/>
    </row>
    <row r="7" ht="36" customHeight="1">
      <c r="A7" s="24" t="inlineStr">
        <is>
          <t>927668dda4c442b4</t>
        </is>
      </c>
      <c r="B7" s="24" t="inlineStr">
        <is>
          <t>2026-08-30T06:02:53.635299Z</t>
        </is>
      </c>
      <c r="C7" s="24" t="inlineStr">
        <is>
          <t>2026-08-30T18:30Z</t>
        </is>
      </c>
      <c r="D7" s="24" t="inlineStr">
        <is>
          <t>aec-wta-carlee-katbou-2026-08-30</t>
        </is>
      </c>
      <c r="E7" s="24" t="inlineStr">
        <is>
          <t>TENNIS</t>
        </is>
      </c>
      <c r="F7" s="24" t="inlineStr">
        <is>
          <t>Katie Boulter</t>
        </is>
      </c>
      <c r="G7" s="24" t="inlineStr">
        <is>
          <t>Carol Young Suh Lee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</v>
      </c>
      <c r="N7" s="28" t="n">
        <v>0.5798</v>
      </c>
      <c r="O7" s="28" t="n">
        <v>0.6772</v>
      </c>
      <c r="P7" s="28" t="n"/>
      <c r="Q7" s="28" t="n">
        <v>0.0974</v>
      </c>
      <c r="R7" s="26" t="n"/>
      <c r="S7" s="29" t="n">
        <v>1.25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/>
      <c r="Y7" s="25" t="n"/>
      <c r="Z7" s="26" t="n"/>
      <c r="AA7" s="28" t="n"/>
      <c r="AB7" s="28" t="n"/>
      <c r="AC7" s="30" t="n">
        <v>0.91</v>
      </c>
      <c r="AD7" s="24" t="inlineStr">
        <is>
          <t>2026-08-31T01:47:49.455874Z</t>
        </is>
      </c>
      <c r="AE7" s="31" t="inlineStr">
        <is>
          <t>Auto-Buyer order C67XS5EYPKDD on aec-wta-carlee-katbou-2026-08-30 (short)</t>
        </is>
      </c>
      <c r="AF7" s="31" t="n"/>
      <c r="AG7" s="24" t="n"/>
      <c r="AH7" s="24" t="n"/>
      <c r="AI7" s="31" t="n"/>
      <c r="AJ7" s="31" t="n"/>
      <c r="AK7" s="24" t="n"/>
      <c r="AL7" s="26" t="n">
        <v>4</v>
      </c>
      <c r="AM7" s="24" t="inlineStr">
        <is>
          <t>decision</t>
        </is>
      </c>
      <c r="AN7" s="24" t="inlineStr">
        <is>
          <t>take</t>
        </is>
      </c>
      <c r="AO7" s="24" t="inlineStr">
        <is>
          <t>AUTO_BUYER_EXECUTION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n"/>
      <c r="AY7" s="24" t="n"/>
      <c r="AZ7" s="24" t="n"/>
      <c r="BA7" s="24" t="n"/>
      <c r="BB7" s="24" t="n"/>
      <c r="BC7" s="24" t="n"/>
      <c r="BD7" s="24" t="n"/>
      <c r="BE7" s="24" t="n"/>
      <c r="BF7" s="24" t="n"/>
      <c r="BG7" s="24" t="n"/>
      <c r="BH7" s="24" t="n"/>
      <c r="BI7" s="24" t="n"/>
      <c r="BJ7" s="25" t="n"/>
      <c r="BK7" s="26" t="n"/>
      <c r="BL7" s="27" t="n"/>
      <c r="BM7" s="28" t="n"/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n"/>
      <c r="DK7" s="24" t="n"/>
      <c r="DL7" s="24" t="n"/>
      <c r="DM7" s="24" t="n"/>
      <c r="DN7" s="24" t="n"/>
      <c r="DO7" s="24" t="n"/>
      <c r="DP7" s="24" t="n"/>
    </row>
    <row r="8" ht="36" customHeight="1">
      <c r="A8" s="24" t="inlineStr">
        <is>
          <t>0a68e84c77384439</t>
        </is>
      </c>
      <c r="B8" s="24" t="inlineStr">
        <is>
          <t>2026-08-30T06:02:54.252811Z</t>
        </is>
      </c>
      <c r="C8" s="24" t="inlineStr">
        <is>
          <t>2026-08-30T19:00Z</t>
        </is>
      </c>
      <c r="D8" s="24" t="inlineStr">
        <is>
          <t>aec-wta-hanvan-karpli-2026-08-30</t>
        </is>
      </c>
      <c r="E8" s="24" t="inlineStr">
        <is>
          <t>TENNIS</t>
        </is>
      </c>
      <c r="F8" s="24" t="inlineStr">
        <is>
          <t>Karolina Pliskova</t>
        </is>
      </c>
      <c r="G8" s="24" t="inlineStr">
        <is>
          <t>Hanne Vandewinkel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-100</v>
      </c>
      <c r="M8" s="27" t="n">
        <v>2</v>
      </c>
      <c r="N8" s="28" t="n">
        <v>0.5</v>
      </c>
      <c r="O8" s="28" t="n">
        <v>0.5505</v>
      </c>
      <c r="P8" s="28" t="n"/>
      <c r="Q8" s="28" t="n">
        <v>0.0505</v>
      </c>
      <c r="R8" s="26" t="n"/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/>
      <c r="Y8" s="25" t="n"/>
      <c r="Z8" s="26" t="n"/>
      <c r="AA8" s="28" t="n"/>
      <c r="AB8" s="28" t="n"/>
      <c r="AC8" s="30" t="n">
        <v>1</v>
      </c>
      <c r="AD8" s="24" t="inlineStr">
        <is>
          <t>2026-08-30T21:30:23.932460Z</t>
        </is>
      </c>
      <c r="AE8" s="31" t="inlineStr">
        <is>
          <t>Auto-Buyer order C67ZBV63GKDK on aec-wta-hanvan-karpli-2026-08-30 (short)</t>
        </is>
      </c>
      <c r="AF8" s="31" t="n"/>
      <c r="AG8" s="24" t="n"/>
      <c r="AH8" s="24" t="n"/>
      <c r="AI8" s="31" t="n"/>
      <c r="AJ8" s="31" t="n"/>
      <c r="AK8" s="24" t="n"/>
      <c r="AL8" s="26" t="n">
        <v>4</v>
      </c>
      <c r="AM8" s="24" t="inlineStr">
        <is>
          <t>decision</t>
        </is>
      </c>
      <c r="AN8" s="24" t="inlineStr">
        <is>
          <t>take</t>
        </is>
      </c>
      <c r="AO8" s="24" t="inlineStr">
        <is>
          <t>AUTO_BUYER_EXECUTION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24" t="n"/>
      <c r="AZ8" s="24" t="n"/>
      <c r="BA8" s="24" t="n"/>
      <c r="BB8" s="24" t="n"/>
      <c r="BC8" s="24" t="n"/>
      <c r="BD8" s="24" t="n"/>
      <c r="BE8" s="24" t="n"/>
      <c r="BF8" s="24" t="n"/>
      <c r="BG8" s="24" t="n"/>
      <c r="BH8" s="24" t="n"/>
      <c r="BI8" s="24" t="n"/>
      <c r="BJ8" s="25" t="n"/>
      <c r="BK8" s="26" t="n"/>
      <c r="BL8" s="27" t="n"/>
      <c r="BM8" s="28" t="n"/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n"/>
      <c r="DK8" s="24" t="n"/>
      <c r="DL8" s="24" t="n"/>
      <c r="DM8" s="24" t="n"/>
      <c r="DN8" s="24" t="n"/>
      <c r="DO8" s="24" t="n"/>
      <c r="DP8" s="24" t="n"/>
    </row>
    <row r="9" ht="36" customHeight="1">
      <c r="A9" s="24" t="inlineStr">
        <is>
          <t>694111577c9346f3</t>
        </is>
      </c>
      <c r="B9" s="24" t="inlineStr">
        <is>
          <t>2026-08-30T06:02:55.122768Z</t>
        </is>
      </c>
      <c r="C9" s="24" t="inlineStr">
        <is>
          <t>2026-08-30T15:00Z</t>
        </is>
      </c>
      <c r="D9" s="24" t="inlineStr">
        <is>
          <t>aec-atp-kammaj-hammed-2026-08-30</t>
        </is>
      </c>
      <c r="E9" s="24" t="inlineStr">
        <is>
          <t>TENNIS</t>
        </is>
      </c>
      <c r="F9" s="24" t="inlineStr">
        <is>
          <t>Hamad Medjedovic</t>
        </is>
      </c>
      <c r="G9" s="24" t="inlineStr">
        <is>
          <t>Kamil Majchrzak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-122</v>
      </c>
      <c r="M9" s="27" t="n">
        <v>1.8197</v>
      </c>
      <c r="N9" s="28" t="n">
        <v>0.5495</v>
      </c>
      <c r="O9" s="28" t="n">
        <v>0.5909</v>
      </c>
      <c r="P9" s="28" t="n"/>
      <c r="Q9" s="28" t="n">
        <v>0.0413</v>
      </c>
      <c r="R9" s="26" t="n"/>
      <c r="S9" s="29" t="n">
        <v>1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/>
      <c r="X9" s="26" t="n">
        <v>1</v>
      </c>
      <c r="Y9" s="25" t="n"/>
      <c r="Z9" s="26" t="n"/>
      <c r="AA9" s="28" t="n"/>
      <c r="AB9" s="28" t="n"/>
      <c r="AC9" s="30" t="n">
        <v>0.82</v>
      </c>
      <c r="AD9" s="24" t="inlineStr">
        <is>
          <t>2026-08-30T18:13:23.815760Z</t>
        </is>
      </c>
      <c r="AE9" s="31" t="inlineStr">
        <is>
          <t>Auto-Buyer order C67ZDSFV0KDM on aec-atp-kammaj-hammed-2026-08-30 (long)</t>
        </is>
      </c>
      <c r="AF9" s="31" t="n"/>
      <c r="AG9" s="24" t="n"/>
      <c r="AH9" s="24" t="n"/>
      <c r="AI9" s="31" t="n"/>
      <c r="AJ9" s="31" t="n"/>
      <c r="AK9" s="24" t="n"/>
      <c r="AL9" s="26" t="n">
        <v>4</v>
      </c>
      <c r="AM9" s="24" t="inlineStr">
        <is>
          <t>decision</t>
        </is>
      </c>
      <c r="AN9" s="24" t="inlineStr">
        <is>
          <t>take</t>
        </is>
      </c>
      <c r="AO9" s="24" t="inlineStr">
        <is>
          <t>AUTO_BUYER_EXECUTION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n"/>
      <c r="AY9" s="24" t="n"/>
      <c r="AZ9" s="24" t="n"/>
      <c r="BA9" s="24" t="n"/>
      <c r="BB9" s="24" t="n"/>
      <c r="BC9" s="24" t="n"/>
      <c r="BD9" s="24" t="n"/>
      <c r="BE9" s="24" t="n"/>
      <c r="BF9" s="24" t="n"/>
      <c r="BG9" s="24" t="n"/>
      <c r="BH9" s="24" t="n"/>
      <c r="BI9" s="24" t="n"/>
      <c r="BJ9" s="25" t="n"/>
      <c r="BK9" s="26" t="n"/>
      <c r="BL9" s="27" t="n"/>
      <c r="BM9" s="28" t="n"/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</row>
    <row r="10" ht="36" customHeight="1">
      <c r="A10" s="24" t="inlineStr">
        <is>
          <t>5227db485feb44c5</t>
        </is>
      </c>
      <c r="B10" s="24" t="inlineStr">
        <is>
          <t>2026-08-30T06:02:55.947092Z</t>
        </is>
      </c>
      <c r="C10" s="24" t="inlineStr">
        <is>
          <t>2026-08-30T16:30Z</t>
        </is>
      </c>
      <c r="D10" s="24" t="inlineStr">
        <is>
          <t>aec-atp-lucass-camnor-2026-08-30</t>
        </is>
      </c>
      <c r="E10" s="24" t="inlineStr">
        <is>
          <t>TENNIS</t>
        </is>
      </c>
      <c r="F10" s="24" t="inlineStr">
        <is>
          <t>Cameron Norrie</t>
        </is>
      </c>
      <c r="G10" s="24" t="inlineStr">
        <is>
          <t>Luca Van Assche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</v>
      </c>
      <c r="N10" s="28" t="n">
        <v>0.67</v>
      </c>
      <c r="O10" s="28" t="n">
        <v>0.7139</v>
      </c>
      <c r="P10" s="28" t="n"/>
      <c r="Q10" s="28" t="n">
        <v>0.0439</v>
      </c>
      <c r="R10" s="26" t="n"/>
      <c r="S10" s="29" t="n">
        <v>1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/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2026-08-30T21:02:17.739705Z</t>
        </is>
      </c>
      <c r="AE10" s="31" t="inlineStr">
        <is>
          <t>Auto-Buyer order C67Z38H1EKDC on aec-atp-lucass-camnor-2026-08-30 (short)</t>
        </is>
      </c>
      <c r="AF10" s="31" t="n"/>
      <c r="AG10" s="24" t="n"/>
      <c r="AH10" s="24" t="n"/>
      <c r="AI10" s="31" t="n"/>
      <c r="AJ10" s="31" t="n"/>
      <c r="AK10" s="24" t="n"/>
      <c r="AL10" s="26" t="n">
        <v>4</v>
      </c>
      <c r="AM10" s="24" t="inlineStr">
        <is>
          <t>decision</t>
        </is>
      </c>
      <c r="AN10" s="24" t="inlineStr">
        <is>
          <t>take</t>
        </is>
      </c>
      <c r="AO10" s="24" t="inlineStr">
        <is>
          <t>AUTO_BUYER_EXECUTION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5" t="n"/>
      <c r="BK10" s="26" t="n"/>
      <c r="BL10" s="27" t="n"/>
      <c r="BM10" s="28" t="n"/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</row>
    <row r="11" ht="36" customHeight="1">
      <c r="A11" s="24" t="inlineStr">
        <is>
          <t>d079b635da374a66</t>
        </is>
      </c>
      <c r="B11" s="24" t="inlineStr">
        <is>
          <t>2026-08-30T06:02:56.655238Z</t>
        </is>
      </c>
      <c r="C11" s="24" t="inlineStr">
        <is>
          <t>2026-08-30T17:00Z</t>
        </is>
      </c>
      <c r="D11" s="24" t="inlineStr">
        <is>
          <t>aec-atp-tobsam-tommac-2026-08-30</t>
        </is>
      </c>
      <c r="E11" s="24" t="inlineStr">
        <is>
          <t>TENNIS</t>
        </is>
      </c>
      <c r="F11" s="24" t="inlineStr">
        <is>
          <t>Tomas Machac</t>
        </is>
      </c>
      <c r="G11" s="24" t="inlineStr">
        <is>
          <t>Toby Samuel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</v>
      </c>
      <c r="O11" s="28" t="n">
        <v>0.5571</v>
      </c>
      <c r="P11" s="28" t="n"/>
      <c r="Q11" s="28" t="n">
        <v>0.1166</v>
      </c>
      <c r="R11" s="26" t="n"/>
      <c r="S11" s="29" t="n">
        <v>1.5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loss</t>
        </is>
      </c>
      <c r="W11" s="26" t="n"/>
      <c r="X11" s="26" t="n">
        <v>1</v>
      </c>
      <c r="Y11" s="25" t="n"/>
      <c r="Z11" s="26" t="n"/>
      <c r="AA11" s="28" t="n"/>
      <c r="AB11" s="28" t="n"/>
      <c r="AC11" s="30" t="n">
        <v>-1.5</v>
      </c>
      <c r="AD11" s="24" t="inlineStr">
        <is>
          <t>2026-08-30T21:02:17.739705Z</t>
        </is>
      </c>
      <c r="AE11" s="31" t="inlineStr">
        <is>
          <t>Auto-Buyer order C67ZDSG88KDM on aec-atp-tobsam-tommac-2026-08-30 (short)</t>
        </is>
      </c>
      <c r="AF11" s="31" t="n"/>
      <c r="AG11" s="24" t="n"/>
      <c r="AH11" s="24" t="n"/>
      <c r="AI11" s="31" t="n"/>
      <c r="AJ11" s="31" t="n"/>
      <c r="AK11" s="24" t="n"/>
      <c r="AL11" s="26" t="n">
        <v>4</v>
      </c>
      <c r="AM11" s="24" t="inlineStr">
        <is>
          <t>decision</t>
        </is>
      </c>
      <c r="AN11" s="24" t="inlineStr">
        <is>
          <t>take</t>
        </is>
      </c>
      <c r="AO11" s="24" t="inlineStr">
        <is>
          <t>AUTO_BUYER_EXECUTION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4" t="n"/>
      <c r="BA11" s="24" t="n"/>
      <c r="BB11" s="24" t="n"/>
      <c r="BC11" s="24" t="n"/>
      <c r="BD11" s="24" t="n"/>
      <c r="BE11" s="24" t="n"/>
      <c r="BF11" s="24" t="n"/>
      <c r="BG11" s="24" t="n"/>
      <c r="BH11" s="24" t="n"/>
      <c r="BI11" s="24" t="n"/>
      <c r="BJ11" s="25" t="n"/>
      <c r="BK11" s="26" t="n"/>
      <c r="BL11" s="27" t="n"/>
      <c r="BM11" s="28" t="n"/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</row>
    <row r="12" ht="36" customHeight="1">
      <c r="A12" s="24" t="inlineStr">
        <is>
          <t>529d1b2434a0406e</t>
        </is>
      </c>
      <c r="B12" s="24" t="inlineStr">
        <is>
          <t>2026-08-30T06:02:57.273565Z</t>
        </is>
      </c>
      <c r="C12" s="24" t="inlineStr">
        <is>
          <t>2026-08-30T17:00Z</t>
        </is>
      </c>
      <c r="D12" s="24" t="inlineStr">
        <is>
          <t>aec-atp-jaumun-teratm-2026-08-30</t>
        </is>
      </c>
      <c r="E12" s="24" t="inlineStr">
        <is>
          <t>TENNIS</t>
        </is>
      </c>
      <c r="F12" s="24" t="inlineStr">
        <is>
          <t>Terence Atmane</t>
        </is>
      </c>
      <c r="G12" s="24" t="inlineStr">
        <is>
          <t>Jaume Munar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0.3704</v>
      </c>
      <c r="O12" s="28" t="n">
        <v>0.5177</v>
      </c>
      <c r="P12" s="28" t="n"/>
      <c r="Q12" s="28" t="n">
        <v>0.1473</v>
      </c>
      <c r="R12" s="26" t="n"/>
      <c r="S12" s="29" t="n">
        <v>1.75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/>
      <c r="X12" s="26" t="n">
        <v>1</v>
      </c>
      <c r="Y12" s="25" t="n"/>
      <c r="Z12" s="26" t="n"/>
      <c r="AA12" s="28" t="n"/>
      <c r="AB12" s="28" t="n"/>
      <c r="AC12" s="30" t="n">
        <v>2.86</v>
      </c>
      <c r="AD12" s="24" t="inlineStr">
        <is>
          <t>2026-08-31T01:47:49.455874Z</t>
        </is>
      </c>
      <c r="AE12" s="31" t="inlineStr">
        <is>
          <t>Auto-Buyer order C67YHJAPJKDN on aec-atp-jaumun-teratm-2026-08-30 (long)</t>
        </is>
      </c>
      <c r="AF12" s="31" t="n"/>
      <c r="AG12" s="24" t="n"/>
      <c r="AH12" s="24" t="n"/>
      <c r="AI12" s="31" t="n"/>
      <c r="AJ12" s="31" t="n"/>
      <c r="AK12" s="24" t="n"/>
      <c r="AL12" s="26" t="n">
        <v>4</v>
      </c>
      <c r="AM12" s="24" t="inlineStr">
        <is>
          <t>decision</t>
        </is>
      </c>
      <c r="AN12" s="24" t="inlineStr">
        <is>
          <t>take</t>
        </is>
      </c>
      <c r="AO12" s="24" t="inlineStr">
        <is>
          <t>AUTO_BUYER_EXECUTION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n"/>
      <c r="AY12" s="24" t="n"/>
      <c r="AZ12" s="24" t="n"/>
      <c r="BA12" s="24" t="n"/>
      <c r="BB12" s="24" t="n"/>
      <c r="BC12" s="24" t="n"/>
      <c r="BD12" s="24" t="n"/>
      <c r="BE12" s="24" t="n"/>
      <c r="BF12" s="24" t="n"/>
      <c r="BG12" s="24" t="n"/>
      <c r="BH12" s="24" t="n"/>
      <c r="BI12" s="24" t="n"/>
      <c r="BJ12" s="25" t="n"/>
      <c r="BK12" s="26" t="n"/>
      <c r="BL12" s="27" t="n"/>
      <c r="BM12" s="28" t="n"/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</row>
    <row r="13" ht="36" customHeight="1">
      <c r="A13" s="24" t="inlineStr">
        <is>
          <t>099c4ddcb6b2497c</t>
        </is>
      </c>
      <c r="B13" s="24" t="inlineStr">
        <is>
          <t>2026-08-30T06:02:58.150641Z</t>
        </is>
      </c>
      <c r="C13" s="24" t="inlineStr">
        <is>
          <t>2026-08-30T18:00Z</t>
        </is>
      </c>
      <c r="D13" s="24" t="inlineStr">
        <is>
          <t>aec-atp-jaifar-jenbro-2026-08-30</t>
        </is>
      </c>
      <c r="E13" s="24" t="inlineStr">
        <is>
          <t>TENNIS</t>
        </is>
      </c>
      <c r="F13" s="24" t="inlineStr">
        <is>
          <t>Jenson Brooksby</t>
        </is>
      </c>
      <c r="G13" s="24" t="inlineStr">
        <is>
          <t>Jaime Faria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0.4808</v>
      </c>
      <c r="O13" s="28" t="n">
        <v>0.611</v>
      </c>
      <c r="P13" s="28" t="n"/>
      <c r="Q13" s="28" t="n">
        <v>0.1302</v>
      </c>
      <c r="R13" s="26" t="n"/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/>
      <c r="X13" s="26" t="n">
        <v>1</v>
      </c>
      <c r="Y13" s="25" t="n"/>
      <c r="Z13" s="26" t="n"/>
      <c r="AA13" s="28" t="n"/>
      <c r="AB13" s="28" t="n"/>
      <c r="AC13" s="30" t="n">
        <v>1.56</v>
      </c>
      <c r="AD13" s="24" t="inlineStr">
        <is>
          <t>2026-08-31T01:47:49.455874Z</t>
        </is>
      </c>
      <c r="AE13" s="31" t="inlineStr">
        <is>
          <t>Auto-Buyer order C67ZDSGFTKDM on aec-atp-jaifar-jenbro-2026-08-30 (long)</t>
        </is>
      </c>
      <c r="AF13" s="31" t="n"/>
      <c r="AG13" s="24" t="n"/>
      <c r="AH13" s="24" t="n"/>
      <c r="AI13" s="31" t="n"/>
      <c r="AJ13" s="31" t="n"/>
      <c r="AK13" s="24" t="n"/>
      <c r="AL13" s="26" t="n">
        <v>4</v>
      </c>
      <c r="AM13" s="24" t="inlineStr">
        <is>
          <t>decision</t>
        </is>
      </c>
      <c r="AN13" s="24" t="inlineStr">
        <is>
          <t>take</t>
        </is>
      </c>
      <c r="AO13" s="24" t="inlineStr">
        <is>
          <t>AUTO_BUYER_EXECUTION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n"/>
      <c r="AY13" s="24" t="n"/>
      <c r="AZ13" s="24" t="n"/>
      <c r="BA13" s="24" t="n"/>
      <c r="BB13" s="24" t="n"/>
      <c r="BC13" s="24" t="n"/>
      <c r="BD13" s="24" t="n"/>
      <c r="BE13" s="24" t="n"/>
      <c r="BF13" s="24" t="n"/>
      <c r="BG13" s="24" t="n"/>
      <c r="BH13" s="24" t="n"/>
      <c r="BI13" s="24" t="n"/>
      <c r="BJ13" s="25" t="n"/>
      <c r="BK13" s="26" t="n"/>
      <c r="BL13" s="27" t="n"/>
      <c r="BM13" s="28" t="n"/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</row>
    <row r="14" ht="36" customHeight="1">
      <c r="A14" s="24" t="inlineStr">
        <is>
          <t>a0dd03c2498f4fad</t>
        </is>
      </c>
      <c r="B14" s="24" t="inlineStr">
        <is>
          <t>2026-08-30T06:02:59.174012Z</t>
        </is>
      </c>
      <c r="C14" s="24" t="inlineStr">
        <is>
          <t>2026-08-30T15:00:00-0400</t>
        </is>
      </c>
      <c r="D14" s="24" t="inlineStr">
        <is>
          <t>aec-wnba-min-atl-2026-08-30</t>
        </is>
      </c>
      <c r="E14" s="24" t="inlineStr">
        <is>
          <t>WNBA</t>
        </is>
      </c>
      <c r="F14" s="24" t="inlineStr">
        <is>
          <t>Minnesota Lynx</t>
        </is>
      </c>
      <c r="G14" s="24" t="inlineStr">
        <is>
          <t>Atlanta Dream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-133</v>
      </c>
      <c r="M14" s="27" t="n">
        <v>1.7519</v>
      </c>
      <c r="N14" s="28" t="n">
        <v>0.5708</v>
      </c>
      <c r="O14" s="28" t="n">
        <v>0.6181</v>
      </c>
      <c r="P14" s="28" t="n"/>
      <c r="Q14" s="28" t="n">
        <v>0.0473</v>
      </c>
      <c r="R14" s="26" t="n"/>
      <c r="S14" s="29" t="n">
        <v>1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81</v>
      </c>
      <c r="X14" s="26" t="n">
        <v>89</v>
      </c>
      <c r="Y14" s="25" t="n"/>
      <c r="Z14" s="26" t="n"/>
      <c r="AA14" s="28" t="n"/>
      <c r="AB14" s="28" t="n"/>
      <c r="AC14" s="30" t="n">
        <v>-1</v>
      </c>
      <c r="AD14" s="24" t="inlineStr">
        <is>
          <t>2026-08-30T21:29:23.578191Z</t>
        </is>
      </c>
      <c r="AE14" s="31" t="inlineStr">
        <is>
          <t>Auto-Buyer order C67ZBV73MKDK on aec-wnba-min-atl-2026-08-30 (long)</t>
        </is>
      </c>
      <c r="AF14" s="31" t="n"/>
      <c r="AG14" s="24" t="n"/>
      <c r="AH14" s="24" t="n"/>
      <c r="AI14" s="31" t="n"/>
      <c r="AJ14" s="31" t="n"/>
      <c r="AK14" s="24" t="n"/>
      <c r="AL14" s="26" t="n">
        <v>4</v>
      </c>
      <c r="AM14" s="24" t="inlineStr">
        <is>
          <t>decision</t>
        </is>
      </c>
      <c r="AN14" s="24" t="inlineStr">
        <is>
          <t>take</t>
        </is>
      </c>
      <c r="AO14" s="24" t="inlineStr">
        <is>
          <t>AUTO_BUYER_EXECUTION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5" t="n"/>
      <c r="BK14" s="26" t="n"/>
      <c r="BL14" s="27" t="n"/>
      <c r="BM14" s="28" t="n"/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</row>
    <row r="15" ht="36" customHeight="1">
      <c r="A15" s="24" t="inlineStr">
        <is>
          <t>aede39cec74b4535</t>
        </is>
      </c>
      <c r="B15" s="24" t="inlineStr">
        <is>
          <t>2026-08-30T06:07:00.428352Z</t>
        </is>
      </c>
      <c r="C15" s="24" t="inlineStr">
        <is>
          <t>2026-08-30T20:07Z</t>
        </is>
      </c>
      <c r="D15" s="24" t="inlineStr">
        <is>
          <t>tsc-mlb-phi-laa-2026-08-30-8pt5</t>
        </is>
      </c>
      <c r="E15" s="24" t="inlineStr">
        <is>
          <t>MLB</t>
        </is>
      </c>
      <c r="F15" s="24" t="inlineStr">
        <is>
          <t>Philadelphia Phillies</t>
        </is>
      </c>
      <c r="G15" s="24" t="inlineStr">
        <is>
          <t>Los Angeles Angels</t>
        </is>
      </c>
      <c r="H15" s="24" t="inlineStr">
        <is>
          <t>total</t>
        </is>
      </c>
      <c r="I15" s="24" t="inlineStr">
        <is>
          <t>over</t>
        </is>
      </c>
      <c r="J15" s="25" t="n"/>
      <c r="K15" s="24" t="inlineStr">
        <is>
          <t>polymarket_us</t>
        </is>
      </c>
      <c r="L15" s="26" t="n">
        <v>113</v>
      </c>
      <c r="M15" s="27" t="n">
        <v>2.13</v>
      </c>
      <c r="N15" s="28" t="n">
        <v>0.4695</v>
      </c>
      <c r="O15" s="28" t="n">
        <v>0.5269</v>
      </c>
      <c r="P15" s="28" t="n"/>
      <c r="Q15" s="28" t="n">
        <v>0.0569</v>
      </c>
      <c r="R15" s="26" t="n"/>
      <c r="S15" s="29" t="n">
        <v>1</v>
      </c>
      <c r="T15" s="24" t="inlineStr">
        <is>
          <t>measured-edge-totals-v3</t>
        </is>
      </c>
      <c r="U15" s="24" t="inlineStr">
        <is>
          <t>settled</t>
        </is>
      </c>
      <c r="V15" s="24" t="inlineStr">
        <is>
          <t>loss</t>
        </is>
      </c>
      <c r="W15" s="26" t="n">
        <v>5</v>
      </c>
      <c r="X15" s="26" t="n">
        <v>2</v>
      </c>
      <c r="Y15" s="25" t="n"/>
      <c r="Z15" s="26" t="n"/>
      <c r="AA15" s="28" t="n"/>
      <c r="AB15" s="28" t="n"/>
      <c r="AC15" s="30" t="n">
        <v>-1</v>
      </c>
      <c r="AD15" s="24" t="inlineStr">
        <is>
          <t>2026-08-31T01:47:49.455874Z</t>
        </is>
      </c>
      <c r="AE15" s="31" t="inlineStr">
        <is>
          <t>Auto-Buyer order C6820XSTTKDH on tsc-mlb-phi-laa-2026-08-30-8pt5 (long)</t>
        </is>
      </c>
      <c r="AF15" s="31" t="n"/>
      <c r="AG15" s="24" t="n"/>
      <c r="AH15" s="24" t="n"/>
      <c r="AI15" s="31" t="n"/>
      <c r="AJ15" s="31" t="n"/>
      <c r="AK15" s="24" t="n"/>
      <c r="AL15" s="26" t="n">
        <v>4</v>
      </c>
      <c r="AM15" s="24" t="inlineStr">
        <is>
          <t>decision</t>
        </is>
      </c>
      <c r="AN15" s="24" t="inlineStr">
        <is>
          <t>take</t>
        </is>
      </c>
      <c r="AO15" s="24" t="inlineStr">
        <is>
          <t>AUTO_BUYER_EXECUTION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5" t="n"/>
      <c r="BK15" s="26" t="n"/>
      <c r="BL15" s="27" t="n"/>
      <c r="BM15" s="28" t="n"/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</row>
    <row r="16" ht="36" customHeight="1">
      <c r="A16" s="24" t="inlineStr">
        <is>
          <t>130de6b451334384</t>
        </is>
      </c>
      <c r="B16" s="24" t="inlineStr">
        <is>
          <t>2026-08-30T07:18:37.484216Z</t>
        </is>
      </c>
      <c r="C16" s="24" t="inlineStr">
        <is>
          <t>2026-08-30T20:30Z</t>
        </is>
      </c>
      <c r="D16" s="24" t="inlineStr">
        <is>
          <t>aec-wta-taypre-alypar-2026-08-30</t>
        </is>
      </c>
      <c r="E16" s="24" t="inlineStr">
        <is>
          <t>TENNIS</t>
        </is>
      </c>
      <c r="F16" s="24" t="inlineStr">
        <is>
          <t>Alycia Parks</t>
        </is>
      </c>
      <c r="G16" s="24" t="inlineStr">
        <is>
          <t>Taylah Preston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</v>
      </c>
      <c r="N16" s="28" t="n">
        <v>0.5098</v>
      </c>
      <c r="O16" s="28" t="n">
        <v>0.6473</v>
      </c>
      <c r="P16" s="28" t="n"/>
      <c r="Q16" s="28" t="n">
        <v>0.1373</v>
      </c>
      <c r="R16" s="26" t="n"/>
      <c r="S16" s="29" t="n">
        <v>1.5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/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2026-08-31T01:47:49.455874Z</t>
        </is>
      </c>
      <c r="AE16" s="31" t="inlineStr">
        <is>
          <t>Auto-Buyer order C692W60FGKDN on aec-wta-taypre-alypar-2026-08-30 (short)</t>
        </is>
      </c>
      <c r="AF16" s="31" t="n"/>
      <c r="AG16" s="24" t="n"/>
      <c r="AH16" s="24" t="n"/>
      <c r="AI16" s="31" t="n"/>
      <c r="AJ16" s="31" t="n"/>
      <c r="AK16" s="24" t="n"/>
      <c r="AL16" s="26" t="n">
        <v>4</v>
      </c>
      <c r="AM16" s="24" t="inlineStr">
        <is>
          <t>decision</t>
        </is>
      </c>
      <c r="AN16" s="24" t="inlineStr">
        <is>
          <t>take</t>
        </is>
      </c>
      <c r="AO16" s="24" t="inlineStr">
        <is>
          <t>AUTO_BUYER_EXECUTION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5" t="n"/>
      <c r="BK16" s="26" t="n"/>
      <c r="BL16" s="27" t="n"/>
      <c r="BM16" s="28" t="n"/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</row>
    <row r="17" ht="36" customHeight="1">
      <c r="A17" s="24" t="inlineStr">
        <is>
          <t>9f2dbfa77b394b7a</t>
        </is>
      </c>
      <c r="B17" s="24" t="inlineStr">
        <is>
          <t>2026-08-30T07:18:37.484216Z</t>
        </is>
      </c>
      <c r="C17" s="24" t="inlineStr">
        <is>
          <t>2026-08-30T20:30Z</t>
        </is>
      </c>
      <c r="D17" s="24" t="inlineStr">
        <is>
          <t>aec-wta-kimbir-petmar-2026-08-30</t>
        </is>
      </c>
      <c r="E17" s="24" t="inlineStr">
        <is>
          <t>TENNIS</t>
        </is>
      </c>
      <c r="F17" s="24" t="inlineStr">
        <is>
          <t>Petra Marcinko</t>
        </is>
      </c>
      <c r="G17" s="24" t="inlineStr">
        <is>
          <t>Kimberly Birrell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-104</v>
      </c>
      <c r="M17" s="27" t="n">
        <v>1.9615</v>
      </c>
      <c r="N17" s="28" t="n">
        <v>0.5098</v>
      </c>
      <c r="O17" s="28" t="n">
        <v>0.5659</v>
      </c>
      <c r="P17" s="28" t="n"/>
      <c r="Q17" s="28" t="n">
        <v>0.0559</v>
      </c>
      <c r="R17" s="26" t="n"/>
      <c r="S17" s="29" t="n">
        <v>1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/>
      <c r="X17" s="26" t="n">
        <v>1</v>
      </c>
      <c r="Y17" s="25" t="n"/>
      <c r="Z17" s="26" t="n"/>
      <c r="AA17" s="28" t="n"/>
      <c r="AB17" s="28" t="n"/>
      <c r="AC17" s="30" t="n">
        <v>0.96</v>
      </c>
      <c r="AD17" s="24" t="inlineStr">
        <is>
          <t>2026-08-31T18:41:38.707356Z</t>
        </is>
      </c>
      <c r="AE17" s="31" t="inlineStr">
        <is>
          <t>Auto-Buyer order C692JEFHCKDF on aec-wta-kimbir-petmar-2026-08-30 (long)</t>
        </is>
      </c>
      <c r="AF17" s="31" t="n"/>
      <c r="AG17" s="24" t="n"/>
      <c r="AH17" s="24" t="n"/>
      <c r="AI17" s="31" t="n"/>
      <c r="AJ17" s="31" t="n"/>
      <c r="AK17" s="24" t="n"/>
      <c r="AL17" s="26" t="n">
        <v>4</v>
      </c>
      <c r="AM17" s="24" t="inlineStr">
        <is>
          <t>decision</t>
        </is>
      </c>
      <c r="AN17" s="24" t="inlineStr">
        <is>
          <t>take</t>
        </is>
      </c>
      <c r="AO17" s="24" t="inlineStr">
        <is>
          <t>AUTO_BUYER_EXECUTION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5" t="n"/>
      <c r="BK17" s="26" t="n"/>
      <c r="BL17" s="27" t="n"/>
      <c r="BM17" s="28" t="n"/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</row>
    <row r="18" ht="36" customHeight="1">
      <c r="A18" s="24" t="inlineStr">
        <is>
          <t>31dd4e8b89f9429b</t>
        </is>
      </c>
      <c r="B18" s="24" t="inlineStr">
        <is>
          <t>2026-08-30T16:14:53.453516Z</t>
        </is>
      </c>
      <c r="C18" s="24" t="inlineStr">
        <is>
          <t>2026-08-30T19:00:00-0400</t>
        </is>
      </c>
      <c r="D18" s="24" t="inlineStr">
        <is>
          <t>aec-wnba-gsv-por-2026-08-30</t>
        </is>
      </c>
      <c r="E18" s="24" t="inlineStr">
        <is>
          <t>WNBA</t>
        </is>
      </c>
      <c r="F18" s="24" t="inlineStr">
        <is>
          <t>Golden State Valkyries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</v>
      </c>
      <c r="N18" s="28" t="n">
        <v>0.67</v>
      </c>
      <c r="O18" s="28" t="n">
        <v>0.7121</v>
      </c>
      <c r="P18" s="28" t="n"/>
      <c r="Q18" s="28" t="n">
        <v>0.0421</v>
      </c>
      <c r="R18" s="26" t="n"/>
      <c r="S18" s="29" t="n">
        <v>1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win</t>
        </is>
      </c>
      <c r="W18" s="26" t="n">
        <v>86</v>
      </c>
      <c r="X18" s="26" t="n">
        <v>69</v>
      </c>
      <c r="Y18" s="25" t="n"/>
      <c r="Z18" s="26" t="n"/>
      <c r="AA18" s="28" t="n"/>
      <c r="AB18" s="28" t="n"/>
      <c r="AC18" s="30" t="n">
        <v>0.49</v>
      </c>
      <c r="AD18" s="24" t="inlineStr">
        <is>
          <t>2026-08-31T01:47:49.455874Z</t>
        </is>
      </c>
      <c r="AE18" s="31" t="inlineStr">
        <is>
          <t>Auto-Buyer order C6GTC588TKDK on aec-wnba-gsv-por-2026-08-30 (long)</t>
        </is>
      </c>
      <c r="AF18" s="31" t="n"/>
      <c r="AG18" s="24" t="n"/>
      <c r="AH18" s="24" t="n"/>
      <c r="AI18" s="31" t="n"/>
      <c r="AJ18" s="31" t="n"/>
      <c r="AK18" s="24" t="n"/>
      <c r="AL18" s="26" t="n">
        <v>4</v>
      </c>
      <c r="AM18" s="24" t="inlineStr">
        <is>
          <t>decision</t>
        </is>
      </c>
      <c r="AN18" s="24" t="inlineStr">
        <is>
          <t>take</t>
        </is>
      </c>
      <c r="AO18" s="24" t="inlineStr">
        <is>
          <t>AUTO_BUYER_EXECUTION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5" t="n"/>
      <c r="BK18" s="26" t="n"/>
      <c r="BL18" s="27" t="n"/>
      <c r="BM18" s="28" t="n"/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n"/>
      <c r="DK18" s="24" t="n"/>
      <c r="DL18" s="24" t="n"/>
      <c r="DM18" s="24" t="n"/>
      <c r="DN18" s="24" t="n"/>
      <c r="DO18" s="24" t="n"/>
      <c r="DP18" s="24" t="n"/>
    </row>
    <row r="19" ht="36" customHeight="1">
      <c r="A19" s="24" t="inlineStr">
        <is>
          <t>5fddbdd2e6544bb6</t>
        </is>
      </c>
      <c r="B19" s="24" t="inlineStr">
        <is>
          <t>2026-08-30T16:14:53.453516Z</t>
        </is>
      </c>
      <c r="C19" s="24" t="inlineStr">
        <is>
          <t>2026-08-31T00:30Z</t>
        </is>
      </c>
      <c r="D19" s="24" t="inlineStr">
        <is>
          <t>aec-atp-alebub-jjwol-2026-08-30</t>
        </is>
      </c>
      <c r="E19" s="24" t="inlineStr">
        <is>
          <t>TENNIS</t>
        </is>
      </c>
      <c r="F19" s="24" t="inlineStr">
        <is>
          <t>J.J. Wolf</t>
        </is>
      </c>
      <c r="G19" s="24" t="inlineStr">
        <is>
          <t>Alexander Bublik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</v>
      </c>
      <c r="N19" s="28" t="n">
        <v>0.6904</v>
      </c>
      <c r="O19" s="28" t="n">
        <v>0.8061</v>
      </c>
      <c r="P19" s="28" t="n"/>
      <c r="Q19" s="28" t="n">
        <v>0.1161</v>
      </c>
      <c r="R19" s="26" t="n"/>
      <c r="S19" s="29" t="n">
        <v>1.5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win</t>
        </is>
      </c>
      <c r="W19" s="26" t="n"/>
      <c r="X19" s="26" t="n">
        <v>1</v>
      </c>
      <c r="Y19" s="25" t="n"/>
      <c r="Z19" s="26" t="n"/>
      <c r="AA19" s="28" t="n"/>
      <c r="AB19" s="28" t="n"/>
      <c r="AC19" s="30" t="n">
        <v>0.67</v>
      </c>
      <c r="AD19" s="24" t="inlineStr">
        <is>
          <t>2026-08-31T01:59:03.295568Z</t>
        </is>
      </c>
      <c r="AE19" s="31" t="inlineStr">
        <is>
          <t>Auto-Buyer order C6GTQAX2AKDH on aec-atp-alebub-jjwol-2026-08-30 (long)</t>
        </is>
      </c>
      <c r="AF19" s="31" t="n"/>
      <c r="AG19" s="24" t="n"/>
      <c r="AH19" s="24" t="n"/>
      <c r="AI19" s="31" t="n"/>
      <c r="AJ19" s="31" t="n"/>
      <c r="AK19" s="24" t="n"/>
      <c r="AL19" s="26" t="n">
        <v>4</v>
      </c>
      <c r="AM19" s="24" t="inlineStr">
        <is>
          <t>decision</t>
        </is>
      </c>
      <c r="AN19" s="24" t="inlineStr">
        <is>
          <t>take</t>
        </is>
      </c>
      <c r="AO19" s="24" t="inlineStr">
        <is>
          <t>AUTO_BUYER_EXECUTION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5" t="n"/>
      <c r="BK19" s="26" t="n"/>
      <c r="BL19" s="27" t="n"/>
      <c r="BM19" s="28" t="n"/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n"/>
      <c r="DK19" s="24" t="n"/>
      <c r="DL19" s="24" t="n"/>
      <c r="DM19" s="24" t="n"/>
      <c r="DN19" s="24" t="n"/>
      <c r="DO19" s="24" t="n"/>
      <c r="DP19" s="24" t="n"/>
    </row>
    <row r="20" ht="36" customHeight="1">
      <c r="A20" s="24" t="inlineStr">
        <is>
          <t>a6060a3849e2447f</t>
        </is>
      </c>
      <c r="B20" s="24" t="inlineStr">
        <is>
          <t>2026-08-30T16:22:08.406596Z</t>
        </is>
      </c>
      <c r="C20" s="24" t="inlineStr">
        <is>
          <t>2026-08-30T16:30:00Z</t>
        </is>
      </c>
      <c r="D20" s="24" t="inlineStr">
        <is>
          <t>aec-cs2-ts-furia-2026-08-30</t>
        </is>
      </c>
      <c r="E20" s="24" t="inlineStr">
        <is>
          <t>CS2</t>
        </is>
      </c>
      <c r="F20" s="24" t="inlineStr">
        <is>
          <t>FURIA</t>
        </is>
      </c>
      <c r="G20" s="24" t="inlineStr">
        <is>
          <t>Spirit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</v>
      </c>
      <c r="N20" s="28" t="n">
        <v>0.6503</v>
      </c>
      <c r="O20" s="28" t="n">
        <v>0.6995</v>
      </c>
      <c r="P20" s="28" t="n"/>
      <c r="Q20" s="28" t="n">
        <v>0.0495</v>
      </c>
      <c r="R20" s="26" t="n"/>
      <c r="S20" s="29" t="n">
        <v>1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win</t>
        </is>
      </c>
      <c r="W20" s="26" t="n"/>
      <c r="X20" s="26" t="n"/>
      <c r="Y20" s="25" t="n"/>
      <c r="Z20" s="26" t="n"/>
      <c r="AA20" s="28" t="n"/>
      <c r="AB20" s="28" t="n"/>
      <c r="AC20" s="30" t="n">
        <v>0.54</v>
      </c>
      <c r="AD20" s="24" t="inlineStr">
        <is>
          <t>2026-08-31T16:02:25.134027Z</t>
        </is>
      </c>
      <c r="AE20" s="31" t="inlineStr">
        <is>
          <t>Auto-Buyer order C6GXVJ778KDG on aec-cs2-ts-furia-2026-08-30 (long)</t>
        </is>
      </c>
      <c r="AF20" s="31" t="n"/>
      <c r="AG20" s="24" t="n"/>
      <c r="AH20" s="24" t="n"/>
      <c r="AI20" s="31" t="n"/>
      <c r="AJ20" s="31" t="n"/>
      <c r="AK20" s="24" t="n"/>
      <c r="AL20" s="26" t="n">
        <v>4</v>
      </c>
      <c r="AM20" s="24" t="inlineStr">
        <is>
          <t>decision</t>
        </is>
      </c>
      <c r="AN20" s="24" t="inlineStr">
        <is>
          <t>take</t>
        </is>
      </c>
      <c r="AO20" s="24" t="inlineStr">
        <is>
          <t>AUTO_BUYER_EXECUTION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5" t="n"/>
      <c r="BK20" s="26" t="n"/>
      <c r="BL20" s="27" t="n"/>
      <c r="BM20" s="28" t="n"/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n"/>
      <c r="DK20" s="24" t="n"/>
      <c r="DL20" s="24" t="n"/>
      <c r="DM20" s="24" t="n"/>
      <c r="DN20" s="24" t="n"/>
      <c r="DO20" s="24" t="n"/>
      <c r="DP20" s="24" t="n"/>
    </row>
    <row r="21" ht="36" customHeight="1">
      <c r="A21" s="24" t="inlineStr">
        <is>
          <t>2d250bfe28394dcd</t>
        </is>
      </c>
      <c r="B21" s="24" t="inlineStr">
        <is>
          <t>2026-08-30T16:22:08.406596Z</t>
        </is>
      </c>
      <c r="C21" s="24" t="inlineStr">
        <is>
          <t>2026-08-30T17:00:00Z</t>
        </is>
      </c>
      <c r="D21" s="24" t="inlineStr">
        <is>
          <t>aec-cs2-pcific-atr-2026-08-30</t>
        </is>
      </c>
      <c r="E21" s="24" t="inlineStr">
        <is>
          <t>CS2</t>
        </is>
      </c>
      <c r="F21" s="24" t="inlineStr">
        <is>
          <t>Atreides</t>
        </is>
      </c>
      <c r="G21" s="24" t="inlineStr">
        <is>
          <t>WRAITH PCIFIC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117</v>
      </c>
      <c r="M21" s="27" t="n">
        <v>2.17</v>
      </c>
      <c r="N21" s="28" t="n">
        <v>0.4608</v>
      </c>
      <c r="O21" s="28" t="n">
        <v>0.5986</v>
      </c>
      <c r="P21" s="28" t="n"/>
      <c r="Q21" s="28" t="n">
        <v>0.1386</v>
      </c>
      <c r="R21" s="26" t="n"/>
      <c r="S21" s="29" t="n">
        <v>1.5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/>
      <c r="X21" s="26" t="n"/>
      <c r="Y21" s="25" t="n"/>
      <c r="Z21" s="26" t="n"/>
      <c r="AA21" s="28" t="n"/>
      <c r="AB21" s="28" t="n"/>
      <c r="AC21" s="30" t="n">
        <v>-1.5</v>
      </c>
      <c r="AD21" s="24" t="inlineStr">
        <is>
          <t>2026-08-31T04:02:34.026411Z</t>
        </is>
      </c>
      <c r="AE21" s="31" t="inlineStr">
        <is>
          <t>Auto-Buyer order C6GYB4MW4KDH on aec-cs2-pcific-atr-2026-08-30 (long)</t>
        </is>
      </c>
      <c r="AF21" s="31" t="n"/>
      <c r="AG21" s="24" t="n"/>
      <c r="AH21" s="24" t="n"/>
      <c r="AI21" s="31" t="n"/>
      <c r="AJ21" s="31" t="n"/>
      <c r="AK21" s="24" t="n"/>
      <c r="AL21" s="26" t="n">
        <v>4</v>
      </c>
      <c r="AM21" s="24" t="inlineStr">
        <is>
          <t>decision</t>
        </is>
      </c>
      <c r="AN21" s="24" t="inlineStr">
        <is>
          <t>take</t>
        </is>
      </c>
      <c r="AO21" s="24" t="inlineStr">
        <is>
          <t>AUTO_BUYER_EXECUTION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5" t="n"/>
      <c r="BK21" s="26" t="n"/>
      <c r="BL21" s="27" t="n"/>
      <c r="BM21" s="28" t="n"/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n"/>
      <c r="DK21" s="24" t="n"/>
      <c r="DL21" s="24" t="n"/>
      <c r="DM21" s="24" t="n"/>
      <c r="DN21" s="24" t="n"/>
      <c r="DO21" s="24" t="n"/>
      <c r="DP21" s="24" t="n"/>
    </row>
    <row r="22" ht="36" customHeight="1">
      <c r="A22" s="24" t="inlineStr">
        <is>
          <t>43a1c1f036ca46ac</t>
        </is>
      </c>
      <c r="B22" s="24" t="inlineStr">
        <is>
          <t>2026-08-30T16:22:08.406596Z</t>
        </is>
      </c>
      <c r="C22" s="24" t="inlineStr">
        <is>
          <t>2026-08-30T18:00:00Z</t>
        </is>
      </c>
      <c r="D22" s="24" t="inlineStr">
        <is>
          <t>aec-cs2-ezt-bw-2026-08-30</t>
        </is>
      </c>
      <c r="E22" s="24" t="inlineStr">
        <is>
          <t>CS2</t>
        </is>
      </c>
      <c r="F22" s="24" t="inlineStr">
        <is>
          <t>Bushido Wildcats</t>
        </is>
      </c>
      <c r="G22" s="24" t="inlineStr">
        <is>
          <t>ex-Zero Tenacity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-108</v>
      </c>
      <c r="M22" s="27" t="n">
        <v>1.9259</v>
      </c>
      <c r="N22" s="28" t="n">
        <v>0.5192</v>
      </c>
      <c r="O22" s="28" t="n">
        <v>0.6874</v>
      </c>
      <c r="P22" s="28" t="n"/>
      <c r="Q22" s="28" t="n">
        <v>0.1674</v>
      </c>
      <c r="R22" s="26" t="n"/>
      <c r="S22" s="29" t="n">
        <v>1.75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/>
      <c r="X22" s="26" t="n"/>
      <c r="Y22" s="25" t="n"/>
      <c r="Z22" s="26" t="n"/>
      <c r="AA22" s="28" t="n"/>
      <c r="AB22" s="28" t="n"/>
      <c r="AC22" s="30" t="n">
        <v>1.62</v>
      </c>
      <c r="AD22" s="24" t="inlineStr">
        <is>
          <t>2026-08-31T04:01:24.010499Z</t>
        </is>
      </c>
      <c r="AE22" s="31" t="inlineStr">
        <is>
          <t>Auto-Buyer order C6GXGZS7TKDC on aec-cs2-ezt-bw-2026-08-30 (long)</t>
        </is>
      </c>
      <c r="AF22" s="31" t="n"/>
      <c r="AG22" s="24" t="n"/>
      <c r="AH22" s="24" t="n"/>
      <c r="AI22" s="31" t="n"/>
      <c r="AJ22" s="31" t="n"/>
      <c r="AK22" s="24" t="n"/>
      <c r="AL22" s="26" t="n">
        <v>4</v>
      </c>
      <c r="AM22" s="24" t="inlineStr">
        <is>
          <t>decision</t>
        </is>
      </c>
      <c r="AN22" s="24" t="inlineStr">
        <is>
          <t>take</t>
        </is>
      </c>
      <c r="AO22" s="24" t="inlineStr">
        <is>
          <t>AUTO_BUYER_EXECUTION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5" t="n"/>
      <c r="BK22" s="26" t="n"/>
      <c r="BL22" s="27" t="n"/>
      <c r="BM22" s="28" t="n"/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n"/>
      <c r="DK22" s="24" t="n"/>
      <c r="DL22" s="24" t="n"/>
      <c r="DM22" s="24" t="n"/>
      <c r="DN22" s="24" t="n"/>
      <c r="DO22" s="24" t="n"/>
      <c r="DP22" s="24" t="n"/>
    </row>
    <row r="23" ht="36" customHeight="1">
      <c r="A23" s="24" t="inlineStr">
        <is>
          <t>66aa5ccd50684177</t>
        </is>
      </c>
      <c r="B23" s="24" t="inlineStr">
        <is>
          <t>2026-08-30T16:22:08.406596Z</t>
        </is>
      </c>
      <c r="C23" s="24" t="inlineStr">
        <is>
          <t>2026-08-30T21:00:00Z</t>
        </is>
      </c>
      <c r="D23" s="24" t="inlineStr">
        <is>
          <t>aec-cs2-shin-fxw7-2026-08-30</t>
        </is>
      </c>
      <c r="E23" s="24" t="inlineStr">
        <is>
          <t>CS2</t>
        </is>
      </c>
      <c r="F23" s="24" t="inlineStr">
        <is>
          <t>Fluxo W7M</t>
        </is>
      </c>
      <c r="G23" s="24" t="inlineStr">
        <is>
          <t>ShindeN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0.4902</v>
      </c>
      <c r="O23" s="28" t="n">
        <v>0.5913</v>
      </c>
      <c r="P23" s="28" t="n"/>
      <c r="Q23" s="28" t="n">
        <v>0.1113</v>
      </c>
      <c r="R23" s="26" t="n"/>
      <c r="S23" s="29" t="n">
        <v>1.25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/>
      <c r="X23" s="26" t="n"/>
      <c r="Y23" s="25" t="n"/>
      <c r="Z23" s="26" t="n"/>
      <c r="AA23" s="28" t="n"/>
      <c r="AB23" s="28" t="n"/>
      <c r="AC23" s="30" t="n">
        <v>1.35</v>
      </c>
      <c r="AD23" s="24" t="inlineStr">
        <is>
          <t>2026-08-31T04:01:24.010499Z</t>
        </is>
      </c>
      <c r="AE23" s="31" t="inlineStr">
        <is>
          <t>Auto-Buyer order C6GXP0Y34KDK on aec-cs2-shin-fxw7-2026-08-30 (long)</t>
        </is>
      </c>
      <c r="AF23" s="31" t="n"/>
      <c r="AG23" s="24" t="n"/>
      <c r="AH23" s="24" t="n"/>
      <c r="AI23" s="31" t="n"/>
      <c r="AJ23" s="31" t="n"/>
      <c r="AK23" s="24" t="n"/>
      <c r="AL23" s="26" t="n">
        <v>4</v>
      </c>
      <c r="AM23" s="24" t="inlineStr">
        <is>
          <t>decision</t>
        </is>
      </c>
      <c r="AN23" s="24" t="inlineStr">
        <is>
          <t>take</t>
        </is>
      </c>
      <c r="AO23" s="24" t="inlineStr">
        <is>
          <t>AUTO_BUYER_EXECUTION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5" t="n"/>
      <c r="BK23" s="26" t="n"/>
      <c r="BL23" s="27" t="n"/>
      <c r="BM23" s="28" t="n"/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n"/>
      <c r="DK23" s="24" t="n"/>
      <c r="DL23" s="24" t="n"/>
      <c r="DM23" s="24" t="n"/>
      <c r="DN23" s="24" t="n"/>
      <c r="DO23" s="24" t="n"/>
      <c r="DP23" s="24" t="n"/>
    </row>
    <row r="24" ht="36" customHeight="1">
      <c r="A24" s="24" t="inlineStr">
        <is>
          <t>251a40c2423d4eda</t>
        </is>
      </c>
      <c r="B24" s="24" t="inlineStr">
        <is>
          <t>2026-08-30T16:22:08.406596Z</t>
        </is>
      </c>
      <c r="C24" s="24" t="inlineStr">
        <is>
          <t>2026-08-30T16:30:00Z</t>
        </is>
      </c>
      <c r="D24" s="24" t="inlineStr">
        <is>
          <t>aec-lol-fnc-gx-2026-08-30</t>
        </is>
      </c>
      <c r="E24" s="24" t="inlineStr">
        <is>
          <t>LOL</t>
        </is>
      </c>
      <c r="F24" s="24" t="inlineStr">
        <is>
          <t>GIANTX</t>
        </is>
      </c>
      <c r="G24" s="24" t="inlineStr">
        <is>
          <t>Fnatic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-100</v>
      </c>
      <c r="M24" s="27" t="n">
        <v>2</v>
      </c>
      <c r="N24" s="28" t="n">
        <v>0.3401</v>
      </c>
      <c r="O24" s="28" t="n">
        <v>0.5991</v>
      </c>
      <c r="P24" s="28" t="n"/>
      <c r="Q24" s="28" t="n">
        <v>0.09909999999999999</v>
      </c>
      <c r="R24" s="26" t="n"/>
      <c r="S24" s="29" t="n">
        <v>2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/>
      <c r="X24" s="26" t="n"/>
      <c r="Y24" s="25" t="n"/>
      <c r="Z24" s="26" t="n"/>
      <c r="AA24" s="28" t="n"/>
      <c r="AB24" s="28" t="n"/>
      <c r="AC24" s="30" t="n">
        <v>2</v>
      </c>
      <c r="AD24" s="24" t="inlineStr">
        <is>
          <t>2026-08-31T04:02:34.026411Z</t>
        </is>
      </c>
      <c r="AE24" s="31" t="inlineStr">
        <is>
          <t>Auto-Buyer order C6GXP0YCWKDK on aec-lol-fnc-gx-2026-08-30 (short)</t>
        </is>
      </c>
      <c r="AF24" s="31" t="n"/>
      <c r="AG24" s="24" t="n"/>
      <c r="AH24" s="24" t="n"/>
      <c r="AI24" s="31" t="n"/>
      <c r="AJ24" s="31" t="n"/>
      <c r="AK24" s="24" t="n"/>
      <c r="AL24" s="26" t="n">
        <v>4</v>
      </c>
      <c r="AM24" s="24" t="inlineStr">
        <is>
          <t>decision</t>
        </is>
      </c>
      <c r="AN24" s="24" t="inlineStr">
        <is>
          <t>take</t>
        </is>
      </c>
      <c r="AO24" s="24" t="inlineStr">
        <is>
          <t>AUTO_BUYER_EXECUTION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5" t="n"/>
      <c r="BK24" s="26" t="n"/>
      <c r="BL24" s="27" t="n"/>
      <c r="BM24" s="28" t="n"/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n"/>
      <c r="DK24" s="24" t="n"/>
      <c r="DL24" s="24" t="n"/>
      <c r="DM24" s="24" t="n"/>
      <c r="DN24" s="24" t="n"/>
      <c r="DO24" s="24" t="n"/>
      <c r="DP24" s="24" t="n"/>
    </row>
    <row r="25" ht="36" customHeight="1">
      <c r="A25" s="24" t="inlineStr">
        <is>
          <t>42a282ce16a14139</t>
        </is>
      </c>
      <c r="B25" s="24" t="inlineStr">
        <is>
          <t>2026-08-30T16:22:08.406596Z</t>
        </is>
      </c>
      <c r="C25" s="24" t="inlineStr">
        <is>
          <t>2026-08-30T20:00:00Z</t>
        </is>
      </c>
      <c r="D25" s="24" t="inlineStr">
        <is>
          <t>aec-lol-ly-tl-2026-08-30</t>
        </is>
      </c>
      <c r="E25" s="24" t="inlineStr">
        <is>
          <t>LOL</t>
        </is>
      </c>
      <c r="F25" s="24" t="inlineStr">
        <is>
          <t>Team Liquid</t>
        </is>
      </c>
      <c r="G25" s="24" t="inlineStr">
        <is>
          <t>LYON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</v>
      </c>
      <c r="O25" s="28" t="n">
        <v>0.5115</v>
      </c>
      <c r="P25" s="28" t="n"/>
      <c r="Q25" s="28" t="n">
        <v>0.0515</v>
      </c>
      <c r="R25" s="26" t="n"/>
      <c r="S25" s="29" t="n">
        <v>1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loss</t>
        </is>
      </c>
      <c r="W25" s="26" t="n"/>
      <c r="X25" s="26" t="n"/>
      <c r="Y25" s="25" t="n"/>
      <c r="Z25" s="26" t="n"/>
      <c r="AA25" s="28" t="n"/>
      <c r="AB25" s="28" t="n"/>
      <c r="AC25" s="30" t="n">
        <v>-1</v>
      </c>
      <c r="AD25" s="24" t="inlineStr">
        <is>
          <t>2026-08-31T04:01:24.010499Z</t>
        </is>
      </c>
      <c r="AE25" s="31" t="inlineStr">
        <is>
          <t>Auto-Buyer order C6GYB4PFAKDH on aec-lol-ly-tl-2026-08-30 (short)</t>
        </is>
      </c>
      <c r="AF25" s="31" t="n"/>
      <c r="AG25" s="24" t="n"/>
      <c r="AH25" s="24" t="n"/>
      <c r="AI25" s="31" t="n"/>
      <c r="AJ25" s="31" t="n"/>
      <c r="AK25" s="24" t="n"/>
      <c r="AL25" s="26" t="n">
        <v>4</v>
      </c>
      <c r="AM25" s="24" t="inlineStr">
        <is>
          <t>decision</t>
        </is>
      </c>
      <c r="AN25" s="24" t="inlineStr">
        <is>
          <t>take</t>
        </is>
      </c>
      <c r="AO25" s="24" t="inlineStr">
        <is>
          <t>AUTO_BUYER_EXECUTION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5" t="n"/>
      <c r="BK25" s="26" t="n"/>
      <c r="BL25" s="27" t="n"/>
      <c r="BM25" s="28" t="n"/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n"/>
      <c r="DK25" s="24" t="n"/>
      <c r="DL25" s="24" t="n"/>
      <c r="DM25" s="24" t="n"/>
      <c r="DN25" s="24" t="n"/>
      <c r="DO25" s="24" t="n"/>
      <c r="DP25" s="24" t="n"/>
    </row>
    <row r="26" ht="36" customHeight="1">
      <c r="A26" s="24" t="inlineStr">
        <is>
          <t>5b497c15be7b4575</t>
        </is>
      </c>
      <c r="B26" s="24" t="inlineStr">
        <is>
          <t>2026-08-30T16:35:16.369606Z</t>
        </is>
      </c>
      <c r="C26" s="24" t="inlineStr">
        <is>
          <t>2026-08-30T17:40Z</t>
        </is>
      </c>
      <c r="D26" s="24" t="inlineStr">
        <is>
          <t>tsc-mlb-kc-cle-2026-08-30-7pt5</t>
        </is>
      </c>
      <c r="E26" s="24" t="inlineStr">
        <is>
          <t>MLB</t>
        </is>
      </c>
      <c r="F26" s="24" t="inlineStr">
        <is>
          <t>Kansas City Royals</t>
        </is>
      </c>
      <c r="G26" s="24" t="inlineStr">
        <is>
          <t>Cleveland Guardians</t>
        </is>
      </c>
      <c r="H26" s="24" t="inlineStr">
        <is>
          <t>total</t>
        </is>
      </c>
      <c r="I26" s="24" t="inlineStr">
        <is>
          <t>over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0.4902</v>
      </c>
      <c r="O26" s="28" t="n">
        <v>0.5256</v>
      </c>
      <c r="P26" s="28" t="n"/>
      <c r="Q26" s="28" t="n">
        <v>0.0356</v>
      </c>
      <c r="R26" s="26" t="n"/>
      <c r="S26" s="29" t="n">
        <v>1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11</v>
      </c>
      <c r="Y26" s="25" t="n"/>
      <c r="Z26" s="26" t="n"/>
      <c r="AA26" s="28" t="n"/>
      <c r="AB26" s="28" t="n"/>
      <c r="AC26" s="30" t="n">
        <v>1.04</v>
      </c>
      <c r="AD26" s="24" t="inlineStr">
        <is>
          <t>2026-08-30T21:02:17.739705Z</t>
        </is>
      </c>
      <c r="AE26" s="31" t="inlineStr">
        <is>
          <t>Auto-Buyer order C6H504ZW6KDF on tsc-mlb-kc-cle-2026-08-30-7pt5 (long)</t>
        </is>
      </c>
      <c r="AF26" s="31" t="n"/>
      <c r="AG26" s="24" t="n"/>
      <c r="AH26" s="24" t="n"/>
      <c r="AI26" s="31" t="n"/>
      <c r="AJ26" s="31" t="n"/>
      <c r="AK26" s="24" t="n"/>
      <c r="AL26" s="26" t="n">
        <v>4</v>
      </c>
      <c r="AM26" s="24" t="inlineStr">
        <is>
          <t>decision</t>
        </is>
      </c>
      <c r="AN26" s="24" t="inlineStr">
        <is>
          <t>take</t>
        </is>
      </c>
      <c r="AO26" s="24" t="inlineStr">
        <is>
          <t>AUTO_BUYER_EXECUTION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5" t="n"/>
      <c r="BK26" s="26" t="n"/>
      <c r="BL26" s="27" t="n"/>
      <c r="BM26" s="28" t="n"/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n"/>
      <c r="DK26" s="24" t="n"/>
      <c r="DL26" s="24" t="n"/>
      <c r="DM26" s="24" t="n"/>
      <c r="DN26" s="24" t="n"/>
      <c r="DO26" s="24" t="n"/>
      <c r="DP26" s="24" t="n"/>
    </row>
    <row r="27" ht="36" customHeight="1">
      <c r="A27" s="24" t="inlineStr">
        <is>
          <t>6a99a099dcfa4a08</t>
        </is>
      </c>
      <c r="B27" s="24" t="inlineStr">
        <is>
          <t>2026-08-31T04:52:35.718859Z</t>
        </is>
      </c>
      <c r="C27" s="24" t="inlineStr">
        <is>
          <t>2026-08-31T15:00Z</t>
        </is>
      </c>
      <c r="D27" s="24" t="inlineStr">
        <is>
          <t>aec-wta-mansaw-panudv-2026-08-30</t>
        </is>
      </c>
      <c r="E27" s="24" t="inlineStr">
        <is>
          <t>TENNIS</t>
        </is>
      </c>
      <c r="F27" s="24" t="inlineStr">
        <is>
          <t>Panna Udvardy</t>
        </is>
      </c>
      <c r="G27" s="24" t="inlineStr">
        <is>
          <t>Mananchaya Sawangkaew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156</v>
      </c>
      <c r="M27" s="27" t="n">
        <v>2.56</v>
      </c>
      <c r="N27" s="28" t="n">
        <v>0.3906</v>
      </c>
      <c r="O27" s="28" t="n">
        <v>0.5028</v>
      </c>
      <c r="P27" s="28" t="n"/>
      <c r="Q27" s="28" t="n">
        <v>0.1128</v>
      </c>
      <c r="R27" s="26" t="n"/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/>
      <c r="X27" s="26" t="n">
        <v>1</v>
      </c>
      <c r="Y27" s="25" t="n"/>
      <c r="Z27" s="26" t="n"/>
      <c r="AA27" s="28" t="n"/>
      <c r="AB27" s="28" t="n"/>
      <c r="AC27" s="30" t="n">
        <v>-1.5</v>
      </c>
      <c r="AD27" s="24" t="inlineStr">
        <is>
          <t>2026-08-31T18:41:38.707356Z</t>
        </is>
      </c>
      <c r="AE27" s="31" t="inlineStr">
        <is>
          <t>Auto-Buyer order C6VFDE70CKDN on aec-wta-mansaw-panudv-2026-08-30 (short)</t>
        </is>
      </c>
      <c r="AF27" s="31" t="n"/>
      <c r="AG27" s="24" t="n"/>
      <c r="AH27" s="24" t="n"/>
      <c r="AI27" s="31" t="n"/>
      <c r="AJ27" s="31" t="n"/>
      <c r="AK27" s="24" t="n"/>
      <c r="AL27" s="26" t="n">
        <v>4</v>
      </c>
      <c r="AM27" s="24" t="inlineStr">
        <is>
          <t>decision</t>
        </is>
      </c>
      <c r="AN27" s="24" t="inlineStr">
        <is>
          <t>take</t>
        </is>
      </c>
      <c r="AO27" s="24" t="inlineStr">
        <is>
          <t>AUTO_BUYER_EXECUTION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5" t="n"/>
      <c r="BK27" s="26" t="n"/>
      <c r="BL27" s="27" t="n"/>
      <c r="BM27" s="28" t="n"/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n"/>
      <c r="DK27" s="24" t="n"/>
      <c r="DL27" s="24" t="n"/>
      <c r="DM27" s="24" t="n"/>
      <c r="DN27" s="24" t="n"/>
      <c r="DO27" s="24" t="n"/>
      <c r="DP27" s="24" t="n"/>
    </row>
    <row r="28" ht="36" customHeight="1">
      <c r="A28" s="24" t="inlineStr">
        <is>
          <t>8b833b3bf6574b26</t>
        </is>
      </c>
      <c r="B28" s="24" t="inlineStr">
        <is>
          <t>2026-08-31T04:52:35.718859Z</t>
        </is>
      </c>
      <c r="C28" s="24" t="inlineStr">
        <is>
          <t>2026-08-31T17:00Z</t>
        </is>
      </c>
      <c r="D28" s="24" t="inlineStr">
        <is>
          <t>aec-wta-tamzid-martim-2026-08-30</t>
        </is>
      </c>
      <c r="E28" s="24" t="inlineStr">
        <is>
          <t>TENNIS</t>
        </is>
      </c>
      <c r="F28" s="24" t="inlineStr">
        <is>
          <t>Maria Timofeeva</t>
        </is>
      </c>
      <c r="G28" s="24" t="inlineStr">
        <is>
          <t>Tamara Zidansek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194</v>
      </c>
      <c r="M28" s="27" t="n">
        <v>2.94</v>
      </c>
      <c r="N28" s="28" t="n">
        <v>0.3401</v>
      </c>
      <c r="O28" s="28" t="n">
        <v>0.5261</v>
      </c>
      <c r="P28" s="28" t="n"/>
      <c r="Q28" s="28" t="n">
        <v>0.1861</v>
      </c>
      <c r="R28" s="26" t="n"/>
      <c r="S28" s="29" t="n">
        <v>2</v>
      </c>
      <c r="T28" s="24" t="inlineStr">
        <is>
          <t>tennis-surface-elo-v1</t>
        </is>
      </c>
      <c r="U28" s="24" t="inlineStr">
        <is>
          <t>open</t>
        </is>
      </c>
      <c r="V28" s="24" t="inlineStr">
        <is>
          <t>open</t>
        </is>
      </c>
      <c r="W28" s="26" t="n"/>
      <c r="X28" s="26" t="n"/>
      <c r="Y28" s="25" t="n"/>
      <c r="Z28" s="26" t="n"/>
      <c r="AA28" s="28" t="n"/>
      <c r="AB28" s="28" t="n"/>
      <c r="AC28" s="30" t="n">
        <v>0</v>
      </c>
      <c r="AD28" s="24" t="n"/>
      <c r="AE28" s="31" t="inlineStr">
        <is>
          <t>Auto-Buyer order C6VFNH8ZYKDJ on aec-wta-tamzid-martim-2026-08-30 (long)</t>
        </is>
      </c>
      <c r="AF28" s="31" t="n"/>
      <c r="AG28" s="24" t="n"/>
      <c r="AH28" s="24" t="n"/>
      <c r="AI28" s="31" t="n"/>
      <c r="AJ28" s="31" t="n"/>
      <c r="AK28" s="24" t="n"/>
      <c r="AL28" s="26" t="n">
        <v>4</v>
      </c>
      <c r="AM28" s="24" t="inlineStr">
        <is>
          <t>decision</t>
        </is>
      </c>
      <c r="AN28" s="24" t="inlineStr">
        <is>
          <t>take</t>
        </is>
      </c>
      <c r="AO28" s="24" t="inlineStr">
        <is>
          <t>AUTO_BUYER_EXECUTION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5" t="n"/>
      <c r="BK28" s="26" t="n"/>
      <c r="BL28" s="27" t="n"/>
      <c r="BM28" s="28" t="n"/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n"/>
      <c r="DK28" s="24" t="n"/>
      <c r="DL28" s="24" t="n"/>
      <c r="DM28" s="24" t="n"/>
      <c r="DN28" s="24" t="n"/>
      <c r="DO28" s="24" t="n"/>
      <c r="DP28" s="24" t="n"/>
    </row>
    <row r="29" ht="36" customHeight="1">
      <c r="A29" s="24" t="inlineStr">
        <is>
          <t>55dfd65193ae4c3d</t>
        </is>
      </c>
      <c r="B29" s="24" t="inlineStr">
        <is>
          <t>2026-08-31T04:52:35.718859Z</t>
        </is>
      </c>
      <c r="C29" s="24" t="inlineStr">
        <is>
          <t>2026-08-31T15:00Z</t>
        </is>
      </c>
      <c r="D29" s="24" t="inlineStr">
        <is>
          <t>aec-atp-valvac-alekov-2026-08-30</t>
        </is>
      </c>
      <c r="E29" s="24" t="inlineStr">
        <is>
          <t>TENNIS</t>
        </is>
      </c>
      <c r="F29" s="24" t="inlineStr">
        <is>
          <t>Aleksandar Kovacevic</t>
        </is>
      </c>
      <c r="G29" s="24" t="inlineStr">
        <is>
          <t>Valentin Vacherot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-108</v>
      </c>
      <c r="M29" s="27" t="n">
        <v>1.9259</v>
      </c>
      <c r="N29" s="28" t="n">
        <v>0.5192</v>
      </c>
      <c r="O29" s="28" t="n">
        <v>0.6385</v>
      </c>
      <c r="P29" s="28" t="n"/>
      <c r="Q29" s="28" t="n">
        <v>0.1185</v>
      </c>
      <c r="R29" s="26" t="n"/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win</t>
        </is>
      </c>
      <c r="W29" s="26" t="n"/>
      <c r="X29" s="26" t="n">
        <v>1</v>
      </c>
      <c r="Y29" s="25" t="n"/>
      <c r="Z29" s="26" t="n"/>
      <c r="AA29" s="28" t="n"/>
      <c r="AB29" s="28" t="n"/>
      <c r="AC29" s="30" t="n">
        <v>1.38</v>
      </c>
      <c r="AD29" s="24" t="inlineStr">
        <is>
          <t>2026-08-31T18:41:38.707356Z</t>
        </is>
      </c>
      <c r="AE29" s="31" t="inlineStr">
        <is>
          <t>Auto-Buyer order C6VFNH9JYKDJ on aec-atp-valvac-alekov-2026-08-30 (long)</t>
        </is>
      </c>
      <c r="AF29" s="31" t="n"/>
      <c r="AG29" s="24" t="n"/>
      <c r="AH29" s="24" t="n"/>
      <c r="AI29" s="31" t="n"/>
      <c r="AJ29" s="31" t="n"/>
      <c r="AK29" s="24" t="n"/>
      <c r="AL29" s="26" t="n">
        <v>4</v>
      </c>
      <c r="AM29" s="24" t="inlineStr">
        <is>
          <t>decision</t>
        </is>
      </c>
      <c r="AN29" s="24" t="inlineStr">
        <is>
          <t>take</t>
        </is>
      </c>
      <c r="AO29" s="24" t="inlineStr">
        <is>
          <t>AUTO_BUYER_EXECUTION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5" t="n"/>
      <c r="BK29" s="26" t="n"/>
      <c r="BL29" s="27" t="n"/>
      <c r="BM29" s="28" t="n"/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n"/>
      <c r="DK29" s="24" t="n"/>
      <c r="DL29" s="24" t="n"/>
      <c r="DM29" s="24" t="n"/>
      <c r="DN29" s="24" t="n"/>
      <c r="DO29" s="24" t="n"/>
      <c r="DP29" s="24" t="n"/>
    </row>
    <row r="30" ht="36" customHeight="1">
      <c r="A30" s="24" t="inlineStr">
        <is>
          <t>525d5353a78b4b49</t>
        </is>
      </c>
      <c r="B30" s="24" t="inlineStr">
        <is>
          <t>2026-08-31T04:52:35.718859Z</t>
        </is>
      </c>
      <c r="C30" s="24" t="inlineStr">
        <is>
          <t>2026-08-31T17:00Z</t>
        </is>
      </c>
      <c r="D30" s="24" t="inlineStr">
        <is>
          <t>aec-atp-matarn-jamduc-2026-08-30</t>
        </is>
      </c>
      <c r="E30" s="24" t="inlineStr">
        <is>
          <t>TENNIS</t>
        </is>
      </c>
      <c r="F30" s="24" t="inlineStr">
        <is>
          <t>James Duckworth</t>
        </is>
      </c>
      <c r="G30" s="24" t="inlineStr">
        <is>
          <t>Matteo Arnaldi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156</v>
      </c>
      <c r="M30" s="27" t="n">
        <v>2.56</v>
      </c>
      <c r="N30" s="28" t="n">
        <v>0.3906</v>
      </c>
      <c r="O30" s="28" t="n">
        <v>0.5743</v>
      </c>
      <c r="P30" s="28" t="n"/>
      <c r="Q30" s="28" t="n">
        <v>0.1843</v>
      </c>
      <c r="R30" s="26" t="n"/>
      <c r="S30" s="29" t="n">
        <v>2</v>
      </c>
      <c r="T30" s="24" t="inlineStr">
        <is>
          <t>tennis-surface-elo-v1</t>
        </is>
      </c>
      <c r="U30" s="24" t="inlineStr">
        <is>
          <t>open</t>
        </is>
      </c>
      <c r="V30" s="24" t="inlineStr">
        <is>
          <t>open</t>
        </is>
      </c>
      <c r="W30" s="26" t="n"/>
      <c r="X30" s="26" t="n"/>
      <c r="Y30" s="25" t="n"/>
      <c r="Z30" s="26" t="n"/>
      <c r="AA30" s="28" t="n"/>
      <c r="AB30" s="28" t="n"/>
      <c r="AC30" s="30" t="n">
        <v>0</v>
      </c>
      <c r="AD30" s="24" t="n"/>
      <c r="AE30" s="31" t="inlineStr">
        <is>
          <t>Auto-Buyer order C6VFCN0FYKDG on aec-atp-matarn-jamduc-2026-08-30 (short)</t>
        </is>
      </c>
      <c r="AF30" s="31" t="n"/>
      <c r="AG30" s="24" t="n"/>
      <c r="AH30" s="24" t="n"/>
      <c r="AI30" s="31" t="n"/>
      <c r="AJ30" s="31" t="n"/>
      <c r="AK30" s="24" t="n"/>
      <c r="AL30" s="26" t="n">
        <v>4</v>
      </c>
      <c r="AM30" s="24" t="inlineStr">
        <is>
          <t>decision</t>
        </is>
      </c>
      <c r="AN30" s="24" t="inlineStr">
        <is>
          <t>take</t>
        </is>
      </c>
      <c r="AO30" s="24" t="inlineStr">
        <is>
          <t>AUTO_BUYER_EXECUTION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5" t="n"/>
      <c r="BK30" s="26" t="n"/>
      <c r="BL30" s="27" t="n"/>
      <c r="BM30" s="28" t="n"/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n"/>
      <c r="DK30" s="24" t="n"/>
      <c r="DL30" s="24" t="n"/>
      <c r="DM30" s="24" t="n"/>
      <c r="DN30" s="24" t="n"/>
      <c r="DO30" s="24" t="n"/>
      <c r="DP30" s="24" t="n"/>
    </row>
    <row r="31" ht="36" customHeight="1">
      <c r="A31" s="24" t="inlineStr">
        <is>
          <t>62563810a67a4509</t>
        </is>
      </c>
      <c r="B31" s="24" t="inlineStr">
        <is>
          <t>2026-08-31T04:52:35.718859Z</t>
        </is>
      </c>
      <c r="C31" s="24" t="inlineStr">
        <is>
          <t>2026-08-31T17:00Z</t>
        </is>
      </c>
      <c r="D31" s="24" t="inlineStr">
        <is>
          <t>aec-atp-romsaf-caralc-2026-08-30</t>
        </is>
      </c>
      <c r="E31" s="24" t="inlineStr">
        <is>
          <t>TENNIS</t>
        </is>
      </c>
      <c r="F31" s="24" t="inlineStr">
        <is>
          <t>Carlos Alcaraz</t>
        </is>
      </c>
      <c r="G31" s="24" t="inlineStr">
        <is>
          <t>Roman Safiullin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-488</v>
      </c>
      <c r="M31" s="27" t="n">
        <v>1.2049</v>
      </c>
      <c r="N31" s="28" t="n">
        <v>0.8299</v>
      </c>
      <c r="O31" s="28" t="n">
        <v>0.9435</v>
      </c>
      <c r="P31" s="28" t="n"/>
      <c r="Q31" s="28" t="n">
        <v>0.1135</v>
      </c>
      <c r="R31" s="26" t="n"/>
      <c r="S31" s="29" t="n">
        <v>1.5</v>
      </c>
      <c r="T31" s="24" t="inlineStr">
        <is>
          <t>tennis-surface-elo-v1</t>
        </is>
      </c>
      <c r="U31" s="24" t="inlineStr">
        <is>
          <t>open</t>
        </is>
      </c>
      <c r="V31" s="24" t="inlineStr">
        <is>
          <t>open</t>
        </is>
      </c>
      <c r="W31" s="26" t="n"/>
      <c r="X31" s="26" t="n"/>
      <c r="Y31" s="25" t="n"/>
      <c r="Z31" s="26" t="n"/>
      <c r="AA31" s="28" t="n"/>
      <c r="AB31" s="28" t="n"/>
      <c r="AC31" s="30" t="n">
        <v>0</v>
      </c>
      <c r="AD31" s="24" t="n"/>
      <c r="AE31" s="31" t="inlineStr">
        <is>
          <t>Auto-Buyer order C6VGABM5CKDK on aec-atp-romsaf-caralc-2026-08-30 (short)</t>
        </is>
      </c>
      <c r="AF31" s="31" t="n"/>
      <c r="AG31" s="24" t="n"/>
      <c r="AH31" s="24" t="n"/>
      <c r="AI31" s="31" t="n"/>
      <c r="AJ31" s="31" t="n"/>
      <c r="AK31" s="24" t="n"/>
      <c r="AL31" s="26" t="n">
        <v>4</v>
      </c>
      <c r="AM31" s="24" t="inlineStr">
        <is>
          <t>decision</t>
        </is>
      </c>
      <c r="AN31" s="24" t="inlineStr">
        <is>
          <t>take</t>
        </is>
      </c>
      <c r="AO31" s="24" t="inlineStr">
        <is>
          <t>AUTO_BUYER_EXECUTION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5" t="n"/>
      <c r="BK31" s="26" t="n"/>
      <c r="BL31" s="27" t="n"/>
      <c r="BM31" s="28" t="n"/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n"/>
      <c r="DK31" s="24" t="n"/>
      <c r="DL31" s="24" t="n"/>
      <c r="DM31" s="24" t="n"/>
      <c r="DN31" s="24" t="n"/>
      <c r="DO31" s="24" t="n"/>
      <c r="DP31" s="24" t="n"/>
    </row>
    <row r="32" ht="36" customHeight="1">
      <c r="A32" s="24" t="inlineStr">
        <is>
          <t>a405afb6c6f7469b</t>
        </is>
      </c>
      <c r="B32" s="24" t="inlineStr">
        <is>
          <t>2026-08-31T04:52:35.718859Z</t>
        </is>
      </c>
      <c r="C32" s="24" t="inlineStr">
        <is>
          <t>2026-08-31T18:00Z</t>
        </is>
      </c>
      <c r="D32" s="24" t="inlineStr">
        <is>
          <t>aec-atp-dalsvr-valroy-2026-08-30</t>
        </is>
      </c>
      <c r="E32" s="24" t="inlineStr">
        <is>
          <t>TENNIS</t>
        </is>
      </c>
      <c r="F32" s="24" t="inlineStr">
        <is>
          <t>Valentin Royer</t>
        </is>
      </c>
      <c r="G32" s="24" t="inlineStr">
        <is>
          <t>Dalibor Svrcina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0.4902</v>
      </c>
      <c r="O32" s="28" t="n">
        <v>0.5763</v>
      </c>
      <c r="P32" s="28" t="n"/>
      <c r="Q32" s="28" t="n">
        <v>0.0863</v>
      </c>
      <c r="R32" s="26" t="n"/>
      <c r="S32" s="29" t="n">
        <v>1.25</v>
      </c>
      <c r="T32" s="24" t="inlineStr">
        <is>
          <t>tennis-surface-elo-v1</t>
        </is>
      </c>
      <c r="U32" s="24" t="inlineStr">
        <is>
          <t>open</t>
        </is>
      </c>
      <c r="V32" s="24" t="inlineStr">
        <is>
          <t>open</t>
        </is>
      </c>
      <c r="W32" s="26" t="n"/>
      <c r="X32" s="26" t="n"/>
      <c r="Y32" s="25" t="n"/>
      <c r="Z32" s="26" t="n"/>
      <c r="AA32" s="28" t="n"/>
      <c r="AB32" s="28" t="n"/>
      <c r="AC32" s="30" t="n">
        <v>0</v>
      </c>
      <c r="AD32" s="24" t="n"/>
      <c r="AE32" s="31" t="inlineStr">
        <is>
          <t>Auto-Buyer order C6VEZ2T7JKDC on aec-atp-dalsvr-valroy-2026-08-30 (long)</t>
        </is>
      </c>
      <c r="AF32" s="31" t="n"/>
      <c r="AG32" s="24" t="n"/>
      <c r="AH32" s="24" t="n"/>
      <c r="AI32" s="31" t="n"/>
      <c r="AJ32" s="31" t="n"/>
      <c r="AK32" s="24" t="n"/>
      <c r="AL32" s="26" t="n">
        <v>4</v>
      </c>
      <c r="AM32" s="24" t="inlineStr">
        <is>
          <t>decision</t>
        </is>
      </c>
      <c r="AN32" s="24" t="inlineStr">
        <is>
          <t>take</t>
        </is>
      </c>
      <c r="AO32" s="24" t="inlineStr">
        <is>
          <t>AUTO_BUYER_EXECUTION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5" t="n"/>
      <c r="BK32" s="26" t="n"/>
      <c r="BL32" s="27" t="n"/>
      <c r="BM32" s="28" t="n"/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n"/>
      <c r="DK32" s="24" t="n"/>
      <c r="DL32" s="24" t="n"/>
      <c r="DM32" s="24" t="n"/>
      <c r="DN32" s="24" t="n"/>
      <c r="DO32" s="24" t="n"/>
      <c r="DP32" s="24" t="n"/>
    </row>
    <row r="33" ht="36" customHeight="1">
      <c r="A33" s="24" t="inlineStr">
        <is>
          <t>34d64f0e02e04343</t>
        </is>
      </c>
      <c r="B33" s="24" t="inlineStr">
        <is>
          <t>2026-08-31T04:52:35.718859Z</t>
        </is>
      </c>
      <c r="C33" s="24" t="inlineStr">
        <is>
          <t>2026-08-31T18:30Z</t>
        </is>
      </c>
      <c r="D33" s="24" t="inlineStr">
        <is>
          <t>aec-atp-jurrod-gioper-2026-08-30</t>
        </is>
      </c>
      <c r="E33" s="24" t="inlineStr">
        <is>
          <t>TENNIS</t>
        </is>
      </c>
      <c r="F33" s="24" t="inlineStr">
        <is>
          <t>Giovanni Mpetshi Perricard</t>
        </is>
      </c>
      <c r="G33" s="24" t="inlineStr">
        <is>
          <t>Jurij Rodionov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104</v>
      </c>
      <c r="M33" s="27" t="n">
        <v>2.04</v>
      </c>
      <c r="N33" s="28" t="n">
        <v>0.4902</v>
      </c>
      <c r="O33" s="28" t="n">
        <v>0.5453</v>
      </c>
      <c r="P33" s="28" t="n"/>
      <c r="Q33" s="28" t="n">
        <v>0.0553</v>
      </c>
      <c r="R33" s="26" t="n"/>
      <c r="S33" s="29" t="n">
        <v>1</v>
      </c>
      <c r="T33" s="24" t="inlineStr">
        <is>
          <t>tennis-surface-elo-v1</t>
        </is>
      </c>
      <c r="U33" s="24" t="inlineStr">
        <is>
          <t>open</t>
        </is>
      </c>
      <c r="V33" s="24" t="inlineStr">
        <is>
          <t>open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n"/>
      <c r="AE33" s="31" t="inlineStr">
        <is>
          <t>Auto-Buyer order C6VF7S7KGKDM on aec-atp-jurrod-gioper-2026-08-30 (long)</t>
        </is>
      </c>
      <c r="AF33" s="31" t="n"/>
      <c r="AG33" s="24" t="n"/>
      <c r="AH33" s="24" t="n"/>
      <c r="AI33" s="31" t="n"/>
      <c r="AJ33" s="31" t="n"/>
      <c r="AK33" s="24" t="n"/>
      <c r="AL33" s="26" t="n">
        <v>4</v>
      </c>
      <c r="AM33" s="24" t="inlineStr">
        <is>
          <t>decision</t>
        </is>
      </c>
      <c r="AN33" s="24" t="inlineStr">
        <is>
          <t>take</t>
        </is>
      </c>
      <c r="AO33" s="24" t="inlineStr">
        <is>
          <t>AUTO_BUYER_EXECUTION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5" t="n"/>
      <c r="BK33" s="26" t="n"/>
      <c r="BL33" s="27" t="n"/>
      <c r="BM33" s="28" t="n"/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n"/>
      <c r="DK33" s="24" t="n"/>
      <c r="DL33" s="24" t="n"/>
      <c r="DM33" s="24" t="n"/>
      <c r="DN33" s="24" t="n"/>
      <c r="DO33" s="24" t="n"/>
      <c r="DP33" s="24" t="n"/>
    </row>
    <row r="34" ht="36" customHeight="1">
      <c r="A34" s="24" t="inlineStr">
        <is>
          <t>f138da48996b4c4e</t>
        </is>
      </c>
      <c r="B34" s="24" t="inlineStr">
        <is>
          <t>2026-08-31T04:52:35.718859Z</t>
        </is>
      </c>
      <c r="C34" s="24" t="inlineStr">
        <is>
          <t>2026-08-31T20:30Z</t>
        </is>
      </c>
      <c r="D34" s="24" t="inlineStr">
        <is>
          <t>aec-atp-yanhan-aletab-2026-08-30</t>
        </is>
      </c>
      <c r="E34" s="24" t="inlineStr">
        <is>
          <t>TENNIS</t>
        </is>
      </c>
      <c r="F34" s="24" t="inlineStr">
        <is>
          <t>Alejandro Tabilo</t>
        </is>
      </c>
      <c r="G34" s="24" t="inlineStr">
        <is>
          <t>Yannick Hanfmann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133</v>
      </c>
      <c r="M34" s="27" t="n">
        <v>2.33</v>
      </c>
      <c r="N34" s="28" t="n">
        <v>0.4292</v>
      </c>
      <c r="O34" s="28" t="n">
        <v>0.5565</v>
      </c>
      <c r="P34" s="28" t="n"/>
      <c r="Q34" s="28" t="n">
        <v>0.1265</v>
      </c>
      <c r="R34" s="26" t="n"/>
      <c r="S34" s="29" t="n">
        <v>1.5</v>
      </c>
      <c r="T34" s="24" t="inlineStr">
        <is>
          <t>tennis-surface-elo-v1</t>
        </is>
      </c>
      <c r="U34" s="24" t="inlineStr">
        <is>
          <t>open</t>
        </is>
      </c>
      <c r="V34" s="24" t="inlineStr">
        <is>
          <t>open</t>
        </is>
      </c>
      <c r="W34" s="26" t="n"/>
      <c r="X34" s="26" t="n"/>
      <c r="Y34" s="25" t="n"/>
      <c r="Z34" s="26" t="n"/>
      <c r="AA34" s="28" t="n"/>
      <c r="AB34" s="28" t="n"/>
      <c r="AC34" s="30" t="n">
        <v>0</v>
      </c>
      <c r="AD34" s="24" t="n"/>
      <c r="AE34" s="31" t="inlineStr">
        <is>
          <t>Auto-Buyer order C6VEZ2V6CKDC on aec-atp-yanhan-aletab-2026-08-30 (long)</t>
        </is>
      </c>
      <c r="AF34" s="31" t="n"/>
      <c r="AG34" s="24" t="n"/>
      <c r="AH34" s="24" t="n"/>
      <c r="AI34" s="31" t="n"/>
      <c r="AJ34" s="31" t="n"/>
      <c r="AK34" s="24" t="n"/>
      <c r="AL34" s="26" t="n">
        <v>4</v>
      </c>
      <c r="AM34" s="24" t="inlineStr">
        <is>
          <t>decision</t>
        </is>
      </c>
      <c r="AN34" s="24" t="inlineStr">
        <is>
          <t>take</t>
        </is>
      </c>
      <c r="AO34" s="24" t="inlineStr">
        <is>
          <t>AUTO_BUYER_EXECUTION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5" t="n"/>
      <c r="BK34" s="26" t="n"/>
      <c r="BL34" s="27" t="n"/>
      <c r="BM34" s="28" t="n"/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n"/>
      <c r="DK34" s="24" t="n"/>
      <c r="DL34" s="24" t="n"/>
      <c r="DM34" s="24" t="n"/>
      <c r="DN34" s="24" t="n"/>
      <c r="DO34" s="24" t="n"/>
      <c r="DP34" s="24" t="n"/>
    </row>
    <row r="35" ht="36" customHeight="1">
      <c r="A35" s="24" t="inlineStr">
        <is>
          <t>87994ded7cbc49d8</t>
        </is>
      </c>
      <c r="B35" s="24" t="inlineStr">
        <is>
          <t>2026-08-31T04:52:35.718859Z</t>
        </is>
      </c>
      <c r="C35" s="24" t="inlineStr">
        <is>
          <t>2026-08-31T08:00:00Z</t>
        </is>
      </c>
      <c r="D35" s="24" t="inlineStr">
        <is>
          <t>aec-cs2-ssins-havu-2026-08-31</t>
        </is>
      </c>
      <c r="E35" s="24" t="inlineStr">
        <is>
          <t>CS2</t>
        </is>
      </c>
      <c r="F35" s="24" t="inlineStr">
        <is>
          <t>HAVU</t>
        </is>
      </c>
      <c r="G35" s="24" t="inlineStr">
        <is>
          <t>Saint Sinners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0.4695</v>
      </c>
      <c r="O35" s="28" t="n">
        <v>0.5151</v>
      </c>
      <c r="P35" s="28" t="n"/>
      <c r="Q35" s="28" t="n">
        <v>0.0451</v>
      </c>
      <c r="R35" s="26" t="n"/>
      <c r="S35" s="29" t="n">
        <v>1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win</t>
        </is>
      </c>
      <c r="W35" s="26" t="n"/>
      <c r="X35" s="26" t="n"/>
      <c r="Y35" s="25" t="n"/>
      <c r="Z35" s="26" t="n"/>
      <c r="AA35" s="28" t="n"/>
      <c r="AB35" s="28" t="n"/>
      <c r="AC35" s="30" t="n">
        <v>1.13</v>
      </c>
      <c r="AD35" s="24" t="inlineStr">
        <is>
          <t>2026-08-31T16:02:25.134027Z</t>
        </is>
      </c>
      <c r="AE35" s="31" t="inlineStr">
        <is>
          <t>Auto-Buyer order C6VFCN1GAKDG on aec-cs2-ssins-havu-2026-08-31 (long)</t>
        </is>
      </c>
      <c r="AF35" s="31" t="n"/>
      <c r="AG35" s="24" t="n"/>
      <c r="AH35" s="24" t="n"/>
      <c r="AI35" s="31" t="n"/>
      <c r="AJ35" s="31" t="n"/>
      <c r="AK35" s="24" t="n"/>
      <c r="AL35" s="26" t="n">
        <v>4</v>
      </c>
      <c r="AM35" s="24" t="inlineStr">
        <is>
          <t>decision</t>
        </is>
      </c>
      <c r="AN35" s="24" t="inlineStr">
        <is>
          <t>take</t>
        </is>
      </c>
      <c r="AO35" s="24" t="inlineStr">
        <is>
          <t>AUTO_BUYER_EXECUTION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5" t="n"/>
      <c r="BK35" s="26" t="n"/>
      <c r="BL35" s="27" t="n"/>
      <c r="BM35" s="28" t="n"/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n"/>
      <c r="DK35" s="24" t="n"/>
      <c r="DL35" s="24" t="n"/>
      <c r="DM35" s="24" t="n"/>
      <c r="DN35" s="24" t="n"/>
      <c r="DO35" s="24" t="n"/>
      <c r="DP35" s="24" t="n"/>
    </row>
    <row r="36" ht="36" customHeight="1">
      <c r="A36" s="24" t="inlineStr">
        <is>
          <t>76d3b05a54a14e62</t>
        </is>
      </c>
      <c r="B36" s="24" t="inlineStr">
        <is>
          <t>2026-08-31T04:52:35.718859Z</t>
        </is>
      </c>
      <c r="C36" s="24" t="inlineStr">
        <is>
          <t>2026-08-31T10:30:00Z</t>
        </is>
      </c>
      <c r="D36" s="24" t="inlineStr">
        <is>
          <t>aec-cs2-ff-mel-2026-08-31</t>
        </is>
      </c>
      <c r="E36" s="24" t="inlineStr">
        <is>
          <t>CS2</t>
        </is>
      </c>
      <c r="F36" s="24" t="inlineStr">
        <is>
          <t>mellren</t>
        </is>
      </c>
      <c r="G36" s="24" t="inlineStr">
        <is>
          <t>Fire Flux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1.885</v>
      </c>
      <c r="N36" s="28" t="n">
        <v>0.5305</v>
      </c>
      <c r="O36" s="28" t="n">
        <v>0.5667</v>
      </c>
      <c r="P36" s="28" t="n"/>
      <c r="Q36" s="28" t="n">
        <v>0.0367</v>
      </c>
      <c r="R36" s="26" t="n"/>
      <c r="S36" s="29" t="n">
        <v>1</v>
      </c>
      <c r="T36" s="24" t="inlineStr">
        <is>
          <t>cs2-tiered-elo-v6</t>
        </is>
      </c>
      <c r="U36" s="24" t="inlineStr">
        <is>
          <t>open</t>
        </is>
      </c>
      <c r="V36" s="24" t="inlineStr">
        <is>
          <t>open</t>
        </is>
      </c>
      <c r="W36" s="26" t="n"/>
      <c r="X36" s="26" t="n"/>
      <c r="Y36" s="25" t="n"/>
      <c r="Z36" s="26" t="n"/>
      <c r="AA36" s="28" t="n"/>
      <c r="AB36" s="28" t="n"/>
      <c r="AC36" s="30" t="n">
        <v>0</v>
      </c>
      <c r="AD36" s="24" t="n"/>
      <c r="AE36" s="31" t="inlineStr">
        <is>
          <t>Auto-Buyer order C6VGABNFWKDK on aec-cs2-ff-mel-2026-08-31 (short)</t>
        </is>
      </c>
      <c r="AF36" s="31" t="n"/>
      <c r="AG36" s="24" t="n"/>
      <c r="AH36" s="24" t="n"/>
      <c r="AI36" s="31" t="n"/>
      <c r="AJ36" s="31" t="n"/>
      <c r="AK36" s="24" t="n"/>
      <c r="AL36" s="26" t="n">
        <v>4</v>
      </c>
      <c r="AM36" s="24" t="inlineStr">
        <is>
          <t>decision</t>
        </is>
      </c>
      <c r="AN36" s="24" t="inlineStr">
        <is>
          <t>take</t>
        </is>
      </c>
      <c r="AO36" s="24" t="inlineStr">
        <is>
          <t>AUTO_BUYER_EXECUTION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5" t="n"/>
      <c r="BK36" s="26" t="n"/>
      <c r="BL36" s="27" t="n"/>
      <c r="BM36" s="28" t="n"/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n"/>
      <c r="DK36" s="24" t="n"/>
      <c r="DL36" s="24" t="n"/>
      <c r="DM36" s="24" t="n"/>
      <c r="DN36" s="24" t="n"/>
      <c r="DO36" s="24" t="n"/>
      <c r="DP36" s="24" t="n"/>
    </row>
    <row r="37" ht="36" customHeight="1">
      <c r="A37" s="24" t="inlineStr">
        <is>
          <t>6d6be9d1964a4439</t>
        </is>
      </c>
      <c r="B37" s="24" t="inlineStr">
        <is>
          <t>2026-08-31T04:52:35.718859Z</t>
        </is>
      </c>
      <c r="C37" s="24" t="inlineStr">
        <is>
          <t>2026-08-31T11:30:00Z</t>
        </is>
      </c>
      <c r="D37" s="24" t="inlineStr">
        <is>
          <t>aec-cs2-g2-aur-2026-08-31</t>
        </is>
      </c>
      <c r="E37" s="24" t="inlineStr">
        <is>
          <t>CS2</t>
        </is>
      </c>
      <c r="F37" s="24" t="inlineStr">
        <is>
          <t>Aurora Gaming</t>
        </is>
      </c>
      <c r="G37" s="24" t="inlineStr">
        <is>
          <t>G2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1.8197</v>
      </c>
      <c r="N37" s="28" t="n">
        <v>0.5495</v>
      </c>
      <c r="O37" s="28" t="n">
        <v>0.6077</v>
      </c>
      <c r="P37" s="28" t="n"/>
      <c r="Q37" s="28" t="n">
        <v>0.0577</v>
      </c>
      <c r="R37" s="26" t="n"/>
      <c r="S37" s="29" t="n">
        <v>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/>
      <c r="X37" s="26" t="n"/>
      <c r="Y37" s="25" t="n"/>
      <c r="Z37" s="26" t="n"/>
      <c r="AA37" s="28" t="n"/>
      <c r="AB37" s="28" t="n"/>
      <c r="AC37" s="30" t="n">
        <v>0.82</v>
      </c>
      <c r="AD37" s="24" t="inlineStr">
        <is>
          <t>2026-08-31T16:02:25.134027Z</t>
        </is>
      </c>
      <c r="AE37" s="31" t="inlineStr">
        <is>
          <t>Auto-Buyer order C6VGABNP6KDK on aec-cs2-g2-aur-2026-08-31 (long)</t>
        </is>
      </c>
      <c r="AF37" s="31" t="n"/>
      <c r="AG37" s="24" t="n"/>
      <c r="AH37" s="24" t="n"/>
      <c r="AI37" s="31" t="n"/>
      <c r="AJ37" s="31" t="n"/>
      <c r="AK37" s="24" t="n"/>
      <c r="AL37" s="26" t="n">
        <v>4</v>
      </c>
      <c r="AM37" s="24" t="inlineStr">
        <is>
          <t>decision</t>
        </is>
      </c>
      <c r="AN37" s="24" t="inlineStr">
        <is>
          <t>take</t>
        </is>
      </c>
      <c r="AO37" s="24" t="inlineStr">
        <is>
          <t>AUTO_BUYER_EXECUTION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5" t="n"/>
      <c r="BK37" s="26" t="n"/>
      <c r="BL37" s="27" t="n"/>
      <c r="BM37" s="28" t="n"/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n"/>
      <c r="DK37" s="24" t="n"/>
      <c r="DL37" s="24" t="n"/>
      <c r="DM37" s="24" t="n"/>
      <c r="DN37" s="24" t="n"/>
      <c r="DO37" s="24" t="n"/>
      <c r="DP37" s="24" t="n"/>
    </row>
    <row r="38" ht="36" customHeight="1">
      <c r="A38" s="24" t="inlineStr">
        <is>
          <t>69301f19746a4d8d</t>
        </is>
      </c>
      <c r="B38" s="24" t="inlineStr">
        <is>
          <t>2026-08-31T04:52:35.718859Z</t>
        </is>
      </c>
      <c r="C38" s="24" t="inlineStr">
        <is>
          <t>2026-08-31T12:00:00Z</t>
        </is>
      </c>
      <c r="D38" s="24" t="inlineStr">
        <is>
          <t>aec-cs2-nem-ntr-2026-08-31</t>
        </is>
      </c>
      <c r="E38" s="24" t="inlineStr">
        <is>
          <t>CS2</t>
        </is>
      </c>
      <c r="F38" s="24" t="inlineStr">
        <is>
          <t>Nuclear TigeRES</t>
        </is>
      </c>
      <c r="G38" s="24" t="inlineStr">
        <is>
          <t>Team Nemesis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-100</v>
      </c>
      <c r="M38" s="27" t="n">
        <v>2</v>
      </c>
      <c r="N38" s="28" t="n">
        <v>0.5</v>
      </c>
      <c r="O38" s="28" t="n">
        <v>0.6264999999999999</v>
      </c>
      <c r="P38" s="28" t="n"/>
      <c r="Q38" s="28" t="n">
        <v>0.1265</v>
      </c>
      <c r="R38" s="26" t="n"/>
      <c r="S38" s="29" t="n">
        <v>1.5</v>
      </c>
      <c r="T38" s="24" t="inlineStr">
        <is>
          <t>cs2-tiered-elo-v6</t>
        </is>
      </c>
      <c r="U38" s="24" t="inlineStr">
        <is>
          <t>open</t>
        </is>
      </c>
      <c r="V38" s="24" t="inlineStr">
        <is>
          <t>open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n"/>
      <c r="AE38" s="31" t="inlineStr">
        <is>
          <t>Auto-Buyer order C6VFCN23GKDG on aec-cs2-nem-ntr-2026-08-31 (short)</t>
        </is>
      </c>
      <c r="AF38" s="31" t="n"/>
      <c r="AG38" s="24" t="n"/>
      <c r="AH38" s="24" t="n"/>
      <c r="AI38" s="31" t="n"/>
      <c r="AJ38" s="31" t="n"/>
      <c r="AK38" s="24" t="n"/>
      <c r="AL38" s="26" t="n">
        <v>4</v>
      </c>
      <c r="AM38" s="24" t="inlineStr">
        <is>
          <t>decision</t>
        </is>
      </c>
      <c r="AN38" s="24" t="inlineStr">
        <is>
          <t>take</t>
        </is>
      </c>
      <c r="AO38" s="24" t="inlineStr">
        <is>
          <t>AUTO_BUYER_EXECUTION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5" t="n"/>
      <c r="BK38" s="26" t="n"/>
      <c r="BL38" s="27" t="n"/>
      <c r="BM38" s="28" t="n"/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n"/>
      <c r="DK38" s="24" t="n"/>
      <c r="DL38" s="24" t="n"/>
      <c r="DM38" s="24" t="n"/>
      <c r="DN38" s="24" t="n"/>
      <c r="DO38" s="24" t="n"/>
      <c r="DP38" s="24" t="n"/>
    </row>
    <row r="39" ht="36" customHeight="1">
      <c r="A39" s="24" t="inlineStr">
        <is>
          <t>08a9248313f04395</t>
        </is>
      </c>
      <c r="B39" s="24" t="inlineStr">
        <is>
          <t>2026-08-31T04:52:35.718859Z</t>
        </is>
      </c>
      <c r="C39" s="24" t="inlineStr">
        <is>
          <t>2026-08-31T12:30:00Z</t>
        </is>
      </c>
      <c r="D39" s="24" t="inlineStr">
        <is>
          <t>aec-cs2-cw-5s-2026-08-31</t>
        </is>
      </c>
      <c r="E39" s="24" t="inlineStr">
        <is>
          <t>CS2</t>
        </is>
      </c>
      <c r="F39" s="24" t="inlineStr">
        <is>
          <t>5star</t>
        </is>
      </c>
      <c r="G39" s="24" t="inlineStr">
        <is>
          <t>Chinggis Warriors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1.8197</v>
      </c>
      <c r="N39" s="28" t="n">
        <v>0.5305</v>
      </c>
      <c r="O39" s="28" t="n">
        <v>0.6124000000000001</v>
      </c>
      <c r="P39" s="28" t="n"/>
      <c r="Q39" s="28" t="n">
        <v>0.0624</v>
      </c>
      <c r="R39" s="26" t="n"/>
      <c r="S39" s="29" t="n">
        <v>1.25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/>
      <c r="X39" s="26" t="n"/>
      <c r="Y39" s="25" t="n"/>
      <c r="Z39" s="26" t="n"/>
      <c r="AA39" s="28" t="n"/>
      <c r="AB39" s="28" t="n"/>
      <c r="AC39" s="30" t="n">
        <v>-1.25</v>
      </c>
      <c r="AD39" s="24" t="inlineStr">
        <is>
          <t>2026-08-31T16:02:25.134027Z</t>
        </is>
      </c>
      <c r="AE39" s="31" t="inlineStr">
        <is>
          <t>Auto-Buyer order C6VFNHBQEKDJ on aec-cs2-cw-5s-2026-08-31 (long)</t>
        </is>
      </c>
      <c r="AF39" s="31" t="n"/>
      <c r="AG39" s="24" t="n"/>
      <c r="AH39" s="24" t="n"/>
      <c r="AI39" s="31" t="n"/>
      <c r="AJ39" s="31" t="n"/>
      <c r="AK39" s="24" t="n"/>
      <c r="AL39" s="26" t="n">
        <v>4</v>
      </c>
      <c r="AM39" s="24" t="inlineStr">
        <is>
          <t>decision</t>
        </is>
      </c>
      <c r="AN39" s="24" t="inlineStr">
        <is>
          <t>take</t>
        </is>
      </c>
      <c r="AO39" s="24" t="inlineStr">
        <is>
          <t>AUTO_BUYER_EXECUTION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5" t="n"/>
      <c r="BK39" s="26" t="n"/>
      <c r="BL39" s="27" t="n"/>
      <c r="BM39" s="28" t="n"/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n"/>
      <c r="DK39" s="24" t="n"/>
      <c r="DL39" s="24" t="n"/>
      <c r="DM39" s="24" t="n"/>
      <c r="DN39" s="24" t="n"/>
      <c r="DO39" s="24" t="n"/>
      <c r="DP39" s="24" t="n"/>
    </row>
    <row r="40" ht="36" customHeight="1">
      <c r="A40" s="24" t="inlineStr">
        <is>
          <t>10fe43507a894dff</t>
        </is>
      </c>
      <c r="B40" s="24" t="inlineStr">
        <is>
          <t>2026-08-31T04:52:35.718859Z</t>
        </is>
      </c>
      <c r="C40" s="24" t="inlineStr">
        <is>
          <t>2026-08-31T14:00:00Z</t>
        </is>
      </c>
      <c r="D40" s="24" t="inlineStr">
        <is>
          <t>aec-cs2-mouz-fal-2026-08-31</t>
        </is>
      </c>
      <c r="E40" s="24" t="inlineStr">
        <is>
          <t>CS2</t>
        </is>
      </c>
      <c r="F40" s="24" t="inlineStr">
        <is>
          <t>Team Falcons</t>
        </is>
      </c>
      <c r="G40" s="24" t="inlineStr">
        <is>
          <t>MOUZ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-122</v>
      </c>
      <c r="M40" s="27" t="n">
        <v>1.8197</v>
      </c>
      <c r="N40" s="28" t="n">
        <v>0.5495</v>
      </c>
      <c r="O40" s="28" t="n">
        <v>0.5978</v>
      </c>
      <c r="P40" s="28" t="n"/>
      <c r="Q40" s="28" t="n">
        <v>0.0478</v>
      </c>
      <c r="R40" s="26" t="n"/>
      <c r="S40" s="29" t="n">
        <v>1</v>
      </c>
      <c r="T40" s="24" t="inlineStr">
        <is>
          <t>cs2-tiered-elo-v6</t>
        </is>
      </c>
      <c r="U40" s="24" t="inlineStr">
        <is>
          <t>open</t>
        </is>
      </c>
      <c r="V40" s="24" t="inlineStr">
        <is>
          <t>open</t>
        </is>
      </c>
      <c r="W40" s="26" t="n"/>
      <c r="X40" s="26" t="n"/>
      <c r="Y40" s="25" t="n"/>
      <c r="Z40" s="26" t="n"/>
      <c r="AA40" s="28" t="n"/>
      <c r="AB40" s="28" t="n"/>
      <c r="AC40" s="30" t="n">
        <v>0</v>
      </c>
      <c r="AD40" s="24" t="n"/>
      <c r="AE40" s="31" t="inlineStr">
        <is>
          <t>Auto-Buyer order C6VFCN32YKDG on aec-cs2-mouz-fal-2026-08-31 (short)</t>
        </is>
      </c>
      <c r="AF40" s="31" t="n"/>
      <c r="AG40" s="24" t="n"/>
      <c r="AH40" s="24" t="n"/>
      <c r="AI40" s="31" t="n"/>
      <c r="AJ40" s="31" t="n"/>
      <c r="AK40" s="24" t="n"/>
      <c r="AL40" s="26" t="n">
        <v>4</v>
      </c>
      <c r="AM40" s="24" t="inlineStr">
        <is>
          <t>decision</t>
        </is>
      </c>
      <c r="AN40" s="24" t="inlineStr">
        <is>
          <t>take</t>
        </is>
      </c>
      <c r="AO40" s="24" t="inlineStr">
        <is>
          <t>AUTO_BUYER_EXECUTION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5" t="n"/>
      <c r="BK40" s="26" t="n"/>
      <c r="BL40" s="27" t="n"/>
      <c r="BM40" s="28" t="n"/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n"/>
      <c r="DK40" s="24" t="n"/>
      <c r="DL40" s="24" t="n"/>
      <c r="DM40" s="24" t="n"/>
      <c r="DN40" s="24" t="n"/>
      <c r="DO40" s="24" t="n"/>
      <c r="DP40" s="24" t="n"/>
    </row>
    <row r="41" ht="36" customHeight="1">
      <c r="A41" s="24" t="inlineStr">
        <is>
          <t>2888a62dd3ba4d78</t>
        </is>
      </c>
      <c r="B41" s="24" t="inlineStr">
        <is>
          <t>2026-08-31T04:52:35.718859Z</t>
        </is>
      </c>
      <c r="C41" s="24" t="inlineStr">
        <is>
          <t>2026-08-31T16:30:00Z</t>
        </is>
      </c>
      <c r="D41" s="24" t="inlineStr">
        <is>
          <t>aec-cs2-fut-vit-2026-08-31</t>
        </is>
      </c>
      <c r="E41" s="24" t="inlineStr">
        <is>
          <t>CS2</t>
        </is>
      </c>
      <c r="F41" s="24" t="inlineStr">
        <is>
          <t>Vitality</t>
        </is>
      </c>
      <c r="G41" s="24" t="inlineStr">
        <is>
          <t>FUT Esports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-213</v>
      </c>
      <c r="M41" s="27" t="n">
        <v>1.4695</v>
      </c>
      <c r="N41" s="28" t="n">
        <v>0.6805</v>
      </c>
      <c r="O41" s="28" t="n">
        <v>0.9538</v>
      </c>
      <c r="P41" s="28" t="n"/>
      <c r="Q41" s="28" t="n">
        <v>0.2738</v>
      </c>
      <c r="R41" s="26" t="n"/>
      <c r="S41" s="29" t="n">
        <v>2</v>
      </c>
      <c r="T41" s="24" t="inlineStr">
        <is>
          <t>cs2-tiered-elo-v6</t>
        </is>
      </c>
      <c r="U41" s="24" t="inlineStr">
        <is>
          <t>open</t>
        </is>
      </c>
      <c r="V41" s="24" t="inlineStr">
        <is>
          <t>open</t>
        </is>
      </c>
      <c r="W41" s="26" t="n"/>
      <c r="X41" s="26" t="n"/>
      <c r="Y41" s="25" t="n"/>
      <c r="Z41" s="26" t="n"/>
      <c r="AA41" s="28" t="n"/>
      <c r="AB41" s="28" t="n"/>
      <c r="AC41" s="30" t="n">
        <v>0</v>
      </c>
      <c r="AD41" s="24" t="n"/>
      <c r="AE41" s="31" t="inlineStr">
        <is>
          <t>Auto-Buyer order C6VGABPXTKDK on aec-cs2-fut-vit-2026-08-31 (short)</t>
        </is>
      </c>
      <c r="AF41" s="31" t="n"/>
      <c r="AG41" s="24" t="n"/>
      <c r="AH41" s="24" t="n"/>
      <c r="AI41" s="31" t="n"/>
      <c r="AJ41" s="31" t="n"/>
      <c r="AK41" s="24" t="n"/>
      <c r="AL41" s="26" t="n">
        <v>4</v>
      </c>
      <c r="AM41" s="24" t="inlineStr">
        <is>
          <t>decision</t>
        </is>
      </c>
      <c r="AN41" s="24" t="inlineStr">
        <is>
          <t>take</t>
        </is>
      </c>
      <c r="AO41" s="24" t="inlineStr">
        <is>
          <t>AUTO_BUYER_EXECUTION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5" t="n"/>
      <c r="BK41" s="26" t="n"/>
      <c r="BL41" s="27" t="n"/>
      <c r="BM41" s="28" t="n"/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n"/>
      <c r="DK41" s="24" t="n"/>
      <c r="DL41" s="24" t="n"/>
      <c r="DM41" s="24" t="n"/>
      <c r="DN41" s="24" t="n"/>
      <c r="DO41" s="24" t="n"/>
      <c r="DP41" s="24" t="n"/>
    </row>
    <row r="42" ht="36" customHeight="1">
      <c r="A42" s="24" t="inlineStr">
        <is>
          <t>7a9087c46a114e9c</t>
        </is>
      </c>
      <c r="B42" s="24" t="inlineStr">
        <is>
          <t>2026-08-31T04:52:35.718859Z</t>
        </is>
      </c>
      <c r="C42" s="24" t="inlineStr">
        <is>
          <t>2026-08-31T17:00:00Z</t>
        </is>
      </c>
      <c r="D42" s="24" t="inlineStr">
        <is>
          <t>aec-cs2-hon-sawy-2026-08-31</t>
        </is>
      </c>
      <c r="E42" s="24" t="inlineStr">
        <is>
          <t>CS2</t>
        </is>
      </c>
      <c r="F42" s="24" t="inlineStr">
        <is>
          <t>SAW Youngsters</t>
        </is>
      </c>
      <c r="G42" s="24" t="inlineStr">
        <is>
          <t>Honvéd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-100</v>
      </c>
      <c r="M42" s="27" t="n">
        <v>2</v>
      </c>
      <c r="N42" s="28" t="n">
        <v>0.5</v>
      </c>
      <c r="O42" s="28" t="n">
        <v>0.5755</v>
      </c>
      <c r="P42" s="28" t="n"/>
      <c r="Q42" s="28" t="n">
        <v>0.0755</v>
      </c>
      <c r="R42" s="26" t="n"/>
      <c r="S42" s="29" t="n">
        <v>1.25</v>
      </c>
      <c r="T42" s="24" t="inlineStr">
        <is>
          <t>cs2-tiered-elo-v6</t>
        </is>
      </c>
      <c r="U42" s="24" t="inlineStr">
        <is>
          <t>open</t>
        </is>
      </c>
      <c r="V42" s="24" t="inlineStr">
        <is>
          <t>open</t>
        </is>
      </c>
      <c r="W42" s="26" t="n"/>
      <c r="X42" s="26" t="n"/>
      <c r="Y42" s="25" t="n"/>
      <c r="Z42" s="26" t="n"/>
      <c r="AA42" s="28" t="n"/>
      <c r="AB42" s="28" t="n"/>
      <c r="AC42" s="30" t="n">
        <v>0</v>
      </c>
      <c r="AD42" s="24" t="n"/>
      <c r="AE42" s="31" t="inlineStr">
        <is>
          <t>Auto-Buyer order C6VGABQ8AKDK on aec-cs2-hon-sawy-2026-08-31 (long)</t>
        </is>
      </c>
      <c r="AF42" s="31" t="n"/>
      <c r="AG42" s="24" t="n"/>
      <c r="AH42" s="24" t="n"/>
      <c r="AI42" s="31" t="n"/>
      <c r="AJ42" s="31" t="n"/>
      <c r="AK42" s="24" t="n"/>
      <c r="AL42" s="26" t="n">
        <v>4</v>
      </c>
      <c r="AM42" s="24" t="inlineStr">
        <is>
          <t>decision</t>
        </is>
      </c>
      <c r="AN42" s="24" t="inlineStr">
        <is>
          <t>take</t>
        </is>
      </c>
      <c r="AO42" s="24" t="inlineStr">
        <is>
          <t>AUTO_BUYER_EXECUTION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5" t="n"/>
      <c r="BK42" s="26" t="n"/>
      <c r="BL42" s="27" t="n"/>
      <c r="BM42" s="28" t="n"/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n"/>
      <c r="DK42" s="24" t="n"/>
      <c r="DL42" s="24" t="n"/>
      <c r="DM42" s="24" t="n"/>
      <c r="DN42" s="24" t="n"/>
      <c r="DO42" s="24" t="n"/>
      <c r="DP42" s="24" t="n"/>
    </row>
    <row r="43" ht="36" customHeight="1">
      <c r="A43" s="24" t="inlineStr">
        <is>
          <t>48cccc66566349ce</t>
        </is>
      </c>
      <c r="B43" s="24" t="inlineStr">
        <is>
          <t>2026-08-31T05:28:12.217545Z</t>
        </is>
      </c>
      <c r="C43" s="24" t="inlineStr">
        <is>
          <t>2026-08-31T18:05:00-0400</t>
        </is>
      </c>
      <c r="D43" s="24" t="inlineStr">
        <is>
          <t>aec-mlb-sf-atl-2026-08-31</t>
        </is>
      </c>
      <c r="E43" s="24" t="inlineStr">
        <is>
          <t>MLB</t>
        </is>
      </c>
      <c r="F43" s="24" t="inlineStr">
        <is>
          <t>San Francisco Giants</t>
        </is>
      </c>
      <c r="G43" s="24" t="inlineStr">
        <is>
          <t>Atlanta Braves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-150</v>
      </c>
      <c r="M43" s="27" t="n">
        <v>1.6667</v>
      </c>
      <c r="N43" s="28" t="n">
        <v>0.6</v>
      </c>
      <c r="O43" s="28" t="n">
        <v>0.6571</v>
      </c>
      <c r="P43" s="28" t="n"/>
      <c r="Q43" s="28" t="n">
        <v>0.0521</v>
      </c>
      <c r="R43" s="26" t="n"/>
      <c r="S43" s="29" t="n">
        <v>1</v>
      </c>
      <c r="T43" s="24" t="inlineStr">
        <is>
          <t>mlb-elo-trend-lr-v8</t>
        </is>
      </c>
      <c r="U43" s="24" t="inlineStr">
        <is>
          <t>open</t>
        </is>
      </c>
      <c r="V43" s="24" t="inlineStr">
        <is>
          <t>open</t>
        </is>
      </c>
      <c r="W43" s="26" t="n"/>
      <c r="X43" s="26" t="n"/>
      <c r="Y43" s="25" t="n"/>
      <c r="Z43" s="26" t="n"/>
      <c r="AA43" s="28" t="n"/>
      <c r="AB43" s="28" t="n"/>
      <c r="AC43" s="30" t="n">
        <v>0</v>
      </c>
      <c r="AD43" s="24" t="n"/>
      <c r="AE43" s="31" t="inlineStr">
        <is>
          <t>Auto-Buyer order C6VZ1TQF4KDJ on aec-mlb-sf-atl-2026-08-31 (short)</t>
        </is>
      </c>
      <c r="AF43" s="31" t="n"/>
      <c r="AG43" s="24" t="n"/>
      <c r="AH43" s="24" t="n"/>
      <c r="AI43" s="31" t="n"/>
      <c r="AJ43" s="31" t="n"/>
      <c r="AK43" s="24" t="n"/>
      <c r="AL43" s="26" t="n">
        <v>4</v>
      </c>
      <c r="AM43" s="24" t="inlineStr">
        <is>
          <t>decision</t>
        </is>
      </c>
      <c r="AN43" s="24" t="inlineStr">
        <is>
          <t>take</t>
        </is>
      </c>
      <c r="AO43" s="24" t="inlineStr">
        <is>
          <t>AUTO_BUYER_EXECUTION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5" t="n"/>
      <c r="BK43" s="26" t="n"/>
      <c r="BL43" s="27" t="n"/>
      <c r="BM43" s="28" t="n"/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n"/>
      <c r="DK43" s="24" t="n"/>
      <c r="DL43" s="24" t="n"/>
      <c r="DM43" s="24" t="n"/>
      <c r="DN43" s="24" t="n"/>
      <c r="DO43" s="24" t="n"/>
      <c r="DP43" s="24" t="n"/>
    </row>
    <row r="44" ht="36" customHeight="1">
      <c r="A44" s="24" t="inlineStr">
        <is>
          <t>d972531055904f04</t>
        </is>
      </c>
      <c r="B44" s="24" t="inlineStr">
        <is>
          <t>2026-08-31T05:28:12.217545Z</t>
        </is>
      </c>
      <c r="C44" s="24" t="inlineStr">
        <is>
          <t>2026-08-31T19:40:00-0400</t>
        </is>
      </c>
      <c r="D44" s="24" t="inlineStr">
        <is>
          <t>aec-mlb-det-min-2026-08-31</t>
        </is>
      </c>
      <c r="E44" s="24" t="inlineStr">
        <is>
          <t>MLB</t>
        </is>
      </c>
      <c r="F44" s="24" t="inlineStr">
        <is>
          <t>Detroit Tigers</t>
        </is>
      </c>
      <c r="G44" s="24" t="inlineStr">
        <is>
          <t>Minnesota Twins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117</v>
      </c>
      <c r="M44" s="27" t="n">
        <v>2.17</v>
      </c>
      <c r="N44" s="28" t="n">
        <v>0.4545</v>
      </c>
      <c r="O44" s="28" t="n">
        <v>0.5224</v>
      </c>
      <c r="P44" s="28" t="n"/>
      <c r="Q44" s="28" t="n">
        <v>0.0674</v>
      </c>
      <c r="R44" s="26" t="n"/>
      <c r="S44" s="29" t="n">
        <v>1</v>
      </c>
      <c r="T44" s="24" t="inlineStr">
        <is>
          <t>mlb-elo-trend-lr-v8</t>
        </is>
      </c>
      <c r="U44" s="24" t="inlineStr">
        <is>
          <t>open</t>
        </is>
      </c>
      <c r="V44" s="24" t="inlineStr">
        <is>
          <t>open</t>
        </is>
      </c>
      <c r="W44" s="26" t="n"/>
      <c r="X44" s="26" t="n"/>
      <c r="Y44" s="25" t="n"/>
      <c r="Z44" s="26" t="n"/>
      <c r="AA44" s="28" t="n"/>
      <c r="AB44" s="28" t="n"/>
      <c r="AC44" s="30" t="n">
        <v>0</v>
      </c>
      <c r="AD44" s="24" t="n"/>
      <c r="AE44" s="31" t="inlineStr">
        <is>
          <t>Auto-Buyer order C6W0RWB0MKDH on aec-mlb-det-min-2026-08-31 (long)</t>
        </is>
      </c>
      <c r="AF44" s="31" t="n"/>
      <c r="AG44" s="24" t="n"/>
      <c r="AH44" s="24" t="n"/>
      <c r="AI44" s="31" t="n"/>
      <c r="AJ44" s="31" t="n"/>
      <c r="AK44" s="24" t="n"/>
      <c r="AL44" s="26" t="n">
        <v>4</v>
      </c>
      <c r="AM44" s="24" t="inlineStr">
        <is>
          <t>decision</t>
        </is>
      </c>
      <c r="AN44" s="24" t="inlineStr">
        <is>
          <t>take</t>
        </is>
      </c>
      <c r="AO44" s="24" t="inlineStr">
        <is>
          <t>AUTO_BUYER_EXECUTION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5" t="n"/>
      <c r="BK44" s="26" t="n"/>
      <c r="BL44" s="27" t="n"/>
      <c r="BM44" s="28" t="n"/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n"/>
      <c r="DK44" s="24" t="n"/>
      <c r="DL44" s="24" t="n"/>
      <c r="DM44" s="24" t="n"/>
      <c r="DN44" s="24" t="n"/>
      <c r="DO44" s="24" t="n"/>
      <c r="DP44" s="24" t="n"/>
    </row>
    <row r="45" ht="36" customHeight="1">
      <c r="A45" s="24" t="inlineStr">
        <is>
          <t>26a05e27c35344e1</t>
        </is>
      </c>
      <c r="B45" s="24" t="inlineStr">
        <is>
          <t>2026-08-31T16:12:42.599391Z</t>
        </is>
      </c>
      <c r="C45" s="24" t="inlineStr">
        <is>
          <t>2026-08-31T20:40:00-0400</t>
        </is>
      </c>
      <c r="D45" s="24" t="inlineStr">
        <is>
          <t>aec-mlb-bal-col-2026-08-31</t>
        </is>
      </c>
      <c r="E45" s="24" t="inlineStr">
        <is>
          <t>MLB</t>
        </is>
      </c>
      <c r="F45" s="24" t="inlineStr">
        <is>
          <t>Baltimore Orioles</t>
        </is>
      </c>
      <c r="G45" s="24" t="inlineStr">
        <is>
          <t>Colorado Rockies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-127</v>
      </c>
      <c r="M45" s="27" t="n">
        <v>1.7874</v>
      </c>
      <c r="N45" s="28" t="n">
        <v>0.5595</v>
      </c>
      <c r="O45" s="28" t="n">
        <v>0.5982</v>
      </c>
      <c r="P45" s="28" t="n"/>
      <c r="Q45" s="28" t="n">
        <v>0.0382</v>
      </c>
      <c r="R45" s="26" t="n"/>
      <c r="S45" s="29" t="n">
        <v>1</v>
      </c>
      <c r="T45" s="24" t="inlineStr">
        <is>
          <t>mlb-elo-trend-lr-v8</t>
        </is>
      </c>
      <c r="U45" s="24" t="inlineStr">
        <is>
          <t>open</t>
        </is>
      </c>
      <c r="V45" s="24" t="inlineStr">
        <is>
          <t>open</t>
        </is>
      </c>
      <c r="W45" s="26" t="n"/>
      <c r="X45" s="26" t="n"/>
      <c r="Y45" s="25" t="n"/>
      <c r="Z45" s="26" t="n"/>
      <c r="AA45" s="28" t="n"/>
      <c r="AB45" s="28" t="n"/>
      <c r="AC45" s="30" t="n">
        <v>0</v>
      </c>
      <c r="AD45" s="24" t="n"/>
      <c r="AE45" s="31" t="inlineStr">
        <is>
          <t>Auto-Buyer order C75CWYPPPKDC on aec-mlb-bal-col-2026-08-31 (long)</t>
        </is>
      </c>
      <c r="AF45" s="31" t="n"/>
      <c r="AG45" s="24" t="n"/>
      <c r="AH45" s="24" t="n"/>
      <c r="AI45" s="31" t="n"/>
      <c r="AJ45" s="31" t="n"/>
      <c r="AK45" s="24" t="n"/>
      <c r="AL45" s="26" t="n">
        <v>4</v>
      </c>
      <c r="AM45" s="24" t="inlineStr">
        <is>
          <t>decision</t>
        </is>
      </c>
      <c r="AN45" s="24" t="inlineStr">
        <is>
          <t>take</t>
        </is>
      </c>
      <c r="AO45" s="24" t="inlineStr">
        <is>
          <t>AUTO_BUYER_EXECUTION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5" t="n"/>
      <c r="BK45" s="26" t="n"/>
      <c r="BL45" s="27" t="n"/>
      <c r="BM45" s="28" t="n"/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n"/>
      <c r="DK45" s="24" t="n"/>
      <c r="DL45" s="24" t="n"/>
      <c r="DM45" s="24" t="n"/>
      <c r="DN45" s="24" t="n"/>
      <c r="DO45" s="24" t="n"/>
      <c r="DP45" s="24" t="n"/>
    </row>
    <row r="46" ht="36" customHeight="1">
      <c r="A46" s="24" t="inlineStr">
        <is>
          <t>7ee8b96d25fc46af</t>
        </is>
      </c>
      <c r="B46" s="24" t="inlineStr">
        <is>
          <t>2026-08-31T19:34:36.451981Z</t>
        </is>
      </c>
      <c r="C46" s="24" t="inlineStr">
        <is>
          <t>2026-08-31T22:05Z</t>
        </is>
      </c>
      <c r="D46" s="24" t="inlineStr">
        <is>
          <t>401878657</t>
        </is>
      </c>
      <c r="E46" s="24" t="inlineStr">
        <is>
          <t>MLB</t>
        </is>
      </c>
      <c r="F46" s="24" t="inlineStr">
        <is>
          <t>San Francisco Giants</t>
        </is>
      </c>
      <c r="G46" s="24" t="inlineStr">
        <is>
          <t>Atlanta Braves</t>
        </is>
      </c>
      <c r="H46" s="24" t="inlineStr">
        <is>
          <t>total</t>
        </is>
      </c>
      <c r="I46" s="24" t="inlineStr">
        <is>
          <t>under</t>
        </is>
      </c>
      <c r="J46" s="25" t="n">
        <v>8.5</v>
      </c>
      <c r="K46" s="24" t="inlineStr">
        <is>
          <t>polymarket_us</t>
        </is>
      </c>
      <c r="L46" s="26" t="n">
        <v>122</v>
      </c>
      <c r="M46" s="27" t="n">
        <v>2.22</v>
      </c>
      <c r="N46" s="28" t="n">
        <v>0.4505</v>
      </c>
      <c r="O46" s="28" t="n">
        <v>0.5639999999999999</v>
      </c>
      <c r="P46" s="28" t="n">
        <v>0</v>
      </c>
      <c r="Q46" s="28" t="n">
        <v>0.1135</v>
      </c>
      <c r="R46" s="26" t="n">
        <v>0</v>
      </c>
      <c r="S46" s="29" t="n">
        <v>1</v>
      </c>
      <c r="T46" s="24" t="inlineStr">
        <is>
          <t>mlb-structural-v10-frozen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>
        <v>0</v>
      </c>
      <c r="AC46" s="30" t="n">
        <v>0</v>
      </c>
      <c r="AD46" s="24" t="n"/>
      <c r="AE46" s="31" t="inlineStr">
        <is>
          <t>Auto-Buyer order V10D71C79953 (1.0 sh @ $0.45) on tsc-mlb-sf-atl-2026-08-31-8pt5 (short)</t>
        </is>
      </c>
      <c r="AF46" s="31" t="inlineStr">
        <is>
          <t>Auto-executed Polymarket US order</t>
        </is>
      </c>
      <c r="AG46" s="24" t="n"/>
      <c r="AH46" s="24" t="n"/>
      <c r="AI46" s="31" t="n"/>
      <c r="AJ46" s="31" t="n"/>
      <c r="AK46" s="24" t="n"/>
      <c r="AL46" s="26" t="n">
        <v>4</v>
      </c>
      <c r="AM46" s="24" t="inlineStr">
        <is>
          <t>decision</t>
        </is>
      </c>
      <c r="AN46" s="24" t="inlineStr">
        <is>
          <t>take</t>
        </is>
      </c>
      <c r="AO46" s="24" t="inlineStr">
        <is>
          <t>AUTO_BUYER_EXECUTION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5" t="n"/>
      <c r="BK46" s="26" t="n"/>
      <c r="BL46" s="27" t="n"/>
      <c r="BM46" s="28" t="n"/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n"/>
      <c r="DK46" s="24" t="n"/>
      <c r="DL46" s="24" t="n"/>
      <c r="DM46" s="24" t="n"/>
      <c r="DN46" s="24" t="n"/>
      <c r="DO46" s="24" t="n"/>
      <c r="DP46" s="24" t="n"/>
    </row>
    <row r="47" ht="36" customHeight="1">
      <c r="A47" s="24" t="inlineStr">
        <is>
          <t>37aaf37c09f84e3f</t>
        </is>
      </c>
      <c r="B47" s="24" t="inlineStr">
        <is>
          <t>2026-08-31T19:34:36.590960Z</t>
        </is>
      </c>
      <c r="C47" s="24" t="inlineStr">
        <is>
          <t>2026-08-31T23:40Z</t>
        </is>
      </c>
      <c r="D47" s="24" t="inlineStr">
        <is>
          <t>401816754</t>
        </is>
      </c>
      <c r="E47" s="24" t="inlineStr">
        <is>
          <t>MLB</t>
        </is>
      </c>
      <c r="F47" s="24" t="inlineStr">
        <is>
          <t>Milwaukee Brewers</t>
        </is>
      </c>
      <c r="G47" s="24" t="inlineStr">
        <is>
          <t>Chicago Cubs</t>
        </is>
      </c>
      <c r="H47" s="24" t="inlineStr">
        <is>
          <t>total</t>
        </is>
      </c>
      <c r="I47" s="24" t="inlineStr">
        <is>
          <t>under</t>
        </is>
      </c>
      <c r="J47" s="25" t="n">
        <v>9.5</v>
      </c>
      <c r="K47" s="24" t="inlineStr">
        <is>
          <t>polymarket_us</t>
        </is>
      </c>
      <c r="L47" s="26" t="n">
        <v>-102</v>
      </c>
      <c r="M47" s="27" t="n">
        <v>1.9804</v>
      </c>
      <c r="N47" s="28" t="n">
        <v>0.505</v>
      </c>
      <c r="O47" s="28" t="n">
        <v>0.5755</v>
      </c>
      <c r="P47" s="28" t="n">
        <v>0</v>
      </c>
      <c r="Q47" s="28" t="n">
        <v>0.0706</v>
      </c>
      <c r="R47" s="26" t="n">
        <v>0</v>
      </c>
      <c r="S47" s="29" t="n">
        <v>1</v>
      </c>
      <c r="T47" s="24" t="inlineStr">
        <is>
          <t>mlb-structural-v10-frozen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>
        <v>0</v>
      </c>
      <c r="AC47" s="30" t="n">
        <v>0</v>
      </c>
      <c r="AD47" s="24" t="n"/>
      <c r="AE47" s="31" t="inlineStr">
        <is>
          <t>Auto-Buyer order V101066144C4 (1.0 sh @ $0.50) on tsc-mlb-mil-chc-2026-08-31-9pt5 (short)</t>
        </is>
      </c>
      <c r="AF47" s="31" t="inlineStr">
        <is>
          <t>Auto-executed Polymarket US order</t>
        </is>
      </c>
      <c r="AG47" s="24" t="n"/>
      <c r="AH47" s="24" t="n"/>
      <c r="AI47" s="31" t="n"/>
      <c r="AJ47" s="31" t="n"/>
      <c r="AK47" s="24" t="n"/>
      <c r="AL47" s="26" t="n">
        <v>4</v>
      </c>
      <c r="AM47" s="24" t="inlineStr">
        <is>
          <t>decision</t>
        </is>
      </c>
      <c r="AN47" s="24" t="inlineStr">
        <is>
          <t>take</t>
        </is>
      </c>
      <c r="AO47" s="24" t="inlineStr">
        <is>
          <t>AUTO_BUYER_EXECUTION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5" t="n"/>
      <c r="BK47" s="26" t="n"/>
      <c r="BL47" s="27" t="n"/>
      <c r="BM47" s="28" t="n"/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</row>
    <row r="48" ht="36" customHeight="1">
      <c r="A48" s="24" t="inlineStr">
        <is>
          <t>816e58389cba4c61</t>
        </is>
      </c>
      <c r="B48" s="24" t="inlineStr">
        <is>
          <t>2026-08-31T16:12:42.599391Z</t>
        </is>
      </c>
      <c r="C48" s="24" t="inlineStr">
        <is>
          <t>2026-08-31T19:00Z</t>
        </is>
      </c>
      <c r="D48" s="24" t="inlineStr">
        <is>
          <t>aec-wta-vikgol-diapar-2026-08-30</t>
        </is>
      </c>
      <c r="E48" s="24" t="inlineStr">
        <is>
          <t>TENNIS</t>
        </is>
      </c>
      <c r="F48" s="24" t="inlineStr">
        <is>
          <t>Diane Parry</t>
        </is>
      </c>
      <c r="G48" s="24" t="inlineStr">
        <is>
          <t>Viktorija Golubic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-108</v>
      </c>
      <c r="M48" s="27" t="n">
        <v>1.9259</v>
      </c>
      <c r="N48" s="28" t="n">
        <v>0.5192</v>
      </c>
      <c r="O48" s="28" t="n">
        <v>0.5579</v>
      </c>
      <c r="P48" s="28" t="n"/>
      <c r="Q48" s="28" t="n">
        <v>0.0379</v>
      </c>
      <c r="R48" s="26" t="n"/>
      <c r="S48" s="29" t="n">
        <v>1</v>
      </c>
      <c r="T48" s="24" t="inlineStr">
        <is>
          <t>tennis-surface-elo-v1</t>
        </is>
      </c>
      <c r="U48" s="24" t="inlineStr">
        <is>
          <t>open</t>
        </is>
      </c>
      <c r="V48" s="24" t="inlineStr">
        <is>
          <t>open</t>
        </is>
      </c>
      <c r="W48" s="26" t="n"/>
      <c r="X48" s="26" t="n"/>
      <c r="Y48" s="25" t="n"/>
      <c r="Z48" s="26" t="n"/>
      <c r="AA48" s="28" t="n"/>
      <c r="AB48" s="28" t="n"/>
      <c r="AC48" s="30" t="n">
        <v>0</v>
      </c>
      <c r="AD48" s="24" t="n"/>
      <c r="AE48" s="31" t="inlineStr">
        <is>
          <t>Auto-Buyer order C75DSQ4KAKDM on aec-wta-vikgol-diapar-2026-08-30 (short)</t>
        </is>
      </c>
      <c r="AF48" s="31" t="n"/>
      <c r="AG48" s="24" t="n"/>
      <c r="AH48" s="24" t="n"/>
      <c r="AI48" s="31" t="n"/>
      <c r="AJ48" s="31" t="n"/>
      <c r="AK48" s="24" t="n"/>
      <c r="AL48" s="26" t="n">
        <v>4</v>
      </c>
      <c r="AM48" s="24" t="inlineStr">
        <is>
          <t>decision</t>
        </is>
      </c>
      <c r="AN48" s="24" t="inlineStr">
        <is>
          <t>take</t>
        </is>
      </c>
      <c r="AO48" s="24" t="inlineStr">
        <is>
          <t>AUTO_BUYER_EXECUTION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5" t="n"/>
      <c r="BK48" s="26" t="n"/>
      <c r="BL48" s="27" t="n"/>
      <c r="BM48" s="28" t="n"/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n"/>
      <c r="DK48" s="24" t="n"/>
      <c r="DL48" s="24" t="n"/>
      <c r="DM48" s="24" t="n"/>
      <c r="DN48" s="24" t="n"/>
      <c r="DO48" s="24" t="n"/>
      <c r="DP48" s="24" t="n"/>
    </row>
    <row r="49" ht="36" customHeight="1">
      <c r="A49" s="24" t="inlineStr">
        <is>
          <t>b214bda284bc4f41</t>
        </is>
      </c>
      <c r="B49" s="24" t="inlineStr">
        <is>
          <t>2026-08-31T16:12:42.599391Z</t>
        </is>
      </c>
      <c r="C49" s="24" t="inlineStr">
        <is>
          <t>2026-08-31T19:00:00Z</t>
        </is>
      </c>
      <c r="D49" s="24" t="inlineStr">
        <is>
          <t>aec-cs2-dam-zge-2026-08-31</t>
        </is>
      </c>
      <c r="E49" s="24" t="inlineStr">
        <is>
          <t>CS2</t>
        </is>
      </c>
      <c r="F49" s="24" t="inlineStr">
        <is>
          <t>Zetta Games</t>
        </is>
      </c>
      <c r="G49" s="24" t="inlineStr">
        <is>
          <t>Damajuana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212</v>
      </c>
      <c r="M49" s="27" t="n">
        <v>3.12</v>
      </c>
      <c r="N49" s="28" t="n">
        <v>0.3205</v>
      </c>
      <c r="O49" s="28" t="n">
        <v>0.5642</v>
      </c>
      <c r="P49" s="28" t="n"/>
      <c r="Q49" s="28" t="n">
        <v>0.2442</v>
      </c>
      <c r="R49" s="26" t="n"/>
      <c r="S49" s="29" t="n">
        <v>2</v>
      </c>
      <c r="T49" s="24" t="inlineStr">
        <is>
          <t>cs2-tiered-elo-v6</t>
        </is>
      </c>
      <c r="U49" s="24" t="inlineStr">
        <is>
          <t>open</t>
        </is>
      </c>
      <c r="V49" s="24" t="inlineStr">
        <is>
          <t>open</t>
        </is>
      </c>
      <c r="W49" s="26" t="n"/>
      <c r="X49" s="26" t="n"/>
      <c r="Y49" s="25" t="n"/>
      <c r="Z49" s="26" t="n"/>
      <c r="AA49" s="28" t="n"/>
      <c r="AB49" s="28" t="n"/>
      <c r="AC49" s="30" t="n">
        <v>0</v>
      </c>
      <c r="AD49" s="24" t="n"/>
      <c r="AE49" s="31" t="inlineStr">
        <is>
          <t>Auto-Buyer order C75ED9T52KDF on aec-cs2-dam-zge-2026-08-31 (short)</t>
        </is>
      </c>
      <c r="AF49" s="31" t="n"/>
      <c r="AG49" s="24" t="n"/>
      <c r="AH49" s="24" t="n"/>
      <c r="AI49" s="31" t="n"/>
      <c r="AJ49" s="31" t="n"/>
      <c r="AK49" s="24" t="n"/>
      <c r="AL49" s="26" t="n">
        <v>4</v>
      </c>
      <c r="AM49" s="24" t="inlineStr">
        <is>
          <t>decision</t>
        </is>
      </c>
      <c r="AN49" s="24" t="inlineStr">
        <is>
          <t>take</t>
        </is>
      </c>
      <c r="AO49" s="24" t="inlineStr">
        <is>
          <t>AUTO_BUYER_EXECUTION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5" t="n"/>
      <c r="BK49" s="26" t="n"/>
      <c r="BL49" s="27" t="n"/>
      <c r="BM49" s="28" t="n"/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</row>
    <row r="50" ht="36" customHeight="1">
      <c r="A50" s="24" t="inlineStr">
        <is>
          <t>fd008ef45af2480d</t>
        </is>
      </c>
      <c r="B50" s="24" t="inlineStr">
        <is>
          <t>2026-08-31T16:12:42.599391Z</t>
        </is>
      </c>
      <c r="C50" s="24" t="inlineStr">
        <is>
          <t>2026-08-31T22:00:00Z</t>
        </is>
      </c>
      <c r="D50" s="24" t="inlineStr">
        <is>
          <t>aec-cs2-mm-sdm-2026-08-31</t>
        </is>
      </c>
      <c r="E50" s="24" t="inlineStr">
        <is>
          <t>CS2</t>
        </is>
      </c>
      <c r="F50" s="24" t="inlineStr">
        <is>
          <t>Semente do Mal</t>
        </is>
      </c>
      <c r="G50" s="24" t="inlineStr">
        <is>
          <t>Mansão Maromba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212</v>
      </c>
      <c r="M50" s="27" t="n">
        <v>3.12</v>
      </c>
      <c r="N50" s="28" t="n">
        <v>0.3205</v>
      </c>
      <c r="O50" s="28" t="n">
        <v>0.5066000000000001</v>
      </c>
      <c r="P50" s="28" t="n"/>
      <c r="Q50" s="28" t="n">
        <v>0.1866</v>
      </c>
      <c r="R50" s="26" t="n"/>
      <c r="S50" s="29" t="n">
        <v>2</v>
      </c>
      <c r="T50" s="24" t="inlineStr">
        <is>
          <t>cs2-tiered-elo-v6</t>
        </is>
      </c>
      <c r="U50" s="24" t="inlineStr">
        <is>
          <t>open</t>
        </is>
      </c>
      <c r="V50" s="24" t="inlineStr">
        <is>
          <t>open</t>
        </is>
      </c>
      <c r="W50" s="26" t="n"/>
      <c r="X50" s="26" t="n"/>
      <c r="Y50" s="25" t="n"/>
      <c r="Z50" s="26" t="n"/>
      <c r="AA50" s="28" t="n"/>
      <c r="AB50" s="28" t="n"/>
      <c r="AC50" s="30" t="n">
        <v>0</v>
      </c>
      <c r="AD50" s="24" t="n"/>
      <c r="AE50" s="31" t="inlineStr">
        <is>
          <t>Auto-Buyer order C75CWYWSTKDC on aec-cs2-mm-sdm-2026-08-31 (short)</t>
        </is>
      </c>
      <c r="AF50" s="31" t="n"/>
      <c r="AG50" s="24" t="n"/>
      <c r="AH50" s="24" t="n"/>
      <c r="AI50" s="31" t="n"/>
      <c r="AJ50" s="31" t="n"/>
      <c r="AK50" s="24" t="n"/>
      <c r="AL50" s="26" t="n">
        <v>4</v>
      </c>
      <c r="AM50" s="24" t="inlineStr">
        <is>
          <t>decision</t>
        </is>
      </c>
      <c r="AN50" s="24" t="inlineStr">
        <is>
          <t>take</t>
        </is>
      </c>
      <c r="AO50" s="24" t="inlineStr">
        <is>
          <t>AUTO_BUYER_EXECUTION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5" t="n"/>
      <c r="BK50" s="26" t="n"/>
      <c r="BL50" s="27" t="n"/>
      <c r="BM50" s="28" t="n"/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</row>
    <row r="51" ht="36" customHeight="1">
      <c r="A51" s="24" t="inlineStr">
        <is>
          <t>970da3eec9e24614</t>
        </is>
      </c>
      <c r="B51" s="24" t="inlineStr">
        <is>
          <t>2026-08-31T19:34:36.729957Z</t>
        </is>
      </c>
      <c r="C51" s="24" t="inlineStr">
        <is>
          <t>2026-09-01T00:40Z</t>
        </is>
      </c>
      <c r="D51" s="24" t="inlineStr">
        <is>
          <t>401816755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Colorado Rockies</t>
        </is>
      </c>
      <c r="H51" s="24" t="inlineStr">
        <is>
          <t>total</t>
        </is>
      </c>
      <c r="I51" s="24" t="inlineStr">
        <is>
          <t>under</t>
        </is>
      </c>
      <c r="J51" s="25" t="n">
        <v>10.5</v>
      </c>
      <c r="K51" s="24" t="inlineStr">
        <is>
          <t>polymarket_us</t>
        </is>
      </c>
      <c r="L51" s="26" t="n">
        <v>113</v>
      </c>
      <c r="M51" s="27" t="n">
        <v>2.13</v>
      </c>
      <c r="N51" s="28" t="n">
        <v>0.4695</v>
      </c>
      <c r="O51" s="28" t="n">
        <v>0.5296</v>
      </c>
      <c r="P51" s="28" t="n">
        <v>0</v>
      </c>
      <c r="Q51" s="28" t="n">
        <v>0.0601</v>
      </c>
      <c r="R51" s="26" t="n">
        <v>0</v>
      </c>
      <c r="S51" s="29" t="n">
        <v>1.25</v>
      </c>
      <c r="T51" s="24" t="inlineStr">
        <is>
          <t>mlb-structural-v10-frozen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>
        <v>0</v>
      </c>
      <c r="AC51" s="30" t="n">
        <v>0</v>
      </c>
      <c r="AD51" s="24" t="n"/>
      <c r="AE51" s="31" t="inlineStr">
        <is>
          <t>Auto-Buyer order V105A22EB006 (1.0 sh @ $0.47) on tsc-mlb-bal-col-2026-08-31-10pt5 (short)</t>
        </is>
      </c>
      <c r="AF51" s="31" t="inlineStr">
        <is>
          <t>Auto-executed Polymarket US order</t>
        </is>
      </c>
      <c r="AG51" s="24" t="n"/>
      <c r="AH51" s="24" t="n"/>
      <c r="AI51" s="31" t="n"/>
      <c r="AJ51" s="31" t="n"/>
      <c r="AK51" s="24" t="n"/>
      <c r="AL51" s="26" t="n">
        <v>4</v>
      </c>
      <c r="AM51" s="24" t="inlineStr">
        <is>
          <t>decision</t>
        </is>
      </c>
      <c r="AN51" s="24" t="inlineStr">
        <is>
          <t>take</t>
        </is>
      </c>
      <c r="AO51" s="24" t="inlineStr">
        <is>
          <t>AUTO_BUYER_EXECUTION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5" t="n"/>
      <c r="BK51" s="26" t="n"/>
      <c r="BL51" s="27" t="n"/>
      <c r="BM51" s="28" t="n"/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2026-08-31T19:39:04Z</dcterms:created>
  <dcterms:modified xmlns:dcterms="http://purl.org/dc/terms/" xmlns:xsi="http://www.w3.org/2001/XMLSchema-instance" xsi:type="dcterms:W3CDTF">2026-08-31T19:39:04Z</dcterms:modified>
</cp:coreProperties>
</file>