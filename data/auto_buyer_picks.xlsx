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PicksLedger" displayName="PicksLedger" ref="A1:DP51" headerRowCount="1">
  <autoFilter ref="A1:DP51"/>
  <tableColumns count="120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bullpen_weakness_gap"/>
    <tableColumn id="91" name="starter_era_gap"/>
    <tableColumn id="92" name="rest_disparity"/>
    <tableColumn id="93" name="back_to_back_gap"/>
    <tableColumn id="94" name="games_last_7_gap"/>
    <tableColumn id="95" name="schedule_missingness"/>
    <tableColumn id="96" name="market_residual_probability"/>
    <tableColumn id="97" name="trade_candidate"/>
    <tableColumn id="98" name="config_hash"/>
    <tableColumn id="99" name="config_byte_sha256"/>
    <tableColumn id="100" name="config_path"/>
    <tableColumn id="101" name="model_artifact_byte_sha256"/>
    <tableColumn id="102" name="model_artifact_path"/>
    <tableColumn id="103" name="market_quote_observed_at_utc"/>
    <tableColumn id="104" name="market_quote_timestamp_valid"/>
    <tableColumn id="105" name="market_quote_source"/>
    <tableColumn id="106" name="market_quote_provenance"/>
    <tableColumn id="107" name="market_quote_reconstructed"/>
    <tableColumn id="108" name="market_snapshot_hash"/>
    <tableColumn id="109" name="market_snapshot_archive_path"/>
    <tableColumn id="110" name="market_snapshot_record_id"/>
    <tableColumn id="111" name="record_source"/>
    <tableColumn id="112" name="is_backfill"/>
    <tableColumn id="113" name="model_probability_raw"/>
    <tableColumn id="114" name="market_probability_at_decision"/>
    <tableColumn id="115" name="serving_probability"/>
    <tableColumn id="116" name="blend_weight"/>
    <tableColumn id="117" name="blend_policy_artifact_hash"/>
    <tableColumn id="118" name="blend_experiment_spec_hash"/>
    <tableColumn id="119" name="blend_config_hash"/>
    <tableColumn id="120" name="serving_policy_block_reas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COUNTA('Picks'!$A$2:$A$51)</f>
        <v/>
      </c>
      <c r="C4" s="6">
        <f>COUNTIF('Picks'!$U$2:$U$51,"open")</f>
        <v/>
      </c>
      <c r="E4" s="6">
        <f>COUNTIF('Picks'!$U$2:$U$51,"settled")</f>
        <v/>
      </c>
      <c r="G4" s="6">
        <f>IF(COUNTIFS('Picks'!$U$2:$U$51,"settled",'Picks'!$V$2:$V$51,"win")+COUNTIFS('Picks'!$U$2:$U$51,"settled",'Picks'!$V$2:$V$51,"loss")&gt;=$L$2,"Ready","Insufficient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COUNTIF('Picks'!$BX$2:$BX$51,"&gt;0")</f>
        <v/>
      </c>
      <c r="C7" s="6">
        <f>COUNTIFS('Picks'!$BX$2:$BX$51,"&gt;0",'Picks'!$V$2:$V$51,"win")&amp;"-"&amp;COUNTIFS('Picks'!$BX$2:$BX$51,"&gt;0",'Picks'!$V$2:$V$51,"loss")</f>
        <v/>
      </c>
      <c r="E7" s="7">
        <f>IFERROR(COUNTIFS('Picks'!$BX$2:$BX$51,"&gt;0",'Picks'!$V$2:$V$51,"win")/(COUNTIFS('Picks'!$BX$2:$BX$51,"&gt;0",'Picks'!$V$2:$V$51,"win")+COUNTIFS('Picks'!$BX$2:$BX$51,"&gt;0",'Picks'!$V$2:$V$51,"loss")),0)</f>
        <v/>
      </c>
      <c r="G7" s="7">
        <f>IFERROR(SUM('Picks'!$BY$2:$BY$51)/SUM('Picks'!$BX$2:$BX$51),0)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SUM('Picks'!$BY$2:$BY$51)</f>
        <v/>
      </c>
      <c r="C10" s="9">
        <f>IFERROR(AVERAGEIF('Picks'!$AB$2:$AB$51,"&lt;&gt;",'Picks'!$AB$2:$AB$51),0)</f>
        <v/>
      </c>
      <c r="E10" s="6">
        <f>COUNTIFS('Picks'!$AM$2:$AM$51,"QUALIFIED_SHADOW_CALL",'Picks'!$U$2:$U$51,"settled")</f>
        <v/>
      </c>
      <c r="G10" s="8">
        <f>SUMIFS('Picks'!$AC$2:$AC$51,'Picks'!$AM$2:$AM$51,"QUALIFIED_SHADOW_CALL")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COUNTIFS('Picks'!$H$2:$H$51,$A14,'Picks'!$U$2:$U$51,"settled")</f>
        <v/>
      </c>
      <c r="C14" s="13">
        <f>COUNTIFS('Picks'!$H$2:$H$51,$A14,'Picks'!$U$2:$U$51,"settled",'Picks'!$V$2:$V$51,"win")</f>
        <v/>
      </c>
      <c r="D14" s="13">
        <f>COUNTIFS('Picks'!$H$2:$H$51,$A14,'Picks'!$U$2:$U$51,"settled",'Picks'!$V$2:$V$51,"loss")</f>
        <v/>
      </c>
      <c r="E14" s="14">
        <f>IFERROR(C14/(C14+D14),0)</f>
        <v/>
      </c>
      <c r="F14" s="15">
        <f>SUMIFS('Picks'!$BY$2:$BY$51,'Picks'!$H$2:$H$51,$A14)</f>
        <v/>
      </c>
      <c r="G14" s="16">
        <f>IFERROR(AVERAGEIFS('Picks'!$AB$2:$AB$51,'Picks'!$H$2:$H$51,$A14,'Picks'!$U$2:$U$51,"settled"),0)</f>
        <v/>
      </c>
    </row>
    <row r="15">
      <c r="A15" s="17" t="inlineStr">
        <is>
          <t>spread</t>
        </is>
      </c>
      <c r="B15" s="18">
        <f>COUNTIFS('Picks'!$H$2:$H$51,$A15,'Picks'!$U$2:$U$51,"settled")</f>
        <v/>
      </c>
      <c r="C15" s="18">
        <f>COUNTIFS('Picks'!$H$2:$H$51,$A15,'Picks'!$U$2:$U$51,"settled",'Picks'!$V$2:$V$51,"win")</f>
        <v/>
      </c>
      <c r="D15" s="18">
        <f>COUNTIFS('Picks'!$H$2:$H$51,$A15,'Picks'!$U$2:$U$51,"settled",'Picks'!$V$2:$V$51,"loss")</f>
        <v/>
      </c>
      <c r="E15" s="19">
        <f>IFERROR(C15/(C15+D15),0)</f>
        <v/>
      </c>
      <c r="F15" s="20">
        <f>SUMIFS('Picks'!$BY$2:$BY$51,'Picks'!$H$2:$H$51,$A15)</f>
        <v/>
      </c>
      <c r="G15" s="21">
        <f>IFERROR(AVERAGEIFS('Picks'!$AB$2:$AB$51,'Picks'!$H$2:$H$51,$A15,'Picks'!$U$2:$U$51,"settled"),0)</f>
        <v/>
      </c>
    </row>
    <row r="16">
      <c r="A16" s="12" t="inlineStr">
        <is>
          <t>total</t>
        </is>
      </c>
      <c r="B16" s="13">
        <f>COUNTIFS('Picks'!$H$2:$H$51,$A16,'Picks'!$U$2:$U$51,"settled")</f>
        <v/>
      </c>
      <c r="C16" s="13">
        <f>COUNTIFS('Picks'!$H$2:$H$51,$A16,'Picks'!$U$2:$U$51,"settled",'Picks'!$V$2:$V$51,"win")</f>
        <v/>
      </c>
      <c r="D16" s="13">
        <f>COUNTIFS('Picks'!$H$2:$H$51,$A16,'Picks'!$U$2:$U$51,"settled",'Picks'!$V$2:$V$51,"loss")</f>
        <v/>
      </c>
      <c r="E16" s="14">
        <f>IFERROR(C16/(C16+D16),0)</f>
        <v/>
      </c>
      <c r="F16" s="15">
        <f>SUMIFS('Picks'!$BY$2:$BY$51,'Picks'!$H$2:$H$51,$A16)</f>
        <v/>
      </c>
      <c r="G16" s="16">
        <f>IFERROR(AVERAGEIFS('Picks'!$AB$2:$AB$51,'Picks'!$H$2:$H$51,$A16,'Picks'!$U$2:$U$51,"settled"),0)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P5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22" customWidth="1" min="90" max="90"/>
    <col width="17" customWidth="1" min="91" max="91"/>
    <col width="16" customWidth="1" min="92" max="92"/>
    <col width="18" customWidth="1" min="93" max="93"/>
    <col width="18" customWidth="1" min="94" max="94"/>
    <col width="22" customWidth="1" min="95" max="95"/>
    <col width="22" customWidth="1" min="96" max="96"/>
    <col width="17" customWidth="1" min="97" max="97"/>
    <col width="20" customWidth="1" min="98" max="98"/>
    <col width="20" customWidth="1" min="99" max="99"/>
    <col width="13" customWidth="1" min="100" max="100"/>
    <col width="22" customWidth="1" min="101" max="101"/>
    <col width="21" customWidth="1" min="102" max="102"/>
    <col width="22" customWidth="1" min="103" max="103"/>
    <col width="22" customWidth="1" min="104" max="104"/>
    <col width="21" customWidth="1" min="105" max="105"/>
    <col width="22" customWidth="1" min="106" max="106"/>
    <col width="22" customWidth="1" min="107" max="107"/>
    <col width="20" customWidth="1" min="108" max="108"/>
    <col width="22" customWidth="1" min="109" max="109"/>
    <col width="18" customWidth="1" min="110" max="110"/>
    <col width="15" customWidth="1" min="111" max="111"/>
    <col width="13" customWidth="1" min="112" max="112"/>
    <col width="22" customWidth="1" min="113" max="113"/>
    <col width="22" customWidth="1" min="114" max="114"/>
    <col width="21" customWidth="1" min="115" max="115"/>
    <col width="14" customWidth="1" min="116" max="116"/>
    <col width="20" customWidth="1" min="117" max="117"/>
    <col width="20" customWidth="1" min="118" max="118"/>
    <col width="20" customWidth="1" min="119" max="119"/>
    <col width="22" customWidth="1" min="120" max="120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bullpen_weakness_gap</t>
        </is>
      </c>
      <c r="CM1" s="23" t="inlineStr">
        <is>
          <t>starter_era_gap</t>
        </is>
      </c>
      <c r="CN1" s="23" t="inlineStr">
        <is>
          <t>rest_disparity</t>
        </is>
      </c>
      <c r="CO1" s="23" t="inlineStr">
        <is>
          <t>back_to_back_gap</t>
        </is>
      </c>
      <c r="CP1" s="23" t="inlineStr">
        <is>
          <t>games_last_7_gap</t>
        </is>
      </c>
      <c r="CQ1" s="23" t="inlineStr">
        <is>
          <t>schedule_missingness</t>
        </is>
      </c>
      <c r="CR1" s="23" t="inlineStr">
        <is>
          <t>market_residual_probability</t>
        </is>
      </c>
      <c r="CS1" s="23" t="inlineStr">
        <is>
          <t>trade_candidate</t>
        </is>
      </c>
      <c r="CT1" s="23" t="inlineStr">
        <is>
          <t>config_hash</t>
        </is>
      </c>
      <c r="CU1" s="23" t="inlineStr">
        <is>
          <t>config_byte_sha256</t>
        </is>
      </c>
      <c r="CV1" s="23" t="inlineStr">
        <is>
          <t>config_path</t>
        </is>
      </c>
      <c r="CW1" s="23" t="inlineStr">
        <is>
          <t>model_artifact_byte_sha256</t>
        </is>
      </c>
      <c r="CX1" s="23" t="inlineStr">
        <is>
          <t>model_artifact_path</t>
        </is>
      </c>
      <c r="CY1" s="23" t="inlineStr">
        <is>
          <t>market_quote_observed_at_utc</t>
        </is>
      </c>
      <c r="CZ1" s="23" t="inlineStr">
        <is>
          <t>market_quote_timestamp_valid</t>
        </is>
      </c>
      <c r="DA1" s="23" t="inlineStr">
        <is>
          <t>market_quote_source</t>
        </is>
      </c>
      <c r="DB1" s="23" t="inlineStr">
        <is>
          <t>market_quote_provenance</t>
        </is>
      </c>
      <c r="DC1" s="23" t="inlineStr">
        <is>
          <t>market_quote_reconstructed</t>
        </is>
      </c>
      <c r="DD1" s="23" t="inlineStr">
        <is>
          <t>market_snapshot_hash</t>
        </is>
      </c>
      <c r="DE1" s="23" t="inlineStr">
        <is>
          <t>market_snapshot_archive_path</t>
        </is>
      </c>
      <c r="DF1" s="23" t="inlineStr">
        <is>
          <t>market_snapshot_record_id</t>
        </is>
      </c>
      <c r="DG1" s="23" t="inlineStr">
        <is>
          <t>record_source</t>
        </is>
      </c>
      <c r="DH1" s="23" t="inlineStr">
        <is>
          <t>is_backfill</t>
        </is>
      </c>
      <c r="DI1" s="23" t="inlineStr">
        <is>
          <t>model_probability_raw</t>
        </is>
      </c>
      <c r="DJ1" s="23" t="inlineStr">
        <is>
          <t>market_probability_at_decision</t>
        </is>
      </c>
      <c r="DK1" s="23" t="inlineStr">
        <is>
          <t>serving_probability</t>
        </is>
      </c>
      <c r="DL1" s="23" t="inlineStr">
        <is>
          <t>blend_weight</t>
        </is>
      </c>
      <c r="DM1" s="23" t="inlineStr">
        <is>
          <t>blend_policy_artifact_hash</t>
        </is>
      </c>
      <c r="DN1" s="23" t="inlineStr">
        <is>
          <t>blend_experiment_spec_hash</t>
        </is>
      </c>
      <c r="DO1" s="23" t="inlineStr">
        <is>
          <t>blend_config_hash</t>
        </is>
      </c>
      <c r="DP1" s="23" t="inlineStr">
        <is>
          <t>serving_policy_block_reason</t>
        </is>
      </c>
    </row>
    <row r="2" ht="36" customHeight="1">
      <c r="A2" s="24" t="inlineStr">
        <is>
          <t>b8a584f8a0a9497d</t>
        </is>
      </c>
      <c r="B2" s="24" t="inlineStr">
        <is>
          <t>2026-08-30T06:02:49.633456Z</t>
        </is>
      </c>
      <c r="C2" s="24" t="inlineStr">
        <is>
          <t>2026-08-30T17:40Z</t>
        </is>
      </c>
      <c r="D2" s="24" t="inlineStr">
        <is>
          <t>tsc-mlb-kc-cle-2026-08-30-7pt5</t>
        </is>
      </c>
      <c r="E2" s="24" t="inlineStr">
        <is>
          <t>MLB</t>
        </is>
      </c>
      <c r="F2" s="24" t="inlineStr">
        <is>
          <t>Kansas City Royals</t>
        </is>
      </c>
      <c r="G2" s="24" t="inlineStr">
        <is>
          <t>Cleveland Guardians</t>
        </is>
      </c>
      <c r="H2" s="24" t="inlineStr">
        <is>
          <t>total</t>
        </is>
      </c>
      <c r="I2" s="24" t="inlineStr">
        <is>
          <t>over</t>
        </is>
      </c>
      <c r="J2" s="25" t="n"/>
      <c r="K2" s="24" t="inlineStr">
        <is>
          <t>polymarket_us</t>
        </is>
      </c>
      <c r="L2" s="26" t="n">
        <v>108</v>
      </c>
      <c r="M2" s="27" t="n">
        <v>2.08</v>
      </c>
      <c r="N2" s="28" t="n">
        <v>0.4854</v>
      </c>
      <c r="O2" s="28" t="n">
        <v>0.5246</v>
      </c>
      <c r="P2" s="28" t="n"/>
      <c r="Q2" s="28" t="n">
        <v>0.0392</v>
      </c>
      <c r="R2" s="26" t="n"/>
      <c r="S2" s="29" t="n">
        <v>1</v>
      </c>
      <c r="T2" s="24" t="inlineStr">
        <is>
          <t>measured-edge-totals-v3</t>
        </is>
      </c>
      <c r="U2" s="24" t="inlineStr">
        <is>
          <t>settled</t>
        </is>
      </c>
      <c r="V2" s="24" t="inlineStr">
        <is>
          <t>win</t>
        </is>
      </c>
      <c r="W2" s="26" t="n">
        <v>1</v>
      </c>
      <c r="X2" s="26" t="n">
        <v>11</v>
      </c>
      <c r="Y2" s="25" t="n"/>
      <c r="Z2" s="26" t="n"/>
      <c r="AA2" s="28" t="n"/>
      <c r="AB2" s="28" t="n"/>
      <c r="AC2" s="30" t="n">
        <v>1.08</v>
      </c>
      <c r="AD2" s="24" t="inlineStr">
        <is>
          <t>2026-08-30T21:02:17.739705Z</t>
        </is>
      </c>
      <c r="AE2" s="31" t="inlineStr">
        <is>
          <t>Auto-Buyer order C67Z6DT08KDG on tsc-mlb-kc-cle-2026-08-30-7pt5 (long)</t>
        </is>
      </c>
      <c r="AF2" s="31" t="n"/>
      <c r="AG2" s="24" t="n"/>
      <c r="AH2" s="24" t="n"/>
      <c r="AI2" s="31" t="n"/>
      <c r="AJ2" s="31" t="n"/>
      <c r="AK2" s="24" t="n"/>
      <c r="AL2" s="26" t="n">
        <v>4</v>
      </c>
      <c r="AM2" s="24" t="inlineStr">
        <is>
          <t>decision</t>
        </is>
      </c>
      <c r="AN2" s="24" t="inlineStr">
        <is>
          <t>take</t>
        </is>
      </c>
      <c r="AO2" s="24" t="inlineStr">
        <is>
          <t>AUTO_BUYER_EXECUTION</t>
        </is>
      </c>
      <c r="AP2" s="24" t="n"/>
      <c r="AQ2" s="24" t="n"/>
      <c r="AR2" s="24" t="n"/>
      <c r="AS2" s="24" t="n"/>
      <c r="AT2" s="24" t="n"/>
      <c r="AU2" s="24" t="n"/>
      <c r="AV2" s="24" t="n"/>
      <c r="AW2" s="24" t="n"/>
      <c r="AX2" s="24" t="n"/>
      <c r="AY2" s="24" t="n"/>
      <c r="AZ2" s="24" t="n"/>
      <c r="BA2" s="24" t="n"/>
      <c r="BB2" s="24" t="n"/>
      <c r="BC2" s="24" t="n"/>
      <c r="BD2" s="24" t="n"/>
      <c r="BE2" s="24" t="n"/>
      <c r="BF2" s="24" t="n"/>
      <c r="BG2" s="24" t="n"/>
      <c r="BH2" s="24" t="n"/>
      <c r="BI2" s="24" t="n"/>
      <c r="BJ2" s="25" t="n"/>
      <c r="BK2" s="26" t="n"/>
      <c r="BL2" s="27" t="n"/>
      <c r="BM2" s="28" t="n"/>
      <c r="BN2" s="28" t="n"/>
      <c r="BO2" s="28" t="n"/>
      <c r="BP2" s="25" t="n"/>
      <c r="BQ2" s="27" t="n"/>
      <c r="BR2" s="28" t="n"/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  <c r="CP2" s="24" t="n"/>
      <c r="CQ2" s="24" t="n"/>
      <c r="CR2" s="24" t="n"/>
      <c r="CS2" s="24" t="n"/>
      <c r="CT2" s="24" t="n"/>
      <c r="CU2" s="24" t="n"/>
      <c r="CV2" s="24" t="n"/>
      <c r="CW2" s="24" t="n"/>
      <c r="CX2" s="24" t="n"/>
      <c r="CY2" s="24" t="n"/>
      <c r="CZ2" s="24" t="n"/>
      <c r="DA2" s="24" t="n"/>
      <c r="DB2" s="24" t="n"/>
      <c r="DC2" s="24" t="n"/>
      <c r="DD2" s="24" t="n"/>
      <c r="DE2" s="24" t="n"/>
      <c r="DF2" s="24" t="n"/>
      <c r="DG2" s="24" t="n"/>
      <c r="DH2" s="24" t="n"/>
      <c r="DI2" s="24" t="n"/>
      <c r="DJ2" s="24" t="n"/>
      <c r="DK2" s="24" t="n"/>
      <c r="DL2" s="24" t="n"/>
      <c r="DM2" s="24" t="n"/>
      <c r="DN2" s="24" t="n"/>
      <c r="DO2" s="24" t="n"/>
      <c r="DP2" s="24" t="n"/>
    </row>
    <row r="3" ht="36" customHeight="1">
      <c r="A3" s="24" t="inlineStr">
        <is>
          <t>df8b468b5dd94f63</t>
        </is>
      </c>
      <c r="B3" s="24" t="inlineStr">
        <is>
          <t>2026-08-30T06:02:50.394636Z</t>
        </is>
      </c>
      <c r="C3" s="24" t="inlineStr">
        <is>
          <t>2026-08-30T17:40Z</t>
        </is>
      </c>
      <c r="D3" s="24" t="inlineStr">
        <is>
          <t>tsc-mlb-sd-tb-2026-08-30-7pt5</t>
        </is>
      </c>
      <c r="E3" s="24" t="inlineStr">
        <is>
          <t>MLB</t>
        </is>
      </c>
      <c r="F3" s="24" t="inlineStr">
        <is>
          <t>San Diego Padres</t>
        </is>
      </c>
      <c r="G3" s="24" t="inlineStr">
        <is>
          <t>Tampa Bay Rays</t>
        </is>
      </c>
      <c r="H3" s="24" t="inlineStr">
        <is>
          <t>total</t>
        </is>
      </c>
      <c r="I3" s="24" t="inlineStr">
        <is>
          <t>over</t>
        </is>
      </c>
      <c r="J3" s="25" t="n"/>
      <c r="K3" s="24" t="inlineStr">
        <is>
          <t>polymarket_us</t>
        </is>
      </c>
      <c r="L3" s="26" t="n">
        <v>113</v>
      </c>
      <c r="M3" s="27" t="n">
        <v>2.13</v>
      </c>
      <c r="N3" s="28" t="n">
        <v>0.4651</v>
      </c>
      <c r="O3" s="28" t="n">
        <v>0.5128</v>
      </c>
      <c r="P3" s="28" t="n"/>
      <c r="Q3" s="28" t="n">
        <v>0.0477</v>
      </c>
      <c r="R3" s="26" t="n"/>
      <c r="S3" s="29" t="n">
        <v>1</v>
      </c>
      <c r="T3" s="24" t="inlineStr">
        <is>
          <t>measured-edge-totals-v3</t>
        </is>
      </c>
      <c r="U3" s="24" t="inlineStr">
        <is>
          <t>settled</t>
        </is>
      </c>
      <c r="V3" s="24" t="inlineStr">
        <is>
          <t>win</t>
        </is>
      </c>
      <c r="W3" s="26" t="n">
        <v>4</v>
      </c>
      <c r="X3" s="26" t="n">
        <v>5</v>
      </c>
      <c r="Y3" s="25" t="n"/>
      <c r="Z3" s="26" t="n"/>
      <c r="AA3" s="28" t="n"/>
      <c r="AB3" s="28" t="n"/>
      <c r="AC3" s="30" t="n">
        <v>1.13</v>
      </c>
      <c r="AD3" s="24" t="inlineStr">
        <is>
          <t>2026-08-30T21:02:17.739705Z</t>
        </is>
      </c>
      <c r="AE3" s="31" t="inlineStr">
        <is>
          <t>Auto-Buyer order C67YHJR2YKDF on tsc-mlb-sd-tb-2026-08-30-7pt5 (long)</t>
        </is>
      </c>
      <c r="AF3" s="31" t="n"/>
      <c r="AG3" s="24" t="n"/>
      <c r="AH3" s="24" t="n"/>
      <c r="AI3" s="31" t="n"/>
      <c r="AJ3" s="31" t="n"/>
      <c r="AK3" s="24" t="n"/>
      <c r="AL3" s="26" t="n">
        <v>4</v>
      </c>
      <c r="AM3" s="24" t="inlineStr">
        <is>
          <t>decision</t>
        </is>
      </c>
      <c r="AN3" s="24" t="inlineStr">
        <is>
          <t>take</t>
        </is>
      </c>
      <c r="AO3" s="24" t="inlineStr">
        <is>
          <t>AUTO_BUYER_EXECUTION</t>
        </is>
      </c>
      <c r="AP3" s="24" t="n"/>
      <c r="AQ3" s="24" t="n"/>
      <c r="AR3" s="24" t="n"/>
      <c r="AS3" s="24" t="n"/>
      <c r="AT3" s="24" t="n"/>
      <c r="AU3" s="24" t="n"/>
      <c r="AV3" s="24" t="n"/>
      <c r="AW3" s="24" t="n"/>
      <c r="AX3" s="24" t="n"/>
      <c r="AY3" s="24" t="n"/>
      <c r="AZ3" s="24" t="n"/>
      <c r="BA3" s="24" t="n"/>
      <c r="BB3" s="24" t="n"/>
      <c r="BC3" s="24" t="n"/>
      <c r="BD3" s="24" t="n"/>
      <c r="BE3" s="24" t="n"/>
      <c r="BF3" s="24" t="n"/>
      <c r="BG3" s="24" t="n"/>
      <c r="BH3" s="24" t="n"/>
      <c r="BI3" s="24" t="n"/>
      <c r="BJ3" s="25" t="n"/>
      <c r="BK3" s="26" t="n"/>
      <c r="BL3" s="27" t="n"/>
      <c r="BM3" s="28" t="n"/>
      <c r="BN3" s="28" t="n"/>
      <c r="BO3" s="28" t="n"/>
      <c r="BP3" s="25" t="n"/>
      <c r="BQ3" s="27" t="n"/>
      <c r="BR3" s="28" t="n"/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  <c r="CP3" s="24" t="n"/>
      <c r="CQ3" s="24" t="n"/>
      <c r="CR3" s="24" t="n"/>
      <c r="CS3" s="24" t="n"/>
      <c r="CT3" s="24" t="n"/>
      <c r="CU3" s="24" t="n"/>
      <c r="CV3" s="24" t="n"/>
      <c r="CW3" s="24" t="n"/>
      <c r="CX3" s="24" t="n"/>
      <c r="CY3" s="24" t="n"/>
      <c r="CZ3" s="24" t="n"/>
      <c r="DA3" s="24" t="n"/>
      <c r="DB3" s="24" t="n"/>
      <c r="DC3" s="24" t="n"/>
      <c r="DD3" s="24" t="n"/>
      <c r="DE3" s="24" t="n"/>
      <c r="DF3" s="24" t="n"/>
      <c r="DG3" s="24" t="n"/>
      <c r="DH3" s="24" t="n"/>
      <c r="DI3" s="24" t="n"/>
      <c r="DJ3" s="24" t="n"/>
      <c r="DK3" s="24" t="n"/>
      <c r="DL3" s="24" t="n"/>
      <c r="DM3" s="24" t="n"/>
      <c r="DN3" s="24" t="n"/>
      <c r="DO3" s="24" t="n"/>
      <c r="DP3" s="24" t="n"/>
    </row>
    <row r="4" ht="36" customHeight="1">
      <c r="A4" s="24" t="inlineStr">
        <is>
          <t>44b32ecba1cd46f1</t>
        </is>
      </c>
      <c r="B4" s="24" t="inlineStr">
        <is>
          <t>2026-08-30T06:02:51.181135Z</t>
        </is>
      </c>
      <c r="C4" s="24" t="inlineStr">
        <is>
          <t>2026-08-30T18:15Z</t>
        </is>
      </c>
      <c r="D4" s="24" t="inlineStr">
        <is>
          <t>tsc-mlb-pit-stl-2026-08-30-8pt5</t>
        </is>
      </c>
      <c r="E4" s="24" t="inlineStr">
        <is>
          <t>MLB</t>
        </is>
      </c>
      <c r="F4" s="24" t="inlineStr">
        <is>
          <t>Pittsburgh Pirates</t>
        </is>
      </c>
      <c r="G4" s="24" t="inlineStr">
        <is>
          <t>St. Louis Cardinals</t>
        </is>
      </c>
      <c r="H4" s="24" t="inlineStr">
        <is>
          <t>total</t>
        </is>
      </c>
      <c r="I4" s="24" t="inlineStr">
        <is>
          <t>over</t>
        </is>
      </c>
      <c r="J4" s="25" t="n"/>
      <c r="K4" s="24" t="inlineStr">
        <is>
          <t>polymarket_us</t>
        </is>
      </c>
      <c r="L4" s="26" t="n">
        <v>122</v>
      </c>
      <c r="M4" s="27" t="n">
        <v>2.22</v>
      </c>
      <c r="N4" s="28" t="n">
        <v>0.4444</v>
      </c>
      <c r="O4" s="28" t="n">
        <v>0.5098</v>
      </c>
      <c r="P4" s="28" t="n"/>
      <c r="Q4" s="28" t="n">
        <v>0.0654</v>
      </c>
      <c r="R4" s="26" t="n"/>
      <c r="S4" s="29" t="n">
        <v>1.25</v>
      </c>
      <c r="T4" s="24" t="inlineStr">
        <is>
          <t>measured-edge-totals-v3</t>
        </is>
      </c>
      <c r="U4" s="24" t="inlineStr">
        <is>
          <t>settled</t>
        </is>
      </c>
      <c r="V4" s="24" t="inlineStr">
        <is>
          <t>win</t>
        </is>
      </c>
      <c r="W4" s="26" t="n">
        <v>5</v>
      </c>
      <c r="X4" s="26" t="n">
        <v>4</v>
      </c>
      <c r="Y4" s="25" t="n"/>
      <c r="Z4" s="26" t="n"/>
      <c r="AA4" s="28" t="n"/>
      <c r="AB4" s="28" t="n"/>
      <c r="AC4" s="30" t="n">
        <v>1.53</v>
      </c>
      <c r="AD4" s="24" t="inlineStr">
        <is>
          <t>2026-08-30T21:29:23.578191Z</t>
        </is>
      </c>
      <c r="AE4" s="31" t="inlineStr">
        <is>
          <t>Auto-Buyer order C67YHJ9BAKDN on tsc-mlb-pit-stl-2026-08-30-8pt5 (long)</t>
        </is>
      </c>
      <c r="AF4" s="31" t="n"/>
      <c r="AG4" s="24" t="n"/>
      <c r="AH4" s="24" t="n"/>
      <c r="AI4" s="31" t="n"/>
      <c r="AJ4" s="31" t="n"/>
      <c r="AK4" s="24" t="n"/>
      <c r="AL4" s="26" t="n">
        <v>4</v>
      </c>
      <c r="AM4" s="24" t="inlineStr">
        <is>
          <t>decision</t>
        </is>
      </c>
      <c r="AN4" s="24" t="inlineStr">
        <is>
          <t>take</t>
        </is>
      </c>
      <c r="AO4" s="24" t="inlineStr">
        <is>
          <t>AUTO_BUYER_EXECUTION</t>
        </is>
      </c>
      <c r="AP4" s="24" t="n"/>
      <c r="AQ4" s="24" t="n"/>
      <c r="AR4" s="24" t="n"/>
      <c r="AS4" s="24" t="n"/>
      <c r="AT4" s="24" t="n"/>
      <c r="AU4" s="24" t="n"/>
      <c r="AV4" s="24" t="n"/>
      <c r="AW4" s="24" t="n"/>
      <c r="AX4" s="24" t="n"/>
      <c r="AY4" s="24" t="n"/>
      <c r="AZ4" s="24" t="n"/>
      <c r="BA4" s="24" t="n"/>
      <c r="BB4" s="24" t="n"/>
      <c r="BC4" s="24" t="n"/>
      <c r="BD4" s="24" t="n"/>
      <c r="BE4" s="24" t="n"/>
      <c r="BF4" s="24" t="n"/>
      <c r="BG4" s="24" t="n"/>
      <c r="BH4" s="24" t="n"/>
      <c r="BI4" s="24" t="n"/>
      <c r="BJ4" s="25" t="n"/>
      <c r="BK4" s="26" t="n"/>
      <c r="BL4" s="27" t="n"/>
      <c r="BM4" s="28" t="n"/>
      <c r="BN4" s="28" t="n"/>
      <c r="BO4" s="28" t="n"/>
      <c r="BP4" s="25" t="n"/>
      <c r="BQ4" s="27" t="n"/>
      <c r="BR4" s="28" t="n"/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  <c r="CP4" s="24" t="n"/>
      <c r="CQ4" s="24" t="n"/>
      <c r="CR4" s="24" t="n"/>
      <c r="CS4" s="24" t="n"/>
      <c r="CT4" s="24" t="n"/>
      <c r="CU4" s="24" t="n"/>
      <c r="CV4" s="24" t="n"/>
      <c r="CW4" s="24" t="n"/>
      <c r="CX4" s="24" t="n"/>
      <c r="CY4" s="24" t="n"/>
      <c r="CZ4" s="24" t="n"/>
      <c r="DA4" s="24" t="n"/>
      <c r="DB4" s="24" t="n"/>
      <c r="DC4" s="24" t="n"/>
      <c r="DD4" s="24" t="n"/>
      <c r="DE4" s="24" t="n"/>
      <c r="DF4" s="24" t="n"/>
      <c r="DG4" s="24" t="n"/>
      <c r="DH4" s="24" t="n"/>
      <c r="DI4" s="24" t="n"/>
      <c r="DJ4" s="24" t="n"/>
      <c r="DK4" s="24" t="n"/>
      <c r="DL4" s="24" t="n"/>
      <c r="DM4" s="24" t="n"/>
      <c r="DN4" s="24" t="n"/>
      <c r="DO4" s="24" t="n"/>
      <c r="DP4" s="24" t="n"/>
    </row>
    <row r="5" ht="36" customHeight="1">
      <c r="A5" s="24" t="inlineStr">
        <is>
          <t>41531896487148ea</t>
        </is>
      </c>
      <c r="B5" s="24" t="inlineStr">
        <is>
          <t>2026-08-30T06:02:51.950453Z</t>
        </is>
      </c>
      <c r="C5" s="24" t="inlineStr">
        <is>
          <t>2026-08-30T15:00Z</t>
        </is>
      </c>
      <c r="D5" s="24" t="inlineStr">
        <is>
          <t>aec-wta-renzar-poliat-2026-08-30</t>
        </is>
      </c>
      <c r="E5" s="24" t="inlineStr">
        <is>
          <t>TENNIS</t>
        </is>
      </c>
      <c r="F5" s="24" t="inlineStr">
        <is>
          <t>Polina Iatcenko</t>
        </is>
      </c>
      <c r="G5" s="24" t="inlineStr">
        <is>
          <t>Renata Zarazua</t>
        </is>
      </c>
      <c r="H5" s="24" t="inlineStr">
        <is>
          <t>moneyline</t>
        </is>
      </c>
      <c r="I5" s="24" t="inlineStr">
        <is>
          <t>away</t>
        </is>
      </c>
      <c r="J5" s="25" t="n"/>
      <c r="K5" s="24" t="inlineStr">
        <is>
          <t>polymarket_us</t>
        </is>
      </c>
      <c r="L5" s="26" t="n">
        <v>122</v>
      </c>
      <c r="M5" s="27" t="n">
        <v>2.22</v>
      </c>
      <c r="N5" s="28" t="n">
        <v>0.4608</v>
      </c>
      <c r="O5" s="28" t="n">
        <v>0.5933</v>
      </c>
      <c r="P5" s="28" t="n"/>
      <c r="Q5" s="28" t="n">
        <v>0.1325</v>
      </c>
      <c r="R5" s="26" t="n"/>
      <c r="S5" s="29" t="n">
        <v>1.5</v>
      </c>
      <c r="T5" s="24" t="inlineStr">
        <is>
          <t>tennis-surface-elo-v1</t>
        </is>
      </c>
      <c r="U5" s="24" t="inlineStr">
        <is>
          <t>settled</t>
        </is>
      </c>
      <c r="V5" s="24" t="inlineStr">
        <is>
          <t>win</t>
        </is>
      </c>
      <c r="W5" s="26" t="n">
        <v>1</v>
      </c>
      <c r="X5" s="26" t="n"/>
      <c r="Y5" s="25" t="n"/>
      <c r="Z5" s="26" t="n"/>
      <c r="AA5" s="28" t="n"/>
      <c r="AB5" s="28" t="n"/>
      <c r="AC5" s="30" t="n">
        <v>1.83</v>
      </c>
      <c r="AD5" s="24" t="inlineStr">
        <is>
          <t>2026-08-30T21:02:17.739705Z</t>
        </is>
      </c>
      <c r="AE5" s="31" t="inlineStr">
        <is>
          <t>Auto-Buyer order C67ZBV5R6KDK on aec-wta-renzar-poliat-2026-08-30 (short)</t>
        </is>
      </c>
      <c r="AF5" s="31" t="n"/>
      <c r="AG5" s="24" t="n"/>
      <c r="AH5" s="24" t="n"/>
      <c r="AI5" s="31" t="n"/>
      <c r="AJ5" s="31" t="n"/>
      <c r="AK5" s="24" t="n"/>
      <c r="AL5" s="26" t="n">
        <v>4</v>
      </c>
      <c r="AM5" s="24" t="inlineStr">
        <is>
          <t>decision</t>
        </is>
      </c>
      <c r="AN5" s="24" t="inlineStr">
        <is>
          <t>take</t>
        </is>
      </c>
      <c r="AO5" s="24" t="inlineStr">
        <is>
          <t>AUTO_BUYER_EXECUTION</t>
        </is>
      </c>
      <c r="AP5" s="24" t="n"/>
      <c r="AQ5" s="24" t="n"/>
      <c r="AR5" s="24" t="n"/>
      <c r="AS5" s="24" t="n"/>
      <c r="AT5" s="24" t="n"/>
      <c r="AU5" s="24" t="n"/>
      <c r="AV5" s="24" t="n"/>
      <c r="AW5" s="24" t="n"/>
      <c r="AX5" s="24" t="n"/>
      <c r="AY5" s="24" t="n"/>
      <c r="AZ5" s="24" t="n"/>
      <c r="BA5" s="24" t="n"/>
      <c r="BB5" s="24" t="n"/>
      <c r="BC5" s="24" t="n"/>
      <c r="BD5" s="24" t="n"/>
      <c r="BE5" s="24" t="n"/>
      <c r="BF5" s="24" t="n"/>
      <c r="BG5" s="24" t="n"/>
      <c r="BH5" s="24" t="n"/>
      <c r="BI5" s="24" t="n"/>
      <c r="BJ5" s="25" t="n"/>
      <c r="BK5" s="26" t="n"/>
      <c r="BL5" s="27" t="n"/>
      <c r="BM5" s="28" t="n"/>
      <c r="BN5" s="28" t="n"/>
      <c r="BO5" s="28" t="n"/>
      <c r="BP5" s="25" t="n"/>
      <c r="BQ5" s="27" t="n"/>
      <c r="BR5" s="28" t="n"/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  <c r="CP5" s="24" t="n"/>
      <c r="CQ5" s="24" t="n"/>
      <c r="CR5" s="24" t="n"/>
      <c r="CS5" s="24" t="n"/>
      <c r="CT5" s="24" t="n"/>
      <c r="CU5" s="24" t="n"/>
      <c r="CV5" s="24" t="n"/>
      <c r="CW5" s="24" t="n"/>
      <c r="CX5" s="24" t="n"/>
      <c r="CY5" s="24" t="n"/>
      <c r="CZ5" s="24" t="n"/>
      <c r="DA5" s="24" t="n"/>
      <c r="DB5" s="24" t="n"/>
      <c r="DC5" s="24" t="n"/>
      <c r="DD5" s="24" t="n"/>
      <c r="DE5" s="24" t="n"/>
      <c r="DF5" s="24" t="n"/>
      <c r="DG5" s="24" t="n"/>
      <c r="DH5" s="24" t="n"/>
      <c r="DI5" s="24" t="n"/>
      <c r="DJ5" s="24" t="n"/>
      <c r="DK5" s="24" t="n"/>
      <c r="DL5" s="24" t="n"/>
      <c r="DM5" s="24" t="n"/>
      <c r="DN5" s="24" t="n"/>
      <c r="DO5" s="24" t="n"/>
      <c r="DP5" s="24" t="n"/>
    </row>
    <row r="6" ht="36" customHeight="1">
      <c r="A6" s="24" t="inlineStr">
        <is>
          <t>3e1c2af682a74477</t>
        </is>
      </c>
      <c r="B6" s="24" t="inlineStr">
        <is>
          <t>2026-08-30T06:02:52.944185Z</t>
        </is>
      </c>
      <c r="C6" s="24" t="inlineStr">
        <is>
          <t>2026-08-30T17:00Z</t>
        </is>
      </c>
      <c r="D6" s="24" t="inlineStr">
        <is>
          <t>aec-wta-lucste-dayyas-2026-08-30</t>
        </is>
      </c>
      <c r="E6" s="24" t="inlineStr">
        <is>
          <t>TENNIS</t>
        </is>
      </c>
      <c r="F6" s="24" t="inlineStr">
        <is>
          <t>Dayana Yastremska</t>
        </is>
      </c>
      <c r="G6" s="24" t="inlineStr">
        <is>
          <t>Lucrezia Stefanini</t>
        </is>
      </c>
      <c r="H6" s="24" t="inlineStr">
        <is>
          <t>moneyline</t>
        </is>
      </c>
      <c r="I6" s="24" t="inlineStr">
        <is>
          <t>home</t>
        </is>
      </c>
      <c r="J6" s="25" t="n"/>
      <c r="K6" s="24" t="inlineStr">
        <is>
          <t>polymarket_us</t>
        </is>
      </c>
      <c r="L6" s="26" t="n">
        <v>138</v>
      </c>
      <c r="M6" s="27" t="n">
        <v>2.38</v>
      </c>
      <c r="N6" s="28" t="n">
        <v>0.4202</v>
      </c>
      <c r="O6" s="28" t="n">
        <v>0.5391</v>
      </c>
      <c r="P6" s="28" t="n"/>
      <c r="Q6" s="28" t="n">
        <v>0.1189</v>
      </c>
      <c r="R6" s="26" t="n"/>
      <c r="S6" s="29" t="n">
        <v>1.5</v>
      </c>
      <c r="T6" s="24" t="inlineStr">
        <is>
          <t>tennis-surface-elo-v1</t>
        </is>
      </c>
      <c r="U6" s="24" t="inlineStr">
        <is>
          <t>settled</t>
        </is>
      </c>
      <c r="V6" s="24" t="inlineStr">
        <is>
          <t>win</t>
        </is>
      </c>
      <c r="W6" s="26" t="n"/>
      <c r="X6" s="26" t="n">
        <v>1</v>
      </c>
      <c r="Y6" s="25" t="n"/>
      <c r="Z6" s="26" t="n"/>
      <c r="AA6" s="28" t="n"/>
      <c r="AB6" s="28" t="n"/>
      <c r="AC6" s="30" t="n">
        <v>2.07</v>
      </c>
      <c r="AD6" s="24" t="inlineStr">
        <is>
          <t>2026-08-30T21:02:17.739705Z</t>
        </is>
      </c>
      <c r="AE6" s="31" t="inlineStr">
        <is>
          <t>Auto-Buyer order C67YX9ESEKDE on aec-wta-lucste-dayyas-2026-08-30 (long)</t>
        </is>
      </c>
      <c r="AF6" s="31" t="n"/>
      <c r="AG6" s="24" t="n"/>
      <c r="AH6" s="24" t="n"/>
      <c r="AI6" s="31" t="n"/>
      <c r="AJ6" s="31" t="n"/>
      <c r="AK6" s="24" t="n"/>
      <c r="AL6" s="26" t="n">
        <v>4</v>
      </c>
      <c r="AM6" s="24" t="inlineStr">
        <is>
          <t>decision</t>
        </is>
      </c>
      <c r="AN6" s="24" t="inlineStr">
        <is>
          <t>take</t>
        </is>
      </c>
      <c r="AO6" s="24" t="inlineStr">
        <is>
          <t>AUTO_BUYER_EXECUTION</t>
        </is>
      </c>
      <c r="AP6" s="24" t="n"/>
      <c r="AQ6" s="24" t="n"/>
      <c r="AR6" s="24" t="n"/>
      <c r="AS6" s="24" t="n"/>
      <c r="AT6" s="24" t="n"/>
      <c r="AU6" s="24" t="n"/>
      <c r="AV6" s="24" t="n"/>
      <c r="AW6" s="24" t="n"/>
      <c r="AX6" s="24" t="n"/>
      <c r="AY6" s="24" t="n"/>
      <c r="AZ6" s="24" t="n"/>
      <c r="BA6" s="24" t="n"/>
      <c r="BB6" s="24" t="n"/>
      <c r="BC6" s="24" t="n"/>
      <c r="BD6" s="24" t="n"/>
      <c r="BE6" s="24" t="n"/>
      <c r="BF6" s="24" t="n"/>
      <c r="BG6" s="24" t="n"/>
      <c r="BH6" s="24" t="n"/>
      <c r="BI6" s="24" t="n"/>
      <c r="BJ6" s="25" t="n"/>
      <c r="BK6" s="26" t="n"/>
      <c r="BL6" s="27" t="n"/>
      <c r="BM6" s="28" t="n"/>
      <c r="BN6" s="28" t="n"/>
      <c r="BO6" s="28" t="n"/>
      <c r="BP6" s="25" t="n"/>
      <c r="BQ6" s="27" t="n"/>
      <c r="BR6" s="28" t="n"/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  <c r="CP6" s="24" t="n"/>
      <c r="CQ6" s="24" t="n"/>
      <c r="CR6" s="24" t="n"/>
      <c r="CS6" s="24" t="n"/>
      <c r="CT6" s="24" t="n"/>
      <c r="CU6" s="24" t="n"/>
      <c r="CV6" s="24" t="n"/>
      <c r="CW6" s="24" t="n"/>
      <c r="CX6" s="24" t="n"/>
      <c r="CY6" s="24" t="n"/>
      <c r="CZ6" s="24" t="n"/>
      <c r="DA6" s="24" t="n"/>
      <c r="DB6" s="24" t="n"/>
      <c r="DC6" s="24" t="n"/>
      <c r="DD6" s="24" t="n"/>
      <c r="DE6" s="24" t="n"/>
      <c r="DF6" s="24" t="n"/>
      <c r="DG6" s="24" t="n"/>
      <c r="DH6" s="24" t="n"/>
      <c r="DI6" s="24" t="n"/>
      <c r="DJ6" s="24" t="n"/>
      <c r="DK6" s="24" t="n"/>
      <c r="DL6" s="24" t="n"/>
      <c r="DM6" s="24" t="n"/>
      <c r="DN6" s="24" t="n"/>
      <c r="DO6" s="24" t="n"/>
      <c r="DP6" s="24" t="n"/>
    </row>
    <row r="7" ht="36" customHeight="1">
      <c r="A7" s="24" t="inlineStr">
        <is>
          <t>927668dda4c442b4</t>
        </is>
      </c>
      <c r="B7" s="24" t="inlineStr">
        <is>
          <t>2026-08-30T06:02:53.635299Z</t>
        </is>
      </c>
      <c r="C7" s="24" t="inlineStr">
        <is>
          <t>2026-08-30T18:30Z</t>
        </is>
      </c>
      <c r="D7" s="24" t="inlineStr">
        <is>
          <t>aec-wta-carlee-katbou-2026-08-30</t>
        </is>
      </c>
      <c r="E7" s="24" t="inlineStr">
        <is>
          <t>TENNIS</t>
        </is>
      </c>
      <c r="F7" s="24" t="inlineStr">
        <is>
          <t>Katie Boulter</t>
        </is>
      </c>
      <c r="G7" s="24" t="inlineStr">
        <is>
          <t>Carol Young Suh Lee</t>
        </is>
      </c>
      <c r="H7" s="24" t="inlineStr">
        <is>
          <t>moneyline</t>
        </is>
      </c>
      <c r="I7" s="24" t="inlineStr">
        <is>
          <t>away</t>
        </is>
      </c>
      <c r="J7" s="25" t="n"/>
      <c r="K7" s="24" t="inlineStr">
        <is>
          <t>polymarket_us</t>
        </is>
      </c>
      <c r="L7" s="26" t="n">
        <v>-138</v>
      </c>
      <c r="M7" s="27" t="n">
        <v>1.7246</v>
      </c>
      <c r="N7" s="28" t="n">
        <v>0.5798</v>
      </c>
      <c r="O7" s="28" t="n">
        <v>0.6772</v>
      </c>
      <c r="P7" s="28" t="n"/>
      <c r="Q7" s="28" t="n">
        <v>0.0974</v>
      </c>
      <c r="R7" s="26" t="n"/>
      <c r="S7" s="29" t="n">
        <v>1.25</v>
      </c>
      <c r="T7" s="24" t="inlineStr">
        <is>
          <t>tennis-surface-elo-v1</t>
        </is>
      </c>
      <c r="U7" s="24" t="inlineStr">
        <is>
          <t>settled</t>
        </is>
      </c>
      <c r="V7" s="24" t="inlineStr">
        <is>
          <t>win</t>
        </is>
      </c>
      <c r="W7" s="26" t="n">
        <v>1</v>
      </c>
      <c r="X7" s="26" t="n"/>
      <c r="Y7" s="25" t="n"/>
      <c r="Z7" s="26" t="n"/>
      <c r="AA7" s="28" t="n"/>
      <c r="AB7" s="28" t="n"/>
      <c r="AC7" s="30" t="n">
        <v>0.91</v>
      </c>
      <c r="AD7" s="24" t="inlineStr">
        <is>
          <t>2026-08-31T01:47:49.455874Z</t>
        </is>
      </c>
      <c r="AE7" s="31" t="inlineStr">
        <is>
          <t>Auto-Buyer order C67XS5EYPKDD on aec-wta-carlee-katbou-2026-08-30 (short)</t>
        </is>
      </c>
      <c r="AF7" s="31" t="n"/>
      <c r="AG7" s="24" t="n"/>
      <c r="AH7" s="24" t="n"/>
      <c r="AI7" s="31" t="n"/>
      <c r="AJ7" s="31" t="n"/>
      <c r="AK7" s="24" t="n"/>
      <c r="AL7" s="26" t="n">
        <v>4</v>
      </c>
      <c r="AM7" s="24" t="inlineStr">
        <is>
          <t>decision</t>
        </is>
      </c>
      <c r="AN7" s="24" t="inlineStr">
        <is>
          <t>take</t>
        </is>
      </c>
      <c r="AO7" s="24" t="inlineStr">
        <is>
          <t>AUTO_BUYER_EXECUTION</t>
        </is>
      </c>
      <c r="AP7" s="24" t="n"/>
      <c r="AQ7" s="24" t="n"/>
      <c r="AR7" s="24" t="n"/>
      <c r="AS7" s="24" t="n"/>
      <c r="AT7" s="24" t="n"/>
      <c r="AU7" s="24" t="n"/>
      <c r="AV7" s="24" t="n"/>
      <c r="AW7" s="24" t="n"/>
      <c r="AX7" s="24" t="n"/>
      <c r="AY7" s="24" t="n"/>
      <c r="AZ7" s="24" t="n"/>
      <c r="BA7" s="24" t="n"/>
      <c r="BB7" s="24" t="n"/>
      <c r="BC7" s="24" t="n"/>
      <c r="BD7" s="24" t="n"/>
      <c r="BE7" s="24" t="n"/>
      <c r="BF7" s="24" t="n"/>
      <c r="BG7" s="24" t="n"/>
      <c r="BH7" s="24" t="n"/>
      <c r="BI7" s="24" t="n"/>
      <c r="BJ7" s="25" t="n"/>
      <c r="BK7" s="26" t="n"/>
      <c r="BL7" s="27" t="n"/>
      <c r="BM7" s="28" t="n"/>
      <c r="BN7" s="28" t="n"/>
      <c r="BO7" s="28" t="n"/>
      <c r="BP7" s="25" t="n"/>
      <c r="BQ7" s="27" t="n"/>
      <c r="BR7" s="28" t="n"/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  <c r="CP7" s="24" t="n"/>
      <c r="CQ7" s="24" t="n"/>
      <c r="CR7" s="24" t="n"/>
      <c r="CS7" s="24" t="n"/>
      <c r="CT7" s="24" t="n"/>
      <c r="CU7" s="24" t="n"/>
      <c r="CV7" s="24" t="n"/>
      <c r="CW7" s="24" t="n"/>
      <c r="CX7" s="24" t="n"/>
      <c r="CY7" s="24" t="n"/>
      <c r="CZ7" s="24" t="n"/>
      <c r="DA7" s="24" t="n"/>
      <c r="DB7" s="24" t="n"/>
      <c r="DC7" s="24" t="n"/>
      <c r="DD7" s="24" t="n"/>
      <c r="DE7" s="24" t="n"/>
      <c r="DF7" s="24" t="n"/>
      <c r="DG7" s="24" t="n"/>
      <c r="DH7" s="24" t="n"/>
      <c r="DI7" s="24" t="n"/>
      <c r="DJ7" s="24" t="n"/>
      <c r="DK7" s="24" t="n"/>
      <c r="DL7" s="24" t="n"/>
      <c r="DM7" s="24" t="n"/>
      <c r="DN7" s="24" t="n"/>
      <c r="DO7" s="24" t="n"/>
      <c r="DP7" s="24" t="n"/>
    </row>
    <row r="8" ht="36" customHeight="1">
      <c r="A8" s="24" t="inlineStr">
        <is>
          <t>0a68e84c77384439</t>
        </is>
      </c>
      <c r="B8" s="24" t="inlineStr">
        <is>
          <t>2026-08-30T06:02:54.252811Z</t>
        </is>
      </c>
      <c r="C8" s="24" t="inlineStr">
        <is>
          <t>2026-08-30T19:00Z</t>
        </is>
      </c>
      <c r="D8" s="24" t="inlineStr">
        <is>
          <t>aec-wta-hanvan-karpli-2026-08-30</t>
        </is>
      </c>
      <c r="E8" s="24" t="inlineStr">
        <is>
          <t>TENNIS</t>
        </is>
      </c>
      <c r="F8" s="24" t="inlineStr">
        <is>
          <t>Karolina Pliskova</t>
        </is>
      </c>
      <c r="G8" s="24" t="inlineStr">
        <is>
          <t>Hanne Vandewinkel</t>
        </is>
      </c>
      <c r="H8" s="24" t="inlineStr">
        <is>
          <t>moneyline</t>
        </is>
      </c>
      <c r="I8" s="24" t="inlineStr">
        <is>
          <t>away</t>
        </is>
      </c>
      <c r="J8" s="25" t="n"/>
      <c r="K8" s="24" t="inlineStr">
        <is>
          <t>polymarket_us</t>
        </is>
      </c>
      <c r="L8" s="26" t="n">
        <v>-100</v>
      </c>
      <c r="M8" s="27" t="n">
        <v>2</v>
      </c>
      <c r="N8" s="28" t="n">
        <v>0.5</v>
      </c>
      <c r="O8" s="28" t="n">
        <v>0.5505</v>
      </c>
      <c r="P8" s="28" t="n"/>
      <c r="Q8" s="28" t="n">
        <v>0.0505</v>
      </c>
      <c r="R8" s="26" t="n"/>
      <c r="S8" s="29" t="n">
        <v>1</v>
      </c>
      <c r="T8" s="24" t="inlineStr">
        <is>
          <t>tennis-surface-elo-v1</t>
        </is>
      </c>
      <c r="U8" s="24" t="inlineStr">
        <is>
          <t>settled</t>
        </is>
      </c>
      <c r="V8" s="24" t="inlineStr">
        <is>
          <t>win</t>
        </is>
      </c>
      <c r="W8" s="26" t="n">
        <v>1</v>
      </c>
      <c r="X8" s="26" t="n"/>
      <c r="Y8" s="25" t="n"/>
      <c r="Z8" s="26" t="n"/>
      <c r="AA8" s="28" t="n"/>
      <c r="AB8" s="28" t="n"/>
      <c r="AC8" s="30" t="n">
        <v>1</v>
      </c>
      <c r="AD8" s="24" t="inlineStr">
        <is>
          <t>2026-08-30T21:30:23.932460Z</t>
        </is>
      </c>
      <c r="AE8" s="31" t="inlineStr">
        <is>
          <t>Auto-Buyer order C67ZBV63GKDK on aec-wta-hanvan-karpli-2026-08-30 (short)</t>
        </is>
      </c>
      <c r="AF8" s="31" t="n"/>
      <c r="AG8" s="24" t="n"/>
      <c r="AH8" s="24" t="n"/>
      <c r="AI8" s="31" t="n"/>
      <c r="AJ8" s="31" t="n"/>
      <c r="AK8" s="24" t="n"/>
      <c r="AL8" s="26" t="n">
        <v>4</v>
      </c>
      <c r="AM8" s="24" t="inlineStr">
        <is>
          <t>decision</t>
        </is>
      </c>
      <c r="AN8" s="24" t="inlineStr">
        <is>
          <t>take</t>
        </is>
      </c>
      <c r="AO8" s="24" t="inlineStr">
        <is>
          <t>AUTO_BUYER_EXECUTION</t>
        </is>
      </c>
      <c r="AP8" s="24" t="n"/>
      <c r="AQ8" s="24" t="n"/>
      <c r="AR8" s="24" t="n"/>
      <c r="AS8" s="24" t="n"/>
      <c r="AT8" s="24" t="n"/>
      <c r="AU8" s="24" t="n"/>
      <c r="AV8" s="24" t="n"/>
      <c r="AW8" s="24" t="n"/>
      <c r="AX8" s="24" t="n"/>
      <c r="AY8" s="24" t="n"/>
      <c r="AZ8" s="24" t="n"/>
      <c r="BA8" s="24" t="n"/>
      <c r="BB8" s="24" t="n"/>
      <c r="BC8" s="24" t="n"/>
      <c r="BD8" s="24" t="n"/>
      <c r="BE8" s="24" t="n"/>
      <c r="BF8" s="24" t="n"/>
      <c r="BG8" s="24" t="n"/>
      <c r="BH8" s="24" t="n"/>
      <c r="BI8" s="24" t="n"/>
      <c r="BJ8" s="25" t="n"/>
      <c r="BK8" s="26" t="n"/>
      <c r="BL8" s="27" t="n"/>
      <c r="BM8" s="28" t="n"/>
      <c r="BN8" s="28" t="n"/>
      <c r="BO8" s="28" t="n"/>
      <c r="BP8" s="25" t="n"/>
      <c r="BQ8" s="27" t="n"/>
      <c r="BR8" s="28" t="n"/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  <c r="CP8" s="24" t="n"/>
      <c r="CQ8" s="24" t="n"/>
      <c r="CR8" s="24" t="n"/>
      <c r="CS8" s="24" t="n"/>
      <c r="CT8" s="24" t="n"/>
      <c r="CU8" s="24" t="n"/>
      <c r="CV8" s="24" t="n"/>
      <c r="CW8" s="24" t="n"/>
      <c r="CX8" s="24" t="n"/>
      <c r="CY8" s="24" t="n"/>
      <c r="CZ8" s="24" t="n"/>
      <c r="DA8" s="24" t="n"/>
      <c r="DB8" s="24" t="n"/>
      <c r="DC8" s="24" t="n"/>
      <c r="DD8" s="24" t="n"/>
      <c r="DE8" s="24" t="n"/>
      <c r="DF8" s="24" t="n"/>
      <c r="DG8" s="24" t="n"/>
      <c r="DH8" s="24" t="n"/>
      <c r="DI8" s="24" t="n"/>
      <c r="DJ8" s="24" t="n"/>
      <c r="DK8" s="24" t="n"/>
      <c r="DL8" s="24" t="n"/>
      <c r="DM8" s="24" t="n"/>
      <c r="DN8" s="24" t="n"/>
      <c r="DO8" s="24" t="n"/>
      <c r="DP8" s="24" t="n"/>
    </row>
    <row r="9" ht="36" customHeight="1">
      <c r="A9" s="24" t="inlineStr">
        <is>
          <t>694111577c9346f3</t>
        </is>
      </c>
      <c r="B9" s="24" t="inlineStr">
        <is>
          <t>2026-08-30T06:02:55.122768Z</t>
        </is>
      </c>
      <c r="C9" s="24" t="inlineStr">
        <is>
          <t>2026-08-30T15:00Z</t>
        </is>
      </c>
      <c r="D9" s="24" t="inlineStr">
        <is>
          <t>aec-atp-kammaj-hammed-2026-08-30</t>
        </is>
      </c>
      <c r="E9" s="24" t="inlineStr">
        <is>
          <t>TENNIS</t>
        </is>
      </c>
      <c r="F9" s="24" t="inlineStr">
        <is>
          <t>Hamad Medjedovic</t>
        </is>
      </c>
      <c r="G9" s="24" t="inlineStr">
        <is>
          <t>Kamil Majchrzak</t>
        </is>
      </c>
      <c r="H9" s="24" t="inlineStr">
        <is>
          <t>moneyline</t>
        </is>
      </c>
      <c r="I9" s="24" t="inlineStr">
        <is>
          <t>home</t>
        </is>
      </c>
      <c r="J9" s="25" t="n"/>
      <c r="K9" s="24" t="inlineStr">
        <is>
          <t>polymarket_us</t>
        </is>
      </c>
      <c r="L9" s="26" t="n">
        <v>-122</v>
      </c>
      <c r="M9" s="27" t="n">
        <v>1.8197</v>
      </c>
      <c r="N9" s="28" t="n">
        <v>0.5495</v>
      </c>
      <c r="O9" s="28" t="n">
        <v>0.5909</v>
      </c>
      <c r="P9" s="28" t="n"/>
      <c r="Q9" s="28" t="n">
        <v>0.0413</v>
      </c>
      <c r="R9" s="26" t="n"/>
      <c r="S9" s="29" t="n">
        <v>1</v>
      </c>
      <c r="T9" s="24" t="inlineStr">
        <is>
          <t>tennis-surface-elo-v1</t>
        </is>
      </c>
      <c r="U9" s="24" t="inlineStr">
        <is>
          <t>settled</t>
        </is>
      </c>
      <c r="V9" s="24" t="inlineStr">
        <is>
          <t>win</t>
        </is>
      </c>
      <c r="W9" s="26" t="n"/>
      <c r="X9" s="26" t="n">
        <v>1</v>
      </c>
      <c r="Y9" s="25" t="n"/>
      <c r="Z9" s="26" t="n"/>
      <c r="AA9" s="28" t="n"/>
      <c r="AB9" s="28" t="n"/>
      <c r="AC9" s="30" t="n">
        <v>0.82</v>
      </c>
      <c r="AD9" s="24" t="inlineStr">
        <is>
          <t>2026-08-30T18:13:23.815760Z</t>
        </is>
      </c>
      <c r="AE9" s="31" t="inlineStr">
        <is>
          <t>Auto-Buyer order C67ZDSFV0KDM on aec-atp-kammaj-hammed-2026-08-30 (long)</t>
        </is>
      </c>
      <c r="AF9" s="31" t="n"/>
      <c r="AG9" s="24" t="n"/>
      <c r="AH9" s="24" t="n"/>
      <c r="AI9" s="31" t="n"/>
      <c r="AJ9" s="31" t="n"/>
      <c r="AK9" s="24" t="n"/>
      <c r="AL9" s="26" t="n">
        <v>4</v>
      </c>
      <c r="AM9" s="24" t="inlineStr">
        <is>
          <t>decision</t>
        </is>
      </c>
      <c r="AN9" s="24" t="inlineStr">
        <is>
          <t>take</t>
        </is>
      </c>
      <c r="AO9" s="24" t="inlineStr">
        <is>
          <t>AUTO_BUYER_EXECUTION</t>
        </is>
      </c>
      <c r="AP9" s="24" t="n"/>
      <c r="AQ9" s="24" t="n"/>
      <c r="AR9" s="24" t="n"/>
      <c r="AS9" s="24" t="n"/>
      <c r="AT9" s="24" t="n"/>
      <c r="AU9" s="24" t="n"/>
      <c r="AV9" s="24" t="n"/>
      <c r="AW9" s="24" t="n"/>
      <c r="AX9" s="24" t="n"/>
      <c r="AY9" s="24" t="n"/>
      <c r="AZ9" s="24" t="n"/>
      <c r="BA9" s="24" t="n"/>
      <c r="BB9" s="24" t="n"/>
      <c r="BC9" s="24" t="n"/>
      <c r="BD9" s="24" t="n"/>
      <c r="BE9" s="24" t="n"/>
      <c r="BF9" s="24" t="n"/>
      <c r="BG9" s="24" t="n"/>
      <c r="BH9" s="24" t="n"/>
      <c r="BI9" s="24" t="n"/>
      <c r="BJ9" s="25" t="n"/>
      <c r="BK9" s="26" t="n"/>
      <c r="BL9" s="27" t="n"/>
      <c r="BM9" s="28" t="n"/>
      <c r="BN9" s="28" t="n"/>
      <c r="BO9" s="28" t="n"/>
      <c r="BP9" s="25" t="n"/>
      <c r="BQ9" s="27" t="n"/>
      <c r="BR9" s="28" t="n"/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  <c r="CP9" s="24" t="n"/>
      <c r="CQ9" s="24" t="n"/>
      <c r="CR9" s="24" t="n"/>
      <c r="CS9" s="24" t="n"/>
      <c r="CT9" s="24" t="n"/>
      <c r="CU9" s="24" t="n"/>
      <c r="CV9" s="24" t="n"/>
      <c r="CW9" s="24" t="n"/>
      <c r="CX9" s="24" t="n"/>
      <c r="CY9" s="24" t="n"/>
      <c r="CZ9" s="24" t="n"/>
      <c r="DA9" s="24" t="n"/>
      <c r="DB9" s="24" t="n"/>
      <c r="DC9" s="24" t="n"/>
      <c r="DD9" s="24" t="n"/>
      <c r="DE9" s="24" t="n"/>
      <c r="DF9" s="24" t="n"/>
      <c r="DG9" s="24" t="n"/>
      <c r="DH9" s="24" t="n"/>
      <c r="DI9" s="24" t="n"/>
      <c r="DJ9" s="24" t="n"/>
      <c r="DK9" s="24" t="n"/>
      <c r="DL9" s="24" t="n"/>
      <c r="DM9" s="24" t="n"/>
      <c r="DN9" s="24" t="n"/>
      <c r="DO9" s="24" t="n"/>
      <c r="DP9" s="24" t="n"/>
    </row>
    <row r="10" ht="36" customHeight="1">
      <c r="A10" s="24" t="inlineStr">
        <is>
          <t>5227db485feb44c5</t>
        </is>
      </c>
      <c r="B10" s="24" t="inlineStr">
        <is>
          <t>2026-08-30T06:02:55.947092Z</t>
        </is>
      </c>
      <c r="C10" s="24" t="inlineStr">
        <is>
          <t>2026-08-30T16:30Z</t>
        </is>
      </c>
      <c r="D10" s="24" t="inlineStr">
        <is>
          <t>aec-atp-lucass-camnor-2026-08-30</t>
        </is>
      </c>
      <c r="E10" s="24" t="inlineStr">
        <is>
          <t>TENNIS</t>
        </is>
      </c>
      <c r="F10" s="24" t="inlineStr">
        <is>
          <t>Cameron Norrie</t>
        </is>
      </c>
      <c r="G10" s="24" t="inlineStr">
        <is>
          <t>Luca Van Assche</t>
        </is>
      </c>
      <c r="H10" s="24" t="inlineStr">
        <is>
          <t>moneyline</t>
        </is>
      </c>
      <c r="I10" s="24" t="inlineStr">
        <is>
          <t>away</t>
        </is>
      </c>
      <c r="J10" s="25" t="n"/>
      <c r="K10" s="24" t="inlineStr">
        <is>
          <t>polymarket_us</t>
        </is>
      </c>
      <c r="L10" s="26" t="n">
        <v>-203</v>
      </c>
      <c r="M10" s="27" t="n">
        <v>1.4926</v>
      </c>
      <c r="N10" s="28" t="n">
        <v>0.67</v>
      </c>
      <c r="O10" s="28" t="n">
        <v>0.7139</v>
      </c>
      <c r="P10" s="28" t="n"/>
      <c r="Q10" s="28" t="n">
        <v>0.0439</v>
      </c>
      <c r="R10" s="26" t="n"/>
      <c r="S10" s="29" t="n">
        <v>1</v>
      </c>
      <c r="T10" s="24" t="inlineStr">
        <is>
          <t>tennis-surface-elo-v1</t>
        </is>
      </c>
      <c r="U10" s="24" t="inlineStr">
        <is>
          <t>settled</t>
        </is>
      </c>
      <c r="V10" s="24" t="inlineStr">
        <is>
          <t>loss</t>
        </is>
      </c>
      <c r="W10" s="26" t="n"/>
      <c r="X10" s="26" t="n">
        <v>1</v>
      </c>
      <c r="Y10" s="25" t="n"/>
      <c r="Z10" s="26" t="n"/>
      <c r="AA10" s="28" t="n"/>
      <c r="AB10" s="28" t="n"/>
      <c r="AC10" s="30" t="n">
        <v>-1</v>
      </c>
      <c r="AD10" s="24" t="inlineStr">
        <is>
          <t>2026-08-30T21:02:17.739705Z</t>
        </is>
      </c>
      <c r="AE10" s="31" t="inlineStr">
        <is>
          <t>Auto-Buyer order C67Z38H1EKDC on aec-atp-lucass-camnor-2026-08-30 (short)</t>
        </is>
      </c>
      <c r="AF10" s="31" t="n"/>
      <c r="AG10" s="24" t="n"/>
      <c r="AH10" s="24" t="n"/>
      <c r="AI10" s="31" t="n"/>
      <c r="AJ10" s="31" t="n"/>
      <c r="AK10" s="24" t="n"/>
      <c r="AL10" s="26" t="n">
        <v>4</v>
      </c>
      <c r="AM10" s="24" t="inlineStr">
        <is>
          <t>decision</t>
        </is>
      </c>
      <c r="AN10" s="24" t="inlineStr">
        <is>
          <t>take</t>
        </is>
      </c>
      <c r="AO10" s="24" t="inlineStr">
        <is>
          <t>AUTO_BUYER_EXECUTION</t>
        </is>
      </c>
      <c r="AP10" s="24" t="n"/>
      <c r="AQ10" s="24" t="n"/>
      <c r="AR10" s="24" t="n"/>
      <c r="AS10" s="24" t="n"/>
      <c r="AT10" s="24" t="n"/>
      <c r="AU10" s="24" t="n"/>
      <c r="AV10" s="24" t="n"/>
      <c r="AW10" s="24" t="n"/>
      <c r="AX10" s="24" t="n"/>
      <c r="AY10" s="24" t="n"/>
      <c r="AZ10" s="24" t="n"/>
      <c r="BA10" s="24" t="n"/>
      <c r="BB10" s="24" t="n"/>
      <c r="BC10" s="24" t="n"/>
      <c r="BD10" s="24" t="n"/>
      <c r="BE10" s="24" t="n"/>
      <c r="BF10" s="24" t="n"/>
      <c r="BG10" s="24" t="n"/>
      <c r="BH10" s="24" t="n"/>
      <c r="BI10" s="24" t="n"/>
      <c r="BJ10" s="25" t="n"/>
      <c r="BK10" s="26" t="n"/>
      <c r="BL10" s="27" t="n"/>
      <c r="BM10" s="28" t="n"/>
      <c r="BN10" s="28" t="n"/>
      <c r="BO10" s="28" t="n"/>
      <c r="BP10" s="25" t="n"/>
      <c r="BQ10" s="27" t="n"/>
      <c r="BR10" s="28" t="n"/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  <c r="CP10" s="24" t="n"/>
      <c r="CQ10" s="24" t="n"/>
      <c r="CR10" s="24" t="n"/>
      <c r="CS10" s="24" t="n"/>
      <c r="CT10" s="24" t="n"/>
      <c r="CU10" s="24" t="n"/>
      <c r="CV10" s="24" t="n"/>
      <c r="CW10" s="24" t="n"/>
      <c r="CX10" s="24" t="n"/>
      <c r="CY10" s="24" t="n"/>
      <c r="CZ10" s="24" t="n"/>
      <c r="DA10" s="24" t="n"/>
      <c r="DB10" s="24" t="n"/>
      <c r="DC10" s="24" t="n"/>
      <c r="DD10" s="24" t="n"/>
      <c r="DE10" s="24" t="n"/>
      <c r="DF10" s="24" t="n"/>
      <c r="DG10" s="24" t="n"/>
      <c r="DH10" s="24" t="n"/>
      <c r="DI10" s="24" t="n"/>
      <c r="DJ10" s="24" t="n"/>
      <c r="DK10" s="24" t="n"/>
      <c r="DL10" s="24" t="n"/>
      <c r="DM10" s="24" t="n"/>
      <c r="DN10" s="24" t="n"/>
      <c r="DO10" s="24" t="n"/>
      <c r="DP10" s="24" t="n"/>
    </row>
    <row r="11" ht="36" customHeight="1">
      <c r="A11" s="24" t="inlineStr">
        <is>
          <t>d079b635da374a66</t>
        </is>
      </c>
      <c r="B11" s="24" t="inlineStr">
        <is>
          <t>2026-08-30T06:02:56.655238Z</t>
        </is>
      </c>
      <c r="C11" s="24" t="inlineStr">
        <is>
          <t>2026-08-30T17:00Z</t>
        </is>
      </c>
      <c r="D11" s="24" t="inlineStr">
        <is>
          <t>aec-atp-tobsam-tommac-2026-08-30</t>
        </is>
      </c>
      <c r="E11" s="24" t="inlineStr">
        <is>
          <t>TENNIS</t>
        </is>
      </c>
      <c r="F11" s="24" t="inlineStr">
        <is>
          <t>Tomas Machac</t>
        </is>
      </c>
      <c r="G11" s="24" t="inlineStr">
        <is>
          <t>Toby Samuel</t>
        </is>
      </c>
      <c r="H11" s="24" t="inlineStr">
        <is>
          <t>moneyline</t>
        </is>
      </c>
      <c r="I11" s="24" t="inlineStr">
        <is>
          <t>away</t>
        </is>
      </c>
      <c r="J11" s="25" t="n"/>
      <c r="K11" s="24" t="inlineStr">
        <is>
          <t>polymarket_us</t>
        </is>
      </c>
      <c r="L11" s="26" t="n">
        <v>127</v>
      </c>
      <c r="M11" s="27" t="n">
        <v>2.27</v>
      </c>
      <c r="N11" s="28" t="n">
        <v>0.4405</v>
      </c>
      <c r="O11" s="28" t="n">
        <v>0.5571</v>
      </c>
      <c r="P11" s="28" t="n"/>
      <c r="Q11" s="28" t="n">
        <v>0.1166</v>
      </c>
      <c r="R11" s="26" t="n"/>
      <c r="S11" s="29" t="n">
        <v>1.5</v>
      </c>
      <c r="T11" s="24" t="inlineStr">
        <is>
          <t>tennis-surface-elo-v1</t>
        </is>
      </c>
      <c r="U11" s="24" t="inlineStr">
        <is>
          <t>settled</t>
        </is>
      </c>
      <c r="V11" s="24" t="inlineStr">
        <is>
          <t>loss</t>
        </is>
      </c>
      <c r="W11" s="26" t="n"/>
      <c r="X11" s="26" t="n">
        <v>1</v>
      </c>
      <c r="Y11" s="25" t="n"/>
      <c r="Z11" s="26" t="n"/>
      <c r="AA11" s="28" t="n"/>
      <c r="AB11" s="28" t="n"/>
      <c r="AC11" s="30" t="n">
        <v>-1.5</v>
      </c>
      <c r="AD11" s="24" t="inlineStr">
        <is>
          <t>2026-08-30T21:02:17.739705Z</t>
        </is>
      </c>
      <c r="AE11" s="31" t="inlineStr">
        <is>
          <t>Auto-Buyer order C67ZDSG88KDM on aec-atp-tobsam-tommac-2026-08-30 (short)</t>
        </is>
      </c>
      <c r="AF11" s="31" t="n"/>
      <c r="AG11" s="24" t="n"/>
      <c r="AH11" s="24" t="n"/>
      <c r="AI11" s="31" t="n"/>
      <c r="AJ11" s="31" t="n"/>
      <c r="AK11" s="24" t="n"/>
      <c r="AL11" s="26" t="n">
        <v>4</v>
      </c>
      <c r="AM11" s="24" t="inlineStr">
        <is>
          <t>decision</t>
        </is>
      </c>
      <c r="AN11" s="24" t="inlineStr">
        <is>
          <t>take</t>
        </is>
      </c>
      <c r="AO11" s="24" t="inlineStr">
        <is>
          <t>AUTO_BUYER_EXECUTION</t>
        </is>
      </c>
      <c r="AP11" s="24" t="n"/>
      <c r="AQ11" s="24" t="n"/>
      <c r="AR11" s="24" t="n"/>
      <c r="AS11" s="24" t="n"/>
      <c r="AT11" s="24" t="n"/>
      <c r="AU11" s="24" t="n"/>
      <c r="AV11" s="24" t="n"/>
      <c r="AW11" s="24" t="n"/>
      <c r="AX11" s="24" t="n"/>
      <c r="AY11" s="24" t="n"/>
      <c r="AZ11" s="24" t="n"/>
      <c r="BA11" s="24" t="n"/>
      <c r="BB11" s="24" t="n"/>
      <c r="BC11" s="24" t="n"/>
      <c r="BD11" s="24" t="n"/>
      <c r="BE11" s="24" t="n"/>
      <c r="BF11" s="24" t="n"/>
      <c r="BG11" s="24" t="n"/>
      <c r="BH11" s="24" t="n"/>
      <c r="BI11" s="24" t="n"/>
      <c r="BJ11" s="25" t="n"/>
      <c r="BK11" s="26" t="n"/>
      <c r="BL11" s="27" t="n"/>
      <c r="BM11" s="28" t="n"/>
      <c r="BN11" s="28" t="n"/>
      <c r="BO11" s="28" t="n"/>
      <c r="BP11" s="25" t="n"/>
      <c r="BQ11" s="27" t="n"/>
      <c r="BR11" s="28" t="n"/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  <c r="CP11" s="24" t="n"/>
      <c r="CQ11" s="24" t="n"/>
      <c r="CR11" s="24" t="n"/>
      <c r="CS11" s="24" t="n"/>
      <c r="CT11" s="24" t="n"/>
      <c r="CU11" s="24" t="n"/>
      <c r="CV11" s="24" t="n"/>
      <c r="CW11" s="24" t="n"/>
      <c r="CX11" s="24" t="n"/>
      <c r="CY11" s="24" t="n"/>
      <c r="CZ11" s="24" t="n"/>
      <c r="DA11" s="24" t="n"/>
      <c r="DB11" s="24" t="n"/>
      <c r="DC11" s="24" t="n"/>
      <c r="DD11" s="24" t="n"/>
      <c r="DE11" s="24" t="n"/>
      <c r="DF11" s="24" t="n"/>
      <c r="DG11" s="24" t="n"/>
      <c r="DH11" s="24" t="n"/>
      <c r="DI11" s="24" t="n"/>
      <c r="DJ11" s="24" t="n"/>
      <c r="DK11" s="24" t="n"/>
      <c r="DL11" s="24" t="n"/>
      <c r="DM11" s="24" t="n"/>
      <c r="DN11" s="24" t="n"/>
      <c r="DO11" s="24" t="n"/>
      <c r="DP11" s="24" t="n"/>
    </row>
    <row r="12" ht="36" customHeight="1">
      <c r="A12" s="24" t="inlineStr">
        <is>
          <t>529d1b2434a0406e</t>
        </is>
      </c>
      <c r="B12" s="24" t="inlineStr">
        <is>
          <t>2026-08-30T06:02:57.273565Z</t>
        </is>
      </c>
      <c r="C12" s="24" t="inlineStr">
        <is>
          <t>2026-08-30T17:00Z</t>
        </is>
      </c>
      <c r="D12" s="24" t="inlineStr">
        <is>
          <t>aec-atp-jaumun-teratm-2026-08-30</t>
        </is>
      </c>
      <c r="E12" s="24" t="inlineStr">
        <is>
          <t>TENNIS</t>
        </is>
      </c>
      <c r="F12" s="24" t="inlineStr">
        <is>
          <t>Terence Atmane</t>
        </is>
      </c>
      <c r="G12" s="24" t="inlineStr">
        <is>
          <t>Jaume Munar</t>
        </is>
      </c>
      <c r="H12" s="24" t="inlineStr">
        <is>
          <t>moneyline</t>
        </is>
      </c>
      <c r="I12" s="24" t="inlineStr">
        <is>
          <t>home</t>
        </is>
      </c>
      <c r="J12" s="25" t="n"/>
      <c r="K12" s="24" t="inlineStr">
        <is>
          <t>polymarket_us</t>
        </is>
      </c>
      <c r="L12" s="26" t="n">
        <v>163</v>
      </c>
      <c r="M12" s="27" t="n">
        <v>2.63</v>
      </c>
      <c r="N12" s="28" t="n">
        <v>0.3704</v>
      </c>
      <c r="O12" s="28" t="n">
        <v>0.5177</v>
      </c>
      <c r="P12" s="28" t="n"/>
      <c r="Q12" s="28" t="n">
        <v>0.1473</v>
      </c>
      <c r="R12" s="26" t="n"/>
      <c r="S12" s="29" t="n">
        <v>1.75</v>
      </c>
      <c r="T12" s="24" t="inlineStr">
        <is>
          <t>tennis-surface-elo-v1</t>
        </is>
      </c>
      <c r="U12" s="24" t="inlineStr">
        <is>
          <t>settled</t>
        </is>
      </c>
      <c r="V12" s="24" t="inlineStr">
        <is>
          <t>win</t>
        </is>
      </c>
      <c r="W12" s="26" t="n"/>
      <c r="X12" s="26" t="n">
        <v>1</v>
      </c>
      <c r="Y12" s="25" t="n"/>
      <c r="Z12" s="26" t="n"/>
      <c r="AA12" s="28" t="n"/>
      <c r="AB12" s="28" t="n"/>
      <c r="AC12" s="30" t="n">
        <v>2.86</v>
      </c>
      <c r="AD12" s="24" t="inlineStr">
        <is>
          <t>2026-08-31T01:47:49.455874Z</t>
        </is>
      </c>
      <c r="AE12" s="31" t="inlineStr">
        <is>
          <t>Auto-Buyer order C67YHJAPJKDN on aec-atp-jaumun-teratm-2026-08-30 (long)</t>
        </is>
      </c>
      <c r="AF12" s="31" t="n"/>
      <c r="AG12" s="24" t="n"/>
      <c r="AH12" s="24" t="n"/>
      <c r="AI12" s="31" t="n"/>
      <c r="AJ12" s="31" t="n"/>
      <c r="AK12" s="24" t="n"/>
      <c r="AL12" s="26" t="n">
        <v>4</v>
      </c>
      <c r="AM12" s="24" t="inlineStr">
        <is>
          <t>decision</t>
        </is>
      </c>
      <c r="AN12" s="24" t="inlineStr">
        <is>
          <t>take</t>
        </is>
      </c>
      <c r="AO12" s="24" t="inlineStr">
        <is>
          <t>AUTO_BUYER_EXECUTION</t>
        </is>
      </c>
      <c r="AP12" s="24" t="n"/>
      <c r="AQ12" s="24" t="n"/>
      <c r="AR12" s="24" t="n"/>
      <c r="AS12" s="24" t="n"/>
      <c r="AT12" s="24" t="n"/>
      <c r="AU12" s="24" t="n"/>
      <c r="AV12" s="24" t="n"/>
      <c r="AW12" s="24" t="n"/>
      <c r="AX12" s="24" t="n"/>
      <c r="AY12" s="24" t="n"/>
      <c r="AZ12" s="24" t="n"/>
      <c r="BA12" s="24" t="n"/>
      <c r="BB12" s="24" t="n"/>
      <c r="BC12" s="24" t="n"/>
      <c r="BD12" s="24" t="n"/>
      <c r="BE12" s="24" t="n"/>
      <c r="BF12" s="24" t="n"/>
      <c r="BG12" s="24" t="n"/>
      <c r="BH12" s="24" t="n"/>
      <c r="BI12" s="24" t="n"/>
      <c r="BJ12" s="25" t="n"/>
      <c r="BK12" s="26" t="n"/>
      <c r="BL12" s="27" t="n"/>
      <c r="BM12" s="28" t="n"/>
      <c r="BN12" s="28" t="n"/>
      <c r="BO12" s="28" t="n"/>
      <c r="BP12" s="25" t="n"/>
      <c r="BQ12" s="27" t="n"/>
      <c r="BR12" s="28" t="n"/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n"/>
      <c r="CD12" s="24" t="n"/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  <c r="CN12" s="24" t="n"/>
      <c r="CO12" s="24" t="n"/>
      <c r="CP12" s="24" t="n"/>
      <c r="CQ12" s="24" t="n"/>
      <c r="CR12" s="24" t="n"/>
      <c r="CS12" s="24" t="n"/>
      <c r="CT12" s="24" t="n"/>
      <c r="CU12" s="24" t="n"/>
      <c r="CV12" s="24" t="n"/>
      <c r="CW12" s="24" t="n"/>
      <c r="CX12" s="24" t="n"/>
      <c r="CY12" s="24" t="n"/>
      <c r="CZ12" s="24" t="n"/>
      <c r="DA12" s="24" t="n"/>
      <c r="DB12" s="24" t="n"/>
      <c r="DC12" s="24" t="n"/>
      <c r="DD12" s="24" t="n"/>
      <c r="DE12" s="24" t="n"/>
      <c r="DF12" s="24" t="n"/>
      <c r="DG12" s="24" t="n"/>
      <c r="DH12" s="24" t="n"/>
      <c r="DI12" s="24" t="n"/>
      <c r="DJ12" s="24" t="n"/>
      <c r="DK12" s="24" t="n"/>
      <c r="DL12" s="24" t="n"/>
      <c r="DM12" s="24" t="n"/>
      <c r="DN12" s="24" t="n"/>
      <c r="DO12" s="24" t="n"/>
      <c r="DP12" s="24" t="n"/>
    </row>
    <row r="13" ht="36" customHeight="1">
      <c r="A13" s="24" t="inlineStr">
        <is>
          <t>099c4ddcb6b2497c</t>
        </is>
      </c>
      <c r="B13" s="24" t="inlineStr">
        <is>
          <t>2026-08-30T06:02:58.150641Z</t>
        </is>
      </c>
      <c r="C13" s="24" t="inlineStr">
        <is>
          <t>2026-08-30T18:00Z</t>
        </is>
      </c>
      <c r="D13" s="24" t="inlineStr">
        <is>
          <t>aec-atp-jaifar-jenbro-2026-08-30</t>
        </is>
      </c>
      <c r="E13" s="24" t="inlineStr">
        <is>
          <t>TENNIS</t>
        </is>
      </c>
      <c r="F13" s="24" t="inlineStr">
        <is>
          <t>Jenson Brooksby</t>
        </is>
      </c>
      <c r="G13" s="24" t="inlineStr">
        <is>
          <t>Jaime Faria</t>
        </is>
      </c>
      <c r="H13" s="24" t="inlineStr">
        <is>
          <t>moneyline</t>
        </is>
      </c>
      <c r="I13" s="24" t="inlineStr">
        <is>
          <t>home</t>
        </is>
      </c>
      <c r="J13" s="25" t="n"/>
      <c r="K13" s="24" t="inlineStr">
        <is>
          <t>polymarket_us</t>
        </is>
      </c>
      <c r="L13" s="26" t="n">
        <v>104</v>
      </c>
      <c r="M13" s="27" t="n">
        <v>2.04</v>
      </c>
      <c r="N13" s="28" t="n">
        <v>0.4808</v>
      </c>
      <c r="O13" s="28" t="n">
        <v>0.611</v>
      </c>
      <c r="P13" s="28" t="n"/>
      <c r="Q13" s="28" t="n">
        <v>0.1302</v>
      </c>
      <c r="R13" s="26" t="n"/>
      <c r="S13" s="29" t="n">
        <v>1.5</v>
      </c>
      <c r="T13" s="24" t="inlineStr">
        <is>
          <t>tennis-surface-elo-v1</t>
        </is>
      </c>
      <c r="U13" s="24" t="inlineStr">
        <is>
          <t>settled</t>
        </is>
      </c>
      <c r="V13" s="24" t="inlineStr">
        <is>
          <t>win</t>
        </is>
      </c>
      <c r="W13" s="26" t="n"/>
      <c r="X13" s="26" t="n">
        <v>1</v>
      </c>
      <c r="Y13" s="25" t="n"/>
      <c r="Z13" s="26" t="n"/>
      <c r="AA13" s="28" t="n"/>
      <c r="AB13" s="28" t="n"/>
      <c r="AC13" s="30" t="n">
        <v>1.56</v>
      </c>
      <c r="AD13" s="24" t="inlineStr">
        <is>
          <t>2026-08-31T01:47:49.455874Z</t>
        </is>
      </c>
      <c r="AE13" s="31" t="inlineStr">
        <is>
          <t>Auto-Buyer order C67ZDSGFTKDM on aec-atp-jaifar-jenbro-2026-08-30 (long)</t>
        </is>
      </c>
      <c r="AF13" s="31" t="n"/>
      <c r="AG13" s="24" t="n"/>
      <c r="AH13" s="24" t="n"/>
      <c r="AI13" s="31" t="n"/>
      <c r="AJ13" s="31" t="n"/>
      <c r="AK13" s="24" t="n"/>
      <c r="AL13" s="26" t="n">
        <v>4</v>
      </c>
      <c r="AM13" s="24" t="inlineStr">
        <is>
          <t>decision</t>
        </is>
      </c>
      <c r="AN13" s="24" t="inlineStr">
        <is>
          <t>take</t>
        </is>
      </c>
      <c r="AO13" s="24" t="inlineStr">
        <is>
          <t>AUTO_BUYER_EXECUTION</t>
        </is>
      </c>
      <c r="AP13" s="24" t="n"/>
      <c r="AQ13" s="24" t="n"/>
      <c r="AR13" s="24" t="n"/>
      <c r="AS13" s="24" t="n"/>
      <c r="AT13" s="24" t="n"/>
      <c r="AU13" s="24" t="n"/>
      <c r="AV13" s="24" t="n"/>
      <c r="AW13" s="24" t="n"/>
      <c r="AX13" s="24" t="n"/>
      <c r="AY13" s="24" t="n"/>
      <c r="AZ13" s="24" t="n"/>
      <c r="BA13" s="24" t="n"/>
      <c r="BB13" s="24" t="n"/>
      <c r="BC13" s="24" t="n"/>
      <c r="BD13" s="24" t="n"/>
      <c r="BE13" s="24" t="n"/>
      <c r="BF13" s="24" t="n"/>
      <c r="BG13" s="24" t="n"/>
      <c r="BH13" s="24" t="n"/>
      <c r="BI13" s="24" t="n"/>
      <c r="BJ13" s="25" t="n"/>
      <c r="BK13" s="26" t="n"/>
      <c r="BL13" s="27" t="n"/>
      <c r="BM13" s="28" t="n"/>
      <c r="BN13" s="28" t="n"/>
      <c r="BO13" s="28" t="n"/>
      <c r="BP13" s="25" t="n"/>
      <c r="BQ13" s="27" t="n"/>
      <c r="BR13" s="28" t="n"/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n"/>
      <c r="CD13" s="24" t="n"/>
      <c r="CE13" s="24" t="n"/>
      <c r="CF13" s="24" t="n"/>
      <c r="CG13" s="24" t="n"/>
      <c r="CH13" s="24" t="n"/>
      <c r="CI13" s="24" t="n"/>
      <c r="CJ13" s="24" t="n"/>
      <c r="CK13" s="24" t="n"/>
      <c r="CL13" s="24" t="n"/>
      <c r="CM13" s="24" t="n"/>
      <c r="CN13" s="24" t="n"/>
      <c r="CO13" s="24" t="n"/>
      <c r="CP13" s="24" t="n"/>
      <c r="CQ13" s="24" t="n"/>
      <c r="CR13" s="24" t="n"/>
      <c r="CS13" s="24" t="n"/>
      <c r="CT13" s="24" t="n"/>
      <c r="CU13" s="24" t="n"/>
      <c r="CV13" s="24" t="n"/>
      <c r="CW13" s="24" t="n"/>
      <c r="CX13" s="24" t="n"/>
      <c r="CY13" s="24" t="n"/>
      <c r="CZ13" s="24" t="n"/>
      <c r="DA13" s="24" t="n"/>
      <c r="DB13" s="24" t="n"/>
      <c r="DC13" s="24" t="n"/>
      <c r="DD13" s="24" t="n"/>
      <c r="DE13" s="24" t="n"/>
      <c r="DF13" s="24" t="n"/>
      <c r="DG13" s="24" t="n"/>
      <c r="DH13" s="24" t="n"/>
      <c r="DI13" s="24" t="n"/>
      <c r="DJ13" s="24" t="n"/>
      <c r="DK13" s="24" t="n"/>
      <c r="DL13" s="24" t="n"/>
      <c r="DM13" s="24" t="n"/>
      <c r="DN13" s="24" t="n"/>
      <c r="DO13" s="24" t="n"/>
      <c r="DP13" s="24" t="n"/>
    </row>
    <row r="14" ht="36" customHeight="1">
      <c r="A14" s="24" t="inlineStr">
        <is>
          <t>a0dd03c2498f4fad</t>
        </is>
      </c>
      <c r="B14" s="24" t="inlineStr">
        <is>
          <t>2026-08-30T06:02:59.174012Z</t>
        </is>
      </c>
      <c r="C14" s="24" t="inlineStr">
        <is>
          <t>2026-08-30T15:00:00-0400</t>
        </is>
      </c>
      <c r="D14" s="24" t="inlineStr">
        <is>
          <t>aec-wnba-min-atl-2026-08-30</t>
        </is>
      </c>
      <c r="E14" s="24" t="inlineStr">
        <is>
          <t>WNBA</t>
        </is>
      </c>
      <c r="F14" s="24" t="inlineStr">
        <is>
          <t>Minnesota Lynx</t>
        </is>
      </c>
      <c r="G14" s="24" t="inlineStr">
        <is>
          <t>Atlanta Dream</t>
        </is>
      </c>
      <c r="H14" s="24" t="inlineStr">
        <is>
          <t>moneyline</t>
        </is>
      </c>
      <c r="I14" s="24" t="inlineStr">
        <is>
          <t>away</t>
        </is>
      </c>
      <c r="J14" s="25" t="n"/>
      <c r="K14" s="24" t="inlineStr">
        <is>
          <t>polymarket_us</t>
        </is>
      </c>
      <c r="L14" s="26" t="n">
        <v>-133</v>
      </c>
      <c r="M14" s="27" t="n">
        <v>1.7519</v>
      </c>
      <c r="N14" s="28" t="n">
        <v>0.5708</v>
      </c>
      <c r="O14" s="28" t="n">
        <v>0.6181</v>
      </c>
      <c r="P14" s="28" t="n"/>
      <c r="Q14" s="28" t="n">
        <v>0.0473</v>
      </c>
      <c r="R14" s="26" t="n"/>
      <c r="S14" s="29" t="n">
        <v>1</v>
      </c>
      <c r="T14" s="24" t="inlineStr">
        <is>
          <t>wnba-elo-trend-lr-v4</t>
        </is>
      </c>
      <c r="U14" s="24" t="inlineStr">
        <is>
          <t>settled</t>
        </is>
      </c>
      <c r="V14" s="24" t="inlineStr">
        <is>
          <t>loss</t>
        </is>
      </c>
      <c r="W14" s="26" t="n">
        <v>81</v>
      </c>
      <c r="X14" s="26" t="n">
        <v>89</v>
      </c>
      <c r="Y14" s="25" t="n"/>
      <c r="Z14" s="26" t="n"/>
      <c r="AA14" s="28" t="n"/>
      <c r="AB14" s="28" t="n"/>
      <c r="AC14" s="30" t="n">
        <v>-1</v>
      </c>
      <c r="AD14" s="24" t="inlineStr">
        <is>
          <t>2026-08-30T21:29:23.578191Z</t>
        </is>
      </c>
      <c r="AE14" s="31" t="inlineStr">
        <is>
          <t>Auto-Buyer order C67ZBV73MKDK on aec-wnba-min-atl-2026-08-30 (long)</t>
        </is>
      </c>
      <c r="AF14" s="31" t="n"/>
      <c r="AG14" s="24" t="n"/>
      <c r="AH14" s="24" t="n"/>
      <c r="AI14" s="31" t="n"/>
      <c r="AJ14" s="31" t="n"/>
      <c r="AK14" s="24" t="n"/>
      <c r="AL14" s="26" t="n">
        <v>4</v>
      </c>
      <c r="AM14" s="24" t="inlineStr">
        <is>
          <t>decision</t>
        </is>
      </c>
      <c r="AN14" s="24" t="inlineStr">
        <is>
          <t>take</t>
        </is>
      </c>
      <c r="AO14" s="24" t="inlineStr">
        <is>
          <t>AUTO_BUYER_EXECUTION</t>
        </is>
      </c>
      <c r="AP14" s="24" t="n"/>
      <c r="AQ14" s="24" t="n"/>
      <c r="AR14" s="24" t="n"/>
      <c r="AS14" s="24" t="n"/>
      <c r="AT14" s="24" t="n"/>
      <c r="AU14" s="24" t="n"/>
      <c r="AV14" s="24" t="n"/>
      <c r="AW14" s="24" t="n"/>
      <c r="AX14" s="24" t="n"/>
      <c r="AY14" s="24" t="n"/>
      <c r="AZ14" s="24" t="n"/>
      <c r="BA14" s="24" t="n"/>
      <c r="BB14" s="24" t="n"/>
      <c r="BC14" s="24" t="n"/>
      <c r="BD14" s="24" t="n"/>
      <c r="BE14" s="24" t="n"/>
      <c r="BF14" s="24" t="n"/>
      <c r="BG14" s="24" t="n"/>
      <c r="BH14" s="24" t="n"/>
      <c r="BI14" s="24" t="n"/>
      <c r="BJ14" s="25" t="n"/>
      <c r="BK14" s="26" t="n"/>
      <c r="BL14" s="27" t="n"/>
      <c r="BM14" s="28" t="n"/>
      <c r="BN14" s="28" t="n"/>
      <c r="BO14" s="28" t="n"/>
      <c r="BP14" s="25" t="n"/>
      <c r="BQ14" s="27" t="n"/>
      <c r="BR14" s="28" t="n"/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  <c r="CC14" s="24" t="n"/>
      <c r="CD14" s="24" t="n"/>
      <c r="CE14" s="24" t="n"/>
      <c r="CF14" s="24" t="n"/>
      <c r="CG14" s="24" t="n"/>
      <c r="CH14" s="24" t="n"/>
      <c r="CI14" s="24" t="n"/>
      <c r="CJ14" s="24" t="n"/>
      <c r="CK14" s="24" t="n"/>
      <c r="CL14" s="24" t="n"/>
      <c r="CM14" s="24" t="n"/>
      <c r="CN14" s="24" t="n"/>
      <c r="CO14" s="24" t="n"/>
      <c r="CP14" s="24" t="n"/>
      <c r="CQ14" s="24" t="n"/>
      <c r="CR14" s="24" t="n"/>
      <c r="CS14" s="24" t="n"/>
      <c r="CT14" s="24" t="n"/>
      <c r="CU14" s="24" t="n"/>
      <c r="CV14" s="24" t="n"/>
      <c r="CW14" s="24" t="n"/>
      <c r="CX14" s="24" t="n"/>
      <c r="CY14" s="24" t="n"/>
      <c r="CZ14" s="24" t="n"/>
      <c r="DA14" s="24" t="n"/>
      <c r="DB14" s="24" t="n"/>
      <c r="DC14" s="24" t="n"/>
      <c r="DD14" s="24" t="n"/>
      <c r="DE14" s="24" t="n"/>
      <c r="DF14" s="24" t="n"/>
      <c r="DG14" s="24" t="n"/>
      <c r="DH14" s="24" t="n"/>
      <c r="DI14" s="24" t="n"/>
      <c r="DJ14" s="24" t="n"/>
      <c r="DK14" s="24" t="n"/>
      <c r="DL14" s="24" t="n"/>
      <c r="DM14" s="24" t="n"/>
      <c r="DN14" s="24" t="n"/>
      <c r="DO14" s="24" t="n"/>
      <c r="DP14" s="24" t="n"/>
    </row>
    <row r="15" ht="36" customHeight="1">
      <c r="A15" s="24" t="inlineStr">
        <is>
          <t>aede39cec74b4535</t>
        </is>
      </c>
      <c r="B15" s="24" t="inlineStr">
        <is>
          <t>2026-08-30T06:07:00.428352Z</t>
        </is>
      </c>
      <c r="C15" s="24" t="inlineStr">
        <is>
          <t>2026-08-30T20:07Z</t>
        </is>
      </c>
      <c r="D15" s="24" t="inlineStr">
        <is>
          <t>tsc-mlb-phi-laa-2026-08-30-8pt5</t>
        </is>
      </c>
      <c r="E15" s="24" t="inlineStr">
        <is>
          <t>MLB</t>
        </is>
      </c>
      <c r="F15" s="24" t="inlineStr">
        <is>
          <t>Philadelphia Phillies</t>
        </is>
      </c>
      <c r="G15" s="24" t="inlineStr">
        <is>
          <t>Los Angeles Angels</t>
        </is>
      </c>
      <c r="H15" s="24" t="inlineStr">
        <is>
          <t>total</t>
        </is>
      </c>
      <c r="I15" s="24" t="inlineStr">
        <is>
          <t>over</t>
        </is>
      </c>
      <c r="J15" s="25" t="n"/>
      <c r="K15" s="24" t="inlineStr">
        <is>
          <t>polymarket_us</t>
        </is>
      </c>
      <c r="L15" s="26" t="n">
        <v>113</v>
      </c>
      <c r="M15" s="27" t="n">
        <v>2.13</v>
      </c>
      <c r="N15" s="28" t="n">
        <v>0.4695</v>
      </c>
      <c r="O15" s="28" t="n">
        <v>0.5269</v>
      </c>
      <c r="P15" s="28" t="n"/>
      <c r="Q15" s="28" t="n">
        <v>0.0569</v>
      </c>
      <c r="R15" s="26" t="n"/>
      <c r="S15" s="29" t="n">
        <v>1</v>
      </c>
      <c r="T15" s="24" t="inlineStr">
        <is>
          <t>measured-edge-totals-v3</t>
        </is>
      </c>
      <c r="U15" s="24" t="inlineStr">
        <is>
          <t>settled</t>
        </is>
      </c>
      <c r="V15" s="24" t="inlineStr">
        <is>
          <t>loss</t>
        </is>
      </c>
      <c r="W15" s="26" t="n">
        <v>5</v>
      </c>
      <c r="X15" s="26" t="n">
        <v>2</v>
      </c>
      <c r="Y15" s="25" t="n"/>
      <c r="Z15" s="26" t="n"/>
      <c r="AA15" s="28" t="n"/>
      <c r="AB15" s="28" t="n"/>
      <c r="AC15" s="30" t="n">
        <v>-1</v>
      </c>
      <c r="AD15" s="24" t="inlineStr">
        <is>
          <t>2026-08-31T01:47:49.455874Z</t>
        </is>
      </c>
      <c r="AE15" s="31" t="inlineStr">
        <is>
          <t>Auto-Buyer order C6820XSTTKDH on tsc-mlb-phi-laa-2026-08-30-8pt5 (long)</t>
        </is>
      </c>
      <c r="AF15" s="31" t="n"/>
      <c r="AG15" s="24" t="n"/>
      <c r="AH15" s="24" t="n"/>
      <c r="AI15" s="31" t="n"/>
      <c r="AJ15" s="31" t="n"/>
      <c r="AK15" s="24" t="n"/>
      <c r="AL15" s="26" t="n">
        <v>4</v>
      </c>
      <c r="AM15" s="24" t="inlineStr">
        <is>
          <t>decision</t>
        </is>
      </c>
      <c r="AN15" s="24" t="inlineStr">
        <is>
          <t>take</t>
        </is>
      </c>
      <c r="AO15" s="24" t="inlineStr">
        <is>
          <t>AUTO_BUYER_EXECUTION</t>
        </is>
      </c>
      <c r="AP15" s="24" t="n"/>
      <c r="AQ15" s="24" t="n"/>
      <c r="AR15" s="24" t="n"/>
      <c r="AS15" s="24" t="n"/>
      <c r="AT15" s="24" t="n"/>
      <c r="AU15" s="24" t="n"/>
      <c r="AV15" s="24" t="n"/>
      <c r="AW15" s="24" t="n"/>
      <c r="AX15" s="24" t="n"/>
      <c r="AY15" s="24" t="n"/>
      <c r="AZ15" s="24" t="n"/>
      <c r="BA15" s="24" t="n"/>
      <c r="BB15" s="24" t="n"/>
      <c r="BC15" s="24" t="n"/>
      <c r="BD15" s="24" t="n"/>
      <c r="BE15" s="24" t="n"/>
      <c r="BF15" s="24" t="n"/>
      <c r="BG15" s="24" t="n"/>
      <c r="BH15" s="24" t="n"/>
      <c r="BI15" s="24" t="n"/>
      <c r="BJ15" s="25" t="n"/>
      <c r="BK15" s="26" t="n"/>
      <c r="BL15" s="27" t="n"/>
      <c r="BM15" s="28" t="n"/>
      <c r="BN15" s="28" t="n"/>
      <c r="BO15" s="28" t="n"/>
      <c r="BP15" s="25" t="n"/>
      <c r="BQ15" s="27" t="n"/>
      <c r="BR15" s="28" t="n"/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24" t="n"/>
      <c r="CO15" s="24" t="n"/>
      <c r="CP15" s="24" t="n"/>
      <c r="CQ15" s="24" t="n"/>
      <c r="CR15" s="24" t="n"/>
      <c r="CS15" s="24" t="n"/>
      <c r="CT15" s="24" t="n"/>
      <c r="CU15" s="24" t="n"/>
      <c r="CV15" s="24" t="n"/>
      <c r="CW15" s="24" t="n"/>
      <c r="CX15" s="24" t="n"/>
      <c r="CY15" s="24" t="n"/>
      <c r="CZ15" s="24" t="n"/>
      <c r="DA15" s="24" t="n"/>
      <c r="DB15" s="24" t="n"/>
      <c r="DC15" s="24" t="n"/>
      <c r="DD15" s="24" t="n"/>
      <c r="DE15" s="24" t="n"/>
      <c r="DF15" s="24" t="n"/>
      <c r="DG15" s="24" t="n"/>
      <c r="DH15" s="24" t="n"/>
      <c r="DI15" s="24" t="n"/>
      <c r="DJ15" s="24" t="n"/>
      <c r="DK15" s="24" t="n"/>
      <c r="DL15" s="24" t="n"/>
      <c r="DM15" s="24" t="n"/>
      <c r="DN15" s="24" t="n"/>
      <c r="DO15" s="24" t="n"/>
      <c r="DP15" s="24" t="n"/>
    </row>
    <row r="16" ht="36" customHeight="1">
      <c r="A16" s="24" t="inlineStr">
        <is>
          <t>130de6b451334384</t>
        </is>
      </c>
      <c r="B16" s="24" t="inlineStr">
        <is>
          <t>2026-08-30T07:18:37.484216Z</t>
        </is>
      </c>
      <c r="C16" s="24" t="inlineStr">
        <is>
          <t>2026-08-30T20:30Z</t>
        </is>
      </c>
      <c r="D16" s="24" t="inlineStr">
        <is>
          <t>aec-wta-taypre-alypar-2026-08-30</t>
        </is>
      </c>
      <c r="E16" s="24" t="inlineStr">
        <is>
          <t>TENNIS</t>
        </is>
      </c>
      <c r="F16" s="24" t="inlineStr">
        <is>
          <t>Alycia Parks</t>
        </is>
      </c>
      <c r="G16" s="24" t="inlineStr">
        <is>
          <t>Taylah Preston</t>
        </is>
      </c>
      <c r="H16" s="24" t="inlineStr">
        <is>
          <t>moneyline</t>
        </is>
      </c>
      <c r="I16" s="24" t="inlineStr">
        <is>
          <t>away</t>
        </is>
      </c>
      <c r="J16" s="25" t="n"/>
      <c r="K16" s="24" t="inlineStr">
        <is>
          <t>polymarket_us</t>
        </is>
      </c>
      <c r="L16" s="26" t="n">
        <v>-104</v>
      </c>
      <c r="M16" s="27" t="n">
        <v>1.9615</v>
      </c>
      <c r="N16" s="28" t="n">
        <v>0.5098</v>
      </c>
      <c r="O16" s="28" t="n">
        <v>0.6473</v>
      </c>
      <c r="P16" s="28" t="n"/>
      <c r="Q16" s="28" t="n">
        <v>0.1373</v>
      </c>
      <c r="R16" s="26" t="n"/>
      <c r="S16" s="29" t="n">
        <v>1.5</v>
      </c>
      <c r="T16" s="24" t="inlineStr">
        <is>
          <t>tennis-surface-elo-v1</t>
        </is>
      </c>
      <c r="U16" s="24" t="inlineStr">
        <is>
          <t>settled</t>
        </is>
      </c>
      <c r="V16" s="24" t="inlineStr">
        <is>
          <t>loss</t>
        </is>
      </c>
      <c r="W16" s="26" t="n"/>
      <c r="X16" s="26" t="n">
        <v>1</v>
      </c>
      <c r="Y16" s="25" t="n"/>
      <c r="Z16" s="26" t="n"/>
      <c r="AA16" s="28" t="n"/>
      <c r="AB16" s="28" t="n"/>
      <c r="AC16" s="30" t="n">
        <v>-1.5</v>
      </c>
      <c r="AD16" s="24" t="inlineStr">
        <is>
          <t>2026-08-31T01:47:49.455874Z</t>
        </is>
      </c>
      <c r="AE16" s="31" t="inlineStr">
        <is>
          <t>Auto-Buyer order C692W60FGKDN on aec-wta-taypre-alypar-2026-08-30 (short)</t>
        </is>
      </c>
      <c r="AF16" s="31" t="n"/>
      <c r="AG16" s="24" t="n"/>
      <c r="AH16" s="24" t="n"/>
      <c r="AI16" s="31" t="n"/>
      <c r="AJ16" s="31" t="n"/>
      <c r="AK16" s="24" t="n"/>
      <c r="AL16" s="26" t="n">
        <v>4</v>
      </c>
      <c r="AM16" s="24" t="inlineStr">
        <is>
          <t>decision</t>
        </is>
      </c>
      <c r="AN16" s="24" t="inlineStr">
        <is>
          <t>take</t>
        </is>
      </c>
      <c r="AO16" s="24" t="inlineStr">
        <is>
          <t>AUTO_BUYER_EXECUTION</t>
        </is>
      </c>
      <c r="AP16" s="24" t="n"/>
      <c r="AQ16" s="24" t="n"/>
      <c r="AR16" s="24" t="n"/>
      <c r="AS16" s="24" t="n"/>
      <c r="AT16" s="24" t="n"/>
      <c r="AU16" s="24" t="n"/>
      <c r="AV16" s="24" t="n"/>
      <c r="AW16" s="24" t="n"/>
      <c r="AX16" s="24" t="n"/>
      <c r="AY16" s="24" t="n"/>
      <c r="AZ16" s="24" t="n"/>
      <c r="BA16" s="24" t="n"/>
      <c r="BB16" s="24" t="n"/>
      <c r="BC16" s="24" t="n"/>
      <c r="BD16" s="24" t="n"/>
      <c r="BE16" s="24" t="n"/>
      <c r="BF16" s="24" t="n"/>
      <c r="BG16" s="24" t="n"/>
      <c r="BH16" s="24" t="n"/>
      <c r="BI16" s="24" t="n"/>
      <c r="BJ16" s="25" t="n"/>
      <c r="BK16" s="26" t="n"/>
      <c r="BL16" s="27" t="n"/>
      <c r="BM16" s="28" t="n"/>
      <c r="BN16" s="28" t="n"/>
      <c r="BO16" s="28" t="n"/>
      <c r="BP16" s="25" t="n"/>
      <c r="BQ16" s="27" t="n"/>
      <c r="BR16" s="28" t="n"/>
      <c r="BS16" s="28" t="n"/>
      <c r="BT16" s="28" t="n"/>
      <c r="BU16" s="25" t="n"/>
      <c r="BV16" s="29" t="n"/>
      <c r="BW16" s="24" t="n"/>
      <c r="BX16" s="30" t="n"/>
      <c r="BY16" s="27" t="n"/>
      <c r="BZ16" s="24" t="n"/>
      <c r="CA16" s="31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24" t="n"/>
      <c r="CO16" s="24" t="n"/>
      <c r="CP16" s="24" t="n"/>
      <c r="CQ16" s="24" t="n"/>
      <c r="CR16" s="24" t="n"/>
      <c r="CS16" s="24" t="n"/>
      <c r="CT16" s="24" t="n"/>
      <c r="CU16" s="24" t="n"/>
      <c r="CV16" s="24" t="n"/>
      <c r="CW16" s="24" t="n"/>
      <c r="CX16" s="24" t="n"/>
      <c r="CY16" s="24" t="n"/>
      <c r="CZ16" s="24" t="n"/>
      <c r="DA16" s="24" t="n"/>
      <c r="DB16" s="24" t="n"/>
      <c r="DC16" s="24" t="n"/>
      <c r="DD16" s="24" t="n"/>
      <c r="DE16" s="24" t="n"/>
      <c r="DF16" s="24" t="n"/>
      <c r="DG16" s="24" t="n"/>
      <c r="DH16" s="24" t="n"/>
      <c r="DI16" s="24" t="n"/>
      <c r="DJ16" s="24" t="n"/>
      <c r="DK16" s="24" t="n"/>
      <c r="DL16" s="24" t="n"/>
      <c r="DM16" s="24" t="n"/>
      <c r="DN16" s="24" t="n"/>
      <c r="DO16" s="24" t="n"/>
      <c r="DP16" s="24" t="n"/>
    </row>
    <row r="17" ht="36" customHeight="1">
      <c r="A17" s="24" t="inlineStr">
        <is>
          <t>9f2dbfa77b394b7a</t>
        </is>
      </c>
      <c r="B17" s="24" t="inlineStr">
        <is>
          <t>2026-08-30T07:18:37.484216Z</t>
        </is>
      </c>
      <c r="C17" s="24" t="inlineStr">
        <is>
          <t>2026-08-30T20:30Z</t>
        </is>
      </c>
      <c r="D17" s="24" t="inlineStr">
        <is>
          <t>aec-wta-kimbir-petmar-2026-08-30</t>
        </is>
      </c>
      <c r="E17" s="24" t="inlineStr">
        <is>
          <t>TENNIS</t>
        </is>
      </c>
      <c r="F17" s="24" t="inlineStr">
        <is>
          <t>Petra Marcinko</t>
        </is>
      </c>
      <c r="G17" s="24" t="inlineStr">
        <is>
          <t>Kimberly Birrell</t>
        </is>
      </c>
      <c r="H17" s="24" t="inlineStr">
        <is>
          <t>moneyline</t>
        </is>
      </c>
      <c r="I17" s="24" t="inlineStr">
        <is>
          <t>home</t>
        </is>
      </c>
      <c r="J17" s="25" t="n"/>
      <c r="K17" s="24" t="inlineStr">
        <is>
          <t>polymarket_us</t>
        </is>
      </c>
      <c r="L17" s="26" t="n">
        <v>-104</v>
      </c>
      <c r="M17" s="27" t="n">
        <v>1.9615</v>
      </c>
      <c r="N17" s="28" t="n">
        <v>0.5098</v>
      </c>
      <c r="O17" s="28" t="n">
        <v>0.5659</v>
      </c>
      <c r="P17" s="28" t="n"/>
      <c r="Q17" s="28" t="n">
        <v>0.0559</v>
      </c>
      <c r="R17" s="26" t="n"/>
      <c r="S17" s="29" t="n">
        <v>1</v>
      </c>
      <c r="T17" s="24" t="inlineStr">
        <is>
          <t>tennis-surface-elo-v1</t>
        </is>
      </c>
      <c r="U17" s="24" t="inlineStr">
        <is>
          <t>settled</t>
        </is>
      </c>
      <c r="V17" s="24" t="inlineStr">
        <is>
          <t>win</t>
        </is>
      </c>
      <c r="W17" s="26" t="n"/>
      <c r="X17" s="26" t="n">
        <v>1</v>
      </c>
      <c r="Y17" s="25" t="n"/>
      <c r="Z17" s="26" t="n"/>
      <c r="AA17" s="28" t="n"/>
      <c r="AB17" s="28" t="n"/>
      <c r="AC17" s="30" t="n">
        <v>0.96</v>
      </c>
      <c r="AD17" s="24" t="inlineStr">
        <is>
          <t>2026-08-31T18:41:38.707356Z</t>
        </is>
      </c>
      <c r="AE17" s="31" t="inlineStr">
        <is>
          <t>Auto-Buyer order C692JEFHCKDF on aec-wta-kimbir-petmar-2026-08-30 (long)</t>
        </is>
      </c>
      <c r="AF17" s="31" t="n"/>
      <c r="AG17" s="24" t="n"/>
      <c r="AH17" s="24" t="n"/>
      <c r="AI17" s="31" t="n"/>
      <c r="AJ17" s="31" t="n"/>
      <c r="AK17" s="24" t="n"/>
      <c r="AL17" s="26" t="n">
        <v>4</v>
      </c>
      <c r="AM17" s="24" t="inlineStr">
        <is>
          <t>decision</t>
        </is>
      </c>
      <c r="AN17" s="24" t="inlineStr">
        <is>
          <t>take</t>
        </is>
      </c>
      <c r="AO17" s="24" t="inlineStr">
        <is>
          <t>AUTO_BUYER_EXECUTION</t>
        </is>
      </c>
      <c r="AP17" s="24" t="n"/>
      <c r="AQ17" s="24" t="n"/>
      <c r="AR17" s="24" t="n"/>
      <c r="AS17" s="24" t="n"/>
      <c r="AT17" s="24" t="n"/>
      <c r="AU17" s="24" t="n"/>
      <c r="AV17" s="24" t="n"/>
      <c r="AW17" s="24" t="n"/>
      <c r="AX17" s="24" t="n"/>
      <c r="AY17" s="24" t="n"/>
      <c r="AZ17" s="24" t="n"/>
      <c r="BA17" s="24" t="n"/>
      <c r="BB17" s="24" t="n"/>
      <c r="BC17" s="24" t="n"/>
      <c r="BD17" s="24" t="n"/>
      <c r="BE17" s="24" t="n"/>
      <c r="BF17" s="24" t="n"/>
      <c r="BG17" s="24" t="n"/>
      <c r="BH17" s="24" t="n"/>
      <c r="BI17" s="24" t="n"/>
      <c r="BJ17" s="25" t="n"/>
      <c r="BK17" s="26" t="n"/>
      <c r="BL17" s="27" t="n"/>
      <c r="BM17" s="28" t="n"/>
      <c r="BN17" s="28" t="n"/>
      <c r="BO17" s="28" t="n"/>
      <c r="BP17" s="25" t="n"/>
      <c r="BQ17" s="27" t="n"/>
      <c r="BR17" s="28" t="n"/>
      <c r="BS17" s="28" t="n"/>
      <c r="BT17" s="28" t="n"/>
      <c r="BU17" s="25" t="n"/>
      <c r="BV17" s="29" t="n"/>
      <c r="BW17" s="24" t="n"/>
      <c r="BX17" s="30" t="n"/>
      <c r="BY17" s="27" t="n"/>
      <c r="BZ17" s="24" t="n"/>
      <c r="CA17" s="31" t="n"/>
      <c r="CB17" s="24" t="n"/>
      <c r="CC17" s="24" t="n"/>
      <c r="CD17" s="24" t="n"/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  <c r="CN17" s="24" t="n"/>
      <c r="CO17" s="24" t="n"/>
      <c r="CP17" s="24" t="n"/>
      <c r="CQ17" s="24" t="n"/>
      <c r="CR17" s="24" t="n"/>
      <c r="CS17" s="24" t="n"/>
      <c r="CT17" s="24" t="n"/>
      <c r="CU17" s="24" t="n"/>
      <c r="CV17" s="24" t="n"/>
      <c r="CW17" s="24" t="n"/>
      <c r="CX17" s="24" t="n"/>
      <c r="CY17" s="24" t="n"/>
      <c r="CZ17" s="24" t="n"/>
      <c r="DA17" s="24" t="n"/>
      <c r="DB17" s="24" t="n"/>
      <c r="DC17" s="24" t="n"/>
      <c r="DD17" s="24" t="n"/>
      <c r="DE17" s="24" t="n"/>
      <c r="DF17" s="24" t="n"/>
      <c r="DG17" s="24" t="n"/>
      <c r="DH17" s="24" t="n"/>
      <c r="DI17" s="24" t="n"/>
      <c r="DJ17" s="24" t="n"/>
      <c r="DK17" s="24" t="n"/>
      <c r="DL17" s="24" t="n"/>
      <c r="DM17" s="24" t="n"/>
      <c r="DN17" s="24" t="n"/>
      <c r="DO17" s="24" t="n"/>
      <c r="DP17" s="24" t="n"/>
    </row>
    <row r="18" ht="36" customHeight="1">
      <c r="A18" s="24" t="inlineStr">
        <is>
          <t>31dd4e8b89f9429b</t>
        </is>
      </c>
      <c r="B18" s="24" t="inlineStr">
        <is>
          <t>2026-08-30T16:14:53.453516Z</t>
        </is>
      </c>
      <c r="C18" s="24" t="inlineStr">
        <is>
          <t>2026-08-30T19:00:00-0400</t>
        </is>
      </c>
      <c r="D18" s="24" t="inlineStr">
        <is>
          <t>aec-wnba-gsv-por-2026-08-30</t>
        </is>
      </c>
      <c r="E18" s="24" t="inlineStr">
        <is>
          <t>WNBA</t>
        </is>
      </c>
      <c r="F18" s="24" t="inlineStr">
        <is>
          <t>Golden State Valkyries</t>
        </is>
      </c>
      <c r="G18" s="24" t="inlineStr">
        <is>
          <t>Portland Fire</t>
        </is>
      </c>
      <c r="H18" s="24" t="inlineStr">
        <is>
          <t>moneyline</t>
        </is>
      </c>
      <c r="I18" s="24" t="inlineStr">
        <is>
          <t>away</t>
        </is>
      </c>
      <c r="J18" s="25" t="n"/>
      <c r="K18" s="24" t="inlineStr">
        <is>
          <t>polymarket_us</t>
        </is>
      </c>
      <c r="L18" s="26" t="n">
        <v>-203</v>
      </c>
      <c r="M18" s="27" t="n">
        <v>1.4926</v>
      </c>
      <c r="N18" s="28" t="n">
        <v>0.67</v>
      </c>
      <c r="O18" s="28" t="n">
        <v>0.7121</v>
      </c>
      <c r="P18" s="28" t="n"/>
      <c r="Q18" s="28" t="n">
        <v>0.0421</v>
      </c>
      <c r="R18" s="26" t="n"/>
      <c r="S18" s="29" t="n">
        <v>1</v>
      </c>
      <c r="T18" s="24" t="inlineStr">
        <is>
          <t>wnba-elo-trend-lr-v4</t>
        </is>
      </c>
      <c r="U18" s="24" t="inlineStr">
        <is>
          <t>settled</t>
        </is>
      </c>
      <c r="V18" s="24" t="inlineStr">
        <is>
          <t>win</t>
        </is>
      </c>
      <c r="W18" s="26" t="n">
        <v>86</v>
      </c>
      <c r="X18" s="26" t="n">
        <v>69</v>
      </c>
      <c r="Y18" s="25" t="n"/>
      <c r="Z18" s="26" t="n"/>
      <c r="AA18" s="28" t="n"/>
      <c r="AB18" s="28" t="n"/>
      <c r="AC18" s="30" t="n">
        <v>0.49</v>
      </c>
      <c r="AD18" s="24" t="inlineStr">
        <is>
          <t>2026-08-31T01:47:49.455874Z</t>
        </is>
      </c>
      <c r="AE18" s="31" t="inlineStr">
        <is>
          <t>Auto-Buyer order C6GTC588TKDK on aec-wnba-gsv-por-2026-08-30 (long)</t>
        </is>
      </c>
      <c r="AF18" s="31" t="n"/>
      <c r="AG18" s="24" t="n"/>
      <c r="AH18" s="24" t="n"/>
      <c r="AI18" s="31" t="n"/>
      <c r="AJ18" s="31" t="n"/>
      <c r="AK18" s="24" t="n"/>
      <c r="AL18" s="26" t="n">
        <v>4</v>
      </c>
      <c r="AM18" s="24" t="inlineStr">
        <is>
          <t>decision</t>
        </is>
      </c>
      <c r="AN18" s="24" t="inlineStr">
        <is>
          <t>take</t>
        </is>
      </c>
      <c r="AO18" s="24" t="inlineStr">
        <is>
          <t>AUTO_BUYER_EXECUTION</t>
        </is>
      </c>
      <c r="AP18" s="24" t="n"/>
      <c r="AQ18" s="24" t="n"/>
      <c r="AR18" s="24" t="n"/>
      <c r="AS18" s="24" t="n"/>
      <c r="AT18" s="24" t="n"/>
      <c r="AU18" s="24" t="n"/>
      <c r="AV18" s="24" t="n"/>
      <c r="AW18" s="24" t="n"/>
      <c r="AX18" s="24" t="n"/>
      <c r="AY18" s="24" t="n"/>
      <c r="AZ18" s="24" t="n"/>
      <c r="BA18" s="24" t="n"/>
      <c r="BB18" s="24" t="n"/>
      <c r="BC18" s="24" t="n"/>
      <c r="BD18" s="24" t="n"/>
      <c r="BE18" s="24" t="n"/>
      <c r="BF18" s="24" t="n"/>
      <c r="BG18" s="24" t="n"/>
      <c r="BH18" s="24" t="n"/>
      <c r="BI18" s="24" t="n"/>
      <c r="BJ18" s="25" t="n"/>
      <c r="BK18" s="26" t="n"/>
      <c r="BL18" s="27" t="n"/>
      <c r="BM18" s="28" t="n"/>
      <c r="BN18" s="28" t="n"/>
      <c r="BO18" s="28" t="n"/>
      <c r="BP18" s="25" t="n"/>
      <c r="BQ18" s="27" t="n"/>
      <c r="BR18" s="28" t="n"/>
      <c r="BS18" s="28" t="n"/>
      <c r="BT18" s="28" t="n"/>
      <c r="BU18" s="25" t="n"/>
      <c r="BV18" s="29" t="n"/>
      <c r="BW18" s="24" t="n"/>
      <c r="BX18" s="30" t="n"/>
      <c r="BY18" s="27" t="n"/>
      <c r="BZ18" s="24" t="n"/>
      <c r="CA18" s="31" t="n"/>
      <c r="CB18" s="24" t="n"/>
      <c r="CC18" s="24" t="n"/>
      <c r="CD18" s="24" t="n"/>
      <c r="CE18" s="24" t="n"/>
      <c r="CF18" s="24" t="n"/>
      <c r="CG18" s="24" t="n"/>
      <c r="CH18" s="24" t="n"/>
      <c r="CI18" s="24" t="n"/>
      <c r="CJ18" s="24" t="n"/>
      <c r="CK18" s="24" t="n"/>
      <c r="CL18" s="24" t="n"/>
      <c r="CM18" s="24" t="n"/>
      <c r="CN18" s="24" t="n"/>
      <c r="CO18" s="24" t="n"/>
      <c r="CP18" s="24" t="n"/>
      <c r="CQ18" s="24" t="n"/>
      <c r="CR18" s="24" t="n"/>
      <c r="CS18" s="24" t="n"/>
      <c r="CT18" s="24" t="n"/>
      <c r="CU18" s="24" t="n"/>
      <c r="CV18" s="24" t="n"/>
      <c r="CW18" s="24" t="n"/>
      <c r="CX18" s="24" t="n"/>
      <c r="CY18" s="24" t="n"/>
      <c r="CZ18" s="24" t="n"/>
      <c r="DA18" s="24" t="n"/>
      <c r="DB18" s="24" t="n"/>
      <c r="DC18" s="24" t="n"/>
      <c r="DD18" s="24" t="n"/>
      <c r="DE18" s="24" t="n"/>
      <c r="DF18" s="24" t="n"/>
      <c r="DG18" s="24" t="n"/>
      <c r="DH18" s="24" t="n"/>
      <c r="DI18" s="24" t="n"/>
      <c r="DJ18" s="24" t="n"/>
      <c r="DK18" s="24" t="n"/>
      <c r="DL18" s="24" t="n"/>
      <c r="DM18" s="24" t="n"/>
      <c r="DN18" s="24" t="n"/>
      <c r="DO18" s="24" t="n"/>
      <c r="DP18" s="24" t="n"/>
    </row>
    <row r="19" ht="36" customHeight="1">
      <c r="A19" s="24" t="inlineStr">
        <is>
          <t>5fddbdd2e6544bb6</t>
        </is>
      </c>
      <c r="B19" s="24" t="inlineStr">
        <is>
          <t>2026-08-30T16:14:53.453516Z</t>
        </is>
      </c>
      <c r="C19" s="24" t="inlineStr">
        <is>
          <t>2026-08-31T00:30Z</t>
        </is>
      </c>
      <c r="D19" s="24" t="inlineStr">
        <is>
          <t>aec-atp-alebub-jjwol-2026-08-30</t>
        </is>
      </c>
      <c r="E19" s="24" t="inlineStr">
        <is>
          <t>TENNIS</t>
        </is>
      </c>
      <c r="F19" s="24" t="inlineStr">
        <is>
          <t>J.J. Wolf</t>
        </is>
      </c>
      <c r="G19" s="24" t="inlineStr">
        <is>
          <t>Alexander Bublik</t>
        </is>
      </c>
      <c r="H19" s="24" t="inlineStr">
        <is>
          <t>moneyline</t>
        </is>
      </c>
      <c r="I19" s="24" t="inlineStr">
        <is>
          <t>home</t>
        </is>
      </c>
      <c r="J19" s="25" t="n"/>
      <c r="K19" s="24" t="inlineStr">
        <is>
          <t>polymarket_us</t>
        </is>
      </c>
      <c r="L19" s="26" t="n">
        <v>-223</v>
      </c>
      <c r="M19" s="27" t="n">
        <v>1.4484</v>
      </c>
      <c r="N19" s="28" t="n">
        <v>0.6904</v>
      </c>
      <c r="O19" s="28" t="n">
        <v>0.8061</v>
      </c>
      <c r="P19" s="28" t="n"/>
      <c r="Q19" s="28" t="n">
        <v>0.1161</v>
      </c>
      <c r="R19" s="26" t="n"/>
      <c r="S19" s="29" t="n">
        <v>1.5</v>
      </c>
      <c r="T19" s="24" t="inlineStr">
        <is>
          <t>tennis-surface-elo-v1</t>
        </is>
      </c>
      <c r="U19" s="24" t="inlineStr">
        <is>
          <t>settled</t>
        </is>
      </c>
      <c r="V19" s="24" t="inlineStr">
        <is>
          <t>win</t>
        </is>
      </c>
      <c r="W19" s="26" t="n"/>
      <c r="X19" s="26" t="n">
        <v>1</v>
      </c>
      <c r="Y19" s="25" t="n"/>
      <c r="Z19" s="26" t="n"/>
      <c r="AA19" s="28" t="n"/>
      <c r="AB19" s="28" t="n"/>
      <c r="AC19" s="30" t="n">
        <v>0.67</v>
      </c>
      <c r="AD19" s="24" t="inlineStr">
        <is>
          <t>2026-08-31T01:59:03.295568Z</t>
        </is>
      </c>
      <c r="AE19" s="31" t="inlineStr">
        <is>
          <t>Auto-Buyer order C6GTQAX2AKDH on aec-atp-alebub-jjwol-2026-08-30 (long)</t>
        </is>
      </c>
      <c r="AF19" s="31" t="n"/>
      <c r="AG19" s="24" t="n"/>
      <c r="AH19" s="24" t="n"/>
      <c r="AI19" s="31" t="n"/>
      <c r="AJ19" s="31" t="n"/>
      <c r="AK19" s="24" t="n"/>
      <c r="AL19" s="26" t="n">
        <v>4</v>
      </c>
      <c r="AM19" s="24" t="inlineStr">
        <is>
          <t>decision</t>
        </is>
      </c>
      <c r="AN19" s="24" t="inlineStr">
        <is>
          <t>take</t>
        </is>
      </c>
      <c r="AO19" s="24" t="inlineStr">
        <is>
          <t>AUTO_BUYER_EXECUTION</t>
        </is>
      </c>
      <c r="AP19" s="24" t="n"/>
      <c r="AQ19" s="24" t="n"/>
      <c r="AR19" s="24" t="n"/>
      <c r="AS19" s="24" t="n"/>
      <c r="AT19" s="24" t="n"/>
      <c r="AU19" s="24" t="n"/>
      <c r="AV19" s="24" t="n"/>
      <c r="AW19" s="24" t="n"/>
      <c r="AX19" s="24" t="n"/>
      <c r="AY19" s="24" t="n"/>
      <c r="AZ19" s="24" t="n"/>
      <c r="BA19" s="24" t="n"/>
      <c r="BB19" s="24" t="n"/>
      <c r="BC19" s="24" t="n"/>
      <c r="BD19" s="24" t="n"/>
      <c r="BE19" s="24" t="n"/>
      <c r="BF19" s="24" t="n"/>
      <c r="BG19" s="24" t="n"/>
      <c r="BH19" s="24" t="n"/>
      <c r="BI19" s="24" t="n"/>
      <c r="BJ19" s="25" t="n"/>
      <c r="BK19" s="26" t="n"/>
      <c r="BL19" s="27" t="n"/>
      <c r="BM19" s="28" t="n"/>
      <c r="BN19" s="28" t="n"/>
      <c r="BO19" s="28" t="n"/>
      <c r="BP19" s="25" t="n"/>
      <c r="BQ19" s="27" t="n"/>
      <c r="BR19" s="28" t="n"/>
      <c r="BS19" s="28" t="n"/>
      <c r="BT19" s="28" t="n"/>
      <c r="BU19" s="25" t="n"/>
      <c r="BV19" s="29" t="n"/>
      <c r="BW19" s="24" t="n"/>
      <c r="BX19" s="30" t="n"/>
      <c r="BY19" s="27" t="n"/>
      <c r="BZ19" s="24" t="n"/>
      <c r="CA19" s="31" t="n"/>
      <c r="CB19" s="24" t="n"/>
      <c r="CC19" s="24" t="n"/>
      <c r="CD19" s="24" t="n"/>
      <c r="CE19" s="24" t="n"/>
      <c r="CF19" s="24" t="n"/>
      <c r="CG19" s="24" t="n"/>
      <c r="CH19" s="24" t="n"/>
      <c r="CI19" s="24" t="n"/>
      <c r="CJ19" s="24" t="n"/>
      <c r="CK19" s="24" t="n"/>
      <c r="CL19" s="24" t="n"/>
      <c r="CM19" s="24" t="n"/>
      <c r="CN19" s="24" t="n"/>
      <c r="CO19" s="24" t="n"/>
      <c r="CP19" s="24" t="n"/>
      <c r="CQ19" s="24" t="n"/>
      <c r="CR19" s="24" t="n"/>
      <c r="CS19" s="24" t="n"/>
      <c r="CT19" s="24" t="n"/>
      <c r="CU19" s="24" t="n"/>
      <c r="CV19" s="24" t="n"/>
      <c r="CW19" s="24" t="n"/>
      <c r="CX19" s="24" t="n"/>
      <c r="CY19" s="24" t="n"/>
      <c r="CZ19" s="24" t="n"/>
      <c r="DA19" s="24" t="n"/>
      <c r="DB19" s="24" t="n"/>
      <c r="DC19" s="24" t="n"/>
      <c r="DD19" s="24" t="n"/>
      <c r="DE19" s="24" t="n"/>
      <c r="DF19" s="24" t="n"/>
      <c r="DG19" s="24" t="n"/>
      <c r="DH19" s="24" t="n"/>
      <c r="DI19" s="24" t="n"/>
      <c r="DJ19" s="24" t="n"/>
      <c r="DK19" s="24" t="n"/>
      <c r="DL19" s="24" t="n"/>
      <c r="DM19" s="24" t="n"/>
      <c r="DN19" s="24" t="n"/>
      <c r="DO19" s="24" t="n"/>
      <c r="DP19" s="24" t="n"/>
    </row>
    <row r="20" ht="36" customHeight="1">
      <c r="A20" s="24" t="inlineStr">
        <is>
          <t>a6060a3849e2447f</t>
        </is>
      </c>
      <c r="B20" s="24" t="inlineStr">
        <is>
          <t>2026-08-30T16:22:08.406596Z</t>
        </is>
      </c>
      <c r="C20" s="24" t="inlineStr">
        <is>
          <t>2026-08-30T16:30:00Z</t>
        </is>
      </c>
      <c r="D20" s="24" t="inlineStr">
        <is>
          <t>aec-cs2-ts-furia-2026-08-30</t>
        </is>
      </c>
      <c r="E20" s="24" t="inlineStr">
        <is>
          <t>CS2</t>
        </is>
      </c>
      <c r="F20" s="24" t="inlineStr">
        <is>
          <t>FURIA</t>
        </is>
      </c>
      <c r="G20" s="24" t="inlineStr">
        <is>
          <t>Spirit</t>
        </is>
      </c>
      <c r="H20" s="24" t="inlineStr">
        <is>
          <t>moneyline</t>
        </is>
      </c>
      <c r="I20" s="24" t="inlineStr">
        <is>
          <t>home</t>
        </is>
      </c>
      <c r="J20" s="25" t="n"/>
      <c r="K20" s="24" t="inlineStr">
        <is>
          <t>polymarket_us</t>
        </is>
      </c>
      <c r="L20" s="26" t="n">
        <v>-186</v>
      </c>
      <c r="M20" s="27" t="n">
        <v>1.5376</v>
      </c>
      <c r="N20" s="28" t="n">
        <v>0.6503</v>
      </c>
      <c r="O20" s="28" t="n">
        <v>0.6995</v>
      </c>
      <c r="P20" s="28" t="n"/>
      <c r="Q20" s="28" t="n">
        <v>0.0495</v>
      </c>
      <c r="R20" s="26" t="n"/>
      <c r="S20" s="29" t="n">
        <v>1</v>
      </c>
      <c r="T20" s="24" t="inlineStr">
        <is>
          <t>cs2-tiered-elo-v6</t>
        </is>
      </c>
      <c r="U20" s="24" t="inlineStr">
        <is>
          <t>settled</t>
        </is>
      </c>
      <c r="V20" s="24" t="inlineStr">
        <is>
          <t>win</t>
        </is>
      </c>
      <c r="W20" s="26" t="n"/>
      <c r="X20" s="26" t="n"/>
      <c r="Y20" s="25" t="n"/>
      <c r="Z20" s="26" t="n"/>
      <c r="AA20" s="28" t="n"/>
      <c r="AB20" s="28" t="n"/>
      <c r="AC20" s="30" t="n">
        <v>0.54</v>
      </c>
      <c r="AD20" s="24" t="inlineStr">
        <is>
          <t>2026-08-31T16:02:25.134027Z</t>
        </is>
      </c>
      <c r="AE20" s="31" t="inlineStr">
        <is>
          <t>Auto-Buyer order C6GXVJ778KDG on aec-cs2-ts-furia-2026-08-30 (long)</t>
        </is>
      </c>
      <c r="AF20" s="31" t="n"/>
      <c r="AG20" s="24" t="n"/>
      <c r="AH20" s="24" t="n"/>
      <c r="AI20" s="31" t="n"/>
      <c r="AJ20" s="31" t="n"/>
      <c r="AK20" s="24" t="n"/>
      <c r="AL20" s="26" t="n">
        <v>4</v>
      </c>
      <c r="AM20" s="24" t="inlineStr">
        <is>
          <t>decision</t>
        </is>
      </c>
      <c r="AN20" s="24" t="inlineStr">
        <is>
          <t>take</t>
        </is>
      </c>
      <c r="AO20" s="24" t="inlineStr">
        <is>
          <t>AUTO_BUYER_EXECUTION</t>
        </is>
      </c>
      <c r="AP20" s="24" t="n"/>
      <c r="AQ20" s="24" t="n"/>
      <c r="AR20" s="24" t="n"/>
      <c r="AS20" s="24" t="n"/>
      <c r="AT20" s="24" t="n"/>
      <c r="AU20" s="24" t="n"/>
      <c r="AV20" s="24" t="n"/>
      <c r="AW20" s="24" t="n"/>
      <c r="AX20" s="24" t="n"/>
      <c r="AY20" s="24" t="n"/>
      <c r="AZ20" s="24" t="n"/>
      <c r="BA20" s="24" t="n"/>
      <c r="BB20" s="24" t="n"/>
      <c r="BC20" s="24" t="n"/>
      <c r="BD20" s="24" t="n"/>
      <c r="BE20" s="24" t="n"/>
      <c r="BF20" s="24" t="n"/>
      <c r="BG20" s="24" t="n"/>
      <c r="BH20" s="24" t="n"/>
      <c r="BI20" s="24" t="n"/>
      <c r="BJ20" s="25" t="n"/>
      <c r="BK20" s="26" t="n"/>
      <c r="BL20" s="27" t="n"/>
      <c r="BM20" s="28" t="n"/>
      <c r="BN20" s="28" t="n"/>
      <c r="BO20" s="28" t="n"/>
      <c r="BP20" s="25" t="n"/>
      <c r="BQ20" s="27" t="n"/>
      <c r="BR20" s="28" t="n"/>
      <c r="BS20" s="28" t="n"/>
      <c r="BT20" s="28" t="n"/>
      <c r="BU20" s="25" t="n"/>
      <c r="BV20" s="29" t="n"/>
      <c r="BW20" s="24" t="n"/>
      <c r="BX20" s="30" t="n"/>
      <c r="BY20" s="27" t="n"/>
      <c r="BZ20" s="24" t="n"/>
      <c r="CA20" s="31" t="n"/>
      <c r="CB20" s="24" t="n"/>
      <c r="CC20" s="24" t="n"/>
      <c r="CD20" s="24" t="n"/>
      <c r="CE20" s="24" t="n"/>
      <c r="CF20" s="24" t="n"/>
      <c r="CG20" s="24" t="n"/>
      <c r="CH20" s="24" t="n"/>
      <c r="CI20" s="24" t="n"/>
      <c r="CJ20" s="24" t="n"/>
      <c r="CK20" s="24" t="n"/>
      <c r="CL20" s="24" t="n"/>
      <c r="CM20" s="24" t="n"/>
      <c r="CN20" s="24" t="n"/>
      <c r="CO20" s="24" t="n"/>
      <c r="CP20" s="24" t="n"/>
      <c r="CQ20" s="24" t="n"/>
      <c r="CR20" s="24" t="n"/>
      <c r="CS20" s="24" t="n"/>
      <c r="CT20" s="24" t="n"/>
      <c r="CU20" s="24" t="n"/>
      <c r="CV20" s="24" t="n"/>
      <c r="CW20" s="24" t="n"/>
      <c r="CX20" s="24" t="n"/>
      <c r="CY20" s="24" t="n"/>
      <c r="CZ20" s="24" t="n"/>
      <c r="DA20" s="24" t="n"/>
      <c r="DB20" s="24" t="n"/>
      <c r="DC20" s="24" t="n"/>
      <c r="DD20" s="24" t="n"/>
      <c r="DE20" s="24" t="n"/>
      <c r="DF20" s="24" t="n"/>
      <c r="DG20" s="24" t="n"/>
      <c r="DH20" s="24" t="n"/>
      <c r="DI20" s="24" t="n"/>
      <c r="DJ20" s="24" t="n"/>
      <c r="DK20" s="24" t="n"/>
      <c r="DL20" s="24" t="n"/>
      <c r="DM20" s="24" t="n"/>
      <c r="DN20" s="24" t="n"/>
      <c r="DO20" s="24" t="n"/>
      <c r="DP20" s="24" t="n"/>
    </row>
    <row r="21" ht="36" customHeight="1">
      <c r="A21" s="24" t="inlineStr">
        <is>
          <t>2d250bfe28394dcd</t>
        </is>
      </c>
      <c r="B21" s="24" t="inlineStr">
        <is>
          <t>2026-08-30T16:22:08.406596Z</t>
        </is>
      </c>
      <c r="C21" s="24" t="inlineStr">
        <is>
          <t>2026-08-30T17:00:00Z</t>
        </is>
      </c>
      <c r="D21" s="24" t="inlineStr">
        <is>
          <t>aec-cs2-pcific-atr-2026-08-30</t>
        </is>
      </c>
      <c r="E21" s="24" t="inlineStr">
        <is>
          <t>CS2</t>
        </is>
      </c>
      <c r="F21" s="24" t="inlineStr">
        <is>
          <t>Atreides</t>
        </is>
      </c>
      <c r="G21" s="24" t="inlineStr">
        <is>
          <t>WRAITH PCIFIC</t>
        </is>
      </c>
      <c r="H21" s="24" t="inlineStr">
        <is>
          <t>moneyline</t>
        </is>
      </c>
      <c r="I21" s="24" t="inlineStr">
        <is>
          <t>home</t>
        </is>
      </c>
      <c r="J21" s="25" t="n"/>
      <c r="K21" s="24" t="inlineStr">
        <is>
          <t>polymarket_us</t>
        </is>
      </c>
      <c r="L21" s="26" t="n">
        <v>117</v>
      </c>
      <c r="M21" s="27" t="n">
        <v>2.17</v>
      </c>
      <c r="N21" s="28" t="n">
        <v>0.4608</v>
      </c>
      <c r="O21" s="28" t="n">
        <v>0.5986</v>
      </c>
      <c r="P21" s="28" t="n"/>
      <c r="Q21" s="28" t="n">
        <v>0.1386</v>
      </c>
      <c r="R21" s="26" t="n"/>
      <c r="S21" s="29" t="n">
        <v>1.5</v>
      </c>
      <c r="T21" s="24" t="inlineStr">
        <is>
          <t>cs2-tiered-elo-v6</t>
        </is>
      </c>
      <c r="U21" s="24" t="inlineStr">
        <is>
          <t>settled</t>
        </is>
      </c>
      <c r="V21" s="24" t="inlineStr">
        <is>
          <t>loss</t>
        </is>
      </c>
      <c r="W21" s="26" t="n"/>
      <c r="X21" s="26" t="n"/>
      <c r="Y21" s="25" t="n"/>
      <c r="Z21" s="26" t="n"/>
      <c r="AA21" s="28" t="n"/>
      <c r="AB21" s="28" t="n"/>
      <c r="AC21" s="30" t="n">
        <v>-1.5</v>
      </c>
      <c r="AD21" s="24" t="inlineStr">
        <is>
          <t>2026-08-31T04:02:34.026411Z</t>
        </is>
      </c>
      <c r="AE21" s="31" t="inlineStr">
        <is>
          <t>Auto-Buyer order C6GYB4MW4KDH on aec-cs2-pcific-atr-2026-08-30 (long)</t>
        </is>
      </c>
      <c r="AF21" s="31" t="n"/>
      <c r="AG21" s="24" t="n"/>
      <c r="AH21" s="24" t="n"/>
      <c r="AI21" s="31" t="n"/>
      <c r="AJ21" s="31" t="n"/>
      <c r="AK21" s="24" t="n"/>
      <c r="AL21" s="26" t="n">
        <v>4</v>
      </c>
      <c r="AM21" s="24" t="inlineStr">
        <is>
          <t>decision</t>
        </is>
      </c>
      <c r="AN21" s="24" t="inlineStr">
        <is>
          <t>take</t>
        </is>
      </c>
      <c r="AO21" s="24" t="inlineStr">
        <is>
          <t>AUTO_BUYER_EXECUTION</t>
        </is>
      </c>
      <c r="AP21" s="24" t="n"/>
      <c r="AQ21" s="24" t="n"/>
      <c r="AR21" s="24" t="n"/>
      <c r="AS21" s="24" t="n"/>
      <c r="AT21" s="24" t="n"/>
      <c r="AU21" s="24" t="n"/>
      <c r="AV21" s="24" t="n"/>
      <c r="AW21" s="24" t="n"/>
      <c r="AX21" s="24" t="n"/>
      <c r="AY21" s="24" t="n"/>
      <c r="AZ21" s="24" t="n"/>
      <c r="BA21" s="24" t="n"/>
      <c r="BB21" s="24" t="n"/>
      <c r="BC21" s="24" t="n"/>
      <c r="BD21" s="24" t="n"/>
      <c r="BE21" s="24" t="n"/>
      <c r="BF21" s="24" t="n"/>
      <c r="BG21" s="24" t="n"/>
      <c r="BH21" s="24" t="n"/>
      <c r="BI21" s="24" t="n"/>
      <c r="BJ21" s="25" t="n"/>
      <c r="BK21" s="26" t="n"/>
      <c r="BL21" s="27" t="n"/>
      <c r="BM21" s="28" t="n"/>
      <c r="BN21" s="28" t="n"/>
      <c r="BO21" s="28" t="n"/>
      <c r="BP21" s="25" t="n"/>
      <c r="BQ21" s="27" t="n"/>
      <c r="BR21" s="28" t="n"/>
      <c r="BS21" s="28" t="n"/>
      <c r="BT21" s="28" t="n"/>
      <c r="BU21" s="25" t="n"/>
      <c r="BV21" s="29" t="n"/>
      <c r="BW21" s="24" t="n"/>
      <c r="BX21" s="30" t="n"/>
      <c r="BY21" s="27" t="n"/>
      <c r="BZ21" s="24" t="n"/>
      <c r="CA21" s="31" t="n"/>
      <c r="CB21" s="24" t="n"/>
      <c r="CC21" s="24" t="n"/>
      <c r="CD21" s="24" t="n"/>
      <c r="CE21" s="24" t="n"/>
      <c r="CF21" s="24" t="n"/>
      <c r="CG21" s="24" t="n"/>
      <c r="CH21" s="24" t="n"/>
      <c r="CI21" s="24" t="n"/>
      <c r="CJ21" s="24" t="n"/>
      <c r="CK21" s="24" t="n"/>
      <c r="CL21" s="24" t="n"/>
      <c r="CM21" s="24" t="n"/>
      <c r="CN21" s="24" t="n"/>
      <c r="CO21" s="24" t="n"/>
      <c r="CP21" s="24" t="n"/>
      <c r="CQ21" s="24" t="n"/>
      <c r="CR21" s="24" t="n"/>
      <c r="CS21" s="24" t="n"/>
      <c r="CT21" s="24" t="n"/>
      <c r="CU21" s="24" t="n"/>
      <c r="CV21" s="24" t="n"/>
      <c r="CW21" s="24" t="n"/>
      <c r="CX21" s="24" t="n"/>
      <c r="CY21" s="24" t="n"/>
      <c r="CZ21" s="24" t="n"/>
      <c r="DA21" s="24" t="n"/>
      <c r="DB21" s="24" t="n"/>
      <c r="DC21" s="24" t="n"/>
      <c r="DD21" s="24" t="n"/>
      <c r="DE21" s="24" t="n"/>
      <c r="DF21" s="24" t="n"/>
      <c r="DG21" s="24" t="n"/>
      <c r="DH21" s="24" t="n"/>
      <c r="DI21" s="24" t="n"/>
      <c r="DJ21" s="24" t="n"/>
      <c r="DK21" s="24" t="n"/>
      <c r="DL21" s="24" t="n"/>
      <c r="DM21" s="24" t="n"/>
      <c r="DN21" s="24" t="n"/>
      <c r="DO21" s="24" t="n"/>
      <c r="DP21" s="24" t="n"/>
    </row>
    <row r="22" ht="36" customHeight="1">
      <c r="A22" s="24" t="inlineStr">
        <is>
          <t>43a1c1f036ca46ac</t>
        </is>
      </c>
      <c r="B22" s="24" t="inlineStr">
        <is>
          <t>2026-08-30T16:22:08.406596Z</t>
        </is>
      </c>
      <c r="C22" s="24" t="inlineStr">
        <is>
          <t>2026-08-30T18:00:00Z</t>
        </is>
      </c>
      <c r="D22" s="24" t="inlineStr">
        <is>
          <t>aec-cs2-ezt-bw-2026-08-30</t>
        </is>
      </c>
      <c r="E22" s="24" t="inlineStr">
        <is>
          <t>CS2</t>
        </is>
      </c>
      <c r="F22" s="24" t="inlineStr">
        <is>
          <t>Bushido Wildcats</t>
        </is>
      </c>
      <c r="G22" s="24" t="inlineStr">
        <is>
          <t>ex-Zero Tenacity</t>
        </is>
      </c>
      <c r="H22" s="24" t="inlineStr">
        <is>
          <t>moneyline</t>
        </is>
      </c>
      <c r="I22" s="24" t="inlineStr">
        <is>
          <t>home</t>
        </is>
      </c>
      <c r="J22" s="25" t="n"/>
      <c r="K22" s="24" t="inlineStr">
        <is>
          <t>polymarket_us</t>
        </is>
      </c>
      <c r="L22" s="26" t="n">
        <v>-108</v>
      </c>
      <c r="M22" s="27" t="n">
        <v>1.9259</v>
      </c>
      <c r="N22" s="28" t="n">
        <v>0.5192</v>
      </c>
      <c r="O22" s="28" t="n">
        <v>0.6874</v>
      </c>
      <c r="P22" s="28" t="n"/>
      <c r="Q22" s="28" t="n">
        <v>0.1674</v>
      </c>
      <c r="R22" s="26" t="n"/>
      <c r="S22" s="29" t="n">
        <v>1.75</v>
      </c>
      <c r="T22" s="24" t="inlineStr">
        <is>
          <t>cs2-tiered-elo-v6</t>
        </is>
      </c>
      <c r="U22" s="24" t="inlineStr">
        <is>
          <t>settled</t>
        </is>
      </c>
      <c r="V22" s="24" t="inlineStr">
        <is>
          <t>win</t>
        </is>
      </c>
      <c r="W22" s="26" t="n"/>
      <c r="X22" s="26" t="n"/>
      <c r="Y22" s="25" t="n"/>
      <c r="Z22" s="26" t="n"/>
      <c r="AA22" s="28" t="n"/>
      <c r="AB22" s="28" t="n"/>
      <c r="AC22" s="30" t="n">
        <v>1.62</v>
      </c>
      <c r="AD22" s="24" t="inlineStr">
        <is>
          <t>2026-08-31T04:01:24.010499Z</t>
        </is>
      </c>
      <c r="AE22" s="31" t="inlineStr">
        <is>
          <t>Auto-Buyer order C6GXGZS7TKDC on aec-cs2-ezt-bw-2026-08-30 (long)</t>
        </is>
      </c>
      <c r="AF22" s="31" t="n"/>
      <c r="AG22" s="24" t="n"/>
      <c r="AH22" s="24" t="n"/>
      <c r="AI22" s="31" t="n"/>
      <c r="AJ22" s="31" t="n"/>
      <c r="AK22" s="24" t="n"/>
      <c r="AL22" s="26" t="n">
        <v>4</v>
      </c>
      <c r="AM22" s="24" t="inlineStr">
        <is>
          <t>decision</t>
        </is>
      </c>
      <c r="AN22" s="24" t="inlineStr">
        <is>
          <t>take</t>
        </is>
      </c>
      <c r="AO22" s="24" t="inlineStr">
        <is>
          <t>AUTO_BUYER_EXECUTION</t>
        </is>
      </c>
      <c r="AP22" s="24" t="n"/>
      <c r="AQ22" s="24" t="n"/>
      <c r="AR22" s="24" t="n"/>
      <c r="AS22" s="24" t="n"/>
      <c r="AT22" s="24" t="n"/>
      <c r="AU22" s="24" t="n"/>
      <c r="AV22" s="24" t="n"/>
      <c r="AW22" s="24" t="n"/>
      <c r="AX22" s="24" t="n"/>
      <c r="AY22" s="24" t="n"/>
      <c r="AZ22" s="24" t="n"/>
      <c r="BA22" s="24" t="n"/>
      <c r="BB22" s="24" t="n"/>
      <c r="BC22" s="24" t="n"/>
      <c r="BD22" s="24" t="n"/>
      <c r="BE22" s="24" t="n"/>
      <c r="BF22" s="24" t="n"/>
      <c r="BG22" s="24" t="n"/>
      <c r="BH22" s="24" t="n"/>
      <c r="BI22" s="24" t="n"/>
      <c r="BJ22" s="25" t="n"/>
      <c r="BK22" s="26" t="n"/>
      <c r="BL22" s="27" t="n"/>
      <c r="BM22" s="28" t="n"/>
      <c r="BN22" s="28" t="n"/>
      <c r="BO22" s="28" t="n"/>
      <c r="BP22" s="25" t="n"/>
      <c r="BQ22" s="27" t="n"/>
      <c r="BR22" s="28" t="n"/>
      <c r="BS22" s="28" t="n"/>
      <c r="BT22" s="28" t="n"/>
      <c r="BU22" s="25" t="n"/>
      <c r="BV22" s="29" t="n"/>
      <c r="BW22" s="24" t="n"/>
      <c r="BX22" s="30" t="n"/>
      <c r="BY22" s="27" t="n"/>
      <c r="BZ22" s="24" t="n"/>
      <c r="CA22" s="31" t="n"/>
      <c r="CB22" s="24" t="n"/>
      <c r="CC22" s="24" t="n"/>
      <c r="CD22" s="24" t="n"/>
      <c r="CE22" s="24" t="n"/>
      <c r="CF22" s="24" t="n"/>
      <c r="CG22" s="24" t="n"/>
      <c r="CH22" s="24" t="n"/>
      <c r="CI22" s="24" t="n"/>
      <c r="CJ22" s="24" t="n"/>
      <c r="CK22" s="24" t="n"/>
      <c r="CL22" s="24" t="n"/>
      <c r="CM22" s="24" t="n"/>
      <c r="CN22" s="24" t="n"/>
      <c r="CO22" s="24" t="n"/>
      <c r="CP22" s="24" t="n"/>
      <c r="CQ22" s="24" t="n"/>
      <c r="CR22" s="24" t="n"/>
      <c r="CS22" s="24" t="n"/>
      <c r="CT22" s="24" t="n"/>
      <c r="CU22" s="24" t="n"/>
      <c r="CV22" s="24" t="n"/>
      <c r="CW22" s="24" t="n"/>
      <c r="CX22" s="24" t="n"/>
      <c r="CY22" s="24" t="n"/>
      <c r="CZ22" s="24" t="n"/>
      <c r="DA22" s="24" t="n"/>
      <c r="DB22" s="24" t="n"/>
      <c r="DC22" s="24" t="n"/>
      <c r="DD22" s="24" t="n"/>
      <c r="DE22" s="24" t="n"/>
      <c r="DF22" s="24" t="n"/>
      <c r="DG22" s="24" t="n"/>
      <c r="DH22" s="24" t="n"/>
      <c r="DI22" s="24" t="n"/>
      <c r="DJ22" s="24" t="n"/>
      <c r="DK22" s="24" t="n"/>
      <c r="DL22" s="24" t="n"/>
      <c r="DM22" s="24" t="n"/>
      <c r="DN22" s="24" t="n"/>
      <c r="DO22" s="24" t="n"/>
      <c r="DP22" s="24" t="n"/>
    </row>
    <row r="23" ht="36" customHeight="1">
      <c r="A23" s="24" t="inlineStr">
        <is>
          <t>66aa5ccd50684177</t>
        </is>
      </c>
      <c r="B23" s="24" t="inlineStr">
        <is>
          <t>2026-08-30T16:22:08.406596Z</t>
        </is>
      </c>
      <c r="C23" s="24" t="inlineStr">
        <is>
          <t>2026-08-30T21:00:00Z</t>
        </is>
      </c>
      <c r="D23" s="24" t="inlineStr">
        <is>
          <t>aec-cs2-shin-fxw7-2026-08-30</t>
        </is>
      </c>
      <c r="E23" s="24" t="inlineStr">
        <is>
          <t>CS2</t>
        </is>
      </c>
      <c r="F23" s="24" t="inlineStr">
        <is>
          <t>Fluxo W7M</t>
        </is>
      </c>
      <c r="G23" s="24" t="inlineStr">
        <is>
          <t>ShindeN</t>
        </is>
      </c>
      <c r="H23" s="24" t="inlineStr">
        <is>
          <t>moneyline</t>
        </is>
      </c>
      <c r="I23" s="24" t="inlineStr">
        <is>
          <t>home</t>
        </is>
      </c>
      <c r="J23" s="25" t="n"/>
      <c r="K23" s="24" t="inlineStr">
        <is>
          <t>polymarket_us</t>
        </is>
      </c>
      <c r="L23" s="26" t="n">
        <v>108</v>
      </c>
      <c r="M23" s="27" t="n">
        <v>2.08</v>
      </c>
      <c r="N23" s="28" t="n">
        <v>0.4902</v>
      </c>
      <c r="O23" s="28" t="n">
        <v>0.5913</v>
      </c>
      <c r="P23" s="28" t="n"/>
      <c r="Q23" s="28" t="n">
        <v>0.1113</v>
      </c>
      <c r="R23" s="26" t="n"/>
      <c r="S23" s="29" t="n">
        <v>1.25</v>
      </c>
      <c r="T23" s="24" t="inlineStr">
        <is>
          <t>cs2-tiered-elo-v6</t>
        </is>
      </c>
      <c r="U23" s="24" t="inlineStr">
        <is>
          <t>settled</t>
        </is>
      </c>
      <c r="V23" s="24" t="inlineStr">
        <is>
          <t>win</t>
        </is>
      </c>
      <c r="W23" s="26" t="n"/>
      <c r="X23" s="26" t="n"/>
      <c r="Y23" s="25" t="n"/>
      <c r="Z23" s="26" t="n"/>
      <c r="AA23" s="28" t="n"/>
      <c r="AB23" s="28" t="n"/>
      <c r="AC23" s="30" t="n">
        <v>1.35</v>
      </c>
      <c r="AD23" s="24" t="inlineStr">
        <is>
          <t>2026-08-31T04:01:24.010499Z</t>
        </is>
      </c>
      <c r="AE23" s="31" t="inlineStr">
        <is>
          <t>Auto-Buyer order C6GXP0Y34KDK on aec-cs2-shin-fxw7-2026-08-30 (long)</t>
        </is>
      </c>
      <c r="AF23" s="31" t="n"/>
      <c r="AG23" s="24" t="n"/>
      <c r="AH23" s="24" t="n"/>
      <c r="AI23" s="31" t="n"/>
      <c r="AJ23" s="31" t="n"/>
      <c r="AK23" s="24" t="n"/>
      <c r="AL23" s="26" t="n">
        <v>4</v>
      </c>
      <c r="AM23" s="24" t="inlineStr">
        <is>
          <t>decision</t>
        </is>
      </c>
      <c r="AN23" s="24" t="inlineStr">
        <is>
          <t>take</t>
        </is>
      </c>
      <c r="AO23" s="24" t="inlineStr">
        <is>
          <t>AUTO_BUYER_EXECUTION</t>
        </is>
      </c>
      <c r="AP23" s="24" t="n"/>
      <c r="AQ23" s="24" t="n"/>
      <c r="AR23" s="24" t="n"/>
      <c r="AS23" s="24" t="n"/>
      <c r="AT23" s="24" t="n"/>
      <c r="AU23" s="24" t="n"/>
      <c r="AV23" s="24" t="n"/>
      <c r="AW23" s="24" t="n"/>
      <c r="AX23" s="24" t="n"/>
      <c r="AY23" s="24" t="n"/>
      <c r="AZ23" s="24" t="n"/>
      <c r="BA23" s="24" t="n"/>
      <c r="BB23" s="24" t="n"/>
      <c r="BC23" s="24" t="n"/>
      <c r="BD23" s="24" t="n"/>
      <c r="BE23" s="24" t="n"/>
      <c r="BF23" s="24" t="n"/>
      <c r="BG23" s="24" t="n"/>
      <c r="BH23" s="24" t="n"/>
      <c r="BI23" s="24" t="n"/>
      <c r="BJ23" s="25" t="n"/>
      <c r="BK23" s="26" t="n"/>
      <c r="BL23" s="27" t="n"/>
      <c r="BM23" s="28" t="n"/>
      <c r="BN23" s="28" t="n"/>
      <c r="BO23" s="28" t="n"/>
      <c r="BP23" s="25" t="n"/>
      <c r="BQ23" s="27" t="n"/>
      <c r="BR23" s="28" t="n"/>
      <c r="BS23" s="28" t="n"/>
      <c r="BT23" s="28" t="n"/>
      <c r="BU23" s="25" t="n"/>
      <c r="BV23" s="29" t="n"/>
      <c r="BW23" s="24" t="n"/>
      <c r="BX23" s="30" t="n"/>
      <c r="BY23" s="27" t="n"/>
      <c r="BZ23" s="24" t="n"/>
      <c r="CA23" s="31" t="n"/>
      <c r="CB23" s="24" t="n"/>
      <c r="CC23" s="24" t="n"/>
      <c r="CD23" s="24" t="n"/>
      <c r="CE23" s="24" t="n"/>
      <c r="CF23" s="24" t="n"/>
      <c r="CG23" s="24" t="n"/>
      <c r="CH23" s="24" t="n"/>
      <c r="CI23" s="24" t="n"/>
      <c r="CJ23" s="24" t="n"/>
      <c r="CK23" s="24" t="n"/>
      <c r="CL23" s="24" t="n"/>
      <c r="CM23" s="24" t="n"/>
      <c r="CN23" s="24" t="n"/>
      <c r="CO23" s="24" t="n"/>
      <c r="CP23" s="24" t="n"/>
      <c r="CQ23" s="24" t="n"/>
      <c r="CR23" s="24" t="n"/>
      <c r="CS23" s="24" t="n"/>
      <c r="CT23" s="24" t="n"/>
      <c r="CU23" s="24" t="n"/>
      <c r="CV23" s="24" t="n"/>
      <c r="CW23" s="24" t="n"/>
      <c r="CX23" s="24" t="n"/>
      <c r="CY23" s="24" t="n"/>
      <c r="CZ23" s="24" t="n"/>
      <c r="DA23" s="24" t="n"/>
      <c r="DB23" s="24" t="n"/>
      <c r="DC23" s="24" t="n"/>
      <c r="DD23" s="24" t="n"/>
      <c r="DE23" s="24" t="n"/>
      <c r="DF23" s="24" t="n"/>
      <c r="DG23" s="24" t="n"/>
      <c r="DH23" s="24" t="n"/>
      <c r="DI23" s="24" t="n"/>
      <c r="DJ23" s="24" t="n"/>
      <c r="DK23" s="24" t="n"/>
      <c r="DL23" s="24" t="n"/>
      <c r="DM23" s="24" t="n"/>
      <c r="DN23" s="24" t="n"/>
      <c r="DO23" s="24" t="n"/>
      <c r="DP23" s="24" t="n"/>
    </row>
    <row r="24" ht="36" customHeight="1">
      <c r="A24" s="24" t="inlineStr">
        <is>
          <t>251a40c2423d4eda</t>
        </is>
      </c>
      <c r="B24" s="24" t="inlineStr">
        <is>
          <t>2026-08-30T16:22:08.406596Z</t>
        </is>
      </c>
      <c r="C24" s="24" t="inlineStr">
        <is>
          <t>2026-08-30T16:30:00Z</t>
        </is>
      </c>
      <c r="D24" s="24" t="inlineStr">
        <is>
          <t>aec-lol-fnc-gx-2026-08-30</t>
        </is>
      </c>
      <c r="E24" s="24" t="inlineStr">
        <is>
          <t>LOL</t>
        </is>
      </c>
      <c r="F24" s="24" t="inlineStr">
        <is>
          <t>GIANTX</t>
        </is>
      </c>
      <c r="G24" s="24" t="inlineStr">
        <is>
          <t>Fnatic</t>
        </is>
      </c>
      <c r="H24" s="24" t="inlineStr">
        <is>
          <t>moneyline</t>
        </is>
      </c>
      <c r="I24" s="24" t="inlineStr">
        <is>
          <t>away</t>
        </is>
      </c>
      <c r="J24" s="25" t="n"/>
      <c r="K24" s="24" t="inlineStr">
        <is>
          <t>polymarket_us</t>
        </is>
      </c>
      <c r="L24" s="26" t="n">
        <v>-100</v>
      </c>
      <c r="M24" s="27" t="n">
        <v>2</v>
      </c>
      <c r="N24" s="28" t="n">
        <v>0.3401</v>
      </c>
      <c r="O24" s="28" t="n">
        <v>0.5991</v>
      </c>
      <c r="P24" s="28" t="n"/>
      <c r="Q24" s="28" t="n">
        <v>0.09909999999999999</v>
      </c>
      <c r="R24" s="26" t="n"/>
      <c r="S24" s="29" t="n">
        <v>2</v>
      </c>
      <c r="T24" s="24" t="inlineStr">
        <is>
          <t>lol-tiered-elo-v6</t>
        </is>
      </c>
      <c r="U24" s="24" t="inlineStr">
        <is>
          <t>settled</t>
        </is>
      </c>
      <c r="V24" s="24" t="inlineStr">
        <is>
          <t>win</t>
        </is>
      </c>
      <c r="W24" s="26" t="n"/>
      <c r="X24" s="26" t="n"/>
      <c r="Y24" s="25" t="n"/>
      <c r="Z24" s="26" t="n"/>
      <c r="AA24" s="28" t="n"/>
      <c r="AB24" s="28" t="n"/>
      <c r="AC24" s="30" t="n">
        <v>2</v>
      </c>
      <c r="AD24" s="24" t="inlineStr">
        <is>
          <t>2026-08-31T04:02:34.026411Z</t>
        </is>
      </c>
      <c r="AE24" s="31" t="inlineStr">
        <is>
          <t>Auto-Buyer order C6GXP0YCWKDK on aec-lol-fnc-gx-2026-08-30 (short)</t>
        </is>
      </c>
      <c r="AF24" s="31" t="n"/>
      <c r="AG24" s="24" t="n"/>
      <c r="AH24" s="24" t="n"/>
      <c r="AI24" s="31" t="n"/>
      <c r="AJ24" s="31" t="n"/>
      <c r="AK24" s="24" t="n"/>
      <c r="AL24" s="26" t="n">
        <v>4</v>
      </c>
      <c r="AM24" s="24" t="inlineStr">
        <is>
          <t>decision</t>
        </is>
      </c>
      <c r="AN24" s="24" t="inlineStr">
        <is>
          <t>take</t>
        </is>
      </c>
      <c r="AO24" s="24" t="inlineStr">
        <is>
          <t>AUTO_BUYER_EXECUTION</t>
        </is>
      </c>
      <c r="AP24" s="24" t="n"/>
      <c r="AQ24" s="24" t="n"/>
      <c r="AR24" s="24" t="n"/>
      <c r="AS24" s="24" t="n"/>
      <c r="AT24" s="24" t="n"/>
      <c r="AU24" s="24" t="n"/>
      <c r="AV24" s="24" t="n"/>
      <c r="AW24" s="24" t="n"/>
      <c r="AX24" s="24" t="n"/>
      <c r="AY24" s="24" t="n"/>
      <c r="AZ24" s="24" t="n"/>
      <c r="BA24" s="24" t="n"/>
      <c r="BB24" s="24" t="n"/>
      <c r="BC24" s="24" t="n"/>
      <c r="BD24" s="24" t="n"/>
      <c r="BE24" s="24" t="n"/>
      <c r="BF24" s="24" t="n"/>
      <c r="BG24" s="24" t="n"/>
      <c r="BH24" s="24" t="n"/>
      <c r="BI24" s="24" t="n"/>
      <c r="BJ24" s="25" t="n"/>
      <c r="BK24" s="26" t="n"/>
      <c r="BL24" s="27" t="n"/>
      <c r="BM24" s="28" t="n"/>
      <c r="BN24" s="28" t="n"/>
      <c r="BO24" s="28" t="n"/>
      <c r="BP24" s="25" t="n"/>
      <c r="BQ24" s="27" t="n"/>
      <c r="BR24" s="28" t="n"/>
      <c r="BS24" s="28" t="n"/>
      <c r="BT24" s="28" t="n"/>
      <c r="BU24" s="25" t="n"/>
      <c r="BV24" s="29" t="n"/>
      <c r="BW24" s="24" t="n"/>
      <c r="BX24" s="30" t="n"/>
      <c r="BY24" s="27" t="n"/>
      <c r="BZ24" s="24" t="n"/>
      <c r="CA24" s="31" t="n"/>
      <c r="CB24" s="24" t="n"/>
      <c r="CC24" s="24" t="n"/>
      <c r="CD24" s="24" t="n"/>
      <c r="CE24" s="24" t="n"/>
      <c r="CF24" s="24" t="n"/>
      <c r="CG24" s="24" t="n"/>
      <c r="CH24" s="24" t="n"/>
      <c r="CI24" s="24" t="n"/>
      <c r="CJ24" s="24" t="n"/>
      <c r="CK24" s="24" t="n"/>
      <c r="CL24" s="24" t="n"/>
      <c r="CM24" s="24" t="n"/>
      <c r="CN24" s="24" t="n"/>
      <c r="CO24" s="24" t="n"/>
      <c r="CP24" s="24" t="n"/>
      <c r="CQ24" s="24" t="n"/>
      <c r="CR24" s="24" t="n"/>
      <c r="CS24" s="24" t="n"/>
      <c r="CT24" s="24" t="n"/>
      <c r="CU24" s="24" t="n"/>
      <c r="CV24" s="24" t="n"/>
      <c r="CW24" s="24" t="n"/>
      <c r="CX24" s="24" t="n"/>
      <c r="CY24" s="24" t="n"/>
      <c r="CZ24" s="24" t="n"/>
      <c r="DA24" s="24" t="n"/>
      <c r="DB24" s="24" t="n"/>
      <c r="DC24" s="24" t="n"/>
      <c r="DD24" s="24" t="n"/>
      <c r="DE24" s="24" t="n"/>
      <c r="DF24" s="24" t="n"/>
      <c r="DG24" s="24" t="n"/>
      <c r="DH24" s="24" t="n"/>
      <c r="DI24" s="24" t="n"/>
      <c r="DJ24" s="24" t="n"/>
      <c r="DK24" s="24" t="n"/>
      <c r="DL24" s="24" t="n"/>
      <c r="DM24" s="24" t="n"/>
      <c r="DN24" s="24" t="n"/>
      <c r="DO24" s="24" t="n"/>
      <c r="DP24" s="24" t="n"/>
    </row>
    <row r="25" ht="36" customHeight="1">
      <c r="A25" s="24" t="inlineStr">
        <is>
          <t>42a282ce16a14139</t>
        </is>
      </c>
      <c r="B25" s="24" t="inlineStr">
        <is>
          <t>2026-08-30T16:22:08.406596Z</t>
        </is>
      </c>
      <c r="C25" s="24" t="inlineStr">
        <is>
          <t>2026-08-30T20:00:00Z</t>
        </is>
      </c>
      <c r="D25" s="24" t="inlineStr">
        <is>
          <t>aec-lol-ly-tl-2026-08-30</t>
        </is>
      </c>
      <c r="E25" s="24" t="inlineStr">
        <is>
          <t>LOL</t>
        </is>
      </c>
      <c r="F25" s="24" t="inlineStr">
        <is>
          <t>Team Liquid</t>
        </is>
      </c>
      <c r="G25" s="24" t="inlineStr">
        <is>
          <t>LYON</t>
        </is>
      </c>
      <c r="H25" s="24" t="inlineStr">
        <is>
          <t>moneyline</t>
        </is>
      </c>
      <c r="I25" s="24" t="inlineStr">
        <is>
          <t>away</t>
        </is>
      </c>
      <c r="J25" s="25" t="n"/>
      <c r="K25" s="24" t="inlineStr">
        <is>
          <t>polymarket_us</t>
        </is>
      </c>
      <c r="L25" s="26" t="n">
        <v>117</v>
      </c>
      <c r="M25" s="27" t="n">
        <v>2.17</v>
      </c>
      <c r="N25" s="28" t="n">
        <v>0.4608</v>
      </c>
      <c r="O25" s="28" t="n">
        <v>0.5115</v>
      </c>
      <c r="P25" s="28" t="n"/>
      <c r="Q25" s="28" t="n">
        <v>0.0515</v>
      </c>
      <c r="R25" s="26" t="n"/>
      <c r="S25" s="29" t="n">
        <v>1</v>
      </c>
      <c r="T25" s="24" t="inlineStr">
        <is>
          <t>lol-tiered-elo-v6</t>
        </is>
      </c>
      <c r="U25" s="24" t="inlineStr">
        <is>
          <t>settled</t>
        </is>
      </c>
      <c r="V25" s="24" t="inlineStr">
        <is>
          <t>loss</t>
        </is>
      </c>
      <c r="W25" s="26" t="n"/>
      <c r="X25" s="26" t="n"/>
      <c r="Y25" s="25" t="n"/>
      <c r="Z25" s="26" t="n"/>
      <c r="AA25" s="28" t="n"/>
      <c r="AB25" s="28" t="n"/>
      <c r="AC25" s="30" t="n">
        <v>-1</v>
      </c>
      <c r="AD25" s="24" t="inlineStr">
        <is>
          <t>2026-08-31T04:01:24.010499Z</t>
        </is>
      </c>
      <c r="AE25" s="31" t="inlineStr">
        <is>
          <t>Auto-Buyer order C6GYB4PFAKDH on aec-lol-ly-tl-2026-08-30 (short)</t>
        </is>
      </c>
      <c r="AF25" s="31" t="n"/>
      <c r="AG25" s="24" t="n"/>
      <c r="AH25" s="24" t="n"/>
      <c r="AI25" s="31" t="n"/>
      <c r="AJ25" s="31" t="n"/>
      <c r="AK25" s="24" t="n"/>
      <c r="AL25" s="26" t="n">
        <v>4</v>
      </c>
      <c r="AM25" s="24" t="inlineStr">
        <is>
          <t>decision</t>
        </is>
      </c>
      <c r="AN25" s="24" t="inlineStr">
        <is>
          <t>take</t>
        </is>
      </c>
      <c r="AO25" s="24" t="inlineStr">
        <is>
          <t>AUTO_BUYER_EXECUTION</t>
        </is>
      </c>
      <c r="AP25" s="24" t="n"/>
      <c r="AQ25" s="24" t="n"/>
      <c r="AR25" s="24" t="n"/>
      <c r="AS25" s="24" t="n"/>
      <c r="AT25" s="24" t="n"/>
      <c r="AU25" s="24" t="n"/>
      <c r="AV25" s="24" t="n"/>
      <c r="AW25" s="24" t="n"/>
      <c r="AX25" s="24" t="n"/>
      <c r="AY25" s="24" t="n"/>
      <c r="AZ25" s="24" t="n"/>
      <c r="BA25" s="24" t="n"/>
      <c r="BB25" s="24" t="n"/>
      <c r="BC25" s="24" t="n"/>
      <c r="BD25" s="24" t="n"/>
      <c r="BE25" s="24" t="n"/>
      <c r="BF25" s="24" t="n"/>
      <c r="BG25" s="24" t="n"/>
      <c r="BH25" s="24" t="n"/>
      <c r="BI25" s="24" t="n"/>
      <c r="BJ25" s="25" t="n"/>
      <c r="BK25" s="26" t="n"/>
      <c r="BL25" s="27" t="n"/>
      <c r="BM25" s="28" t="n"/>
      <c r="BN25" s="28" t="n"/>
      <c r="BO25" s="28" t="n"/>
      <c r="BP25" s="25" t="n"/>
      <c r="BQ25" s="27" t="n"/>
      <c r="BR25" s="28" t="n"/>
      <c r="BS25" s="28" t="n"/>
      <c r="BT25" s="28" t="n"/>
      <c r="BU25" s="25" t="n"/>
      <c r="BV25" s="29" t="n"/>
      <c r="BW25" s="24" t="n"/>
      <c r="BX25" s="30" t="n"/>
      <c r="BY25" s="27" t="n"/>
      <c r="BZ25" s="24" t="n"/>
      <c r="CA25" s="31" t="n"/>
      <c r="CB25" s="24" t="n"/>
      <c r="CC25" s="24" t="n"/>
      <c r="CD25" s="24" t="n"/>
      <c r="CE25" s="24" t="n"/>
      <c r="CF25" s="24" t="n"/>
      <c r="CG25" s="24" t="n"/>
      <c r="CH25" s="24" t="n"/>
      <c r="CI25" s="24" t="n"/>
      <c r="CJ25" s="24" t="n"/>
      <c r="CK25" s="24" t="n"/>
      <c r="CL25" s="24" t="n"/>
      <c r="CM25" s="24" t="n"/>
      <c r="CN25" s="24" t="n"/>
      <c r="CO25" s="24" t="n"/>
      <c r="CP25" s="24" t="n"/>
      <c r="CQ25" s="24" t="n"/>
      <c r="CR25" s="24" t="n"/>
      <c r="CS25" s="24" t="n"/>
      <c r="CT25" s="24" t="n"/>
      <c r="CU25" s="24" t="n"/>
      <c r="CV25" s="24" t="n"/>
      <c r="CW25" s="24" t="n"/>
      <c r="CX25" s="24" t="n"/>
      <c r="CY25" s="24" t="n"/>
      <c r="CZ25" s="24" t="n"/>
      <c r="DA25" s="24" t="n"/>
      <c r="DB25" s="24" t="n"/>
      <c r="DC25" s="24" t="n"/>
      <c r="DD25" s="24" t="n"/>
      <c r="DE25" s="24" t="n"/>
      <c r="DF25" s="24" t="n"/>
      <c r="DG25" s="24" t="n"/>
      <c r="DH25" s="24" t="n"/>
      <c r="DI25" s="24" t="n"/>
      <c r="DJ25" s="24" t="n"/>
      <c r="DK25" s="24" t="n"/>
      <c r="DL25" s="24" t="n"/>
      <c r="DM25" s="24" t="n"/>
      <c r="DN25" s="24" t="n"/>
      <c r="DO25" s="24" t="n"/>
      <c r="DP25" s="24" t="n"/>
    </row>
    <row r="26" ht="36" customHeight="1">
      <c r="A26" s="24" t="inlineStr">
        <is>
          <t>5b497c15be7b4575</t>
        </is>
      </c>
      <c r="B26" s="24" t="inlineStr">
        <is>
          <t>2026-08-30T16:35:16.369606Z</t>
        </is>
      </c>
      <c r="C26" s="24" t="inlineStr">
        <is>
          <t>2026-08-30T17:40Z</t>
        </is>
      </c>
      <c r="D26" s="24" t="inlineStr">
        <is>
          <t>tsc-mlb-kc-cle-2026-08-30-7pt5</t>
        </is>
      </c>
      <c r="E26" s="24" t="inlineStr">
        <is>
          <t>MLB</t>
        </is>
      </c>
      <c r="F26" s="24" t="inlineStr">
        <is>
          <t>Kansas City Royals</t>
        </is>
      </c>
      <c r="G26" s="24" t="inlineStr">
        <is>
          <t>Cleveland Guardians</t>
        </is>
      </c>
      <c r="H26" s="24" t="inlineStr">
        <is>
          <t>total</t>
        </is>
      </c>
      <c r="I26" s="24" t="inlineStr">
        <is>
          <t>over</t>
        </is>
      </c>
      <c r="J26" s="25" t="n"/>
      <c r="K26" s="24" t="inlineStr">
        <is>
          <t>polymarket_us</t>
        </is>
      </c>
      <c r="L26" s="26" t="n">
        <v>104</v>
      </c>
      <c r="M26" s="27" t="n">
        <v>2.04</v>
      </c>
      <c r="N26" s="28" t="n">
        <v>0.4902</v>
      </c>
      <c r="O26" s="28" t="n">
        <v>0.5256</v>
      </c>
      <c r="P26" s="28" t="n"/>
      <c r="Q26" s="28" t="n">
        <v>0.0356</v>
      </c>
      <c r="R26" s="26" t="n"/>
      <c r="S26" s="29" t="n">
        <v>1</v>
      </c>
      <c r="T26" s="24" t="inlineStr">
        <is>
          <t>measured-edge-totals-v3</t>
        </is>
      </c>
      <c r="U26" s="24" t="inlineStr">
        <is>
          <t>settled</t>
        </is>
      </c>
      <c r="V26" s="24" t="inlineStr">
        <is>
          <t>win</t>
        </is>
      </c>
      <c r="W26" s="26" t="n">
        <v>1</v>
      </c>
      <c r="X26" s="26" t="n">
        <v>11</v>
      </c>
      <c r="Y26" s="25" t="n"/>
      <c r="Z26" s="26" t="n"/>
      <c r="AA26" s="28" t="n"/>
      <c r="AB26" s="28" t="n"/>
      <c r="AC26" s="30" t="n">
        <v>1.04</v>
      </c>
      <c r="AD26" s="24" t="inlineStr">
        <is>
          <t>2026-08-30T21:02:17.739705Z</t>
        </is>
      </c>
      <c r="AE26" s="31" t="inlineStr">
        <is>
          <t>Auto-Buyer order C6H504ZW6KDF on tsc-mlb-kc-cle-2026-08-30-7pt5 (long)</t>
        </is>
      </c>
      <c r="AF26" s="31" t="n"/>
      <c r="AG26" s="24" t="n"/>
      <c r="AH26" s="24" t="n"/>
      <c r="AI26" s="31" t="n"/>
      <c r="AJ26" s="31" t="n"/>
      <c r="AK26" s="24" t="n"/>
      <c r="AL26" s="26" t="n">
        <v>4</v>
      </c>
      <c r="AM26" s="24" t="inlineStr">
        <is>
          <t>decision</t>
        </is>
      </c>
      <c r="AN26" s="24" t="inlineStr">
        <is>
          <t>take</t>
        </is>
      </c>
      <c r="AO26" s="24" t="inlineStr">
        <is>
          <t>AUTO_BUYER_EXECUTION</t>
        </is>
      </c>
      <c r="AP26" s="24" t="n"/>
      <c r="AQ26" s="24" t="n"/>
      <c r="AR26" s="24" t="n"/>
      <c r="AS26" s="24" t="n"/>
      <c r="AT26" s="24" t="n"/>
      <c r="AU26" s="24" t="n"/>
      <c r="AV26" s="24" t="n"/>
      <c r="AW26" s="24" t="n"/>
      <c r="AX26" s="24" t="n"/>
      <c r="AY26" s="24" t="n"/>
      <c r="AZ26" s="24" t="n"/>
      <c r="BA26" s="24" t="n"/>
      <c r="BB26" s="24" t="n"/>
      <c r="BC26" s="24" t="n"/>
      <c r="BD26" s="24" t="n"/>
      <c r="BE26" s="24" t="n"/>
      <c r="BF26" s="24" t="n"/>
      <c r="BG26" s="24" t="n"/>
      <c r="BH26" s="24" t="n"/>
      <c r="BI26" s="24" t="n"/>
      <c r="BJ26" s="25" t="n"/>
      <c r="BK26" s="26" t="n"/>
      <c r="BL26" s="27" t="n"/>
      <c r="BM26" s="28" t="n"/>
      <c r="BN26" s="28" t="n"/>
      <c r="BO26" s="28" t="n"/>
      <c r="BP26" s="25" t="n"/>
      <c r="BQ26" s="27" t="n"/>
      <c r="BR26" s="28" t="n"/>
      <c r="BS26" s="28" t="n"/>
      <c r="BT26" s="28" t="n"/>
      <c r="BU26" s="25" t="n"/>
      <c r="BV26" s="29" t="n"/>
      <c r="BW26" s="24" t="n"/>
      <c r="BX26" s="30" t="n"/>
      <c r="BY26" s="27" t="n"/>
      <c r="BZ26" s="24" t="n"/>
      <c r="CA26" s="31" t="n"/>
      <c r="CB26" s="24" t="n"/>
      <c r="CC26" s="24" t="n"/>
      <c r="CD26" s="24" t="n"/>
      <c r="CE26" s="24" t="n"/>
      <c r="CF26" s="24" t="n"/>
      <c r="CG26" s="24" t="n"/>
      <c r="CH26" s="24" t="n"/>
      <c r="CI26" s="24" t="n"/>
      <c r="CJ26" s="24" t="n"/>
      <c r="CK26" s="24" t="n"/>
      <c r="CL26" s="24" t="n"/>
      <c r="CM26" s="24" t="n"/>
      <c r="CN26" s="24" t="n"/>
      <c r="CO26" s="24" t="n"/>
      <c r="CP26" s="24" t="n"/>
      <c r="CQ26" s="24" t="n"/>
      <c r="CR26" s="24" t="n"/>
      <c r="CS26" s="24" t="n"/>
      <c r="CT26" s="24" t="n"/>
      <c r="CU26" s="24" t="n"/>
      <c r="CV26" s="24" t="n"/>
      <c r="CW26" s="24" t="n"/>
      <c r="CX26" s="24" t="n"/>
      <c r="CY26" s="24" t="n"/>
      <c r="CZ26" s="24" t="n"/>
      <c r="DA26" s="24" t="n"/>
      <c r="DB26" s="24" t="n"/>
      <c r="DC26" s="24" t="n"/>
      <c r="DD26" s="24" t="n"/>
      <c r="DE26" s="24" t="n"/>
      <c r="DF26" s="24" t="n"/>
      <c r="DG26" s="24" t="n"/>
      <c r="DH26" s="24" t="n"/>
      <c r="DI26" s="24" t="n"/>
      <c r="DJ26" s="24" t="n"/>
      <c r="DK26" s="24" t="n"/>
      <c r="DL26" s="24" t="n"/>
      <c r="DM26" s="24" t="n"/>
      <c r="DN26" s="24" t="n"/>
      <c r="DO26" s="24" t="n"/>
      <c r="DP26" s="24" t="n"/>
    </row>
    <row r="27" ht="36" customHeight="1">
      <c r="A27" s="24" t="inlineStr">
        <is>
          <t>6a99a099dcfa4a08</t>
        </is>
      </c>
      <c r="B27" s="24" t="inlineStr">
        <is>
          <t>2026-08-31T04:52:35.718859Z</t>
        </is>
      </c>
      <c r="C27" s="24" t="inlineStr">
        <is>
          <t>2026-08-31T15:00Z</t>
        </is>
      </c>
      <c r="D27" s="24" t="inlineStr">
        <is>
          <t>aec-wta-mansaw-panudv-2026-08-30</t>
        </is>
      </c>
      <c r="E27" s="24" t="inlineStr">
        <is>
          <t>TENNIS</t>
        </is>
      </c>
      <c r="F27" s="24" t="inlineStr">
        <is>
          <t>Panna Udvardy</t>
        </is>
      </c>
      <c r="G27" s="24" t="inlineStr">
        <is>
          <t>Mananchaya Sawangkaew</t>
        </is>
      </c>
      <c r="H27" s="24" t="inlineStr">
        <is>
          <t>moneyline</t>
        </is>
      </c>
      <c r="I27" s="24" t="inlineStr">
        <is>
          <t>away</t>
        </is>
      </c>
      <c r="J27" s="25" t="n"/>
      <c r="K27" s="24" t="inlineStr">
        <is>
          <t>polymarket_us</t>
        </is>
      </c>
      <c r="L27" s="26" t="n">
        <v>156</v>
      </c>
      <c r="M27" s="27" t="n">
        <v>2.56</v>
      </c>
      <c r="N27" s="28" t="n">
        <v>0.3906</v>
      </c>
      <c r="O27" s="28" t="n">
        <v>0.5028</v>
      </c>
      <c r="P27" s="28" t="n"/>
      <c r="Q27" s="28" t="n">
        <v>0.1128</v>
      </c>
      <c r="R27" s="26" t="n"/>
      <c r="S27" s="29" t="n">
        <v>1.5</v>
      </c>
      <c r="T27" s="24" t="inlineStr">
        <is>
          <t>tennis-surface-elo-v1</t>
        </is>
      </c>
      <c r="U27" s="24" t="inlineStr">
        <is>
          <t>settled</t>
        </is>
      </c>
      <c r="V27" s="24" t="inlineStr">
        <is>
          <t>loss</t>
        </is>
      </c>
      <c r="W27" s="26" t="n"/>
      <c r="X27" s="26" t="n">
        <v>1</v>
      </c>
      <c r="Y27" s="25" t="n"/>
      <c r="Z27" s="26" t="n"/>
      <c r="AA27" s="28" t="n"/>
      <c r="AB27" s="28" t="n"/>
      <c r="AC27" s="30" t="n">
        <v>-1.5</v>
      </c>
      <c r="AD27" s="24" t="inlineStr">
        <is>
          <t>2026-08-31T18:41:38.707356Z</t>
        </is>
      </c>
      <c r="AE27" s="31" t="inlineStr">
        <is>
          <t>Auto-Buyer order C6VFDE70CKDN on aec-wta-mansaw-panudv-2026-08-30 (short)</t>
        </is>
      </c>
      <c r="AF27" s="31" t="n"/>
      <c r="AG27" s="24" t="n"/>
      <c r="AH27" s="24" t="n"/>
      <c r="AI27" s="31" t="n"/>
      <c r="AJ27" s="31" t="n"/>
      <c r="AK27" s="24" t="n"/>
      <c r="AL27" s="26" t="n">
        <v>4</v>
      </c>
      <c r="AM27" s="24" t="inlineStr">
        <is>
          <t>decision</t>
        </is>
      </c>
      <c r="AN27" s="24" t="inlineStr">
        <is>
          <t>take</t>
        </is>
      </c>
      <c r="AO27" s="24" t="inlineStr">
        <is>
          <t>AUTO_BUYER_EXECUTION</t>
        </is>
      </c>
      <c r="AP27" s="24" t="n"/>
      <c r="AQ27" s="24" t="n"/>
      <c r="AR27" s="24" t="n"/>
      <c r="AS27" s="24" t="n"/>
      <c r="AT27" s="24" t="n"/>
      <c r="AU27" s="24" t="n"/>
      <c r="AV27" s="24" t="n"/>
      <c r="AW27" s="24" t="n"/>
      <c r="AX27" s="24" t="n"/>
      <c r="AY27" s="24" t="n"/>
      <c r="AZ27" s="24" t="n"/>
      <c r="BA27" s="24" t="n"/>
      <c r="BB27" s="24" t="n"/>
      <c r="BC27" s="24" t="n"/>
      <c r="BD27" s="24" t="n"/>
      <c r="BE27" s="24" t="n"/>
      <c r="BF27" s="24" t="n"/>
      <c r="BG27" s="24" t="n"/>
      <c r="BH27" s="24" t="n"/>
      <c r="BI27" s="24" t="n"/>
      <c r="BJ27" s="25" t="n"/>
      <c r="BK27" s="26" t="n"/>
      <c r="BL27" s="27" t="n"/>
      <c r="BM27" s="28" t="n"/>
      <c r="BN27" s="28" t="n"/>
      <c r="BO27" s="28" t="n"/>
      <c r="BP27" s="25" t="n"/>
      <c r="BQ27" s="27" t="n"/>
      <c r="BR27" s="28" t="n"/>
      <c r="BS27" s="28" t="n"/>
      <c r="BT27" s="28" t="n"/>
      <c r="BU27" s="25" t="n"/>
      <c r="BV27" s="29" t="n"/>
      <c r="BW27" s="24" t="n"/>
      <c r="BX27" s="30" t="n"/>
      <c r="BY27" s="27" t="n"/>
      <c r="BZ27" s="24" t="n"/>
      <c r="CA27" s="31" t="n"/>
      <c r="CB27" s="24" t="n"/>
      <c r="CC27" s="24" t="n"/>
      <c r="CD27" s="24" t="n"/>
      <c r="CE27" s="24" t="n"/>
      <c r="CF27" s="24" t="n"/>
      <c r="CG27" s="24" t="n"/>
      <c r="CH27" s="24" t="n"/>
      <c r="CI27" s="24" t="n"/>
      <c r="CJ27" s="24" t="n"/>
      <c r="CK27" s="24" t="n"/>
      <c r="CL27" s="24" t="n"/>
      <c r="CM27" s="24" t="n"/>
      <c r="CN27" s="24" t="n"/>
      <c r="CO27" s="24" t="n"/>
      <c r="CP27" s="24" t="n"/>
      <c r="CQ27" s="24" t="n"/>
      <c r="CR27" s="24" t="n"/>
      <c r="CS27" s="24" t="n"/>
      <c r="CT27" s="24" t="n"/>
      <c r="CU27" s="24" t="n"/>
      <c r="CV27" s="24" t="n"/>
      <c r="CW27" s="24" t="n"/>
      <c r="CX27" s="24" t="n"/>
      <c r="CY27" s="24" t="n"/>
      <c r="CZ27" s="24" t="n"/>
      <c r="DA27" s="24" t="n"/>
      <c r="DB27" s="24" t="n"/>
      <c r="DC27" s="24" t="n"/>
      <c r="DD27" s="24" t="n"/>
      <c r="DE27" s="24" t="n"/>
      <c r="DF27" s="24" t="n"/>
      <c r="DG27" s="24" t="n"/>
      <c r="DH27" s="24" t="n"/>
      <c r="DI27" s="24" t="n"/>
      <c r="DJ27" s="24" t="n"/>
      <c r="DK27" s="24" t="n"/>
      <c r="DL27" s="24" t="n"/>
      <c r="DM27" s="24" t="n"/>
      <c r="DN27" s="24" t="n"/>
      <c r="DO27" s="24" t="n"/>
      <c r="DP27" s="24" t="n"/>
    </row>
    <row r="28" ht="36" customHeight="1">
      <c r="A28" s="24" t="inlineStr">
        <is>
          <t>8b833b3bf6574b26</t>
        </is>
      </c>
      <c r="B28" s="24" t="inlineStr">
        <is>
          <t>2026-08-31T04:52:35.718859Z</t>
        </is>
      </c>
      <c r="C28" s="24" t="inlineStr">
        <is>
          <t>2026-08-31T17:00Z</t>
        </is>
      </c>
      <c r="D28" s="24" t="inlineStr">
        <is>
          <t>aec-wta-tamzid-martim-2026-08-30</t>
        </is>
      </c>
      <c r="E28" s="24" t="inlineStr">
        <is>
          <t>TENNIS</t>
        </is>
      </c>
      <c r="F28" s="24" t="inlineStr">
        <is>
          <t>Maria Timofeeva</t>
        </is>
      </c>
      <c r="G28" s="24" t="inlineStr">
        <is>
          <t>Tamara Zidansek</t>
        </is>
      </c>
      <c r="H28" s="24" t="inlineStr">
        <is>
          <t>moneyline</t>
        </is>
      </c>
      <c r="I28" s="24" t="inlineStr">
        <is>
          <t>home</t>
        </is>
      </c>
      <c r="J28" s="25" t="n"/>
      <c r="K28" s="24" t="inlineStr">
        <is>
          <t>polymarket_us</t>
        </is>
      </c>
      <c r="L28" s="26" t="n">
        <v>194</v>
      </c>
      <c r="M28" s="27" t="n">
        <v>2.94</v>
      </c>
      <c r="N28" s="28" t="n">
        <v>0.3401</v>
      </c>
      <c r="O28" s="28" t="n">
        <v>0.5261</v>
      </c>
      <c r="P28" s="28" t="n"/>
      <c r="Q28" s="28" t="n">
        <v>0.1861</v>
      </c>
      <c r="R28" s="26" t="n"/>
      <c r="S28" s="29" t="n">
        <v>2</v>
      </c>
      <c r="T28" s="24" t="inlineStr">
        <is>
          <t>tennis-surface-elo-v1</t>
        </is>
      </c>
      <c r="U28" s="24" t="inlineStr">
        <is>
          <t>settled</t>
        </is>
      </c>
      <c r="V28" s="24" t="inlineStr">
        <is>
          <t>loss</t>
        </is>
      </c>
      <c r="W28" s="26" t="n">
        <v>1</v>
      </c>
      <c r="X28" s="26" t="n"/>
      <c r="Y28" s="25" t="n"/>
      <c r="Z28" s="26" t="n"/>
      <c r="AA28" s="28" t="n"/>
      <c r="AB28" s="28" t="n"/>
      <c r="AC28" s="30" t="n">
        <v>-2</v>
      </c>
      <c r="AD28" s="24" t="inlineStr">
        <is>
          <t>2026-08-31T19:58:20.483072Z</t>
        </is>
      </c>
      <c r="AE28" s="31" t="inlineStr">
        <is>
          <t>Auto-Buyer order C6VFNH8ZYKDJ on aec-wta-tamzid-martim-2026-08-30 (long)</t>
        </is>
      </c>
      <c r="AF28" s="31" t="n"/>
      <c r="AG28" s="24" t="n"/>
      <c r="AH28" s="24" t="n"/>
      <c r="AI28" s="31" t="n"/>
      <c r="AJ28" s="31" t="n"/>
      <c r="AK28" s="24" t="n"/>
      <c r="AL28" s="26" t="n">
        <v>4</v>
      </c>
      <c r="AM28" s="24" t="inlineStr">
        <is>
          <t>decision</t>
        </is>
      </c>
      <c r="AN28" s="24" t="inlineStr">
        <is>
          <t>take</t>
        </is>
      </c>
      <c r="AO28" s="24" t="inlineStr">
        <is>
          <t>AUTO_BUYER_EXECUTION</t>
        </is>
      </c>
      <c r="AP28" s="24" t="n"/>
      <c r="AQ28" s="24" t="n"/>
      <c r="AR28" s="24" t="n"/>
      <c r="AS28" s="24" t="n"/>
      <c r="AT28" s="24" t="n"/>
      <c r="AU28" s="24" t="n"/>
      <c r="AV28" s="24" t="n"/>
      <c r="AW28" s="24" t="n"/>
      <c r="AX28" s="24" t="n"/>
      <c r="AY28" s="24" t="n"/>
      <c r="AZ28" s="24" t="n"/>
      <c r="BA28" s="24" t="n"/>
      <c r="BB28" s="24" t="n"/>
      <c r="BC28" s="24" t="n"/>
      <c r="BD28" s="24" t="n"/>
      <c r="BE28" s="24" t="n"/>
      <c r="BF28" s="24" t="n"/>
      <c r="BG28" s="24" t="n"/>
      <c r="BH28" s="24" t="n"/>
      <c r="BI28" s="24" t="n"/>
      <c r="BJ28" s="25" t="n"/>
      <c r="BK28" s="26" t="n"/>
      <c r="BL28" s="27" t="n"/>
      <c r="BM28" s="28" t="n"/>
      <c r="BN28" s="28" t="n"/>
      <c r="BO28" s="28" t="n"/>
      <c r="BP28" s="25" t="n"/>
      <c r="BQ28" s="27" t="n"/>
      <c r="BR28" s="28" t="n"/>
      <c r="BS28" s="28" t="n"/>
      <c r="BT28" s="28" t="n"/>
      <c r="BU28" s="25" t="n"/>
      <c r="BV28" s="29" t="n"/>
      <c r="BW28" s="24" t="n"/>
      <c r="BX28" s="30" t="n"/>
      <c r="BY28" s="27" t="n"/>
      <c r="BZ28" s="24" t="n"/>
      <c r="CA28" s="31" t="n"/>
      <c r="CB28" s="24" t="n"/>
      <c r="CC28" s="24" t="n"/>
      <c r="CD28" s="24" t="n"/>
      <c r="CE28" s="24" t="n"/>
      <c r="CF28" s="24" t="n"/>
      <c r="CG28" s="24" t="n"/>
      <c r="CH28" s="24" t="n"/>
      <c r="CI28" s="24" t="n"/>
      <c r="CJ28" s="24" t="n"/>
      <c r="CK28" s="24" t="n"/>
      <c r="CL28" s="24" t="n"/>
      <c r="CM28" s="24" t="n"/>
      <c r="CN28" s="24" t="n"/>
      <c r="CO28" s="24" t="n"/>
      <c r="CP28" s="24" t="n"/>
      <c r="CQ28" s="24" t="n"/>
      <c r="CR28" s="24" t="n"/>
      <c r="CS28" s="24" t="n"/>
      <c r="CT28" s="24" t="n"/>
      <c r="CU28" s="24" t="n"/>
      <c r="CV28" s="24" t="n"/>
      <c r="CW28" s="24" t="n"/>
      <c r="CX28" s="24" t="n"/>
      <c r="CY28" s="24" t="n"/>
      <c r="CZ28" s="24" t="n"/>
      <c r="DA28" s="24" t="n"/>
      <c r="DB28" s="24" t="n"/>
      <c r="DC28" s="24" t="n"/>
      <c r="DD28" s="24" t="n"/>
      <c r="DE28" s="24" t="n"/>
      <c r="DF28" s="24" t="n"/>
      <c r="DG28" s="24" t="n"/>
      <c r="DH28" s="24" t="n"/>
      <c r="DI28" s="24" t="n"/>
      <c r="DJ28" s="24" t="n"/>
      <c r="DK28" s="24" t="n"/>
      <c r="DL28" s="24" t="n"/>
      <c r="DM28" s="24" t="n"/>
      <c r="DN28" s="24" t="n"/>
      <c r="DO28" s="24" t="n"/>
      <c r="DP28" s="24" t="n"/>
    </row>
    <row r="29" ht="36" customHeight="1">
      <c r="A29" s="24" t="inlineStr">
        <is>
          <t>55dfd65193ae4c3d</t>
        </is>
      </c>
      <c r="B29" s="24" t="inlineStr">
        <is>
          <t>2026-08-31T04:52:35.718859Z</t>
        </is>
      </c>
      <c r="C29" s="24" t="inlineStr">
        <is>
          <t>2026-08-31T15:00Z</t>
        </is>
      </c>
      <c r="D29" s="24" t="inlineStr">
        <is>
          <t>aec-atp-valvac-alekov-2026-08-30</t>
        </is>
      </c>
      <c r="E29" s="24" t="inlineStr">
        <is>
          <t>TENNIS</t>
        </is>
      </c>
      <c r="F29" s="24" t="inlineStr">
        <is>
          <t>Aleksandar Kovacevic</t>
        </is>
      </c>
      <c r="G29" s="24" t="inlineStr">
        <is>
          <t>Valentin Vacherot</t>
        </is>
      </c>
      <c r="H29" s="24" t="inlineStr">
        <is>
          <t>moneyline</t>
        </is>
      </c>
      <c r="I29" s="24" t="inlineStr">
        <is>
          <t>home</t>
        </is>
      </c>
      <c r="J29" s="25" t="n"/>
      <c r="K29" s="24" t="inlineStr">
        <is>
          <t>polymarket_us</t>
        </is>
      </c>
      <c r="L29" s="26" t="n">
        <v>-108</v>
      </c>
      <c r="M29" s="27" t="n">
        <v>1.9259</v>
      </c>
      <c r="N29" s="28" t="n">
        <v>0.5192</v>
      </c>
      <c r="O29" s="28" t="n">
        <v>0.6385</v>
      </c>
      <c r="P29" s="28" t="n"/>
      <c r="Q29" s="28" t="n">
        <v>0.1185</v>
      </c>
      <c r="R29" s="26" t="n"/>
      <c r="S29" s="29" t="n">
        <v>1.5</v>
      </c>
      <c r="T29" s="24" t="inlineStr">
        <is>
          <t>tennis-surface-elo-v1</t>
        </is>
      </c>
      <c r="U29" s="24" t="inlineStr">
        <is>
          <t>settled</t>
        </is>
      </c>
      <c r="V29" s="24" t="inlineStr">
        <is>
          <t>win</t>
        </is>
      </c>
      <c r="W29" s="26" t="n"/>
      <c r="X29" s="26" t="n">
        <v>1</v>
      </c>
      <c r="Y29" s="25" t="n"/>
      <c r="Z29" s="26" t="n"/>
      <c r="AA29" s="28" t="n"/>
      <c r="AB29" s="28" t="n"/>
      <c r="AC29" s="30" t="n">
        <v>1.38</v>
      </c>
      <c r="AD29" s="24" t="inlineStr">
        <is>
          <t>2026-08-31T18:41:38.707356Z</t>
        </is>
      </c>
      <c r="AE29" s="31" t="inlineStr">
        <is>
          <t>Auto-Buyer order C6VFNH9JYKDJ on aec-atp-valvac-alekov-2026-08-30 (long)</t>
        </is>
      </c>
      <c r="AF29" s="31" t="n"/>
      <c r="AG29" s="24" t="n"/>
      <c r="AH29" s="24" t="n"/>
      <c r="AI29" s="31" t="n"/>
      <c r="AJ29" s="31" t="n"/>
      <c r="AK29" s="24" t="n"/>
      <c r="AL29" s="26" t="n">
        <v>4</v>
      </c>
      <c r="AM29" s="24" t="inlineStr">
        <is>
          <t>decision</t>
        </is>
      </c>
      <c r="AN29" s="24" t="inlineStr">
        <is>
          <t>take</t>
        </is>
      </c>
      <c r="AO29" s="24" t="inlineStr">
        <is>
          <t>AUTO_BUYER_EXECUTION</t>
        </is>
      </c>
      <c r="AP29" s="24" t="n"/>
      <c r="AQ29" s="24" t="n"/>
      <c r="AR29" s="24" t="n"/>
      <c r="AS29" s="24" t="n"/>
      <c r="AT29" s="24" t="n"/>
      <c r="AU29" s="24" t="n"/>
      <c r="AV29" s="24" t="n"/>
      <c r="AW29" s="24" t="n"/>
      <c r="AX29" s="24" t="n"/>
      <c r="AY29" s="24" t="n"/>
      <c r="AZ29" s="24" t="n"/>
      <c r="BA29" s="24" t="n"/>
      <c r="BB29" s="24" t="n"/>
      <c r="BC29" s="24" t="n"/>
      <c r="BD29" s="24" t="n"/>
      <c r="BE29" s="24" t="n"/>
      <c r="BF29" s="24" t="n"/>
      <c r="BG29" s="24" t="n"/>
      <c r="BH29" s="24" t="n"/>
      <c r="BI29" s="24" t="n"/>
      <c r="BJ29" s="25" t="n"/>
      <c r="BK29" s="26" t="n"/>
      <c r="BL29" s="27" t="n"/>
      <c r="BM29" s="28" t="n"/>
      <c r="BN29" s="28" t="n"/>
      <c r="BO29" s="28" t="n"/>
      <c r="BP29" s="25" t="n"/>
      <c r="BQ29" s="27" t="n"/>
      <c r="BR29" s="28" t="n"/>
      <c r="BS29" s="28" t="n"/>
      <c r="BT29" s="28" t="n"/>
      <c r="BU29" s="25" t="n"/>
      <c r="BV29" s="29" t="n"/>
      <c r="BW29" s="24" t="n"/>
      <c r="BX29" s="30" t="n"/>
      <c r="BY29" s="27" t="n"/>
      <c r="BZ29" s="24" t="n"/>
      <c r="CA29" s="31" t="n"/>
      <c r="CB29" s="24" t="n"/>
      <c r="CC29" s="24" t="n"/>
      <c r="CD29" s="24" t="n"/>
      <c r="CE29" s="24" t="n"/>
      <c r="CF29" s="24" t="n"/>
      <c r="CG29" s="24" t="n"/>
      <c r="CH29" s="24" t="n"/>
      <c r="CI29" s="24" t="n"/>
      <c r="CJ29" s="24" t="n"/>
      <c r="CK29" s="24" t="n"/>
      <c r="CL29" s="24" t="n"/>
      <c r="CM29" s="24" t="n"/>
      <c r="CN29" s="24" t="n"/>
      <c r="CO29" s="24" t="n"/>
      <c r="CP29" s="24" t="n"/>
      <c r="CQ29" s="24" t="n"/>
      <c r="CR29" s="24" t="n"/>
      <c r="CS29" s="24" t="n"/>
      <c r="CT29" s="24" t="n"/>
      <c r="CU29" s="24" t="n"/>
      <c r="CV29" s="24" t="n"/>
      <c r="CW29" s="24" t="n"/>
      <c r="CX29" s="24" t="n"/>
      <c r="CY29" s="24" t="n"/>
      <c r="CZ29" s="24" t="n"/>
      <c r="DA29" s="24" t="n"/>
      <c r="DB29" s="24" t="n"/>
      <c r="DC29" s="24" t="n"/>
      <c r="DD29" s="24" t="n"/>
      <c r="DE29" s="24" t="n"/>
      <c r="DF29" s="24" t="n"/>
      <c r="DG29" s="24" t="n"/>
      <c r="DH29" s="24" t="n"/>
      <c r="DI29" s="24" t="n"/>
      <c r="DJ29" s="24" t="n"/>
      <c r="DK29" s="24" t="n"/>
      <c r="DL29" s="24" t="n"/>
      <c r="DM29" s="24" t="n"/>
      <c r="DN29" s="24" t="n"/>
      <c r="DO29" s="24" t="n"/>
      <c r="DP29" s="24" t="n"/>
    </row>
    <row r="30" ht="36" customHeight="1">
      <c r="A30" s="24" t="inlineStr">
        <is>
          <t>525d5353a78b4b49</t>
        </is>
      </c>
      <c r="B30" s="24" t="inlineStr">
        <is>
          <t>2026-08-31T04:52:35.718859Z</t>
        </is>
      </c>
      <c r="C30" s="24" t="inlineStr">
        <is>
          <t>2026-08-31T17:00Z</t>
        </is>
      </c>
      <c r="D30" s="24" t="inlineStr">
        <is>
          <t>aec-atp-matarn-jamduc-2026-08-30</t>
        </is>
      </c>
      <c r="E30" s="24" t="inlineStr">
        <is>
          <t>TENNIS</t>
        </is>
      </c>
      <c r="F30" s="24" t="inlineStr">
        <is>
          <t>James Duckworth</t>
        </is>
      </c>
      <c r="G30" s="24" t="inlineStr">
        <is>
          <t>Matteo Arnaldi</t>
        </is>
      </c>
      <c r="H30" s="24" t="inlineStr">
        <is>
          <t>moneyline</t>
        </is>
      </c>
      <c r="I30" s="24" t="inlineStr">
        <is>
          <t>away</t>
        </is>
      </c>
      <c r="J30" s="25" t="n"/>
      <c r="K30" s="24" t="inlineStr">
        <is>
          <t>polymarket_us</t>
        </is>
      </c>
      <c r="L30" s="26" t="n">
        <v>156</v>
      </c>
      <c r="M30" s="27" t="n">
        <v>2.56</v>
      </c>
      <c r="N30" s="28" t="n">
        <v>0.3906</v>
      </c>
      <c r="O30" s="28" t="n">
        <v>0.5743</v>
      </c>
      <c r="P30" s="28" t="n"/>
      <c r="Q30" s="28" t="n">
        <v>0.1843</v>
      </c>
      <c r="R30" s="26" t="n"/>
      <c r="S30" s="29" t="n">
        <v>2</v>
      </c>
      <c r="T30" s="24" t="inlineStr">
        <is>
          <t>tennis-surface-elo-v1</t>
        </is>
      </c>
      <c r="U30" s="24" t="inlineStr">
        <is>
          <t>open</t>
        </is>
      </c>
      <c r="V30" s="24" t="inlineStr">
        <is>
          <t>open</t>
        </is>
      </c>
      <c r="W30" s="26" t="n"/>
      <c r="X30" s="26" t="n"/>
      <c r="Y30" s="25" t="n"/>
      <c r="Z30" s="26" t="n"/>
      <c r="AA30" s="28" t="n"/>
      <c r="AB30" s="28" t="n"/>
      <c r="AC30" s="30" t="n">
        <v>0</v>
      </c>
      <c r="AD30" s="24" t="n"/>
      <c r="AE30" s="31" t="inlineStr">
        <is>
          <t>Auto-Buyer order C6VFCN0FYKDG on aec-atp-matarn-jamduc-2026-08-30 (short)</t>
        </is>
      </c>
      <c r="AF30" s="31" t="n"/>
      <c r="AG30" s="24" t="n"/>
      <c r="AH30" s="24" t="n"/>
      <c r="AI30" s="31" t="n"/>
      <c r="AJ30" s="31" t="n"/>
      <c r="AK30" s="24" t="n"/>
      <c r="AL30" s="26" t="n">
        <v>4</v>
      </c>
      <c r="AM30" s="24" t="inlineStr">
        <is>
          <t>decision</t>
        </is>
      </c>
      <c r="AN30" s="24" t="inlineStr">
        <is>
          <t>take</t>
        </is>
      </c>
      <c r="AO30" s="24" t="inlineStr">
        <is>
          <t>AUTO_BUYER_EXECUTION</t>
        </is>
      </c>
      <c r="AP30" s="24" t="n"/>
      <c r="AQ30" s="24" t="n"/>
      <c r="AR30" s="24" t="n"/>
      <c r="AS30" s="24" t="n"/>
      <c r="AT30" s="24" t="n"/>
      <c r="AU30" s="24" t="n"/>
      <c r="AV30" s="24" t="n"/>
      <c r="AW30" s="24" t="n"/>
      <c r="AX30" s="24" t="n"/>
      <c r="AY30" s="24" t="n"/>
      <c r="AZ30" s="24" t="n"/>
      <c r="BA30" s="24" t="n"/>
      <c r="BB30" s="24" t="n"/>
      <c r="BC30" s="24" t="n"/>
      <c r="BD30" s="24" t="n"/>
      <c r="BE30" s="24" t="n"/>
      <c r="BF30" s="24" t="n"/>
      <c r="BG30" s="24" t="n"/>
      <c r="BH30" s="24" t="n"/>
      <c r="BI30" s="24" t="n"/>
      <c r="BJ30" s="25" t="n"/>
      <c r="BK30" s="26" t="n"/>
      <c r="BL30" s="27" t="n"/>
      <c r="BM30" s="28" t="n"/>
      <c r="BN30" s="28" t="n"/>
      <c r="BO30" s="28" t="n"/>
      <c r="BP30" s="25" t="n"/>
      <c r="BQ30" s="27" t="n"/>
      <c r="BR30" s="28" t="n"/>
      <c r="BS30" s="28" t="n"/>
      <c r="BT30" s="28" t="n"/>
      <c r="BU30" s="25" t="n"/>
      <c r="BV30" s="29" t="n"/>
      <c r="BW30" s="24" t="n"/>
      <c r="BX30" s="30" t="n"/>
      <c r="BY30" s="27" t="n"/>
      <c r="BZ30" s="24" t="n"/>
      <c r="CA30" s="31" t="n"/>
      <c r="CB30" s="24" t="n"/>
      <c r="CC30" s="24" t="n"/>
      <c r="CD30" s="24" t="n"/>
      <c r="CE30" s="24" t="n"/>
      <c r="CF30" s="24" t="n"/>
      <c r="CG30" s="24" t="n"/>
      <c r="CH30" s="24" t="n"/>
      <c r="CI30" s="24" t="n"/>
      <c r="CJ30" s="24" t="n"/>
      <c r="CK30" s="24" t="n"/>
      <c r="CL30" s="24" t="n"/>
      <c r="CM30" s="24" t="n"/>
      <c r="CN30" s="24" t="n"/>
      <c r="CO30" s="24" t="n"/>
      <c r="CP30" s="24" t="n"/>
      <c r="CQ30" s="24" t="n"/>
      <c r="CR30" s="24" t="n"/>
      <c r="CS30" s="24" t="n"/>
      <c r="CT30" s="24" t="n"/>
      <c r="CU30" s="24" t="n"/>
      <c r="CV30" s="24" t="n"/>
      <c r="CW30" s="24" t="n"/>
      <c r="CX30" s="24" t="n"/>
      <c r="CY30" s="24" t="n"/>
      <c r="CZ30" s="24" t="n"/>
      <c r="DA30" s="24" t="n"/>
      <c r="DB30" s="24" t="n"/>
      <c r="DC30" s="24" t="n"/>
      <c r="DD30" s="24" t="n"/>
      <c r="DE30" s="24" t="n"/>
      <c r="DF30" s="24" t="n"/>
      <c r="DG30" s="24" t="n"/>
      <c r="DH30" s="24" t="n"/>
      <c r="DI30" s="24" t="n"/>
      <c r="DJ30" s="24" t="n"/>
      <c r="DK30" s="24" t="n"/>
      <c r="DL30" s="24" t="n"/>
      <c r="DM30" s="24" t="n"/>
      <c r="DN30" s="24" t="n"/>
      <c r="DO30" s="24" t="n"/>
      <c r="DP30" s="24" t="n"/>
    </row>
    <row r="31" ht="36" customHeight="1">
      <c r="A31" s="24" t="inlineStr">
        <is>
          <t>62563810a67a4509</t>
        </is>
      </c>
      <c r="B31" s="24" t="inlineStr">
        <is>
          <t>2026-08-31T04:52:35.718859Z</t>
        </is>
      </c>
      <c r="C31" s="24" t="inlineStr">
        <is>
          <t>2026-08-31T17:00Z</t>
        </is>
      </c>
      <c r="D31" s="24" t="inlineStr">
        <is>
          <t>aec-atp-romsaf-caralc-2026-08-30</t>
        </is>
      </c>
      <c r="E31" s="24" t="inlineStr">
        <is>
          <t>TENNIS</t>
        </is>
      </c>
      <c r="F31" s="24" t="inlineStr">
        <is>
          <t>Carlos Alcaraz</t>
        </is>
      </c>
      <c r="G31" s="24" t="inlineStr">
        <is>
          <t>Roman Safiullin</t>
        </is>
      </c>
      <c r="H31" s="24" t="inlineStr">
        <is>
          <t>moneyline</t>
        </is>
      </c>
      <c r="I31" s="24" t="inlineStr">
        <is>
          <t>away</t>
        </is>
      </c>
      <c r="J31" s="25" t="n"/>
      <c r="K31" s="24" t="inlineStr">
        <is>
          <t>polymarket_us</t>
        </is>
      </c>
      <c r="L31" s="26" t="n">
        <v>-488</v>
      </c>
      <c r="M31" s="27" t="n">
        <v>1.2049</v>
      </c>
      <c r="N31" s="28" t="n">
        <v>0.8299</v>
      </c>
      <c r="O31" s="28" t="n">
        <v>0.9435</v>
      </c>
      <c r="P31" s="28" t="n"/>
      <c r="Q31" s="28" t="n">
        <v>0.1135</v>
      </c>
      <c r="R31" s="26" t="n"/>
      <c r="S31" s="29" t="n">
        <v>1.5</v>
      </c>
      <c r="T31" s="24" t="inlineStr">
        <is>
          <t>tennis-surface-elo-v1</t>
        </is>
      </c>
      <c r="U31" s="24" t="inlineStr">
        <is>
          <t>settled</t>
        </is>
      </c>
      <c r="V31" s="24" t="inlineStr">
        <is>
          <t>win</t>
        </is>
      </c>
      <c r="W31" s="26" t="n">
        <v>1</v>
      </c>
      <c r="X31" s="26" t="n"/>
      <c r="Y31" s="25" t="n"/>
      <c r="Z31" s="26" t="n"/>
      <c r="AA31" s="28" t="n"/>
      <c r="AB31" s="28" t="n"/>
      <c r="AC31" s="30" t="n">
        <v>0.31</v>
      </c>
      <c r="AD31" s="24" t="inlineStr">
        <is>
          <t>2026-08-31T19:58:20.483072Z</t>
        </is>
      </c>
      <c r="AE31" s="31" t="inlineStr">
        <is>
          <t>Auto-Buyer order C6VGABM5CKDK on aec-atp-romsaf-caralc-2026-08-30 (short)</t>
        </is>
      </c>
      <c r="AF31" s="31" t="n"/>
      <c r="AG31" s="24" t="n"/>
      <c r="AH31" s="24" t="n"/>
      <c r="AI31" s="31" t="n"/>
      <c r="AJ31" s="31" t="n"/>
      <c r="AK31" s="24" t="n"/>
      <c r="AL31" s="26" t="n">
        <v>4</v>
      </c>
      <c r="AM31" s="24" t="inlineStr">
        <is>
          <t>decision</t>
        </is>
      </c>
      <c r="AN31" s="24" t="inlineStr">
        <is>
          <t>take</t>
        </is>
      </c>
      <c r="AO31" s="24" t="inlineStr">
        <is>
          <t>AUTO_BUYER_EXECUTION</t>
        </is>
      </c>
      <c r="AP31" s="24" t="n"/>
      <c r="AQ31" s="24" t="n"/>
      <c r="AR31" s="24" t="n"/>
      <c r="AS31" s="24" t="n"/>
      <c r="AT31" s="24" t="n"/>
      <c r="AU31" s="24" t="n"/>
      <c r="AV31" s="24" t="n"/>
      <c r="AW31" s="24" t="n"/>
      <c r="AX31" s="24" t="n"/>
      <c r="AY31" s="24" t="n"/>
      <c r="AZ31" s="24" t="n"/>
      <c r="BA31" s="24" t="n"/>
      <c r="BB31" s="24" t="n"/>
      <c r="BC31" s="24" t="n"/>
      <c r="BD31" s="24" t="n"/>
      <c r="BE31" s="24" t="n"/>
      <c r="BF31" s="24" t="n"/>
      <c r="BG31" s="24" t="n"/>
      <c r="BH31" s="24" t="n"/>
      <c r="BI31" s="24" t="n"/>
      <c r="BJ31" s="25" t="n"/>
      <c r="BK31" s="26" t="n"/>
      <c r="BL31" s="27" t="n"/>
      <c r="BM31" s="28" t="n"/>
      <c r="BN31" s="28" t="n"/>
      <c r="BO31" s="28" t="n"/>
      <c r="BP31" s="25" t="n"/>
      <c r="BQ31" s="27" t="n"/>
      <c r="BR31" s="28" t="n"/>
      <c r="BS31" s="28" t="n"/>
      <c r="BT31" s="28" t="n"/>
      <c r="BU31" s="25" t="n"/>
      <c r="BV31" s="29" t="n"/>
      <c r="BW31" s="24" t="n"/>
      <c r="BX31" s="30" t="n"/>
      <c r="BY31" s="27" t="n"/>
      <c r="BZ31" s="24" t="n"/>
      <c r="CA31" s="31" t="n"/>
      <c r="CB31" s="24" t="n"/>
      <c r="CC31" s="24" t="n"/>
      <c r="CD31" s="24" t="n"/>
      <c r="CE31" s="24" t="n"/>
      <c r="CF31" s="24" t="n"/>
      <c r="CG31" s="24" t="n"/>
      <c r="CH31" s="24" t="n"/>
      <c r="CI31" s="24" t="n"/>
      <c r="CJ31" s="24" t="n"/>
      <c r="CK31" s="24" t="n"/>
      <c r="CL31" s="24" t="n"/>
      <c r="CM31" s="24" t="n"/>
      <c r="CN31" s="24" t="n"/>
      <c r="CO31" s="24" t="n"/>
      <c r="CP31" s="24" t="n"/>
      <c r="CQ31" s="24" t="n"/>
      <c r="CR31" s="24" t="n"/>
      <c r="CS31" s="24" t="n"/>
      <c r="CT31" s="24" t="n"/>
      <c r="CU31" s="24" t="n"/>
      <c r="CV31" s="24" t="n"/>
      <c r="CW31" s="24" t="n"/>
      <c r="CX31" s="24" t="n"/>
      <c r="CY31" s="24" t="n"/>
      <c r="CZ31" s="24" t="n"/>
      <c r="DA31" s="24" t="n"/>
      <c r="DB31" s="24" t="n"/>
      <c r="DC31" s="24" t="n"/>
      <c r="DD31" s="24" t="n"/>
      <c r="DE31" s="24" t="n"/>
      <c r="DF31" s="24" t="n"/>
      <c r="DG31" s="24" t="n"/>
      <c r="DH31" s="24" t="n"/>
      <c r="DI31" s="24" t="n"/>
      <c r="DJ31" s="24" t="n"/>
      <c r="DK31" s="24" t="n"/>
      <c r="DL31" s="24" t="n"/>
      <c r="DM31" s="24" t="n"/>
      <c r="DN31" s="24" t="n"/>
      <c r="DO31" s="24" t="n"/>
      <c r="DP31" s="24" t="n"/>
    </row>
    <row r="32" ht="36" customHeight="1">
      <c r="A32" s="24" t="inlineStr">
        <is>
          <t>a405afb6c6f7469b</t>
        </is>
      </c>
      <c r="B32" s="24" t="inlineStr">
        <is>
          <t>2026-08-31T04:52:35.718859Z</t>
        </is>
      </c>
      <c r="C32" s="24" t="inlineStr">
        <is>
          <t>2026-08-31T18:00Z</t>
        </is>
      </c>
      <c r="D32" s="24" t="inlineStr">
        <is>
          <t>aec-atp-dalsvr-valroy-2026-08-30</t>
        </is>
      </c>
      <c r="E32" s="24" t="inlineStr">
        <is>
          <t>TENNIS</t>
        </is>
      </c>
      <c r="F32" s="24" t="inlineStr">
        <is>
          <t>Valentin Royer</t>
        </is>
      </c>
      <c r="G32" s="24" t="inlineStr">
        <is>
          <t>Dalibor Svrcina</t>
        </is>
      </c>
      <c r="H32" s="24" t="inlineStr">
        <is>
          <t>moneyline</t>
        </is>
      </c>
      <c r="I32" s="24" t="inlineStr">
        <is>
          <t>home</t>
        </is>
      </c>
      <c r="J32" s="25" t="n"/>
      <c r="K32" s="24" t="inlineStr">
        <is>
          <t>polymarket_us</t>
        </is>
      </c>
      <c r="L32" s="26" t="n">
        <v>104</v>
      </c>
      <c r="M32" s="27" t="n">
        <v>2.04</v>
      </c>
      <c r="N32" s="28" t="n">
        <v>0.4902</v>
      </c>
      <c r="O32" s="28" t="n">
        <v>0.5763</v>
      </c>
      <c r="P32" s="28" t="n"/>
      <c r="Q32" s="28" t="n">
        <v>0.0863</v>
      </c>
      <c r="R32" s="26" t="n"/>
      <c r="S32" s="29" t="n">
        <v>1.25</v>
      </c>
      <c r="T32" s="24" t="inlineStr">
        <is>
          <t>tennis-surface-elo-v1</t>
        </is>
      </c>
      <c r="U32" s="24" t="inlineStr">
        <is>
          <t>open</t>
        </is>
      </c>
      <c r="V32" s="24" t="inlineStr">
        <is>
          <t>open</t>
        </is>
      </c>
      <c r="W32" s="26" t="n"/>
      <c r="X32" s="26" t="n"/>
      <c r="Y32" s="25" t="n"/>
      <c r="Z32" s="26" t="n"/>
      <c r="AA32" s="28" t="n"/>
      <c r="AB32" s="28" t="n"/>
      <c r="AC32" s="30" t="n">
        <v>0</v>
      </c>
      <c r="AD32" s="24" t="n"/>
      <c r="AE32" s="31" t="inlineStr">
        <is>
          <t>Auto-Buyer order C6VEZ2T7JKDC on aec-atp-dalsvr-valroy-2026-08-30 (long)</t>
        </is>
      </c>
      <c r="AF32" s="31" t="n"/>
      <c r="AG32" s="24" t="n"/>
      <c r="AH32" s="24" t="n"/>
      <c r="AI32" s="31" t="n"/>
      <c r="AJ32" s="31" t="n"/>
      <c r="AK32" s="24" t="n"/>
      <c r="AL32" s="26" t="n">
        <v>4</v>
      </c>
      <c r="AM32" s="24" t="inlineStr">
        <is>
          <t>decision</t>
        </is>
      </c>
      <c r="AN32" s="24" t="inlineStr">
        <is>
          <t>take</t>
        </is>
      </c>
      <c r="AO32" s="24" t="inlineStr">
        <is>
          <t>AUTO_BUYER_EXECUTION</t>
        </is>
      </c>
      <c r="AP32" s="24" t="n"/>
      <c r="AQ32" s="24" t="n"/>
      <c r="AR32" s="24" t="n"/>
      <c r="AS32" s="24" t="n"/>
      <c r="AT32" s="24" t="n"/>
      <c r="AU32" s="24" t="n"/>
      <c r="AV32" s="24" t="n"/>
      <c r="AW32" s="24" t="n"/>
      <c r="AX32" s="24" t="n"/>
      <c r="AY32" s="24" t="n"/>
      <c r="AZ32" s="24" t="n"/>
      <c r="BA32" s="24" t="n"/>
      <c r="BB32" s="24" t="n"/>
      <c r="BC32" s="24" t="n"/>
      <c r="BD32" s="24" t="n"/>
      <c r="BE32" s="24" t="n"/>
      <c r="BF32" s="24" t="n"/>
      <c r="BG32" s="24" t="n"/>
      <c r="BH32" s="24" t="n"/>
      <c r="BI32" s="24" t="n"/>
      <c r="BJ32" s="25" t="n"/>
      <c r="BK32" s="26" t="n"/>
      <c r="BL32" s="27" t="n"/>
      <c r="BM32" s="28" t="n"/>
      <c r="BN32" s="28" t="n"/>
      <c r="BO32" s="28" t="n"/>
      <c r="BP32" s="25" t="n"/>
      <c r="BQ32" s="27" t="n"/>
      <c r="BR32" s="28" t="n"/>
      <c r="BS32" s="28" t="n"/>
      <c r="BT32" s="28" t="n"/>
      <c r="BU32" s="25" t="n"/>
      <c r="BV32" s="29" t="n"/>
      <c r="BW32" s="24" t="n"/>
      <c r="BX32" s="30" t="n"/>
      <c r="BY32" s="27" t="n"/>
      <c r="BZ32" s="24" t="n"/>
      <c r="CA32" s="31" t="n"/>
      <c r="CB32" s="24" t="n"/>
      <c r="CC32" s="24" t="n"/>
      <c r="CD32" s="24" t="n"/>
      <c r="CE32" s="24" t="n"/>
      <c r="CF32" s="24" t="n"/>
      <c r="CG32" s="24" t="n"/>
      <c r="CH32" s="24" t="n"/>
      <c r="CI32" s="24" t="n"/>
      <c r="CJ32" s="24" t="n"/>
      <c r="CK32" s="24" t="n"/>
      <c r="CL32" s="24" t="n"/>
      <c r="CM32" s="24" t="n"/>
      <c r="CN32" s="24" t="n"/>
      <c r="CO32" s="24" t="n"/>
      <c r="CP32" s="24" t="n"/>
      <c r="CQ32" s="24" t="n"/>
      <c r="CR32" s="24" t="n"/>
      <c r="CS32" s="24" t="n"/>
      <c r="CT32" s="24" t="n"/>
      <c r="CU32" s="24" t="n"/>
      <c r="CV32" s="24" t="n"/>
      <c r="CW32" s="24" t="n"/>
      <c r="CX32" s="24" t="n"/>
      <c r="CY32" s="24" t="n"/>
      <c r="CZ32" s="24" t="n"/>
      <c r="DA32" s="24" t="n"/>
      <c r="DB32" s="24" t="n"/>
      <c r="DC32" s="24" t="n"/>
      <c r="DD32" s="24" t="n"/>
      <c r="DE32" s="24" t="n"/>
      <c r="DF32" s="24" t="n"/>
      <c r="DG32" s="24" t="n"/>
      <c r="DH32" s="24" t="n"/>
      <c r="DI32" s="24" t="n"/>
      <c r="DJ32" s="24" t="n"/>
      <c r="DK32" s="24" t="n"/>
      <c r="DL32" s="24" t="n"/>
      <c r="DM32" s="24" t="n"/>
      <c r="DN32" s="24" t="n"/>
      <c r="DO32" s="24" t="n"/>
      <c r="DP32" s="24" t="n"/>
    </row>
    <row r="33" ht="36" customHeight="1">
      <c r="A33" s="24" t="inlineStr">
        <is>
          <t>34d64f0e02e04343</t>
        </is>
      </c>
      <c r="B33" s="24" t="inlineStr">
        <is>
          <t>2026-08-31T04:52:35.718859Z</t>
        </is>
      </c>
      <c r="C33" s="24" t="inlineStr">
        <is>
          <t>2026-08-31T18:30Z</t>
        </is>
      </c>
      <c r="D33" s="24" t="inlineStr">
        <is>
          <t>aec-atp-jurrod-gioper-2026-08-30</t>
        </is>
      </c>
      <c r="E33" s="24" t="inlineStr">
        <is>
          <t>TENNIS</t>
        </is>
      </c>
      <c r="F33" s="24" t="inlineStr">
        <is>
          <t>Giovanni Mpetshi Perricard</t>
        </is>
      </c>
      <c r="G33" s="24" t="inlineStr">
        <is>
          <t>Jurij Rodionov</t>
        </is>
      </c>
      <c r="H33" s="24" t="inlineStr">
        <is>
          <t>moneyline</t>
        </is>
      </c>
      <c r="I33" s="24" t="inlineStr">
        <is>
          <t>home</t>
        </is>
      </c>
      <c r="J33" s="25" t="n"/>
      <c r="K33" s="24" t="inlineStr">
        <is>
          <t>polymarket_us</t>
        </is>
      </c>
      <c r="L33" s="26" t="n">
        <v>104</v>
      </c>
      <c r="M33" s="27" t="n">
        <v>2.04</v>
      </c>
      <c r="N33" s="28" t="n">
        <v>0.4902</v>
      </c>
      <c r="O33" s="28" t="n">
        <v>0.5453</v>
      </c>
      <c r="P33" s="28" t="n"/>
      <c r="Q33" s="28" t="n">
        <v>0.0553</v>
      </c>
      <c r="R33" s="26" t="n"/>
      <c r="S33" s="29" t="n">
        <v>1</v>
      </c>
      <c r="T33" s="24" t="inlineStr">
        <is>
          <t>tennis-surface-elo-v1</t>
        </is>
      </c>
      <c r="U33" s="24" t="inlineStr">
        <is>
          <t>settled</t>
        </is>
      </c>
      <c r="V33" s="24" t="inlineStr">
        <is>
          <t>win</t>
        </is>
      </c>
      <c r="W33" s="26" t="n"/>
      <c r="X33" s="26" t="n">
        <v>1</v>
      </c>
      <c r="Y33" s="25" t="n"/>
      <c r="Z33" s="26" t="n"/>
      <c r="AA33" s="28" t="n"/>
      <c r="AB33" s="28" t="n"/>
      <c r="AC33" s="30" t="n">
        <v>1.04</v>
      </c>
      <c r="AD33" s="24" t="inlineStr">
        <is>
          <t>2026-08-31T19:58:20.483072Z</t>
        </is>
      </c>
      <c r="AE33" s="31" t="inlineStr">
        <is>
          <t>Auto-Buyer order C6VF7S7KGKDM on aec-atp-jurrod-gioper-2026-08-30 (long)</t>
        </is>
      </c>
      <c r="AF33" s="31" t="n"/>
      <c r="AG33" s="24" t="n"/>
      <c r="AH33" s="24" t="n"/>
      <c r="AI33" s="31" t="n"/>
      <c r="AJ33" s="31" t="n"/>
      <c r="AK33" s="24" t="n"/>
      <c r="AL33" s="26" t="n">
        <v>4</v>
      </c>
      <c r="AM33" s="24" t="inlineStr">
        <is>
          <t>decision</t>
        </is>
      </c>
      <c r="AN33" s="24" t="inlineStr">
        <is>
          <t>take</t>
        </is>
      </c>
      <c r="AO33" s="24" t="inlineStr">
        <is>
          <t>AUTO_BUYER_EXECUTION</t>
        </is>
      </c>
      <c r="AP33" s="24" t="n"/>
      <c r="AQ33" s="24" t="n"/>
      <c r="AR33" s="24" t="n"/>
      <c r="AS33" s="24" t="n"/>
      <c r="AT33" s="24" t="n"/>
      <c r="AU33" s="24" t="n"/>
      <c r="AV33" s="24" t="n"/>
      <c r="AW33" s="24" t="n"/>
      <c r="AX33" s="24" t="n"/>
      <c r="AY33" s="24" t="n"/>
      <c r="AZ33" s="24" t="n"/>
      <c r="BA33" s="24" t="n"/>
      <c r="BB33" s="24" t="n"/>
      <c r="BC33" s="24" t="n"/>
      <c r="BD33" s="24" t="n"/>
      <c r="BE33" s="24" t="n"/>
      <c r="BF33" s="24" t="n"/>
      <c r="BG33" s="24" t="n"/>
      <c r="BH33" s="24" t="n"/>
      <c r="BI33" s="24" t="n"/>
      <c r="BJ33" s="25" t="n"/>
      <c r="BK33" s="26" t="n"/>
      <c r="BL33" s="27" t="n"/>
      <c r="BM33" s="28" t="n"/>
      <c r="BN33" s="28" t="n"/>
      <c r="BO33" s="28" t="n"/>
      <c r="BP33" s="25" t="n"/>
      <c r="BQ33" s="27" t="n"/>
      <c r="BR33" s="28" t="n"/>
      <c r="BS33" s="28" t="n"/>
      <c r="BT33" s="28" t="n"/>
      <c r="BU33" s="25" t="n"/>
      <c r="BV33" s="29" t="n"/>
      <c r="BW33" s="24" t="n"/>
      <c r="BX33" s="30" t="n"/>
      <c r="BY33" s="27" t="n"/>
      <c r="BZ33" s="24" t="n"/>
      <c r="CA33" s="31" t="n"/>
      <c r="CB33" s="24" t="n"/>
      <c r="CC33" s="24" t="n"/>
      <c r="CD33" s="24" t="n"/>
      <c r="CE33" s="24" t="n"/>
      <c r="CF33" s="24" t="n"/>
      <c r="CG33" s="24" t="n"/>
      <c r="CH33" s="24" t="n"/>
      <c r="CI33" s="24" t="n"/>
      <c r="CJ33" s="24" t="n"/>
      <c r="CK33" s="24" t="n"/>
      <c r="CL33" s="24" t="n"/>
      <c r="CM33" s="24" t="n"/>
      <c r="CN33" s="24" t="n"/>
      <c r="CO33" s="24" t="n"/>
      <c r="CP33" s="24" t="n"/>
      <c r="CQ33" s="24" t="n"/>
      <c r="CR33" s="24" t="n"/>
      <c r="CS33" s="24" t="n"/>
      <c r="CT33" s="24" t="n"/>
      <c r="CU33" s="24" t="n"/>
      <c r="CV33" s="24" t="n"/>
      <c r="CW33" s="24" t="n"/>
      <c r="CX33" s="24" t="n"/>
      <c r="CY33" s="24" t="n"/>
      <c r="CZ33" s="24" t="n"/>
      <c r="DA33" s="24" t="n"/>
      <c r="DB33" s="24" t="n"/>
      <c r="DC33" s="24" t="n"/>
      <c r="DD33" s="24" t="n"/>
      <c r="DE33" s="24" t="n"/>
      <c r="DF33" s="24" t="n"/>
      <c r="DG33" s="24" t="n"/>
      <c r="DH33" s="24" t="n"/>
      <c r="DI33" s="24" t="n"/>
      <c r="DJ33" s="24" t="n"/>
      <c r="DK33" s="24" t="n"/>
      <c r="DL33" s="24" t="n"/>
      <c r="DM33" s="24" t="n"/>
      <c r="DN33" s="24" t="n"/>
      <c r="DO33" s="24" t="n"/>
      <c r="DP33" s="24" t="n"/>
    </row>
    <row r="34" ht="36" customHeight="1">
      <c r="A34" s="24" t="inlineStr">
        <is>
          <t>f138da48996b4c4e</t>
        </is>
      </c>
      <c r="B34" s="24" t="inlineStr">
        <is>
          <t>2026-08-31T04:52:35.718859Z</t>
        </is>
      </c>
      <c r="C34" s="24" t="inlineStr">
        <is>
          <t>2026-08-31T20:30Z</t>
        </is>
      </c>
      <c r="D34" s="24" t="inlineStr">
        <is>
          <t>aec-atp-yanhan-aletab-2026-08-30</t>
        </is>
      </c>
      <c r="E34" s="24" t="inlineStr">
        <is>
          <t>TENNIS</t>
        </is>
      </c>
      <c r="F34" s="24" t="inlineStr">
        <is>
          <t>Alejandro Tabilo</t>
        </is>
      </c>
      <c r="G34" s="24" t="inlineStr">
        <is>
          <t>Yannick Hanfmann</t>
        </is>
      </c>
      <c r="H34" s="24" t="inlineStr">
        <is>
          <t>moneyline</t>
        </is>
      </c>
      <c r="I34" s="24" t="inlineStr">
        <is>
          <t>home</t>
        </is>
      </c>
      <c r="J34" s="25" t="n"/>
      <c r="K34" s="24" t="inlineStr">
        <is>
          <t>polymarket_us</t>
        </is>
      </c>
      <c r="L34" s="26" t="n">
        <v>133</v>
      </c>
      <c r="M34" s="27" t="n">
        <v>2.33</v>
      </c>
      <c r="N34" s="28" t="n">
        <v>0.4292</v>
      </c>
      <c r="O34" s="28" t="n">
        <v>0.5565</v>
      </c>
      <c r="P34" s="28" t="n"/>
      <c r="Q34" s="28" t="n">
        <v>0.1265</v>
      </c>
      <c r="R34" s="26" t="n"/>
      <c r="S34" s="29" t="n">
        <v>1.5</v>
      </c>
      <c r="T34" s="24" t="inlineStr">
        <is>
          <t>tennis-surface-elo-v1</t>
        </is>
      </c>
      <c r="U34" s="24" t="inlineStr">
        <is>
          <t>open</t>
        </is>
      </c>
      <c r="V34" s="24" t="inlineStr">
        <is>
          <t>open</t>
        </is>
      </c>
      <c r="W34" s="26" t="n"/>
      <c r="X34" s="26" t="n"/>
      <c r="Y34" s="25" t="n"/>
      <c r="Z34" s="26" t="n"/>
      <c r="AA34" s="28" t="n"/>
      <c r="AB34" s="28" t="n"/>
      <c r="AC34" s="30" t="n">
        <v>0</v>
      </c>
      <c r="AD34" s="24" t="n"/>
      <c r="AE34" s="31" t="inlineStr">
        <is>
          <t>Auto-Buyer order C6VEZ2V6CKDC on aec-atp-yanhan-aletab-2026-08-30 (long)</t>
        </is>
      </c>
      <c r="AF34" s="31" t="n"/>
      <c r="AG34" s="24" t="n"/>
      <c r="AH34" s="24" t="n"/>
      <c r="AI34" s="31" t="n"/>
      <c r="AJ34" s="31" t="n"/>
      <c r="AK34" s="24" t="n"/>
      <c r="AL34" s="26" t="n">
        <v>4</v>
      </c>
      <c r="AM34" s="24" t="inlineStr">
        <is>
          <t>decision</t>
        </is>
      </c>
      <c r="AN34" s="24" t="inlineStr">
        <is>
          <t>take</t>
        </is>
      </c>
      <c r="AO34" s="24" t="inlineStr">
        <is>
          <t>AUTO_BUYER_EXECUTION</t>
        </is>
      </c>
      <c r="AP34" s="24" t="n"/>
      <c r="AQ34" s="24" t="n"/>
      <c r="AR34" s="24" t="n"/>
      <c r="AS34" s="24" t="n"/>
      <c r="AT34" s="24" t="n"/>
      <c r="AU34" s="24" t="n"/>
      <c r="AV34" s="24" t="n"/>
      <c r="AW34" s="24" t="n"/>
      <c r="AX34" s="24" t="n"/>
      <c r="AY34" s="24" t="n"/>
      <c r="AZ34" s="24" t="n"/>
      <c r="BA34" s="24" t="n"/>
      <c r="BB34" s="24" t="n"/>
      <c r="BC34" s="24" t="n"/>
      <c r="BD34" s="24" t="n"/>
      <c r="BE34" s="24" t="n"/>
      <c r="BF34" s="24" t="n"/>
      <c r="BG34" s="24" t="n"/>
      <c r="BH34" s="24" t="n"/>
      <c r="BI34" s="24" t="n"/>
      <c r="BJ34" s="25" t="n"/>
      <c r="BK34" s="26" t="n"/>
      <c r="BL34" s="27" t="n"/>
      <c r="BM34" s="28" t="n"/>
      <c r="BN34" s="28" t="n"/>
      <c r="BO34" s="28" t="n"/>
      <c r="BP34" s="25" t="n"/>
      <c r="BQ34" s="27" t="n"/>
      <c r="BR34" s="28" t="n"/>
      <c r="BS34" s="28" t="n"/>
      <c r="BT34" s="28" t="n"/>
      <c r="BU34" s="25" t="n"/>
      <c r="BV34" s="29" t="n"/>
      <c r="BW34" s="24" t="n"/>
      <c r="BX34" s="30" t="n"/>
      <c r="BY34" s="27" t="n"/>
      <c r="BZ34" s="24" t="n"/>
      <c r="CA34" s="31" t="n"/>
      <c r="CB34" s="24" t="n"/>
      <c r="CC34" s="24" t="n"/>
      <c r="CD34" s="24" t="n"/>
      <c r="CE34" s="24" t="n"/>
      <c r="CF34" s="24" t="n"/>
      <c r="CG34" s="24" t="n"/>
      <c r="CH34" s="24" t="n"/>
      <c r="CI34" s="24" t="n"/>
      <c r="CJ34" s="24" t="n"/>
      <c r="CK34" s="24" t="n"/>
      <c r="CL34" s="24" t="n"/>
      <c r="CM34" s="24" t="n"/>
      <c r="CN34" s="24" t="n"/>
      <c r="CO34" s="24" t="n"/>
      <c r="CP34" s="24" t="n"/>
      <c r="CQ34" s="24" t="n"/>
      <c r="CR34" s="24" t="n"/>
      <c r="CS34" s="24" t="n"/>
      <c r="CT34" s="24" t="n"/>
      <c r="CU34" s="24" t="n"/>
      <c r="CV34" s="24" t="n"/>
      <c r="CW34" s="24" t="n"/>
      <c r="CX34" s="24" t="n"/>
      <c r="CY34" s="24" t="n"/>
      <c r="CZ34" s="24" t="n"/>
      <c r="DA34" s="24" t="n"/>
      <c r="DB34" s="24" t="n"/>
      <c r="DC34" s="24" t="n"/>
      <c r="DD34" s="24" t="n"/>
      <c r="DE34" s="24" t="n"/>
      <c r="DF34" s="24" t="n"/>
      <c r="DG34" s="24" t="n"/>
      <c r="DH34" s="24" t="n"/>
      <c r="DI34" s="24" t="n"/>
      <c r="DJ34" s="24" t="n"/>
      <c r="DK34" s="24" t="n"/>
      <c r="DL34" s="24" t="n"/>
      <c r="DM34" s="24" t="n"/>
      <c r="DN34" s="24" t="n"/>
      <c r="DO34" s="24" t="n"/>
      <c r="DP34" s="24" t="n"/>
    </row>
    <row r="35" ht="36" customHeight="1">
      <c r="A35" s="24" t="inlineStr">
        <is>
          <t>87994ded7cbc49d8</t>
        </is>
      </c>
      <c r="B35" s="24" t="inlineStr">
        <is>
          <t>2026-08-31T04:52:35.718859Z</t>
        </is>
      </c>
      <c r="C35" s="24" t="inlineStr">
        <is>
          <t>2026-08-31T08:00:00Z</t>
        </is>
      </c>
      <c r="D35" s="24" t="inlineStr">
        <is>
          <t>aec-cs2-ssins-havu-2026-08-31</t>
        </is>
      </c>
      <c r="E35" s="24" t="inlineStr">
        <is>
          <t>CS2</t>
        </is>
      </c>
      <c r="F35" s="24" t="inlineStr">
        <is>
          <t>HAVU</t>
        </is>
      </c>
      <c r="G35" s="24" t="inlineStr">
        <is>
          <t>Saint Sinners</t>
        </is>
      </c>
      <c r="H35" s="24" t="inlineStr">
        <is>
          <t>moneyline</t>
        </is>
      </c>
      <c r="I35" s="24" t="inlineStr">
        <is>
          <t>home</t>
        </is>
      </c>
      <c r="J35" s="25" t="n"/>
      <c r="K35" s="24" t="inlineStr">
        <is>
          <t>polymarket_us</t>
        </is>
      </c>
      <c r="L35" s="26" t="n">
        <v>113</v>
      </c>
      <c r="M35" s="27" t="n">
        <v>2.13</v>
      </c>
      <c r="N35" s="28" t="n">
        <v>0.4695</v>
      </c>
      <c r="O35" s="28" t="n">
        <v>0.5151</v>
      </c>
      <c r="P35" s="28" t="n"/>
      <c r="Q35" s="28" t="n">
        <v>0.0451</v>
      </c>
      <c r="R35" s="26" t="n"/>
      <c r="S35" s="29" t="n">
        <v>1</v>
      </c>
      <c r="T35" s="24" t="inlineStr">
        <is>
          <t>cs2-tiered-elo-v6</t>
        </is>
      </c>
      <c r="U35" s="24" t="inlineStr">
        <is>
          <t>settled</t>
        </is>
      </c>
      <c r="V35" s="24" t="inlineStr">
        <is>
          <t>win</t>
        </is>
      </c>
      <c r="W35" s="26" t="n"/>
      <c r="X35" s="26" t="n"/>
      <c r="Y35" s="25" t="n"/>
      <c r="Z35" s="26" t="n"/>
      <c r="AA35" s="28" t="n"/>
      <c r="AB35" s="28" t="n"/>
      <c r="AC35" s="30" t="n">
        <v>1.13</v>
      </c>
      <c r="AD35" s="24" t="inlineStr">
        <is>
          <t>2026-08-31T16:02:25.134027Z</t>
        </is>
      </c>
      <c r="AE35" s="31" t="inlineStr">
        <is>
          <t>Auto-Buyer order C6VFCN1GAKDG on aec-cs2-ssins-havu-2026-08-31 (long)</t>
        </is>
      </c>
      <c r="AF35" s="31" t="n"/>
      <c r="AG35" s="24" t="n"/>
      <c r="AH35" s="24" t="n"/>
      <c r="AI35" s="31" t="n"/>
      <c r="AJ35" s="31" t="n"/>
      <c r="AK35" s="24" t="n"/>
      <c r="AL35" s="26" t="n">
        <v>4</v>
      </c>
      <c r="AM35" s="24" t="inlineStr">
        <is>
          <t>decision</t>
        </is>
      </c>
      <c r="AN35" s="24" t="inlineStr">
        <is>
          <t>take</t>
        </is>
      </c>
      <c r="AO35" s="24" t="inlineStr">
        <is>
          <t>AUTO_BUYER_EXECUTION</t>
        </is>
      </c>
      <c r="AP35" s="24" t="n"/>
      <c r="AQ35" s="24" t="n"/>
      <c r="AR35" s="24" t="n"/>
      <c r="AS35" s="24" t="n"/>
      <c r="AT35" s="24" t="n"/>
      <c r="AU35" s="24" t="n"/>
      <c r="AV35" s="24" t="n"/>
      <c r="AW35" s="24" t="n"/>
      <c r="AX35" s="24" t="n"/>
      <c r="AY35" s="24" t="n"/>
      <c r="AZ35" s="24" t="n"/>
      <c r="BA35" s="24" t="n"/>
      <c r="BB35" s="24" t="n"/>
      <c r="BC35" s="24" t="n"/>
      <c r="BD35" s="24" t="n"/>
      <c r="BE35" s="24" t="n"/>
      <c r="BF35" s="24" t="n"/>
      <c r="BG35" s="24" t="n"/>
      <c r="BH35" s="24" t="n"/>
      <c r="BI35" s="24" t="n"/>
      <c r="BJ35" s="25" t="n"/>
      <c r="BK35" s="26" t="n"/>
      <c r="BL35" s="27" t="n"/>
      <c r="BM35" s="28" t="n"/>
      <c r="BN35" s="28" t="n"/>
      <c r="BO35" s="28" t="n"/>
      <c r="BP35" s="25" t="n"/>
      <c r="BQ35" s="27" t="n"/>
      <c r="BR35" s="28" t="n"/>
      <c r="BS35" s="28" t="n"/>
      <c r="BT35" s="28" t="n"/>
      <c r="BU35" s="25" t="n"/>
      <c r="BV35" s="29" t="n"/>
      <c r="BW35" s="24" t="n"/>
      <c r="BX35" s="30" t="n"/>
      <c r="BY35" s="27" t="n"/>
      <c r="BZ35" s="24" t="n"/>
      <c r="CA35" s="31" t="n"/>
      <c r="CB35" s="24" t="n"/>
      <c r="CC35" s="24" t="n"/>
      <c r="CD35" s="24" t="n"/>
      <c r="CE35" s="24" t="n"/>
      <c r="CF35" s="24" t="n"/>
      <c r="CG35" s="24" t="n"/>
      <c r="CH35" s="24" t="n"/>
      <c r="CI35" s="24" t="n"/>
      <c r="CJ35" s="24" t="n"/>
      <c r="CK35" s="24" t="n"/>
      <c r="CL35" s="24" t="n"/>
      <c r="CM35" s="24" t="n"/>
      <c r="CN35" s="24" t="n"/>
      <c r="CO35" s="24" t="n"/>
      <c r="CP35" s="24" t="n"/>
      <c r="CQ35" s="24" t="n"/>
      <c r="CR35" s="24" t="n"/>
      <c r="CS35" s="24" t="n"/>
      <c r="CT35" s="24" t="n"/>
      <c r="CU35" s="24" t="n"/>
      <c r="CV35" s="24" t="n"/>
      <c r="CW35" s="24" t="n"/>
      <c r="CX35" s="24" t="n"/>
      <c r="CY35" s="24" t="n"/>
      <c r="CZ35" s="24" t="n"/>
      <c r="DA35" s="24" t="n"/>
      <c r="DB35" s="24" t="n"/>
      <c r="DC35" s="24" t="n"/>
      <c r="DD35" s="24" t="n"/>
      <c r="DE35" s="24" t="n"/>
      <c r="DF35" s="24" t="n"/>
      <c r="DG35" s="24" t="n"/>
      <c r="DH35" s="24" t="n"/>
      <c r="DI35" s="24" t="n"/>
      <c r="DJ35" s="24" t="n"/>
      <c r="DK35" s="24" t="n"/>
      <c r="DL35" s="24" t="n"/>
      <c r="DM35" s="24" t="n"/>
      <c r="DN35" s="24" t="n"/>
      <c r="DO35" s="24" t="n"/>
      <c r="DP35" s="24" t="n"/>
    </row>
    <row r="36" ht="36" customHeight="1">
      <c r="A36" s="24" t="inlineStr">
        <is>
          <t>76d3b05a54a14e62</t>
        </is>
      </c>
      <c r="B36" s="24" t="inlineStr">
        <is>
          <t>2026-08-31T04:52:35.718859Z</t>
        </is>
      </c>
      <c r="C36" s="24" t="inlineStr">
        <is>
          <t>2026-08-31T10:30:00Z</t>
        </is>
      </c>
      <c r="D36" s="24" t="inlineStr">
        <is>
          <t>aec-cs2-ff-mel-2026-08-31</t>
        </is>
      </c>
      <c r="E36" s="24" t="inlineStr">
        <is>
          <t>CS2</t>
        </is>
      </c>
      <c r="F36" s="24" t="inlineStr">
        <is>
          <t>mellren</t>
        </is>
      </c>
      <c r="G36" s="24" t="inlineStr">
        <is>
          <t>Fire Flux Esports</t>
        </is>
      </c>
      <c r="H36" s="24" t="inlineStr">
        <is>
          <t>moneyline</t>
        </is>
      </c>
      <c r="I36" s="24" t="inlineStr">
        <is>
          <t>away</t>
        </is>
      </c>
      <c r="J36" s="25" t="n"/>
      <c r="K36" s="24" t="inlineStr">
        <is>
          <t>polymarket_us</t>
        </is>
      </c>
      <c r="L36" s="26" t="n">
        <v>-113</v>
      </c>
      <c r="M36" s="27" t="n">
        <v>1.885</v>
      </c>
      <c r="N36" s="28" t="n">
        <v>0.5305</v>
      </c>
      <c r="O36" s="28" t="n">
        <v>0.5667</v>
      </c>
      <c r="P36" s="28" t="n"/>
      <c r="Q36" s="28" t="n">
        <v>0.0367</v>
      </c>
      <c r="R36" s="26" t="n"/>
      <c r="S36" s="29" t="n">
        <v>1</v>
      </c>
      <c r="T36" s="24" t="inlineStr">
        <is>
          <t>cs2-tiered-elo-v6</t>
        </is>
      </c>
      <c r="U36" s="24" t="inlineStr">
        <is>
          <t>open</t>
        </is>
      </c>
      <c r="V36" s="24" t="inlineStr">
        <is>
          <t>open</t>
        </is>
      </c>
      <c r="W36" s="26" t="n"/>
      <c r="X36" s="26" t="n"/>
      <c r="Y36" s="25" t="n"/>
      <c r="Z36" s="26" t="n"/>
      <c r="AA36" s="28" t="n"/>
      <c r="AB36" s="28" t="n"/>
      <c r="AC36" s="30" t="n">
        <v>0</v>
      </c>
      <c r="AD36" s="24" t="n"/>
      <c r="AE36" s="31" t="inlineStr">
        <is>
          <t>Auto-Buyer order C6VGABNFWKDK on aec-cs2-ff-mel-2026-08-31 (short)</t>
        </is>
      </c>
      <c r="AF36" s="31" t="n"/>
      <c r="AG36" s="24" t="n"/>
      <c r="AH36" s="24" t="n"/>
      <c r="AI36" s="31" t="n"/>
      <c r="AJ36" s="31" t="n"/>
      <c r="AK36" s="24" t="n"/>
      <c r="AL36" s="26" t="n">
        <v>4</v>
      </c>
      <c r="AM36" s="24" t="inlineStr">
        <is>
          <t>decision</t>
        </is>
      </c>
      <c r="AN36" s="24" t="inlineStr">
        <is>
          <t>take</t>
        </is>
      </c>
      <c r="AO36" s="24" t="inlineStr">
        <is>
          <t>AUTO_BUYER_EXECUTION</t>
        </is>
      </c>
      <c r="AP36" s="24" t="n"/>
      <c r="AQ36" s="24" t="n"/>
      <c r="AR36" s="24" t="n"/>
      <c r="AS36" s="24" t="n"/>
      <c r="AT36" s="24" t="n"/>
      <c r="AU36" s="24" t="n"/>
      <c r="AV36" s="24" t="n"/>
      <c r="AW36" s="24" t="n"/>
      <c r="AX36" s="24" t="n"/>
      <c r="AY36" s="24" t="n"/>
      <c r="AZ36" s="24" t="n"/>
      <c r="BA36" s="24" t="n"/>
      <c r="BB36" s="24" t="n"/>
      <c r="BC36" s="24" t="n"/>
      <c r="BD36" s="24" t="n"/>
      <c r="BE36" s="24" t="n"/>
      <c r="BF36" s="24" t="n"/>
      <c r="BG36" s="24" t="n"/>
      <c r="BH36" s="24" t="n"/>
      <c r="BI36" s="24" t="n"/>
      <c r="BJ36" s="25" t="n"/>
      <c r="BK36" s="26" t="n"/>
      <c r="BL36" s="27" t="n"/>
      <c r="BM36" s="28" t="n"/>
      <c r="BN36" s="28" t="n"/>
      <c r="BO36" s="28" t="n"/>
      <c r="BP36" s="25" t="n"/>
      <c r="BQ36" s="27" t="n"/>
      <c r="BR36" s="28" t="n"/>
      <c r="BS36" s="28" t="n"/>
      <c r="BT36" s="28" t="n"/>
      <c r="BU36" s="25" t="n"/>
      <c r="BV36" s="29" t="n"/>
      <c r="BW36" s="24" t="n"/>
      <c r="BX36" s="30" t="n"/>
      <c r="BY36" s="27" t="n"/>
      <c r="BZ36" s="24" t="n"/>
      <c r="CA36" s="31" t="n"/>
      <c r="CB36" s="24" t="n"/>
      <c r="CC36" s="24" t="n"/>
      <c r="CD36" s="24" t="n"/>
      <c r="CE36" s="24" t="n"/>
      <c r="CF36" s="24" t="n"/>
      <c r="CG36" s="24" t="n"/>
      <c r="CH36" s="24" t="n"/>
      <c r="CI36" s="24" t="n"/>
      <c r="CJ36" s="24" t="n"/>
      <c r="CK36" s="24" t="n"/>
      <c r="CL36" s="24" t="n"/>
      <c r="CM36" s="24" t="n"/>
      <c r="CN36" s="24" t="n"/>
      <c r="CO36" s="24" t="n"/>
      <c r="CP36" s="24" t="n"/>
      <c r="CQ36" s="24" t="n"/>
      <c r="CR36" s="24" t="n"/>
      <c r="CS36" s="24" t="n"/>
      <c r="CT36" s="24" t="n"/>
      <c r="CU36" s="24" t="n"/>
      <c r="CV36" s="24" t="n"/>
      <c r="CW36" s="24" t="n"/>
      <c r="CX36" s="24" t="n"/>
      <c r="CY36" s="24" t="n"/>
      <c r="CZ36" s="24" t="n"/>
      <c r="DA36" s="24" t="n"/>
      <c r="DB36" s="24" t="n"/>
      <c r="DC36" s="24" t="n"/>
      <c r="DD36" s="24" t="n"/>
      <c r="DE36" s="24" t="n"/>
      <c r="DF36" s="24" t="n"/>
      <c r="DG36" s="24" t="n"/>
      <c r="DH36" s="24" t="n"/>
      <c r="DI36" s="24" t="n"/>
      <c r="DJ36" s="24" t="n"/>
      <c r="DK36" s="24" t="n"/>
      <c r="DL36" s="24" t="n"/>
      <c r="DM36" s="24" t="n"/>
      <c r="DN36" s="24" t="n"/>
      <c r="DO36" s="24" t="n"/>
      <c r="DP36" s="24" t="n"/>
    </row>
    <row r="37" ht="36" customHeight="1">
      <c r="A37" s="24" t="inlineStr">
        <is>
          <t>6d6be9d1964a4439</t>
        </is>
      </c>
      <c r="B37" s="24" t="inlineStr">
        <is>
          <t>2026-08-31T04:52:35.718859Z</t>
        </is>
      </c>
      <c r="C37" s="24" t="inlineStr">
        <is>
          <t>2026-08-31T11:30:00Z</t>
        </is>
      </c>
      <c r="D37" s="24" t="inlineStr">
        <is>
          <t>aec-cs2-g2-aur-2026-08-31</t>
        </is>
      </c>
      <c r="E37" s="24" t="inlineStr">
        <is>
          <t>CS2</t>
        </is>
      </c>
      <c r="F37" s="24" t="inlineStr">
        <is>
          <t>Aurora Gaming</t>
        </is>
      </c>
      <c r="G37" s="24" t="inlineStr">
        <is>
          <t>G2</t>
        </is>
      </c>
      <c r="H37" s="24" t="inlineStr">
        <is>
          <t>moneyline</t>
        </is>
      </c>
      <c r="I37" s="24" t="inlineStr">
        <is>
          <t>home</t>
        </is>
      </c>
      <c r="J37" s="25" t="n"/>
      <c r="K37" s="24" t="inlineStr">
        <is>
          <t>polymarket_us</t>
        </is>
      </c>
      <c r="L37" s="26" t="n">
        <v>-122</v>
      </c>
      <c r="M37" s="27" t="n">
        <v>1.8197</v>
      </c>
      <c r="N37" s="28" t="n">
        <v>0.5495</v>
      </c>
      <c r="O37" s="28" t="n">
        <v>0.6077</v>
      </c>
      <c r="P37" s="28" t="n"/>
      <c r="Q37" s="28" t="n">
        <v>0.0577</v>
      </c>
      <c r="R37" s="26" t="n"/>
      <c r="S37" s="29" t="n">
        <v>1</v>
      </c>
      <c r="T37" s="24" t="inlineStr">
        <is>
          <t>cs2-tiered-elo-v6</t>
        </is>
      </c>
      <c r="U37" s="24" t="inlineStr">
        <is>
          <t>settled</t>
        </is>
      </c>
      <c r="V37" s="24" t="inlineStr">
        <is>
          <t>win</t>
        </is>
      </c>
      <c r="W37" s="26" t="n"/>
      <c r="X37" s="26" t="n"/>
      <c r="Y37" s="25" t="n"/>
      <c r="Z37" s="26" t="n"/>
      <c r="AA37" s="28" t="n"/>
      <c r="AB37" s="28" t="n"/>
      <c r="AC37" s="30" t="n">
        <v>0.82</v>
      </c>
      <c r="AD37" s="24" t="inlineStr">
        <is>
          <t>2026-08-31T16:02:25.134027Z</t>
        </is>
      </c>
      <c r="AE37" s="31" t="inlineStr">
        <is>
          <t>Auto-Buyer order C6VGABNP6KDK on aec-cs2-g2-aur-2026-08-31 (long)</t>
        </is>
      </c>
      <c r="AF37" s="31" t="n"/>
      <c r="AG37" s="24" t="n"/>
      <c r="AH37" s="24" t="n"/>
      <c r="AI37" s="31" t="n"/>
      <c r="AJ37" s="31" t="n"/>
      <c r="AK37" s="24" t="n"/>
      <c r="AL37" s="26" t="n">
        <v>4</v>
      </c>
      <c r="AM37" s="24" t="inlineStr">
        <is>
          <t>decision</t>
        </is>
      </c>
      <c r="AN37" s="24" t="inlineStr">
        <is>
          <t>take</t>
        </is>
      </c>
      <c r="AO37" s="24" t="inlineStr">
        <is>
          <t>AUTO_BUYER_EXECUTION</t>
        </is>
      </c>
      <c r="AP37" s="24" t="n"/>
      <c r="AQ37" s="24" t="n"/>
      <c r="AR37" s="24" t="n"/>
      <c r="AS37" s="24" t="n"/>
      <c r="AT37" s="24" t="n"/>
      <c r="AU37" s="24" t="n"/>
      <c r="AV37" s="24" t="n"/>
      <c r="AW37" s="24" t="n"/>
      <c r="AX37" s="24" t="n"/>
      <c r="AY37" s="24" t="n"/>
      <c r="AZ37" s="24" t="n"/>
      <c r="BA37" s="24" t="n"/>
      <c r="BB37" s="24" t="n"/>
      <c r="BC37" s="24" t="n"/>
      <c r="BD37" s="24" t="n"/>
      <c r="BE37" s="24" t="n"/>
      <c r="BF37" s="24" t="n"/>
      <c r="BG37" s="24" t="n"/>
      <c r="BH37" s="24" t="n"/>
      <c r="BI37" s="24" t="n"/>
      <c r="BJ37" s="25" t="n"/>
      <c r="BK37" s="26" t="n"/>
      <c r="BL37" s="27" t="n"/>
      <c r="BM37" s="28" t="n"/>
      <c r="BN37" s="28" t="n"/>
      <c r="BO37" s="28" t="n"/>
      <c r="BP37" s="25" t="n"/>
      <c r="BQ37" s="27" t="n"/>
      <c r="BR37" s="28" t="n"/>
      <c r="BS37" s="28" t="n"/>
      <c r="BT37" s="28" t="n"/>
      <c r="BU37" s="25" t="n"/>
      <c r="BV37" s="29" t="n"/>
      <c r="BW37" s="24" t="n"/>
      <c r="BX37" s="30" t="n"/>
      <c r="BY37" s="27" t="n"/>
      <c r="BZ37" s="24" t="n"/>
      <c r="CA37" s="31" t="n"/>
      <c r="CB37" s="24" t="n"/>
      <c r="CC37" s="24" t="n"/>
      <c r="CD37" s="24" t="n"/>
      <c r="CE37" s="24" t="n"/>
      <c r="CF37" s="24" t="n"/>
      <c r="CG37" s="24" t="n"/>
      <c r="CH37" s="24" t="n"/>
      <c r="CI37" s="24" t="n"/>
      <c r="CJ37" s="24" t="n"/>
      <c r="CK37" s="24" t="n"/>
      <c r="CL37" s="24" t="n"/>
      <c r="CM37" s="24" t="n"/>
      <c r="CN37" s="24" t="n"/>
      <c r="CO37" s="24" t="n"/>
      <c r="CP37" s="24" t="n"/>
      <c r="CQ37" s="24" t="n"/>
      <c r="CR37" s="24" t="n"/>
      <c r="CS37" s="24" t="n"/>
      <c r="CT37" s="24" t="n"/>
      <c r="CU37" s="24" t="n"/>
      <c r="CV37" s="24" t="n"/>
      <c r="CW37" s="24" t="n"/>
      <c r="CX37" s="24" t="n"/>
      <c r="CY37" s="24" t="n"/>
      <c r="CZ37" s="24" t="n"/>
      <c r="DA37" s="24" t="n"/>
      <c r="DB37" s="24" t="n"/>
      <c r="DC37" s="24" t="n"/>
      <c r="DD37" s="24" t="n"/>
      <c r="DE37" s="24" t="n"/>
      <c r="DF37" s="24" t="n"/>
      <c r="DG37" s="24" t="n"/>
      <c r="DH37" s="24" t="n"/>
      <c r="DI37" s="24" t="n"/>
      <c r="DJ37" s="24" t="n"/>
      <c r="DK37" s="24" t="n"/>
      <c r="DL37" s="24" t="n"/>
      <c r="DM37" s="24" t="n"/>
      <c r="DN37" s="24" t="n"/>
      <c r="DO37" s="24" t="n"/>
      <c r="DP37" s="24" t="n"/>
    </row>
    <row r="38" ht="36" customHeight="1">
      <c r="A38" s="24" t="inlineStr">
        <is>
          <t>69301f19746a4d8d</t>
        </is>
      </c>
      <c r="B38" s="24" t="inlineStr">
        <is>
          <t>2026-08-31T04:52:35.718859Z</t>
        </is>
      </c>
      <c r="C38" s="24" t="inlineStr">
        <is>
          <t>2026-08-31T12:00:00Z</t>
        </is>
      </c>
      <c r="D38" s="24" t="inlineStr">
        <is>
          <t>aec-cs2-nem-ntr-2026-08-31</t>
        </is>
      </c>
      <c r="E38" s="24" t="inlineStr">
        <is>
          <t>CS2</t>
        </is>
      </c>
      <c r="F38" s="24" t="inlineStr">
        <is>
          <t>Nuclear TigeRES</t>
        </is>
      </c>
      <c r="G38" s="24" t="inlineStr">
        <is>
          <t>Team Nemesis</t>
        </is>
      </c>
      <c r="H38" s="24" t="inlineStr">
        <is>
          <t>moneyline</t>
        </is>
      </c>
      <c r="I38" s="24" t="inlineStr">
        <is>
          <t>away</t>
        </is>
      </c>
      <c r="J38" s="25" t="n"/>
      <c r="K38" s="24" t="inlineStr">
        <is>
          <t>polymarket_us</t>
        </is>
      </c>
      <c r="L38" s="26" t="n">
        <v>-100</v>
      </c>
      <c r="M38" s="27" t="n">
        <v>2</v>
      </c>
      <c r="N38" s="28" t="n">
        <v>0.5</v>
      </c>
      <c r="O38" s="28" t="n">
        <v>0.6264999999999999</v>
      </c>
      <c r="P38" s="28" t="n"/>
      <c r="Q38" s="28" t="n">
        <v>0.1265</v>
      </c>
      <c r="R38" s="26" t="n"/>
      <c r="S38" s="29" t="n">
        <v>1.5</v>
      </c>
      <c r="T38" s="24" t="inlineStr">
        <is>
          <t>cs2-tiered-elo-v6</t>
        </is>
      </c>
      <c r="U38" s="24" t="inlineStr">
        <is>
          <t>open</t>
        </is>
      </c>
      <c r="V38" s="24" t="inlineStr">
        <is>
          <t>open</t>
        </is>
      </c>
      <c r="W38" s="26" t="n"/>
      <c r="X38" s="26" t="n"/>
      <c r="Y38" s="25" t="n"/>
      <c r="Z38" s="26" t="n"/>
      <c r="AA38" s="28" t="n"/>
      <c r="AB38" s="28" t="n"/>
      <c r="AC38" s="30" t="n">
        <v>0</v>
      </c>
      <c r="AD38" s="24" t="n"/>
      <c r="AE38" s="31" t="inlineStr">
        <is>
          <t>Auto-Buyer order C6VFCN23GKDG on aec-cs2-nem-ntr-2026-08-31 (short)</t>
        </is>
      </c>
      <c r="AF38" s="31" t="n"/>
      <c r="AG38" s="24" t="n"/>
      <c r="AH38" s="24" t="n"/>
      <c r="AI38" s="31" t="n"/>
      <c r="AJ38" s="31" t="n"/>
      <c r="AK38" s="24" t="n"/>
      <c r="AL38" s="26" t="n">
        <v>4</v>
      </c>
      <c r="AM38" s="24" t="inlineStr">
        <is>
          <t>decision</t>
        </is>
      </c>
      <c r="AN38" s="24" t="inlineStr">
        <is>
          <t>take</t>
        </is>
      </c>
      <c r="AO38" s="24" t="inlineStr">
        <is>
          <t>AUTO_BUYER_EXECUTION</t>
        </is>
      </c>
      <c r="AP38" s="24" t="n"/>
      <c r="AQ38" s="24" t="n"/>
      <c r="AR38" s="24" t="n"/>
      <c r="AS38" s="24" t="n"/>
      <c r="AT38" s="24" t="n"/>
      <c r="AU38" s="24" t="n"/>
      <c r="AV38" s="24" t="n"/>
      <c r="AW38" s="24" t="n"/>
      <c r="AX38" s="24" t="n"/>
      <c r="AY38" s="24" t="n"/>
      <c r="AZ38" s="24" t="n"/>
      <c r="BA38" s="24" t="n"/>
      <c r="BB38" s="24" t="n"/>
      <c r="BC38" s="24" t="n"/>
      <c r="BD38" s="24" t="n"/>
      <c r="BE38" s="24" t="n"/>
      <c r="BF38" s="24" t="n"/>
      <c r="BG38" s="24" t="n"/>
      <c r="BH38" s="24" t="n"/>
      <c r="BI38" s="24" t="n"/>
      <c r="BJ38" s="25" t="n"/>
      <c r="BK38" s="26" t="n"/>
      <c r="BL38" s="27" t="n"/>
      <c r="BM38" s="28" t="n"/>
      <c r="BN38" s="28" t="n"/>
      <c r="BO38" s="28" t="n"/>
      <c r="BP38" s="25" t="n"/>
      <c r="BQ38" s="27" t="n"/>
      <c r="BR38" s="28" t="n"/>
      <c r="BS38" s="28" t="n"/>
      <c r="BT38" s="28" t="n"/>
      <c r="BU38" s="25" t="n"/>
      <c r="BV38" s="29" t="n"/>
      <c r="BW38" s="24" t="n"/>
      <c r="BX38" s="30" t="n"/>
      <c r="BY38" s="27" t="n"/>
      <c r="BZ38" s="24" t="n"/>
      <c r="CA38" s="31" t="n"/>
      <c r="CB38" s="24" t="n"/>
      <c r="CC38" s="24" t="n"/>
      <c r="CD38" s="24" t="n"/>
      <c r="CE38" s="24" t="n"/>
      <c r="CF38" s="24" t="n"/>
      <c r="CG38" s="24" t="n"/>
      <c r="CH38" s="24" t="n"/>
      <c r="CI38" s="24" t="n"/>
      <c r="CJ38" s="24" t="n"/>
      <c r="CK38" s="24" t="n"/>
      <c r="CL38" s="24" t="n"/>
      <c r="CM38" s="24" t="n"/>
      <c r="CN38" s="24" t="n"/>
      <c r="CO38" s="24" t="n"/>
      <c r="CP38" s="24" t="n"/>
      <c r="CQ38" s="24" t="n"/>
      <c r="CR38" s="24" t="n"/>
      <c r="CS38" s="24" t="n"/>
      <c r="CT38" s="24" t="n"/>
      <c r="CU38" s="24" t="n"/>
      <c r="CV38" s="24" t="n"/>
      <c r="CW38" s="24" t="n"/>
      <c r="CX38" s="24" t="n"/>
      <c r="CY38" s="24" t="n"/>
      <c r="CZ38" s="24" t="n"/>
      <c r="DA38" s="24" t="n"/>
      <c r="DB38" s="24" t="n"/>
      <c r="DC38" s="24" t="n"/>
      <c r="DD38" s="24" t="n"/>
      <c r="DE38" s="24" t="n"/>
      <c r="DF38" s="24" t="n"/>
      <c r="DG38" s="24" t="n"/>
      <c r="DH38" s="24" t="n"/>
      <c r="DI38" s="24" t="n"/>
      <c r="DJ38" s="24" t="n"/>
      <c r="DK38" s="24" t="n"/>
      <c r="DL38" s="24" t="n"/>
      <c r="DM38" s="24" t="n"/>
      <c r="DN38" s="24" t="n"/>
      <c r="DO38" s="24" t="n"/>
      <c r="DP38" s="24" t="n"/>
    </row>
    <row r="39" ht="36" customHeight="1">
      <c r="A39" s="24" t="inlineStr">
        <is>
          <t>08a9248313f04395</t>
        </is>
      </c>
      <c r="B39" s="24" t="inlineStr">
        <is>
          <t>2026-08-31T04:52:35.718859Z</t>
        </is>
      </c>
      <c r="C39" s="24" t="inlineStr">
        <is>
          <t>2026-08-31T12:30:00Z</t>
        </is>
      </c>
      <c r="D39" s="24" t="inlineStr">
        <is>
          <t>aec-cs2-cw-5s-2026-08-31</t>
        </is>
      </c>
      <c r="E39" s="24" t="inlineStr">
        <is>
          <t>CS2</t>
        </is>
      </c>
      <c r="F39" s="24" t="inlineStr">
        <is>
          <t>5star</t>
        </is>
      </c>
      <c r="G39" s="24" t="inlineStr">
        <is>
          <t>Chinggis Warriors</t>
        </is>
      </c>
      <c r="H39" s="24" t="inlineStr">
        <is>
          <t>moneyline</t>
        </is>
      </c>
      <c r="I39" s="24" t="inlineStr">
        <is>
          <t>home</t>
        </is>
      </c>
      <c r="J39" s="25" t="n"/>
      <c r="K39" s="24" t="inlineStr">
        <is>
          <t>polymarket_us</t>
        </is>
      </c>
      <c r="L39" s="26" t="n">
        <v>-122</v>
      </c>
      <c r="M39" s="27" t="n">
        <v>1.8197</v>
      </c>
      <c r="N39" s="28" t="n">
        <v>0.5305</v>
      </c>
      <c r="O39" s="28" t="n">
        <v>0.6124000000000001</v>
      </c>
      <c r="P39" s="28" t="n"/>
      <c r="Q39" s="28" t="n">
        <v>0.0624</v>
      </c>
      <c r="R39" s="26" t="n"/>
      <c r="S39" s="29" t="n">
        <v>1.25</v>
      </c>
      <c r="T39" s="24" t="inlineStr">
        <is>
          <t>cs2-tiered-elo-v6</t>
        </is>
      </c>
      <c r="U39" s="24" t="inlineStr">
        <is>
          <t>settled</t>
        </is>
      </c>
      <c r="V39" s="24" t="inlineStr">
        <is>
          <t>loss</t>
        </is>
      </c>
      <c r="W39" s="26" t="n"/>
      <c r="X39" s="26" t="n"/>
      <c r="Y39" s="25" t="n"/>
      <c r="Z39" s="26" t="n"/>
      <c r="AA39" s="28" t="n"/>
      <c r="AB39" s="28" t="n"/>
      <c r="AC39" s="30" t="n">
        <v>-1.25</v>
      </c>
      <c r="AD39" s="24" t="inlineStr">
        <is>
          <t>2026-08-31T16:02:25.134027Z</t>
        </is>
      </c>
      <c r="AE39" s="31" t="inlineStr">
        <is>
          <t>Auto-Buyer order C6VFNHBQEKDJ on aec-cs2-cw-5s-2026-08-31 (long)</t>
        </is>
      </c>
      <c r="AF39" s="31" t="n"/>
      <c r="AG39" s="24" t="n"/>
      <c r="AH39" s="24" t="n"/>
      <c r="AI39" s="31" t="n"/>
      <c r="AJ39" s="31" t="n"/>
      <c r="AK39" s="24" t="n"/>
      <c r="AL39" s="26" t="n">
        <v>4</v>
      </c>
      <c r="AM39" s="24" t="inlineStr">
        <is>
          <t>decision</t>
        </is>
      </c>
      <c r="AN39" s="24" t="inlineStr">
        <is>
          <t>take</t>
        </is>
      </c>
      <c r="AO39" s="24" t="inlineStr">
        <is>
          <t>AUTO_BUYER_EXECUTION</t>
        </is>
      </c>
      <c r="AP39" s="24" t="n"/>
      <c r="AQ39" s="24" t="n"/>
      <c r="AR39" s="24" t="n"/>
      <c r="AS39" s="24" t="n"/>
      <c r="AT39" s="24" t="n"/>
      <c r="AU39" s="24" t="n"/>
      <c r="AV39" s="24" t="n"/>
      <c r="AW39" s="24" t="n"/>
      <c r="AX39" s="24" t="n"/>
      <c r="AY39" s="24" t="n"/>
      <c r="AZ39" s="24" t="n"/>
      <c r="BA39" s="24" t="n"/>
      <c r="BB39" s="24" t="n"/>
      <c r="BC39" s="24" t="n"/>
      <c r="BD39" s="24" t="n"/>
      <c r="BE39" s="24" t="n"/>
      <c r="BF39" s="24" t="n"/>
      <c r="BG39" s="24" t="n"/>
      <c r="BH39" s="24" t="n"/>
      <c r="BI39" s="24" t="n"/>
      <c r="BJ39" s="25" t="n"/>
      <c r="BK39" s="26" t="n"/>
      <c r="BL39" s="27" t="n"/>
      <c r="BM39" s="28" t="n"/>
      <c r="BN39" s="28" t="n"/>
      <c r="BO39" s="28" t="n"/>
      <c r="BP39" s="25" t="n"/>
      <c r="BQ39" s="27" t="n"/>
      <c r="BR39" s="28" t="n"/>
      <c r="BS39" s="28" t="n"/>
      <c r="BT39" s="28" t="n"/>
      <c r="BU39" s="25" t="n"/>
      <c r="BV39" s="29" t="n"/>
      <c r="BW39" s="24" t="n"/>
      <c r="BX39" s="30" t="n"/>
      <c r="BY39" s="27" t="n"/>
      <c r="BZ39" s="24" t="n"/>
      <c r="CA39" s="31" t="n"/>
      <c r="CB39" s="24" t="n"/>
      <c r="CC39" s="24" t="n"/>
      <c r="CD39" s="24" t="n"/>
      <c r="CE39" s="24" t="n"/>
      <c r="CF39" s="24" t="n"/>
      <c r="CG39" s="24" t="n"/>
      <c r="CH39" s="24" t="n"/>
      <c r="CI39" s="24" t="n"/>
      <c r="CJ39" s="24" t="n"/>
      <c r="CK39" s="24" t="n"/>
      <c r="CL39" s="24" t="n"/>
      <c r="CM39" s="24" t="n"/>
      <c r="CN39" s="24" t="n"/>
      <c r="CO39" s="24" t="n"/>
      <c r="CP39" s="24" t="n"/>
      <c r="CQ39" s="24" t="n"/>
      <c r="CR39" s="24" t="n"/>
      <c r="CS39" s="24" t="n"/>
      <c r="CT39" s="24" t="n"/>
      <c r="CU39" s="24" t="n"/>
      <c r="CV39" s="24" t="n"/>
      <c r="CW39" s="24" t="n"/>
      <c r="CX39" s="24" t="n"/>
      <c r="CY39" s="24" t="n"/>
      <c r="CZ39" s="24" t="n"/>
      <c r="DA39" s="24" t="n"/>
      <c r="DB39" s="24" t="n"/>
      <c r="DC39" s="24" t="n"/>
      <c r="DD39" s="24" t="n"/>
      <c r="DE39" s="24" t="n"/>
      <c r="DF39" s="24" t="n"/>
      <c r="DG39" s="24" t="n"/>
      <c r="DH39" s="24" t="n"/>
      <c r="DI39" s="24" t="n"/>
      <c r="DJ39" s="24" t="n"/>
      <c r="DK39" s="24" t="n"/>
      <c r="DL39" s="24" t="n"/>
      <c r="DM39" s="24" t="n"/>
      <c r="DN39" s="24" t="n"/>
      <c r="DO39" s="24" t="n"/>
      <c r="DP39" s="24" t="n"/>
    </row>
    <row r="40" ht="36" customHeight="1">
      <c r="A40" s="24" t="inlineStr">
        <is>
          <t>10fe43507a894dff</t>
        </is>
      </c>
      <c r="B40" s="24" t="inlineStr">
        <is>
          <t>2026-08-31T04:52:35.718859Z</t>
        </is>
      </c>
      <c r="C40" s="24" t="inlineStr">
        <is>
          <t>2026-08-31T14:00:00Z</t>
        </is>
      </c>
      <c r="D40" s="24" t="inlineStr">
        <is>
          <t>aec-cs2-mouz-fal-2026-08-31</t>
        </is>
      </c>
      <c r="E40" s="24" t="inlineStr">
        <is>
          <t>CS2</t>
        </is>
      </c>
      <c r="F40" s="24" t="inlineStr">
        <is>
          <t>Team Falcons</t>
        </is>
      </c>
      <c r="G40" s="24" t="inlineStr">
        <is>
          <t>MOUZ</t>
        </is>
      </c>
      <c r="H40" s="24" t="inlineStr">
        <is>
          <t>moneyline</t>
        </is>
      </c>
      <c r="I40" s="24" t="inlineStr">
        <is>
          <t>away</t>
        </is>
      </c>
      <c r="J40" s="25" t="n"/>
      <c r="K40" s="24" t="inlineStr">
        <is>
          <t>polymarket_us</t>
        </is>
      </c>
      <c r="L40" s="26" t="n">
        <v>-122</v>
      </c>
      <c r="M40" s="27" t="n">
        <v>1.8197</v>
      </c>
      <c r="N40" s="28" t="n">
        <v>0.5495</v>
      </c>
      <c r="O40" s="28" t="n">
        <v>0.5978</v>
      </c>
      <c r="P40" s="28" t="n"/>
      <c r="Q40" s="28" t="n">
        <v>0.0478</v>
      </c>
      <c r="R40" s="26" t="n"/>
      <c r="S40" s="29" t="n">
        <v>1</v>
      </c>
      <c r="T40" s="24" t="inlineStr">
        <is>
          <t>cs2-tiered-elo-v6</t>
        </is>
      </c>
      <c r="U40" s="24" t="inlineStr">
        <is>
          <t>open</t>
        </is>
      </c>
      <c r="V40" s="24" t="inlineStr">
        <is>
          <t>open</t>
        </is>
      </c>
      <c r="W40" s="26" t="n"/>
      <c r="X40" s="26" t="n"/>
      <c r="Y40" s="25" t="n"/>
      <c r="Z40" s="26" t="n"/>
      <c r="AA40" s="28" t="n"/>
      <c r="AB40" s="28" t="n"/>
      <c r="AC40" s="30" t="n">
        <v>0</v>
      </c>
      <c r="AD40" s="24" t="n"/>
      <c r="AE40" s="31" t="inlineStr">
        <is>
          <t>Auto-Buyer order C6VFCN32YKDG on aec-cs2-mouz-fal-2026-08-31 (short)</t>
        </is>
      </c>
      <c r="AF40" s="31" t="n"/>
      <c r="AG40" s="24" t="n"/>
      <c r="AH40" s="24" t="n"/>
      <c r="AI40" s="31" t="n"/>
      <c r="AJ40" s="31" t="n"/>
      <c r="AK40" s="24" t="n"/>
      <c r="AL40" s="26" t="n">
        <v>4</v>
      </c>
      <c r="AM40" s="24" t="inlineStr">
        <is>
          <t>decision</t>
        </is>
      </c>
      <c r="AN40" s="24" t="inlineStr">
        <is>
          <t>take</t>
        </is>
      </c>
      <c r="AO40" s="24" t="inlineStr">
        <is>
          <t>AUTO_BUYER_EXECUTION</t>
        </is>
      </c>
      <c r="AP40" s="24" t="n"/>
      <c r="AQ40" s="24" t="n"/>
      <c r="AR40" s="24" t="n"/>
      <c r="AS40" s="24" t="n"/>
      <c r="AT40" s="24" t="n"/>
      <c r="AU40" s="24" t="n"/>
      <c r="AV40" s="24" t="n"/>
      <c r="AW40" s="24" t="n"/>
      <c r="AX40" s="24" t="n"/>
      <c r="AY40" s="24" t="n"/>
      <c r="AZ40" s="24" t="n"/>
      <c r="BA40" s="24" t="n"/>
      <c r="BB40" s="24" t="n"/>
      <c r="BC40" s="24" t="n"/>
      <c r="BD40" s="24" t="n"/>
      <c r="BE40" s="24" t="n"/>
      <c r="BF40" s="24" t="n"/>
      <c r="BG40" s="24" t="n"/>
      <c r="BH40" s="24" t="n"/>
      <c r="BI40" s="24" t="n"/>
      <c r="BJ40" s="25" t="n"/>
      <c r="BK40" s="26" t="n"/>
      <c r="BL40" s="27" t="n"/>
      <c r="BM40" s="28" t="n"/>
      <c r="BN40" s="28" t="n"/>
      <c r="BO40" s="28" t="n"/>
      <c r="BP40" s="25" t="n"/>
      <c r="BQ40" s="27" t="n"/>
      <c r="BR40" s="28" t="n"/>
      <c r="BS40" s="28" t="n"/>
      <c r="BT40" s="28" t="n"/>
      <c r="BU40" s="25" t="n"/>
      <c r="BV40" s="29" t="n"/>
      <c r="BW40" s="24" t="n"/>
      <c r="BX40" s="30" t="n"/>
      <c r="BY40" s="27" t="n"/>
      <c r="BZ40" s="24" t="n"/>
      <c r="CA40" s="31" t="n"/>
      <c r="CB40" s="24" t="n"/>
      <c r="CC40" s="24" t="n"/>
      <c r="CD40" s="24" t="n"/>
      <c r="CE40" s="24" t="n"/>
      <c r="CF40" s="24" t="n"/>
      <c r="CG40" s="24" t="n"/>
      <c r="CH40" s="24" t="n"/>
      <c r="CI40" s="24" t="n"/>
      <c r="CJ40" s="24" t="n"/>
      <c r="CK40" s="24" t="n"/>
      <c r="CL40" s="24" t="n"/>
      <c r="CM40" s="24" t="n"/>
      <c r="CN40" s="24" t="n"/>
      <c r="CO40" s="24" t="n"/>
      <c r="CP40" s="24" t="n"/>
      <c r="CQ40" s="24" t="n"/>
      <c r="CR40" s="24" t="n"/>
      <c r="CS40" s="24" t="n"/>
      <c r="CT40" s="24" t="n"/>
      <c r="CU40" s="24" t="n"/>
      <c r="CV40" s="24" t="n"/>
      <c r="CW40" s="24" t="n"/>
      <c r="CX40" s="24" t="n"/>
      <c r="CY40" s="24" t="n"/>
      <c r="CZ40" s="24" t="n"/>
      <c r="DA40" s="24" t="n"/>
      <c r="DB40" s="24" t="n"/>
      <c r="DC40" s="24" t="n"/>
      <c r="DD40" s="24" t="n"/>
      <c r="DE40" s="24" t="n"/>
      <c r="DF40" s="24" t="n"/>
      <c r="DG40" s="24" t="n"/>
      <c r="DH40" s="24" t="n"/>
      <c r="DI40" s="24" t="n"/>
      <c r="DJ40" s="24" t="n"/>
      <c r="DK40" s="24" t="n"/>
      <c r="DL40" s="24" t="n"/>
      <c r="DM40" s="24" t="n"/>
      <c r="DN40" s="24" t="n"/>
      <c r="DO40" s="24" t="n"/>
      <c r="DP40" s="24" t="n"/>
    </row>
    <row r="41" ht="36" customHeight="1">
      <c r="A41" s="24" t="inlineStr">
        <is>
          <t>2888a62dd3ba4d78</t>
        </is>
      </c>
      <c r="B41" s="24" t="inlineStr">
        <is>
          <t>2026-08-31T04:52:35.718859Z</t>
        </is>
      </c>
      <c r="C41" s="24" t="inlineStr">
        <is>
          <t>2026-08-31T16:30:00Z</t>
        </is>
      </c>
      <c r="D41" s="24" t="inlineStr">
        <is>
          <t>aec-cs2-fut-vit-2026-08-31</t>
        </is>
      </c>
      <c r="E41" s="24" t="inlineStr">
        <is>
          <t>CS2</t>
        </is>
      </c>
      <c r="F41" s="24" t="inlineStr">
        <is>
          <t>Vitality</t>
        </is>
      </c>
      <c r="G41" s="24" t="inlineStr">
        <is>
          <t>FUT Esports</t>
        </is>
      </c>
      <c r="H41" s="24" t="inlineStr">
        <is>
          <t>moneyline</t>
        </is>
      </c>
      <c r="I41" s="24" t="inlineStr">
        <is>
          <t>away</t>
        </is>
      </c>
      <c r="J41" s="25" t="n"/>
      <c r="K41" s="24" t="inlineStr">
        <is>
          <t>polymarket_us</t>
        </is>
      </c>
      <c r="L41" s="26" t="n">
        <v>-213</v>
      </c>
      <c r="M41" s="27" t="n">
        <v>1.4695</v>
      </c>
      <c r="N41" s="28" t="n">
        <v>0.6805</v>
      </c>
      <c r="O41" s="28" t="n">
        <v>0.9538</v>
      </c>
      <c r="P41" s="28" t="n"/>
      <c r="Q41" s="28" t="n">
        <v>0.2738</v>
      </c>
      <c r="R41" s="26" t="n"/>
      <c r="S41" s="29" t="n">
        <v>2</v>
      </c>
      <c r="T41" s="24" t="inlineStr">
        <is>
          <t>cs2-tiered-elo-v6</t>
        </is>
      </c>
      <c r="U41" s="24" t="inlineStr">
        <is>
          <t>open</t>
        </is>
      </c>
      <c r="V41" s="24" t="inlineStr">
        <is>
          <t>open</t>
        </is>
      </c>
      <c r="W41" s="26" t="n"/>
      <c r="X41" s="26" t="n"/>
      <c r="Y41" s="25" t="n"/>
      <c r="Z41" s="26" t="n"/>
      <c r="AA41" s="28" t="n"/>
      <c r="AB41" s="28" t="n"/>
      <c r="AC41" s="30" t="n">
        <v>0</v>
      </c>
      <c r="AD41" s="24" t="n"/>
      <c r="AE41" s="31" t="inlineStr">
        <is>
          <t>Auto-Buyer order C6VGABPXTKDK on aec-cs2-fut-vit-2026-08-31 (short)</t>
        </is>
      </c>
      <c r="AF41" s="31" t="n"/>
      <c r="AG41" s="24" t="n"/>
      <c r="AH41" s="24" t="n"/>
      <c r="AI41" s="31" t="n"/>
      <c r="AJ41" s="31" t="n"/>
      <c r="AK41" s="24" t="n"/>
      <c r="AL41" s="26" t="n">
        <v>4</v>
      </c>
      <c r="AM41" s="24" t="inlineStr">
        <is>
          <t>decision</t>
        </is>
      </c>
      <c r="AN41" s="24" t="inlineStr">
        <is>
          <t>take</t>
        </is>
      </c>
      <c r="AO41" s="24" t="inlineStr">
        <is>
          <t>AUTO_BUYER_EXECUTION</t>
        </is>
      </c>
      <c r="AP41" s="24" t="n"/>
      <c r="AQ41" s="24" t="n"/>
      <c r="AR41" s="24" t="n"/>
      <c r="AS41" s="24" t="n"/>
      <c r="AT41" s="24" t="n"/>
      <c r="AU41" s="24" t="n"/>
      <c r="AV41" s="24" t="n"/>
      <c r="AW41" s="24" t="n"/>
      <c r="AX41" s="24" t="n"/>
      <c r="AY41" s="24" t="n"/>
      <c r="AZ41" s="24" t="n"/>
      <c r="BA41" s="24" t="n"/>
      <c r="BB41" s="24" t="n"/>
      <c r="BC41" s="24" t="n"/>
      <c r="BD41" s="24" t="n"/>
      <c r="BE41" s="24" t="n"/>
      <c r="BF41" s="24" t="n"/>
      <c r="BG41" s="24" t="n"/>
      <c r="BH41" s="24" t="n"/>
      <c r="BI41" s="24" t="n"/>
      <c r="BJ41" s="25" t="n"/>
      <c r="BK41" s="26" t="n"/>
      <c r="BL41" s="27" t="n"/>
      <c r="BM41" s="28" t="n"/>
      <c r="BN41" s="28" t="n"/>
      <c r="BO41" s="28" t="n"/>
      <c r="BP41" s="25" t="n"/>
      <c r="BQ41" s="27" t="n"/>
      <c r="BR41" s="28" t="n"/>
      <c r="BS41" s="28" t="n"/>
      <c r="BT41" s="28" t="n"/>
      <c r="BU41" s="25" t="n"/>
      <c r="BV41" s="29" t="n"/>
      <c r="BW41" s="24" t="n"/>
      <c r="BX41" s="30" t="n"/>
      <c r="BY41" s="27" t="n"/>
      <c r="BZ41" s="24" t="n"/>
      <c r="CA41" s="31" t="n"/>
      <c r="CB41" s="24" t="n"/>
      <c r="CC41" s="24" t="n"/>
      <c r="CD41" s="24" t="n"/>
      <c r="CE41" s="24" t="n"/>
      <c r="CF41" s="24" t="n"/>
      <c r="CG41" s="24" t="n"/>
      <c r="CH41" s="24" t="n"/>
      <c r="CI41" s="24" t="n"/>
      <c r="CJ41" s="24" t="n"/>
      <c r="CK41" s="24" t="n"/>
      <c r="CL41" s="24" t="n"/>
      <c r="CM41" s="24" t="n"/>
      <c r="CN41" s="24" t="n"/>
      <c r="CO41" s="24" t="n"/>
      <c r="CP41" s="24" t="n"/>
      <c r="CQ41" s="24" t="n"/>
      <c r="CR41" s="24" t="n"/>
      <c r="CS41" s="24" t="n"/>
      <c r="CT41" s="24" t="n"/>
      <c r="CU41" s="24" t="n"/>
      <c r="CV41" s="24" t="n"/>
      <c r="CW41" s="24" t="n"/>
      <c r="CX41" s="24" t="n"/>
      <c r="CY41" s="24" t="n"/>
      <c r="CZ41" s="24" t="n"/>
      <c r="DA41" s="24" t="n"/>
      <c r="DB41" s="24" t="n"/>
      <c r="DC41" s="24" t="n"/>
      <c r="DD41" s="24" t="n"/>
      <c r="DE41" s="24" t="n"/>
      <c r="DF41" s="24" t="n"/>
      <c r="DG41" s="24" t="n"/>
      <c r="DH41" s="24" t="n"/>
      <c r="DI41" s="24" t="n"/>
      <c r="DJ41" s="24" t="n"/>
      <c r="DK41" s="24" t="n"/>
      <c r="DL41" s="24" t="n"/>
      <c r="DM41" s="24" t="n"/>
      <c r="DN41" s="24" t="n"/>
      <c r="DO41" s="24" t="n"/>
      <c r="DP41" s="24" t="n"/>
    </row>
    <row r="42" ht="36" customHeight="1">
      <c r="A42" s="24" t="inlineStr">
        <is>
          <t>7a9087c46a114e9c</t>
        </is>
      </c>
      <c r="B42" s="24" t="inlineStr">
        <is>
          <t>2026-08-31T04:52:35.718859Z</t>
        </is>
      </c>
      <c r="C42" s="24" t="inlineStr">
        <is>
          <t>2026-08-31T17:00:00Z</t>
        </is>
      </c>
      <c r="D42" s="24" t="inlineStr">
        <is>
          <t>aec-cs2-hon-sawy-2026-08-31</t>
        </is>
      </c>
      <c r="E42" s="24" t="inlineStr">
        <is>
          <t>CS2</t>
        </is>
      </c>
      <c r="F42" s="24" t="inlineStr">
        <is>
          <t>SAW Youngsters</t>
        </is>
      </c>
      <c r="G42" s="24" t="inlineStr">
        <is>
          <t>Honvéd</t>
        </is>
      </c>
      <c r="H42" s="24" t="inlineStr">
        <is>
          <t>moneyline</t>
        </is>
      </c>
      <c r="I42" s="24" t="inlineStr">
        <is>
          <t>home</t>
        </is>
      </c>
      <c r="J42" s="25" t="n"/>
      <c r="K42" s="24" t="inlineStr">
        <is>
          <t>polymarket_us</t>
        </is>
      </c>
      <c r="L42" s="26" t="n">
        <v>-100</v>
      </c>
      <c r="M42" s="27" t="n">
        <v>2</v>
      </c>
      <c r="N42" s="28" t="n">
        <v>0.5</v>
      </c>
      <c r="O42" s="28" t="n">
        <v>0.5755</v>
      </c>
      <c r="P42" s="28" t="n"/>
      <c r="Q42" s="28" t="n">
        <v>0.0755</v>
      </c>
      <c r="R42" s="26" t="n"/>
      <c r="S42" s="29" t="n">
        <v>1.25</v>
      </c>
      <c r="T42" s="24" t="inlineStr">
        <is>
          <t>cs2-tiered-elo-v6</t>
        </is>
      </c>
      <c r="U42" s="24" t="inlineStr">
        <is>
          <t>open</t>
        </is>
      </c>
      <c r="V42" s="24" t="inlineStr">
        <is>
          <t>open</t>
        </is>
      </c>
      <c r="W42" s="26" t="n"/>
      <c r="X42" s="26" t="n"/>
      <c r="Y42" s="25" t="n"/>
      <c r="Z42" s="26" t="n"/>
      <c r="AA42" s="28" t="n"/>
      <c r="AB42" s="28" t="n"/>
      <c r="AC42" s="30" t="n">
        <v>0</v>
      </c>
      <c r="AD42" s="24" t="n"/>
      <c r="AE42" s="31" t="inlineStr">
        <is>
          <t>Auto-Buyer order C6VGABQ8AKDK on aec-cs2-hon-sawy-2026-08-31 (long)</t>
        </is>
      </c>
      <c r="AF42" s="31" t="n"/>
      <c r="AG42" s="24" t="n"/>
      <c r="AH42" s="24" t="n"/>
      <c r="AI42" s="31" t="n"/>
      <c r="AJ42" s="31" t="n"/>
      <c r="AK42" s="24" t="n"/>
      <c r="AL42" s="26" t="n">
        <v>4</v>
      </c>
      <c r="AM42" s="24" t="inlineStr">
        <is>
          <t>decision</t>
        </is>
      </c>
      <c r="AN42" s="24" t="inlineStr">
        <is>
          <t>take</t>
        </is>
      </c>
      <c r="AO42" s="24" t="inlineStr">
        <is>
          <t>AUTO_BUYER_EXECUTION</t>
        </is>
      </c>
      <c r="AP42" s="24" t="n"/>
      <c r="AQ42" s="24" t="n"/>
      <c r="AR42" s="24" t="n"/>
      <c r="AS42" s="24" t="n"/>
      <c r="AT42" s="24" t="n"/>
      <c r="AU42" s="24" t="n"/>
      <c r="AV42" s="24" t="n"/>
      <c r="AW42" s="24" t="n"/>
      <c r="AX42" s="24" t="n"/>
      <c r="AY42" s="24" t="n"/>
      <c r="AZ42" s="24" t="n"/>
      <c r="BA42" s="24" t="n"/>
      <c r="BB42" s="24" t="n"/>
      <c r="BC42" s="24" t="n"/>
      <c r="BD42" s="24" t="n"/>
      <c r="BE42" s="24" t="n"/>
      <c r="BF42" s="24" t="n"/>
      <c r="BG42" s="24" t="n"/>
      <c r="BH42" s="24" t="n"/>
      <c r="BI42" s="24" t="n"/>
      <c r="BJ42" s="25" t="n"/>
      <c r="BK42" s="26" t="n"/>
      <c r="BL42" s="27" t="n"/>
      <c r="BM42" s="28" t="n"/>
      <c r="BN42" s="28" t="n"/>
      <c r="BO42" s="28" t="n"/>
      <c r="BP42" s="25" t="n"/>
      <c r="BQ42" s="27" t="n"/>
      <c r="BR42" s="28" t="n"/>
      <c r="BS42" s="28" t="n"/>
      <c r="BT42" s="28" t="n"/>
      <c r="BU42" s="25" t="n"/>
      <c r="BV42" s="29" t="n"/>
      <c r="BW42" s="24" t="n"/>
      <c r="BX42" s="30" t="n"/>
      <c r="BY42" s="27" t="n"/>
      <c r="BZ42" s="24" t="n"/>
      <c r="CA42" s="31" t="n"/>
      <c r="CB42" s="24" t="n"/>
      <c r="CC42" s="24" t="n"/>
      <c r="CD42" s="24" t="n"/>
      <c r="CE42" s="24" t="n"/>
      <c r="CF42" s="24" t="n"/>
      <c r="CG42" s="24" t="n"/>
      <c r="CH42" s="24" t="n"/>
      <c r="CI42" s="24" t="n"/>
      <c r="CJ42" s="24" t="n"/>
      <c r="CK42" s="24" t="n"/>
      <c r="CL42" s="24" t="n"/>
      <c r="CM42" s="24" t="n"/>
      <c r="CN42" s="24" t="n"/>
      <c r="CO42" s="24" t="n"/>
      <c r="CP42" s="24" t="n"/>
      <c r="CQ42" s="24" t="n"/>
      <c r="CR42" s="24" t="n"/>
      <c r="CS42" s="24" t="n"/>
      <c r="CT42" s="24" t="n"/>
      <c r="CU42" s="24" t="n"/>
      <c r="CV42" s="24" t="n"/>
      <c r="CW42" s="24" t="n"/>
      <c r="CX42" s="24" t="n"/>
      <c r="CY42" s="24" t="n"/>
      <c r="CZ42" s="24" t="n"/>
      <c r="DA42" s="24" t="n"/>
      <c r="DB42" s="24" t="n"/>
      <c r="DC42" s="24" t="n"/>
      <c r="DD42" s="24" t="n"/>
      <c r="DE42" s="24" t="n"/>
      <c r="DF42" s="24" t="n"/>
      <c r="DG42" s="24" t="n"/>
      <c r="DH42" s="24" t="n"/>
      <c r="DI42" s="24" t="n"/>
      <c r="DJ42" s="24" t="n"/>
      <c r="DK42" s="24" t="n"/>
      <c r="DL42" s="24" t="n"/>
      <c r="DM42" s="24" t="n"/>
      <c r="DN42" s="24" t="n"/>
      <c r="DO42" s="24" t="n"/>
      <c r="DP42" s="24" t="n"/>
    </row>
    <row r="43" ht="36" customHeight="1">
      <c r="A43" s="24" t="inlineStr">
        <is>
          <t>48cccc66566349ce</t>
        </is>
      </c>
      <c r="B43" s="24" t="inlineStr">
        <is>
          <t>2026-08-31T05:28:12.217545Z</t>
        </is>
      </c>
      <c r="C43" s="24" t="inlineStr">
        <is>
          <t>2026-08-31T18:05:00-0400</t>
        </is>
      </c>
      <c r="D43" s="24" t="inlineStr">
        <is>
          <t>aec-mlb-sf-atl-2026-08-31</t>
        </is>
      </c>
      <c r="E43" s="24" t="inlineStr">
        <is>
          <t>MLB</t>
        </is>
      </c>
      <c r="F43" s="24" t="inlineStr">
        <is>
          <t>San Francisco Giants</t>
        </is>
      </c>
      <c r="G43" s="24" t="inlineStr">
        <is>
          <t>Atlanta Braves</t>
        </is>
      </c>
      <c r="H43" s="24" t="inlineStr">
        <is>
          <t>moneyline</t>
        </is>
      </c>
      <c r="I43" s="24" t="inlineStr">
        <is>
          <t>home</t>
        </is>
      </c>
      <c r="J43" s="25" t="n"/>
      <c r="K43" s="24" t="inlineStr">
        <is>
          <t>polymarket_us</t>
        </is>
      </c>
      <c r="L43" s="26" t="n">
        <v>-150</v>
      </c>
      <c r="M43" s="27" t="n">
        <v>1.6667</v>
      </c>
      <c r="N43" s="28" t="n">
        <v>0.6</v>
      </c>
      <c r="O43" s="28" t="n">
        <v>0.6571</v>
      </c>
      <c r="P43" s="28" t="n"/>
      <c r="Q43" s="28" t="n">
        <v>0.0521</v>
      </c>
      <c r="R43" s="26" t="n"/>
      <c r="S43" s="29" t="n">
        <v>1</v>
      </c>
      <c r="T43" s="24" t="inlineStr">
        <is>
          <t>mlb-elo-trend-lr-v8</t>
        </is>
      </c>
      <c r="U43" s="24" t="inlineStr">
        <is>
          <t>open</t>
        </is>
      </c>
      <c r="V43" s="24" t="inlineStr">
        <is>
          <t>open</t>
        </is>
      </c>
      <c r="W43" s="26" t="n"/>
      <c r="X43" s="26" t="n"/>
      <c r="Y43" s="25" t="n"/>
      <c r="Z43" s="26" t="n"/>
      <c r="AA43" s="28" t="n"/>
      <c r="AB43" s="28" t="n"/>
      <c r="AC43" s="30" t="n">
        <v>0</v>
      </c>
      <c r="AD43" s="24" t="n"/>
      <c r="AE43" s="31" t="inlineStr">
        <is>
          <t>Auto-Buyer order C6VZ1TQF4KDJ on aec-mlb-sf-atl-2026-08-31 (short)</t>
        </is>
      </c>
      <c r="AF43" s="31" t="n"/>
      <c r="AG43" s="24" t="n"/>
      <c r="AH43" s="24" t="n"/>
      <c r="AI43" s="31" t="n"/>
      <c r="AJ43" s="31" t="n"/>
      <c r="AK43" s="24" t="n"/>
      <c r="AL43" s="26" t="n">
        <v>4</v>
      </c>
      <c r="AM43" s="24" t="inlineStr">
        <is>
          <t>decision</t>
        </is>
      </c>
      <c r="AN43" s="24" t="inlineStr">
        <is>
          <t>take</t>
        </is>
      </c>
      <c r="AO43" s="24" t="inlineStr">
        <is>
          <t>AUTO_BUYER_EXECUTION</t>
        </is>
      </c>
      <c r="AP43" s="24" t="n"/>
      <c r="AQ43" s="24" t="n"/>
      <c r="AR43" s="24" t="n"/>
      <c r="AS43" s="24" t="n"/>
      <c r="AT43" s="24" t="n"/>
      <c r="AU43" s="24" t="n"/>
      <c r="AV43" s="24" t="n"/>
      <c r="AW43" s="24" t="n"/>
      <c r="AX43" s="24" t="n"/>
      <c r="AY43" s="24" t="n"/>
      <c r="AZ43" s="24" t="n"/>
      <c r="BA43" s="24" t="n"/>
      <c r="BB43" s="24" t="n"/>
      <c r="BC43" s="24" t="n"/>
      <c r="BD43" s="24" t="n"/>
      <c r="BE43" s="24" t="n"/>
      <c r="BF43" s="24" t="n"/>
      <c r="BG43" s="24" t="n"/>
      <c r="BH43" s="24" t="n"/>
      <c r="BI43" s="24" t="n"/>
      <c r="BJ43" s="25" t="n"/>
      <c r="BK43" s="26" t="n"/>
      <c r="BL43" s="27" t="n"/>
      <c r="BM43" s="28" t="n"/>
      <c r="BN43" s="28" t="n"/>
      <c r="BO43" s="28" t="n"/>
      <c r="BP43" s="25" t="n"/>
      <c r="BQ43" s="27" t="n"/>
      <c r="BR43" s="28" t="n"/>
      <c r="BS43" s="28" t="n"/>
      <c r="BT43" s="28" t="n"/>
      <c r="BU43" s="25" t="n"/>
      <c r="BV43" s="29" t="n"/>
      <c r="BW43" s="24" t="n"/>
      <c r="BX43" s="30" t="n"/>
      <c r="BY43" s="27" t="n"/>
      <c r="BZ43" s="24" t="n"/>
      <c r="CA43" s="31" t="n"/>
      <c r="CB43" s="24" t="n"/>
      <c r="CC43" s="24" t="n"/>
      <c r="CD43" s="24" t="n"/>
      <c r="CE43" s="24" t="n"/>
      <c r="CF43" s="24" t="n"/>
      <c r="CG43" s="24" t="n"/>
      <c r="CH43" s="24" t="n"/>
      <c r="CI43" s="24" t="n"/>
      <c r="CJ43" s="24" t="n"/>
      <c r="CK43" s="24" t="n"/>
      <c r="CL43" s="24" t="n"/>
      <c r="CM43" s="24" t="n"/>
      <c r="CN43" s="24" t="n"/>
      <c r="CO43" s="24" t="n"/>
      <c r="CP43" s="24" t="n"/>
      <c r="CQ43" s="24" t="n"/>
      <c r="CR43" s="24" t="n"/>
      <c r="CS43" s="24" t="n"/>
      <c r="CT43" s="24" t="n"/>
      <c r="CU43" s="24" t="n"/>
      <c r="CV43" s="24" t="n"/>
      <c r="CW43" s="24" t="n"/>
      <c r="CX43" s="24" t="n"/>
      <c r="CY43" s="24" t="n"/>
      <c r="CZ43" s="24" t="n"/>
      <c r="DA43" s="24" t="n"/>
      <c r="DB43" s="24" t="n"/>
      <c r="DC43" s="24" t="n"/>
      <c r="DD43" s="24" t="n"/>
      <c r="DE43" s="24" t="n"/>
      <c r="DF43" s="24" t="n"/>
      <c r="DG43" s="24" t="n"/>
      <c r="DH43" s="24" t="n"/>
      <c r="DI43" s="24" t="n"/>
      <c r="DJ43" s="24" t="n"/>
      <c r="DK43" s="24" t="n"/>
      <c r="DL43" s="24" t="n"/>
      <c r="DM43" s="24" t="n"/>
      <c r="DN43" s="24" t="n"/>
      <c r="DO43" s="24" t="n"/>
      <c r="DP43" s="24" t="n"/>
    </row>
    <row r="44" ht="36" customHeight="1">
      <c r="A44" s="24" t="inlineStr">
        <is>
          <t>d972531055904f04</t>
        </is>
      </c>
      <c r="B44" s="24" t="inlineStr">
        <is>
          <t>2026-08-31T05:28:12.217545Z</t>
        </is>
      </c>
      <c r="C44" s="24" t="inlineStr">
        <is>
          <t>2026-08-31T19:40:00-0400</t>
        </is>
      </c>
      <c r="D44" s="24" t="inlineStr">
        <is>
          <t>aec-mlb-det-min-2026-08-31</t>
        </is>
      </c>
      <c r="E44" s="24" t="inlineStr">
        <is>
          <t>MLB</t>
        </is>
      </c>
      <c r="F44" s="24" t="inlineStr">
        <is>
          <t>Detroit Tigers</t>
        </is>
      </c>
      <c r="G44" s="24" t="inlineStr">
        <is>
          <t>Minnesota Twins</t>
        </is>
      </c>
      <c r="H44" s="24" t="inlineStr">
        <is>
          <t>moneyline</t>
        </is>
      </c>
      <c r="I44" s="24" t="inlineStr">
        <is>
          <t>away</t>
        </is>
      </c>
      <c r="J44" s="25" t="n"/>
      <c r="K44" s="24" t="inlineStr">
        <is>
          <t>polymarket_us</t>
        </is>
      </c>
      <c r="L44" s="26" t="n">
        <v>117</v>
      </c>
      <c r="M44" s="27" t="n">
        <v>2.17</v>
      </c>
      <c r="N44" s="28" t="n">
        <v>0.4545</v>
      </c>
      <c r="O44" s="28" t="n">
        <v>0.5224</v>
      </c>
      <c r="P44" s="28" t="n"/>
      <c r="Q44" s="28" t="n">
        <v>0.0674</v>
      </c>
      <c r="R44" s="26" t="n"/>
      <c r="S44" s="29" t="n">
        <v>1</v>
      </c>
      <c r="T44" s="24" t="inlineStr">
        <is>
          <t>mlb-elo-trend-lr-v8</t>
        </is>
      </c>
      <c r="U44" s="24" t="inlineStr">
        <is>
          <t>open</t>
        </is>
      </c>
      <c r="V44" s="24" t="inlineStr">
        <is>
          <t>open</t>
        </is>
      </c>
      <c r="W44" s="26" t="n"/>
      <c r="X44" s="26" t="n"/>
      <c r="Y44" s="25" t="n"/>
      <c r="Z44" s="26" t="n"/>
      <c r="AA44" s="28" t="n"/>
      <c r="AB44" s="28" t="n"/>
      <c r="AC44" s="30" t="n">
        <v>0</v>
      </c>
      <c r="AD44" s="24" t="n"/>
      <c r="AE44" s="31" t="inlineStr">
        <is>
          <t>Auto-Buyer order C6W0RWB0MKDH on aec-mlb-det-min-2026-08-31 (long)</t>
        </is>
      </c>
      <c r="AF44" s="31" t="n"/>
      <c r="AG44" s="24" t="n"/>
      <c r="AH44" s="24" t="n"/>
      <c r="AI44" s="31" t="n"/>
      <c r="AJ44" s="31" t="n"/>
      <c r="AK44" s="24" t="n"/>
      <c r="AL44" s="26" t="n">
        <v>4</v>
      </c>
      <c r="AM44" s="24" t="inlineStr">
        <is>
          <t>decision</t>
        </is>
      </c>
      <c r="AN44" s="24" t="inlineStr">
        <is>
          <t>take</t>
        </is>
      </c>
      <c r="AO44" s="24" t="inlineStr">
        <is>
          <t>AUTO_BUYER_EXECUTION</t>
        </is>
      </c>
      <c r="AP44" s="24" t="n"/>
      <c r="AQ44" s="24" t="n"/>
      <c r="AR44" s="24" t="n"/>
      <c r="AS44" s="24" t="n"/>
      <c r="AT44" s="24" t="n"/>
      <c r="AU44" s="24" t="n"/>
      <c r="AV44" s="24" t="n"/>
      <c r="AW44" s="24" t="n"/>
      <c r="AX44" s="24" t="n"/>
      <c r="AY44" s="24" t="n"/>
      <c r="AZ44" s="24" t="n"/>
      <c r="BA44" s="24" t="n"/>
      <c r="BB44" s="24" t="n"/>
      <c r="BC44" s="24" t="n"/>
      <c r="BD44" s="24" t="n"/>
      <c r="BE44" s="24" t="n"/>
      <c r="BF44" s="24" t="n"/>
      <c r="BG44" s="24" t="n"/>
      <c r="BH44" s="24" t="n"/>
      <c r="BI44" s="24" t="n"/>
      <c r="BJ44" s="25" t="n"/>
      <c r="BK44" s="26" t="n"/>
      <c r="BL44" s="27" t="n"/>
      <c r="BM44" s="28" t="n"/>
      <c r="BN44" s="28" t="n"/>
      <c r="BO44" s="28" t="n"/>
      <c r="BP44" s="25" t="n"/>
      <c r="BQ44" s="27" t="n"/>
      <c r="BR44" s="28" t="n"/>
      <c r="BS44" s="28" t="n"/>
      <c r="BT44" s="28" t="n"/>
      <c r="BU44" s="25" t="n"/>
      <c r="BV44" s="29" t="n"/>
      <c r="BW44" s="24" t="n"/>
      <c r="BX44" s="30" t="n"/>
      <c r="BY44" s="27" t="n"/>
      <c r="BZ44" s="24" t="n"/>
      <c r="CA44" s="31" t="n"/>
      <c r="CB44" s="24" t="n"/>
      <c r="CC44" s="24" t="n"/>
      <c r="CD44" s="24" t="n"/>
      <c r="CE44" s="24" t="n"/>
      <c r="CF44" s="24" t="n"/>
      <c r="CG44" s="24" t="n"/>
      <c r="CH44" s="24" t="n"/>
      <c r="CI44" s="24" t="n"/>
      <c r="CJ44" s="24" t="n"/>
      <c r="CK44" s="24" t="n"/>
      <c r="CL44" s="24" t="n"/>
      <c r="CM44" s="24" t="n"/>
      <c r="CN44" s="24" t="n"/>
      <c r="CO44" s="24" t="n"/>
      <c r="CP44" s="24" t="n"/>
      <c r="CQ44" s="24" t="n"/>
      <c r="CR44" s="24" t="n"/>
      <c r="CS44" s="24" t="n"/>
      <c r="CT44" s="24" t="n"/>
      <c r="CU44" s="24" t="n"/>
      <c r="CV44" s="24" t="n"/>
      <c r="CW44" s="24" t="n"/>
      <c r="CX44" s="24" t="n"/>
      <c r="CY44" s="24" t="n"/>
      <c r="CZ44" s="24" t="n"/>
      <c r="DA44" s="24" t="n"/>
      <c r="DB44" s="24" t="n"/>
      <c r="DC44" s="24" t="n"/>
      <c r="DD44" s="24" t="n"/>
      <c r="DE44" s="24" t="n"/>
      <c r="DF44" s="24" t="n"/>
      <c r="DG44" s="24" t="n"/>
      <c r="DH44" s="24" t="n"/>
      <c r="DI44" s="24" t="n"/>
      <c r="DJ44" s="24" t="n"/>
      <c r="DK44" s="24" t="n"/>
      <c r="DL44" s="24" t="n"/>
      <c r="DM44" s="24" t="n"/>
      <c r="DN44" s="24" t="n"/>
      <c r="DO44" s="24" t="n"/>
      <c r="DP44" s="24" t="n"/>
    </row>
    <row r="45" ht="36" customHeight="1">
      <c r="A45" s="24" t="inlineStr">
        <is>
          <t>26a05e27c35344e1</t>
        </is>
      </c>
      <c r="B45" s="24" t="inlineStr">
        <is>
          <t>2026-08-31T16:12:42.599391Z</t>
        </is>
      </c>
      <c r="C45" s="24" t="inlineStr">
        <is>
          <t>2026-08-31T20:40:00-0400</t>
        </is>
      </c>
      <c r="D45" s="24" t="inlineStr">
        <is>
          <t>aec-mlb-bal-col-2026-08-31</t>
        </is>
      </c>
      <c r="E45" s="24" t="inlineStr">
        <is>
          <t>MLB</t>
        </is>
      </c>
      <c r="F45" s="24" t="inlineStr">
        <is>
          <t>Baltimore Orioles</t>
        </is>
      </c>
      <c r="G45" s="24" t="inlineStr">
        <is>
          <t>Colorado Rockies</t>
        </is>
      </c>
      <c r="H45" s="24" t="inlineStr">
        <is>
          <t>moneyline</t>
        </is>
      </c>
      <c r="I45" s="24" t="inlineStr">
        <is>
          <t>away</t>
        </is>
      </c>
      <c r="J45" s="25" t="n"/>
      <c r="K45" s="24" t="inlineStr">
        <is>
          <t>polymarket_us</t>
        </is>
      </c>
      <c r="L45" s="26" t="n">
        <v>-127</v>
      </c>
      <c r="M45" s="27" t="n">
        <v>1.7874</v>
      </c>
      <c r="N45" s="28" t="n">
        <v>0.5595</v>
      </c>
      <c r="O45" s="28" t="n">
        <v>0.5982</v>
      </c>
      <c r="P45" s="28" t="n"/>
      <c r="Q45" s="28" t="n">
        <v>0.0382</v>
      </c>
      <c r="R45" s="26" t="n"/>
      <c r="S45" s="29" t="n">
        <v>1</v>
      </c>
      <c r="T45" s="24" t="inlineStr">
        <is>
          <t>mlb-elo-trend-lr-v8</t>
        </is>
      </c>
      <c r="U45" s="24" t="inlineStr">
        <is>
          <t>open</t>
        </is>
      </c>
      <c r="V45" s="24" t="inlineStr">
        <is>
          <t>open</t>
        </is>
      </c>
      <c r="W45" s="26" t="n"/>
      <c r="X45" s="26" t="n"/>
      <c r="Y45" s="25" t="n"/>
      <c r="Z45" s="26" t="n"/>
      <c r="AA45" s="28" t="n"/>
      <c r="AB45" s="28" t="n"/>
      <c r="AC45" s="30" t="n">
        <v>0</v>
      </c>
      <c r="AD45" s="24" t="n"/>
      <c r="AE45" s="31" t="inlineStr">
        <is>
          <t>Auto-Buyer order C75CWYPPPKDC on aec-mlb-bal-col-2026-08-31 (long)</t>
        </is>
      </c>
      <c r="AF45" s="31" t="n"/>
      <c r="AG45" s="24" t="n"/>
      <c r="AH45" s="24" t="n"/>
      <c r="AI45" s="31" t="n"/>
      <c r="AJ45" s="31" t="n"/>
      <c r="AK45" s="24" t="n"/>
      <c r="AL45" s="26" t="n">
        <v>4</v>
      </c>
      <c r="AM45" s="24" t="inlineStr">
        <is>
          <t>decision</t>
        </is>
      </c>
      <c r="AN45" s="24" t="inlineStr">
        <is>
          <t>take</t>
        </is>
      </c>
      <c r="AO45" s="24" t="inlineStr">
        <is>
          <t>AUTO_BUYER_EXECUTION</t>
        </is>
      </c>
      <c r="AP45" s="24" t="n"/>
      <c r="AQ45" s="24" t="n"/>
      <c r="AR45" s="24" t="n"/>
      <c r="AS45" s="24" t="n"/>
      <c r="AT45" s="24" t="n"/>
      <c r="AU45" s="24" t="n"/>
      <c r="AV45" s="24" t="n"/>
      <c r="AW45" s="24" t="n"/>
      <c r="AX45" s="24" t="n"/>
      <c r="AY45" s="24" t="n"/>
      <c r="AZ45" s="24" t="n"/>
      <c r="BA45" s="24" t="n"/>
      <c r="BB45" s="24" t="n"/>
      <c r="BC45" s="24" t="n"/>
      <c r="BD45" s="24" t="n"/>
      <c r="BE45" s="24" t="n"/>
      <c r="BF45" s="24" t="n"/>
      <c r="BG45" s="24" t="n"/>
      <c r="BH45" s="24" t="n"/>
      <c r="BI45" s="24" t="n"/>
      <c r="BJ45" s="25" t="n"/>
      <c r="BK45" s="26" t="n"/>
      <c r="BL45" s="27" t="n"/>
      <c r="BM45" s="28" t="n"/>
      <c r="BN45" s="28" t="n"/>
      <c r="BO45" s="28" t="n"/>
      <c r="BP45" s="25" t="n"/>
      <c r="BQ45" s="27" t="n"/>
      <c r="BR45" s="28" t="n"/>
      <c r="BS45" s="28" t="n"/>
      <c r="BT45" s="28" t="n"/>
      <c r="BU45" s="25" t="n"/>
      <c r="BV45" s="29" t="n"/>
      <c r="BW45" s="24" t="n"/>
      <c r="BX45" s="30" t="n"/>
      <c r="BY45" s="27" t="n"/>
      <c r="BZ45" s="24" t="n"/>
      <c r="CA45" s="31" t="n"/>
      <c r="CB45" s="24" t="n"/>
      <c r="CC45" s="24" t="n"/>
      <c r="CD45" s="24" t="n"/>
      <c r="CE45" s="24" t="n"/>
      <c r="CF45" s="24" t="n"/>
      <c r="CG45" s="24" t="n"/>
      <c r="CH45" s="24" t="n"/>
      <c r="CI45" s="24" t="n"/>
      <c r="CJ45" s="24" t="n"/>
      <c r="CK45" s="24" t="n"/>
      <c r="CL45" s="24" t="n"/>
      <c r="CM45" s="24" t="n"/>
      <c r="CN45" s="24" t="n"/>
      <c r="CO45" s="24" t="n"/>
      <c r="CP45" s="24" t="n"/>
      <c r="CQ45" s="24" t="n"/>
      <c r="CR45" s="24" t="n"/>
      <c r="CS45" s="24" t="n"/>
      <c r="CT45" s="24" t="n"/>
      <c r="CU45" s="24" t="n"/>
      <c r="CV45" s="24" t="n"/>
      <c r="CW45" s="24" t="n"/>
      <c r="CX45" s="24" t="n"/>
      <c r="CY45" s="24" t="n"/>
      <c r="CZ45" s="24" t="n"/>
      <c r="DA45" s="24" t="n"/>
      <c r="DB45" s="24" t="n"/>
      <c r="DC45" s="24" t="n"/>
      <c r="DD45" s="24" t="n"/>
      <c r="DE45" s="24" t="n"/>
      <c r="DF45" s="24" t="n"/>
      <c r="DG45" s="24" t="n"/>
      <c r="DH45" s="24" t="n"/>
      <c r="DI45" s="24" t="n"/>
      <c r="DJ45" s="24" t="n"/>
      <c r="DK45" s="24" t="n"/>
      <c r="DL45" s="24" t="n"/>
      <c r="DM45" s="24" t="n"/>
      <c r="DN45" s="24" t="n"/>
      <c r="DO45" s="24" t="n"/>
      <c r="DP45" s="24" t="n"/>
    </row>
    <row r="46" ht="36" customHeight="1">
      <c r="A46" s="24" t="inlineStr">
        <is>
          <t>816e58389cba4c61</t>
        </is>
      </c>
      <c r="B46" s="24" t="inlineStr">
        <is>
          <t>2026-08-31T16:12:42.599391Z</t>
        </is>
      </c>
      <c r="C46" s="24" t="inlineStr">
        <is>
          <t>2026-08-31T19:00Z</t>
        </is>
      </c>
      <c r="D46" s="24" t="inlineStr">
        <is>
          <t>aec-wta-vikgol-diapar-2026-08-30</t>
        </is>
      </c>
      <c r="E46" s="24" t="inlineStr">
        <is>
          <t>TENNIS</t>
        </is>
      </c>
      <c r="F46" s="24" t="inlineStr">
        <is>
          <t>Diane Parry</t>
        </is>
      </c>
      <c r="G46" s="24" t="inlineStr">
        <is>
          <t>Viktorija Golubic</t>
        </is>
      </c>
      <c r="H46" s="24" t="inlineStr">
        <is>
          <t>moneyline</t>
        </is>
      </c>
      <c r="I46" s="24" t="inlineStr">
        <is>
          <t>away</t>
        </is>
      </c>
      <c r="J46" s="25" t="n"/>
      <c r="K46" s="24" t="inlineStr">
        <is>
          <t>polymarket_us</t>
        </is>
      </c>
      <c r="L46" s="26" t="n">
        <v>-108</v>
      </c>
      <c r="M46" s="27" t="n">
        <v>1.9259</v>
      </c>
      <c r="N46" s="28" t="n">
        <v>0.5192</v>
      </c>
      <c r="O46" s="28" t="n">
        <v>0.5579</v>
      </c>
      <c r="P46" s="28" t="n"/>
      <c r="Q46" s="28" t="n">
        <v>0.0379</v>
      </c>
      <c r="R46" s="26" t="n"/>
      <c r="S46" s="29" t="n">
        <v>1</v>
      </c>
      <c r="T46" s="24" t="inlineStr">
        <is>
          <t>tennis-surface-elo-v1</t>
        </is>
      </c>
      <c r="U46" s="24" t="inlineStr">
        <is>
          <t>open</t>
        </is>
      </c>
      <c r="V46" s="24" t="inlineStr">
        <is>
          <t>open</t>
        </is>
      </c>
      <c r="W46" s="26" t="n"/>
      <c r="X46" s="26" t="n"/>
      <c r="Y46" s="25" t="n"/>
      <c r="Z46" s="26" t="n"/>
      <c r="AA46" s="28" t="n"/>
      <c r="AB46" s="28" t="n"/>
      <c r="AC46" s="30" t="n">
        <v>0</v>
      </c>
      <c r="AD46" s="24" t="n"/>
      <c r="AE46" s="31" t="inlineStr">
        <is>
          <t>Auto-Buyer order C75DSQ4KAKDM on aec-wta-vikgol-diapar-2026-08-30 (short)</t>
        </is>
      </c>
      <c r="AF46" s="31" t="n"/>
      <c r="AG46" s="24" t="n"/>
      <c r="AH46" s="24" t="n"/>
      <c r="AI46" s="31" t="n"/>
      <c r="AJ46" s="31" t="n"/>
      <c r="AK46" s="24" t="n"/>
      <c r="AL46" s="26" t="n">
        <v>4</v>
      </c>
      <c r="AM46" s="24" t="inlineStr">
        <is>
          <t>decision</t>
        </is>
      </c>
      <c r="AN46" s="24" t="inlineStr">
        <is>
          <t>take</t>
        </is>
      </c>
      <c r="AO46" s="24" t="inlineStr">
        <is>
          <t>AUTO_BUYER_EXECUTION</t>
        </is>
      </c>
      <c r="AP46" s="24" t="n"/>
      <c r="AQ46" s="24" t="n"/>
      <c r="AR46" s="24" t="n"/>
      <c r="AS46" s="24" t="n"/>
      <c r="AT46" s="24" t="n"/>
      <c r="AU46" s="24" t="n"/>
      <c r="AV46" s="24" t="n"/>
      <c r="AW46" s="24" t="n"/>
      <c r="AX46" s="24" t="n"/>
      <c r="AY46" s="24" t="n"/>
      <c r="AZ46" s="24" t="n"/>
      <c r="BA46" s="24" t="n"/>
      <c r="BB46" s="24" t="n"/>
      <c r="BC46" s="24" t="n"/>
      <c r="BD46" s="24" t="n"/>
      <c r="BE46" s="24" t="n"/>
      <c r="BF46" s="24" t="n"/>
      <c r="BG46" s="24" t="n"/>
      <c r="BH46" s="24" t="n"/>
      <c r="BI46" s="24" t="n"/>
      <c r="BJ46" s="25" t="n"/>
      <c r="BK46" s="26" t="n"/>
      <c r="BL46" s="27" t="n"/>
      <c r="BM46" s="28" t="n"/>
      <c r="BN46" s="28" t="n"/>
      <c r="BO46" s="28" t="n"/>
      <c r="BP46" s="25" t="n"/>
      <c r="BQ46" s="27" t="n"/>
      <c r="BR46" s="28" t="n"/>
      <c r="BS46" s="28" t="n"/>
      <c r="BT46" s="28" t="n"/>
      <c r="BU46" s="25" t="n"/>
      <c r="BV46" s="29" t="n"/>
      <c r="BW46" s="24" t="n"/>
      <c r="BX46" s="30" t="n"/>
      <c r="BY46" s="27" t="n"/>
      <c r="BZ46" s="24" t="n"/>
      <c r="CA46" s="31" t="n"/>
      <c r="CB46" s="24" t="n"/>
      <c r="CC46" s="24" t="n"/>
      <c r="CD46" s="24" t="n"/>
      <c r="CE46" s="24" t="n"/>
      <c r="CF46" s="24" t="n"/>
      <c r="CG46" s="24" t="n"/>
      <c r="CH46" s="24" t="n"/>
      <c r="CI46" s="24" t="n"/>
      <c r="CJ46" s="24" t="n"/>
      <c r="CK46" s="24" t="n"/>
      <c r="CL46" s="24" t="n"/>
      <c r="CM46" s="24" t="n"/>
      <c r="CN46" s="24" t="n"/>
      <c r="CO46" s="24" t="n"/>
      <c r="CP46" s="24" t="n"/>
      <c r="CQ46" s="24" t="n"/>
      <c r="CR46" s="24" t="n"/>
      <c r="CS46" s="24" t="n"/>
      <c r="CT46" s="24" t="n"/>
      <c r="CU46" s="24" t="n"/>
      <c r="CV46" s="24" t="n"/>
      <c r="CW46" s="24" t="n"/>
      <c r="CX46" s="24" t="n"/>
      <c r="CY46" s="24" t="n"/>
      <c r="CZ46" s="24" t="n"/>
      <c r="DA46" s="24" t="n"/>
      <c r="DB46" s="24" t="n"/>
      <c r="DC46" s="24" t="n"/>
      <c r="DD46" s="24" t="n"/>
      <c r="DE46" s="24" t="n"/>
      <c r="DF46" s="24" t="n"/>
      <c r="DG46" s="24" t="n"/>
      <c r="DH46" s="24" t="n"/>
      <c r="DI46" s="24" t="n"/>
      <c r="DJ46" s="24" t="n"/>
      <c r="DK46" s="24" t="n"/>
      <c r="DL46" s="24" t="n"/>
      <c r="DM46" s="24" t="n"/>
      <c r="DN46" s="24" t="n"/>
      <c r="DO46" s="24" t="n"/>
      <c r="DP46" s="24" t="n"/>
    </row>
    <row r="47" ht="36" customHeight="1">
      <c r="A47" s="24" t="inlineStr">
        <is>
          <t>b214bda284bc4f41</t>
        </is>
      </c>
      <c r="B47" s="24" t="inlineStr">
        <is>
          <t>2026-08-31T16:12:42.599391Z</t>
        </is>
      </c>
      <c r="C47" s="24" t="inlineStr">
        <is>
          <t>2026-08-31T19:00:00Z</t>
        </is>
      </c>
      <c r="D47" s="24" t="inlineStr">
        <is>
          <t>aec-cs2-dam-zge-2026-08-31</t>
        </is>
      </c>
      <c r="E47" s="24" t="inlineStr">
        <is>
          <t>CS2</t>
        </is>
      </c>
      <c r="F47" s="24" t="inlineStr">
        <is>
          <t>Zetta Games</t>
        </is>
      </c>
      <c r="G47" s="24" t="inlineStr">
        <is>
          <t>Damajuana</t>
        </is>
      </c>
      <c r="H47" s="24" t="inlineStr">
        <is>
          <t>moneyline</t>
        </is>
      </c>
      <c r="I47" s="24" t="inlineStr">
        <is>
          <t>away</t>
        </is>
      </c>
      <c r="J47" s="25" t="n"/>
      <c r="K47" s="24" t="inlineStr">
        <is>
          <t>polymarket_us</t>
        </is>
      </c>
      <c r="L47" s="26" t="n">
        <v>212</v>
      </c>
      <c r="M47" s="27" t="n">
        <v>3.12</v>
      </c>
      <c r="N47" s="28" t="n">
        <v>0.3205</v>
      </c>
      <c r="O47" s="28" t="n">
        <v>0.5642</v>
      </c>
      <c r="P47" s="28" t="n"/>
      <c r="Q47" s="28" t="n">
        <v>0.2442</v>
      </c>
      <c r="R47" s="26" t="n"/>
      <c r="S47" s="29" t="n">
        <v>2</v>
      </c>
      <c r="T47" s="24" t="inlineStr">
        <is>
          <t>cs2-tiered-elo-v6</t>
        </is>
      </c>
      <c r="U47" s="24" t="inlineStr">
        <is>
          <t>open</t>
        </is>
      </c>
      <c r="V47" s="24" t="inlineStr">
        <is>
          <t>open</t>
        </is>
      </c>
      <c r="W47" s="26" t="n"/>
      <c r="X47" s="26" t="n"/>
      <c r="Y47" s="25" t="n"/>
      <c r="Z47" s="26" t="n"/>
      <c r="AA47" s="28" t="n"/>
      <c r="AB47" s="28" t="n"/>
      <c r="AC47" s="30" t="n">
        <v>0</v>
      </c>
      <c r="AD47" s="24" t="n"/>
      <c r="AE47" s="31" t="inlineStr">
        <is>
          <t>Auto-Buyer order C75ED9T52KDF on aec-cs2-dam-zge-2026-08-31 (short)</t>
        </is>
      </c>
      <c r="AF47" s="31" t="n"/>
      <c r="AG47" s="24" t="n"/>
      <c r="AH47" s="24" t="n"/>
      <c r="AI47" s="31" t="n"/>
      <c r="AJ47" s="31" t="n"/>
      <c r="AK47" s="24" t="n"/>
      <c r="AL47" s="26" t="n">
        <v>4</v>
      </c>
      <c r="AM47" s="24" t="inlineStr">
        <is>
          <t>decision</t>
        </is>
      </c>
      <c r="AN47" s="24" t="inlineStr">
        <is>
          <t>take</t>
        </is>
      </c>
      <c r="AO47" s="24" t="inlineStr">
        <is>
          <t>AUTO_BUYER_EXECUTION</t>
        </is>
      </c>
      <c r="AP47" s="24" t="n"/>
      <c r="AQ47" s="24" t="n"/>
      <c r="AR47" s="24" t="n"/>
      <c r="AS47" s="24" t="n"/>
      <c r="AT47" s="24" t="n"/>
      <c r="AU47" s="24" t="n"/>
      <c r="AV47" s="24" t="n"/>
      <c r="AW47" s="24" t="n"/>
      <c r="AX47" s="24" t="n"/>
      <c r="AY47" s="24" t="n"/>
      <c r="AZ47" s="24" t="n"/>
      <c r="BA47" s="24" t="n"/>
      <c r="BB47" s="24" t="n"/>
      <c r="BC47" s="24" t="n"/>
      <c r="BD47" s="24" t="n"/>
      <c r="BE47" s="24" t="n"/>
      <c r="BF47" s="24" t="n"/>
      <c r="BG47" s="24" t="n"/>
      <c r="BH47" s="24" t="n"/>
      <c r="BI47" s="24" t="n"/>
      <c r="BJ47" s="25" t="n"/>
      <c r="BK47" s="26" t="n"/>
      <c r="BL47" s="27" t="n"/>
      <c r="BM47" s="28" t="n"/>
      <c r="BN47" s="28" t="n"/>
      <c r="BO47" s="28" t="n"/>
      <c r="BP47" s="25" t="n"/>
      <c r="BQ47" s="27" t="n"/>
      <c r="BR47" s="28" t="n"/>
      <c r="BS47" s="28" t="n"/>
      <c r="BT47" s="28" t="n"/>
      <c r="BU47" s="25" t="n"/>
      <c r="BV47" s="29" t="n"/>
      <c r="BW47" s="24" t="n"/>
      <c r="BX47" s="30" t="n"/>
      <c r="BY47" s="27" t="n"/>
      <c r="BZ47" s="24" t="n"/>
      <c r="CA47" s="31" t="n"/>
      <c r="CB47" s="24" t="n"/>
      <c r="CC47" s="24" t="n"/>
      <c r="CD47" s="24" t="n"/>
      <c r="CE47" s="24" t="n"/>
      <c r="CF47" s="24" t="n"/>
      <c r="CG47" s="24" t="n"/>
      <c r="CH47" s="24" t="n"/>
      <c r="CI47" s="24" t="n"/>
      <c r="CJ47" s="24" t="n"/>
      <c r="CK47" s="24" t="n"/>
      <c r="CL47" s="24" t="n"/>
      <c r="CM47" s="24" t="n"/>
      <c r="CN47" s="24" t="n"/>
      <c r="CO47" s="24" t="n"/>
      <c r="CP47" s="24" t="n"/>
      <c r="CQ47" s="24" t="n"/>
      <c r="CR47" s="24" t="n"/>
      <c r="CS47" s="24" t="n"/>
      <c r="CT47" s="24" t="n"/>
      <c r="CU47" s="24" t="n"/>
      <c r="CV47" s="24" t="n"/>
      <c r="CW47" s="24" t="n"/>
      <c r="CX47" s="24" t="n"/>
      <c r="CY47" s="24" t="n"/>
      <c r="CZ47" s="24" t="n"/>
      <c r="DA47" s="24" t="n"/>
      <c r="DB47" s="24" t="n"/>
      <c r="DC47" s="24" t="n"/>
      <c r="DD47" s="24" t="n"/>
      <c r="DE47" s="24" t="n"/>
      <c r="DF47" s="24" t="n"/>
      <c r="DG47" s="24" t="n"/>
      <c r="DH47" s="24" t="n"/>
      <c r="DI47" s="24" t="n"/>
      <c r="DJ47" s="24" t="n"/>
      <c r="DK47" s="24" t="n"/>
      <c r="DL47" s="24" t="n"/>
      <c r="DM47" s="24" t="n"/>
      <c r="DN47" s="24" t="n"/>
      <c r="DO47" s="24" t="n"/>
      <c r="DP47" s="24" t="n"/>
    </row>
    <row r="48" ht="36" customHeight="1">
      <c r="A48" s="24" t="inlineStr">
        <is>
          <t>fd008ef45af2480d</t>
        </is>
      </c>
      <c r="B48" s="24" t="inlineStr">
        <is>
          <t>2026-08-31T16:12:42.599391Z</t>
        </is>
      </c>
      <c r="C48" s="24" t="inlineStr">
        <is>
          <t>2026-08-31T22:00:00Z</t>
        </is>
      </c>
      <c r="D48" s="24" t="inlineStr">
        <is>
          <t>aec-cs2-mm-sdm-2026-08-31</t>
        </is>
      </c>
      <c r="E48" s="24" t="inlineStr">
        <is>
          <t>CS2</t>
        </is>
      </c>
      <c r="F48" s="24" t="inlineStr">
        <is>
          <t>Semente do Mal</t>
        </is>
      </c>
      <c r="G48" s="24" t="inlineStr">
        <is>
          <t>Mansão Maromba</t>
        </is>
      </c>
      <c r="H48" s="24" t="inlineStr">
        <is>
          <t>moneyline</t>
        </is>
      </c>
      <c r="I48" s="24" t="inlineStr">
        <is>
          <t>away</t>
        </is>
      </c>
      <c r="J48" s="25" t="n"/>
      <c r="K48" s="24" t="inlineStr">
        <is>
          <t>polymarket_us</t>
        </is>
      </c>
      <c r="L48" s="26" t="n">
        <v>212</v>
      </c>
      <c r="M48" s="27" t="n">
        <v>3.12</v>
      </c>
      <c r="N48" s="28" t="n">
        <v>0.3205</v>
      </c>
      <c r="O48" s="28" t="n">
        <v>0.5066000000000001</v>
      </c>
      <c r="P48" s="28" t="n"/>
      <c r="Q48" s="28" t="n">
        <v>0.1866</v>
      </c>
      <c r="R48" s="26" t="n"/>
      <c r="S48" s="29" t="n">
        <v>2</v>
      </c>
      <c r="T48" s="24" t="inlineStr">
        <is>
          <t>cs2-tiered-elo-v6</t>
        </is>
      </c>
      <c r="U48" s="24" t="inlineStr">
        <is>
          <t>open</t>
        </is>
      </c>
      <c r="V48" s="24" t="inlineStr">
        <is>
          <t>open</t>
        </is>
      </c>
      <c r="W48" s="26" t="n"/>
      <c r="X48" s="26" t="n"/>
      <c r="Y48" s="25" t="n"/>
      <c r="Z48" s="26" t="n"/>
      <c r="AA48" s="28" t="n"/>
      <c r="AB48" s="28" t="n"/>
      <c r="AC48" s="30" t="n">
        <v>0</v>
      </c>
      <c r="AD48" s="24" t="n"/>
      <c r="AE48" s="31" t="inlineStr">
        <is>
          <t>Auto-Buyer order C75CWYWSTKDC on aec-cs2-mm-sdm-2026-08-31 (short)</t>
        </is>
      </c>
      <c r="AF48" s="31" t="n"/>
      <c r="AG48" s="24" t="n"/>
      <c r="AH48" s="24" t="n"/>
      <c r="AI48" s="31" t="n"/>
      <c r="AJ48" s="31" t="n"/>
      <c r="AK48" s="24" t="n"/>
      <c r="AL48" s="26" t="n">
        <v>4</v>
      </c>
      <c r="AM48" s="24" t="inlineStr">
        <is>
          <t>decision</t>
        </is>
      </c>
      <c r="AN48" s="24" t="inlineStr">
        <is>
          <t>take</t>
        </is>
      </c>
      <c r="AO48" s="24" t="inlineStr">
        <is>
          <t>AUTO_BUYER_EXECUTION</t>
        </is>
      </c>
      <c r="AP48" s="24" t="n"/>
      <c r="AQ48" s="24" t="n"/>
      <c r="AR48" s="24" t="n"/>
      <c r="AS48" s="24" t="n"/>
      <c r="AT48" s="24" t="n"/>
      <c r="AU48" s="24" t="n"/>
      <c r="AV48" s="24" t="n"/>
      <c r="AW48" s="24" t="n"/>
      <c r="AX48" s="24" t="n"/>
      <c r="AY48" s="24" t="n"/>
      <c r="AZ48" s="24" t="n"/>
      <c r="BA48" s="24" t="n"/>
      <c r="BB48" s="24" t="n"/>
      <c r="BC48" s="24" t="n"/>
      <c r="BD48" s="24" t="n"/>
      <c r="BE48" s="24" t="n"/>
      <c r="BF48" s="24" t="n"/>
      <c r="BG48" s="24" t="n"/>
      <c r="BH48" s="24" t="n"/>
      <c r="BI48" s="24" t="n"/>
      <c r="BJ48" s="25" t="n"/>
      <c r="BK48" s="26" t="n"/>
      <c r="BL48" s="27" t="n"/>
      <c r="BM48" s="28" t="n"/>
      <c r="BN48" s="28" t="n"/>
      <c r="BO48" s="28" t="n"/>
      <c r="BP48" s="25" t="n"/>
      <c r="BQ48" s="27" t="n"/>
      <c r="BR48" s="28" t="n"/>
      <c r="BS48" s="28" t="n"/>
      <c r="BT48" s="28" t="n"/>
      <c r="BU48" s="25" t="n"/>
      <c r="BV48" s="29" t="n"/>
      <c r="BW48" s="24" t="n"/>
      <c r="BX48" s="30" t="n"/>
      <c r="BY48" s="27" t="n"/>
      <c r="BZ48" s="24" t="n"/>
      <c r="CA48" s="31" t="n"/>
      <c r="CB48" s="24" t="n"/>
      <c r="CC48" s="24" t="n"/>
      <c r="CD48" s="24" t="n"/>
      <c r="CE48" s="24" t="n"/>
      <c r="CF48" s="24" t="n"/>
      <c r="CG48" s="24" t="n"/>
      <c r="CH48" s="24" t="n"/>
      <c r="CI48" s="24" t="n"/>
      <c r="CJ48" s="24" t="n"/>
      <c r="CK48" s="24" t="n"/>
      <c r="CL48" s="24" t="n"/>
      <c r="CM48" s="24" t="n"/>
      <c r="CN48" s="24" t="n"/>
      <c r="CO48" s="24" t="n"/>
      <c r="CP48" s="24" t="n"/>
      <c r="CQ48" s="24" t="n"/>
      <c r="CR48" s="24" t="n"/>
      <c r="CS48" s="24" t="n"/>
      <c r="CT48" s="24" t="n"/>
      <c r="CU48" s="24" t="n"/>
      <c r="CV48" s="24" t="n"/>
      <c r="CW48" s="24" t="n"/>
      <c r="CX48" s="24" t="n"/>
      <c r="CY48" s="24" t="n"/>
      <c r="CZ48" s="24" t="n"/>
      <c r="DA48" s="24" t="n"/>
      <c r="DB48" s="24" t="n"/>
      <c r="DC48" s="24" t="n"/>
      <c r="DD48" s="24" t="n"/>
      <c r="DE48" s="24" t="n"/>
      <c r="DF48" s="24" t="n"/>
      <c r="DG48" s="24" t="n"/>
      <c r="DH48" s="24" t="n"/>
      <c r="DI48" s="24" t="n"/>
      <c r="DJ48" s="24" t="n"/>
      <c r="DK48" s="24" t="n"/>
      <c r="DL48" s="24" t="n"/>
      <c r="DM48" s="24" t="n"/>
      <c r="DN48" s="24" t="n"/>
      <c r="DO48" s="24" t="n"/>
      <c r="DP48" s="24" t="n"/>
    </row>
    <row r="49" ht="36" customHeight="1">
      <c r="A49" s="24" t="inlineStr">
        <is>
          <t>7ee8b96d25fc46af</t>
        </is>
      </c>
      <c r="B49" s="24" t="inlineStr">
        <is>
          <t>2026-08-31T19:34:36.451981Z</t>
        </is>
      </c>
      <c r="C49" s="24" t="inlineStr">
        <is>
          <t>2026-08-31T22:05Z</t>
        </is>
      </c>
      <c r="D49" s="24" t="inlineStr">
        <is>
          <t>tsc-mlb-sf-atl-2026-08-31-8pt5</t>
        </is>
      </c>
      <c r="E49" s="24" t="inlineStr">
        <is>
          <t>MLB</t>
        </is>
      </c>
      <c r="F49" s="24" t="inlineStr">
        <is>
          <t>San Francisco Giants</t>
        </is>
      </c>
      <c r="G49" s="24" t="inlineStr">
        <is>
          <t>Atlanta Braves</t>
        </is>
      </c>
      <c r="H49" s="24" t="inlineStr">
        <is>
          <t>total</t>
        </is>
      </c>
      <c r="I49" s="24" t="inlineStr">
        <is>
          <t>under</t>
        </is>
      </c>
      <c r="J49" s="25" t="n"/>
      <c r="K49" s="24" t="inlineStr">
        <is>
          <t>polymarket_us</t>
        </is>
      </c>
      <c r="L49" s="26" t="n">
        <v>122</v>
      </c>
      <c r="M49" s="27" t="n">
        <v>2.22</v>
      </c>
      <c r="N49" s="28" t="n">
        <v>0.4505</v>
      </c>
      <c r="O49" s="28" t="n">
        <v>0.5639999999999999</v>
      </c>
      <c r="P49" s="28" t="n"/>
      <c r="Q49" s="28" t="n">
        <v>0.1135</v>
      </c>
      <c r="R49" s="26" t="n"/>
      <c r="S49" s="29" t="n">
        <v>1</v>
      </c>
      <c r="T49" s="24" t="inlineStr">
        <is>
          <t>mlb-structural-v10-frozen</t>
        </is>
      </c>
      <c r="U49" s="24" t="inlineStr">
        <is>
          <t>open</t>
        </is>
      </c>
      <c r="V49" s="24" t="inlineStr">
        <is>
          <t>open</t>
        </is>
      </c>
      <c r="W49" s="26" t="n"/>
      <c r="X49" s="26" t="n"/>
      <c r="Y49" s="25" t="n"/>
      <c r="Z49" s="26" t="n"/>
      <c r="AA49" s="28" t="n"/>
      <c r="AB49" s="28" t="n"/>
      <c r="AC49" s="30" t="n">
        <v>0</v>
      </c>
      <c r="AD49" s="24" t="n"/>
      <c r="AE49" s="31" t="inlineStr">
        <is>
          <t>Auto-Buyer order V10D71C79953 on tsc-mlb-sf-atl-2026-08-31-8pt5 (short)</t>
        </is>
      </c>
      <c r="AF49" s="31" t="n"/>
      <c r="AG49" s="24" t="n"/>
      <c r="AH49" s="24" t="n"/>
      <c r="AI49" s="31" t="n"/>
      <c r="AJ49" s="31" t="n"/>
      <c r="AK49" s="24" t="n"/>
      <c r="AL49" s="26" t="n">
        <v>4</v>
      </c>
      <c r="AM49" s="24" t="inlineStr">
        <is>
          <t>decision</t>
        </is>
      </c>
      <c r="AN49" s="24" t="inlineStr">
        <is>
          <t>take</t>
        </is>
      </c>
      <c r="AO49" s="24" t="inlineStr">
        <is>
          <t>AUTO_BUYER_EXECUTION</t>
        </is>
      </c>
      <c r="AP49" s="24" t="n"/>
      <c r="AQ49" s="24" t="n"/>
      <c r="AR49" s="24" t="n"/>
      <c r="AS49" s="24" t="n"/>
      <c r="AT49" s="24" t="n"/>
      <c r="AU49" s="24" t="n"/>
      <c r="AV49" s="24" t="n"/>
      <c r="AW49" s="24" t="n"/>
      <c r="AX49" s="24" t="n"/>
      <c r="AY49" s="24" t="n"/>
      <c r="AZ49" s="24" t="n"/>
      <c r="BA49" s="24" t="n"/>
      <c r="BB49" s="24" t="n"/>
      <c r="BC49" s="24" t="n"/>
      <c r="BD49" s="24" t="n"/>
      <c r="BE49" s="24" t="n"/>
      <c r="BF49" s="24" t="n"/>
      <c r="BG49" s="24" t="n"/>
      <c r="BH49" s="24" t="n"/>
      <c r="BI49" s="24" t="n"/>
      <c r="BJ49" s="25" t="n"/>
      <c r="BK49" s="26" t="n"/>
      <c r="BL49" s="27" t="n"/>
      <c r="BM49" s="28" t="n"/>
      <c r="BN49" s="28" t="n"/>
      <c r="BO49" s="28" t="n"/>
      <c r="BP49" s="25" t="n"/>
      <c r="BQ49" s="27" t="n"/>
      <c r="BR49" s="28" t="n"/>
      <c r="BS49" s="28" t="n"/>
      <c r="BT49" s="28" t="n"/>
      <c r="BU49" s="25" t="n"/>
      <c r="BV49" s="29" t="n"/>
      <c r="BW49" s="24" t="n"/>
      <c r="BX49" s="30" t="n"/>
      <c r="BY49" s="27" t="n"/>
      <c r="BZ49" s="24" t="n"/>
      <c r="CA49" s="31" t="n"/>
      <c r="CB49" s="24" t="n"/>
      <c r="CC49" s="24" t="n"/>
      <c r="CD49" s="24" t="n"/>
      <c r="CE49" s="24" t="n"/>
      <c r="CF49" s="24" t="n"/>
      <c r="CG49" s="24" t="n"/>
      <c r="CH49" s="24" t="n"/>
      <c r="CI49" s="24" t="n"/>
      <c r="CJ49" s="24" t="n"/>
      <c r="CK49" s="24" t="n"/>
      <c r="CL49" s="24" t="n"/>
      <c r="CM49" s="24" t="n"/>
      <c r="CN49" s="24" t="n"/>
      <c r="CO49" s="24" t="n"/>
      <c r="CP49" s="24" t="n"/>
      <c r="CQ49" s="24" t="n"/>
      <c r="CR49" s="24" t="n"/>
      <c r="CS49" s="24" t="n"/>
      <c r="CT49" s="24" t="n"/>
      <c r="CU49" s="24" t="n"/>
      <c r="CV49" s="24" t="n"/>
      <c r="CW49" s="24" t="n"/>
      <c r="CX49" s="24" t="n"/>
      <c r="CY49" s="24" t="n"/>
      <c r="CZ49" s="24" t="n"/>
      <c r="DA49" s="24" t="n"/>
      <c r="DB49" s="24" t="n"/>
      <c r="DC49" s="24" t="n"/>
      <c r="DD49" s="24" t="n"/>
      <c r="DE49" s="24" t="n"/>
      <c r="DF49" s="24" t="n"/>
      <c r="DG49" s="24" t="n"/>
      <c r="DH49" s="24" t="n"/>
      <c r="DI49" s="24" t="n"/>
      <c r="DJ49" s="24" t="n"/>
      <c r="DK49" s="24" t="n"/>
      <c r="DL49" s="24" t="n"/>
      <c r="DM49" s="24" t="n"/>
      <c r="DN49" s="24" t="n"/>
      <c r="DO49" s="24" t="n"/>
      <c r="DP49" s="24" t="n"/>
    </row>
    <row r="50" ht="36" customHeight="1">
      <c r="A50" s="24" t="inlineStr">
        <is>
          <t>37aaf37c09f84e3f</t>
        </is>
      </c>
      <c r="B50" s="24" t="inlineStr">
        <is>
          <t>2026-08-31T19:34:36.590960Z</t>
        </is>
      </c>
      <c r="C50" s="24" t="inlineStr">
        <is>
          <t>2026-08-31T23:40Z</t>
        </is>
      </c>
      <c r="D50" s="24" t="inlineStr">
        <is>
          <t>tsc-mlb-mil-chc-2026-08-31-9pt5</t>
        </is>
      </c>
      <c r="E50" s="24" t="inlineStr">
        <is>
          <t>MLB</t>
        </is>
      </c>
      <c r="F50" s="24" t="inlineStr">
        <is>
          <t>Milwaukee Brewers</t>
        </is>
      </c>
      <c r="G50" s="24" t="inlineStr">
        <is>
          <t>Chicago Cubs</t>
        </is>
      </c>
      <c r="H50" s="24" t="inlineStr">
        <is>
          <t>total</t>
        </is>
      </c>
      <c r="I50" s="24" t="inlineStr">
        <is>
          <t>under</t>
        </is>
      </c>
      <c r="J50" s="25" t="n"/>
      <c r="K50" s="24" t="inlineStr">
        <is>
          <t>polymarket_us</t>
        </is>
      </c>
      <c r="L50" s="26" t="n">
        <v>-102</v>
      </c>
      <c r="M50" s="27" t="n">
        <v>1.9804</v>
      </c>
      <c r="N50" s="28" t="n">
        <v>0.505</v>
      </c>
      <c r="O50" s="28" t="n">
        <v>0.5755</v>
      </c>
      <c r="P50" s="28" t="n"/>
      <c r="Q50" s="28" t="n">
        <v>0.0706</v>
      </c>
      <c r="R50" s="26" t="n"/>
      <c r="S50" s="29" t="n">
        <v>1</v>
      </c>
      <c r="T50" s="24" t="inlineStr">
        <is>
          <t>mlb-structural-v10-frozen</t>
        </is>
      </c>
      <c r="U50" s="24" t="inlineStr">
        <is>
          <t>open</t>
        </is>
      </c>
      <c r="V50" s="24" t="inlineStr">
        <is>
          <t>open</t>
        </is>
      </c>
      <c r="W50" s="26" t="n"/>
      <c r="X50" s="26" t="n"/>
      <c r="Y50" s="25" t="n"/>
      <c r="Z50" s="26" t="n"/>
      <c r="AA50" s="28" t="n"/>
      <c r="AB50" s="28" t="n"/>
      <c r="AC50" s="30" t="n">
        <v>0</v>
      </c>
      <c r="AD50" s="24" t="n"/>
      <c r="AE50" s="31" t="inlineStr">
        <is>
          <t>Auto-Buyer order V101066144C4 on tsc-mlb-mil-chc-2026-08-31-9pt5 (short)</t>
        </is>
      </c>
      <c r="AF50" s="31" t="n"/>
      <c r="AG50" s="24" t="n"/>
      <c r="AH50" s="24" t="n"/>
      <c r="AI50" s="31" t="n"/>
      <c r="AJ50" s="31" t="n"/>
      <c r="AK50" s="24" t="n"/>
      <c r="AL50" s="26" t="n">
        <v>4</v>
      </c>
      <c r="AM50" s="24" t="inlineStr">
        <is>
          <t>decision</t>
        </is>
      </c>
      <c r="AN50" s="24" t="inlineStr">
        <is>
          <t>take</t>
        </is>
      </c>
      <c r="AO50" s="24" t="inlineStr">
        <is>
          <t>AUTO_BUYER_EXECUTION</t>
        </is>
      </c>
      <c r="AP50" s="24" t="n"/>
      <c r="AQ50" s="24" t="n"/>
      <c r="AR50" s="24" t="n"/>
      <c r="AS50" s="24" t="n"/>
      <c r="AT50" s="24" t="n"/>
      <c r="AU50" s="24" t="n"/>
      <c r="AV50" s="24" t="n"/>
      <c r="AW50" s="24" t="n"/>
      <c r="AX50" s="24" t="n"/>
      <c r="AY50" s="24" t="n"/>
      <c r="AZ50" s="24" t="n"/>
      <c r="BA50" s="24" t="n"/>
      <c r="BB50" s="24" t="n"/>
      <c r="BC50" s="24" t="n"/>
      <c r="BD50" s="24" t="n"/>
      <c r="BE50" s="24" t="n"/>
      <c r="BF50" s="24" t="n"/>
      <c r="BG50" s="24" t="n"/>
      <c r="BH50" s="24" t="n"/>
      <c r="BI50" s="24" t="n"/>
      <c r="BJ50" s="25" t="n"/>
      <c r="BK50" s="26" t="n"/>
      <c r="BL50" s="27" t="n"/>
      <c r="BM50" s="28" t="n"/>
      <c r="BN50" s="28" t="n"/>
      <c r="BO50" s="28" t="n"/>
      <c r="BP50" s="25" t="n"/>
      <c r="BQ50" s="27" t="n"/>
      <c r="BR50" s="28" t="n"/>
      <c r="BS50" s="28" t="n"/>
      <c r="BT50" s="28" t="n"/>
      <c r="BU50" s="25" t="n"/>
      <c r="BV50" s="29" t="n"/>
      <c r="BW50" s="24" t="n"/>
      <c r="BX50" s="30" t="n"/>
      <c r="BY50" s="27" t="n"/>
      <c r="BZ50" s="24" t="n"/>
      <c r="CA50" s="31" t="n"/>
      <c r="CB50" s="24" t="n"/>
      <c r="CC50" s="24" t="n"/>
      <c r="CD50" s="24" t="n"/>
      <c r="CE50" s="24" t="n"/>
      <c r="CF50" s="24" t="n"/>
      <c r="CG50" s="24" t="n"/>
      <c r="CH50" s="24" t="n"/>
      <c r="CI50" s="24" t="n"/>
      <c r="CJ50" s="24" t="n"/>
      <c r="CK50" s="24" t="n"/>
      <c r="CL50" s="24" t="n"/>
      <c r="CM50" s="24" t="n"/>
      <c r="CN50" s="24" t="n"/>
      <c r="CO50" s="24" t="n"/>
      <c r="CP50" s="24" t="n"/>
      <c r="CQ50" s="24" t="n"/>
      <c r="CR50" s="24" t="n"/>
      <c r="CS50" s="24" t="n"/>
      <c r="CT50" s="24" t="n"/>
      <c r="CU50" s="24" t="n"/>
      <c r="CV50" s="24" t="n"/>
      <c r="CW50" s="24" t="n"/>
      <c r="CX50" s="24" t="n"/>
      <c r="CY50" s="24" t="n"/>
      <c r="CZ50" s="24" t="n"/>
      <c r="DA50" s="24" t="n"/>
      <c r="DB50" s="24" t="n"/>
      <c r="DC50" s="24" t="n"/>
      <c r="DD50" s="24" t="n"/>
      <c r="DE50" s="24" t="n"/>
      <c r="DF50" s="24" t="n"/>
      <c r="DG50" s="24" t="n"/>
      <c r="DH50" s="24" t="n"/>
      <c r="DI50" s="24" t="n"/>
      <c r="DJ50" s="24" t="n"/>
      <c r="DK50" s="24" t="n"/>
      <c r="DL50" s="24" t="n"/>
      <c r="DM50" s="24" t="n"/>
      <c r="DN50" s="24" t="n"/>
      <c r="DO50" s="24" t="n"/>
      <c r="DP50" s="24" t="n"/>
    </row>
    <row r="51" ht="36" customHeight="1">
      <c r="A51" s="24" t="inlineStr">
        <is>
          <t>970da3eec9e24614</t>
        </is>
      </c>
      <c r="B51" s="24" t="inlineStr">
        <is>
          <t>2026-08-31T19:34:36.729957Z</t>
        </is>
      </c>
      <c r="C51" s="24" t="inlineStr">
        <is>
          <t>2026-09-01T00:40Z</t>
        </is>
      </c>
      <c r="D51" s="24" t="inlineStr">
        <is>
          <t>tsc-mlb-bal-col-2026-08-31-10pt5</t>
        </is>
      </c>
      <c r="E51" s="24" t="inlineStr">
        <is>
          <t>MLB</t>
        </is>
      </c>
      <c r="F51" s="24" t="inlineStr">
        <is>
          <t>Baltimore Orioles</t>
        </is>
      </c>
      <c r="G51" s="24" t="inlineStr">
        <is>
          <t>Colorado Rockies</t>
        </is>
      </c>
      <c r="H51" s="24" t="inlineStr">
        <is>
          <t>total</t>
        </is>
      </c>
      <c r="I51" s="24" t="inlineStr">
        <is>
          <t>under</t>
        </is>
      </c>
      <c r="J51" s="25" t="n"/>
      <c r="K51" s="24" t="inlineStr">
        <is>
          <t>polymarket_us</t>
        </is>
      </c>
      <c r="L51" s="26" t="n">
        <v>113</v>
      </c>
      <c r="M51" s="27" t="n">
        <v>2.13</v>
      </c>
      <c r="N51" s="28" t="n">
        <v>0.4695</v>
      </c>
      <c r="O51" s="28" t="n">
        <v>0.5296</v>
      </c>
      <c r="P51" s="28" t="n"/>
      <c r="Q51" s="28" t="n">
        <v>0.0601</v>
      </c>
      <c r="R51" s="26" t="n"/>
      <c r="S51" s="29" t="n">
        <v>1.25</v>
      </c>
      <c r="T51" s="24" t="inlineStr">
        <is>
          <t>mlb-structural-v10-frozen</t>
        </is>
      </c>
      <c r="U51" s="24" t="inlineStr">
        <is>
          <t>open</t>
        </is>
      </c>
      <c r="V51" s="24" t="inlineStr">
        <is>
          <t>open</t>
        </is>
      </c>
      <c r="W51" s="26" t="n"/>
      <c r="X51" s="26" t="n"/>
      <c r="Y51" s="25" t="n"/>
      <c r="Z51" s="26" t="n"/>
      <c r="AA51" s="28" t="n"/>
      <c r="AB51" s="28" t="n"/>
      <c r="AC51" s="30" t="n">
        <v>0</v>
      </c>
      <c r="AD51" s="24" t="n"/>
      <c r="AE51" s="31" t="inlineStr">
        <is>
          <t>Auto-Buyer order V105A22EB006 on tsc-mlb-bal-col-2026-08-31-10pt5 (short)</t>
        </is>
      </c>
      <c r="AF51" s="31" t="n"/>
      <c r="AG51" s="24" t="n"/>
      <c r="AH51" s="24" t="n"/>
      <c r="AI51" s="31" t="n"/>
      <c r="AJ51" s="31" t="n"/>
      <c r="AK51" s="24" t="n"/>
      <c r="AL51" s="26" t="n">
        <v>4</v>
      </c>
      <c r="AM51" s="24" t="inlineStr">
        <is>
          <t>decision</t>
        </is>
      </c>
      <c r="AN51" s="24" t="inlineStr">
        <is>
          <t>take</t>
        </is>
      </c>
      <c r="AO51" s="24" t="inlineStr">
        <is>
          <t>AUTO_BUYER_EXECUTION</t>
        </is>
      </c>
      <c r="AP51" s="24" t="n"/>
      <c r="AQ51" s="24" t="n"/>
      <c r="AR51" s="24" t="n"/>
      <c r="AS51" s="24" t="n"/>
      <c r="AT51" s="24" t="n"/>
      <c r="AU51" s="24" t="n"/>
      <c r="AV51" s="24" t="n"/>
      <c r="AW51" s="24" t="n"/>
      <c r="AX51" s="24" t="n"/>
      <c r="AY51" s="24" t="n"/>
      <c r="AZ51" s="24" t="n"/>
      <c r="BA51" s="24" t="n"/>
      <c r="BB51" s="24" t="n"/>
      <c r="BC51" s="24" t="n"/>
      <c r="BD51" s="24" t="n"/>
      <c r="BE51" s="24" t="n"/>
      <c r="BF51" s="24" t="n"/>
      <c r="BG51" s="24" t="n"/>
      <c r="BH51" s="24" t="n"/>
      <c r="BI51" s="24" t="n"/>
      <c r="BJ51" s="25" t="n"/>
      <c r="BK51" s="26" t="n"/>
      <c r="BL51" s="27" t="n"/>
      <c r="BM51" s="28" t="n"/>
      <c r="BN51" s="28" t="n"/>
      <c r="BO51" s="28" t="n"/>
      <c r="BP51" s="25" t="n"/>
      <c r="BQ51" s="27" t="n"/>
      <c r="BR51" s="28" t="n"/>
      <c r="BS51" s="28" t="n"/>
      <c r="BT51" s="28" t="n"/>
      <c r="BU51" s="25" t="n"/>
      <c r="BV51" s="29" t="n"/>
      <c r="BW51" s="24" t="n"/>
      <c r="BX51" s="30" t="n"/>
      <c r="BY51" s="27" t="n"/>
      <c r="BZ51" s="24" t="n"/>
      <c r="CA51" s="31" t="n"/>
      <c r="CB51" s="24" t="n"/>
      <c r="CC51" s="24" t="n"/>
      <c r="CD51" s="24" t="n"/>
      <c r="CE51" s="24" t="n"/>
      <c r="CF51" s="24" t="n"/>
      <c r="CG51" s="24" t="n"/>
      <c r="CH51" s="24" t="n"/>
      <c r="CI51" s="24" t="n"/>
      <c r="CJ51" s="24" t="n"/>
      <c r="CK51" s="24" t="n"/>
      <c r="CL51" s="24" t="n"/>
      <c r="CM51" s="24" t="n"/>
      <c r="CN51" s="24" t="n"/>
      <c r="CO51" s="24" t="n"/>
      <c r="CP51" s="24" t="n"/>
      <c r="CQ51" s="24" t="n"/>
      <c r="CR51" s="24" t="n"/>
      <c r="CS51" s="24" t="n"/>
      <c r="CT51" s="24" t="n"/>
      <c r="CU51" s="24" t="n"/>
      <c r="CV51" s="24" t="n"/>
      <c r="CW51" s="24" t="n"/>
      <c r="CX51" s="24" t="n"/>
      <c r="CY51" s="24" t="n"/>
      <c r="CZ51" s="24" t="n"/>
      <c r="DA51" s="24" t="n"/>
      <c r="DB51" s="24" t="n"/>
      <c r="DC51" s="24" t="n"/>
      <c r="DD51" s="24" t="n"/>
      <c r="DE51" s="24" t="n"/>
      <c r="DF51" s="24" t="n"/>
      <c r="DG51" s="24" t="n"/>
      <c r="DH51" s="24" t="n"/>
      <c r="DI51" s="24" t="n"/>
      <c r="DJ51" s="24" t="n"/>
      <c r="DK51" s="24" t="n"/>
      <c r="DL51" s="24" t="n"/>
      <c r="DM51" s="24" t="n"/>
      <c r="DN51" s="24" t="n"/>
      <c r="DO51" s="24" t="n"/>
      <c r="DP51" s="24" t="n"/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Model Prediction</dc:creator>
  <dc:title xmlns:dc="http://purl.org/dc/elements/1.1/">Model Prediction Picks Ledger</dc:title>
  <dc:subject xmlns:dc="http://purl.org/dc/elements/1.1/">Shadow-only sports forecasting research ledger</dc:subject>
  <dcterms:created xmlns:dcterms="http://purl.org/dc/terms/" xmlns:xsi="http://www.w3.org/2001/XMLSchema-instance" xsi:type="dcterms:W3CDTF">2026-08-31T19:58:48Z</dcterms:created>
  <dcterms:modified xmlns:dcterms="http://purl.org/dc/terms/" xmlns:xsi="http://www.w3.org/2001/XMLSchema-instance" xsi:type="dcterms:W3CDTF">2026-08-31T19:58:48Z</dcterms:modified>
</cp:coreProperties>
</file>