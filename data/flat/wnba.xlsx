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51" headerRowCount="1">
  <autoFilter ref="A1:CS5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COUNTA('Picks'!$A$2:$A$51)</f>
        <v/>
      </c>
      <c r="C4" s="6">
        <f>COUNTIF('Picks'!$U$2:$U$51,"open")</f>
        <v/>
      </c>
      <c r="E4" s="6">
        <f>COUNTIF('Picks'!$U$2:$U$51,"settled")</f>
        <v/>
      </c>
      <c r="G4" s="6">
        <f>IF(COUNTIFS('Picks'!$U$2:$U$51,"settled",'Picks'!$V$2:$V$51,"win")+COUNTIFS('Picks'!$U$2:$U$51,"settled",'Picks'!$V$2:$V$51,"loss")&gt;=$L$2,"Ready","Insufficient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COUNTIF('Picks'!$BX$2:$BX$51,"&gt;0")</f>
        <v/>
      </c>
      <c r="C7" s="6">
        <f>COUNTIFS('Picks'!$BX$2:$BX$51,"&gt;0",'Picks'!$V$2:$V$51,"win")&amp;"-"&amp;COUNTIFS('Picks'!$BX$2:$BX$51,"&gt;0",'Picks'!$V$2:$V$51,"loss")</f>
        <v/>
      </c>
      <c r="E7" s="7">
        <f>IFERROR(COUNTIFS('Picks'!$BX$2:$BX$51,"&gt;0",'Picks'!$V$2:$V$51,"win")/(COUNTIFS('Picks'!$BX$2:$BX$51,"&gt;0",'Picks'!$V$2:$V$51,"win")+COUNTIFS('Picks'!$BX$2:$BX$51,"&gt;0",'Picks'!$V$2:$V$51,"loss")),0)</f>
        <v/>
      </c>
      <c r="G7" s="7">
        <f>IFERROR(SUM('Picks'!$BY$2:$BY$51)/SUM('Picks'!$BX$2:$BX$51),0)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SUM('Picks'!$BY$2:$BY$51)</f>
        <v/>
      </c>
      <c r="C10" s="9">
        <f>IFERROR(AVERAGEIF('Picks'!$AB$2:$AB$51,"&lt;&gt;",'Picks'!$AB$2:$AB$51),0)</f>
        <v/>
      </c>
      <c r="E10" s="6">
        <f>COUNTIFS('Picks'!$AM$2:$AM$51,"QUALIFIED_SHADOW_CALL",'Picks'!$U$2:$U$51,"settled")</f>
        <v/>
      </c>
      <c r="G10" s="8">
        <f>SUMIFS('Picks'!$AC$2:$AC$51,'Picks'!$AM$2:$AM$51,"QUALIFIED_SHADOW_CALL")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COUNTIFS('Picks'!$H$2:$H$51,$A14,'Picks'!$U$2:$U$51,"settled")</f>
        <v/>
      </c>
      <c r="C14" s="13">
        <f>COUNTIFS('Picks'!$H$2:$H$51,$A14,'Picks'!$U$2:$U$51,"settled",'Picks'!$V$2:$V$51,"win")</f>
        <v/>
      </c>
      <c r="D14" s="13">
        <f>COUNTIFS('Picks'!$H$2:$H$51,$A14,'Picks'!$U$2:$U$51,"settled",'Picks'!$V$2:$V$51,"loss")</f>
        <v/>
      </c>
      <c r="E14" s="14">
        <f>IFERROR(C14/(C14+D14),0)</f>
        <v/>
      </c>
      <c r="F14" s="15">
        <f>SUMIFS('Picks'!$BY$2:$BY$51,'Picks'!$H$2:$H$51,$A14)</f>
        <v/>
      </c>
      <c r="G14" s="16">
        <f>IFERROR(AVERAGEIFS('Picks'!$AB$2:$AB$51,'Picks'!$H$2:$H$51,$A14,'Picks'!$U$2:$U$51,"settled"),0)</f>
        <v/>
      </c>
    </row>
    <row r="15">
      <c r="A15" s="17" t="inlineStr">
        <is>
          <t>spread</t>
        </is>
      </c>
      <c r="B15" s="18">
        <f>COUNTIFS('Picks'!$H$2:$H$51,$A15,'Picks'!$U$2:$U$51,"settled")</f>
        <v/>
      </c>
      <c r="C15" s="18">
        <f>COUNTIFS('Picks'!$H$2:$H$51,$A15,'Picks'!$U$2:$U$51,"settled",'Picks'!$V$2:$V$51,"win")</f>
        <v/>
      </c>
      <c r="D15" s="18">
        <f>COUNTIFS('Picks'!$H$2:$H$51,$A15,'Picks'!$U$2:$U$51,"settled",'Picks'!$V$2:$V$51,"loss")</f>
        <v/>
      </c>
      <c r="E15" s="19">
        <f>IFERROR(C15/(C15+D15),0)</f>
        <v/>
      </c>
      <c r="F15" s="20">
        <f>SUMIFS('Picks'!$BY$2:$BY$51,'Picks'!$H$2:$H$51,$A15)</f>
        <v/>
      </c>
      <c r="G15" s="21">
        <f>IFERROR(AVERAGEIFS('Picks'!$AB$2:$AB$51,'Picks'!$H$2:$H$51,$A15,'Picks'!$U$2:$U$51,"settled"),0)</f>
        <v/>
      </c>
    </row>
    <row r="16">
      <c r="A16" s="12" t="inlineStr">
        <is>
          <t>total</t>
        </is>
      </c>
      <c r="B16" s="13">
        <f>COUNTIFS('Picks'!$H$2:$H$51,$A16,'Picks'!$U$2:$U$51,"settled")</f>
        <v/>
      </c>
      <c r="C16" s="13">
        <f>COUNTIFS('Picks'!$H$2:$H$51,$A16,'Picks'!$U$2:$U$51,"settled",'Picks'!$V$2:$V$51,"win")</f>
        <v/>
      </c>
      <c r="D16" s="13">
        <f>COUNTIFS('Picks'!$H$2:$H$51,$A16,'Picks'!$U$2:$U$51,"settled",'Picks'!$V$2:$V$51,"loss")</f>
        <v/>
      </c>
      <c r="E16" s="14">
        <f>IFERROR(C16/(C16+D16),0)</f>
        <v/>
      </c>
      <c r="F16" s="15">
        <f>SUMIFS('Picks'!$BY$2:$BY$51,'Picks'!$H$2:$H$51,$A16)</f>
        <v/>
      </c>
      <c r="G16" s="16">
        <f>IFERROR(AVERAGEIFS('Picks'!$AB$2:$AB$51,'Picks'!$H$2:$H$51,$A16,'Picks'!$U$2:$U$51,"settled"),0)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  <row r="25" ht="36" customHeight="1">
      <c r="A25" s="24" t="inlineStr">
        <is>
          <t>fcb554e501db41f7</t>
        </is>
      </c>
      <c r="B25" s="24" t="inlineStr">
        <is>
          <t>2026-08-05T21:01:20.386769Z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0.660664</v>
      </c>
      <c r="P25" s="28" t="n"/>
      <c r="Q25" s="28" t="n">
        <v>-0.039036</v>
      </c>
      <c r="R25" s="26" t="n">
        <v>4</v>
      </c>
      <c r="S25" s="29" t="n">
        <v>1.75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82</v>
      </c>
      <c r="X25" s="26" t="n">
        <v>96</v>
      </c>
      <c r="Y25" s="25" t="n"/>
      <c r="Z25" s="26" t="n"/>
      <c r="AA25" s="28" t="n"/>
      <c r="AB25" s="28" t="n"/>
      <c r="AC25" s="30" t="n">
        <v>0.7511</v>
      </c>
      <c r="AD25" s="24" t="inlineStr">
        <is>
          <t>2026-08-06T03:25:55.924337Z</t>
        </is>
      </c>
      <c r="AE25" s="31" t="inlineStr">
        <is>
          <t>Learned LR call at threshold 0.5001; executable ask 0.7000 (aec-wnba-phx-atl-2026-08-05); model edge vs ask -0.0393.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2026-08-05T21:00:50.745854Z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>
        <v>0.693069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False</t>
        </is>
      </c>
    </row>
    <row r="26" ht="36" customHeight="1">
      <c r="A26" s="24" t="inlineStr">
        <is>
          <t>756ccd778ac2469e</t>
        </is>
      </c>
      <c r="B26" s="24" t="inlineStr">
        <is>
          <t>2026-08-05T21:01:20.386769Z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2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86</v>
      </c>
      <c r="X26" s="26" t="n">
        <v>92</v>
      </c>
      <c r="Y26" s="25" t="n"/>
      <c r="Z26" s="26" t="n"/>
      <c r="AA26" s="28" t="n"/>
      <c r="AB26" s="28" t="n"/>
      <c r="AC26" s="30" t="n">
        <v>0.597</v>
      </c>
      <c r="AD26" s="24" t="inlineStr">
        <is>
          <t>2026-08-06T03:25:56.598669Z</t>
        </is>
      </c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2026-08-05T21:00:51.572136Z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</row>
    <row r="27" ht="36" customHeight="1">
      <c r="A27" s="24" t="inlineStr">
        <is>
          <t>fbae16fd793f4cb6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0.532764</v>
      </c>
      <c r="P27" s="28" t="n"/>
      <c r="Q27" s="28" t="n">
        <v>-0.006407</v>
      </c>
      <c r="R27" s="26" t="n">
        <v>19</v>
      </c>
      <c r="S27" s="29" t="n">
        <v>1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92</v>
      </c>
      <c r="X27" s="26" t="n">
        <v>96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2026-08-06T03:25:57.279339Z</t>
        </is>
      </c>
      <c r="AE27" s="31" t="inlineStr">
        <is>
          <t>Learned LR call at threshold 0.5001; executable ask 0.5400 (aec-wnba-dal-wsh-2026-08-05); model edge vs ask -0.0072.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2026-08-05T21:00:52.092163Z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>
        <v>0.534653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n"/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</row>
    <row r="28" ht="36" customHeight="1">
      <c r="A28" s="24" t="inlineStr">
        <is>
          <t>4c120856e1e94f85</t>
        </is>
      </c>
      <c r="B28" s="24" t="inlineStr">
        <is>
          <t>2026-08-06T00:23:10.436172Z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1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88</v>
      </c>
      <c r="X28" s="26" t="n">
        <v>95</v>
      </c>
      <c r="Y28" s="25" t="n"/>
      <c r="Z28" s="26" t="n"/>
      <c r="AA28" s="28" t="n"/>
      <c r="AB28" s="28" t="n"/>
      <c r="AC28" s="30" t="n">
        <v>0.7519</v>
      </c>
      <c r="AD28" s="24" t="inlineStr">
        <is>
          <t>2026-08-06T03:26:39.722755Z</t>
        </is>
      </c>
      <c r="AE28" s="31" t="inlineStr">
        <is>
          <t>Learned LR call at threshold 0.5001; executable ask 0.5700 (aec-wnba-la-chi-2026-08-05); model edge vs ask -0.0205. NOTE: NO_CALL_AVAILABILITY_SOURCE_CONFLICT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2026-08-06T00:22:59.513151Z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NO_CALL_AVAILABILITY_SOURCE_CONFLICT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</row>
    <row r="29" ht="36" customHeight="1">
      <c r="A29" s="24" t="inlineStr">
        <is>
          <t>85909d8c00894246</t>
        </is>
      </c>
      <c r="B29" s="24" t="inlineStr">
        <is>
          <t>2026-08-06T18:58:18.495512Z</t>
        </is>
      </c>
      <c r="C29" s="24" t="inlineStr">
        <is>
          <t>2026-08-06T19:00:00-0400</t>
        </is>
      </c>
      <c r="D29" s="24" t="inlineStr">
        <is>
          <t>401857119</t>
        </is>
      </c>
      <c r="E29" s="24" t="inlineStr">
        <is>
          <t>WNBA</t>
        </is>
      </c>
      <c r="F29" s="24" t="inlineStr">
        <is>
          <t>Las Vegas Aces</t>
        </is>
      </c>
      <c r="G29" s="24" t="inlineStr">
        <is>
          <t>Indiana Fever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0.555661</v>
      </c>
      <c r="P29" s="28" t="n"/>
      <c r="Q29" s="28" t="n">
        <v>0.045857</v>
      </c>
      <c r="R29" s="26" t="n">
        <v>45</v>
      </c>
      <c r="S29" s="29" t="n">
        <v>1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84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2026-08-07T09:06:32.192371Z</t>
        </is>
      </c>
      <c r="AE29" s="31" t="inlineStr">
        <is>
          <t>Learned LR call at threshold 0.5001; executable ask 0.5100 (aec-wnba-lv-ind-2026-08-06); model edge vs ask +0.0457.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wnba-lva</t>
        </is>
      </c>
      <c r="AQ29" s="24" t="inlineStr">
        <is>
          <t>Las Vegas Aces</t>
        </is>
      </c>
      <c r="AR29" s="24" t="inlineStr">
        <is>
          <t>Las Vegas Aces</t>
        </is>
      </c>
      <c r="AS29" s="24" t="inlineStr">
        <is>
          <t>wnba-ind</t>
        </is>
      </c>
      <c r="AT29" s="24" t="inlineStr">
        <is>
          <t>Indiana Fever</t>
        </is>
      </c>
      <c r="AU29" s="24" t="inlineStr">
        <is>
          <t>Indiana Fever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ee263665aa5e3903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2026-08-06T18:57:56.303091Z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0.50495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0.5778273332</t>
        </is>
      </c>
      <c r="CD29" s="24" t="inlineStr">
        <is>
          <t>4.392054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-4.728134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0.555661</t>
        </is>
      </c>
      <c r="CS29" s="24" t="inlineStr">
        <is>
          <t>True</t>
        </is>
      </c>
    </row>
    <row r="30" ht="36" customHeight="1">
      <c r="A30" s="24" t="inlineStr">
        <is>
          <t>7d69846638e04c11</t>
        </is>
      </c>
      <c r="B30" s="24" t="inlineStr">
        <is>
          <t>2026-08-06T18:58:18.495512Z</t>
        </is>
      </c>
      <c r="C30" s="24" t="inlineStr">
        <is>
          <t>2026-08-06T21:00:00-0400</t>
        </is>
      </c>
      <c r="D30" s="24" t="inlineStr">
        <is>
          <t>401857120</t>
        </is>
      </c>
      <c r="E30" s="24" t="inlineStr">
        <is>
          <t>WNBA</t>
        </is>
      </c>
      <c r="F30" s="24" t="inlineStr">
        <is>
          <t>Los Angeles Sparks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-1150</v>
      </c>
      <c r="M30" s="27" t="n">
        <v>1.086957</v>
      </c>
      <c r="N30" s="28" t="n">
        <v>0.92</v>
      </c>
      <c r="O30" s="28" t="n">
        <v>0.7758</v>
      </c>
      <c r="P30" s="28" t="n"/>
      <c r="Q30" s="28" t="n">
        <v>-0.1442</v>
      </c>
      <c r="R30" s="26" t="n">
        <v>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89</v>
      </c>
      <c r="X30" s="26" t="n">
        <v>82</v>
      </c>
      <c r="Y30" s="25" t="n"/>
      <c r="Z30" s="26" t="n"/>
      <c r="AA30" s="28" t="n"/>
      <c r="AB30" s="28" t="n"/>
      <c r="AC30" s="30" t="n">
        <v>-2</v>
      </c>
      <c r="AD30" s="24" t="inlineStr">
        <is>
          <t>2026-08-07T09:06:32.598784Z</t>
        </is>
      </c>
      <c r="AE30" s="31" t="inlineStr">
        <is>
          <t>Learned LR call at threshold 0.5001; executable ask 0.9200 (aec-wnba-la-min-2026-08-06); model edge vs ask -0.1442. NOTE: NO_CALL_AVAILABILITY_SOURCE_CONFLICT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review_required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wnba-las</t>
        </is>
      </c>
      <c r="AQ30" s="24" t="inlineStr">
        <is>
          <t>Los Angeles Sparks</t>
        </is>
      </c>
      <c r="AR30" s="24" t="inlineStr">
        <is>
          <t>Los Angeles Sparks</t>
        </is>
      </c>
      <c r="AS30" s="24" t="inlineStr">
        <is>
          <t>wnba-min</t>
        </is>
      </c>
      <c r="AT30" s="24" t="inlineStr">
        <is>
          <t>Minnesota Lynx</t>
        </is>
      </c>
      <c r="AU30" s="24" t="inlineStr">
        <is>
          <t>Minnesota Lynx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41c5f8278a71f705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2026-08-06T18:57:57.071624Z</t>
        </is>
      </c>
      <c r="BI30" s="24" t="inlineStr">
        <is>
          <t>["same_event","same_team_same_day","same_league_same_day"]</t>
        </is>
      </c>
      <c r="BJ30" s="25" t="n"/>
      <c r="BK30" s="26" t="n">
        <v>-1150</v>
      </c>
      <c r="BL30" s="27" t="n">
        <v>1.086957</v>
      </c>
      <c r="BM30" s="28" t="n">
        <v>0.92</v>
      </c>
      <c r="BN30" s="28" t="n">
        <v>0.910891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0.904420571</t>
        </is>
      </c>
      <c r="CD30" s="24" t="inlineStr">
        <is>
          <t>3.215406</t>
        </is>
      </c>
      <c r="CE30" s="24" t="n"/>
      <c r="CF30" s="24" t="n"/>
      <c r="CG30" s="24" t="n"/>
      <c r="CH30" s="24" t="n"/>
      <c r="CI30" s="24" t="inlineStr">
        <is>
          <t>NO_CALL_AVAILABILITY_SOURCE_CONFLICT</t>
        </is>
      </c>
      <c r="CJ30" s="24" t="inlineStr">
        <is>
          <t>-0.02251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0.7758</t>
        </is>
      </c>
      <c r="CS30" s="24" t="inlineStr">
        <is>
          <t>False</t>
        </is>
      </c>
    </row>
    <row r="31" ht="36" customHeight="1">
      <c r="A31" s="24" t="inlineStr">
        <is>
          <t>17f439c082b14660</t>
        </is>
      </c>
      <c r="B31" s="24" t="inlineStr">
        <is>
          <t>2026-08-06T18:58:18.495512Z</t>
        </is>
      </c>
      <c r="C31" s="24" t="inlineStr">
        <is>
          <t>2026-08-06T22:00:00-0400</t>
        </is>
      </c>
      <c r="D31" s="24" t="inlineStr">
        <is>
          <t>401857121</t>
        </is>
      </c>
      <c r="E31" s="24" t="inlineStr">
        <is>
          <t>WNBA</t>
        </is>
      </c>
      <c r="F31" s="24" t="inlineStr">
        <is>
          <t>Toronto Tempo</t>
        </is>
      </c>
      <c r="G31" s="24" t="inlineStr">
        <is>
          <t>Portland Fire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0.617434</v>
      </c>
      <c r="P31" s="28" t="n"/>
      <c r="Q31" s="28" t="n">
        <v>0.037602</v>
      </c>
      <c r="R31" s="26" t="n">
        <v>42</v>
      </c>
      <c r="S31" s="29" t="n">
        <v>1.5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83</v>
      </c>
      <c r="X31" s="26" t="n">
        <v>97</v>
      </c>
      <c r="Y31" s="25" t="n"/>
      <c r="Z31" s="26" t="n"/>
      <c r="AA31" s="28" t="n"/>
      <c r="AB31" s="28" t="n"/>
      <c r="AC31" s="30" t="n">
        <v>1.087</v>
      </c>
      <c r="AD31" s="24" t="inlineStr">
        <is>
          <t>2026-08-07T09:06:33.053227Z</t>
        </is>
      </c>
      <c r="AE31" s="31" t="inlineStr">
        <is>
          <t>Learned LR call at threshold 0.5001; executable ask 0.5800 (aec-wnba-tor-por-2026-08-06); model edge vs ask +0.0374. NOTE: NO_CALL_AVAILABILITY_SOURCE_CONFLICT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wnba-tor</t>
        </is>
      </c>
      <c r="AQ31" s="24" t="inlineStr">
        <is>
          <t>Toronto Tempo</t>
        </is>
      </c>
      <c r="AR31" s="24" t="inlineStr">
        <is>
          <t>Toronto Tempo</t>
        </is>
      </c>
      <c r="AS31" s="24" t="inlineStr">
        <is>
          <t>wnba-por</t>
        </is>
      </c>
      <c r="AT31" s="24" t="inlineStr">
        <is>
          <t>Portland Fire</t>
        </is>
      </c>
      <c r="AU31" s="24" t="inlineStr">
        <is>
          <t>Portland Fire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90fd0d58822b7917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2026-08-06T18:57:57.472055Z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>
        <v>0.574257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0.6630193028</t>
        </is>
      </c>
      <c r="CD31" s="24" t="inlineStr">
        <is>
          <t>4.186942</t>
        </is>
      </c>
      <c r="CE31" s="24" t="n"/>
      <c r="CF31" s="24" t="n"/>
      <c r="CG31" s="24" t="n"/>
      <c r="CH31" s="24" t="n"/>
      <c r="CI31" s="24" t="inlineStr">
        <is>
          <t>NO_CALL_AVAILABILITY_SOURCE_CONFLICT</t>
        </is>
      </c>
      <c r="CJ31" s="24" t="inlineStr">
        <is>
          <t>-0.197354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0.617434</t>
        </is>
      </c>
      <c r="CS31" s="24" t="inlineStr">
        <is>
          <t>True</t>
        </is>
      </c>
    </row>
    <row r="32" ht="36" customHeight="1">
      <c r="A32" s="24" t="inlineStr">
        <is>
          <t>37898ae8bd4a4c61</t>
        </is>
      </c>
      <c r="B32" s="24" t="inlineStr">
        <is>
          <t>2026-08-07T21:56:24.360448Z</t>
        </is>
      </c>
      <c r="C32" s="24" t="inlineStr">
        <is>
          <t>2026-08-07T19:30:00-0400</t>
        </is>
      </c>
      <c r="D32" s="24" t="inlineStr">
        <is>
          <t>401857122</t>
        </is>
      </c>
      <c r="E32" s="24" t="inlineStr">
        <is>
          <t>WNBA</t>
        </is>
      </c>
      <c r="F32" s="24" t="inlineStr">
        <is>
          <t>Phoenix Mercury</t>
        </is>
      </c>
      <c r="G32" s="24" t="inlineStr">
        <is>
          <t>Connecticut Sun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0.5232869999999999</v>
      </c>
      <c r="P32" s="28" t="n"/>
      <c r="Q32" s="28" t="n">
        <v>-0.167115</v>
      </c>
      <c r="R32" s="26" t="n">
        <v>0</v>
      </c>
      <c r="S32" s="29" t="n">
        <v>1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72</v>
      </c>
      <c r="X32" s="26" t="n">
        <v>75</v>
      </c>
      <c r="Y32" s="25" t="n"/>
      <c r="Z32" s="26" t="n"/>
      <c r="AA32" s="28" t="n"/>
      <c r="AB32" s="28" t="n"/>
      <c r="AC32" s="30" t="n">
        <v>-1</v>
      </c>
      <c r="AD32" s="24" t="inlineStr">
        <is>
          <t>2026-08-08T04:03:23.983838Z</t>
        </is>
      </c>
      <c r="AE32" s="31" t="inlineStr">
        <is>
          <t>Learned LR call at threshold 0.5001; executable ask 0.6900 (aec-wnba-phx-conn-2026-08-07); model edge vs ask -0.1667. NOTE: NO_CALL_AVAILABILITY_SOURCE_CONFLICT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wnba-phx</t>
        </is>
      </c>
      <c r="AQ32" s="24" t="inlineStr">
        <is>
          <t>Phoenix Mercury</t>
        </is>
      </c>
      <c r="AR32" s="24" t="inlineStr">
        <is>
          <t>Phoenix Mercury</t>
        </is>
      </c>
      <c r="AS32" s="24" t="inlineStr">
        <is>
          <t>wnba-con</t>
        </is>
      </c>
      <c r="AT32" s="24" t="inlineStr">
        <is>
          <t>Connecticut Sun</t>
        </is>
      </c>
      <c r="AU32" s="24" t="inlineStr">
        <is>
          <t>Connecticut Sun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0cc51532bda1a1e7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2026-08-07T21:55:59.492580Z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>
        <v>0.683168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0.464766751</t>
        </is>
      </c>
      <c r="CD32" s="24" t="inlineStr">
        <is>
          <t>-5.674273</t>
        </is>
      </c>
      <c r="CE32" s="24" t="n"/>
      <c r="CF32" s="24" t="n"/>
      <c r="CG32" s="24" t="n"/>
      <c r="CH32" s="24" t="n"/>
      <c r="CI32" s="24" t="inlineStr">
        <is>
          <t>NO_CALL_AVAILABILITY_SOURCE_CONFLICT</t>
        </is>
      </c>
      <c r="CJ32" s="24" t="inlineStr">
        <is>
          <t>5.627573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0.523287</t>
        </is>
      </c>
      <c r="CS32" s="24" t="inlineStr">
        <is>
          <t>False</t>
        </is>
      </c>
    </row>
    <row r="33" ht="36" customHeight="1">
      <c r="A33" s="24" t="inlineStr">
        <is>
          <t>81a2663931b24d74</t>
        </is>
      </c>
      <c r="B33" s="24" t="inlineStr">
        <is>
          <t>2026-08-07T21:56:24.360448Z</t>
        </is>
      </c>
      <c r="C33" s="24" t="inlineStr">
        <is>
          <t>2026-08-07T19:30:00-0400</t>
        </is>
      </c>
      <c r="D33" s="24" t="inlineStr">
        <is>
          <t>401857123</t>
        </is>
      </c>
      <c r="E33" s="24" t="inlineStr">
        <is>
          <t>WNBA</t>
        </is>
      </c>
      <c r="F33" s="24" t="inlineStr">
        <is>
          <t>Atlanta Dream</t>
        </is>
      </c>
      <c r="G33" s="24" t="inlineStr">
        <is>
          <t>Washington Mystics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194</v>
      </c>
      <c r="M33" s="27" t="n">
        <v>2.94</v>
      </c>
      <c r="N33" s="28" t="n">
        <v>0.340136</v>
      </c>
      <c r="O33" s="28" t="n">
        <v>0.561972</v>
      </c>
      <c r="P33" s="28" t="n"/>
      <c r="Q33" s="28" t="n">
        <v>0.221836</v>
      </c>
      <c r="R33" s="26" t="n">
        <v>100</v>
      </c>
      <c r="S33" s="29" t="n">
        <v>1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74</v>
      </c>
      <c r="X33" s="26" t="n">
        <v>79</v>
      </c>
      <c r="Y33" s="25" t="n"/>
      <c r="Z33" s="26" t="n"/>
      <c r="AA33" s="28" t="n"/>
      <c r="AB33" s="28" t="n"/>
      <c r="AC33" s="30" t="n">
        <v>1.94</v>
      </c>
      <c r="AD33" s="24" t="inlineStr">
        <is>
          <t>2026-08-08T04:03:24.422459Z</t>
        </is>
      </c>
      <c r="AE33" s="31" t="inlineStr">
        <is>
          <t>Learned LR call at threshold 0.5001; executable ask 0.3400 (aec-wnba-atl-wsh-2026-08-07); model edge vs ask +0.2220.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wnba-atl</t>
        </is>
      </c>
      <c r="AQ33" s="24" t="inlineStr">
        <is>
          <t>Atlanta Dream</t>
        </is>
      </c>
      <c r="AR33" s="24" t="inlineStr">
        <is>
          <t>Atlanta Dream</t>
        </is>
      </c>
      <c r="AS33" s="24" t="inlineStr">
        <is>
          <t>wnba-was</t>
        </is>
      </c>
      <c r="AT33" s="24" t="inlineStr">
        <is>
          <t>Washington Mystics</t>
        </is>
      </c>
      <c r="AU33" s="24" t="inlineStr">
        <is>
          <t>Washington Mystics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7527e38cbf3d298e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2026-08-07T21:56:00.000131Z</t>
        </is>
      </c>
      <c r="BI33" s="24" t="inlineStr">
        <is>
          <t>["same_event","same_team_same_day","same_league_same_day"]</t>
        </is>
      </c>
      <c r="BJ33" s="25" t="n"/>
      <c r="BK33" s="26" t="n">
        <v>194</v>
      </c>
      <c r="BL33" s="27" t="n">
        <v>2.94</v>
      </c>
      <c r="BM33" s="28" t="n">
        <v>0.340136</v>
      </c>
      <c r="BN33" s="28" t="n">
        <v>0.336634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0.5839932663</t>
        </is>
      </c>
      <c r="CD33" s="24" t="inlineStr">
        <is>
          <t>-1.592597</t>
        </is>
      </c>
      <c r="CE33" s="24" t="n"/>
      <c r="CF33" s="24" t="n"/>
      <c r="CG33" s="24" t="n"/>
      <c r="CH33" s="24" t="n"/>
      <c r="CI33" s="24" t="n"/>
      <c r="CJ33" s="24" t="inlineStr">
        <is>
          <t>6.900454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0.561972</t>
        </is>
      </c>
      <c r="CS33" s="24" t="inlineStr">
        <is>
          <t>True</t>
        </is>
      </c>
    </row>
    <row r="34" ht="36" customHeight="1">
      <c r="A34" s="24" t="inlineStr">
        <is>
          <t>ce8b7cfa0d84414d</t>
        </is>
      </c>
      <c r="B34" s="24" t="inlineStr">
        <is>
          <t>2026-08-08T01:00:54.678171Z</t>
        </is>
      </c>
      <c r="C34" s="24" t="inlineStr">
        <is>
          <t>2026-08-07T21:30:00-0400</t>
        </is>
      </c>
      <c r="D34" s="24" t="inlineStr">
        <is>
          <t>401857124</t>
        </is>
      </c>
      <c r="E34" s="24" t="inlineStr">
        <is>
          <t>WNBA</t>
        </is>
      </c>
      <c r="F34" s="24" t="inlineStr">
        <is>
          <t>Golden State Valkyries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0.506578</v>
      </c>
      <c r="P34" s="28" t="n"/>
      <c r="Q34" s="28" t="n">
        <v>0.016382</v>
      </c>
      <c r="R34" s="26" t="n">
        <v>31</v>
      </c>
      <c r="S34" s="29" t="n">
        <v>1</v>
      </c>
      <c r="T34" s="24" t="inlineStr">
        <is>
          <t>wnba-elo-trend-lr-v4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94</v>
      </c>
      <c r="X34" s="26" t="n">
        <v>76</v>
      </c>
      <c r="Y34" s="25" t="n"/>
      <c r="Z34" s="26" t="n"/>
      <c r="AA34" s="28" t="n"/>
      <c r="AB34" s="28" t="n"/>
      <c r="AC34" s="30" t="n">
        <v>1.04</v>
      </c>
      <c r="AD34" s="24" t="inlineStr">
        <is>
          <t>2026-08-08T04:03:56.240853Z</t>
        </is>
      </c>
      <c r="AE34" s="31" t="inlineStr">
        <is>
          <t>Learned LR call at threshold 0.5001; executable ask 0.4900 (aec-wnba-gsv-dal-2026-08-07); model edge vs ask +0.0166.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wnba-gsv</t>
        </is>
      </c>
      <c r="AQ34" s="24" t="inlineStr">
        <is>
          <t>Golden State Valkyries</t>
        </is>
      </c>
      <c r="AR34" s="24" t="inlineStr">
        <is>
          <t>Golden State Valkyries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c2d3c7c45366cc37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2026-08-08T01:00:45.249760Z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>
        <v>0.485149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0.4936041743</t>
        </is>
      </c>
      <c r="CD34" s="24" t="inlineStr">
        <is>
          <t>-0.766561</t>
        </is>
      </c>
      <c r="CE34" s="24" t="n"/>
      <c r="CF34" s="24" t="n"/>
      <c r="CG34" s="24" t="n"/>
      <c r="CH34" s="24" t="n"/>
      <c r="CI34" s="24" t="n"/>
      <c r="CJ34" s="24" t="inlineStr">
        <is>
          <t>2.335261</t>
        </is>
      </c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0.506578</t>
        </is>
      </c>
      <c r="CS34" s="24" t="inlineStr">
        <is>
          <t>True</t>
        </is>
      </c>
    </row>
    <row r="35" ht="36" customHeight="1">
      <c r="A35" s="24" t="inlineStr">
        <is>
          <t>4f17191a6c83414d</t>
        </is>
      </c>
      <c r="B35" s="24" t="inlineStr">
        <is>
          <t>2026-08-08T18:35:59.410253Z</t>
        </is>
      </c>
      <c r="C35" s="24" t="inlineStr">
        <is>
          <t>2026-08-08T15:30:00-0400</t>
        </is>
      </c>
      <c r="D35" s="24" t="inlineStr">
        <is>
          <t>401857126</t>
        </is>
      </c>
      <c r="E35" s="24" t="inlineStr">
        <is>
          <t>WNBA</t>
        </is>
      </c>
      <c r="F35" s="24" t="inlineStr">
        <is>
          <t>Indiana Fever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0.642496</v>
      </c>
      <c r="P35" s="28" t="n"/>
      <c r="Q35" s="28" t="n">
        <v>-0.047906</v>
      </c>
      <c r="R35" s="26" t="n">
        <v>0</v>
      </c>
      <c r="S35" s="29" t="n">
        <v>1.5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win</t>
        </is>
      </c>
      <c r="W35" s="26" t="n">
        <v>90</v>
      </c>
      <c r="X35" s="26" t="n">
        <v>86</v>
      </c>
      <c r="Y35" s="25" t="n"/>
      <c r="Z35" s="26" t="n"/>
      <c r="AA35" s="28" t="n"/>
      <c r="AB35" s="28" t="n"/>
      <c r="AC35" s="30" t="n">
        <v>0.6726</v>
      </c>
      <c r="AD35" s="24" t="inlineStr">
        <is>
          <t>2026-08-09T05:12:53.839909Z</t>
        </is>
      </c>
      <c r="AE35" s="31" t="inlineStr">
        <is>
          <t>Learned LR call at threshold 0.5001; executable ask 0.6900 (aec-wnba-ind-chi-2026-08-08); model edge vs ask -0.0475. NOTE: NO_CALL_AVAILABILITY_SOURCE_CONFLICT unavailable for this game — defaulted to neutral, other features used normally.</t>
        </is>
      </c>
      <c r="AF35" s="31" t="inlineStr">
        <is>
          <t>Learned model; shadow-qualified via operator override.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wnba-ind</t>
        </is>
      </c>
      <c r="AQ35" s="24" t="inlineStr">
        <is>
          <t>Indiana Fever</t>
        </is>
      </c>
      <c r="AR35" s="24" t="inlineStr">
        <is>
          <t>Indiana Fever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151c56cfebdd36b1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2026-08-08T18:35:41.075858Z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>
        <v>0.683168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0.3173646589</t>
        </is>
      </c>
      <c r="CD35" s="24" t="inlineStr">
        <is>
          <t>0.612216</t>
        </is>
      </c>
      <c r="CE35" s="24" t="n"/>
      <c r="CF35" s="24" t="n"/>
      <c r="CG35" s="24" t="n"/>
      <c r="CH35" s="24" t="n"/>
      <c r="CI35" s="24" t="inlineStr">
        <is>
          <t>NO_CALL_AVAILABILITY_SOURCE_CONFLICT</t>
        </is>
      </c>
      <c r="CJ35" s="24" t="inlineStr">
        <is>
          <t>1.718569</t>
        </is>
      </c>
      <c r="CK35" s="24" t="n"/>
      <c r="CL35" s="24" t="n"/>
      <c r="CM35" s="24" t="n"/>
      <c r="CN35" s="24" t="n"/>
      <c r="CO35" s="24" t="n"/>
      <c r="CP35" s="24" t="n"/>
      <c r="CQ35" s="24" t="n"/>
      <c r="CR35" s="24" t="inlineStr">
        <is>
          <t>0.642496</t>
        </is>
      </c>
      <c r="CS35" s="24" t="inlineStr">
        <is>
          <t>False</t>
        </is>
      </c>
    </row>
    <row r="36" ht="36" customHeight="1">
      <c r="A36" s="24" t="inlineStr">
        <is>
          <t>34e6986747844e0e</t>
        </is>
      </c>
      <c r="B36" s="24" t="inlineStr">
        <is>
          <t>2026-08-08T18:35:59.410253Z</t>
        </is>
      </c>
      <c r="C36" s="24" t="inlineStr">
        <is>
          <t>2026-08-08T20:30:00-0400</t>
        </is>
      </c>
      <c r="D36" s="24" t="inlineStr">
        <is>
          <t>401857127</t>
        </is>
      </c>
      <c r="E36" s="24" t="inlineStr">
        <is>
          <t>WNBA</t>
        </is>
      </c>
      <c r="F36" s="24" t="inlineStr">
        <is>
          <t>Seattle Storm</t>
        </is>
      </c>
      <c r="G36" s="24" t="inlineStr">
        <is>
          <t>Portland Fire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100</v>
      </c>
      <c r="M36" s="27" t="n">
        <v>2</v>
      </c>
      <c r="N36" s="28" t="n">
        <v>0.5</v>
      </c>
      <c r="O36" s="28" t="n">
        <v>0.636385</v>
      </c>
      <c r="P36" s="28" t="n"/>
      <c r="Q36" s="28" t="n">
        <v>0.136385</v>
      </c>
      <c r="R36" s="26" t="n">
        <v>91</v>
      </c>
      <c r="S36" s="29" t="n">
        <v>1.5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93</v>
      </c>
      <c r="X36" s="26" t="n">
        <v>100</v>
      </c>
      <c r="Y36" s="25" t="n"/>
      <c r="Z36" s="26" t="n"/>
      <c r="AA36" s="28" t="n"/>
      <c r="AB36" s="28" t="n"/>
      <c r="AC36" s="30" t="n">
        <v>1.5</v>
      </c>
      <c r="AD36" s="24" t="inlineStr">
        <is>
          <t>2026-08-09T05:12:54.769320Z</t>
        </is>
      </c>
      <c r="AE36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wnba-sea</t>
        </is>
      </c>
      <c r="AQ36" s="24" t="inlineStr">
        <is>
          <t>Seattle Storm</t>
        </is>
      </c>
      <c r="AR36" s="24" t="inlineStr">
        <is>
          <t>Seattle Storm</t>
        </is>
      </c>
      <c r="AS36" s="24" t="inlineStr">
        <is>
          <t>wnba-por</t>
        </is>
      </c>
      <c r="AT36" s="24" t="inlineStr">
        <is>
          <t>Portland Fire</t>
        </is>
      </c>
      <c r="AU36" s="24" t="inlineStr">
        <is>
          <t>Portland Fire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c4f4370995132da0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2026-08-08T18:35:41.814320Z</t>
        </is>
      </c>
      <c r="BI36" s="24" t="inlineStr">
        <is>
          <t>["same_event","same_team_same_day","same_league_same_day"]</t>
        </is>
      </c>
      <c r="BJ36" s="25" t="n"/>
      <c r="BK36" s="26" t="n">
        <v>100</v>
      </c>
      <c r="BL36" s="27" t="n">
        <v>2</v>
      </c>
      <c r="BM36" s="28" t="n">
        <v>0.5</v>
      </c>
      <c r="BN36" s="28" t="n">
        <v>0.49505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0.6792726129</t>
        </is>
      </c>
      <c r="CD36" s="24" t="inlineStr">
        <is>
          <t>-3.251216</t>
        </is>
      </c>
      <c r="CE36" s="24" t="n"/>
      <c r="CF36" s="24" t="n"/>
      <c r="CG36" s="24" t="n"/>
      <c r="CH36" s="24" t="n"/>
      <c r="CI36" s="24" t="inlineStr">
        <is>
          <t>NO_CALL_AVAILABILITY_SOURCE_CONFLICT</t>
        </is>
      </c>
      <c r="CJ36" s="24" t="inlineStr">
        <is>
          <t>6.663423</t>
        </is>
      </c>
      <c r="CK36" s="24" t="n"/>
      <c r="CL36" s="24" t="n"/>
      <c r="CM36" s="24" t="n"/>
      <c r="CN36" s="24" t="n"/>
      <c r="CO36" s="24" t="n"/>
      <c r="CP36" s="24" t="n"/>
      <c r="CQ36" s="24" t="n"/>
      <c r="CR36" s="24" t="inlineStr">
        <is>
          <t>0.636385</t>
        </is>
      </c>
      <c r="CS36" s="24" t="inlineStr">
        <is>
          <t>True</t>
        </is>
      </c>
    </row>
    <row r="37" ht="36" customHeight="1">
      <c r="A37" s="24" t="inlineStr">
        <is>
          <t>c76fa7f043d24097</t>
        </is>
      </c>
      <c r="B37" s="24" t="inlineStr">
        <is>
          <t>2026-08-09T13:59:23.763456Z</t>
        </is>
      </c>
      <c r="C37" s="24" t="inlineStr">
        <is>
          <t>2026-08-09T12:30:00-0400</t>
        </is>
      </c>
      <c r="D37" s="24" t="inlineStr">
        <is>
          <t>401857128</t>
        </is>
      </c>
      <c r="E37" s="24" t="inlineStr">
        <is>
          <t>WNBA</t>
        </is>
      </c>
      <c r="F37" s="24" t="inlineStr">
        <is>
          <t>Las Vegas Aces</t>
        </is>
      </c>
      <c r="G37" s="24" t="inlineStr">
        <is>
          <t>New York Liberty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300</v>
      </c>
      <c r="M37" s="27" t="n">
        <v>4</v>
      </c>
      <c r="N37" s="28" t="n">
        <v>0.25</v>
      </c>
      <c r="O37" s="28" t="n">
        <v>0.513331</v>
      </c>
      <c r="P37" s="28" t="n"/>
      <c r="Q37" s="28" t="n">
        <v>0.263331</v>
      </c>
      <c r="R37" s="26" t="n">
        <v>100</v>
      </c>
      <c r="S37" s="29" t="n">
        <v>1</v>
      </c>
      <c r="T37" s="24" t="inlineStr">
        <is>
          <t>wnba-elo-trend-lr-v4</t>
        </is>
      </c>
      <c r="U37" s="24" t="inlineStr">
        <is>
          <t>settled</t>
        </is>
      </c>
      <c r="V37" s="24" t="inlineStr">
        <is>
          <t>loss</t>
        </is>
      </c>
      <c r="W37" s="26" t="n">
        <v>71</v>
      </c>
      <c r="X37" s="26" t="n">
        <v>111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2026-08-09T20:24:37.708312Z</t>
        </is>
      </c>
      <c r="AE37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wnba-lva</t>
        </is>
      </c>
      <c r="AQ37" s="24" t="inlineStr">
        <is>
          <t>Las Vegas Aces</t>
        </is>
      </c>
      <c r="AR37" s="24" t="inlineStr">
        <is>
          <t>Las Vegas Aces</t>
        </is>
      </c>
      <c r="AS37" s="24" t="inlineStr">
        <is>
          <t>wnba-nyl</t>
        </is>
      </c>
      <c r="AT37" s="24" t="inlineStr">
        <is>
          <t>New York Liberty</t>
        </is>
      </c>
      <c r="AU37" s="24" t="inlineStr">
        <is>
          <t>New York Liberty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7afd5274214b58b7efd7f7febc7be3ab33b92351cda5cc6403c0a39faea0cc8c</t>
        </is>
      </c>
      <c r="BB37" s="24" t="inlineStr">
        <is>
          <t>learned_lr</t>
        </is>
      </c>
      <c r="BC37" s="24" t="inlineStr">
        <is>
          <t>wnba-elo-trend-lr-v4</t>
        </is>
      </c>
      <c r="BD37" s="24" t="inlineStr">
        <is>
          <t>7afd5274214b58b7efd7f7febc7be3ab33b92351cda5cc6403c0a39faea0cc8c</t>
        </is>
      </c>
      <c r="BE37" s="24" t="inlineStr">
        <is>
          <t>326af12f4add44d3</t>
        </is>
      </c>
      <c r="BF37" s="24" t="inlineStr">
        <is>
          <t>1</t>
        </is>
      </c>
      <c r="BG37" s="24" t="inlineStr">
        <is>
          <t>wnba-elo-trend-lr-v4</t>
        </is>
      </c>
      <c r="BH37" s="24" t="inlineStr">
        <is>
          <t>2026-08-09T13:58:13.130881Z</t>
        </is>
      </c>
      <c r="BI37" s="24" t="inlineStr">
        <is>
          <t>["same_event","same_team_same_day","same_league_same_day"]</t>
        </is>
      </c>
      <c r="BJ37" s="25" t="n"/>
      <c r="BK37" s="26" t="n">
        <v>300</v>
      </c>
      <c r="BL37" s="27" t="n">
        <v>4</v>
      </c>
      <c r="BM37" s="28" t="n">
        <v>0.25</v>
      </c>
      <c r="BN37" s="28" t="n">
        <v>0.247525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0.4879470816</t>
        </is>
      </c>
      <c r="CD37" s="24" t="inlineStr">
        <is>
          <t>3.090342</t>
        </is>
      </c>
      <c r="CE37" s="24" t="n"/>
      <c r="CF37" s="24" t="n"/>
      <c r="CG37" s="24" t="n"/>
      <c r="CH37" s="24" t="n"/>
      <c r="CI37" s="24" t="inlineStr">
        <is>
          <t>NO_CALL_AVAILABILITY_SOURCE_CONFLICT</t>
        </is>
      </c>
      <c r="CJ37" s="24" t="inlineStr">
        <is>
          <t>-3.371641</t>
        </is>
      </c>
      <c r="CK37" s="24" t="n"/>
      <c r="CL37" s="24" t="n"/>
      <c r="CM37" s="24" t="n"/>
      <c r="CN37" s="24" t="n"/>
      <c r="CO37" s="24" t="n"/>
      <c r="CP37" s="24" t="n"/>
      <c r="CQ37" s="24" t="n"/>
      <c r="CR37" s="24" t="inlineStr">
        <is>
          <t>0.513331</t>
        </is>
      </c>
      <c r="CS37" s="24" t="inlineStr">
        <is>
          <t>True</t>
        </is>
      </c>
    </row>
    <row r="38" ht="36" customHeight="1">
      <c r="A38" s="24" t="inlineStr">
        <is>
          <t>d31cf22d794b4e7c</t>
        </is>
      </c>
      <c r="B38" s="24" t="inlineStr">
        <is>
          <t>2026-08-09T17:06:21.079905Z</t>
        </is>
      </c>
      <c r="C38" s="24" t="inlineStr">
        <is>
          <t>2026-08-09T15:00:00-0400</t>
        </is>
      </c>
      <c r="D38" s="24" t="inlineStr">
        <is>
          <t>401857129</t>
        </is>
      </c>
      <c r="E38" s="24" t="inlineStr">
        <is>
          <t>WNBA</t>
        </is>
      </c>
      <c r="F38" s="24" t="inlineStr">
        <is>
          <t>Phoenix Mercury</t>
        </is>
      </c>
      <c r="G38" s="24" t="inlineStr">
        <is>
          <t>Washington Mystics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-113</v>
      </c>
      <c r="M38" s="27" t="n">
        <v>1.884956</v>
      </c>
      <c r="N38" s="28" t="n">
        <v>0.530516</v>
      </c>
      <c r="O38" s="28" t="n">
        <v>0.695232</v>
      </c>
      <c r="P38" s="28" t="n"/>
      <c r="Q38" s="28" t="n">
        <v>0.164716</v>
      </c>
      <c r="R38" s="26" t="n">
        <v>100</v>
      </c>
      <c r="S38" s="29" t="n">
        <v>2</v>
      </c>
      <c r="T38" s="24" t="inlineStr">
        <is>
          <t>wnba-elo-trend-lr-v4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75</v>
      </c>
      <c r="X38" s="26" t="n">
        <v>95</v>
      </c>
      <c r="Y38" s="25" t="n"/>
      <c r="Z38" s="26" t="n"/>
      <c r="AA38" s="28" t="n"/>
      <c r="AB38" s="28" t="n"/>
      <c r="AC38" s="30" t="n">
        <v>1.7699</v>
      </c>
      <c r="AD38" s="24" t="inlineStr">
        <is>
          <t>2026-08-09T23:29:27.139926Z</t>
        </is>
      </c>
      <c r="AE38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wnba-phx</t>
        </is>
      </c>
      <c r="AQ38" s="24" t="inlineStr">
        <is>
          <t>Phoenix Mercury</t>
        </is>
      </c>
      <c r="AR38" s="24" t="inlineStr">
        <is>
          <t>Phoenix Mercury</t>
        </is>
      </c>
      <c r="AS38" s="24" t="inlineStr">
        <is>
          <t>wnba-was</t>
        </is>
      </c>
      <c r="AT38" s="24" t="inlineStr">
        <is>
          <t>Washington Mystics</t>
        </is>
      </c>
      <c r="AU38" s="24" t="inlineStr">
        <is>
          <t>Washington Mystics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7afd5274214b58b7efd7f7febc7be3ab33b92351cda5cc6403c0a39faea0cc8c</t>
        </is>
      </c>
      <c r="BB38" s="24" t="inlineStr">
        <is>
          <t>learned_lr</t>
        </is>
      </c>
      <c r="BC38" s="24" t="inlineStr">
        <is>
          <t>wnba-elo-trend-lr-v4</t>
        </is>
      </c>
      <c r="BD38" s="24" t="inlineStr">
        <is>
          <t>7afd5274214b58b7efd7f7febc7be3ab33b92351cda5cc6403c0a39faea0cc8c</t>
        </is>
      </c>
      <c r="BE38" s="24" t="inlineStr">
        <is>
          <t>28057b4491fbc31b</t>
        </is>
      </c>
      <c r="BF38" s="24" t="inlineStr">
        <is>
          <t>1</t>
        </is>
      </c>
      <c r="BG38" s="24" t="inlineStr">
        <is>
          <t>wnba-elo-trend-lr-v4</t>
        </is>
      </c>
      <c r="BH38" s="24" t="inlineStr">
        <is>
          <t>2026-08-09T17:05:41.727182Z</t>
        </is>
      </c>
      <c r="BI38" s="24" t="inlineStr">
        <is>
          <t>["same_event","same_team_same_day","same_league_same_day"]</t>
        </is>
      </c>
      <c r="BJ38" s="25" t="n"/>
      <c r="BK38" s="26" t="n">
        <v>-113</v>
      </c>
      <c r="BL38" s="27" t="n">
        <v>1.884956</v>
      </c>
      <c r="BM38" s="28" t="n">
        <v>0.530516</v>
      </c>
      <c r="BN38" s="28" t="n">
        <v>0.524752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0.7723991943</t>
        </is>
      </c>
      <c r="CD38" s="24" t="inlineStr">
        <is>
          <t>0.96982</t>
        </is>
      </c>
      <c r="CE38" s="24" t="n"/>
      <c r="CF38" s="24" t="n"/>
      <c r="CG38" s="24" t="n"/>
      <c r="CH38" s="24" t="n"/>
      <c r="CI38" s="24" t="inlineStr">
        <is>
          <t>NO_CALL_AVAILABILITY_SOURCE_CONFLICT</t>
        </is>
      </c>
      <c r="CJ38" s="24" t="inlineStr">
        <is>
          <t>6.116575</t>
        </is>
      </c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0.695232</t>
        </is>
      </c>
      <c r="CS38" s="24" t="inlineStr">
        <is>
          <t>True</t>
        </is>
      </c>
    </row>
    <row r="39" ht="36" customHeight="1">
      <c r="A39" s="24" t="inlineStr">
        <is>
          <t>194ec7af0d9549c6</t>
        </is>
      </c>
      <c r="B39" s="24" t="inlineStr">
        <is>
          <t>2026-08-09T17:06:21.079905Z</t>
        </is>
      </c>
      <c r="C39" s="24" t="inlineStr">
        <is>
          <t>2026-08-09T15:30:00-0400</t>
        </is>
      </c>
      <c r="D39" s="24" t="inlineStr">
        <is>
          <t>401857130</t>
        </is>
      </c>
      <c r="E39" s="24" t="inlineStr">
        <is>
          <t>WNBA</t>
        </is>
      </c>
      <c r="F39" s="24" t="inlineStr">
        <is>
          <t>Dallas Wings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-223</v>
      </c>
      <c r="M39" s="27" t="n">
        <v>1.44843</v>
      </c>
      <c r="N39" s="28" t="n">
        <v>0.690402</v>
      </c>
      <c r="O39" s="28" t="n">
        <v>0.686674</v>
      </c>
      <c r="P39" s="28" t="n"/>
      <c r="Q39" s="28" t="n">
        <v>-0.003728</v>
      </c>
      <c r="R39" s="26" t="n">
        <v>22</v>
      </c>
      <c r="S39" s="29" t="n">
        <v>2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90</v>
      </c>
      <c r="X39" s="26" t="n">
        <v>103</v>
      </c>
      <c r="Y39" s="25" t="n"/>
      <c r="Z39" s="26" t="n"/>
      <c r="AA39" s="28" t="n"/>
      <c r="AB39" s="28" t="n"/>
      <c r="AC39" s="30" t="n">
        <v>0.8969</v>
      </c>
      <c r="AD39" s="24" t="inlineStr">
        <is>
          <t>2026-08-09T23:29:27.602016Z</t>
        </is>
      </c>
      <c r="AE39" s="31" t="inlineStr">
        <is>
          <t>Learned LR call at threshold 0.5001; executable ask 0.6900 (aec-wnba-dal-min-2026-08-09); model edge vs ask -0.0033. NOTE: NO_CALL_AVAILABILITY_REPORT_INCOMPLETE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NO_CALL_WINNER_OVERVALUED</t>
        </is>
      </c>
      <c r="AP39" s="24" t="inlineStr">
        <is>
          <t>wnba-dal</t>
        </is>
      </c>
      <c r="AQ39" s="24" t="inlineStr">
        <is>
          <t>Dallas Wings</t>
        </is>
      </c>
      <c r="AR39" s="24" t="inlineStr">
        <is>
          <t>Dallas Wings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a5bf8ab17ecf7ac2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2026-08-09T17:05:42.495207Z</t>
        </is>
      </c>
      <c r="BI39" s="24" t="inlineStr">
        <is>
          <t>["same_event","same_team_same_day","same_league_same_day"]</t>
        </is>
      </c>
      <c r="BJ39" s="25" t="n"/>
      <c r="BK39" s="26" t="n">
        <v>-223</v>
      </c>
      <c r="BL39" s="27" t="n">
        <v>1.44843</v>
      </c>
      <c r="BM39" s="28" t="n">
        <v>0.690402</v>
      </c>
      <c r="BN39" s="28" t="n">
        <v>0.683168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0.7587906514</t>
        </is>
      </c>
      <c r="CD39" s="24" t="inlineStr">
        <is>
          <t>4.679116</t>
        </is>
      </c>
      <c r="CE39" s="24" t="n"/>
      <c r="CF39" s="24" t="n"/>
      <c r="CG39" s="24" t="n"/>
      <c r="CH39" s="24" t="n"/>
      <c r="CI39" s="24" t="inlineStr">
        <is>
          <t>NO_CALL_AVAILABILITY_REPORT_INCOMPLETE</t>
        </is>
      </c>
      <c r="CJ39" s="24" t="inlineStr">
        <is>
          <t>-3.292164</t>
        </is>
      </c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0.686674</t>
        </is>
      </c>
      <c r="CS39" s="24" t="inlineStr">
        <is>
          <t>False</t>
        </is>
      </c>
    </row>
    <row r="40" ht="36" customHeight="1">
      <c r="A40" s="24" t="inlineStr">
        <is>
          <t>b15a97b0ddc84635</t>
        </is>
      </c>
      <c r="B40" s="24" t="inlineStr">
        <is>
          <t>2026-08-09T20:27:02.435009Z</t>
        </is>
      </c>
      <c r="C40" s="24" t="inlineStr">
        <is>
          <t>2026-08-09T19:00:00-0400</t>
        </is>
      </c>
      <c r="D40" s="24" t="inlineStr">
        <is>
          <t>401857131</t>
        </is>
      </c>
      <c r="E40" s="24" t="inlineStr">
        <is>
          <t>WNBA</t>
        </is>
      </c>
      <c r="F40" s="24" t="inlineStr">
        <is>
          <t>Golden State Valkyries</t>
        </is>
      </c>
      <c r="G40" s="24" t="inlineStr">
        <is>
          <t>Los Angeles Sparks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-233</v>
      </c>
      <c r="M40" s="27" t="n">
        <v>1.429185</v>
      </c>
      <c r="N40" s="28" t="n">
        <v>0.6997</v>
      </c>
      <c r="O40" s="28" t="n">
        <v>0.68049</v>
      </c>
      <c r="P40" s="28" t="n"/>
      <c r="Q40" s="28" t="n">
        <v>-0.01921</v>
      </c>
      <c r="R40" s="26" t="n">
        <v>14</v>
      </c>
      <c r="S40" s="29" t="n">
        <v>1.75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84</v>
      </c>
      <c r="X40" s="26" t="n">
        <v>78</v>
      </c>
      <c r="Y40" s="25" t="n"/>
      <c r="Z40" s="26" t="n"/>
      <c r="AA40" s="28" t="n"/>
      <c r="AB40" s="28" t="n"/>
      <c r="AC40" s="30" t="n">
        <v>0.7511</v>
      </c>
      <c r="AD40" s="24" t="inlineStr">
        <is>
          <t>2026-08-10T02:34:07.318931Z</t>
        </is>
      </c>
      <c r="AE40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wnba-gsv</t>
        </is>
      </c>
      <c r="AQ40" s="24" t="inlineStr">
        <is>
          <t>Golden State Valkyries</t>
        </is>
      </c>
      <c r="AR40" s="24" t="inlineStr">
        <is>
          <t>Golden State Valkyries</t>
        </is>
      </c>
      <c r="AS40" s="24" t="inlineStr">
        <is>
          <t>wnba-las</t>
        </is>
      </c>
      <c r="AT40" s="24" t="inlineStr">
        <is>
          <t>Los Angeles Sparks</t>
        </is>
      </c>
      <c r="AU40" s="24" t="inlineStr">
        <is>
          <t>Los Angeles Sparks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3f8776ef716da556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2026-08-09T20:26:42.890552Z</t>
        </is>
      </c>
      <c r="BI40" s="24" t="inlineStr">
        <is>
          <t>["same_event","same_team_same_day","same_league_same_day"]</t>
        </is>
      </c>
      <c r="BJ40" s="25" t="n"/>
      <c r="BK40" s="26" t="n">
        <v>-233</v>
      </c>
      <c r="BL40" s="27" t="n">
        <v>1.429185</v>
      </c>
      <c r="BM40" s="28" t="n">
        <v>0.6997</v>
      </c>
      <c r="BN40" s="28" t="n">
        <v>0.693069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0.2620546512</t>
        </is>
      </c>
      <c r="CD40" s="24" t="inlineStr">
        <is>
          <t>1.491968</t>
        </is>
      </c>
      <c r="CE40" s="24" t="n"/>
      <c r="CF40" s="24" t="n"/>
      <c r="CG40" s="24" t="n"/>
      <c r="CH40" s="24" t="n"/>
      <c r="CI40" s="24" t="inlineStr">
        <is>
          <t>NO_CALL_AVAILABILITY_SOURCE_CONFLICT</t>
        </is>
      </c>
      <c r="CJ40" s="24" t="inlineStr">
        <is>
          <t>-1.513705</t>
        </is>
      </c>
      <c r="CK40" s="24" t="n"/>
      <c r="CL40" s="24" t="n"/>
      <c r="CM40" s="24" t="n"/>
      <c r="CN40" s="24" t="n"/>
      <c r="CO40" s="24" t="n"/>
      <c r="CP40" s="24" t="n"/>
      <c r="CQ40" s="24" t="n"/>
      <c r="CR40" s="24" t="inlineStr">
        <is>
          <t>0.68049</t>
        </is>
      </c>
      <c r="CS40" s="24" t="inlineStr">
        <is>
          <t>False</t>
        </is>
      </c>
    </row>
    <row r="41" ht="36" customHeight="1">
      <c r="A41" s="24" t="inlineStr">
        <is>
          <t>8d4481f7be804794</t>
        </is>
      </c>
      <c r="B41" s="24" t="inlineStr">
        <is>
          <t>2026-08-10T16:34:47.251195Z</t>
        </is>
      </c>
      <c r="C41" s="24" t="inlineStr">
        <is>
          <t>2026-08-10T20:00:00-0400</t>
        </is>
      </c>
      <c r="D41" s="24" t="inlineStr">
        <is>
          <t>401857132</t>
        </is>
      </c>
      <c r="E41" s="24" t="inlineStr">
        <is>
          <t>WNBA</t>
        </is>
      </c>
      <c r="F41" s="24" t="inlineStr">
        <is>
          <t>Toronto Tempo</t>
        </is>
      </c>
      <c r="G41" s="24" t="inlineStr">
        <is>
          <t>Atlanta Dream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-733</v>
      </c>
      <c r="M41" s="27" t="n">
        <v>1.136426</v>
      </c>
      <c r="N41" s="28" t="n">
        <v>0.879952</v>
      </c>
      <c r="O41" s="28" t="n">
        <v>0.737133</v>
      </c>
      <c r="P41" s="28" t="n"/>
      <c r="Q41" s="28" t="n">
        <v>-0.142819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95</v>
      </c>
      <c r="X41" s="26" t="n">
        <v>107</v>
      </c>
      <c r="Y41" s="25" t="n"/>
      <c r="Z41" s="26" t="n"/>
      <c r="AA41" s="28" t="n"/>
      <c r="AB41" s="28" t="n"/>
      <c r="AC41" s="30" t="n">
        <v>0.2729</v>
      </c>
      <c r="AD41" s="24" t="inlineStr">
        <is>
          <t>2026-08-11T13:06:33.323693Z</t>
        </is>
      </c>
      <c r="AE41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wnba-tor</t>
        </is>
      </c>
      <c r="AQ41" s="24" t="inlineStr">
        <is>
          <t>Toronto Tempo</t>
        </is>
      </c>
      <c r="AR41" s="24" t="inlineStr">
        <is>
          <t>Toronto Tempo</t>
        </is>
      </c>
      <c r="AS41" s="24" t="inlineStr">
        <is>
          <t>wnba-atl</t>
        </is>
      </c>
      <c r="AT41" s="24" t="inlineStr">
        <is>
          <t>Atlanta Dream</t>
        </is>
      </c>
      <c r="AU41" s="24" t="inlineStr">
        <is>
          <t>Atlanta Dream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cc3e04aa2e66419b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2026-08-10T16:34:14.661341Z</t>
        </is>
      </c>
      <c r="BI41" s="24" t="inlineStr">
        <is>
          <t>["same_event","same_team_same_day","same_league_same_day"]</t>
        </is>
      </c>
      <c r="BJ41" s="25" t="n"/>
      <c r="BK41" s="26" t="n">
        <v>-733</v>
      </c>
      <c r="BL41" s="27" t="n">
        <v>1.136426</v>
      </c>
      <c r="BM41" s="28" t="n">
        <v>0.879952</v>
      </c>
      <c r="BN41" s="28" t="n">
        <v>0.871287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0.8354799774</t>
        </is>
      </c>
      <c r="CD41" s="24" t="inlineStr">
        <is>
          <t>3.773711</t>
        </is>
      </c>
      <c r="CE41" s="24" t="n"/>
      <c r="CF41" s="24" t="n"/>
      <c r="CG41" s="24" t="n"/>
      <c r="CH41" s="24" t="n"/>
      <c r="CI41" s="24" t="inlineStr">
        <is>
          <t>NO_CALL_AVAILABILITY_SOURCE_CONFLICT</t>
        </is>
      </c>
      <c r="CJ41" s="24" t="inlineStr">
        <is>
          <t>-3.297793</t>
        </is>
      </c>
      <c r="CK41" s="24" t="n"/>
      <c r="CL41" s="24" t="n"/>
      <c r="CM41" s="24" t="n"/>
      <c r="CN41" s="24" t="n"/>
      <c r="CO41" s="24" t="n"/>
      <c r="CP41" s="24" t="n"/>
      <c r="CQ41" s="24" t="n"/>
      <c r="CR41" s="24" t="inlineStr">
        <is>
          <t>0.737133</t>
        </is>
      </c>
      <c r="CS41" s="24" t="inlineStr">
        <is>
          <t>False</t>
        </is>
      </c>
    </row>
    <row r="42" ht="36" customHeight="1">
      <c r="A42" s="24" t="inlineStr">
        <is>
          <t>fbd65d4071754e79</t>
        </is>
      </c>
      <c r="B42" s="24" t="inlineStr">
        <is>
          <t>2026-08-10T16:34:47.251195Z</t>
        </is>
      </c>
      <c r="C42" s="24" t="inlineStr">
        <is>
          <t>2026-08-10T22:00:00-0400</t>
        </is>
      </c>
      <c r="D42" s="24" t="inlineStr">
        <is>
          <t>401857133</t>
        </is>
      </c>
      <c r="E42" s="24" t="inlineStr">
        <is>
          <t>WNBA</t>
        </is>
      </c>
      <c r="F42" s="24" t="inlineStr">
        <is>
          <t>Chicago Sky</t>
        </is>
      </c>
      <c r="G42" s="24" t="inlineStr">
        <is>
          <t>Seattle Storm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0.543228</v>
      </c>
      <c r="P42" s="28" t="n"/>
      <c r="Q42" s="28" t="n">
        <v>0.012712</v>
      </c>
      <c r="R42" s="26" t="n">
        <v>29</v>
      </c>
      <c r="S42" s="29" t="n">
        <v>1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loss</t>
        </is>
      </c>
      <c r="W42" s="26" t="n">
        <v>88</v>
      </c>
      <c r="X42" s="26" t="n">
        <v>97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2026-08-11T13:06:33.815356Z</t>
        </is>
      </c>
      <c r="AE42" s="31" t="inlineStr">
        <is>
          <t>Learned LR call at threshold 0.5001; executable ask 0.5300 (aec-wnba-chi-sea-2026-08-10); model edge vs ask +0.0132.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wnba-chi</t>
        </is>
      </c>
      <c r="AQ42" s="24" t="inlineStr">
        <is>
          <t>Chicago Sky</t>
        </is>
      </c>
      <c r="AR42" s="24" t="inlineStr">
        <is>
          <t>Chicago Sky</t>
        </is>
      </c>
      <c r="AS42" s="24" t="inlineStr">
        <is>
          <t>wnba-sea</t>
        </is>
      </c>
      <c r="AT42" s="24" t="inlineStr">
        <is>
          <t>Seattle Storm</t>
        </is>
      </c>
      <c r="AU42" s="24" t="inlineStr">
        <is>
          <t>Seattle Storm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0f4dad8fd6dfb442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2026-08-10T16:34:14.903004Z</t>
        </is>
      </c>
      <c r="BI42" s="24" t="inlineStr">
        <is>
          <t>["same_event","same_team_same_day","same_league_same_day"]</t>
        </is>
      </c>
      <c r="BJ42" s="25" t="n"/>
      <c r="BK42" s="26" t="n">
        <v>-113</v>
      </c>
      <c r="BL42" s="27" t="n">
        <v>1.884956</v>
      </c>
      <c r="BM42" s="28" t="n">
        <v>0.530516</v>
      </c>
      <c r="BN42" s="28" t="n">
        <v>0.524752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0.4387952332</t>
        </is>
      </c>
      <c r="CD42" s="24" t="inlineStr">
        <is>
          <t>-0.915897</t>
        </is>
      </c>
      <c r="CE42" s="24" t="n"/>
      <c r="CF42" s="24" t="n"/>
      <c r="CG42" s="24" t="n"/>
      <c r="CH42" s="24" t="n"/>
      <c r="CI42" s="24" t="n"/>
      <c r="CJ42" s="24" t="inlineStr">
        <is>
          <t>-5.749741</t>
        </is>
      </c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0.543228</t>
        </is>
      </c>
      <c r="CS42" s="24" t="inlineStr">
        <is>
          <t>True</t>
        </is>
      </c>
    </row>
    <row r="43" ht="36" customHeight="1">
      <c r="A43" s="24" t="inlineStr">
        <is>
          <t>c2b8ff34971a4524</t>
        </is>
      </c>
      <c r="B43" s="24" t="inlineStr">
        <is>
          <t>2026-08-11T23:02:00.677208Z</t>
        </is>
      </c>
      <c r="C43" s="24" t="inlineStr">
        <is>
          <t>2026-08-11T19:30:00-0400</t>
        </is>
      </c>
      <c r="D43" s="24" t="inlineStr">
        <is>
          <t>401857134</t>
        </is>
      </c>
      <c r="E43" s="24" t="inlineStr">
        <is>
          <t>WNBA</t>
        </is>
      </c>
      <c r="F43" s="24" t="inlineStr">
        <is>
          <t>New York Liberty</t>
        </is>
      </c>
      <c r="G43" s="24" t="inlineStr">
        <is>
          <t>Indiana Fever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0.601532</v>
      </c>
      <c r="P43" s="28" t="n"/>
      <c r="Q43" s="28" t="n">
        <v>0.011368</v>
      </c>
      <c r="R43" s="26" t="n">
        <v>29</v>
      </c>
      <c r="S43" s="29" t="n">
        <v>1.25</v>
      </c>
      <c r="T43" s="24" t="inlineStr">
        <is>
          <t>wnba-elo-trend-lr-v4</t>
        </is>
      </c>
      <c r="U43" s="24" t="inlineStr">
        <is>
          <t>settled</t>
        </is>
      </c>
      <c r="V43" s="24" t="inlineStr">
        <is>
          <t>win</t>
        </is>
      </c>
      <c r="W43" s="26" t="n">
        <v>92</v>
      </c>
      <c r="X43" s="26" t="n">
        <v>106</v>
      </c>
      <c r="Y43" s="25" t="n"/>
      <c r="Z43" s="26" t="n"/>
      <c r="AA43" s="28" t="n"/>
      <c r="AB43" s="28" t="n"/>
      <c r="AC43" s="30" t="n">
        <v>0.8681</v>
      </c>
      <c r="AD43" s="24" t="inlineStr">
        <is>
          <t>2026-08-12T02:05:35.184671Z</t>
        </is>
      </c>
      <c r="AE43" s="31" t="inlineStr">
        <is>
          <t>Learned LR call at threshold 0.5001; executable ask 0.5900 (aec-wnba-ny-ind-2026-08-11); model edge vs ask +0.0115. NOTE: NO_CALL_AVAILABILITY_PLAYER_UNMAPPED unavailable for this game — defaulted to neutral, other features used normally.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wnba-nyl</t>
        </is>
      </c>
      <c r="AQ43" s="24" t="inlineStr">
        <is>
          <t>New York Liberty</t>
        </is>
      </c>
      <c r="AR43" s="24" t="inlineStr">
        <is>
          <t>New York Liberty</t>
        </is>
      </c>
      <c r="AS43" s="24" t="inlineStr">
        <is>
          <t>wnba-ind</t>
        </is>
      </c>
      <c r="AT43" s="24" t="inlineStr">
        <is>
          <t>Indiana Fever</t>
        </is>
      </c>
      <c r="AU43" s="24" t="inlineStr">
        <is>
          <t>Indiana Fever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7afd5274214b58b7efd7f7febc7be3ab33b92351cda5cc6403c0a39faea0cc8c</t>
        </is>
      </c>
      <c r="BB43" s="24" t="inlineStr">
        <is>
          <t>learned_lr</t>
        </is>
      </c>
      <c r="BC43" s="24" t="inlineStr">
        <is>
          <t>wnba-elo-trend-lr-v4</t>
        </is>
      </c>
      <c r="BD43" s="24" t="inlineStr">
        <is>
          <t>7afd5274214b58b7efd7f7febc7be3ab33b92351cda5cc6403c0a39faea0cc8c</t>
        </is>
      </c>
      <c r="BE43" s="24" t="inlineStr">
        <is>
          <t>ba520a9a4c477ab6</t>
        </is>
      </c>
      <c r="BF43" s="24" t="inlineStr">
        <is>
          <t>1</t>
        </is>
      </c>
      <c r="BG43" s="24" t="inlineStr">
        <is>
          <t>wnba-elo-trend-lr-v4</t>
        </is>
      </c>
      <c r="BH43" s="24" t="inlineStr">
        <is>
          <t>2026-08-11T23:01:21.703219Z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>
        <v>0.584158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0.6211005454</t>
        </is>
      </c>
      <c r="CD43" s="24" t="inlineStr">
        <is>
          <t>-4.657768</t>
        </is>
      </c>
      <c r="CE43" s="24" t="n"/>
      <c r="CF43" s="24" t="n"/>
      <c r="CG43" s="24" t="n"/>
      <c r="CH43" s="24" t="n"/>
      <c r="CI43" s="24" t="inlineStr">
        <is>
          <t>NO_CALL_AVAILABILITY_PLAYER_UNMAPPED</t>
        </is>
      </c>
      <c r="CJ43" s="24" t="inlineStr">
        <is>
          <t>-1.837931</t>
        </is>
      </c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0.601532</t>
        </is>
      </c>
      <c r="CS43" s="24" t="inlineStr">
        <is>
          <t>True</t>
        </is>
      </c>
    </row>
    <row r="44" ht="36" customHeight="1">
      <c r="A44" s="24" t="inlineStr">
        <is>
          <t>94b6e82d47414a9a</t>
        </is>
      </c>
      <c r="B44" s="24" t="inlineStr">
        <is>
          <t>2026-08-11T23:02:00.677208Z</t>
        </is>
      </c>
      <c r="C44" s="24" t="inlineStr">
        <is>
          <t>2026-08-11T22:00:00-0400</t>
        </is>
      </c>
      <c r="D44" s="24" t="inlineStr">
        <is>
          <t>401857135</t>
        </is>
      </c>
      <c r="E44" s="24" t="inlineStr">
        <is>
          <t>WNBA</t>
        </is>
      </c>
      <c r="F44" s="24" t="inlineStr">
        <is>
          <t>Washington Mystics</t>
        </is>
      </c>
      <c r="G44" s="24" t="inlineStr">
        <is>
          <t>Las Vegas Aces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-257</v>
      </c>
      <c r="M44" s="27" t="n">
        <v>1.389105</v>
      </c>
      <c r="N44" s="28" t="n">
        <v>0.719888</v>
      </c>
      <c r="O44" s="28" t="n">
        <v>0.607315</v>
      </c>
      <c r="P44" s="28" t="n"/>
      <c r="Q44" s="28" t="n">
        <v>-0.112573</v>
      </c>
      <c r="R44" s="26" t="n">
        <v>0</v>
      </c>
      <c r="S44" s="29" t="n">
        <v>1.5</v>
      </c>
      <c r="T44" s="24" t="inlineStr">
        <is>
          <t>wnba-elo-trend-lr-v4</t>
        </is>
      </c>
      <c r="U44" s="24" t="inlineStr">
        <is>
          <t>settled</t>
        </is>
      </c>
      <c r="V44" s="24" t="inlineStr">
        <is>
          <t>win</t>
        </is>
      </c>
      <c r="W44" s="26" t="n">
        <v>76</v>
      </c>
      <c r="X44" s="26" t="n">
        <v>86</v>
      </c>
      <c r="Y44" s="25" t="n"/>
      <c r="Z44" s="26" t="n"/>
      <c r="AA44" s="28" t="n"/>
      <c r="AB44" s="28" t="n"/>
      <c r="AC44" s="30" t="n">
        <v>0.5837</v>
      </c>
      <c r="AD44" s="24" t="inlineStr">
        <is>
          <t>2026-08-12T05:11:32.121723Z</t>
        </is>
      </c>
      <c r="AE44" s="31" t="inlineStr">
        <is>
          <t>Learned LR call at threshold 0.5001; executable ask 0.7200 (aec-wnba-wsh-lv-2026-08-11); model edge vs ask -0.1127.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wnba-was</t>
        </is>
      </c>
      <c r="AQ44" s="24" t="inlineStr">
        <is>
          <t>Washington Mystics</t>
        </is>
      </c>
      <c r="AR44" s="24" t="inlineStr">
        <is>
          <t>Washington Mystics</t>
        </is>
      </c>
      <c r="AS44" s="24" t="inlineStr">
        <is>
          <t>wnba-lva</t>
        </is>
      </c>
      <c r="AT44" s="24" t="inlineStr">
        <is>
          <t>Las Vegas Aces</t>
        </is>
      </c>
      <c r="AU44" s="24" t="inlineStr">
        <is>
          <t>Las Vegas Aces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7afd5274214b58b7efd7f7febc7be3ab33b92351cda5cc6403c0a39faea0cc8c</t>
        </is>
      </c>
      <c r="BB44" s="24" t="inlineStr">
        <is>
          <t>learned_lr</t>
        </is>
      </c>
      <c r="BC44" s="24" t="inlineStr">
        <is>
          <t>wnba-elo-trend-lr-v4</t>
        </is>
      </c>
      <c r="BD44" s="24" t="inlineStr">
        <is>
          <t>7afd5274214b58b7efd7f7febc7be3ab33b92351cda5cc6403c0a39faea0cc8c</t>
        </is>
      </c>
      <c r="BE44" s="24" t="inlineStr">
        <is>
          <t>a0c31254ee1bbd66</t>
        </is>
      </c>
      <c r="BF44" s="24" t="inlineStr">
        <is>
          <t>1</t>
        </is>
      </c>
      <c r="BG44" s="24" t="inlineStr">
        <is>
          <t>wnba-elo-trend-lr-v4</t>
        </is>
      </c>
      <c r="BH44" s="24" t="inlineStr">
        <is>
          <t>2026-08-11T23:01:22.435695Z</t>
        </is>
      </c>
      <c r="BI44" s="24" t="inlineStr">
        <is>
          <t>["same_event","same_team_same_day","same_league_same_day"]</t>
        </is>
      </c>
      <c r="BJ44" s="25" t="n"/>
      <c r="BK44" s="26" t="n">
        <v>-257</v>
      </c>
      <c r="BL44" s="27" t="n">
        <v>1.389105</v>
      </c>
      <c r="BM44" s="28" t="n">
        <v>0.719888</v>
      </c>
      <c r="BN44" s="28" t="n">
        <v>0.712871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0.6234716814</t>
        </is>
      </c>
      <c r="CD44" s="24" t="inlineStr">
        <is>
          <t>-4.445907</t>
        </is>
      </c>
      <c r="CE44" s="24" t="n"/>
      <c r="CF44" s="24" t="n"/>
      <c r="CG44" s="24" t="n"/>
      <c r="CH44" s="24" t="n"/>
      <c r="CI44" s="24" t="n"/>
      <c r="CJ44" s="24" t="inlineStr">
        <is>
          <t>-8.030375</t>
        </is>
      </c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0.607315</t>
        </is>
      </c>
      <c r="CS44" s="24" t="inlineStr">
        <is>
          <t>False</t>
        </is>
      </c>
    </row>
    <row r="45" ht="36" customHeight="1">
      <c r="A45" s="24" t="inlineStr">
        <is>
          <t>5996ca17401a4bdb</t>
        </is>
      </c>
      <c r="B45" s="24" t="inlineStr">
        <is>
          <t>2026-08-11T23:02:00.677208Z</t>
        </is>
      </c>
      <c r="C45" s="24" t="inlineStr">
        <is>
          <t>2026-08-11T22:00:00-0400</t>
        </is>
      </c>
      <c r="D45" s="24" t="inlineStr">
        <is>
          <t>401857136</t>
        </is>
      </c>
      <c r="E45" s="24" t="inlineStr">
        <is>
          <t>WNBA</t>
        </is>
      </c>
      <c r="F45" s="24" t="inlineStr">
        <is>
          <t>Phoenix Mercury</t>
        </is>
      </c>
      <c r="G45" s="24" t="inlineStr">
        <is>
          <t>Los Angeles Sparks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1.787402</v>
      </c>
      <c r="N45" s="28" t="n">
        <v>0.5594710000000001</v>
      </c>
      <c r="O45" s="28" t="n">
        <v>0.605795</v>
      </c>
      <c r="P45" s="28" t="n"/>
      <c r="Q45" s="28" t="n">
        <v>0.046324</v>
      </c>
      <c r="R45" s="26" t="n">
        <v>46</v>
      </c>
      <c r="S45" s="29" t="n">
        <v>1.25</v>
      </c>
      <c r="T45" s="24" t="inlineStr">
        <is>
          <t>wnba-elo-trend-lr-v4</t>
        </is>
      </c>
      <c r="U45" s="24" t="inlineStr">
        <is>
          <t>settled</t>
        </is>
      </c>
      <c r="V45" s="24" t="inlineStr">
        <is>
          <t>loss</t>
        </is>
      </c>
      <c r="W45" s="26" t="n">
        <v>94</v>
      </c>
      <c r="X45" s="26" t="n">
        <v>87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2026-08-12T05:11:32.639916Z</t>
        </is>
      </c>
      <c r="AE45" s="31" t="inlineStr">
        <is>
          <t>Learned LR call at threshold 0.5001; executable ask 0.5600 (aec-wnba-phx-la-2026-08-11); model edge vs ask +0.0458.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wnba-phx</t>
        </is>
      </c>
      <c r="AQ45" s="24" t="inlineStr">
        <is>
          <t>Phoenix Mercury</t>
        </is>
      </c>
      <c r="AR45" s="24" t="inlineStr">
        <is>
          <t>Phoenix Mercury</t>
        </is>
      </c>
      <c r="AS45" s="24" t="inlineStr">
        <is>
          <t>wnba-las</t>
        </is>
      </c>
      <c r="AT45" s="24" t="inlineStr">
        <is>
          <t>Los Angeles Sparks</t>
        </is>
      </c>
      <c r="AU45" s="24" t="inlineStr">
        <is>
          <t>Los Angeles Sparks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7afd5274214b58b7efd7f7febc7be3ab33b92351cda5cc6403c0a39faea0cc8c</t>
        </is>
      </c>
      <c r="BB45" s="24" t="inlineStr">
        <is>
          <t>learned_lr</t>
        </is>
      </c>
      <c r="BC45" s="24" t="inlineStr">
        <is>
          <t>wnba-elo-trend-lr-v4</t>
        </is>
      </c>
      <c r="BD45" s="24" t="inlineStr">
        <is>
          <t>7afd5274214b58b7efd7f7febc7be3ab33b92351cda5cc6403c0a39faea0cc8c</t>
        </is>
      </c>
      <c r="BE45" s="24" t="inlineStr">
        <is>
          <t>ea8ddf96e9d55211</t>
        </is>
      </c>
      <c r="BF45" s="24" t="inlineStr">
        <is>
          <t>1</t>
        </is>
      </c>
      <c r="BG45" s="24" t="inlineStr">
        <is>
          <t>wnba-elo-trend-lr-v4</t>
        </is>
      </c>
      <c r="BH45" s="24" t="inlineStr">
        <is>
          <t>2026-08-11T23:01:23.084715Z</t>
        </is>
      </c>
      <c r="BI45" s="24" t="inlineStr">
        <is>
          <t>["same_event","same_team_same_day","same_league_same_day"]</t>
        </is>
      </c>
      <c r="BJ45" s="25" t="n"/>
      <c r="BK45" s="26" t="n">
        <v>-127</v>
      </c>
      <c r="BL45" s="27" t="n">
        <v>1.787402</v>
      </c>
      <c r="BM45" s="28" t="n">
        <v>0.5594710000000001</v>
      </c>
      <c r="BN45" s="28" t="n">
        <v>0.554455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0.6486314752</t>
        </is>
      </c>
      <c r="CD45" s="24" t="inlineStr">
        <is>
          <t>2.704875</t>
        </is>
      </c>
      <c r="CE45" s="24" t="n"/>
      <c r="CF45" s="24" t="n"/>
      <c r="CG45" s="24" t="n"/>
      <c r="CH45" s="24" t="n"/>
      <c r="CI45" s="24" t="n"/>
      <c r="CJ45" s="24" t="inlineStr">
        <is>
          <t>4.540233</t>
        </is>
      </c>
      <c r="CK45" s="24" t="n"/>
      <c r="CL45" s="24" t="n"/>
      <c r="CM45" s="24" t="n"/>
      <c r="CN45" s="24" t="n"/>
      <c r="CO45" s="24" t="n"/>
      <c r="CP45" s="24" t="n"/>
      <c r="CQ45" s="24" t="n"/>
      <c r="CR45" s="24" t="inlineStr">
        <is>
          <t>0.605795</t>
        </is>
      </c>
      <c r="CS45" s="24" t="inlineStr">
        <is>
          <t>True</t>
        </is>
      </c>
    </row>
    <row r="46" ht="36" customHeight="1">
      <c r="A46" s="24" t="inlineStr">
        <is>
          <t>9a7140dd6ef9419e</t>
        </is>
      </c>
      <c r="B46" s="24" t="inlineStr">
        <is>
          <t>2026-08-12T21:16:50.725033Z</t>
        </is>
      </c>
      <c r="C46" s="24" t="inlineStr">
        <is>
          <t>2026-08-12T20:00:00-0400</t>
        </is>
      </c>
      <c r="D46" s="24" t="inlineStr">
        <is>
          <t>401857137</t>
        </is>
      </c>
      <c r="E46" s="24" t="inlineStr">
        <is>
          <t>WNBA</t>
        </is>
      </c>
      <c r="F46" s="24" t="inlineStr">
        <is>
          <t>Toronto Tempo</t>
        </is>
      </c>
      <c r="G46" s="24" t="inlineStr">
        <is>
          <t>Dallas Wings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-426</v>
      </c>
      <c r="M46" s="27" t="n">
        <v>1.234742</v>
      </c>
      <c r="N46" s="28" t="n">
        <v>0.809886</v>
      </c>
      <c r="O46" s="28" t="n">
        <v>0.752207</v>
      </c>
      <c r="P46" s="28" t="n"/>
      <c r="Q46" s="28" t="n">
        <v>-0.057679</v>
      </c>
      <c r="R46" s="26" t="n">
        <v>0</v>
      </c>
      <c r="S46" s="29" t="n">
        <v>2</v>
      </c>
      <c r="T46" s="24" t="inlineStr">
        <is>
          <t>wnba-elo-trend-lr-v4</t>
        </is>
      </c>
      <c r="U46" s="24" t="inlineStr">
        <is>
          <t>settled</t>
        </is>
      </c>
      <c r="V46" s="24" t="inlineStr">
        <is>
          <t>win</t>
        </is>
      </c>
      <c r="W46" s="26" t="n">
        <v>88</v>
      </c>
      <c r="X46" s="26" t="n">
        <v>94</v>
      </c>
      <c r="Y46" s="25" t="n"/>
      <c r="Z46" s="26" t="n"/>
      <c r="AA46" s="28" t="n"/>
      <c r="AB46" s="28" t="n"/>
      <c r="AC46" s="30" t="n">
        <v>0.4695</v>
      </c>
      <c r="AD46" s="24" t="inlineStr">
        <is>
          <t>2026-08-13T05:32:37.822322Z</t>
        </is>
      </c>
      <c r="AE46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wnba-tor</t>
        </is>
      </c>
      <c r="AQ46" s="24" t="inlineStr">
        <is>
          <t>Toronto Tempo</t>
        </is>
      </c>
      <c r="AR46" s="24" t="inlineStr">
        <is>
          <t>Toronto Tempo</t>
        </is>
      </c>
      <c r="AS46" s="24" t="inlineStr">
        <is>
          <t>wnba-dal</t>
        </is>
      </c>
      <c r="AT46" s="24" t="inlineStr">
        <is>
          <t>Dallas Wings</t>
        </is>
      </c>
      <c r="AU46" s="24" t="inlineStr">
        <is>
          <t>Dallas Wings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7afd5274214b58b7efd7f7febc7be3ab33b92351cda5cc6403c0a39faea0cc8c</t>
        </is>
      </c>
      <c r="BB46" s="24" t="inlineStr">
        <is>
          <t>learned_lr</t>
        </is>
      </c>
      <c r="BC46" s="24" t="inlineStr">
        <is>
          <t>wnba-elo-trend-lr-v4</t>
        </is>
      </c>
      <c r="BD46" s="24" t="inlineStr">
        <is>
          <t>7afd5274214b58b7efd7f7febc7be3ab33b92351cda5cc6403c0a39faea0cc8c</t>
        </is>
      </c>
      <c r="BE46" s="24" t="inlineStr">
        <is>
          <t>bed262b4cc2cb026</t>
        </is>
      </c>
      <c r="BF46" s="24" t="inlineStr">
        <is>
          <t>1</t>
        </is>
      </c>
      <c r="BG46" s="24" t="inlineStr">
        <is>
          <t>wnba-elo-trend-lr-v4</t>
        </is>
      </c>
      <c r="BH46" s="24" t="inlineStr">
        <is>
          <t>2026-08-12T21:16:26.173511Z</t>
        </is>
      </c>
      <c r="BI46" s="24" t="inlineStr">
        <is>
          <t>["same_event","same_team_same_day","same_league_same_day"]</t>
        </is>
      </c>
      <c r="BJ46" s="25" t="n"/>
      <c r="BK46" s="26" t="n">
        <v>-426</v>
      </c>
      <c r="BL46" s="27" t="n">
        <v>1.234742</v>
      </c>
      <c r="BM46" s="28" t="n">
        <v>0.809886</v>
      </c>
      <c r="BN46" s="28" t="n">
        <v>0.80198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0.8593821994</t>
        </is>
      </c>
      <c r="CD46" s="24" t="inlineStr">
        <is>
          <t>1.688216</t>
        </is>
      </c>
      <c r="CE46" s="24" t="n"/>
      <c r="CF46" s="24" t="n"/>
      <c r="CG46" s="24" t="n"/>
      <c r="CH46" s="24" t="n"/>
      <c r="CI46" s="24" t="inlineStr">
        <is>
          <t>NO_CALL_AVAILABILITY_SOURCE_CONFLICT</t>
        </is>
      </c>
      <c r="CJ46" s="24" t="inlineStr">
        <is>
          <t>0.008501</t>
        </is>
      </c>
      <c r="CK46" s="24" t="n"/>
      <c r="CL46" s="24" t="n"/>
      <c r="CM46" s="24" t="n"/>
      <c r="CN46" s="24" t="n"/>
      <c r="CO46" s="24" t="n"/>
      <c r="CP46" s="24" t="n"/>
      <c r="CQ46" s="24" t="n"/>
      <c r="CR46" s="24" t="inlineStr">
        <is>
          <t>0.752207</t>
        </is>
      </c>
      <c r="CS46" s="24" t="inlineStr">
        <is>
          <t>False</t>
        </is>
      </c>
    </row>
    <row r="47" ht="36" customHeight="1">
      <c r="A47" s="24" t="inlineStr">
        <is>
          <t>c8cac0b239c94d4a</t>
        </is>
      </c>
      <c r="B47" s="24" t="inlineStr">
        <is>
          <t>2026-08-12T21:16:50.725033Z</t>
        </is>
      </c>
      <c r="C47" s="24" t="inlineStr">
        <is>
          <t>2026-08-12T22:00:00-0400</t>
        </is>
      </c>
      <c r="D47" s="24" t="inlineStr">
        <is>
          <t>401857138</t>
        </is>
      </c>
      <c r="E47" s="24" t="inlineStr">
        <is>
          <t>WNBA</t>
        </is>
      </c>
      <c r="F47" s="24" t="inlineStr">
        <is>
          <t>Chicago Sky</t>
        </is>
      </c>
      <c r="G47" s="24" t="inlineStr">
        <is>
          <t>Golden State Valkyries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-376</v>
      </c>
      <c r="M47" s="27" t="n">
        <v>1.265957</v>
      </c>
      <c r="N47" s="28" t="n">
        <v>0.789916</v>
      </c>
      <c r="O47" s="28" t="n">
        <v>0.7756999999999999</v>
      </c>
      <c r="P47" s="28" t="n"/>
      <c r="Q47" s="28" t="n">
        <v>-0.014216</v>
      </c>
      <c r="R47" s="26" t="n">
        <v>17</v>
      </c>
      <c r="S47" s="29" t="n">
        <v>2</v>
      </c>
      <c r="T47" s="24" t="inlineStr">
        <is>
          <t>wnba-elo-trend-lr-v4</t>
        </is>
      </c>
      <c r="U47" s="24" t="inlineStr">
        <is>
          <t>settled</t>
        </is>
      </c>
      <c r="V47" s="24" t="inlineStr">
        <is>
          <t>win</t>
        </is>
      </c>
      <c r="W47" s="26" t="n">
        <v>71</v>
      </c>
      <c r="X47" s="26" t="n">
        <v>91</v>
      </c>
      <c r="Y47" s="25" t="n"/>
      <c r="Z47" s="26" t="n"/>
      <c r="AA47" s="28" t="n"/>
      <c r="AB47" s="28" t="n"/>
      <c r="AC47" s="30" t="n">
        <v>0.5319</v>
      </c>
      <c r="AD47" s="24" t="inlineStr">
        <is>
          <t>2026-08-13T05:32:38.558633Z</t>
        </is>
      </c>
      <c r="AE47" s="31" t="inlineStr">
        <is>
          <t>Learned LR call at threshold 0.5001; executable ask 0.7900 (aec-wnba-chi-gsv-2026-08-12); model edge vs ask -0.0143.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wnba-chi</t>
        </is>
      </c>
      <c r="AQ47" s="24" t="inlineStr">
        <is>
          <t>Chicago Sky</t>
        </is>
      </c>
      <c r="AR47" s="24" t="inlineStr">
        <is>
          <t>Chicago Sky</t>
        </is>
      </c>
      <c r="AS47" s="24" t="inlineStr">
        <is>
          <t>wnba-gsv</t>
        </is>
      </c>
      <c r="AT47" s="24" t="inlineStr">
        <is>
          <t>Golden State Valkyries</t>
        </is>
      </c>
      <c r="AU47" s="24" t="inlineStr">
        <is>
          <t>Golden State Valkyries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7afd5274214b58b7efd7f7febc7be3ab33b92351cda5cc6403c0a39faea0cc8c</t>
        </is>
      </c>
      <c r="BB47" s="24" t="inlineStr">
        <is>
          <t>learned_lr</t>
        </is>
      </c>
      <c r="BC47" s="24" t="inlineStr">
        <is>
          <t>wnba-elo-trend-lr-v4</t>
        </is>
      </c>
      <c r="BD47" s="24" t="inlineStr">
        <is>
          <t>7afd5274214b58b7efd7f7febc7be3ab33b92351cda5cc6403c0a39faea0cc8c</t>
        </is>
      </c>
      <c r="BE47" s="24" t="inlineStr">
        <is>
          <t>25be967f882f1f6d</t>
        </is>
      </c>
      <c r="BF47" s="24" t="inlineStr">
        <is>
          <t>1</t>
        </is>
      </c>
      <c r="BG47" s="24" t="inlineStr">
        <is>
          <t>wnba-elo-trend-lr-v4</t>
        </is>
      </c>
      <c r="BH47" s="24" t="inlineStr">
        <is>
          <t>2026-08-12T21:16:26.781920Z</t>
        </is>
      </c>
      <c r="BI47" s="24" t="inlineStr">
        <is>
          <t>["same_event","same_team_same_day","same_league_same_day"]</t>
        </is>
      </c>
      <c r="BJ47" s="25" t="n"/>
      <c r="BK47" s="26" t="n">
        <v>-376</v>
      </c>
      <c r="BL47" s="27" t="n">
        <v>1.265957</v>
      </c>
      <c r="BM47" s="28" t="n">
        <v>0.789916</v>
      </c>
      <c r="BN47" s="28" t="n">
        <v>0.782178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0.8909512632</t>
        </is>
      </c>
      <c r="CD47" s="24" t="inlineStr">
        <is>
          <t>-3.866065</t>
        </is>
      </c>
      <c r="CE47" s="24" t="n"/>
      <c r="CF47" s="24" t="n"/>
      <c r="CG47" s="24" t="n"/>
      <c r="CH47" s="24" t="n"/>
      <c r="CI47" s="24" t="n"/>
      <c r="CJ47" s="24" t="inlineStr">
        <is>
          <t>2.087162</t>
        </is>
      </c>
      <c r="CK47" s="24" t="n"/>
      <c r="CL47" s="24" t="n"/>
      <c r="CM47" s="24" t="n"/>
      <c r="CN47" s="24" t="n"/>
      <c r="CO47" s="24" t="n"/>
      <c r="CP47" s="24" t="n"/>
      <c r="CQ47" s="24" t="n"/>
      <c r="CR47" s="24" t="inlineStr">
        <is>
          <t>0.7757</t>
        </is>
      </c>
      <c r="CS47" s="24" t="inlineStr">
        <is>
          <t>False</t>
        </is>
      </c>
    </row>
    <row r="48" ht="36" customHeight="1">
      <c r="A48" s="24" t="inlineStr">
        <is>
          <t>ee43dfb319904a55</t>
        </is>
      </c>
      <c r="B48" s="24" t="inlineStr">
        <is>
          <t>2026-08-12T21:16:50.725033Z</t>
        </is>
      </c>
      <c r="C48" s="24" t="inlineStr">
        <is>
          <t>2026-08-12T22:00:00-0400</t>
        </is>
      </c>
      <c r="D48" s="24" t="inlineStr">
        <is>
          <t>401857139</t>
        </is>
      </c>
      <c r="E48" s="24" t="inlineStr">
        <is>
          <t>WNBA</t>
        </is>
      </c>
      <c r="F48" s="24" t="inlineStr">
        <is>
          <t>Minnesota Lynx</t>
        </is>
      </c>
      <c r="G48" s="24" t="inlineStr">
        <is>
          <t>Portland Fire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-614</v>
      </c>
      <c r="M48" s="27" t="n">
        <v>1.162866</v>
      </c>
      <c r="N48" s="28" t="n">
        <v>0.859944</v>
      </c>
      <c r="O48" s="28" t="n">
        <v>0.723101</v>
      </c>
      <c r="P48" s="28" t="n"/>
      <c r="Q48" s="28" t="n">
        <v>-0.136843</v>
      </c>
      <c r="R48" s="26" t="n">
        <v>0</v>
      </c>
      <c r="S48" s="29" t="n">
        <v>2</v>
      </c>
      <c r="T48" s="24" t="inlineStr">
        <is>
          <t>wnba-elo-trend-lr-v4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85</v>
      </c>
      <c r="X48" s="26" t="n">
        <v>81</v>
      </c>
      <c r="Y48" s="25" t="n"/>
      <c r="Z48" s="26" t="n"/>
      <c r="AA48" s="28" t="n"/>
      <c r="AB48" s="28" t="n"/>
      <c r="AC48" s="30" t="n">
        <v>0.3257</v>
      </c>
      <c r="AD48" s="24" t="inlineStr">
        <is>
          <t>2026-08-13T05:32:39.125413Z</t>
        </is>
      </c>
      <c r="AE48" s="31" t="inlineStr">
        <is>
          <t>Learned LR call at threshold 0.5001; executable ask 0.8600 (aec-wnba-min-por-2026-08-12); model edge vs ask -0.1369. NOTE: NO_CALL_AVAILABILITY_SOURCE_CONFLICT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wnba-min</t>
        </is>
      </c>
      <c r="AQ48" s="24" t="inlineStr">
        <is>
          <t>Minnesota Lynx</t>
        </is>
      </c>
      <c r="AR48" s="24" t="inlineStr">
        <is>
          <t>Minnesota Lynx</t>
        </is>
      </c>
      <c r="AS48" s="24" t="inlineStr">
        <is>
          <t>wnba-por</t>
        </is>
      </c>
      <c r="AT48" s="24" t="inlineStr">
        <is>
          <t>Portland Fire</t>
        </is>
      </c>
      <c r="AU48" s="24" t="inlineStr">
        <is>
          <t>Portland Fire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7afd5274214b58b7efd7f7febc7be3ab33b92351cda5cc6403c0a39faea0cc8c</t>
        </is>
      </c>
      <c r="BB48" s="24" t="inlineStr">
        <is>
          <t>learned_lr</t>
        </is>
      </c>
      <c r="BC48" s="24" t="inlineStr">
        <is>
          <t>wnba-elo-trend-lr-v4</t>
        </is>
      </c>
      <c r="BD48" s="24" t="inlineStr">
        <is>
          <t>7afd5274214b58b7efd7f7febc7be3ab33b92351cda5cc6403c0a39faea0cc8c</t>
        </is>
      </c>
      <c r="BE48" s="24" t="inlineStr">
        <is>
          <t>54b300fef3816245</t>
        </is>
      </c>
      <c r="BF48" s="24" t="inlineStr">
        <is>
          <t>1</t>
        </is>
      </c>
      <c r="BG48" s="24" t="inlineStr">
        <is>
          <t>wnba-elo-trend-lr-v4</t>
        </is>
      </c>
      <c r="BH48" s="24" t="inlineStr">
        <is>
          <t>2026-08-12T21:16:27.215401Z</t>
        </is>
      </c>
      <c r="BI48" s="24" t="inlineStr">
        <is>
          <t>["same_event","same_team_same_day","same_league_same_day"]</t>
        </is>
      </c>
      <c r="BJ48" s="25" t="n"/>
      <c r="BK48" s="26" t="n">
        <v>-614</v>
      </c>
      <c r="BL48" s="27" t="n">
        <v>1.162866</v>
      </c>
      <c r="BM48" s="28" t="n">
        <v>0.859944</v>
      </c>
      <c r="BN48" s="28" t="n">
        <v>0.851485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0.1965379833</t>
        </is>
      </c>
      <c r="CD48" s="24" t="inlineStr">
        <is>
          <t>-1.095212</t>
        </is>
      </c>
      <c r="CE48" s="24" t="n"/>
      <c r="CF48" s="24" t="n"/>
      <c r="CG48" s="24" t="n"/>
      <c r="CH48" s="24" t="n"/>
      <c r="CI48" s="24" t="inlineStr">
        <is>
          <t>NO_CALL_AVAILABILITY_SOURCE_CONFLICT</t>
        </is>
      </c>
      <c r="CJ48" s="24" t="inlineStr">
        <is>
          <t>3.932321</t>
        </is>
      </c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0.723101</t>
        </is>
      </c>
      <c r="CS48" s="24" t="inlineStr">
        <is>
          <t>False</t>
        </is>
      </c>
    </row>
    <row r="49" ht="36" customHeight="1">
      <c r="A49" s="24" t="inlineStr">
        <is>
          <t>8309e4105a6f4fc7</t>
        </is>
      </c>
      <c r="B49" s="24" t="inlineStr">
        <is>
          <t>2026-08-13T17:14:51.037990Z</t>
        </is>
      </c>
      <c r="C49" s="24" t="inlineStr">
        <is>
          <t>2026-08-13T19:00:00-0400</t>
        </is>
      </c>
      <c r="D49" s="24" t="inlineStr">
        <is>
          <t>401857140</t>
        </is>
      </c>
      <c r="E49" s="24" t="inlineStr">
        <is>
          <t>WNBA</t>
        </is>
      </c>
      <c r="F49" s="24" t="inlineStr">
        <is>
          <t>Atlanta Dream</t>
        </is>
      </c>
      <c r="G49" s="24" t="inlineStr">
        <is>
          <t>Connecticut Sun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-456</v>
      </c>
      <c r="M49" s="27" t="n">
        <v>1.219298</v>
      </c>
      <c r="N49" s="28" t="n">
        <v>0.820144</v>
      </c>
      <c r="O49" s="28" t="n">
        <v>0.6314380000000001</v>
      </c>
      <c r="P49" s="28" t="n"/>
      <c r="Q49" s="28" t="n">
        <v>-0.188706</v>
      </c>
      <c r="R49" s="26" t="n">
        <v>0</v>
      </c>
      <c r="S49" s="29" t="n">
        <v>1.5</v>
      </c>
      <c r="T49" s="24" t="inlineStr">
        <is>
          <t>wnba-elo-trend-lr-v4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Learned LR call at threshold 0.5001; executable ask 0.8200 (aec-wnba-atl-conn-2026-08-13); model edge vs ask -0.1886. NOTE: NO_CALL_AVAILABILITY_PLAYER_UNMAPPED unavailable for this game — defaulted to neutral, other features used normally.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wnba-atl</t>
        </is>
      </c>
      <c r="AQ49" s="24" t="inlineStr">
        <is>
          <t>Atlanta Dream</t>
        </is>
      </c>
      <c r="AR49" s="24" t="inlineStr">
        <is>
          <t>Atlanta Dream</t>
        </is>
      </c>
      <c r="AS49" s="24" t="inlineStr">
        <is>
          <t>wnba-con</t>
        </is>
      </c>
      <c r="AT49" s="24" t="inlineStr">
        <is>
          <t>Connecticut Sun</t>
        </is>
      </c>
      <c r="AU49" s="24" t="inlineStr">
        <is>
          <t>Connecticut Sun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7afd5274214b58b7efd7f7febc7be3ab33b92351cda5cc6403c0a39faea0cc8c</t>
        </is>
      </c>
      <c r="BB49" s="24" t="inlineStr">
        <is>
          <t>learned_lr</t>
        </is>
      </c>
      <c r="BC49" s="24" t="inlineStr">
        <is>
          <t>wnba-elo-trend-lr-v4</t>
        </is>
      </c>
      <c r="BD49" s="24" t="inlineStr">
        <is>
          <t>7afd5274214b58b7efd7f7febc7be3ab33b92351cda5cc6403c0a39faea0cc8c</t>
        </is>
      </c>
      <c r="BE49" s="24" t="inlineStr">
        <is>
          <t>eb693c1f8106b97c</t>
        </is>
      </c>
      <c r="BF49" s="24" t="inlineStr">
        <is>
          <t>1</t>
        </is>
      </c>
      <c r="BG49" s="24" t="inlineStr">
        <is>
          <t>wnba-elo-trend-lr-v4</t>
        </is>
      </c>
      <c r="BH49" s="24" t="inlineStr">
        <is>
          <t>2026-08-13T17:13:45.049604Z</t>
        </is>
      </c>
      <c r="BI49" s="24" t="inlineStr">
        <is>
          <t>["same_event","same_team_same_day","same_league_same_day"]</t>
        </is>
      </c>
      <c r="BJ49" s="25" t="n"/>
      <c r="BK49" s="26" t="n">
        <v>-456</v>
      </c>
      <c r="BL49" s="27" t="n">
        <v>1.219298</v>
      </c>
      <c r="BM49" s="28" t="n">
        <v>0.820144</v>
      </c>
      <c r="BN49" s="28" t="n">
        <v>0.811881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0.3258499922</t>
        </is>
      </c>
      <c r="CD49" s="24" t="inlineStr">
        <is>
          <t>-4.55436</t>
        </is>
      </c>
      <c r="CE49" s="24" t="n"/>
      <c r="CF49" s="24" t="n"/>
      <c r="CG49" s="24" t="n"/>
      <c r="CH49" s="24" t="n"/>
      <c r="CI49" s="24" t="inlineStr">
        <is>
          <t>NO_CALL_AVAILABILITY_PLAYER_UNMAPPED</t>
        </is>
      </c>
      <c r="CJ49" s="24" t="inlineStr">
        <is>
          <t>6.374313</t>
        </is>
      </c>
      <c r="CK49" s="24" t="n"/>
      <c r="CL49" s="24" t="n"/>
      <c r="CM49" s="24" t="n"/>
      <c r="CN49" s="24" t="n"/>
      <c r="CO49" s="24" t="n"/>
      <c r="CP49" s="24" t="n"/>
      <c r="CQ49" s="24" t="n"/>
      <c r="CR49" s="24" t="inlineStr">
        <is>
          <t>0.631438</t>
        </is>
      </c>
      <c r="CS49" s="24" t="inlineStr">
        <is>
          <t>False</t>
        </is>
      </c>
    </row>
    <row r="50" ht="36" customHeight="1">
      <c r="A50" s="24" t="inlineStr">
        <is>
          <t>449e0ae003a643a4</t>
        </is>
      </c>
      <c r="B50" s="24" t="inlineStr">
        <is>
          <t>2026-08-13T17:14:51.037990Z</t>
        </is>
      </c>
      <c r="C50" s="24" t="inlineStr">
        <is>
          <t>2026-08-13T20:00:00-0400</t>
        </is>
      </c>
      <c r="D50" s="24" t="inlineStr">
        <is>
          <t>401857141</t>
        </is>
      </c>
      <c r="E50" s="24" t="inlineStr">
        <is>
          <t>WNBA</t>
        </is>
      </c>
      <c r="F50" s="24" t="inlineStr">
        <is>
          <t>Los Angeles Sparks</t>
        </is>
      </c>
      <c r="G50" s="24" t="inlineStr">
        <is>
          <t>New York Liberty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-355</v>
      </c>
      <c r="M50" s="27" t="n">
        <v>1.28169</v>
      </c>
      <c r="N50" s="28" t="n">
        <v>0.78022</v>
      </c>
      <c r="O50" s="28" t="n">
        <v>0.70842</v>
      </c>
      <c r="P50" s="28" t="n"/>
      <c r="Q50" s="28" t="n">
        <v>-0.0718</v>
      </c>
      <c r="R50" s="26" t="n">
        <v>0</v>
      </c>
      <c r="S50" s="29" t="n">
        <v>2</v>
      </c>
      <c r="T50" s="24" t="inlineStr">
        <is>
          <t>wnba-elo-trend-lr-v4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Learned LR call at threshold 0.5001; executable ask 0.7800 (aec-wnba-la-ny-2026-08-13); model edge vs ask -0.0716.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wnba-las</t>
        </is>
      </c>
      <c r="AQ50" s="24" t="inlineStr">
        <is>
          <t>Los Angeles Sparks</t>
        </is>
      </c>
      <c r="AR50" s="24" t="inlineStr">
        <is>
          <t>Los Angeles Sparks</t>
        </is>
      </c>
      <c r="AS50" s="24" t="inlineStr">
        <is>
          <t>wnba-nyl</t>
        </is>
      </c>
      <c r="AT50" s="24" t="inlineStr">
        <is>
          <t>New York Liberty</t>
        </is>
      </c>
      <c r="AU50" s="24" t="inlineStr">
        <is>
          <t>New York Liberty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7afd5274214b58b7efd7f7febc7be3ab33b92351cda5cc6403c0a39faea0cc8c</t>
        </is>
      </c>
      <c r="BB50" s="24" t="inlineStr">
        <is>
          <t>learned_lr</t>
        </is>
      </c>
      <c r="BC50" s="24" t="inlineStr">
        <is>
          <t>wnba-elo-trend-lr-v4</t>
        </is>
      </c>
      <c r="BD50" s="24" t="inlineStr">
        <is>
          <t>7afd5274214b58b7efd7f7febc7be3ab33b92351cda5cc6403c0a39faea0cc8c</t>
        </is>
      </c>
      <c r="BE50" s="24" t="inlineStr">
        <is>
          <t>16b7a00d19006dde</t>
        </is>
      </c>
      <c r="BF50" s="24" t="inlineStr">
        <is>
          <t>1</t>
        </is>
      </c>
      <c r="BG50" s="24" t="inlineStr">
        <is>
          <t>wnba-elo-trend-lr-v4</t>
        </is>
      </c>
      <c r="BH50" s="24" t="inlineStr">
        <is>
          <t>2026-08-13T17:13:45.988570Z</t>
        </is>
      </c>
      <c r="BI50" s="24" t="inlineStr">
        <is>
          <t>["same_event","same_team_same_day","same_league_same_day"]</t>
        </is>
      </c>
      <c r="BJ50" s="25" t="n"/>
      <c r="BK50" s="26" t="n">
        <v>-355</v>
      </c>
      <c r="BL50" s="27" t="n">
        <v>1.28169</v>
      </c>
      <c r="BM50" s="28" t="n">
        <v>0.78022</v>
      </c>
      <c r="BN50" s="28" t="n">
        <v>0.772277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0.7947999616</t>
        </is>
      </c>
      <c r="CD50" s="24" t="inlineStr">
        <is>
          <t>5.744366</t>
        </is>
      </c>
      <c r="CE50" s="24" t="n"/>
      <c r="CF50" s="24" t="n"/>
      <c r="CG50" s="24" t="n"/>
      <c r="CH50" s="24" t="n"/>
      <c r="CI50" s="24" t="n"/>
      <c r="CJ50" s="24" t="inlineStr">
        <is>
          <t>-2.420027</t>
        </is>
      </c>
      <c r="CK50" s="24" t="n"/>
      <c r="CL50" s="24" t="n"/>
      <c r="CM50" s="24" t="n"/>
      <c r="CN50" s="24" t="n"/>
      <c r="CO50" s="24" t="n"/>
      <c r="CP50" s="24" t="n"/>
      <c r="CQ50" s="24" t="n"/>
      <c r="CR50" s="24" t="inlineStr">
        <is>
          <t>0.70842</t>
        </is>
      </c>
      <c r="CS50" s="24" t="inlineStr">
        <is>
          <t>False</t>
        </is>
      </c>
    </row>
    <row r="51" ht="36" customHeight="1">
      <c r="A51" s="24" t="inlineStr">
        <is>
          <t>18b27f5a1d5f4ea6</t>
        </is>
      </c>
      <c r="B51" s="24" t="inlineStr">
        <is>
          <t>2026-08-13T17:14:51.037990Z</t>
        </is>
      </c>
      <c r="C51" s="24" t="inlineStr">
        <is>
          <t>2026-08-13T22:00:00-0400</t>
        </is>
      </c>
      <c r="D51" s="24" t="inlineStr">
        <is>
          <t>401857142</t>
        </is>
      </c>
      <c r="E51" s="24" t="inlineStr">
        <is>
          <t>WNBA</t>
        </is>
      </c>
      <c r="F51" s="24" t="inlineStr">
        <is>
          <t>Washington Mystics</t>
        </is>
      </c>
      <c r="G51" s="24" t="inlineStr">
        <is>
          <t>Las Vegas Aces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-203</v>
      </c>
      <c r="M51" s="27" t="n">
        <v>1.492611</v>
      </c>
      <c r="N51" s="28" t="n">
        <v>0.669967</v>
      </c>
      <c r="O51" s="28" t="n">
        <v>0.637269</v>
      </c>
      <c r="P51" s="28" t="n"/>
      <c r="Q51" s="28" t="n">
        <v>-0.032698</v>
      </c>
      <c r="R51" s="26" t="n">
        <v>7</v>
      </c>
      <c r="S51" s="29" t="n">
        <v>1.5</v>
      </c>
      <c r="T51" s="24" t="inlineStr">
        <is>
          <t>wnba-elo-trend-lr-v4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Learned LR call at threshold 0.5001; executable ask 0.6700 (aec-wnba-wsh-lv-2026-08-13); model edge vs ask -0.0327.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wnba-was</t>
        </is>
      </c>
      <c r="AQ51" s="24" t="inlineStr">
        <is>
          <t>Washington Mystics</t>
        </is>
      </c>
      <c r="AR51" s="24" t="inlineStr">
        <is>
          <t>Washington Mystics</t>
        </is>
      </c>
      <c r="AS51" s="24" t="inlineStr">
        <is>
          <t>wnba-lva</t>
        </is>
      </c>
      <c r="AT51" s="24" t="inlineStr">
        <is>
          <t>Las Vegas Aces</t>
        </is>
      </c>
      <c r="AU51" s="24" t="inlineStr">
        <is>
          <t>Las Vegas Aces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7afd5274214b58b7efd7f7febc7be3ab33b92351cda5cc6403c0a39faea0cc8c</t>
        </is>
      </c>
      <c r="BB51" s="24" t="inlineStr">
        <is>
          <t>learned_lr</t>
        </is>
      </c>
      <c r="BC51" s="24" t="inlineStr">
        <is>
          <t>wnba-elo-trend-lr-v4</t>
        </is>
      </c>
      <c r="BD51" s="24" t="inlineStr">
        <is>
          <t>7afd5274214b58b7efd7f7febc7be3ab33b92351cda5cc6403c0a39faea0cc8c</t>
        </is>
      </c>
      <c r="BE51" s="24" t="inlineStr">
        <is>
          <t>ff96e0111a58886e</t>
        </is>
      </c>
      <c r="BF51" s="24" t="inlineStr">
        <is>
          <t>1</t>
        </is>
      </c>
      <c r="BG51" s="24" t="inlineStr">
        <is>
          <t>wnba-elo-trend-lr-v4</t>
        </is>
      </c>
      <c r="BH51" s="24" t="inlineStr">
        <is>
          <t>2026-08-13T17:13:46.550249Z</t>
        </is>
      </c>
      <c r="BI51" s="24" t="inlineStr">
        <is>
          <t>["same_event","same_team_same_day","same_league_same_day"]</t>
        </is>
      </c>
      <c r="BJ51" s="25" t="n"/>
      <c r="BK51" s="26" t="n">
        <v>-203</v>
      </c>
      <c r="BL51" s="27" t="n">
        <v>1.492611</v>
      </c>
      <c r="BM51" s="28" t="n">
        <v>0.669967</v>
      </c>
      <c r="BN51" s="28" t="n">
        <v>0.663366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0.6691278675</t>
        </is>
      </c>
      <c r="CD51" s="24" t="inlineStr">
        <is>
          <t>-3.282439</t>
        </is>
      </c>
      <c r="CE51" s="24" t="n"/>
      <c r="CF51" s="24" t="n"/>
      <c r="CG51" s="24" t="n"/>
      <c r="CH51" s="24" t="n"/>
      <c r="CI51" s="24" t="n"/>
      <c r="CJ51" s="24" t="inlineStr">
        <is>
          <t>-5.390663</t>
        </is>
      </c>
      <c r="CK51" s="24" t="n"/>
      <c r="CL51" s="24" t="n"/>
      <c r="CM51" s="24" t="n"/>
      <c r="CN51" s="24" t="n"/>
      <c r="CO51" s="24" t="n"/>
      <c r="CP51" s="24" t="n"/>
      <c r="CQ51" s="24" t="n"/>
      <c r="CR51" s="24" t="inlineStr">
        <is>
          <t>0.637269</t>
        </is>
      </c>
      <c r="CS5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2026-08-13T17:15:03Z</dcterms:created>
  <dcterms:modified xmlns:dcterms="http://purl.org/dc/terms/" xmlns:xsi="http://www.w3.org/2001/XMLSchema-instance" xsi:type="dcterms:W3CDTF">2026-08-13T17:15:04Z</dcterms:modified>
</cp:coreProperties>
</file>