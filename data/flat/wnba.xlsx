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8" headerRowCount="1">
  <autoFilter ref="A1:CS2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COUNTA('Picks'!$A$2:$A$28)</f>
        <v/>
      </c>
      <c r="C4" s="6">
        <f>COUNTIF('Picks'!$U$2:$U$28,"open")</f>
        <v/>
      </c>
      <c r="E4" s="6">
        <f>COUNTIF('Picks'!$U$2:$U$28,"settled")</f>
        <v/>
      </c>
      <c r="G4" s="6">
        <f>IF(COUNTIFS('Picks'!$U$2:$U$28,"settled",'Picks'!$V$2:$V$28,"win")+COUNTIFS('Picks'!$U$2:$U$28,"settled",'Picks'!$V$2:$V$28,"loss")&gt;=$L$2,"Ready","Insufficient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COUNTIF('Picks'!$BX$2:$BX$28,"&gt;0")</f>
        <v/>
      </c>
      <c r="C7" s="6">
        <f>COUNTIFS('Picks'!$BX$2:$BX$28,"&gt;0",'Picks'!$V$2:$V$28,"win")&amp;"-"&amp;COUNTIFS('Picks'!$BX$2:$BX$28,"&gt;0",'Picks'!$V$2:$V$28,"loss")</f>
        <v/>
      </c>
      <c r="E7" s="7">
        <f>IFERROR(COUNTIFS('Picks'!$BX$2:$BX$28,"&gt;0",'Picks'!$V$2:$V$28,"win")/(COUNTIFS('Picks'!$BX$2:$BX$28,"&gt;0",'Picks'!$V$2:$V$28,"win")+COUNTIFS('Picks'!$BX$2:$BX$28,"&gt;0",'Picks'!$V$2:$V$28,"loss")),0)</f>
        <v/>
      </c>
      <c r="G7" s="7">
        <f>IFERROR(SUM('Picks'!$BY$2:$BY$28)/SUM('Picks'!$BX$2:$BX$28),0)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SUM('Picks'!$BY$2:$BY$28)</f>
        <v/>
      </c>
      <c r="C10" s="9">
        <f>IFERROR(AVERAGEIF('Picks'!$AB$2:$AB$28,"&lt;&gt;",'Picks'!$AB$2:$AB$28),0)</f>
        <v/>
      </c>
      <c r="E10" s="6">
        <f>COUNTIFS('Picks'!$AM$2:$AM$28,"QUALIFIED_SHADOW_CALL",'Picks'!$U$2:$U$28,"settled")</f>
        <v/>
      </c>
      <c r="G10" s="8">
        <f>SUMIFS('Picks'!$AC$2:$AC$28,'Picks'!$AM$2:$AM$28,"QUALIFIED_SHADOW_CALL")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COUNTIFS('Picks'!$H$2:$H$28,$A14,'Picks'!$U$2:$U$28,"settled")</f>
        <v/>
      </c>
      <c r="C14" s="13">
        <f>COUNTIFS('Picks'!$H$2:$H$28,$A14,'Picks'!$U$2:$U$28,"settled",'Picks'!$V$2:$V$28,"win")</f>
        <v/>
      </c>
      <c r="D14" s="13">
        <f>COUNTIFS('Picks'!$H$2:$H$28,$A14,'Picks'!$U$2:$U$28,"settled",'Picks'!$V$2:$V$28,"loss")</f>
        <v/>
      </c>
      <c r="E14" s="14">
        <f>IFERROR(C14/(C14+D14),0)</f>
        <v/>
      </c>
      <c r="F14" s="15">
        <f>SUMIFS('Picks'!$BY$2:$BY$28,'Picks'!$H$2:$H$28,$A14)</f>
        <v/>
      </c>
      <c r="G14" s="16">
        <f>IFERROR(AVERAGEIFS('Picks'!$AB$2:$AB$28,'Picks'!$H$2:$H$28,$A14,'Picks'!$U$2:$U$28,"settled"),0)</f>
        <v/>
      </c>
    </row>
    <row r="15">
      <c r="A15" s="17" t="inlineStr">
        <is>
          <t>spread</t>
        </is>
      </c>
      <c r="B15" s="18">
        <f>COUNTIFS('Picks'!$H$2:$H$28,$A15,'Picks'!$U$2:$U$28,"settled")</f>
        <v/>
      </c>
      <c r="C15" s="18">
        <f>COUNTIFS('Picks'!$H$2:$H$28,$A15,'Picks'!$U$2:$U$28,"settled",'Picks'!$V$2:$V$28,"win")</f>
        <v/>
      </c>
      <c r="D15" s="18">
        <f>COUNTIFS('Picks'!$H$2:$H$28,$A15,'Picks'!$U$2:$U$28,"settled",'Picks'!$V$2:$V$28,"loss")</f>
        <v/>
      </c>
      <c r="E15" s="19">
        <f>IFERROR(C15/(C15+D15),0)</f>
        <v/>
      </c>
      <c r="F15" s="20">
        <f>SUMIFS('Picks'!$BY$2:$BY$28,'Picks'!$H$2:$H$28,$A15)</f>
        <v/>
      </c>
      <c r="G15" s="21">
        <f>IFERROR(AVERAGEIFS('Picks'!$AB$2:$AB$28,'Picks'!$H$2:$H$28,$A15,'Picks'!$U$2:$U$28,"settled"),0)</f>
        <v/>
      </c>
    </row>
    <row r="16">
      <c r="A16" s="12" t="inlineStr">
        <is>
          <t>total</t>
        </is>
      </c>
      <c r="B16" s="13">
        <f>COUNTIFS('Picks'!$H$2:$H$28,$A16,'Picks'!$U$2:$U$28,"settled")</f>
        <v/>
      </c>
      <c r="C16" s="13">
        <f>COUNTIFS('Picks'!$H$2:$H$28,$A16,'Picks'!$U$2:$U$28,"settled",'Picks'!$V$2:$V$28,"win")</f>
        <v/>
      </c>
      <c r="D16" s="13">
        <f>COUNTIFS('Picks'!$H$2:$H$28,$A16,'Picks'!$U$2:$U$28,"settled",'Picks'!$V$2:$V$28,"loss")</f>
        <v/>
      </c>
      <c r="E16" s="14">
        <f>IFERROR(C16/(C16+D16),0)</f>
        <v/>
      </c>
      <c r="F16" s="15">
        <f>SUMIFS('Picks'!$BY$2:$BY$28,'Picks'!$H$2:$H$28,$A16)</f>
        <v/>
      </c>
      <c r="G16" s="16">
        <f>IFERROR(AVERAGEIFS('Picks'!$AB$2:$AB$28,'Picks'!$H$2:$H$28,$A16,'Picks'!$U$2:$U$28,"settled"),0)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0.643489</t>
        </is>
      </c>
      <c r="CS17" s="24" t="inlineStr">
        <is>
          <t>0</t>
        </is>
      </c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0.57112</t>
        </is>
      </c>
      <c r="CS18" s="24" t="inlineStr">
        <is>
          <t>True</t>
        </is>
      </c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0.758559</t>
        </is>
      </c>
      <c r="CS19" s="24" t="inlineStr">
        <is>
          <t>False</t>
        </is>
      </c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0.772803</t>
        </is>
      </c>
      <c r="CS20" s="24" t="inlineStr">
        <is>
          <t>False</t>
        </is>
      </c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0.51407</t>
        </is>
      </c>
      <c r="CS21" s="24" t="inlineStr">
        <is>
          <t>False</t>
        </is>
      </c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0.668225</t>
        </is>
      </c>
      <c r="CS22" s="24" t="inlineStr">
        <is>
          <t>False</t>
        </is>
      </c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0.580877</t>
        </is>
      </c>
      <c r="CS23" s="24" t="inlineStr">
        <is>
          <t>True</t>
        </is>
      </c>
    </row>
    <row r="24" ht="36" customHeight="1">
      <c r="A24" s="24" t="inlineStr">
        <is>
          <t>9fb18a9d55ab4afe</t>
        </is>
      </c>
      <c r="B24" s="24" t="inlineStr">
        <is>
          <t>2026-08-05T01:07:48.070985Z</t>
        </is>
      </c>
      <c r="C24" s="24" t="inlineStr">
        <is>
          <t>2026-08-04T22:00:00-0400</t>
        </is>
      </c>
      <c r="D24" s="24" t="inlineStr">
        <is>
          <t>401857114</t>
        </is>
      </c>
      <c r="E24" s="24" t="inlineStr">
        <is>
          <t>WNBA</t>
        </is>
      </c>
      <c r="F24" s="24" t="inlineStr">
        <is>
          <t>Toronto Tempo</t>
        </is>
      </c>
      <c r="G24" s="24" t="inlineStr">
        <is>
          <t>Golden State Valkyries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0.774468</v>
      </c>
      <c r="P24" s="28" t="n"/>
      <c r="Q24" s="28" t="n">
        <v>-0.085476</v>
      </c>
      <c r="R24" s="26" t="n">
        <v>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92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2026-08-05T04:21:32.559583Z</t>
        </is>
      </c>
      <c r="AE24" s="31" t="inlineStr">
        <is>
          <t>Learned LR call at threshold 0.5001; executable ask 0.8600 (aec-wnba-tor-gsv-2026-08-04); model edge vs ask -0.0855.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wnba-tor</t>
        </is>
      </c>
      <c r="AQ24" s="24" t="inlineStr">
        <is>
          <t>Toronto Tempo</t>
        </is>
      </c>
      <c r="AR24" s="24" t="inlineStr">
        <is>
          <t>Toronto Tempo</t>
        </is>
      </c>
      <c r="AS24" s="24" t="inlineStr">
        <is>
          <t>wnba-gsv</t>
        </is>
      </c>
      <c r="AT24" s="24" t="inlineStr">
        <is>
          <t>Golden State Valkyries</t>
        </is>
      </c>
      <c r="AU24" s="24" t="inlineStr">
        <is>
          <t>Golden State Valkyries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fb46ae94639bf9af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2026-08-05T01:07:13.594446Z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>
        <v>0.851485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0.9026326565</t>
        </is>
      </c>
      <c r="CD24" s="24" t="inlineStr">
        <is>
          <t>2.972439</t>
        </is>
      </c>
      <c r="CE24" s="24" t="n"/>
      <c r="CF24" s="24" t="n"/>
      <c r="CG24" s="24" t="n"/>
      <c r="CH24" s="24" t="n"/>
      <c r="CI24" s="24" t="n"/>
      <c r="CJ24" s="24" t="inlineStr">
        <is>
          <t>1.230079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0.774468</t>
        </is>
      </c>
      <c r="CS24" s="24" t="inlineStr">
        <is>
          <t>False</t>
        </is>
      </c>
    </row>
    <row r="25" ht="36" customHeight="1">
      <c r="A25" s="24" t="inlineStr">
        <is>
          <t>4c0d89bc92004030</t>
        </is>
      </c>
      <c r="B25" s="24" t="inlineStr">
        <is>
          <t>2026-08-05T13:54:09.180176Z</t>
        </is>
      </c>
      <c r="C25" s="24" t="inlineStr">
        <is>
          <t>2026-08-05T19:00:00-0400</t>
        </is>
      </c>
      <c r="D25" s="24" t="inlineStr">
        <is>
          <t>401857115</t>
        </is>
      </c>
      <c r="E25" s="24" t="inlineStr">
        <is>
          <t>WNBA</t>
        </is>
      </c>
      <c r="F25" s="24" t="inlineStr">
        <is>
          <t>Phoenix Mercury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-194</v>
      </c>
      <c r="M25" s="27" t="n">
        <v>1.515464</v>
      </c>
      <c r="N25" s="28" t="n">
        <v>0.659864</v>
      </c>
      <c r="O25" s="28" t="n">
        <v>0.660664</v>
      </c>
      <c r="P25" s="28" t="n"/>
      <c r="Q25" s="28" t="n">
        <v>0.0008</v>
      </c>
      <c r="R25" s="26" t="n">
        <v>24</v>
      </c>
      <c r="S25" s="29" t="n">
        <v>1.75</v>
      </c>
      <c r="T25" s="24" t="inlineStr">
        <is>
          <t>wnba-elo-trend-lr-v4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Learned LR call at threshold 0.5001; executable ask 0.6600 (aec-wnba-phx-atl-2026-08-05); model edge vs ask +0.0007.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wnba-phx</t>
        </is>
      </c>
      <c r="AQ25" s="24" t="inlineStr">
        <is>
          <t>Phoenix Mercury</t>
        </is>
      </c>
      <c r="AR25" s="24" t="inlineStr">
        <is>
          <t>Phoenix Mercury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db4cf2e6209fa446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2026-08-05T13:52:33.816980Z</t>
        </is>
      </c>
      <c r="BI25" s="24" t="inlineStr">
        <is>
          <t>["same_event","same_team_same_day","same_league_same_day"]</t>
        </is>
      </c>
      <c r="BJ25" s="25" t="n"/>
      <c r="BK25" s="26" t="n">
        <v>-194</v>
      </c>
      <c r="BL25" s="27" t="n">
        <v>1.515464</v>
      </c>
      <c r="BM25" s="28" t="n">
        <v>0.659864</v>
      </c>
      <c r="BN25" s="28" t="n">
        <v>0.653465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0.708542691</t>
        </is>
      </c>
      <c r="CD25" s="24" t="inlineStr">
        <is>
          <t>-1.788883</t>
        </is>
      </c>
      <c r="CE25" s="24" t="n"/>
      <c r="CF25" s="24" t="n"/>
      <c r="CG25" s="24" t="n"/>
      <c r="CH25" s="24" t="n"/>
      <c r="CI25" s="24" t="n"/>
      <c r="CJ25" s="24" t="inlineStr">
        <is>
          <t>-1.7391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0.660664</t>
        </is>
      </c>
      <c r="CS25" s="24" t="inlineStr">
        <is>
          <t>True</t>
        </is>
      </c>
    </row>
    <row r="26" ht="36" customHeight="1">
      <c r="A26" s="24" t="inlineStr">
        <is>
          <t>2173692b5b9f401b</t>
        </is>
      </c>
      <c r="B26" s="24" t="inlineStr">
        <is>
          <t>2026-08-05T13:54:09.180176Z</t>
        </is>
      </c>
      <c r="C26" s="24" t="inlineStr">
        <is>
          <t>2026-08-05T19:00:00-0400</t>
        </is>
      </c>
      <c r="D26" s="24" t="inlineStr">
        <is>
          <t>401857116</t>
        </is>
      </c>
      <c r="E26" s="24" t="inlineStr">
        <is>
          <t>WNBA</t>
        </is>
      </c>
      <c r="F26" s="24" t="inlineStr">
        <is>
          <t>Seattle Storm</t>
        </is>
      </c>
      <c r="G26" s="24" t="inlineStr">
        <is>
          <t>New York Liberty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0.741322</v>
      </c>
      <c r="P26" s="28" t="n"/>
      <c r="Q26" s="28" t="n">
        <v>-0.028793</v>
      </c>
      <c r="R26" s="26" t="n">
        <v>9</v>
      </c>
      <c r="S26" s="29" t="n">
        <v>2</v>
      </c>
      <c r="T26" s="24" t="inlineStr">
        <is>
          <t>wnba-elo-trend-lr-v4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Learned LR call at threshold 0.5001; executable ask 0.7700 (aec-wnba-sea-ny-2026-08-05); model edge vs ask -0.0287.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wnba-sea</t>
        </is>
      </c>
      <c r="AQ26" s="24" t="inlineStr">
        <is>
          <t>Seattle Storm</t>
        </is>
      </c>
      <c r="AR26" s="24" t="inlineStr">
        <is>
          <t>Seattle Storm</t>
        </is>
      </c>
      <c r="AS26" s="24" t="inlineStr">
        <is>
          <t>wnba-nyl</t>
        </is>
      </c>
      <c r="AT26" s="24" t="inlineStr">
        <is>
          <t>New York Liberty</t>
        </is>
      </c>
      <c r="AU26" s="24" t="inlineStr">
        <is>
          <t>New York Liberty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cbc087f3d2f12e27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2026-08-05T13:52:34.422318Z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>
        <v>0.7623760000000001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0.8394756417</t>
        </is>
      </c>
      <c r="CD26" s="24" t="inlineStr">
        <is>
          <t>0.315883</t>
        </is>
      </c>
      <c r="CE26" s="24" t="n"/>
      <c r="CF26" s="24" t="n"/>
      <c r="CG26" s="24" t="n"/>
      <c r="CH26" s="24" t="n"/>
      <c r="CI26" s="24" t="n"/>
      <c r="CJ26" s="24" t="inlineStr">
        <is>
          <t>1.520421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0.741322</t>
        </is>
      </c>
      <c r="CS26" s="24" t="inlineStr">
        <is>
          <t>False</t>
        </is>
      </c>
    </row>
    <row r="27" ht="36" customHeight="1">
      <c r="A27" s="24" t="inlineStr">
        <is>
          <t>a1c1b7b1ec1d4431</t>
        </is>
      </c>
      <c r="B27" s="24" t="inlineStr">
        <is>
          <t>2026-08-05T13:54:09.180176Z</t>
        </is>
      </c>
      <c r="C27" s="24" t="inlineStr">
        <is>
          <t>2026-08-05T19:30:00-0400</t>
        </is>
      </c>
      <c r="D27" s="24" t="inlineStr">
        <is>
          <t>401857117</t>
        </is>
      </c>
      <c r="E27" s="24" t="inlineStr">
        <is>
          <t>WNBA</t>
        </is>
      </c>
      <c r="F27" s="24" t="inlineStr">
        <is>
          <t>Dallas Wings</t>
        </is>
      </c>
      <c r="G27" s="24" t="inlineStr">
        <is>
          <t>Washington Mystics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-133</v>
      </c>
      <c r="M27" s="27" t="n">
        <v>1.75188</v>
      </c>
      <c r="N27" s="28" t="n">
        <v>0.570815</v>
      </c>
      <c r="O27" s="28" t="n">
        <v>0.532764</v>
      </c>
      <c r="P27" s="28" t="n"/>
      <c r="Q27" s="28" t="n">
        <v>-0.038051</v>
      </c>
      <c r="R27" s="26" t="n">
        <v>4</v>
      </c>
      <c r="S27" s="29" t="n">
        <v>1</v>
      </c>
      <c r="T27" s="24" t="inlineStr">
        <is>
          <t>wnba-elo-trend-lr-v4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Learned LR call at threshold 0.5001; executable ask 0.5700 (aec-wnba-dal-wsh-2026-08-05); model edge vs ask -0.0372. NOTE: NO_CALL_AVAILABILITY_REPORT_INCOMPLETE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wnba-dal</t>
        </is>
      </c>
      <c r="AQ27" s="24" t="inlineStr">
        <is>
          <t>Dallas Wings</t>
        </is>
      </c>
      <c r="AR27" s="24" t="inlineStr">
        <is>
          <t>Dallas Wings</t>
        </is>
      </c>
      <c r="AS27" s="24" t="inlineStr">
        <is>
          <t>wnba-was</t>
        </is>
      </c>
      <c r="AT27" s="24" t="inlineStr">
        <is>
          <t>Washington Mystics</t>
        </is>
      </c>
      <c r="AU27" s="24" t="inlineStr">
        <is>
          <t>Washington Mystics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72f5694b0619f905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2026-08-05T13:52:34.867255Z</t>
        </is>
      </c>
      <c r="BI27" s="24" t="inlineStr">
        <is>
          <t>["same_event","same_team_same_day","same_league_same_day"]</t>
        </is>
      </c>
      <c r="BJ27" s="25" t="n"/>
      <c r="BK27" s="26" t="n">
        <v>-133</v>
      </c>
      <c r="BL27" s="27" t="n">
        <v>1.75188</v>
      </c>
      <c r="BM27" s="28" t="n">
        <v>0.570815</v>
      </c>
      <c r="BN27" s="28" t="n">
        <v>0.564356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0.4611418469</t>
        </is>
      </c>
      <c r="CD27" s="24" t="inlineStr">
        <is>
          <t>1.287558</t>
        </is>
      </c>
      <c r="CE27" s="24" t="n"/>
      <c r="CF27" s="24" t="n"/>
      <c r="CG27" s="24" t="n"/>
      <c r="CH27" s="24" t="n"/>
      <c r="CI27" s="24" t="inlineStr">
        <is>
          <t>NO_CALL_AVAILABILITY_REPORT_INCOMPLETE</t>
        </is>
      </c>
      <c r="CJ27" s="24" t="inlineStr">
        <is>
          <t>-1.305803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0.532764</t>
        </is>
      </c>
      <c r="CS27" s="24" t="inlineStr">
        <is>
          <t>False</t>
        </is>
      </c>
    </row>
    <row r="28" ht="36" customHeight="1">
      <c r="A28" s="24" t="inlineStr">
        <is>
          <t>e20b6561ab4849f5</t>
        </is>
      </c>
      <c r="B28" s="24" t="inlineStr">
        <is>
          <t>2026-08-05T13:54:09.180176Z</t>
        </is>
      </c>
      <c r="C28" s="24" t="inlineStr">
        <is>
          <t>2026-08-05T21:00:00-0400</t>
        </is>
      </c>
      <c r="D28" s="24" t="inlineStr">
        <is>
          <t>401857118</t>
        </is>
      </c>
      <c r="E28" s="24" t="inlineStr">
        <is>
          <t>WNBA</t>
        </is>
      </c>
      <c r="F28" s="24" t="inlineStr">
        <is>
          <t>Los Angeles Sparks</t>
        </is>
      </c>
      <c r="G28" s="24" t="inlineStr">
        <is>
          <t>Chicago Sky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0.549529</v>
      </c>
      <c r="P28" s="28" t="n"/>
      <c r="Q28" s="28" t="n">
        <v>-0.021286</v>
      </c>
      <c r="R28" s="26" t="n">
        <v>13</v>
      </c>
      <c r="S28" s="29" t="n">
        <v>1</v>
      </c>
      <c r="T28" s="24" t="inlineStr">
        <is>
          <t>wnba-elo-trend-lr-v4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Learned LR call at threshold 0.5001; executable ask 0.5700 (aec-wnba-la-chi-2026-08-05); model edge vs ask -0.0205. NOTE: NO_CALL_AVAILABILITY_REPORT_INCOMPLETE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wnba-las</t>
        </is>
      </c>
      <c r="AQ28" s="24" t="inlineStr">
        <is>
          <t>Los Angeles Sparks</t>
        </is>
      </c>
      <c r="AR28" s="24" t="inlineStr">
        <is>
          <t>Los Angeles Sparks</t>
        </is>
      </c>
      <c r="AS28" s="24" t="inlineStr">
        <is>
          <t>wnba-chi</t>
        </is>
      </c>
      <c r="AT28" s="24" t="inlineStr">
        <is>
          <t>Chicago Sky</t>
        </is>
      </c>
      <c r="AU28" s="24" t="inlineStr">
        <is>
          <t>Chicago Sky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5cc21b269728431d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2026-08-05T13:52:35.451044Z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0.564356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0.573492291</t>
        </is>
      </c>
      <c r="CD28" s="24" t="inlineStr">
        <is>
          <t>3.024749</t>
        </is>
      </c>
      <c r="CE28" s="24" t="n"/>
      <c r="CF28" s="24" t="n"/>
      <c r="CG28" s="24" t="n"/>
      <c r="CH28" s="24" t="n"/>
      <c r="CI28" s="24" t="inlineStr">
        <is>
          <t>NO_CALL_AVAILABILITY_REPORT_INCOMPLETE</t>
        </is>
      </c>
      <c r="CJ28" s="24" t="inlineStr">
        <is>
          <t>2.235061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0.549529</t>
        </is>
      </c>
      <c r="CS28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2026-08-05T13:54:31Z</dcterms:created>
  <dcterms:modified xmlns:dcterms="http://purl.org/dc/terms/" xmlns:xsi="http://www.w3.org/2001/XMLSchema-instance" xsi:type="dcterms:W3CDTF">2026-08-05T13:54:31Z</dcterms:modified>
</cp:coreProperties>
</file>