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1F2937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left"/>
    </xf>
    <xf numFmtId="0" fontId="2" fillId="6" borderId="0" applyAlignment="1" pivotButton="0" quotePrefix="0" xfId="0">
      <alignment horizontal="right"/>
    </xf>
    <xf numFmtId="167" fontId="2" fillId="6" borderId="0" applyAlignment="1" pivotButton="0" quotePrefix="0" xfId="0">
      <alignment horizontal="right"/>
    </xf>
    <xf numFmtId="166" fontId="2" fillId="6" borderId="0" applyAlignment="1" pivotButton="0" quotePrefix="0" xfId="0">
      <alignment horizontal="right"/>
    </xf>
    <xf numFmtId="10" fontId="2" fillId="6" borderId="0" applyAlignment="1" pivotButton="0" quotePrefix="0" xfId="0">
      <alignment horizontal="right"/>
    </xf>
    <xf numFmtId="0" fontId="2" fillId="7" borderId="0" applyAlignment="1" pivotButton="0" quotePrefix="0" xfId="0">
      <alignment horizontal="left"/>
    </xf>
    <xf numFmtId="0" fontId="2" fillId="7" borderId="0" applyAlignment="1" pivotButton="0" quotePrefix="0" xfId="0">
      <alignment horizontal="right"/>
    </xf>
    <xf numFmtId="167" fontId="2" fillId="7" borderId="0" applyAlignment="1" pivotButton="0" quotePrefix="0" xfId="0">
      <alignment horizontal="right"/>
    </xf>
    <xf numFmtId="166" fontId="2" fillId="7" borderId="0" applyAlignment="1" pivotButton="0" quotePrefix="0" xfId="0">
      <alignment horizontal="right"/>
    </xf>
    <xf numFmtId="10" fontId="2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left" vertical="top"/>
    </xf>
    <xf numFmtId="164" fontId="2" fillId="0" borderId="0" applyAlignment="1" pivotButton="0" quotePrefix="0" xfId="0">
      <alignment horizontal="right" vertical="top"/>
    </xf>
    <xf numFmtId="1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  <xf numFmtId="10" fontId="2" fillId="0" borderId="0" applyAlignment="1" pivotButton="0" quotePrefix="0" xfId="0">
      <alignment horizontal="right" vertical="top"/>
    </xf>
    <xf numFmtId="2" fontId="2" fillId="0" borderId="0" applyAlignment="1" pivotButton="0" quotePrefix="0" xfId="0">
      <alignment horizontal="right" vertical="top"/>
    </xf>
    <xf numFmtId="166" fontId="2" fillId="0" borderId="0" applyAlignment="1" pivotButton="0" quotePrefix="0" xfId="0">
      <alignment horizontal="right" vertical="top"/>
    </xf>
    <xf numFmtId="49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PicksLedger" displayName="PicksLedger" ref="A1:CS48" headerRowCount="1">
  <autoFilter ref="A1:CS48"/>
  <tableColumns count="97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bullpen_weakness_gap"/>
    <tableColumn id="91" name="starter_era_gap"/>
    <tableColumn id="92" name="rest_disparity"/>
    <tableColumn id="93" name="back_to_back_gap"/>
    <tableColumn id="94" name="games_last_7_gap"/>
    <tableColumn id="95" name="schedule_missingness"/>
    <tableColumn id="96" name="market_residual_probability"/>
    <tableColumn id="97" name="trade_candidat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COUNTA('Picks'!$A$2:$A$48)</f>
        <v/>
      </c>
      <c r="C4" s="6">
        <f>COUNTIF('Picks'!$U$2:$U$48,"open")</f>
        <v/>
      </c>
      <c r="E4" s="6">
        <f>COUNTIF('Picks'!$U$2:$U$48,"settled")</f>
        <v/>
      </c>
      <c r="G4" s="6">
        <f>IF(COUNTIFS('Picks'!$U$2:$U$48,"settled",'Picks'!$V$2:$V$48,"win")+COUNTIFS('Picks'!$U$2:$U$48,"settled",'Picks'!$V$2:$V$48,"loss")&gt;=$L$2,"Ready","Insufficient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COUNTIF('Picks'!$BX$2:$BX$48,"&gt;0")</f>
        <v/>
      </c>
      <c r="C7" s="6">
        <f>COUNTIFS('Picks'!$BX$2:$BX$48,"&gt;0",'Picks'!$V$2:$V$48,"win")&amp;"-"&amp;COUNTIFS('Picks'!$BX$2:$BX$48,"&gt;0",'Picks'!$V$2:$V$48,"loss")</f>
        <v/>
      </c>
      <c r="E7" s="7">
        <f>IFERROR(COUNTIFS('Picks'!$BX$2:$BX$48,"&gt;0",'Picks'!$V$2:$V$48,"win")/(COUNTIFS('Picks'!$BX$2:$BX$48,"&gt;0",'Picks'!$V$2:$V$48,"win")+COUNTIFS('Picks'!$BX$2:$BX$48,"&gt;0",'Picks'!$V$2:$V$48,"loss")),0)</f>
        <v/>
      </c>
      <c r="G7" s="7">
        <f>IFERROR(SUM('Picks'!$BY$2:$BY$48)/SUM('Picks'!$BX$2:$BX$48),0)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SUM('Picks'!$BY$2:$BY$48)</f>
        <v/>
      </c>
      <c r="C10" s="9">
        <f>IFERROR(AVERAGEIF('Picks'!$AB$2:$AB$48,"&lt;&gt;",'Picks'!$AB$2:$AB$48),0)</f>
        <v/>
      </c>
      <c r="E10" s="6">
        <f>COUNTIFS('Picks'!$AM$2:$AM$48,"QUALIFIED_SHADOW_CALL",'Picks'!$U$2:$U$48,"settled")</f>
        <v/>
      </c>
      <c r="G10" s="8">
        <f>SUMIFS('Picks'!$AC$2:$AC$48,'Picks'!$AM$2:$AM$48,"QUALIFIED_SHADOW_CALL")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COUNTIFS('Picks'!$H$2:$H$48,$A14,'Picks'!$U$2:$U$48,"settled")</f>
        <v/>
      </c>
      <c r="C14" s="13">
        <f>COUNTIFS('Picks'!$H$2:$H$48,$A14,'Picks'!$U$2:$U$48,"settled",'Picks'!$V$2:$V$48,"win")</f>
        <v/>
      </c>
      <c r="D14" s="13">
        <f>COUNTIFS('Picks'!$H$2:$H$48,$A14,'Picks'!$U$2:$U$48,"settled",'Picks'!$V$2:$V$48,"loss")</f>
        <v/>
      </c>
      <c r="E14" s="14">
        <f>IFERROR(C14/(C14+D14),0)</f>
        <v/>
      </c>
      <c r="F14" s="15">
        <f>SUMIFS('Picks'!$BY$2:$BY$48,'Picks'!$H$2:$H$48,$A14)</f>
        <v/>
      </c>
      <c r="G14" s="16">
        <f>IFERROR(AVERAGEIFS('Picks'!$AB$2:$AB$48,'Picks'!$H$2:$H$48,$A14,'Picks'!$U$2:$U$48,"settled"),0)</f>
        <v/>
      </c>
    </row>
    <row r="15">
      <c r="A15" s="17" t="inlineStr">
        <is>
          <t>spread</t>
        </is>
      </c>
      <c r="B15" s="18">
        <f>COUNTIFS('Picks'!$H$2:$H$48,$A15,'Picks'!$U$2:$U$48,"settled")</f>
        <v/>
      </c>
      <c r="C15" s="18">
        <f>COUNTIFS('Picks'!$H$2:$H$48,$A15,'Picks'!$U$2:$U$48,"settled",'Picks'!$V$2:$V$48,"win")</f>
        <v/>
      </c>
      <c r="D15" s="18">
        <f>COUNTIFS('Picks'!$H$2:$H$48,$A15,'Picks'!$U$2:$U$48,"settled",'Picks'!$V$2:$V$48,"loss")</f>
        <v/>
      </c>
      <c r="E15" s="19">
        <f>IFERROR(C15/(C15+D15),0)</f>
        <v/>
      </c>
      <c r="F15" s="20">
        <f>SUMIFS('Picks'!$BY$2:$BY$48,'Picks'!$H$2:$H$48,$A15)</f>
        <v/>
      </c>
      <c r="G15" s="21">
        <f>IFERROR(AVERAGEIFS('Picks'!$AB$2:$AB$48,'Picks'!$H$2:$H$48,$A15,'Picks'!$U$2:$U$48,"settled"),0)</f>
        <v/>
      </c>
    </row>
    <row r="16">
      <c r="A16" s="12" t="inlineStr">
        <is>
          <t>total</t>
        </is>
      </c>
      <c r="B16" s="13">
        <f>COUNTIFS('Picks'!$H$2:$H$48,$A16,'Picks'!$U$2:$U$48,"settled")</f>
        <v/>
      </c>
      <c r="C16" s="13">
        <f>COUNTIFS('Picks'!$H$2:$H$48,$A16,'Picks'!$U$2:$U$48,"settled",'Picks'!$V$2:$V$48,"win")</f>
        <v/>
      </c>
      <c r="D16" s="13">
        <f>COUNTIFS('Picks'!$H$2:$H$48,$A16,'Picks'!$U$2:$U$48,"settled",'Picks'!$V$2:$V$48,"loss")</f>
        <v/>
      </c>
      <c r="E16" s="14">
        <f>IFERROR(C16/(C16+D16),0)</f>
        <v/>
      </c>
      <c r="F16" s="15">
        <f>SUMIFS('Picks'!$BY$2:$BY$48,'Picks'!$H$2:$H$48,$A16)</f>
        <v/>
      </c>
      <c r="G16" s="16">
        <f>IFERROR(AVERAGEIFS('Picks'!$AB$2:$AB$48,'Picks'!$H$2:$H$48,$A16,'Picks'!$U$2:$U$48,"settled"),0)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S4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22" customWidth="1" min="90" max="90"/>
    <col width="17" customWidth="1" min="91" max="91"/>
    <col width="16" customWidth="1" min="92" max="92"/>
    <col width="18" customWidth="1" min="93" max="93"/>
    <col width="18" customWidth="1" min="94" max="94"/>
    <col width="22" customWidth="1" min="95" max="95"/>
    <col width="22" customWidth="1" min="96" max="96"/>
    <col width="17" customWidth="1" min="97" max="97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bullpen_weakness_gap</t>
        </is>
      </c>
      <c r="CM1" s="23" t="inlineStr">
        <is>
          <t>starter_era_gap</t>
        </is>
      </c>
      <c r="CN1" s="23" t="inlineStr">
        <is>
          <t>rest_disparity</t>
        </is>
      </c>
      <c r="CO1" s="23" t="inlineStr">
        <is>
          <t>back_to_back_gap</t>
        </is>
      </c>
      <c r="CP1" s="23" t="inlineStr">
        <is>
          <t>games_last_7_gap</t>
        </is>
      </c>
      <c r="CQ1" s="23" t="inlineStr">
        <is>
          <t>schedule_missingness</t>
        </is>
      </c>
      <c r="CR1" s="23" t="inlineStr">
        <is>
          <t>market_residual_probability</t>
        </is>
      </c>
      <c r="CS1" s="23" t="inlineStr">
        <is>
          <t>trade_candidate</t>
        </is>
      </c>
    </row>
    <row r="2" ht="36" customHeight="1">
      <c r="A2" s="24" t="inlineStr">
        <is>
          <t>fa2528b34ff54c85</t>
        </is>
      </c>
      <c r="B2" s="24" t="inlineStr">
        <is>
          <t>2026-07-28T20:32:52.305699Z</t>
        </is>
      </c>
      <c r="C2" s="24" t="inlineStr">
        <is>
          <t>2026-07-28T19:30:00-0400</t>
        </is>
      </c>
      <c r="D2" s="24" t="inlineStr">
        <is>
          <t>401857092</t>
        </is>
      </c>
      <c r="E2" s="24" t="inlineStr">
        <is>
          <t>WNBA</t>
        </is>
      </c>
      <c r="F2" s="24" t="inlineStr">
        <is>
          <t>Connecticut Sun</t>
        </is>
      </c>
      <c r="G2" s="24" t="inlineStr">
        <is>
          <t>Washington Mystics</t>
        </is>
      </c>
      <c r="H2" s="24" t="inlineStr">
        <is>
          <t>moneyline</t>
        </is>
      </c>
      <c r="I2" s="24" t="inlineStr">
        <is>
          <t>home</t>
        </is>
      </c>
      <c r="J2" s="25" t="n"/>
      <c r="K2" s="24" t="inlineStr">
        <is>
          <t>polymarket_us</t>
        </is>
      </c>
      <c r="L2" s="26" t="n">
        <v>-233</v>
      </c>
      <c r="M2" s="27" t="n">
        <v>1.429185</v>
      </c>
      <c r="N2" s="28" t="n">
        <v>0.6997</v>
      </c>
      <c r="O2" s="28" t="n">
        <v>0.651351</v>
      </c>
      <c r="P2" s="28" t="n"/>
      <c r="Q2" s="28" t="n">
        <v>-0.048349</v>
      </c>
      <c r="R2" s="26" t="n">
        <v>0</v>
      </c>
      <c r="S2" s="29" t="n">
        <v>2</v>
      </c>
      <c r="T2" s="24" t="inlineStr">
        <is>
          <t>wnba-elo-trend-lr-v4</t>
        </is>
      </c>
      <c r="U2" s="24" t="inlineStr">
        <is>
          <t>settled</t>
        </is>
      </c>
      <c r="V2" s="24" t="inlineStr">
        <is>
          <t>win</t>
        </is>
      </c>
      <c r="W2" s="26" t="n">
        <v>84</v>
      </c>
      <c r="X2" s="26" t="n">
        <v>92</v>
      </c>
      <c r="Y2" s="25" t="n"/>
      <c r="Z2" s="26" t="n"/>
      <c r="AA2" s="28" t="n"/>
      <c r="AB2" s="28" t="n"/>
      <c r="AC2" s="30" t="n">
        <v>0.8584000000000001</v>
      </c>
      <c r="AD2" s="24" t="inlineStr">
        <is>
          <t>2026-07-29T02:41:27.874111Z</t>
        </is>
      </c>
      <c r="AE2" s="31" t="inlineStr">
        <is>
          <t>Learned LR call at threshold 0.5001; executable ask 0.7000 (aec-wnba-conn-wsh-2026-07-28). NOTE: wnba_availability_source_conflict unavailable for this game — defaulted to neutral, other features used normally.</t>
        </is>
      </c>
      <c r="AF2" s="31" t="inlineStr">
        <is>
          <t>Learned model; shadow-qualified via operator override.</t>
        </is>
      </c>
      <c r="AG2" s="24" t="inlineStr">
        <is>
          <t>not_applicable</t>
        </is>
      </c>
      <c r="AH2" s="24" t="n"/>
      <c r="AI2" s="31" t="n"/>
      <c r="AJ2" s="31" t="n"/>
      <c r="AK2" s="24" t="inlineStr">
        <is>
          <t>model_qualified</t>
        </is>
      </c>
      <c r="AL2" s="26" t="n">
        <v>3</v>
      </c>
      <c r="AM2" s="24" t="inlineStr">
        <is>
          <t>QUALIFIED_SHADOW_CALL</t>
        </is>
      </c>
      <c r="AN2" s="24" t="inlineStr">
        <is>
          <t>CALL</t>
        </is>
      </c>
      <c r="AO2" s="24" t="inlineStr">
        <is>
          <t>QUALIFIED</t>
        </is>
      </c>
      <c r="AP2" s="24" t="inlineStr">
        <is>
          <t>wnba-con</t>
        </is>
      </c>
      <c r="AQ2" s="24" t="inlineStr">
        <is>
          <t>Connecticut Sun</t>
        </is>
      </c>
      <c r="AR2" s="24" t="inlineStr">
        <is>
          <t>Connecticut Sun</t>
        </is>
      </c>
      <c r="AS2" s="24" t="inlineStr">
        <is>
          <t>wnba-was</t>
        </is>
      </c>
      <c r="AT2" s="24" t="inlineStr">
        <is>
          <t>Washington Mystics</t>
        </is>
      </c>
      <c r="AU2" s="24" t="inlineStr">
        <is>
          <t>Washington Mystics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shadow_qualified</t>
        </is>
      </c>
      <c r="BA2" s="24" t="inlineStr">
        <is>
          <t>7afd5274214b58b7efd7f7febc7be3ab33b92351cda5cc6403c0a39faea0cc8c</t>
        </is>
      </c>
      <c r="BB2" s="24" t="inlineStr">
        <is>
          <t>learned_lr</t>
        </is>
      </c>
      <c r="BC2" s="24" t="inlineStr">
        <is>
          <t>wnba-elo-trend-lr-v4</t>
        </is>
      </c>
      <c r="BD2" s="24" t="inlineStr">
        <is>
          <t>7afd5274214b58b7efd7f7febc7be3ab33b92351cda5cc6403c0a39faea0cc8c</t>
        </is>
      </c>
      <c r="BE2" s="24" t="inlineStr">
        <is>
          <t>9ff7e91f06711349</t>
        </is>
      </c>
      <c r="BF2" s="24" t="inlineStr">
        <is>
          <t>1</t>
        </is>
      </c>
      <c r="BG2" s="24" t="inlineStr">
        <is>
          <t>wnba-elo-trend-lr-v4</t>
        </is>
      </c>
      <c r="BH2" s="24" t="inlineStr">
        <is>
          <t>2026-07-28T20:32:19.399772Z</t>
        </is>
      </c>
      <c r="BI2" s="24" t="inlineStr">
        <is>
          <t>["same_event","same_team_same_day","same_league_same_day"]</t>
        </is>
      </c>
      <c r="BJ2" s="25" t="n"/>
      <c r="BK2" s="26" t="n">
        <v>-233</v>
      </c>
      <c r="BL2" s="27" t="n">
        <v>1.429185</v>
      </c>
      <c r="BM2" s="28" t="n">
        <v>0.6997</v>
      </c>
      <c r="BN2" s="28" t="n">
        <v>0.693069</v>
      </c>
      <c r="BO2" s="28" t="n"/>
      <c r="BP2" s="25" t="n"/>
      <c r="BQ2" s="27" t="n"/>
      <c r="BR2" s="28" t="n"/>
      <c r="BS2" s="28" t="n"/>
      <c r="BT2" s="28" t="n"/>
      <c r="BU2" s="25" t="n"/>
      <c r="BV2" s="29" t="n"/>
      <c r="BW2" s="24" t="n"/>
      <c r="BX2" s="30" t="n"/>
      <c r="BY2" s="27" t="n"/>
      <c r="BZ2" s="24" t="n"/>
      <c r="CA2" s="31" t="n"/>
      <c r="CB2" s="24" t="n"/>
      <c r="CC2" s="24" t="inlineStr">
        <is>
          <t>0.6918482186</t>
        </is>
      </c>
      <c r="CD2" s="24" t="inlineStr">
        <is>
          <t>-5.150338</t>
        </is>
      </c>
      <c r="CE2" s="24" t="n"/>
      <c r="CF2" s="24" t="n"/>
      <c r="CG2" s="24" t="n"/>
      <c r="CH2" s="24" t="n"/>
      <c r="CI2" s="24" t="inlineStr">
        <is>
          <t>wnba_availability_source_conflict</t>
        </is>
      </c>
      <c r="CJ2" s="24" t="n"/>
      <c r="CK2" s="24" t="n"/>
      <c r="CL2" s="24" t="n"/>
      <c r="CM2" s="24" t="n"/>
      <c r="CN2" s="24" t="n"/>
      <c r="CO2" s="24" t="n"/>
      <c r="CP2" s="24" t="n"/>
      <c r="CQ2" s="24" t="n"/>
      <c r="CR2" s="24" t="n"/>
      <c r="CS2" s="24" t="n"/>
    </row>
    <row r="3" ht="36" customHeight="1">
      <c r="A3" s="24" t="inlineStr">
        <is>
          <t>ea6da1b7d56c4211</t>
        </is>
      </c>
      <c r="B3" s="24" t="inlineStr">
        <is>
          <t>2026-07-28T23:38:20.366083Z</t>
        </is>
      </c>
      <c r="C3" s="24" t="inlineStr">
        <is>
          <t>2026-07-28T20:00:00-0400</t>
        </is>
      </c>
      <c r="D3" s="24" t="inlineStr">
        <is>
          <t>401857093</t>
        </is>
      </c>
      <c r="E3" s="24" t="inlineStr">
        <is>
          <t>WNBA</t>
        </is>
      </c>
      <c r="F3" s="24" t="inlineStr">
        <is>
          <t>Toronto Tempo</t>
        </is>
      </c>
      <c r="G3" s="24" t="inlineStr">
        <is>
          <t>Minnesota Lynx</t>
        </is>
      </c>
      <c r="H3" s="24" t="inlineStr">
        <is>
          <t>moneyline</t>
        </is>
      </c>
      <c r="I3" s="24" t="inlineStr">
        <is>
          <t>home</t>
        </is>
      </c>
      <c r="J3" s="25" t="n"/>
      <c r="K3" s="24" t="inlineStr">
        <is>
          <t>polymarket_us</t>
        </is>
      </c>
      <c r="L3" s="26" t="n">
        <v>-1011</v>
      </c>
      <c r="M3" s="27" t="n">
        <v>1.098912</v>
      </c>
      <c r="N3" s="28" t="n">
        <v>0.909991</v>
      </c>
      <c r="O3" s="28" t="n">
        <v>0.778885</v>
      </c>
      <c r="P3" s="28" t="n"/>
      <c r="Q3" s="28" t="n">
        <v>-0.131106</v>
      </c>
      <c r="R3" s="26" t="n">
        <v>0</v>
      </c>
      <c r="S3" s="29" t="n">
        <v>2</v>
      </c>
      <c r="T3" s="24" t="inlineStr">
        <is>
          <t>wnba-elo-trend-lr-v4</t>
        </is>
      </c>
      <c r="U3" s="24" t="inlineStr">
        <is>
          <t>settled</t>
        </is>
      </c>
      <c r="V3" s="24" t="inlineStr">
        <is>
          <t>win</t>
        </is>
      </c>
      <c r="W3" s="26" t="n">
        <v>93</v>
      </c>
      <c r="X3" s="26" t="n">
        <v>100</v>
      </c>
      <c r="Y3" s="25" t="n"/>
      <c r="Z3" s="26" t="n"/>
      <c r="AA3" s="28" t="n"/>
      <c r="AB3" s="28" t="n"/>
      <c r="AC3" s="30" t="n">
        <v>0.1978</v>
      </c>
      <c r="AD3" s="24" t="inlineStr">
        <is>
          <t>2026-07-29T02:41:32.227419Z</t>
        </is>
      </c>
      <c r="AE3" s="31" t="inlineStr">
        <is>
          <t>Learned LR call at threshold 0.5001; executable ask 0.9100 (aec-wnba-tor-min-2026-07-28). NOTE: wnba_availability_source_conflict unavailable for this game — defaulted to neutral, other features used normally.</t>
        </is>
      </c>
      <c r="AF3" s="31" t="inlineStr">
        <is>
          <t>Learned model; shadow-qualified via operator override.</t>
        </is>
      </c>
      <c r="AG3" s="24" t="inlineStr">
        <is>
          <t>not_applicable</t>
        </is>
      </c>
      <c r="AH3" s="24" t="n"/>
      <c r="AI3" s="31" t="n"/>
      <c r="AJ3" s="31" t="n"/>
      <c r="AK3" s="24" t="inlineStr">
        <is>
          <t>model_qualified</t>
        </is>
      </c>
      <c r="AL3" s="26" t="n">
        <v>3</v>
      </c>
      <c r="AM3" s="24" t="inlineStr">
        <is>
          <t>QUALIFIED_SHADOW_CALL</t>
        </is>
      </c>
      <c r="AN3" s="24" t="inlineStr">
        <is>
          <t>CALL</t>
        </is>
      </c>
      <c r="AO3" s="24" t="inlineStr">
        <is>
          <t>QUALIFIED</t>
        </is>
      </c>
      <c r="AP3" s="24" t="inlineStr">
        <is>
          <t>wnba-tor</t>
        </is>
      </c>
      <c r="AQ3" s="24" t="inlineStr">
        <is>
          <t>Toronto Tempo</t>
        </is>
      </c>
      <c r="AR3" s="24" t="inlineStr">
        <is>
          <t>Toronto Tempo</t>
        </is>
      </c>
      <c r="AS3" s="24" t="inlineStr">
        <is>
          <t>wnba-min</t>
        </is>
      </c>
      <c r="AT3" s="24" t="inlineStr">
        <is>
          <t>Minnesota Lynx</t>
        </is>
      </c>
      <c r="AU3" s="24" t="inlineStr">
        <is>
          <t>Minnesota Lynx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shadow_qualified</t>
        </is>
      </c>
      <c r="BA3" s="24" t="inlineStr">
        <is>
          <t>7afd5274214b58b7efd7f7febc7be3ab33b92351cda5cc6403c0a39faea0cc8c</t>
        </is>
      </c>
      <c r="BB3" s="24" t="inlineStr">
        <is>
          <t>learned_lr</t>
        </is>
      </c>
      <c r="BC3" s="24" t="inlineStr">
        <is>
          <t>wnba-elo-trend-lr-v4</t>
        </is>
      </c>
      <c r="BD3" s="24" t="inlineStr">
        <is>
          <t>7afd5274214b58b7efd7f7febc7be3ab33b92351cda5cc6403c0a39faea0cc8c</t>
        </is>
      </c>
      <c r="BE3" s="24" t="inlineStr">
        <is>
          <t>5d941a25079d4ddd</t>
        </is>
      </c>
      <c r="BF3" s="24" t="inlineStr">
        <is>
          <t>1</t>
        </is>
      </c>
      <c r="BG3" s="24" t="inlineStr">
        <is>
          <t>wnba-elo-trend-lr-v4</t>
        </is>
      </c>
      <c r="BH3" s="24" t="inlineStr">
        <is>
          <t>2026-07-28T23:37:54.980549Z</t>
        </is>
      </c>
      <c r="BI3" s="24" t="inlineStr">
        <is>
          <t>["same_event","same_team_same_day","same_league_same_day"]</t>
        </is>
      </c>
      <c r="BJ3" s="25" t="n"/>
      <c r="BK3" s="26" t="n">
        <v>-1011</v>
      </c>
      <c r="BL3" s="27" t="n">
        <v>1.098912</v>
      </c>
      <c r="BM3" s="28" t="n">
        <v>0.909991</v>
      </c>
      <c r="BN3" s="28" t="n">
        <v>0.90099</v>
      </c>
      <c r="BO3" s="28" t="n"/>
      <c r="BP3" s="25" t="n"/>
      <c r="BQ3" s="27" t="n"/>
      <c r="BR3" s="28" t="n"/>
      <c r="BS3" s="28" t="n"/>
      <c r="BT3" s="28" t="n"/>
      <c r="BU3" s="25" t="n"/>
      <c r="BV3" s="29" t="n"/>
      <c r="BW3" s="24" t="n"/>
      <c r="BX3" s="30" t="n"/>
      <c r="BY3" s="27" t="n"/>
      <c r="BZ3" s="24" t="n"/>
      <c r="CA3" s="31" t="n"/>
      <c r="CB3" s="24" t="n"/>
      <c r="CC3" s="24" t="inlineStr">
        <is>
          <t>0.9095039397</t>
        </is>
      </c>
      <c r="CD3" s="24" t="inlineStr">
        <is>
          <t>5.061789</t>
        </is>
      </c>
      <c r="CE3" s="24" t="n"/>
      <c r="CF3" s="24" t="n"/>
      <c r="CG3" s="24" t="n"/>
      <c r="CH3" s="24" t="n"/>
      <c r="CI3" s="24" t="inlineStr">
        <is>
          <t>wnba_availability_source_conflict</t>
        </is>
      </c>
      <c r="CJ3" s="24" t="n"/>
      <c r="CK3" s="24" t="n"/>
      <c r="CL3" s="24" t="n"/>
      <c r="CM3" s="24" t="n"/>
      <c r="CN3" s="24" t="n"/>
      <c r="CO3" s="24" t="n"/>
      <c r="CP3" s="24" t="n"/>
      <c r="CQ3" s="24" t="n"/>
      <c r="CR3" s="24" t="n"/>
      <c r="CS3" s="24" t="n"/>
    </row>
    <row r="4" ht="36" customHeight="1">
      <c r="A4" s="24" t="inlineStr">
        <is>
          <t>fe9449a57062428e</t>
        </is>
      </c>
      <c r="B4" s="24" t="inlineStr">
        <is>
          <t>2026-07-28T23:38:20.366083Z</t>
        </is>
      </c>
      <c r="C4" s="24" t="inlineStr">
        <is>
          <t>2026-07-28T21:30:00-0400</t>
        </is>
      </c>
      <c r="D4" s="24" t="inlineStr">
        <is>
          <t>401857094</t>
        </is>
      </c>
      <c r="E4" s="24" t="inlineStr">
        <is>
          <t>WNBA</t>
        </is>
      </c>
      <c r="F4" s="24" t="inlineStr">
        <is>
          <t>Indiana Fever</t>
        </is>
      </c>
      <c r="G4" s="24" t="inlineStr">
        <is>
          <t>Seattle Storm</t>
        </is>
      </c>
      <c r="H4" s="24" t="inlineStr">
        <is>
          <t>moneyline</t>
        </is>
      </c>
      <c r="I4" s="24" t="inlineStr">
        <is>
          <t>away</t>
        </is>
      </c>
      <c r="J4" s="25" t="n"/>
      <c r="K4" s="24" t="inlineStr">
        <is>
          <t>polymarket_us</t>
        </is>
      </c>
      <c r="L4" s="26" t="n">
        <v>-355</v>
      </c>
      <c r="M4" s="27" t="n">
        <v>1.28169</v>
      </c>
      <c r="N4" s="28" t="n">
        <v>0.78022</v>
      </c>
      <c r="O4" s="28" t="n">
        <v>0.684756</v>
      </c>
      <c r="P4" s="28" t="n"/>
      <c r="Q4" s="28" t="n">
        <v>-0.09546399999999999</v>
      </c>
      <c r="R4" s="26" t="n">
        <v>0</v>
      </c>
      <c r="S4" s="29" t="n">
        <v>2</v>
      </c>
      <c r="T4" s="24" t="inlineStr">
        <is>
          <t>wnba-elo-trend-lr-v4</t>
        </is>
      </c>
      <c r="U4" s="24" t="inlineStr">
        <is>
          <t>settled</t>
        </is>
      </c>
      <c r="V4" s="24" t="inlineStr">
        <is>
          <t>win</t>
        </is>
      </c>
      <c r="W4" s="26" t="n">
        <v>105</v>
      </c>
      <c r="X4" s="26" t="n">
        <v>95</v>
      </c>
      <c r="Y4" s="25" t="n"/>
      <c r="Z4" s="26" t="n"/>
      <c r="AA4" s="28" t="n"/>
      <c r="AB4" s="28" t="n"/>
      <c r="AC4" s="30" t="n">
        <v>0.5634</v>
      </c>
      <c r="AD4" s="24" t="inlineStr">
        <is>
          <t>2026-07-29T05:44:55.346504Z</t>
        </is>
      </c>
      <c r="AE4" s="31" t="inlineStr">
        <is>
          <t>Learned LR call at threshold 0.5001; executable ask 0.7800 (aec-wnba-ind-sea-2026-07-28). NOTE: wnba_availability_source_conflict unavailable for this game — defaulted to neutral, other features used normally.</t>
        </is>
      </c>
      <c r="AF4" s="31" t="inlineStr">
        <is>
          <t>Learned model; shadow-qualified via operator override.</t>
        </is>
      </c>
      <c r="AG4" s="24" t="inlineStr">
        <is>
          <t>not_applicable</t>
        </is>
      </c>
      <c r="AH4" s="24" t="n"/>
      <c r="AI4" s="31" t="n"/>
      <c r="AJ4" s="31" t="n"/>
      <c r="AK4" s="24" t="inlineStr">
        <is>
          <t>model_qualified</t>
        </is>
      </c>
      <c r="AL4" s="26" t="n">
        <v>3</v>
      </c>
      <c r="AM4" s="24" t="inlineStr">
        <is>
          <t>QUALIFIED_SHADOW_CALL</t>
        </is>
      </c>
      <c r="AN4" s="24" t="inlineStr">
        <is>
          <t>CALL</t>
        </is>
      </c>
      <c r="AO4" s="24" t="inlineStr">
        <is>
          <t>QUALIFIED</t>
        </is>
      </c>
      <c r="AP4" s="24" t="inlineStr">
        <is>
          <t>wnba-ind</t>
        </is>
      </c>
      <c r="AQ4" s="24" t="inlineStr">
        <is>
          <t>Indiana Fever</t>
        </is>
      </c>
      <c r="AR4" s="24" t="inlineStr">
        <is>
          <t>Indiana Fever</t>
        </is>
      </c>
      <c r="AS4" s="24" t="inlineStr">
        <is>
          <t>wnba-sea</t>
        </is>
      </c>
      <c r="AT4" s="24" t="inlineStr">
        <is>
          <t>Seattle Storm</t>
        </is>
      </c>
      <c r="AU4" s="24" t="inlineStr">
        <is>
          <t>Seattle Storm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shadow_qualified</t>
        </is>
      </c>
      <c r="BA4" s="24" t="inlineStr">
        <is>
          <t>7afd5274214b58b7efd7f7febc7be3ab33b92351cda5cc6403c0a39faea0cc8c</t>
        </is>
      </c>
      <c r="BB4" s="24" t="inlineStr">
        <is>
          <t>learned_lr</t>
        </is>
      </c>
      <c r="BC4" s="24" t="inlineStr">
        <is>
          <t>wnba-elo-trend-lr-v4</t>
        </is>
      </c>
      <c r="BD4" s="24" t="inlineStr">
        <is>
          <t>7afd5274214b58b7efd7f7febc7be3ab33b92351cda5cc6403c0a39faea0cc8c</t>
        </is>
      </c>
      <c r="BE4" s="24" t="inlineStr">
        <is>
          <t>6e0ccdfedaa12592</t>
        </is>
      </c>
      <c r="BF4" s="24" t="inlineStr">
        <is>
          <t>1</t>
        </is>
      </c>
      <c r="BG4" s="24" t="inlineStr">
        <is>
          <t>wnba-elo-trend-lr-v4</t>
        </is>
      </c>
      <c r="BH4" s="24" t="inlineStr">
        <is>
          <t>2026-07-28T23:37:55.863565Z</t>
        </is>
      </c>
      <c r="BI4" s="24" t="inlineStr">
        <is>
          <t>["same_event","same_team_same_day","same_league_same_day"]</t>
        </is>
      </c>
      <c r="BJ4" s="25" t="n"/>
      <c r="BK4" s="26" t="n">
        <v>-355</v>
      </c>
      <c r="BL4" s="27" t="n">
        <v>1.28169</v>
      </c>
      <c r="BM4" s="28" t="n">
        <v>0.78022</v>
      </c>
      <c r="BN4" s="28" t="n">
        <v>0.772277</v>
      </c>
      <c r="BO4" s="28" t="n"/>
      <c r="BP4" s="25" t="n"/>
      <c r="BQ4" s="27" t="n"/>
      <c r="BR4" s="28" t="n"/>
      <c r="BS4" s="28" t="n"/>
      <c r="BT4" s="28" t="n"/>
      <c r="BU4" s="25" t="n"/>
      <c r="BV4" s="29" t="n"/>
      <c r="BW4" s="24" t="n"/>
      <c r="BX4" s="30" t="n"/>
      <c r="BY4" s="27" t="n"/>
      <c r="BZ4" s="24" t="n"/>
      <c r="CA4" s="31" t="n"/>
      <c r="CB4" s="24" t="n"/>
      <c r="CC4" s="24" t="inlineStr">
        <is>
          <t>0.2416972703</t>
        </is>
      </c>
      <c r="CD4" s="24" t="inlineStr">
        <is>
          <t>-4.477657</t>
        </is>
      </c>
      <c r="CE4" s="24" t="n"/>
      <c r="CF4" s="24" t="n"/>
      <c r="CG4" s="24" t="n"/>
      <c r="CH4" s="24" t="n"/>
      <c r="CI4" s="24" t="inlineStr">
        <is>
          <t>wnba_availability_source_conflict</t>
        </is>
      </c>
      <c r="CJ4" s="24" t="n"/>
      <c r="CK4" s="24" t="n"/>
      <c r="CL4" s="24" t="n"/>
      <c r="CM4" s="24" t="n"/>
      <c r="CN4" s="24" t="n"/>
      <c r="CO4" s="24" t="n"/>
      <c r="CP4" s="24" t="n"/>
      <c r="CQ4" s="24" t="n"/>
      <c r="CR4" s="24" t="n"/>
      <c r="CS4" s="24" t="n"/>
    </row>
    <row r="5" ht="36" customHeight="1">
      <c r="A5" s="24" t="inlineStr">
        <is>
          <t>2b8a162265d04475</t>
        </is>
      </c>
      <c r="B5" s="24" t="inlineStr">
        <is>
          <t>2026-07-28T23:38:20.366083Z</t>
        </is>
      </c>
      <c r="C5" s="24" t="inlineStr">
        <is>
          <t>2026-07-28T22:00:00-0400</t>
        </is>
      </c>
      <c r="D5" s="24" t="inlineStr">
        <is>
          <t>401857095</t>
        </is>
      </c>
      <c r="E5" s="24" t="inlineStr">
        <is>
          <t>WNBA</t>
        </is>
      </c>
      <c r="F5" s="24" t="inlineStr">
        <is>
          <t>Portland Fire</t>
        </is>
      </c>
      <c r="G5" s="24" t="inlineStr">
        <is>
          <t>Las Vegas Aces</t>
        </is>
      </c>
      <c r="H5" s="24" t="inlineStr">
        <is>
          <t>moneyline</t>
        </is>
      </c>
      <c r="I5" s="24" t="inlineStr">
        <is>
          <t>home</t>
        </is>
      </c>
      <c r="J5" s="25" t="n"/>
      <c r="K5" s="24" t="inlineStr">
        <is>
          <t>polymarket_us</t>
        </is>
      </c>
      <c r="L5" s="26" t="n">
        <v>-614</v>
      </c>
      <c r="M5" s="27" t="n">
        <v>1.162866</v>
      </c>
      <c r="N5" s="28" t="n">
        <v>0.859944</v>
      </c>
      <c r="O5" s="28" t="n">
        <v>0.70389</v>
      </c>
      <c r="P5" s="28" t="n"/>
      <c r="Q5" s="28" t="n">
        <v>-0.156054</v>
      </c>
      <c r="R5" s="26" t="n">
        <v>0</v>
      </c>
      <c r="S5" s="29" t="n">
        <v>2</v>
      </c>
      <c r="T5" s="24" t="inlineStr">
        <is>
          <t>wnba-elo-trend-lr-v4</t>
        </is>
      </c>
      <c r="U5" s="24" t="inlineStr">
        <is>
          <t>settled</t>
        </is>
      </c>
      <c r="V5" s="24" t="inlineStr">
        <is>
          <t>win</t>
        </is>
      </c>
      <c r="W5" s="26" t="n">
        <v>83</v>
      </c>
      <c r="X5" s="26" t="n">
        <v>98</v>
      </c>
      <c r="Y5" s="25" t="n"/>
      <c r="Z5" s="26" t="n"/>
      <c r="AA5" s="28" t="n"/>
      <c r="AB5" s="28" t="n"/>
      <c r="AC5" s="30" t="n">
        <v>0.3257</v>
      </c>
      <c r="AD5" s="24" t="inlineStr">
        <is>
          <t>2026-07-29T05:44:56.065486Z</t>
        </is>
      </c>
      <c r="AE5" s="31" t="inlineStr">
        <is>
          <t>Learned LR call at threshold 0.5001; executable ask 0.8600 (aec-wnba-por-lv-2026-07-28).</t>
        </is>
      </c>
      <c r="AF5" s="31" t="inlineStr">
        <is>
          <t>Learned model; shadow-qualified via operator override.</t>
        </is>
      </c>
      <c r="AG5" s="24" t="inlineStr">
        <is>
          <t>not_applicable</t>
        </is>
      </c>
      <c r="AH5" s="24" t="n"/>
      <c r="AI5" s="31" t="n"/>
      <c r="AJ5" s="31" t="n"/>
      <c r="AK5" s="24" t="inlineStr">
        <is>
          <t>model_qualified</t>
        </is>
      </c>
      <c r="AL5" s="26" t="n">
        <v>3</v>
      </c>
      <c r="AM5" s="24" t="inlineStr">
        <is>
          <t>QUALIFIED_SHADOW_CALL</t>
        </is>
      </c>
      <c r="AN5" s="24" t="inlineStr">
        <is>
          <t>CALL</t>
        </is>
      </c>
      <c r="AO5" s="24" t="inlineStr">
        <is>
          <t>QUALIFIED</t>
        </is>
      </c>
      <c r="AP5" s="24" t="inlineStr">
        <is>
          <t>wnba-por</t>
        </is>
      </c>
      <c r="AQ5" s="24" t="inlineStr">
        <is>
          <t>Portland Fire</t>
        </is>
      </c>
      <c r="AR5" s="24" t="inlineStr">
        <is>
          <t>Portland Fire</t>
        </is>
      </c>
      <c r="AS5" s="24" t="inlineStr">
        <is>
          <t>wnba-lva</t>
        </is>
      </c>
      <c r="AT5" s="24" t="inlineStr">
        <is>
          <t>Las Vegas Aces</t>
        </is>
      </c>
      <c r="AU5" s="24" t="inlineStr">
        <is>
          <t>Las Vegas Aces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shadow_qualified</t>
        </is>
      </c>
      <c r="BA5" s="24" t="inlineStr">
        <is>
          <t>7afd5274214b58b7efd7f7febc7be3ab33b92351cda5cc6403c0a39faea0cc8c</t>
        </is>
      </c>
      <c r="BB5" s="24" t="inlineStr">
        <is>
          <t>learned_lr</t>
        </is>
      </c>
      <c r="BC5" s="24" t="inlineStr">
        <is>
          <t>wnba-elo-trend-lr-v4</t>
        </is>
      </c>
      <c r="BD5" s="24" t="inlineStr">
        <is>
          <t>7afd5274214b58b7efd7f7febc7be3ab33b92351cda5cc6403c0a39faea0cc8c</t>
        </is>
      </c>
      <c r="BE5" s="24" t="inlineStr">
        <is>
          <t>b361b2a5b789ec69</t>
        </is>
      </c>
      <c r="BF5" s="24" t="inlineStr">
        <is>
          <t>1</t>
        </is>
      </c>
      <c r="BG5" s="24" t="inlineStr">
        <is>
          <t>wnba-elo-trend-lr-v4</t>
        </is>
      </c>
      <c r="BH5" s="24" t="inlineStr">
        <is>
          <t>2026-07-28T23:37:57.460079Z</t>
        </is>
      </c>
      <c r="BI5" s="24" t="inlineStr">
        <is>
          <t>["same_event","same_team_same_day","same_league_same_day"]</t>
        </is>
      </c>
      <c r="BJ5" s="25" t="n"/>
      <c r="BK5" s="26" t="n">
        <v>-614</v>
      </c>
      <c r="BL5" s="27" t="n">
        <v>1.162866</v>
      </c>
      <c r="BM5" s="28" t="n">
        <v>0.859944</v>
      </c>
      <c r="BN5" s="28" t="n">
        <v>0.851485</v>
      </c>
      <c r="BO5" s="28" t="n"/>
      <c r="BP5" s="25" t="n"/>
      <c r="BQ5" s="27" t="n"/>
      <c r="BR5" s="28" t="n"/>
      <c r="BS5" s="28" t="n"/>
      <c r="BT5" s="28" t="n"/>
      <c r="BU5" s="25" t="n"/>
      <c r="BV5" s="29" t="n"/>
      <c r="BW5" s="24" t="n"/>
      <c r="BX5" s="30" t="n"/>
      <c r="BY5" s="27" t="n"/>
      <c r="BZ5" s="24" t="n"/>
      <c r="CA5" s="31" t="n"/>
      <c r="CB5" s="24" t="n"/>
      <c r="CC5" s="24" t="inlineStr">
        <is>
          <t>0.7673200787</t>
        </is>
      </c>
      <c r="CD5" s="24" t="inlineStr">
        <is>
          <t>-4.164083</t>
        </is>
      </c>
      <c r="CE5" s="24" t="n"/>
      <c r="CF5" s="24" t="n"/>
      <c r="CG5" s="24" t="n"/>
      <c r="CH5" s="24" t="n"/>
      <c r="CI5" s="24" t="n"/>
      <c r="CJ5" s="24" t="n"/>
      <c r="CK5" s="24" t="n"/>
      <c r="CL5" s="24" t="n"/>
      <c r="CM5" s="24" t="n"/>
      <c r="CN5" s="24" t="n"/>
      <c r="CO5" s="24" t="n"/>
      <c r="CP5" s="24" t="n"/>
      <c r="CQ5" s="24" t="n"/>
      <c r="CR5" s="24" t="n"/>
      <c r="CS5" s="24" t="n"/>
    </row>
    <row r="6" ht="36" customHeight="1">
      <c r="A6" s="24" t="inlineStr">
        <is>
          <t>63de2dfbf1a84729</t>
        </is>
      </c>
      <c r="B6" s="24" t="inlineStr">
        <is>
          <t>2026-07-28T23:38:20.366083Z</t>
        </is>
      </c>
      <c r="C6" s="24" t="inlineStr">
        <is>
          <t>2026-07-28T22:00:00-0400</t>
        </is>
      </c>
      <c r="D6" s="24" t="inlineStr">
        <is>
          <t>401857096</t>
        </is>
      </c>
      <c r="E6" s="24" t="inlineStr">
        <is>
          <t>WNBA</t>
        </is>
      </c>
      <c r="F6" s="24" t="inlineStr">
        <is>
          <t>New York Liberty</t>
        </is>
      </c>
      <c r="G6" s="24" t="inlineStr">
        <is>
          <t>Los Angeles Sparks</t>
        </is>
      </c>
      <c r="H6" s="24" t="inlineStr">
        <is>
          <t>moneyline</t>
        </is>
      </c>
      <c r="I6" s="24" t="inlineStr">
        <is>
          <t>away</t>
        </is>
      </c>
      <c r="J6" s="25" t="n"/>
      <c r="K6" s="24" t="inlineStr">
        <is>
          <t>polymarket_us</t>
        </is>
      </c>
      <c r="L6" s="26" t="n">
        <v>-178</v>
      </c>
      <c r="M6" s="27" t="n">
        <v>1.561798</v>
      </c>
      <c r="N6" s="28" t="n">
        <v>0.640288</v>
      </c>
      <c r="O6" s="28" t="n">
        <v>0.571136</v>
      </c>
      <c r="P6" s="28" t="n"/>
      <c r="Q6" s="28" t="n">
        <v>-0.06915200000000001</v>
      </c>
      <c r="R6" s="26" t="n">
        <v>0</v>
      </c>
      <c r="S6" s="29" t="n">
        <v>1.25</v>
      </c>
      <c r="T6" s="24" t="inlineStr">
        <is>
          <t>wnba-elo-trend-lr-v4</t>
        </is>
      </c>
      <c r="U6" s="24" t="inlineStr">
        <is>
          <t>settled</t>
        </is>
      </c>
      <c r="V6" s="24" t="inlineStr">
        <is>
          <t>win</t>
        </is>
      </c>
      <c r="W6" s="26" t="n">
        <v>113</v>
      </c>
      <c r="X6" s="26" t="n">
        <v>109</v>
      </c>
      <c r="Y6" s="25" t="n"/>
      <c r="Z6" s="26" t="n"/>
      <c r="AA6" s="28" t="n"/>
      <c r="AB6" s="28" t="n"/>
      <c r="AC6" s="30" t="n">
        <v>0.7022</v>
      </c>
      <c r="AD6" s="24" t="inlineStr">
        <is>
          <t>2026-07-29T05:44:56.782128Z</t>
        </is>
      </c>
      <c r="AE6" s="31" t="inlineStr">
        <is>
          <t>Learned LR call at threshold 0.5001; executable ask 0.6400 (aec-wnba-ny-la-2026-07-28). NOTE: wnba_availability_source_conflict unavailable for this game — defaulted to neutral, other features used normally.</t>
        </is>
      </c>
      <c r="AF6" s="31" t="inlineStr">
        <is>
          <t>Learned model; shadow-qualified via operator override.</t>
        </is>
      </c>
      <c r="AG6" s="24" t="inlineStr">
        <is>
          <t>not_applicable</t>
        </is>
      </c>
      <c r="AH6" s="24" t="n"/>
      <c r="AI6" s="31" t="n"/>
      <c r="AJ6" s="31" t="n"/>
      <c r="AK6" s="24" t="inlineStr">
        <is>
          <t>model_qualified</t>
        </is>
      </c>
      <c r="AL6" s="26" t="n">
        <v>3</v>
      </c>
      <c r="AM6" s="24" t="inlineStr">
        <is>
          <t>QUALIFIED_SHADOW_CALL</t>
        </is>
      </c>
      <c r="AN6" s="24" t="inlineStr">
        <is>
          <t>CALL</t>
        </is>
      </c>
      <c r="AO6" s="24" t="inlineStr">
        <is>
          <t>QUALIFIED</t>
        </is>
      </c>
      <c r="AP6" s="24" t="inlineStr">
        <is>
          <t>wnba-nyl</t>
        </is>
      </c>
      <c r="AQ6" s="24" t="inlineStr">
        <is>
          <t>New York Liberty</t>
        </is>
      </c>
      <c r="AR6" s="24" t="inlineStr">
        <is>
          <t>New York Liberty</t>
        </is>
      </c>
      <c r="AS6" s="24" t="inlineStr">
        <is>
          <t>wnba-las</t>
        </is>
      </c>
      <c r="AT6" s="24" t="inlineStr">
        <is>
          <t>Los Angeles Sparks</t>
        </is>
      </c>
      <c r="AU6" s="24" t="inlineStr">
        <is>
          <t>Los Angeles Sparks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shadow_qualified</t>
        </is>
      </c>
      <c r="BA6" s="24" t="inlineStr">
        <is>
          <t>7afd5274214b58b7efd7f7febc7be3ab33b92351cda5cc6403c0a39faea0cc8c</t>
        </is>
      </c>
      <c r="BB6" s="24" t="inlineStr">
        <is>
          <t>learned_lr</t>
        </is>
      </c>
      <c r="BC6" s="24" t="inlineStr">
        <is>
          <t>wnba-elo-trend-lr-v4</t>
        </is>
      </c>
      <c r="BD6" s="24" t="inlineStr">
        <is>
          <t>7afd5274214b58b7efd7f7febc7be3ab33b92351cda5cc6403c0a39faea0cc8c</t>
        </is>
      </c>
      <c r="BE6" s="24" t="inlineStr">
        <is>
          <t>cdebf9ad1de7512e</t>
        </is>
      </c>
      <c r="BF6" s="24" t="inlineStr">
        <is>
          <t>1</t>
        </is>
      </c>
      <c r="BG6" s="24" t="inlineStr">
        <is>
          <t>wnba-elo-trend-lr-v4</t>
        </is>
      </c>
      <c r="BH6" s="24" t="inlineStr">
        <is>
          <t>2026-07-28T23:37:58.046318Z</t>
        </is>
      </c>
      <c r="BI6" s="24" t="inlineStr">
        <is>
          <t>["same_event","same_team_same_day","same_league_same_day"]</t>
        </is>
      </c>
      <c r="BJ6" s="25" t="n"/>
      <c r="BK6" s="26" t="n">
        <v>-178</v>
      </c>
      <c r="BL6" s="27" t="n">
        <v>1.561798</v>
      </c>
      <c r="BM6" s="28" t="n">
        <v>0.640288</v>
      </c>
      <c r="BN6" s="28" t="n">
        <v>0.633663</v>
      </c>
      <c r="BO6" s="28" t="n"/>
      <c r="BP6" s="25" t="n"/>
      <c r="BQ6" s="27" t="n"/>
      <c r="BR6" s="28" t="n"/>
      <c r="BS6" s="28" t="n"/>
      <c r="BT6" s="28" t="n"/>
      <c r="BU6" s="25" t="n"/>
      <c r="BV6" s="29" t="n"/>
      <c r="BW6" s="24" t="n"/>
      <c r="BX6" s="30" t="n"/>
      <c r="BY6" s="27" t="n"/>
      <c r="BZ6" s="24" t="n"/>
      <c r="CA6" s="31" t="n"/>
      <c r="CB6" s="24" t="n"/>
      <c r="CC6" s="24" t="inlineStr">
        <is>
          <t>0.4096120487</t>
        </is>
      </c>
      <c r="CD6" s="24" t="inlineStr">
        <is>
          <t>-1.261801</t>
        </is>
      </c>
      <c r="CE6" s="24" t="n"/>
      <c r="CF6" s="24" t="n"/>
      <c r="CG6" s="24" t="n"/>
      <c r="CH6" s="24" t="n"/>
      <c r="CI6" s="24" t="inlineStr">
        <is>
          <t>wnba_availability_source_conflict</t>
        </is>
      </c>
      <c r="CJ6" s="24" t="n"/>
      <c r="CK6" s="24" t="n"/>
      <c r="CL6" s="24" t="n"/>
      <c r="CM6" s="24" t="n"/>
      <c r="CN6" s="24" t="n"/>
      <c r="CO6" s="24" t="n"/>
      <c r="CP6" s="24" t="n"/>
      <c r="CQ6" s="24" t="n"/>
      <c r="CR6" s="24" t="n"/>
      <c r="CS6" s="24" t="n"/>
    </row>
    <row r="7" ht="36" customHeight="1">
      <c r="A7" s="24" t="inlineStr">
        <is>
          <t>9729768851cd4ce0</t>
        </is>
      </c>
      <c r="B7" s="24" t="inlineStr">
        <is>
          <t>2026-07-29T17:43:50.913671Z</t>
        </is>
      </c>
      <c r="C7" s="24" t="inlineStr">
        <is>
          <t>2026-07-29T20:00:00-0400</t>
        </is>
      </c>
      <c r="D7" s="24" t="inlineStr">
        <is>
          <t>401857097</t>
        </is>
      </c>
      <c r="E7" s="24" t="inlineStr">
        <is>
          <t>WNBA</t>
        </is>
      </c>
      <c r="F7" s="24" t="inlineStr">
        <is>
          <t>Atlanta Dream</t>
        </is>
      </c>
      <c r="G7" s="24" t="inlineStr">
        <is>
          <t>Dallas Wings</t>
        </is>
      </c>
      <c r="H7" s="24" t="inlineStr">
        <is>
          <t>moneyline</t>
        </is>
      </c>
      <c r="I7" s="24" t="inlineStr">
        <is>
          <t>home</t>
        </is>
      </c>
      <c r="J7" s="25" t="n"/>
      <c r="K7" s="24" t="inlineStr">
        <is>
          <t>polymarket_us</t>
        </is>
      </c>
      <c r="L7" s="26" t="n">
        <v>108</v>
      </c>
      <c r="M7" s="27" t="n">
        <v>2.08</v>
      </c>
      <c r="N7" s="28" t="n">
        <v>0.480769</v>
      </c>
      <c r="O7" s="28" t="n">
        <v>0.66476</v>
      </c>
      <c r="P7" s="28" t="n"/>
      <c r="Q7" s="28" t="n">
        <v>0.183991</v>
      </c>
      <c r="R7" s="26" t="n">
        <v>100</v>
      </c>
      <c r="S7" s="29" t="n">
        <v>2</v>
      </c>
      <c r="T7" s="24" t="inlineStr">
        <is>
          <t>wnba-elo-trend-lr-v4</t>
        </is>
      </c>
      <c r="U7" s="24" t="inlineStr">
        <is>
          <t>settled</t>
        </is>
      </c>
      <c r="V7" s="24" t="inlineStr">
        <is>
          <t>loss</t>
        </is>
      </c>
      <c r="W7" s="26" t="n">
        <v>82</v>
      </c>
      <c r="X7" s="26" t="n">
        <v>81</v>
      </c>
      <c r="Y7" s="25" t="n"/>
      <c r="Z7" s="26" t="n"/>
      <c r="AA7" s="28" t="n"/>
      <c r="AB7" s="28" t="n"/>
      <c r="AC7" s="30" t="n">
        <v>-2</v>
      </c>
      <c r="AD7" s="24" t="inlineStr">
        <is>
          <t>2026-07-30T04:11:52.718757Z</t>
        </is>
      </c>
      <c r="AE7" s="31" t="inlineStr">
        <is>
          <t>Learned LR call at threshold 0.5001; executable ask 0.4800 (aec-wnba-atl-dal-2026-07-29). NOTE: wnba_availability_source_conflict unavailable for this game — defaulted to neutral, other features used normally.</t>
        </is>
      </c>
      <c r="AF7" s="31" t="inlineStr">
        <is>
          <t>Learned model; shadow-qualified via operator override.</t>
        </is>
      </c>
      <c r="AG7" s="24" t="inlineStr">
        <is>
          <t>review_required</t>
        </is>
      </c>
      <c r="AH7" s="24" t="n"/>
      <c r="AI7" s="31" t="n"/>
      <c r="AJ7" s="31" t="n"/>
      <c r="AK7" s="24" t="inlineStr">
        <is>
          <t>model_qualified</t>
        </is>
      </c>
      <c r="AL7" s="26" t="n">
        <v>3</v>
      </c>
      <c r="AM7" s="24" t="inlineStr">
        <is>
          <t>QUALIFIED_SHADOW_CALL</t>
        </is>
      </c>
      <c r="AN7" s="24" t="inlineStr">
        <is>
          <t>CALL</t>
        </is>
      </c>
      <c r="AO7" s="24" t="inlineStr">
        <is>
          <t>QUALIFIED</t>
        </is>
      </c>
      <c r="AP7" s="24" t="inlineStr">
        <is>
          <t>wnba-atl</t>
        </is>
      </c>
      <c r="AQ7" s="24" t="inlineStr">
        <is>
          <t>Atlanta Dream</t>
        </is>
      </c>
      <c r="AR7" s="24" t="inlineStr">
        <is>
          <t>Atlanta Dream</t>
        </is>
      </c>
      <c r="AS7" s="24" t="inlineStr">
        <is>
          <t>wnba-dal</t>
        </is>
      </c>
      <c r="AT7" s="24" t="inlineStr">
        <is>
          <t>Dallas Wings</t>
        </is>
      </c>
      <c r="AU7" s="24" t="inlineStr">
        <is>
          <t>Dallas Wings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shadow_qualified</t>
        </is>
      </c>
      <c r="BA7" s="24" t="inlineStr">
        <is>
          <t>7afd5274214b58b7efd7f7febc7be3ab33b92351cda5cc6403c0a39faea0cc8c</t>
        </is>
      </c>
      <c r="BB7" s="24" t="inlineStr">
        <is>
          <t>learned_lr</t>
        </is>
      </c>
      <c r="BC7" s="24" t="inlineStr">
        <is>
          <t>wnba-elo-trend-lr-v4</t>
        </is>
      </c>
      <c r="BD7" s="24" t="inlineStr">
        <is>
          <t>7afd5274214b58b7efd7f7febc7be3ab33b92351cda5cc6403c0a39faea0cc8c</t>
        </is>
      </c>
      <c r="BE7" s="24" t="inlineStr">
        <is>
          <t>f25936b561e6d355</t>
        </is>
      </c>
      <c r="BF7" s="24" t="inlineStr">
        <is>
          <t>1</t>
        </is>
      </c>
      <c r="BG7" s="24" t="inlineStr">
        <is>
          <t>wnba-elo-trend-lr-v4</t>
        </is>
      </c>
      <c r="BH7" s="24" t="inlineStr">
        <is>
          <t>2026-07-29T17:43:12.551208Z</t>
        </is>
      </c>
      <c r="BI7" s="24" t="inlineStr">
        <is>
          <t>["same_event","same_team_same_day","same_league_same_day"]</t>
        </is>
      </c>
      <c r="BJ7" s="25" t="n"/>
      <c r="BK7" s="26" t="n">
        <v>108</v>
      </c>
      <c r="BL7" s="27" t="n">
        <v>2.08</v>
      </c>
      <c r="BM7" s="28" t="n">
        <v>0.480769</v>
      </c>
      <c r="BN7" s="28" t="n">
        <v>0.475248</v>
      </c>
      <c r="BO7" s="28" t="n"/>
      <c r="BP7" s="25" t="n"/>
      <c r="BQ7" s="27" t="n"/>
      <c r="BR7" s="28" t="n"/>
      <c r="BS7" s="28" t="n"/>
      <c r="BT7" s="28" t="n"/>
      <c r="BU7" s="25" t="n"/>
      <c r="BV7" s="29" t="n"/>
      <c r="BW7" s="24" t="n"/>
      <c r="BX7" s="30" t="n"/>
      <c r="BY7" s="27" t="n"/>
      <c r="BZ7" s="24" t="n"/>
      <c r="CA7" s="31" t="n"/>
      <c r="CB7" s="24" t="n"/>
      <c r="CC7" s="24" t="inlineStr">
        <is>
          <t>0.7229749194</t>
        </is>
      </c>
      <c r="CD7" s="24" t="inlineStr">
        <is>
          <t>-2.425932</t>
        </is>
      </c>
      <c r="CE7" s="24" t="n"/>
      <c r="CF7" s="24" t="n"/>
      <c r="CG7" s="24" t="n"/>
      <c r="CH7" s="24" t="n"/>
      <c r="CI7" s="24" t="inlineStr">
        <is>
          <t>wnba_availability_source_conflict</t>
        </is>
      </c>
      <c r="CJ7" s="24" t="n"/>
      <c r="CK7" s="24" t="n"/>
      <c r="CL7" s="24" t="n"/>
      <c r="CM7" s="24" t="n"/>
      <c r="CN7" s="24" t="n"/>
      <c r="CO7" s="24" t="n"/>
      <c r="CP7" s="24" t="n"/>
      <c r="CQ7" s="24" t="n"/>
      <c r="CR7" s="24" t="n"/>
      <c r="CS7" s="24" t="n"/>
    </row>
    <row r="8" ht="36" customHeight="1">
      <c r="A8" s="24" t="inlineStr">
        <is>
          <t>78b993466b62448a</t>
        </is>
      </c>
      <c r="B8" s="24" t="inlineStr">
        <is>
          <t>2026-07-29T17:43:50.913671Z</t>
        </is>
      </c>
      <c r="C8" s="24" t="inlineStr">
        <is>
          <t>2026-07-29T22:00:00-0400</t>
        </is>
      </c>
      <c r="D8" s="24" t="inlineStr">
        <is>
          <t>401857098</t>
        </is>
      </c>
      <c r="E8" s="24" t="inlineStr">
        <is>
          <t>WNBA</t>
        </is>
      </c>
      <c r="F8" s="24" t="inlineStr">
        <is>
          <t>Golden State Valkyries</t>
        </is>
      </c>
      <c r="G8" s="24" t="inlineStr">
        <is>
          <t>Phoenix Mercury</t>
        </is>
      </c>
      <c r="H8" s="24" t="inlineStr">
        <is>
          <t>moneyline</t>
        </is>
      </c>
      <c r="I8" s="24" t="inlineStr">
        <is>
          <t>away</t>
        </is>
      </c>
      <c r="J8" s="25" t="n"/>
      <c r="K8" s="24" t="inlineStr">
        <is>
          <t>polymarket_us</t>
        </is>
      </c>
      <c r="L8" s="26" t="n">
        <v>-156</v>
      </c>
      <c r="M8" s="27" t="n">
        <v>1.641026</v>
      </c>
      <c r="N8" s="28" t="n">
        <v>0.609375</v>
      </c>
      <c r="O8" s="28" t="n">
        <v>0.7219989999999999</v>
      </c>
      <c r="P8" s="28" t="n"/>
      <c r="Q8" s="28" t="n">
        <v>0.112624</v>
      </c>
      <c r="R8" s="26" t="n">
        <v>79</v>
      </c>
      <c r="S8" s="29" t="n">
        <v>2</v>
      </c>
      <c r="T8" s="24" t="inlineStr">
        <is>
          <t>wnba-elo-trend-lr-v4</t>
        </is>
      </c>
      <c r="U8" s="24" t="inlineStr">
        <is>
          <t>settled</t>
        </is>
      </c>
      <c r="V8" s="24" t="inlineStr">
        <is>
          <t>loss</t>
        </is>
      </c>
      <c r="W8" s="26" t="n">
        <v>89</v>
      </c>
      <c r="X8" s="26" t="n">
        <v>91</v>
      </c>
      <c r="Y8" s="25" t="n"/>
      <c r="Z8" s="26" t="n"/>
      <c r="AA8" s="28" t="n"/>
      <c r="AB8" s="28" t="n"/>
      <c r="AC8" s="30" t="n">
        <v>-2</v>
      </c>
      <c r="AD8" s="24" t="inlineStr">
        <is>
          <t>2026-07-30T05:40:57.557947Z</t>
        </is>
      </c>
      <c r="AE8" s="31" t="inlineStr">
        <is>
          <t>Learned LR call at threshold 0.5001; executable ask 0.6100 (aec-wnba-gsv-phx-2026-07-29).</t>
        </is>
      </c>
      <c r="AF8" s="31" t="inlineStr">
        <is>
          <t>Learned model; shadow-qualified via operator override.</t>
        </is>
      </c>
      <c r="AG8" s="24" t="inlineStr">
        <is>
          <t>review_required</t>
        </is>
      </c>
      <c r="AH8" s="24" t="n"/>
      <c r="AI8" s="31" t="n"/>
      <c r="AJ8" s="31" t="n"/>
      <c r="AK8" s="24" t="inlineStr">
        <is>
          <t>model_qualified</t>
        </is>
      </c>
      <c r="AL8" s="26" t="n">
        <v>3</v>
      </c>
      <c r="AM8" s="24" t="inlineStr">
        <is>
          <t>QUALIFIED_SHADOW_CALL</t>
        </is>
      </c>
      <c r="AN8" s="24" t="inlineStr">
        <is>
          <t>CALL</t>
        </is>
      </c>
      <c r="AO8" s="24" t="inlineStr">
        <is>
          <t>QUALIFIED</t>
        </is>
      </c>
      <c r="AP8" s="24" t="inlineStr">
        <is>
          <t>wnba-gsv</t>
        </is>
      </c>
      <c r="AQ8" s="24" t="inlineStr">
        <is>
          <t>Golden State Valkyries</t>
        </is>
      </c>
      <c r="AR8" s="24" t="inlineStr">
        <is>
          <t>Golden State Valkyries</t>
        </is>
      </c>
      <c r="AS8" s="24" t="inlineStr">
        <is>
          <t>wnba-phx</t>
        </is>
      </c>
      <c r="AT8" s="24" t="inlineStr">
        <is>
          <t>Phoenix Mercury</t>
        </is>
      </c>
      <c r="AU8" s="24" t="inlineStr">
        <is>
          <t>Phoenix Mercury</t>
        </is>
      </c>
      <c r="AV8" s="24" t="n"/>
      <c r="AW8" s="24" t="n"/>
      <c r="AX8" s="24" t="inlineStr">
        <is>
          <t>statistical_model</t>
        </is>
      </c>
      <c r="AY8" s="24" t="n"/>
      <c r="AZ8" s="24" t="inlineStr">
        <is>
          <t>shadow_qualified</t>
        </is>
      </c>
      <c r="BA8" s="24" t="inlineStr">
        <is>
          <t>7afd5274214b58b7efd7f7febc7be3ab33b92351cda5cc6403c0a39faea0cc8c</t>
        </is>
      </c>
      <c r="BB8" s="24" t="inlineStr">
        <is>
          <t>learned_lr</t>
        </is>
      </c>
      <c r="BC8" s="24" t="inlineStr">
        <is>
          <t>wnba-elo-trend-lr-v4</t>
        </is>
      </c>
      <c r="BD8" s="24" t="inlineStr">
        <is>
          <t>7afd5274214b58b7efd7f7febc7be3ab33b92351cda5cc6403c0a39faea0cc8c</t>
        </is>
      </c>
      <c r="BE8" s="24" t="inlineStr">
        <is>
          <t>5ba5847b783e4237</t>
        </is>
      </c>
      <c r="BF8" s="24" t="inlineStr">
        <is>
          <t>1</t>
        </is>
      </c>
      <c r="BG8" s="24" t="inlineStr">
        <is>
          <t>wnba-elo-trend-lr-v4</t>
        </is>
      </c>
      <c r="BH8" s="24" t="inlineStr">
        <is>
          <t>2026-07-29T17:43:13.575889Z</t>
        </is>
      </c>
      <c r="BI8" s="24" t="inlineStr">
        <is>
          <t>["same_event","same_team_same_day","same_league_same_day"]</t>
        </is>
      </c>
      <c r="BJ8" s="25" t="n"/>
      <c r="BK8" s="26" t="n">
        <v>-156</v>
      </c>
      <c r="BL8" s="27" t="n">
        <v>1.641026</v>
      </c>
      <c r="BM8" s="28" t="n">
        <v>0.609375</v>
      </c>
      <c r="BN8" s="28" t="n">
        <v>0.6039600000000001</v>
      </c>
      <c r="BO8" s="28" t="n"/>
      <c r="BP8" s="25" t="n"/>
      <c r="BQ8" s="27" t="n"/>
      <c r="BR8" s="28" t="n"/>
      <c r="BS8" s="28" t="n"/>
      <c r="BT8" s="28" t="n"/>
      <c r="BU8" s="25" t="n"/>
      <c r="BV8" s="29" t="n"/>
      <c r="BW8" s="24" t="n"/>
      <c r="BX8" s="30" t="n"/>
      <c r="BY8" s="27" t="n"/>
      <c r="BZ8" s="24" t="n"/>
      <c r="CA8" s="31" t="n"/>
      <c r="CB8" s="24" t="n"/>
      <c r="CC8" s="24" t="inlineStr">
        <is>
          <t>0.1902656067</t>
        </is>
      </c>
      <c r="CD8" s="24" t="inlineStr">
        <is>
          <t>-0.399848</t>
        </is>
      </c>
      <c r="CE8" s="24" t="n"/>
      <c r="CF8" s="24" t="n"/>
      <c r="CG8" s="24" t="n"/>
      <c r="CH8" s="24" t="n"/>
      <c r="CI8" s="24" t="n"/>
      <c r="CJ8" s="24" t="n"/>
      <c r="CK8" s="24" t="n"/>
      <c r="CL8" s="24" t="n"/>
      <c r="CM8" s="24" t="n"/>
      <c r="CN8" s="24" t="n"/>
      <c r="CO8" s="24" t="n"/>
      <c r="CP8" s="24" t="n"/>
      <c r="CQ8" s="24" t="n"/>
      <c r="CR8" s="24" t="n"/>
      <c r="CS8" s="24" t="n"/>
    </row>
    <row r="9" ht="36" customHeight="1">
      <c r="A9" s="24" t="inlineStr">
        <is>
          <t>ecf162c53b6e43a6</t>
        </is>
      </c>
      <c r="B9" s="24" t="inlineStr">
        <is>
          <t>2026-07-30T21:07:38.996144Z</t>
        </is>
      </c>
      <c r="C9" s="24" t="inlineStr">
        <is>
          <t>2026-07-30T20:00:00-0400</t>
        </is>
      </c>
      <c r="D9" s="24" t="inlineStr">
        <is>
          <t>401857099</t>
        </is>
      </c>
      <c r="E9" s="24" t="inlineStr">
        <is>
          <t>WNBA</t>
        </is>
      </c>
      <c r="F9" s="24" t="inlineStr">
        <is>
          <t>Minnesota Lynx</t>
        </is>
      </c>
      <c r="G9" s="24" t="inlineStr">
        <is>
          <t>Toronto Tempo</t>
        </is>
      </c>
      <c r="H9" s="24" t="inlineStr">
        <is>
          <t>moneyline</t>
        </is>
      </c>
      <c r="I9" s="24" t="inlineStr">
        <is>
          <t>away</t>
        </is>
      </c>
      <c r="J9" s="25" t="n"/>
      <c r="K9" s="24" t="inlineStr">
        <is>
          <t>polymarket_us</t>
        </is>
      </c>
      <c r="L9" s="26" t="n">
        <v>-614</v>
      </c>
      <c r="M9" s="27" t="n">
        <v>1.162866</v>
      </c>
      <c r="N9" s="28" t="n">
        <v>0.859944</v>
      </c>
      <c r="O9" s="28" t="n">
        <v>0.750119</v>
      </c>
      <c r="P9" s="28" t="n"/>
      <c r="Q9" s="28" t="n">
        <v>-0.109825</v>
      </c>
      <c r="R9" s="26" t="n">
        <v>0</v>
      </c>
      <c r="S9" s="29" t="n">
        <v>2</v>
      </c>
      <c r="T9" s="24" t="inlineStr">
        <is>
          <t>wnba-elo-trend-lr-v4</t>
        </is>
      </c>
      <c r="U9" s="24" t="inlineStr">
        <is>
          <t>settled</t>
        </is>
      </c>
      <c r="V9" s="24" t="inlineStr">
        <is>
          <t>win</t>
        </is>
      </c>
      <c r="W9" s="26" t="n">
        <v>104</v>
      </c>
      <c r="X9" s="26" t="n">
        <v>72</v>
      </c>
      <c r="Y9" s="25" t="n"/>
      <c r="Z9" s="26" t="n"/>
      <c r="AA9" s="28" t="n"/>
      <c r="AB9" s="28" t="n"/>
      <c r="AC9" s="30" t="n">
        <v>0.3257</v>
      </c>
      <c r="AD9" s="24" t="inlineStr">
        <is>
          <t>2026-07-31T04:29:19.818080Z</t>
        </is>
      </c>
      <c r="AE9" s="31" t="inlineStr">
        <is>
          <t>Learned LR call at threshold 0.5001; executable ask 0.8600 (aec-wnba-min-tor-2026-07-30); model edge vs ask -0.1099. NOTE: wnba_availability_source_conflict unavailable for this game — defaulted to neutral, other features used normally.</t>
        </is>
      </c>
      <c r="AF9" s="31" t="inlineStr">
        <is>
          <t>Learned model; shadow-qualified via operator override.</t>
        </is>
      </c>
      <c r="AG9" s="24" t="inlineStr">
        <is>
          <t>not_applicable</t>
        </is>
      </c>
      <c r="AH9" s="24" t="n"/>
      <c r="AI9" s="31" t="n"/>
      <c r="AJ9" s="31" t="n"/>
      <c r="AK9" s="24" t="inlineStr">
        <is>
          <t>model_qualified</t>
        </is>
      </c>
      <c r="AL9" s="26" t="n">
        <v>3</v>
      </c>
      <c r="AM9" s="24" t="inlineStr">
        <is>
          <t>QUALIFIED_SHADOW_CALL</t>
        </is>
      </c>
      <c r="AN9" s="24" t="inlineStr">
        <is>
          <t>CALL</t>
        </is>
      </c>
      <c r="AO9" s="24" t="inlineStr">
        <is>
          <t>QUALIFIED</t>
        </is>
      </c>
      <c r="AP9" s="24" t="inlineStr">
        <is>
          <t>wnba-min</t>
        </is>
      </c>
      <c r="AQ9" s="24" t="inlineStr">
        <is>
          <t>Minnesota Lynx</t>
        </is>
      </c>
      <c r="AR9" s="24" t="inlineStr">
        <is>
          <t>Minnesota Lynx</t>
        </is>
      </c>
      <c r="AS9" s="24" t="inlineStr">
        <is>
          <t>wnba-tor</t>
        </is>
      </c>
      <c r="AT9" s="24" t="inlineStr">
        <is>
          <t>Toronto Tempo</t>
        </is>
      </c>
      <c r="AU9" s="24" t="inlineStr">
        <is>
          <t>Toronto Tempo</t>
        </is>
      </c>
      <c r="AV9" s="24" t="n"/>
      <c r="AW9" s="24" t="n"/>
      <c r="AX9" s="24" t="inlineStr">
        <is>
          <t>statistical_model</t>
        </is>
      </c>
      <c r="AY9" s="24" t="n"/>
      <c r="AZ9" s="24" t="inlineStr">
        <is>
          <t>shadow_qualified</t>
        </is>
      </c>
      <c r="BA9" s="24" t="inlineStr">
        <is>
          <t>7afd5274214b58b7efd7f7febc7be3ab33b92351cda5cc6403c0a39faea0cc8c</t>
        </is>
      </c>
      <c r="BB9" s="24" t="inlineStr">
        <is>
          <t>learned_lr</t>
        </is>
      </c>
      <c r="BC9" s="24" t="inlineStr">
        <is>
          <t>wnba-elo-trend-lr-v4</t>
        </is>
      </c>
      <c r="BD9" s="24" t="inlineStr">
        <is>
          <t>7afd5274214b58b7efd7f7febc7be3ab33b92351cda5cc6403c0a39faea0cc8c</t>
        </is>
      </c>
      <c r="BE9" s="24" t="inlineStr">
        <is>
          <t>a8d16f9be486f04d</t>
        </is>
      </c>
      <c r="BF9" s="24" t="inlineStr">
        <is>
          <t>1</t>
        </is>
      </c>
      <c r="BG9" s="24" t="inlineStr">
        <is>
          <t>wnba-elo-trend-lr-v4</t>
        </is>
      </c>
      <c r="BH9" s="24" t="inlineStr">
        <is>
          <t>2026-07-30T21:07:16.651071Z</t>
        </is>
      </c>
      <c r="BI9" s="24" t="inlineStr">
        <is>
          <t>["same_event","same_team_same_day","same_league_same_day"]</t>
        </is>
      </c>
      <c r="BJ9" s="25" t="n"/>
      <c r="BK9" s="26" t="n">
        <v>-614</v>
      </c>
      <c r="BL9" s="27" t="n">
        <v>1.162866</v>
      </c>
      <c r="BM9" s="28" t="n">
        <v>0.859944</v>
      </c>
      <c r="BN9" s="28" t="n">
        <v>0.851485</v>
      </c>
      <c r="BO9" s="28" t="n"/>
      <c r="BP9" s="25" t="n"/>
      <c r="BQ9" s="27" t="n"/>
      <c r="BR9" s="28" t="n"/>
      <c r="BS9" s="28" t="n"/>
      <c r="BT9" s="28" t="n"/>
      <c r="BU9" s="25" t="n"/>
      <c r="BV9" s="29" t="n"/>
      <c r="BW9" s="24" t="n"/>
      <c r="BX9" s="30" t="n"/>
      <c r="BY9" s="27" t="n"/>
      <c r="BZ9" s="24" t="n"/>
      <c r="CA9" s="31" t="n"/>
      <c r="CB9" s="24" t="n"/>
      <c r="CC9" s="24" t="inlineStr">
        <is>
          <t>0.1447442732</t>
        </is>
      </c>
      <c r="CD9" s="24" t="inlineStr">
        <is>
          <t>-5.213719</t>
        </is>
      </c>
      <c r="CE9" s="24" t="n"/>
      <c r="CF9" s="24" t="n"/>
      <c r="CG9" s="24" t="n"/>
      <c r="CH9" s="24" t="n"/>
      <c r="CI9" s="24" t="inlineStr">
        <is>
          <t>wnba_availability_source_conflict</t>
        </is>
      </c>
      <c r="CJ9" s="24" t="n"/>
      <c r="CK9" s="24" t="n"/>
      <c r="CL9" s="24" t="n"/>
      <c r="CM9" s="24" t="n"/>
      <c r="CN9" s="24" t="n"/>
      <c r="CO9" s="24" t="n"/>
      <c r="CP9" s="24" t="n"/>
      <c r="CQ9" s="24" t="n"/>
      <c r="CR9" s="24" t="n"/>
      <c r="CS9" s="24" t="n"/>
    </row>
    <row r="10" ht="36" customHeight="1">
      <c r="A10" s="24" t="inlineStr">
        <is>
          <t>18fa1289f8ca42ca</t>
        </is>
      </c>
      <c r="B10" s="24" t="inlineStr">
        <is>
          <t>2026-07-30T21:07:38.996144Z</t>
        </is>
      </c>
      <c r="C10" s="24" t="inlineStr">
        <is>
          <t>2026-07-30T20:00:00-0400</t>
        </is>
      </c>
      <c r="D10" s="24" t="inlineStr">
        <is>
          <t>401857100</t>
        </is>
      </c>
      <c r="E10" s="24" t="inlineStr">
        <is>
          <t>WNBA</t>
        </is>
      </c>
      <c r="F10" s="24" t="inlineStr">
        <is>
          <t>Connecticut Sun</t>
        </is>
      </c>
      <c r="G10" s="24" t="inlineStr">
        <is>
          <t>Chicago Sky</t>
        </is>
      </c>
      <c r="H10" s="24" t="inlineStr">
        <is>
          <t>moneyline</t>
        </is>
      </c>
      <c r="I10" s="24" t="inlineStr">
        <is>
          <t>home</t>
        </is>
      </c>
      <c r="J10" s="25" t="n"/>
      <c r="K10" s="24" t="inlineStr">
        <is>
          <t>polymarket_us</t>
        </is>
      </c>
      <c r="L10" s="26" t="n">
        <v>-194</v>
      </c>
      <c r="M10" s="27" t="n">
        <v>1.515464</v>
      </c>
      <c r="N10" s="28" t="n">
        <v>0.659864</v>
      </c>
      <c r="O10" s="28" t="n">
        <v>0.670401</v>
      </c>
      <c r="P10" s="28" t="n"/>
      <c r="Q10" s="28" t="n">
        <v>0.010537</v>
      </c>
      <c r="R10" s="26" t="n">
        <v>28</v>
      </c>
      <c r="S10" s="29" t="n">
        <v>2</v>
      </c>
      <c r="T10" s="24" t="inlineStr">
        <is>
          <t>wnba-elo-trend-lr-v4</t>
        </is>
      </c>
      <c r="U10" s="24" t="inlineStr">
        <is>
          <t>settled</t>
        </is>
      </c>
      <c r="V10" s="24" t="inlineStr">
        <is>
          <t>win</t>
        </is>
      </c>
      <c r="W10" s="26" t="n">
        <v>88</v>
      </c>
      <c r="X10" s="26" t="n">
        <v>94</v>
      </c>
      <c r="Y10" s="25" t="n"/>
      <c r="Z10" s="26" t="n"/>
      <c r="AA10" s="28" t="n"/>
      <c r="AB10" s="28" t="n"/>
      <c r="AC10" s="30" t="n">
        <v>1.0309</v>
      </c>
      <c r="AD10" s="24" t="inlineStr">
        <is>
          <t>2026-07-31T04:29:20.464220Z</t>
        </is>
      </c>
      <c r="AE10" s="31" t="inlineStr">
        <is>
          <t>Learned LR call at threshold 0.5001; executable ask 0.6600 (aec-wnba-conn-chi-2026-07-30); model edge vs ask +0.0104. NOTE: wnba_availability_source_conflict unavailable for this game — defaulted to neutral, other features used normally.</t>
        </is>
      </c>
      <c r="AF10" s="31" t="inlineStr">
        <is>
          <t>Learned model; shadow-qualified via operator override.</t>
        </is>
      </c>
      <c r="AG10" s="24" t="inlineStr">
        <is>
          <t>not_applicable</t>
        </is>
      </c>
      <c r="AH10" s="24" t="n"/>
      <c r="AI10" s="31" t="n"/>
      <c r="AJ10" s="31" t="n"/>
      <c r="AK10" s="24" t="inlineStr">
        <is>
          <t>model_qualified</t>
        </is>
      </c>
      <c r="AL10" s="26" t="n">
        <v>3</v>
      </c>
      <c r="AM10" s="24" t="inlineStr">
        <is>
          <t>QUALIFIED_SHADOW_CALL</t>
        </is>
      </c>
      <c r="AN10" s="24" t="inlineStr">
        <is>
          <t>CALL</t>
        </is>
      </c>
      <c r="AO10" s="24" t="inlineStr">
        <is>
          <t>QUALIFIED</t>
        </is>
      </c>
      <c r="AP10" s="24" t="inlineStr">
        <is>
          <t>wnba-con</t>
        </is>
      </c>
      <c r="AQ10" s="24" t="inlineStr">
        <is>
          <t>Connecticut Sun</t>
        </is>
      </c>
      <c r="AR10" s="24" t="inlineStr">
        <is>
          <t>Connecticut Sun</t>
        </is>
      </c>
      <c r="AS10" s="24" t="inlineStr">
        <is>
          <t>wnba-chi</t>
        </is>
      </c>
      <c r="AT10" s="24" t="inlineStr">
        <is>
          <t>Chicago Sky</t>
        </is>
      </c>
      <c r="AU10" s="24" t="inlineStr">
        <is>
          <t>Chicago Sky</t>
        </is>
      </c>
      <c r="AV10" s="24" t="n"/>
      <c r="AW10" s="24" t="n"/>
      <c r="AX10" s="24" t="inlineStr">
        <is>
          <t>statistical_model</t>
        </is>
      </c>
      <c r="AY10" s="24" t="n"/>
      <c r="AZ10" s="24" t="inlineStr">
        <is>
          <t>shadow_qualified</t>
        </is>
      </c>
      <c r="BA10" s="24" t="inlineStr">
        <is>
          <t>7afd5274214b58b7efd7f7febc7be3ab33b92351cda5cc6403c0a39faea0cc8c</t>
        </is>
      </c>
      <c r="BB10" s="24" t="inlineStr">
        <is>
          <t>learned_lr</t>
        </is>
      </c>
      <c r="BC10" s="24" t="inlineStr">
        <is>
          <t>wnba-elo-trend-lr-v4</t>
        </is>
      </c>
      <c r="BD10" s="24" t="inlineStr">
        <is>
          <t>7afd5274214b58b7efd7f7febc7be3ab33b92351cda5cc6403c0a39faea0cc8c</t>
        </is>
      </c>
      <c r="BE10" s="24" t="inlineStr">
        <is>
          <t>de1d675da66b275e</t>
        </is>
      </c>
      <c r="BF10" s="24" t="inlineStr">
        <is>
          <t>1</t>
        </is>
      </c>
      <c r="BG10" s="24" t="inlineStr">
        <is>
          <t>wnba-elo-trend-lr-v4</t>
        </is>
      </c>
      <c r="BH10" s="24" t="inlineStr">
        <is>
          <t>2026-07-30T21:07:18.309580Z</t>
        </is>
      </c>
      <c r="BI10" s="24" t="inlineStr">
        <is>
          <t>["same_event","same_team_same_day","same_league_same_day"]</t>
        </is>
      </c>
      <c r="BJ10" s="25" t="n"/>
      <c r="BK10" s="26" t="n">
        <v>-194</v>
      </c>
      <c r="BL10" s="27" t="n">
        <v>1.515464</v>
      </c>
      <c r="BM10" s="28" t="n">
        <v>0.659864</v>
      </c>
      <c r="BN10" s="28" t="n">
        <v>0.653465</v>
      </c>
      <c r="BO10" s="28" t="n"/>
      <c r="BP10" s="25" t="n"/>
      <c r="BQ10" s="27" t="n"/>
      <c r="BR10" s="28" t="n"/>
      <c r="BS10" s="28" t="n"/>
      <c r="BT10" s="28" t="n"/>
      <c r="BU10" s="25" t="n"/>
      <c r="BV10" s="29" t="n"/>
      <c r="BW10" s="24" t="n"/>
      <c r="BX10" s="30" t="n"/>
      <c r="BY10" s="27" t="n"/>
      <c r="BZ10" s="24" t="n"/>
      <c r="CA10" s="31" t="n"/>
      <c r="CB10" s="24" t="n"/>
      <c r="CC10" s="24" t="inlineStr">
        <is>
          <t>0.6616868073</t>
        </is>
      </c>
      <c r="CD10" s="24" t="inlineStr">
        <is>
          <t>5.467445</t>
        </is>
      </c>
      <c r="CE10" s="24" t="n"/>
      <c r="CF10" s="24" t="n"/>
      <c r="CG10" s="24" t="n"/>
      <c r="CH10" s="24" t="n"/>
      <c r="CI10" s="24" t="inlineStr">
        <is>
          <t>wnba_availability_source_conflict</t>
        </is>
      </c>
      <c r="CJ10" s="24" t="n"/>
      <c r="CK10" s="24" t="n"/>
      <c r="CL10" s="24" t="n"/>
      <c r="CM10" s="24" t="n"/>
      <c r="CN10" s="24" t="n"/>
      <c r="CO10" s="24" t="n"/>
      <c r="CP10" s="24" t="n"/>
      <c r="CQ10" s="24" t="n"/>
      <c r="CR10" s="24" t="n"/>
      <c r="CS10" s="24" t="n"/>
    </row>
    <row r="11" ht="36" customHeight="1">
      <c r="A11" s="24" t="inlineStr">
        <is>
          <t>826fb2a467984162</t>
        </is>
      </c>
      <c r="B11" s="24" t="inlineStr">
        <is>
          <t>2026-07-31T00:56:17.350684Z</t>
        </is>
      </c>
      <c r="C11" s="24" t="inlineStr">
        <is>
          <t>2026-07-30T22:00:00-0400</t>
        </is>
      </c>
      <c r="D11" s="24" t="inlineStr">
        <is>
          <t>401857101</t>
        </is>
      </c>
      <c r="E11" s="24" t="inlineStr">
        <is>
          <t>WNBA</t>
        </is>
      </c>
      <c r="F11" s="24" t="inlineStr">
        <is>
          <t>New York Liberty</t>
        </is>
      </c>
      <c r="G11" s="24" t="inlineStr">
        <is>
          <t>Las Vegas Aces</t>
        </is>
      </c>
      <c r="H11" s="24" t="inlineStr">
        <is>
          <t>moneyline</t>
        </is>
      </c>
      <c r="I11" s="24" t="inlineStr">
        <is>
          <t>home</t>
        </is>
      </c>
      <c r="J11" s="25" t="n"/>
      <c r="K11" s="24" t="inlineStr">
        <is>
          <t>polymarket_us</t>
        </is>
      </c>
      <c r="L11" s="26" t="n">
        <v>-178</v>
      </c>
      <c r="M11" s="27" t="n">
        <v>1.561798</v>
      </c>
      <c r="N11" s="28" t="n">
        <v>0.640288</v>
      </c>
      <c r="O11" s="28" t="n">
        <v>0.615328</v>
      </c>
      <c r="P11" s="28" t="n"/>
      <c r="Q11" s="28" t="n">
        <v>-0.02496</v>
      </c>
      <c r="R11" s="26" t="n">
        <v>11</v>
      </c>
      <c r="S11" s="29" t="n">
        <v>1.75</v>
      </c>
      <c r="T11" s="24" t="inlineStr">
        <is>
          <t>wnba-elo-trend-lr-v4</t>
        </is>
      </c>
      <c r="U11" s="24" t="inlineStr">
        <is>
          <t>settled</t>
        </is>
      </c>
      <c r="V11" s="24" t="inlineStr">
        <is>
          <t>win</t>
        </is>
      </c>
      <c r="W11" s="26" t="n">
        <v>99</v>
      </c>
      <c r="X11" s="26" t="n">
        <v>104</v>
      </c>
      <c r="Y11" s="25" t="n"/>
      <c r="Z11" s="26" t="n"/>
      <c r="AA11" s="28" t="n"/>
      <c r="AB11" s="28" t="n"/>
      <c r="AC11" s="30" t="n">
        <v>0.9831</v>
      </c>
      <c r="AD11" s="24" t="inlineStr">
        <is>
          <t>2026-07-31T04:29:22.183741Z</t>
        </is>
      </c>
      <c r="AE11" s="31" t="inlineStr">
        <is>
          <t>Learned LR call at threshold 0.5001; executable ask 0.6400 (aec-wnba-ny-lv-2026-07-30); model edge vs ask -0.0247. NOTE: wnba_availability_source_conflict unavailable for this game — defaulted to neutral, other features used normally.</t>
        </is>
      </c>
      <c r="AF11" s="31" t="inlineStr">
        <is>
          <t>Learned model; shadow-qualified via operator override.</t>
        </is>
      </c>
      <c r="AG11" s="24" t="inlineStr">
        <is>
          <t>not_applicable</t>
        </is>
      </c>
      <c r="AH11" s="24" t="n"/>
      <c r="AI11" s="31" t="n"/>
      <c r="AJ11" s="31" t="n"/>
      <c r="AK11" s="24" t="inlineStr">
        <is>
          <t>model_qualified</t>
        </is>
      </c>
      <c r="AL11" s="26" t="n">
        <v>3</v>
      </c>
      <c r="AM11" s="24" t="inlineStr">
        <is>
          <t>QUALIFIED_SHADOW_CALL</t>
        </is>
      </c>
      <c r="AN11" s="24" t="inlineStr">
        <is>
          <t>CALL</t>
        </is>
      </c>
      <c r="AO11" s="24" t="inlineStr">
        <is>
          <t>QUALIFIED</t>
        </is>
      </c>
      <c r="AP11" s="24" t="inlineStr">
        <is>
          <t>wnba-nyl</t>
        </is>
      </c>
      <c r="AQ11" s="24" t="inlineStr">
        <is>
          <t>New York Liberty</t>
        </is>
      </c>
      <c r="AR11" s="24" t="inlineStr">
        <is>
          <t>New York Liberty</t>
        </is>
      </c>
      <c r="AS11" s="24" t="inlineStr">
        <is>
          <t>wnba-lva</t>
        </is>
      </c>
      <c r="AT11" s="24" t="inlineStr">
        <is>
          <t>Las Vegas Aces</t>
        </is>
      </c>
      <c r="AU11" s="24" t="inlineStr">
        <is>
          <t>Las Vegas Aces</t>
        </is>
      </c>
      <c r="AV11" s="24" t="n"/>
      <c r="AW11" s="24" t="n"/>
      <c r="AX11" s="24" t="inlineStr">
        <is>
          <t>statistical_model</t>
        </is>
      </c>
      <c r="AY11" s="24" t="n"/>
      <c r="AZ11" s="24" t="inlineStr">
        <is>
          <t>shadow_qualified</t>
        </is>
      </c>
      <c r="BA11" s="24" t="inlineStr">
        <is>
          <t>7afd5274214b58b7efd7f7febc7be3ab33b92351cda5cc6403c0a39faea0cc8c</t>
        </is>
      </c>
      <c r="BB11" s="24" t="inlineStr">
        <is>
          <t>learned_lr</t>
        </is>
      </c>
      <c r="BC11" s="24" t="inlineStr">
        <is>
          <t>wnba-elo-trend-lr-v4</t>
        </is>
      </c>
      <c r="BD11" s="24" t="inlineStr">
        <is>
          <t>7afd5274214b58b7efd7f7febc7be3ab33b92351cda5cc6403c0a39faea0cc8c</t>
        </is>
      </c>
      <c r="BE11" s="24" t="inlineStr">
        <is>
          <t>181554924d3d25f6</t>
        </is>
      </c>
      <c r="BF11" s="24" t="inlineStr">
        <is>
          <t>1</t>
        </is>
      </c>
      <c r="BG11" s="24" t="inlineStr">
        <is>
          <t>wnba-elo-trend-lr-v4</t>
        </is>
      </c>
      <c r="BH11" s="24" t="inlineStr">
        <is>
          <t>2026-07-31T00:56:07.048062Z</t>
        </is>
      </c>
      <c r="BI11" s="24" t="inlineStr">
        <is>
          <t>["same_event","same_team_same_day","same_league_same_day"]</t>
        </is>
      </c>
      <c r="BJ11" s="25" t="n"/>
      <c r="BK11" s="26" t="n">
        <v>-178</v>
      </c>
      <c r="BL11" s="27" t="n">
        <v>1.561798</v>
      </c>
      <c r="BM11" s="28" t="n">
        <v>0.640288</v>
      </c>
      <c r="BN11" s="28" t="n">
        <v>0.633663</v>
      </c>
      <c r="BO11" s="28" t="n"/>
      <c r="BP11" s="25" t="n"/>
      <c r="BQ11" s="27" t="n"/>
      <c r="BR11" s="28" t="n"/>
      <c r="BS11" s="28" t="n"/>
      <c r="BT11" s="28" t="n"/>
      <c r="BU11" s="25" t="n"/>
      <c r="BV11" s="29" t="n"/>
      <c r="BW11" s="24" t="n"/>
      <c r="BX11" s="30" t="n"/>
      <c r="BY11" s="27" t="n"/>
      <c r="BZ11" s="24" t="n"/>
      <c r="CA11" s="31" t="n"/>
      <c r="CB11" s="24" t="n"/>
      <c r="CC11" s="24" t="inlineStr">
        <is>
          <t>0.6511069872</t>
        </is>
      </c>
      <c r="CD11" s="24" t="inlineStr">
        <is>
          <t>-4.276653</t>
        </is>
      </c>
      <c r="CE11" s="24" t="n"/>
      <c r="CF11" s="24" t="n"/>
      <c r="CG11" s="24" t="n"/>
      <c r="CH11" s="24" t="n"/>
      <c r="CI11" s="24" t="inlineStr">
        <is>
          <t>wnba_availability_source_conflict</t>
        </is>
      </c>
      <c r="CJ11" s="24" t="n"/>
      <c r="CK11" s="24" t="n"/>
      <c r="CL11" s="24" t="n"/>
      <c r="CM11" s="24" t="n"/>
      <c r="CN11" s="24" t="n"/>
      <c r="CO11" s="24" t="n"/>
      <c r="CP11" s="24" t="n"/>
      <c r="CQ11" s="24" t="n"/>
      <c r="CR11" s="24" t="n"/>
      <c r="CS11" s="24" t="n"/>
    </row>
    <row r="12" ht="36" customHeight="1">
      <c r="A12" s="24" t="inlineStr">
        <is>
          <t>55640aa916a34dcf</t>
        </is>
      </c>
      <c r="B12" s="24" t="inlineStr">
        <is>
          <t>2026-07-31T23:29:42.171549Z</t>
        </is>
      </c>
      <c r="C12" s="24" t="inlineStr">
        <is>
          <t>2026-07-31T19:30:00-0400</t>
        </is>
      </c>
      <c r="D12" s="24" t="inlineStr">
        <is>
          <t>401857102</t>
        </is>
      </c>
      <c r="E12" s="24" t="inlineStr">
        <is>
          <t>WNBA</t>
        </is>
      </c>
      <c r="F12" s="24" t="inlineStr">
        <is>
          <t>Seattle Storm</t>
        </is>
      </c>
      <c r="G12" s="24" t="inlineStr">
        <is>
          <t>Atlanta Dream</t>
        </is>
      </c>
      <c r="H12" s="24" t="inlineStr">
        <is>
          <t>moneyline</t>
        </is>
      </c>
      <c r="I12" s="24" t="inlineStr">
        <is>
          <t>home</t>
        </is>
      </c>
      <c r="J12" s="25" t="n"/>
      <c r="K12" s="24" t="inlineStr">
        <is>
          <t>polymarket_us</t>
        </is>
      </c>
      <c r="L12" s="26" t="n">
        <v>-525</v>
      </c>
      <c r="M12" s="27" t="n">
        <v>1.190476</v>
      </c>
      <c r="N12" s="28" t="n">
        <v>0.84</v>
      </c>
      <c r="O12" s="28" t="n">
        <v>0.737046</v>
      </c>
      <c r="P12" s="28" t="n"/>
      <c r="Q12" s="28" t="n">
        <v>-0.102954</v>
      </c>
      <c r="R12" s="26" t="n">
        <v>0</v>
      </c>
      <c r="S12" s="29" t="n">
        <v>2</v>
      </c>
      <c r="T12" s="24" t="inlineStr">
        <is>
          <t>wnba-elo-trend-lr-v4</t>
        </is>
      </c>
      <c r="U12" s="24" t="inlineStr">
        <is>
          <t>settled</t>
        </is>
      </c>
      <c r="V12" s="24" t="inlineStr">
        <is>
          <t>win</t>
        </is>
      </c>
      <c r="W12" s="26" t="n">
        <v>89</v>
      </c>
      <c r="X12" s="26" t="n">
        <v>98</v>
      </c>
      <c r="Y12" s="25" t="n"/>
      <c r="Z12" s="26" t="n"/>
      <c r="AA12" s="28" t="n"/>
      <c r="AB12" s="28" t="n"/>
      <c r="AC12" s="30" t="n">
        <v>0.381</v>
      </c>
      <c r="AD12" s="24" t="inlineStr">
        <is>
          <t>2026-08-01T03:00:06.398841Z</t>
        </is>
      </c>
      <c r="AE12" s="31" t="inlineStr">
        <is>
          <t>Learned LR call at threshold 0.5001; executable ask 0.8400 (aec-wnba-sea-atl-2026-07-31); model edge vs ask -0.1030.</t>
        </is>
      </c>
      <c r="AF12" s="31" t="inlineStr">
        <is>
          <t>Learned model; shadow-qualified via operator override.</t>
        </is>
      </c>
      <c r="AG12" s="24" t="inlineStr">
        <is>
          <t>not_applicable</t>
        </is>
      </c>
      <c r="AH12" s="24" t="n"/>
      <c r="AI12" s="31" t="n"/>
      <c r="AJ12" s="31" t="n"/>
      <c r="AK12" s="24" t="inlineStr">
        <is>
          <t>model_qualified</t>
        </is>
      </c>
      <c r="AL12" s="26" t="n">
        <v>3</v>
      </c>
      <c r="AM12" s="24" t="inlineStr">
        <is>
          <t>QUALIFIED_SHADOW_CALL</t>
        </is>
      </c>
      <c r="AN12" s="24" t="inlineStr">
        <is>
          <t>CALL</t>
        </is>
      </c>
      <c r="AO12" s="24" t="inlineStr">
        <is>
          <t>QUALIFIED</t>
        </is>
      </c>
      <c r="AP12" s="24" t="inlineStr">
        <is>
          <t>wnba-sea</t>
        </is>
      </c>
      <c r="AQ12" s="24" t="inlineStr">
        <is>
          <t>Seattle Storm</t>
        </is>
      </c>
      <c r="AR12" s="24" t="inlineStr">
        <is>
          <t>Seattle Storm</t>
        </is>
      </c>
      <c r="AS12" s="24" t="inlineStr">
        <is>
          <t>wnba-atl</t>
        </is>
      </c>
      <c r="AT12" s="24" t="inlineStr">
        <is>
          <t>Atlanta Dream</t>
        </is>
      </c>
      <c r="AU12" s="24" t="inlineStr">
        <is>
          <t>Atlanta Dream</t>
        </is>
      </c>
      <c r="AV12" s="24" t="n"/>
      <c r="AW12" s="24" t="n"/>
      <c r="AX12" s="24" t="inlineStr">
        <is>
          <t>statistical_model</t>
        </is>
      </c>
      <c r="AY12" s="24" t="n"/>
      <c r="AZ12" s="24" t="inlineStr">
        <is>
          <t>shadow_qualified</t>
        </is>
      </c>
      <c r="BA12" s="24" t="inlineStr">
        <is>
          <t>7afd5274214b58b7efd7f7febc7be3ab33b92351cda5cc6403c0a39faea0cc8c</t>
        </is>
      </c>
      <c r="BB12" s="24" t="inlineStr">
        <is>
          <t>learned_lr</t>
        </is>
      </c>
      <c r="BC12" s="24" t="inlineStr">
        <is>
          <t>wnba-elo-trend-lr-v4</t>
        </is>
      </c>
      <c r="BD12" s="24" t="inlineStr">
        <is>
          <t>7afd5274214b58b7efd7f7febc7be3ab33b92351cda5cc6403c0a39faea0cc8c</t>
        </is>
      </c>
      <c r="BE12" s="24" t="inlineStr">
        <is>
          <t>8fdca19bc32f576a</t>
        </is>
      </c>
      <c r="BF12" s="24" t="inlineStr">
        <is>
          <t>1</t>
        </is>
      </c>
      <c r="BG12" s="24" t="inlineStr">
        <is>
          <t>wnba-elo-trend-lr-v4</t>
        </is>
      </c>
      <c r="BH12" s="24" t="inlineStr">
        <is>
          <t>2026-07-31T23:29:25.425390Z</t>
        </is>
      </c>
      <c r="BI12" s="24" t="inlineStr">
        <is>
          <t>["same_event","same_team_same_day","same_league_same_day"]</t>
        </is>
      </c>
      <c r="BJ12" s="25" t="n"/>
      <c r="BK12" s="26" t="n">
        <v>-525</v>
      </c>
      <c r="BL12" s="27" t="n">
        <v>1.190476</v>
      </c>
      <c r="BM12" s="28" t="n">
        <v>0.84</v>
      </c>
      <c r="BN12" s="28" t="n">
        <v>0.831683</v>
      </c>
      <c r="BO12" s="28" t="n"/>
      <c r="BP12" s="25" t="n"/>
      <c r="BQ12" s="27" t="n"/>
      <c r="BR12" s="28" t="n"/>
      <c r="BS12" s="28" t="n"/>
      <c r="BT12" s="28" t="n"/>
      <c r="BU12" s="25" t="n"/>
      <c r="BV12" s="29" t="n"/>
      <c r="BW12" s="24" t="n"/>
      <c r="BX12" s="30" t="n"/>
      <c r="BY12" s="27" t="n"/>
      <c r="BZ12" s="24" t="n"/>
      <c r="CA12" s="31" t="n"/>
      <c r="CB12" s="24" t="n"/>
      <c r="CC12" s="24" t="inlineStr">
        <is>
          <t>0.821319619</t>
        </is>
      </c>
      <c r="CD12" s="24" t="inlineStr">
        <is>
          <t>-5.618671</t>
        </is>
      </c>
      <c r="CE12" s="24" t="n"/>
      <c r="CF12" s="24" t="n"/>
      <c r="CG12" s="24" t="n"/>
      <c r="CH12" s="24" t="n"/>
      <c r="CI12" s="24" t="n"/>
      <c r="CJ12" s="24" t="n"/>
      <c r="CK12" s="24" t="n"/>
      <c r="CL12" s="24" t="n"/>
      <c r="CM12" s="24" t="n"/>
      <c r="CN12" s="24" t="n"/>
      <c r="CO12" s="24" t="n"/>
      <c r="CP12" s="24" t="n"/>
      <c r="CQ12" s="24" t="n"/>
      <c r="CR12" s="24" t="n"/>
      <c r="CS12" s="24" t="n"/>
    </row>
    <row r="13" ht="36" customHeight="1">
      <c r="A13" s="24" t="inlineStr">
        <is>
          <t>cd01f161ca044950</t>
        </is>
      </c>
      <c r="B13" s="24" t="inlineStr">
        <is>
          <t>2026-07-31T23:29:42.171549Z</t>
        </is>
      </c>
      <c r="C13" s="24" t="inlineStr">
        <is>
          <t>2026-07-31T19:30:00-0400</t>
        </is>
      </c>
      <c r="D13" s="24" t="inlineStr">
        <is>
          <t>401857103</t>
        </is>
      </c>
      <c r="E13" s="24" t="inlineStr">
        <is>
          <t>WNBA</t>
        </is>
      </c>
      <c r="F13" s="24" t="inlineStr">
        <is>
          <t>Dallas Wings</t>
        </is>
      </c>
      <c r="G13" s="24" t="inlineStr">
        <is>
          <t>Washington Mystics</t>
        </is>
      </c>
      <c r="H13" s="24" t="inlineStr">
        <is>
          <t>moneyline</t>
        </is>
      </c>
      <c r="I13" s="24" t="inlineStr">
        <is>
          <t>away</t>
        </is>
      </c>
      <c r="J13" s="25" t="n"/>
      <c r="K13" s="24" t="inlineStr">
        <is>
          <t>polymarket_us</t>
        </is>
      </c>
      <c r="L13" s="26" t="n">
        <v>-150</v>
      </c>
      <c r="M13" s="27" t="n">
        <v>1.666667</v>
      </c>
      <c r="N13" s="28" t="n">
        <v>0.6</v>
      </c>
      <c r="O13" s="28" t="n">
        <v>0.575648</v>
      </c>
      <c r="P13" s="28" t="n"/>
      <c r="Q13" s="28" t="n">
        <v>-0.024352</v>
      </c>
      <c r="R13" s="26" t="n">
        <v>11</v>
      </c>
      <c r="S13" s="29" t="n">
        <v>1.25</v>
      </c>
      <c r="T13" s="24" t="inlineStr">
        <is>
          <t>wnba-elo-trend-lr-v4</t>
        </is>
      </c>
      <c r="U13" s="24" t="inlineStr">
        <is>
          <t>settled</t>
        </is>
      </c>
      <c r="V13" s="24" t="inlineStr">
        <is>
          <t>loss</t>
        </is>
      </c>
      <c r="W13" s="26" t="n">
        <v>75</v>
      </c>
      <c r="X13" s="26" t="n">
        <v>81</v>
      </c>
      <c r="Y13" s="25" t="n"/>
      <c r="Z13" s="26" t="n"/>
      <c r="AA13" s="28" t="n"/>
      <c r="AB13" s="28" t="n"/>
      <c r="AC13" s="30" t="n">
        <v>-1.25</v>
      </c>
      <c r="AD13" s="24" t="inlineStr">
        <is>
          <t>2026-08-01T03:00:06.684303Z</t>
        </is>
      </c>
      <c r="AE13" s="31" t="inlineStr">
        <is>
          <t>Learned LR call at threshold 0.5001; executable ask 0.6000 (aec-wnba-dal-wsh-2026-07-31); model edge vs ask -0.0244.</t>
        </is>
      </c>
      <c r="AF13" s="31" t="inlineStr">
        <is>
          <t>Learned model; shadow-qualified via operator override.</t>
        </is>
      </c>
      <c r="AG13" s="24" t="inlineStr">
        <is>
          <t>review_required</t>
        </is>
      </c>
      <c r="AH13" s="24" t="n"/>
      <c r="AI13" s="31" t="n"/>
      <c r="AJ13" s="31" t="n"/>
      <c r="AK13" s="24" t="inlineStr">
        <is>
          <t>model_qualified</t>
        </is>
      </c>
      <c r="AL13" s="26" t="n">
        <v>3</v>
      </c>
      <c r="AM13" s="24" t="inlineStr">
        <is>
          <t>QUALIFIED_SHADOW_CALL</t>
        </is>
      </c>
      <c r="AN13" s="24" t="inlineStr">
        <is>
          <t>CALL</t>
        </is>
      </c>
      <c r="AO13" s="24" t="inlineStr">
        <is>
          <t>QUALIFIED</t>
        </is>
      </c>
      <c r="AP13" s="24" t="inlineStr">
        <is>
          <t>wnba-dal</t>
        </is>
      </c>
      <c r="AQ13" s="24" t="inlineStr">
        <is>
          <t>Dallas Wings</t>
        </is>
      </c>
      <c r="AR13" s="24" t="inlineStr">
        <is>
          <t>Dallas Wings</t>
        </is>
      </c>
      <c r="AS13" s="24" t="inlineStr">
        <is>
          <t>wnba-was</t>
        </is>
      </c>
      <c r="AT13" s="24" t="inlineStr">
        <is>
          <t>Washington Mystics</t>
        </is>
      </c>
      <c r="AU13" s="24" t="inlineStr">
        <is>
          <t>Washington Mystics</t>
        </is>
      </c>
      <c r="AV13" s="24" t="n"/>
      <c r="AW13" s="24" t="n"/>
      <c r="AX13" s="24" t="inlineStr">
        <is>
          <t>statistical_model</t>
        </is>
      </c>
      <c r="AY13" s="24" t="n"/>
      <c r="AZ13" s="24" t="inlineStr">
        <is>
          <t>shadow_qualified</t>
        </is>
      </c>
      <c r="BA13" s="24" t="inlineStr">
        <is>
          <t>7afd5274214b58b7efd7f7febc7be3ab33b92351cda5cc6403c0a39faea0cc8c</t>
        </is>
      </c>
      <c r="BB13" s="24" t="inlineStr">
        <is>
          <t>learned_lr</t>
        </is>
      </c>
      <c r="BC13" s="24" t="inlineStr">
        <is>
          <t>wnba-elo-trend-lr-v4</t>
        </is>
      </c>
      <c r="BD13" s="24" t="inlineStr">
        <is>
          <t>7afd5274214b58b7efd7f7febc7be3ab33b92351cda5cc6403c0a39faea0cc8c</t>
        </is>
      </c>
      <c r="BE13" s="24" t="inlineStr">
        <is>
          <t>0f848d940ea26816</t>
        </is>
      </c>
      <c r="BF13" s="24" t="inlineStr">
        <is>
          <t>1</t>
        </is>
      </c>
      <c r="BG13" s="24" t="inlineStr">
        <is>
          <t>wnba-elo-trend-lr-v4</t>
        </is>
      </c>
      <c r="BH13" s="24" t="inlineStr">
        <is>
          <t>2026-07-31T23:29:26.294036Z</t>
        </is>
      </c>
      <c r="BI13" s="24" t="inlineStr">
        <is>
          <t>["same_event","same_team_same_day","same_league_same_day"]</t>
        </is>
      </c>
      <c r="BJ13" s="25" t="n"/>
      <c r="BK13" s="26" t="n">
        <v>-150</v>
      </c>
      <c r="BL13" s="27" t="n">
        <v>1.666667</v>
      </c>
      <c r="BM13" s="28" t="n">
        <v>0.6</v>
      </c>
      <c r="BN13" s="28" t="n">
        <v>0.594059</v>
      </c>
      <c r="BO13" s="28" t="n"/>
      <c r="BP13" s="25" t="n"/>
      <c r="BQ13" s="27" t="n"/>
      <c r="BR13" s="28" t="n"/>
      <c r="BS13" s="28" t="n"/>
      <c r="BT13" s="28" t="n"/>
      <c r="BU13" s="25" t="n"/>
      <c r="BV13" s="29" t="n"/>
      <c r="BW13" s="24" t="n"/>
      <c r="BX13" s="30" t="n"/>
      <c r="BY13" s="27" t="n"/>
      <c r="BZ13" s="24" t="n"/>
      <c r="CA13" s="31" t="n"/>
      <c r="CB13" s="24" t="n"/>
      <c r="CC13" s="24" t="inlineStr">
        <is>
          <t>0.4036949453</t>
        </is>
      </c>
      <c r="CD13" s="24" t="inlineStr">
        <is>
          <t>-0.615194</t>
        </is>
      </c>
      <c r="CE13" s="24" t="n"/>
      <c r="CF13" s="24" t="n"/>
      <c r="CG13" s="24" t="n"/>
      <c r="CH13" s="24" t="n"/>
      <c r="CI13" s="24" t="n"/>
      <c r="CJ13" s="24" t="n"/>
      <c r="CK13" s="24" t="n"/>
      <c r="CL13" s="24" t="n"/>
      <c r="CM13" s="24" t="n"/>
      <c r="CN13" s="24" t="n"/>
      <c r="CO13" s="24" t="n"/>
      <c r="CP13" s="24" t="n"/>
      <c r="CQ13" s="24" t="n"/>
      <c r="CR13" s="24" t="n"/>
      <c r="CS13" s="24" t="n"/>
    </row>
    <row r="14" ht="36" customHeight="1">
      <c r="A14" s="24" t="inlineStr">
        <is>
          <t>f87ad21d2fcd40e3</t>
        </is>
      </c>
      <c r="B14" s="24" t="inlineStr">
        <is>
          <t>2026-07-31T23:29:42.171549Z</t>
        </is>
      </c>
      <c r="C14" s="24" t="inlineStr">
        <is>
          <t>2026-07-31T22:00:00-0400</t>
        </is>
      </c>
      <c r="D14" s="24" t="inlineStr">
        <is>
          <t>401857104</t>
        </is>
      </c>
      <c r="E14" s="24" t="inlineStr">
        <is>
          <t>WNBA</t>
        </is>
      </c>
      <c r="F14" s="24" t="inlineStr">
        <is>
          <t>Indiana Fever</t>
        </is>
      </c>
      <c r="G14" s="24" t="inlineStr">
        <is>
          <t>Portland Fire</t>
        </is>
      </c>
      <c r="H14" s="24" t="inlineStr">
        <is>
          <t>moneyline</t>
        </is>
      </c>
      <c r="I14" s="24" t="inlineStr">
        <is>
          <t>away</t>
        </is>
      </c>
      <c r="J14" s="25" t="n"/>
      <c r="K14" s="24" t="inlineStr">
        <is>
          <t>polymarket_us</t>
        </is>
      </c>
      <c r="L14" s="26" t="n">
        <v>-300</v>
      </c>
      <c r="M14" s="27" t="n">
        <v>1.333333</v>
      </c>
      <c r="N14" s="28" t="n">
        <v>0.75</v>
      </c>
      <c r="O14" s="28" t="n">
        <v>0.650826</v>
      </c>
      <c r="P14" s="28" t="n"/>
      <c r="Q14" s="28" t="n">
        <v>-0.099174</v>
      </c>
      <c r="R14" s="26" t="n">
        <v>0</v>
      </c>
      <c r="S14" s="29" t="n">
        <v>1.75</v>
      </c>
      <c r="T14" s="24" t="inlineStr">
        <is>
          <t>wnba-elo-trend-lr-v4</t>
        </is>
      </c>
      <c r="U14" s="24" t="inlineStr">
        <is>
          <t>settled</t>
        </is>
      </c>
      <c r="V14" s="24" t="inlineStr">
        <is>
          <t>win</t>
        </is>
      </c>
      <c r="W14" s="26" t="n">
        <v>112</v>
      </c>
      <c r="X14" s="26" t="n">
        <v>98</v>
      </c>
      <c r="Y14" s="25" t="n"/>
      <c r="Z14" s="26" t="n"/>
      <c r="AA14" s="28" t="n"/>
      <c r="AB14" s="28" t="n"/>
      <c r="AC14" s="30" t="n">
        <v>0.5833</v>
      </c>
      <c r="AD14" s="24" t="inlineStr">
        <is>
          <t>2026-08-01T05:33:40.859943Z</t>
        </is>
      </c>
      <c r="AE14" s="31" t="inlineStr">
        <is>
          <t>Learned LR call at threshold 0.5001; executable ask 0.7500 (aec-wnba-ind-por-2026-07-31); model edge vs ask -0.0992. NOTE: wnba_availability_source_conflict unavailable for this game — defaulted to neutral, other features used normally.</t>
        </is>
      </c>
      <c r="AF14" s="31" t="inlineStr">
        <is>
          <t>Learned model; shadow-qualified via operator override.</t>
        </is>
      </c>
      <c r="AG14" s="24" t="inlineStr">
        <is>
          <t>not_applicable</t>
        </is>
      </c>
      <c r="AH14" s="24" t="n"/>
      <c r="AI14" s="31" t="n"/>
      <c r="AJ14" s="31" t="n"/>
      <c r="AK14" s="24" t="inlineStr">
        <is>
          <t>model_qualified</t>
        </is>
      </c>
      <c r="AL14" s="26" t="n">
        <v>3</v>
      </c>
      <c r="AM14" s="24" t="inlineStr">
        <is>
          <t>QUALIFIED_SHADOW_CALL</t>
        </is>
      </c>
      <c r="AN14" s="24" t="inlineStr">
        <is>
          <t>CALL</t>
        </is>
      </c>
      <c r="AO14" s="24" t="inlineStr">
        <is>
          <t>QUALIFIED</t>
        </is>
      </c>
      <c r="AP14" s="24" t="inlineStr">
        <is>
          <t>wnba-ind</t>
        </is>
      </c>
      <c r="AQ14" s="24" t="inlineStr">
        <is>
          <t>Indiana Fever</t>
        </is>
      </c>
      <c r="AR14" s="24" t="inlineStr">
        <is>
          <t>Indiana Fever</t>
        </is>
      </c>
      <c r="AS14" s="24" t="inlineStr">
        <is>
          <t>wnba-por</t>
        </is>
      </c>
      <c r="AT14" s="24" t="inlineStr">
        <is>
          <t>Portland Fire</t>
        </is>
      </c>
      <c r="AU14" s="24" t="inlineStr">
        <is>
          <t>Portland Fire</t>
        </is>
      </c>
      <c r="AV14" s="24" t="n"/>
      <c r="AW14" s="24" t="n"/>
      <c r="AX14" s="24" t="inlineStr">
        <is>
          <t>statistical_model</t>
        </is>
      </c>
      <c r="AY14" s="24" t="n"/>
      <c r="AZ14" s="24" t="inlineStr">
        <is>
          <t>shadow_qualified</t>
        </is>
      </c>
      <c r="BA14" s="24" t="inlineStr">
        <is>
          <t>7afd5274214b58b7efd7f7febc7be3ab33b92351cda5cc6403c0a39faea0cc8c</t>
        </is>
      </c>
      <c r="BB14" s="24" t="inlineStr">
        <is>
          <t>learned_lr</t>
        </is>
      </c>
      <c r="BC14" s="24" t="inlineStr">
        <is>
          <t>wnba-elo-trend-lr-v4</t>
        </is>
      </c>
      <c r="BD14" s="24" t="inlineStr">
        <is>
          <t>7afd5274214b58b7efd7f7febc7be3ab33b92351cda5cc6403c0a39faea0cc8c</t>
        </is>
      </c>
      <c r="BE14" s="24" t="inlineStr">
        <is>
          <t>bcb9c02760c21728</t>
        </is>
      </c>
      <c r="BF14" s="24" t="inlineStr">
        <is>
          <t>1</t>
        </is>
      </c>
      <c r="BG14" s="24" t="inlineStr">
        <is>
          <t>wnba-elo-trend-lr-v4</t>
        </is>
      </c>
      <c r="BH14" s="24" t="inlineStr">
        <is>
          <t>2026-07-31T23:29:27.325378Z</t>
        </is>
      </c>
      <c r="BI14" s="24" t="inlineStr">
        <is>
          <t>["same_event","same_team_same_day","same_league_same_day"]</t>
        </is>
      </c>
      <c r="BJ14" s="25" t="n"/>
      <c r="BK14" s="26" t="n">
        <v>-300</v>
      </c>
      <c r="BL14" s="27" t="n">
        <v>1.333333</v>
      </c>
      <c r="BM14" s="28" t="n">
        <v>0.75</v>
      </c>
      <c r="BN14" s="28" t="n">
        <v>0.742574</v>
      </c>
      <c r="BO14" s="28" t="n"/>
      <c r="BP14" s="25" t="n"/>
      <c r="BQ14" s="27" t="n"/>
      <c r="BR14" s="28" t="n"/>
      <c r="BS14" s="28" t="n"/>
      <c r="BT14" s="28" t="n"/>
      <c r="BU14" s="25" t="n"/>
      <c r="BV14" s="29" t="n"/>
      <c r="BW14" s="24" t="n"/>
      <c r="BX14" s="30" t="n"/>
      <c r="BY14" s="27" t="n"/>
      <c r="BZ14" s="24" t="n"/>
      <c r="CA14" s="31" t="n"/>
      <c r="CB14" s="24" t="n"/>
      <c r="CC14" s="24" t="inlineStr">
        <is>
          <t>0.2910587699</t>
        </is>
      </c>
      <c r="CD14" s="24" t="inlineStr">
        <is>
          <t>-7.416658</t>
        </is>
      </c>
      <c r="CE14" s="24" t="n"/>
      <c r="CF14" s="24" t="n"/>
      <c r="CG14" s="24" t="n"/>
      <c r="CH14" s="24" t="n"/>
      <c r="CI14" s="24" t="inlineStr">
        <is>
          <t>wnba_availability_source_conflict</t>
        </is>
      </c>
      <c r="CJ14" s="24" t="n"/>
      <c r="CK14" s="24" t="n"/>
      <c r="CL14" s="24" t="n"/>
      <c r="CM14" s="24" t="n"/>
      <c r="CN14" s="24" t="n"/>
      <c r="CO14" s="24" t="n"/>
      <c r="CP14" s="24" t="n"/>
      <c r="CQ14" s="24" t="n"/>
      <c r="CR14" s="24" t="n"/>
      <c r="CS14" s="24" t="n"/>
    </row>
    <row r="15" ht="36" customHeight="1">
      <c r="A15" s="24" t="inlineStr">
        <is>
          <t>3714d2fbafec4e5d</t>
        </is>
      </c>
      <c r="B15" s="24" t="inlineStr">
        <is>
          <t>2026-08-01T16:50:21.394933Z</t>
        </is>
      </c>
      <c r="C15" s="24" t="inlineStr">
        <is>
          <t>2026-08-01T13:00:00-0400</t>
        </is>
      </c>
      <c r="D15" s="24" t="inlineStr">
        <is>
          <t>401857105</t>
        </is>
      </c>
      <c r="E15" s="24" t="inlineStr">
        <is>
          <t>WNBA</t>
        </is>
      </c>
      <c r="F15" s="24" t="inlineStr">
        <is>
          <t>Las Vegas Aces</t>
        </is>
      </c>
      <c r="G15" s="24" t="inlineStr">
        <is>
          <t>Chicago Sky</t>
        </is>
      </c>
      <c r="H15" s="24" t="inlineStr">
        <is>
          <t>moneyline</t>
        </is>
      </c>
      <c r="I15" s="24" t="inlineStr">
        <is>
          <t>away</t>
        </is>
      </c>
      <c r="J15" s="25" t="n"/>
      <c r="K15" s="24" t="inlineStr">
        <is>
          <t>polymarket_us</t>
        </is>
      </c>
      <c r="L15" s="26" t="n">
        <v>-245</v>
      </c>
      <c r="M15" s="27" t="n">
        <v>1.408163</v>
      </c>
      <c r="N15" s="28" t="n">
        <v>0.710145</v>
      </c>
      <c r="O15" s="28" t="n">
        <v>0.646163</v>
      </c>
      <c r="P15" s="28" t="n"/>
      <c r="Q15" s="28" t="n">
        <v>-0.063982</v>
      </c>
      <c r="R15" s="26" t="n">
        <v>0</v>
      </c>
      <c r="S15" s="29" t="n">
        <v>1.75</v>
      </c>
      <c r="T15" s="24" t="inlineStr">
        <is>
          <t>wnba-elo-trend-lr-v4</t>
        </is>
      </c>
      <c r="U15" s="24" t="inlineStr">
        <is>
          <t>settled</t>
        </is>
      </c>
      <c r="V15" s="24" t="inlineStr">
        <is>
          <t>loss</t>
        </is>
      </c>
      <c r="W15" s="26" t="n">
        <v>83</v>
      </c>
      <c r="X15" s="26" t="n">
        <v>84</v>
      </c>
      <c r="Y15" s="25" t="n"/>
      <c r="Z15" s="26" t="n"/>
      <c r="AA15" s="28" t="n"/>
      <c r="AB15" s="28" t="n"/>
      <c r="AC15" s="30" t="n">
        <v>-1.75</v>
      </c>
      <c r="AD15" s="24" t="inlineStr">
        <is>
          <t>2026-08-01T20:13:05.677373Z</t>
        </is>
      </c>
      <c r="AE15" s="31" t="inlineStr">
        <is>
          <t>Learned LR call at threshold 0.5001; executable ask 0.7100 (aec-wnba-lv-chi-2026-08-01); model edge vs ask -0.0638.</t>
        </is>
      </c>
      <c r="AF15" s="31" t="inlineStr">
        <is>
          <t>Learned model; shadow-qualified via operator override.</t>
        </is>
      </c>
      <c r="AG15" s="24" t="inlineStr">
        <is>
          <t>review_required</t>
        </is>
      </c>
      <c r="AH15" s="24" t="n"/>
      <c r="AI15" s="31" t="n"/>
      <c r="AJ15" s="31" t="n"/>
      <c r="AK15" s="24" t="inlineStr">
        <is>
          <t>model_qualified</t>
        </is>
      </c>
      <c r="AL15" s="26" t="n">
        <v>3</v>
      </c>
      <c r="AM15" s="24" t="inlineStr">
        <is>
          <t>QUALIFIED_SHADOW_CALL</t>
        </is>
      </c>
      <c r="AN15" s="24" t="inlineStr">
        <is>
          <t>CALL</t>
        </is>
      </c>
      <c r="AO15" s="24" t="inlineStr">
        <is>
          <t>QUALIFIED</t>
        </is>
      </c>
      <c r="AP15" s="24" t="inlineStr">
        <is>
          <t>wnba-lva</t>
        </is>
      </c>
      <c r="AQ15" s="24" t="inlineStr">
        <is>
          <t>Las Vegas Aces</t>
        </is>
      </c>
      <c r="AR15" s="24" t="inlineStr">
        <is>
          <t>Las Vegas Aces</t>
        </is>
      </c>
      <c r="AS15" s="24" t="inlineStr">
        <is>
          <t>wnba-chi</t>
        </is>
      </c>
      <c r="AT15" s="24" t="inlineStr">
        <is>
          <t>Chicago Sky</t>
        </is>
      </c>
      <c r="AU15" s="24" t="inlineStr">
        <is>
          <t>Chicago Sky</t>
        </is>
      </c>
      <c r="AV15" s="24" t="n"/>
      <c r="AW15" s="24" t="n"/>
      <c r="AX15" s="24" t="inlineStr">
        <is>
          <t>statistical_model</t>
        </is>
      </c>
      <c r="AY15" s="24" t="n"/>
      <c r="AZ15" s="24" t="inlineStr">
        <is>
          <t>shadow_qualified</t>
        </is>
      </c>
      <c r="BA15" s="24" t="inlineStr">
        <is>
          <t>7afd5274214b58b7efd7f7febc7be3ab33b92351cda5cc6403c0a39faea0cc8c</t>
        </is>
      </c>
      <c r="BB15" s="24" t="inlineStr">
        <is>
          <t>learned_lr</t>
        </is>
      </c>
      <c r="BC15" s="24" t="inlineStr">
        <is>
          <t>wnba-elo-trend-lr-v4</t>
        </is>
      </c>
      <c r="BD15" s="24" t="inlineStr">
        <is>
          <t>7afd5274214b58b7efd7f7febc7be3ab33b92351cda5cc6403c0a39faea0cc8c</t>
        </is>
      </c>
      <c r="BE15" s="24" t="inlineStr">
        <is>
          <t>51a2c72f2e141b8b</t>
        </is>
      </c>
      <c r="BF15" s="24" t="inlineStr">
        <is>
          <t>1</t>
        </is>
      </c>
      <c r="BG15" s="24" t="inlineStr">
        <is>
          <t>wnba-elo-trend-lr-v4</t>
        </is>
      </c>
      <c r="BH15" s="24" t="inlineStr">
        <is>
          <t>2026-08-01T16:49:04.221920Z</t>
        </is>
      </c>
      <c r="BI15" s="24" t="inlineStr">
        <is>
          <t>["same_event","same_team_same_day","same_league_same_day"]</t>
        </is>
      </c>
      <c r="BJ15" s="25" t="n"/>
      <c r="BK15" s="26" t="n">
        <v>-245</v>
      </c>
      <c r="BL15" s="27" t="n">
        <v>1.408163</v>
      </c>
      <c r="BM15" s="28" t="n">
        <v>0.710145</v>
      </c>
      <c r="BN15" s="28" t="n">
        <v>0.70297</v>
      </c>
      <c r="BO15" s="28" t="n"/>
      <c r="BP15" s="25" t="n"/>
      <c r="BQ15" s="27" t="n"/>
      <c r="BR15" s="28" t="n"/>
      <c r="BS15" s="28" t="n"/>
      <c r="BT15" s="28" t="n"/>
      <c r="BU15" s="25" t="n"/>
      <c r="BV15" s="29" t="n"/>
      <c r="BW15" s="24" t="n"/>
      <c r="BX15" s="30" t="n"/>
      <c r="BY15" s="27" t="n"/>
      <c r="BZ15" s="24" t="n"/>
      <c r="CA15" s="31" t="n"/>
      <c r="CB15" s="24" t="n"/>
      <c r="CC15" s="24" t="inlineStr">
        <is>
          <t>0.317202935</t>
        </is>
      </c>
      <c r="CD15" s="24" t="inlineStr">
        <is>
          <t>4.001837</t>
        </is>
      </c>
      <c r="CE15" s="24" t="n"/>
      <c r="CF15" s="24" t="n"/>
      <c r="CG15" s="24" t="n"/>
      <c r="CH15" s="24" t="n"/>
      <c r="CI15" s="24" t="n"/>
      <c r="CJ15" s="24" t="n"/>
      <c r="CK15" s="24" t="n"/>
      <c r="CL15" s="24" t="n"/>
      <c r="CM15" s="24" t="n"/>
      <c r="CN15" s="24" t="n"/>
      <c r="CO15" s="24" t="n"/>
      <c r="CP15" s="24" t="n"/>
      <c r="CQ15" s="24" t="n"/>
      <c r="CR15" s="24" t="n"/>
      <c r="CS15" s="24" t="n"/>
    </row>
    <row r="16" ht="36" customHeight="1">
      <c r="A16" s="24" t="inlineStr">
        <is>
          <t>95dfdf1aeb5c4314</t>
        </is>
      </c>
      <c r="B16" s="24" t="inlineStr">
        <is>
          <t>2026-08-01T18:37:44.379324Z</t>
        </is>
      </c>
      <c r="C16" s="24" t="inlineStr">
        <is>
          <t>2026-08-01T15:00:00-0400</t>
        </is>
      </c>
      <c r="D16" s="24" t="inlineStr">
        <is>
          <t>401857106</t>
        </is>
      </c>
      <c r="E16" s="24" t="inlineStr">
        <is>
          <t>WNBA</t>
        </is>
      </c>
      <c r="F16" s="24" t="inlineStr">
        <is>
          <t>New York Liberty</t>
        </is>
      </c>
      <c r="G16" s="24" t="inlineStr">
        <is>
          <t>Phoenix Mercury</t>
        </is>
      </c>
      <c r="H16" s="24" t="inlineStr">
        <is>
          <t>moneyline</t>
        </is>
      </c>
      <c r="I16" s="24" t="inlineStr">
        <is>
          <t>away</t>
        </is>
      </c>
      <c r="J16" s="25" t="n"/>
      <c r="K16" s="24" t="inlineStr">
        <is>
          <t>polymarket_us</t>
        </is>
      </c>
      <c r="L16" s="26" t="n">
        <v>-144</v>
      </c>
      <c r="M16" s="27" t="n">
        <v>1.694444</v>
      </c>
      <c r="N16" s="28" t="n">
        <v>0.590164</v>
      </c>
      <c r="O16" s="28" t="n">
        <v>0.568764</v>
      </c>
      <c r="P16" s="28" t="n"/>
      <c r="Q16" s="28" t="n">
        <v>-0.0214</v>
      </c>
      <c r="R16" s="26" t="n">
        <v>12</v>
      </c>
      <c r="S16" s="29" t="n">
        <v>1.25</v>
      </c>
      <c r="T16" s="24" t="inlineStr">
        <is>
          <t>wnba-elo-trend-lr-v4</t>
        </is>
      </c>
      <c r="U16" s="24" t="inlineStr">
        <is>
          <t>settled</t>
        </is>
      </c>
      <c r="V16" s="24" t="inlineStr">
        <is>
          <t>win</t>
        </is>
      </c>
      <c r="W16" s="26" t="n">
        <v>94</v>
      </c>
      <c r="X16" s="26" t="n">
        <v>92</v>
      </c>
      <c r="Y16" s="25" t="n"/>
      <c r="Z16" s="26" t="n"/>
      <c r="AA16" s="28" t="n"/>
      <c r="AB16" s="28" t="n"/>
      <c r="AC16" s="30" t="n">
        <v>0.8681</v>
      </c>
      <c r="AD16" s="24" t="inlineStr">
        <is>
          <t>2026-08-01T21:25:18.148772Z</t>
        </is>
      </c>
      <c r="AE16" s="31" t="inlineStr">
        <is>
          <t>Learned LR call at threshold 0.5001; executable ask 0.5900 (aec-wnba-ny-phx-2026-08-01); model edge vs ask -0.0212. NOTE: NO_CALL_AVAILABILITY_PLAYER_UNMAPPED unavailable for this game — defaulted to neutral, other features used normally.</t>
        </is>
      </c>
      <c r="AF16" s="31" t="inlineStr">
        <is>
          <t>Learned model; shadow-qualified via operator override.</t>
        </is>
      </c>
      <c r="AG16" s="24" t="inlineStr">
        <is>
          <t>not_applicable</t>
        </is>
      </c>
      <c r="AH16" s="24" t="n"/>
      <c r="AI16" s="31" t="n"/>
      <c r="AJ16" s="31" t="n"/>
      <c r="AK16" s="24" t="inlineStr">
        <is>
          <t>model_qualified</t>
        </is>
      </c>
      <c r="AL16" s="26" t="n">
        <v>3</v>
      </c>
      <c r="AM16" s="24" t="inlineStr">
        <is>
          <t>QUALIFIED_SHADOW_CALL</t>
        </is>
      </c>
      <c r="AN16" s="24" t="inlineStr">
        <is>
          <t>CALL</t>
        </is>
      </c>
      <c r="AO16" s="24" t="inlineStr">
        <is>
          <t>QUALIFIED</t>
        </is>
      </c>
      <c r="AP16" s="24" t="inlineStr">
        <is>
          <t>wnba-nyl</t>
        </is>
      </c>
      <c r="AQ16" s="24" t="inlineStr">
        <is>
          <t>New York Liberty</t>
        </is>
      </c>
      <c r="AR16" s="24" t="inlineStr">
        <is>
          <t>New York Liberty</t>
        </is>
      </c>
      <c r="AS16" s="24" t="inlineStr">
        <is>
          <t>wnba-phx</t>
        </is>
      </c>
      <c r="AT16" s="24" t="inlineStr">
        <is>
          <t>Phoenix Mercury</t>
        </is>
      </c>
      <c r="AU16" s="24" t="inlineStr">
        <is>
          <t>Phoenix Mercury</t>
        </is>
      </c>
      <c r="AV16" s="24" t="n"/>
      <c r="AW16" s="24" t="n"/>
      <c r="AX16" s="24" t="inlineStr">
        <is>
          <t>statistical_model</t>
        </is>
      </c>
      <c r="AY16" s="24" t="n"/>
      <c r="AZ16" s="24" t="inlineStr">
        <is>
          <t>shadow_qualified</t>
        </is>
      </c>
      <c r="BA16" s="24" t="inlineStr">
        <is>
          <t>7afd5274214b58b7efd7f7febc7be3ab33b92351cda5cc6403c0a39faea0cc8c</t>
        </is>
      </c>
      <c r="BB16" s="24" t="inlineStr">
        <is>
          <t>learned_lr</t>
        </is>
      </c>
      <c r="BC16" s="24" t="inlineStr">
        <is>
          <t>wnba-elo-trend-lr-v4</t>
        </is>
      </c>
      <c r="BD16" s="24" t="inlineStr">
        <is>
          <t>7afd5274214b58b7efd7f7febc7be3ab33b92351cda5cc6403c0a39faea0cc8c</t>
        </is>
      </c>
      <c r="BE16" s="24" t="inlineStr">
        <is>
          <t>bbef9e1b90cf700b</t>
        </is>
      </c>
      <c r="BF16" s="24" t="inlineStr">
        <is>
          <t>1</t>
        </is>
      </c>
      <c r="BG16" s="24" t="inlineStr">
        <is>
          <t>wnba-elo-trend-lr-v4</t>
        </is>
      </c>
      <c r="BH16" s="24" t="inlineStr">
        <is>
          <t>2026-08-01T18:36:36.294824Z</t>
        </is>
      </c>
      <c r="BI16" s="24" t="inlineStr">
        <is>
          <t>["same_event","same_team_same_day","same_league_same_day"]</t>
        </is>
      </c>
      <c r="BJ16" s="25" t="n"/>
      <c r="BK16" s="26" t="n">
        <v>-144</v>
      </c>
      <c r="BL16" s="27" t="n">
        <v>1.694444</v>
      </c>
      <c r="BM16" s="28" t="n">
        <v>0.590164</v>
      </c>
      <c r="BN16" s="28" t="n">
        <v>0.584158</v>
      </c>
      <c r="BO16" s="28" t="n"/>
      <c r="BP16" s="25" t="n"/>
      <c r="BQ16" s="27" t="n"/>
      <c r="BR16" s="28" t="n"/>
      <c r="BS16" s="28" t="n"/>
      <c r="BT16" s="28" t="n"/>
      <c r="BU16" s="25" t="n"/>
      <c r="BV16" s="29" t="n"/>
      <c r="BW16" s="24" t="n"/>
      <c r="BX16" s="30" t="n"/>
      <c r="BY16" s="27" t="n"/>
      <c r="BZ16" s="24" t="n"/>
      <c r="CA16" s="31" t="n"/>
      <c r="CB16" s="24" t="n"/>
      <c r="CC16" s="24" t="inlineStr">
        <is>
          <t>0.4080094464</t>
        </is>
      </c>
      <c r="CD16" s="24" t="inlineStr">
        <is>
          <t>-5.162465</t>
        </is>
      </c>
      <c r="CE16" s="24" t="n"/>
      <c r="CF16" s="24" t="n"/>
      <c r="CG16" s="24" t="n"/>
      <c r="CH16" s="24" t="n"/>
      <c r="CI16" s="24" t="inlineStr">
        <is>
          <t>NO_CALL_AVAILABILITY_PLAYER_UNMAPPED</t>
        </is>
      </c>
      <c r="CJ16" s="24" t="n"/>
      <c r="CK16" s="24" t="n"/>
      <c r="CL16" s="24" t="n"/>
      <c r="CM16" s="24" t="n"/>
      <c r="CN16" s="24" t="n"/>
      <c r="CO16" s="24" t="n"/>
      <c r="CP16" s="24" t="n"/>
      <c r="CQ16" s="24" t="n"/>
      <c r="CR16" s="24" t="n"/>
      <c r="CS16" s="24" t="n"/>
    </row>
    <row r="17" ht="36" customHeight="1">
      <c r="A17" s="24" t="inlineStr">
        <is>
          <t>406e675981464953</t>
        </is>
      </c>
      <c r="B17" s="24" t="inlineStr">
        <is>
          <t>2026-08-02T16:48:43.908788Z</t>
        </is>
      </c>
      <c r="C17" s="24" t="inlineStr">
        <is>
          <t>2026-08-02T13:00:00-0400</t>
        </is>
      </c>
      <c r="D17" s="24" t="inlineStr">
        <is>
          <t>401857107</t>
        </is>
      </c>
      <c r="E17" s="24" t="inlineStr">
        <is>
          <t>WNBA</t>
        </is>
      </c>
      <c r="F17" s="24" t="inlineStr">
        <is>
          <t>Indiana Fever</t>
        </is>
      </c>
      <c r="G17" s="24" t="inlineStr">
        <is>
          <t>Minnesota Lynx</t>
        </is>
      </c>
      <c r="H17" s="24" t="inlineStr">
        <is>
          <t>moneyline</t>
        </is>
      </c>
      <c r="I17" s="24" t="inlineStr">
        <is>
          <t>home</t>
        </is>
      </c>
      <c r="J17" s="25" t="n"/>
      <c r="K17" s="24" t="inlineStr">
        <is>
          <t>polymarket_us</t>
        </is>
      </c>
      <c r="L17" s="26" t="n">
        <v>-186</v>
      </c>
      <c r="M17" s="27" t="n">
        <v>1.537634</v>
      </c>
      <c r="N17" s="28" t="n">
        <v>0.65035</v>
      </c>
      <c r="O17" s="28" t="n">
        <v>0.643489</v>
      </c>
      <c r="P17" s="28" t="n"/>
      <c r="Q17" s="28" t="n">
        <v>-0.006861</v>
      </c>
      <c r="R17" s="26" t="n">
        <v>20</v>
      </c>
      <c r="S17" s="29" t="n">
        <v>1.5</v>
      </c>
      <c r="T17" s="24" t="inlineStr">
        <is>
          <t>wnba-elo-trend-lr-v4</t>
        </is>
      </c>
      <c r="U17" s="24" t="inlineStr">
        <is>
          <t>settled</t>
        </is>
      </c>
      <c r="V17" s="24" t="inlineStr">
        <is>
          <t>win</t>
        </is>
      </c>
      <c r="W17" s="26" t="n">
        <v>100</v>
      </c>
      <c r="X17" s="26" t="n">
        <v>108</v>
      </c>
      <c r="Y17" s="25" t="n"/>
      <c r="Z17" s="26" t="n"/>
      <c r="AA17" s="28" t="n"/>
      <c r="AB17" s="28" t="n"/>
      <c r="AC17" s="30" t="n">
        <v>0.8065</v>
      </c>
      <c r="AD17" s="24" t="inlineStr">
        <is>
          <t>2026-08-02T19:26:27.591268Z</t>
        </is>
      </c>
      <c r="AE17" s="31" t="inlineStr">
        <is>
          <t>Learned LR call at threshold 0.5001; executable ask 0.6500 (aec-wnba-ind-min-2026-08-02); model edge vs ask -0.0065. NOTE: NO_CALL_AVAILABILITY_PLAYER_UNMAPPED unavailable for this game — defaulted to neutral, other features used normally.</t>
        </is>
      </c>
      <c r="AF17" s="31" t="inlineStr">
        <is>
          <t>Learned model; shadow-qualified via operator override.</t>
        </is>
      </c>
      <c r="AG17" s="24" t="inlineStr">
        <is>
          <t>not_applicable</t>
        </is>
      </c>
      <c r="AH17" s="24" t="n"/>
      <c r="AI17" s="31" t="n"/>
      <c r="AJ17" s="31" t="n"/>
      <c r="AK17" s="24" t="inlineStr">
        <is>
          <t>model_qualified</t>
        </is>
      </c>
      <c r="AL17" s="26" t="n">
        <v>3</v>
      </c>
      <c r="AM17" s="24" t="inlineStr">
        <is>
          <t>QUALIFIED_SHADOW_CALL</t>
        </is>
      </c>
      <c r="AN17" s="24" t="inlineStr">
        <is>
          <t>CALL</t>
        </is>
      </c>
      <c r="AO17" s="24" t="inlineStr">
        <is>
          <t>QUALIFIED</t>
        </is>
      </c>
      <c r="AP17" s="24" t="inlineStr">
        <is>
          <t>wnba-ind</t>
        </is>
      </c>
      <c r="AQ17" s="24" t="inlineStr">
        <is>
          <t>Indiana Fever</t>
        </is>
      </c>
      <c r="AR17" s="24" t="inlineStr">
        <is>
          <t>Indiana Fever</t>
        </is>
      </c>
      <c r="AS17" s="24" t="inlineStr">
        <is>
          <t>wnba-min</t>
        </is>
      </c>
      <c r="AT17" s="24" t="inlineStr">
        <is>
          <t>Minnesota Lynx</t>
        </is>
      </c>
      <c r="AU17" s="24" t="inlineStr">
        <is>
          <t>Minnesota Lynx</t>
        </is>
      </c>
      <c r="AV17" s="24" t="n"/>
      <c r="AW17" s="24" t="n"/>
      <c r="AX17" s="24" t="inlineStr">
        <is>
          <t>statistical_model</t>
        </is>
      </c>
      <c r="AY17" s="24" t="n"/>
      <c r="AZ17" s="24" t="inlineStr">
        <is>
          <t>shadow_qualified</t>
        </is>
      </c>
      <c r="BA17" s="24" t="inlineStr">
        <is>
          <t>7afd5274214b58b7efd7f7febc7be3ab33b92351cda5cc6403c0a39faea0cc8c</t>
        </is>
      </c>
      <c r="BB17" s="24" t="inlineStr">
        <is>
          <t>learned_lr</t>
        </is>
      </c>
      <c r="BC17" s="24" t="inlineStr">
        <is>
          <t>wnba-elo-trend-lr-v4</t>
        </is>
      </c>
      <c r="BD17" s="24" t="inlineStr">
        <is>
          <t>7afd5274214b58b7efd7f7febc7be3ab33b92351cda5cc6403c0a39faea0cc8c</t>
        </is>
      </c>
      <c r="BE17" s="24" t="inlineStr">
        <is>
          <t>cb6d856341c7efe7</t>
        </is>
      </c>
      <c r="BF17" s="24" t="inlineStr">
        <is>
          <t>1</t>
        </is>
      </c>
      <c r="BG17" s="24" t="inlineStr">
        <is>
          <t>wnba-elo-trend-lr-v4</t>
        </is>
      </c>
      <c r="BH17" s="24" t="inlineStr">
        <is>
          <t>2026-08-02T16:47:30.539614Z</t>
        </is>
      </c>
      <c r="BI17" s="24" t="inlineStr">
        <is>
          <t>["same_event","same_team_same_day","same_league_same_day"]</t>
        </is>
      </c>
      <c r="BJ17" s="25" t="n"/>
      <c r="BK17" s="26" t="n">
        <v>-186</v>
      </c>
      <c r="BL17" s="27" t="n">
        <v>1.537634</v>
      </c>
      <c r="BM17" s="28" t="n">
        <v>0.65035</v>
      </c>
      <c r="BN17" s="28" t="n">
        <v>0.643564</v>
      </c>
      <c r="BO17" s="28" t="n"/>
      <c r="BP17" s="25" t="n"/>
      <c r="BQ17" s="27" t="n"/>
      <c r="BR17" s="28" t="n"/>
      <c r="BS17" s="28" t="n"/>
      <c r="BT17" s="28" t="n"/>
      <c r="BU17" s="25" t="n"/>
      <c r="BV17" s="29" t="n"/>
      <c r="BW17" s="24" t="n"/>
      <c r="BX17" s="30" t="n"/>
      <c r="BY17" s="27" t="n"/>
      <c r="BZ17" s="24" t="n"/>
      <c r="CA17" s="31" t="n"/>
      <c r="CB17" s="24" t="n"/>
      <c r="CC17" s="24" t="inlineStr">
        <is>
          <t>0.6810434571</t>
        </is>
      </c>
      <c r="CD17" s="24" t="inlineStr">
        <is>
          <t>-4.330577</t>
        </is>
      </c>
      <c r="CE17" s="24" t="n"/>
      <c r="CF17" s="24" t="n"/>
      <c r="CG17" s="24" t="n"/>
      <c r="CH17" s="24" t="n"/>
      <c r="CI17" s="24" t="inlineStr">
        <is>
          <t>NO_CALL_AVAILABILITY_PLAYER_UNMAPPED</t>
        </is>
      </c>
      <c r="CJ17" s="24" t="n"/>
      <c r="CK17" s="24" t="n"/>
      <c r="CL17" s="24" t="n"/>
      <c r="CM17" s="24" t="n"/>
      <c r="CN17" s="24" t="n"/>
      <c r="CO17" s="24" t="n"/>
      <c r="CP17" s="24" t="n"/>
      <c r="CQ17" s="24" t="n"/>
      <c r="CR17" s="24" t="inlineStr">
        <is>
          <t>0.643489</t>
        </is>
      </c>
      <c r="CS17" s="24" t="inlineStr">
        <is>
          <t>0</t>
        </is>
      </c>
    </row>
    <row r="18" ht="36" customHeight="1">
      <c r="A18" s="24" t="inlineStr">
        <is>
          <t>84ca57c160404cdf</t>
        </is>
      </c>
      <c r="B18" s="24" t="inlineStr">
        <is>
          <t>2026-08-02T19:28:41.982598Z</t>
        </is>
      </c>
      <c r="C18" s="24" t="inlineStr">
        <is>
          <t>2026-08-02T15:30:00-0400</t>
        </is>
      </c>
      <c r="D18" s="24" t="inlineStr">
        <is>
          <t>401857108</t>
        </is>
      </c>
      <c r="E18" s="24" t="inlineStr">
        <is>
          <t>WNBA</t>
        </is>
      </c>
      <c r="F18" s="24" t="inlineStr">
        <is>
          <t>Los Angeles Sparks</t>
        </is>
      </c>
      <c r="G18" s="24" t="inlineStr">
        <is>
          <t>Portland Fire</t>
        </is>
      </c>
      <c r="H18" s="24" t="inlineStr">
        <is>
          <t>moneyline</t>
        </is>
      </c>
      <c r="I18" s="24" t="inlineStr">
        <is>
          <t>home</t>
        </is>
      </c>
      <c r="J18" s="25" t="n"/>
      <c r="K18" s="24" t="inlineStr">
        <is>
          <t>polymarket_us</t>
        </is>
      </c>
      <c r="L18" s="26" t="n">
        <v>104</v>
      </c>
      <c r="M18" s="27" t="n">
        <v>2.04</v>
      </c>
      <c r="N18" s="28" t="n">
        <v>0.490196</v>
      </c>
      <c r="O18" s="28" t="n">
        <v>0.57112</v>
      </c>
      <c r="P18" s="28" t="n"/>
      <c r="Q18" s="28" t="n">
        <v>0.080924</v>
      </c>
      <c r="R18" s="26" t="n">
        <v>63</v>
      </c>
      <c r="S18" s="29" t="n">
        <v>1.25</v>
      </c>
      <c r="T18" s="24" t="inlineStr">
        <is>
          <t>wnba-elo-trend-lr-v4</t>
        </is>
      </c>
      <c r="U18" s="24" t="inlineStr">
        <is>
          <t>settled</t>
        </is>
      </c>
      <c r="V18" s="24" t="inlineStr">
        <is>
          <t>loss</t>
        </is>
      </c>
      <c r="W18" s="26" t="n">
        <v>106</v>
      </c>
      <c r="X18" s="26" t="n">
        <v>101</v>
      </c>
      <c r="Y18" s="25" t="n"/>
      <c r="Z18" s="26" t="n"/>
      <c r="AA18" s="28" t="n"/>
      <c r="AB18" s="28" t="n"/>
      <c r="AC18" s="30" t="n">
        <v>-1.25</v>
      </c>
      <c r="AD18" s="24" t="inlineStr">
        <is>
          <t>2026-08-02T23:12:45.737006Z</t>
        </is>
      </c>
      <c r="AE18" s="31" t="inlineStr">
        <is>
          <t>Learned LR call at threshold 0.5001; executable ask 0.4900 (aec-wnba-la-por-2026-08-02); model edge vs ask +0.0811. NOTE: NO_CALL_AVAILABILITY_PLAYER_UNMAPPED unavailable for this game — defaulted to neutral, other features used normally.</t>
        </is>
      </c>
      <c r="AF18" s="31" t="inlineStr">
        <is>
          <t>Learned model; shadow-qualified via operator override.</t>
        </is>
      </c>
      <c r="AG18" s="24" t="inlineStr">
        <is>
          <t>review_required</t>
        </is>
      </c>
      <c r="AH18" s="24" t="n"/>
      <c r="AI18" s="31" t="n"/>
      <c r="AJ18" s="31" t="n"/>
      <c r="AK18" s="24" t="inlineStr">
        <is>
          <t>model_qualified</t>
        </is>
      </c>
      <c r="AL18" s="26" t="n">
        <v>3</v>
      </c>
      <c r="AM18" s="24" t="inlineStr">
        <is>
          <t>QUALIFIED_SHADOW_CALL</t>
        </is>
      </c>
      <c r="AN18" s="24" t="inlineStr">
        <is>
          <t>CALL</t>
        </is>
      </c>
      <c r="AO18" s="24" t="inlineStr">
        <is>
          <t>QUALIFIED</t>
        </is>
      </c>
      <c r="AP18" s="24" t="inlineStr">
        <is>
          <t>wnba-las</t>
        </is>
      </c>
      <c r="AQ18" s="24" t="inlineStr">
        <is>
          <t>Los Angeles Sparks</t>
        </is>
      </c>
      <c r="AR18" s="24" t="inlineStr">
        <is>
          <t>Los Angeles Sparks</t>
        </is>
      </c>
      <c r="AS18" s="24" t="inlineStr">
        <is>
          <t>wnba-por</t>
        </is>
      </c>
      <c r="AT18" s="24" t="inlineStr">
        <is>
          <t>Portland Fire</t>
        </is>
      </c>
      <c r="AU18" s="24" t="inlineStr">
        <is>
          <t>Portland Fire</t>
        </is>
      </c>
      <c r="AV18" s="24" t="n"/>
      <c r="AW18" s="24" t="n"/>
      <c r="AX18" s="24" t="inlineStr">
        <is>
          <t>statistical_model</t>
        </is>
      </c>
      <c r="AY18" s="24" t="n"/>
      <c r="AZ18" s="24" t="inlineStr">
        <is>
          <t>shadow_qualified</t>
        </is>
      </c>
      <c r="BA18" s="24" t="inlineStr">
        <is>
          <t>7afd5274214b58b7efd7f7febc7be3ab33b92351cda5cc6403c0a39faea0cc8c</t>
        </is>
      </c>
      <c r="BB18" s="24" t="inlineStr">
        <is>
          <t>learned_lr</t>
        </is>
      </c>
      <c r="BC18" s="24" t="inlineStr">
        <is>
          <t>wnba-elo-trend-lr-v4</t>
        </is>
      </c>
      <c r="BD18" s="24" t="inlineStr">
        <is>
          <t>7afd5274214b58b7efd7f7febc7be3ab33b92351cda5cc6403c0a39faea0cc8c</t>
        </is>
      </c>
      <c r="BE18" s="24" t="inlineStr">
        <is>
          <t>58d7c01d51192db8</t>
        </is>
      </c>
      <c r="BF18" s="24" t="inlineStr">
        <is>
          <t>1</t>
        </is>
      </c>
      <c r="BG18" s="24" t="inlineStr">
        <is>
          <t>wnba-elo-trend-lr-v4</t>
        </is>
      </c>
      <c r="BH18" s="24" t="inlineStr">
        <is>
          <t>2026-08-02T19:27:38.881123Z</t>
        </is>
      </c>
      <c r="BI18" s="24" t="inlineStr">
        <is>
          <t>["same_event","same_team_same_day","same_league_same_day"]</t>
        </is>
      </c>
      <c r="BJ18" s="25" t="n"/>
      <c r="BK18" s="26" t="n">
        <v>104</v>
      </c>
      <c r="BL18" s="27" t="n">
        <v>2.04</v>
      </c>
      <c r="BM18" s="28" t="n">
        <v>0.490196</v>
      </c>
      <c r="BN18" s="28" t="n">
        <v>0.485149</v>
      </c>
      <c r="BO18" s="28" t="n"/>
      <c r="BP18" s="25" t="n"/>
      <c r="BQ18" s="27" t="n"/>
      <c r="BR18" s="28" t="n"/>
      <c r="BS18" s="28" t="n"/>
      <c r="BT18" s="28" t="n"/>
      <c r="BU18" s="25" t="n"/>
      <c r="BV18" s="29" t="n"/>
      <c r="BW18" s="24" t="n"/>
      <c r="BX18" s="30" t="n"/>
      <c r="BY18" s="27" t="n"/>
      <c r="BZ18" s="24" t="n"/>
      <c r="CA18" s="31" t="n"/>
      <c r="CB18" s="24" t="n"/>
      <c r="CC18" s="24" t="inlineStr">
        <is>
          <t>0.5937045717</t>
        </is>
      </c>
      <c r="CD18" s="24" t="inlineStr">
        <is>
          <t>-1.420483</t>
        </is>
      </c>
      <c r="CE18" s="24" t="n"/>
      <c r="CF18" s="24" t="n"/>
      <c r="CG18" s="24" t="n"/>
      <c r="CH18" s="24" t="n"/>
      <c r="CI18" s="24" t="inlineStr">
        <is>
          <t>NO_CALL_AVAILABILITY_PLAYER_UNMAPPED</t>
        </is>
      </c>
      <c r="CJ18" s="24" t="n"/>
      <c r="CK18" s="24" t="n"/>
      <c r="CL18" s="24" t="n"/>
      <c r="CM18" s="24" t="n"/>
      <c r="CN18" s="24" t="n"/>
      <c r="CO18" s="24" t="n"/>
      <c r="CP18" s="24" t="n"/>
      <c r="CQ18" s="24" t="n"/>
      <c r="CR18" s="24" t="inlineStr">
        <is>
          <t>0.57112</t>
        </is>
      </c>
      <c r="CS18" s="24" t="inlineStr">
        <is>
          <t>True</t>
        </is>
      </c>
    </row>
    <row r="19" ht="36" customHeight="1">
      <c r="A19" s="24" t="inlineStr">
        <is>
          <t>e3ace56e024b4f80</t>
        </is>
      </c>
      <c r="B19" s="24" t="inlineStr">
        <is>
          <t>2026-08-02T19:28:41.982598Z</t>
        </is>
      </c>
      <c r="C19" s="24" t="inlineStr">
        <is>
          <t>2026-08-02T19:00:00-0400</t>
        </is>
      </c>
      <c r="D19" s="24" t="inlineStr">
        <is>
          <t>401857109</t>
        </is>
      </c>
      <c r="E19" s="24" t="inlineStr">
        <is>
          <t>WNBA</t>
        </is>
      </c>
      <c r="F19" s="24" t="inlineStr">
        <is>
          <t>Connecticut Sun</t>
        </is>
      </c>
      <c r="G19" s="24" t="inlineStr">
        <is>
          <t>Dallas Wings</t>
        </is>
      </c>
      <c r="H19" s="24" t="inlineStr">
        <is>
          <t>moneyline</t>
        </is>
      </c>
      <c r="I19" s="24" t="inlineStr">
        <is>
          <t>home</t>
        </is>
      </c>
      <c r="J19" s="25" t="n"/>
      <c r="K19" s="24" t="inlineStr">
        <is>
          <t>polymarket_us</t>
        </is>
      </c>
      <c r="L19" s="26" t="n">
        <v>-488</v>
      </c>
      <c r="M19" s="27" t="n">
        <v>1.204918</v>
      </c>
      <c r="N19" s="28" t="n">
        <v>0.829932</v>
      </c>
      <c r="O19" s="28" t="n">
        <v>0.758559</v>
      </c>
      <c r="P19" s="28" t="n"/>
      <c r="Q19" s="28" t="n">
        <v>-0.07137300000000001</v>
      </c>
      <c r="R19" s="26" t="n">
        <v>0</v>
      </c>
      <c r="S19" s="29" t="n">
        <v>2</v>
      </c>
      <c r="T19" s="24" t="inlineStr">
        <is>
          <t>wnba-elo-trend-lr-v4</t>
        </is>
      </c>
      <c r="U19" s="24" t="inlineStr">
        <is>
          <t>settled</t>
        </is>
      </c>
      <c r="V19" s="24" t="inlineStr">
        <is>
          <t>win</t>
        </is>
      </c>
      <c r="W19" s="26" t="n">
        <v>63</v>
      </c>
      <c r="X19" s="26" t="n">
        <v>83</v>
      </c>
      <c r="Y19" s="25" t="n"/>
      <c r="Z19" s="26" t="n"/>
      <c r="AA19" s="28" t="n"/>
      <c r="AB19" s="28" t="n"/>
      <c r="AC19" s="30" t="n">
        <v>0.4098</v>
      </c>
      <c r="AD19" s="24" t="inlineStr">
        <is>
          <t>2026-08-03T02:34:11.555126Z</t>
        </is>
      </c>
      <c r="AE19" s="31" t="inlineStr">
        <is>
          <t>Learned LR call at threshold 0.5001; executable ask 0.8300 (aec-wnba-conn-dal-2026-08-02); model edge vs ask -0.0714. NOTE: NO_CALL_AVAILABILITY_PLAYER_UNMAPPED unavailable for this game — defaulted to neutral, other features used normally.</t>
        </is>
      </c>
      <c r="AF19" s="31" t="inlineStr">
        <is>
          <t>Learned model; shadow-qualified via operator override.</t>
        </is>
      </c>
      <c r="AG19" s="24" t="inlineStr">
        <is>
          <t>not_applicable</t>
        </is>
      </c>
      <c r="AH19" s="24" t="n"/>
      <c r="AI19" s="31" t="n"/>
      <c r="AJ19" s="31" t="n"/>
      <c r="AK19" s="24" t="inlineStr">
        <is>
          <t>model_qualified</t>
        </is>
      </c>
      <c r="AL19" s="26" t="n">
        <v>3</v>
      </c>
      <c r="AM19" s="24" t="inlineStr">
        <is>
          <t>QUALIFIED_SHADOW_CALL</t>
        </is>
      </c>
      <c r="AN19" s="24" t="inlineStr">
        <is>
          <t>CALL</t>
        </is>
      </c>
      <c r="AO19" s="24" t="inlineStr">
        <is>
          <t>QUALIFIED</t>
        </is>
      </c>
      <c r="AP19" s="24" t="inlineStr">
        <is>
          <t>wnba-con</t>
        </is>
      </c>
      <c r="AQ19" s="24" t="inlineStr">
        <is>
          <t>Connecticut Sun</t>
        </is>
      </c>
      <c r="AR19" s="24" t="inlineStr">
        <is>
          <t>Connecticut Sun</t>
        </is>
      </c>
      <c r="AS19" s="24" t="inlineStr">
        <is>
          <t>wnba-dal</t>
        </is>
      </c>
      <c r="AT19" s="24" t="inlineStr">
        <is>
          <t>Dallas Wings</t>
        </is>
      </c>
      <c r="AU19" s="24" t="inlineStr">
        <is>
          <t>Dallas Wings</t>
        </is>
      </c>
      <c r="AV19" s="24" t="n"/>
      <c r="AW19" s="24" t="n"/>
      <c r="AX19" s="24" t="inlineStr">
        <is>
          <t>statistical_model</t>
        </is>
      </c>
      <c r="AY19" s="24" t="n"/>
      <c r="AZ19" s="24" t="inlineStr">
        <is>
          <t>shadow_qualified</t>
        </is>
      </c>
      <c r="BA19" s="24" t="inlineStr">
        <is>
          <t>7afd5274214b58b7efd7f7febc7be3ab33b92351cda5cc6403c0a39faea0cc8c</t>
        </is>
      </c>
      <c r="BB19" s="24" t="inlineStr">
        <is>
          <t>learned_lr</t>
        </is>
      </c>
      <c r="BC19" s="24" t="inlineStr">
        <is>
          <t>wnba-elo-trend-lr-v4</t>
        </is>
      </c>
      <c r="BD19" s="24" t="inlineStr">
        <is>
          <t>7afd5274214b58b7efd7f7febc7be3ab33b92351cda5cc6403c0a39faea0cc8c</t>
        </is>
      </c>
      <c r="BE19" s="24" t="inlineStr">
        <is>
          <t>9c0c7cfe02317de7</t>
        </is>
      </c>
      <c r="BF19" s="24" t="inlineStr">
        <is>
          <t>1</t>
        </is>
      </c>
      <c r="BG19" s="24" t="inlineStr">
        <is>
          <t>wnba-elo-trend-lr-v4</t>
        </is>
      </c>
      <c r="BH19" s="24" t="inlineStr">
        <is>
          <t>2026-08-02T19:27:40.019420Z</t>
        </is>
      </c>
      <c r="BI19" s="24" t="inlineStr">
        <is>
          <t>["same_event","same_team_same_day","same_league_same_day"]</t>
        </is>
      </c>
      <c r="BJ19" s="25" t="n"/>
      <c r="BK19" s="26" t="n">
        <v>-488</v>
      </c>
      <c r="BL19" s="27" t="n">
        <v>1.204918</v>
      </c>
      <c r="BM19" s="28" t="n">
        <v>0.829932</v>
      </c>
      <c r="BN19" s="28" t="n">
        <v>0.821782</v>
      </c>
      <c r="BO19" s="28" t="n"/>
      <c r="BP19" s="25" t="n"/>
      <c r="BQ19" s="27" t="n"/>
      <c r="BR19" s="28" t="n"/>
      <c r="BS19" s="28" t="n"/>
      <c r="BT19" s="28" t="n"/>
      <c r="BU19" s="25" t="n"/>
      <c r="BV19" s="29" t="n"/>
      <c r="BW19" s="24" t="n"/>
      <c r="BX19" s="30" t="n"/>
      <c r="BY19" s="27" t="n"/>
      <c r="BZ19" s="24" t="n"/>
      <c r="CA19" s="31" t="n"/>
      <c r="CB19" s="24" t="n"/>
      <c r="CC19" s="24" t="inlineStr">
        <is>
          <t>0.8648169599</t>
        </is>
      </c>
      <c r="CD19" s="24" t="inlineStr">
        <is>
          <t>-2.14749</t>
        </is>
      </c>
      <c r="CE19" s="24" t="n"/>
      <c r="CF19" s="24" t="n"/>
      <c r="CG19" s="24" t="n"/>
      <c r="CH19" s="24" t="n"/>
      <c r="CI19" s="24" t="inlineStr">
        <is>
          <t>NO_CALL_AVAILABILITY_PLAYER_UNMAPPED</t>
        </is>
      </c>
      <c r="CJ19" s="24" t="n"/>
      <c r="CK19" s="24" t="n"/>
      <c r="CL19" s="24" t="n"/>
      <c r="CM19" s="24" t="n"/>
      <c r="CN19" s="24" t="n"/>
      <c r="CO19" s="24" t="n"/>
      <c r="CP19" s="24" t="n"/>
      <c r="CQ19" s="24" t="n"/>
      <c r="CR19" s="24" t="inlineStr">
        <is>
          <t>0.758559</t>
        </is>
      </c>
      <c r="CS19" s="24" t="inlineStr">
        <is>
          <t>False</t>
        </is>
      </c>
    </row>
    <row r="20" ht="36" customHeight="1">
      <c r="A20" s="24" t="inlineStr">
        <is>
          <t>906bbbda05864026</t>
        </is>
      </c>
      <c r="B20" s="24" t="inlineStr">
        <is>
          <t>2026-08-02T23:14:34.350495Z</t>
        </is>
      </c>
      <c r="C20" s="24" t="inlineStr">
        <is>
          <t>2026-08-02T20:30:00-0400</t>
        </is>
      </c>
      <c r="D20" s="24" t="inlineStr">
        <is>
          <t>401857110</t>
        </is>
      </c>
      <c r="E20" s="24" t="inlineStr">
        <is>
          <t>WNBA</t>
        </is>
      </c>
      <c r="F20" s="24" t="inlineStr">
        <is>
          <t>Toronto Tempo</t>
        </is>
      </c>
      <c r="G20" s="24" t="inlineStr">
        <is>
          <t>Golden State Valkyries</t>
        </is>
      </c>
      <c r="H20" s="24" t="inlineStr">
        <is>
          <t>moneyline</t>
        </is>
      </c>
      <c r="I20" s="24" t="inlineStr">
        <is>
          <t>home</t>
        </is>
      </c>
      <c r="J20" s="25" t="n"/>
      <c r="K20" s="24" t="inlineStr">
        <is>
          <t>polymarket_us</t>
        </is>
      </c>
      <c r="L20" s="26" t="n">
        <v>-733</v>
      </c>
      <c r="M20" s="27" t="n">
        <v>1.136426</v>
      </c>
      <c r="N20" s="28" t="n">
        <v>0.879952</v>
      </c>
      <c r="O20" s="28" t="n">
        <v>0.772803</v>
      </c>
      <c r="P20" s="28" t="n"/>
      <c r="Q20" s="28" t="n">
        <v>-0.107149</v>
      </c>
      <c r="R20" s="26" t="n">
        <v>0</v>
      </c>
      <c r="S20" s="29" t="n">
        <v>2</v>
      </c>
      <c r="T20" s="24" t="inlineStr">
        <is>
          <t>wnba-elo-trend-lr-v4</t>
        </is>
      </c>
      <c r="U20" s="24" t="inlineStr">
        <is>
          <t>settled</t>
        </is>
      </c>
      <c r="V20" s="24" t="inlineStr">
        <is>
          <t>win</t>
        </is>
      </c>
      <c r="W20" s="26" t="n">
        <v>79</v>
      </c>
      <c r="X20" s="26" t="n">
        <v>96</v>
      </c>
      <c r="Y20" s="25" t="n"/>
      <c r="Z20" s="26" t="n"/>
      <c r="AA20" s="28" t="n"/>
      <c r="AB20" s="28" t="n"/>
      <c r="AC20" s="30" t="n">
        <v>0.2729</v>
      </c>
      <c r="AD20" s="24" t="inlineStr">
        <is>
          <t>2026-08-03T02:34:27.042682Z</t>
        </is>
      </c>
      <c r="AE20" s="31" t="inlineStr">
        <is>
          <t>Learned LR call at threshold 0.5001; executable ask 0.8800 (aec-wnba-tor-gsv-2026-08-02); model edge vs ask -0.1072. NOTE: NO_CALL_AVAILABILITY_PLAYER_UNMAPPED unavailable for this game — defaulted to neutral, other features used normally.</t>
        </is>
      </c>
      <c r="AF20" s="31" t="inlineStr">
        <is>
          <t>Learned model; shadow-qualified via operator override.</t>
        </is>
      </c>
      <c r="AG20" s="24" t="inlineStr">
        <is>
          <t>not_applicable</t>
        </is>
      </c>
      <c r="AH20" s="24" t="n"/>
      <c r="AI20" s="31" t="n"/>
      <c r="AJ20" s="31" t="n"/>
      <c r="AK20" s="24" t="inlineStr">
        <is>
          <t>model_qualified</t>
        </is>
      </c>
      <c r="AL20" s="26" t="n">
        <v>3</v>
      </c>
      <c r="AM20" s="24" t="inlineStr">
        <is>
          <t>QUALIFIED_SHADOW_CALL</t>
        </is>
      </c>
      <c r="AN20" s="24" t="inlineStr">
        <is>
          <t>CALL</t>
        </is>
      </c>
      <c r="AO20" s="24" t="inlineStr">
        <is>
          <t>QUALIFIED</t>
        </is>
      </c>
      <c r="AP20" s="24" t="inlineStr">
        <is>
          <t>wnba-tor</t>
        </is>
      </c>
      <c r="AQ20" s="24" t="inlineStr">
        <is>
          <t>Toronto Tempo</t>
        </is>
      </c>
      <c r="AR20" s="24" t="inlineStr">
        <is>
          <t>Toronto Tempo</t>
        </is>
      </c>
      <c r="AS20" s="24" t="inlineStr">
        <is>
          <t>wnba-gsv</t>
        </is>
      </c>
      <c r="AT20" s="24" t="inlineStr">
        <is>
          <t>Golden State Valkyries</t>
        </is>
      </c>
      <c r="AU20" s="24" t="inlineStr">
        <is>
          <t>Golden State Valkyries</t>
        </is>
      </c>
      <c r="AV20" s="24" t="n"/>
      <c r="AW20" s="24" t="n"/>
      <c r="AX20" s="24" t="inlineStr">
        <is>
          <t>statistical_model</t>
        </is>
      </c>
      <c r="AY20" s="24" t="n"/>
      <c r="AZ20" s="24" t="inlineStr">
        <is>
          <t>shadow_qualified</t>
        </is>
      </c>
      <c r="BA20" s="24" t="inlineStr">
        <is>
          <t>7afd5274214b58b7efd7f7febc7be3ab33b92351cda5cc6403c0a39faea0cc8c</t>
        </is>
      </c>
      <c r="BB20" s="24" t="inlineStr">
        <is>
          <t>learned_lr</t>
        </is>
      </c>
      <c r="BC20" s="24" t="inlineStr">
        <is>
          <t>wnba-elo-trend-lr-v4</t>
        </is>
      </c>
      <c r="BD20" s="24" t="inlineStr">
        <is>
          <t>7afd5274214b58b7efd7f7febc7be3ab33b92351cda5cc6403c0a39faea0cc8c</t>
        </is>
      </c>
      <c r="BE20" s="24" t="inlineStr">
        <is>
          <t>c1ef9fc1d2a3714a</t>
        </is>
      </c>
      <c r="BF20" s="24" t="inlineStr">
        <is>
          <t>1</t>
        </is>
      </c>
      <c r="BG20" s="24" t="inlineStr">
        <is>
          <t>wnba-elo-trend-lr-v4</t>
        </is>
      </c>
      <c r="BH20" s="24" t="inlineStr">
        <is>
          <t>2026-08-02T23:13:58.588337Z</t>
        </is>
      </c>
      <c r="BI20" s="24" t="inlineStr">
        <is>
          <t>["same_event","same_team_same_day","same_league_same_day"]</t>
        </is>
      </c>
      <c r="BJ20" s="25" t="n"/>
      <c r="BK20" s="26" t="n">
        <v>-733</v>
      </c>
      <c r="BL20" s="27" t="n">
        <v>1.136426</v>
      </c>
      <c r="BM20" s="28" t="n">
        <v>0.879952</v>
      </c>
      <c r="BN20" s="28" t="n">
        <v>0.871287</v>
      </c>
      <c r="BO20" s="28" t="n"/>
      <c r="BP20" s="25" t="n"/>
      <c r="BQ20" s="27" t="n"/>
      <c r="BR20" s="28" t="n"/>
      <c r="BS20" s="28" t="n"/>
      <c r="BT20" s="28" t="n"/>
      <c r="BU20" s="25" t="n"/>
      <c r="BV20" s="29" t="n"/>
      <c r="BW20" s="24" t="n"/>
      <c r="BX20" s="30" t="n"/>
      <c r="BY20" s="27" t="n"/>
      <c r="BZ20" s="24" t="n"/>
      <c r="CA20" s="31" t="n"/>
      <c r="CB20" s="24" t="n"/>
      <c r="CC20" s="24" t="inlineStr">
        <is>
          <t>0.8973864278</t>
        </is>
      </c>
      <c r="CD20" s="24" t="inlineStr">
        <is>
          <t>2.248193</t>
        </is>
      </c>
      <c r="CE20" s="24" t="n"/>
      <c r="CF20" s="24" t="n"/>
      <c r="CG20" s="24" t="n"/>
      <c r="CH20" s="24" t="n"/>
      <c r="CI20" s="24" t="inlineStr">
        <is>
          <t>NO_CALL_AVAILABILITY_PLAYER_UNMAPPED</t>
        </is>
      </c>
      <c r="CJ20" s="24" t="n"/>
      <c r="CK20" s="24" t="n"/>
      <c r="CL20" s="24" t="n"/>
      <c r="CM20" s="24" t="n"/>
      <c r="CN20" s="24" t="n"/>
      <c r="CO20" s="24" t="n"/>
      <c r="CP20" s="24" t="n"/>
      <c r="CQ20" s="24" t="n"/>
      <c r="CR20" s="24" t="inlineStr">
        <is>
          <t>0.772803</t>
        </is>
      </c>
      <c r="CS20" s="24" t="inlineStr">
        <is>
          <t>False</t>
        </is>
      </c>
    </row>
    <row r="21" ht="36" customHeight="1">
      <c r="A21" s="24" t="inlineStr">
        <is>
          <t>07ad66fff4614b87</t>
        </is>
      </c>
      <c r="B21" s="24" t="inlineStr">
        <is>
          <t>2026-08-03T22:56:28.208831Z</t>
        </is>
      </c>
      <c r="C21" s="24" t="inlineStr">
        <is>
          <t>2026-08-03T19:00:00-0400</t>
        </is>
      </c>
      <c r="D21" s="24" t="inlineStr">
        <is>
          <t>401857111</t>
        </is>
      </c>
      <c r="E21" s="24" t="inlineStr">
        <is>
          <t>WNBA</t>
        </is>
      </c>
      <c r="F21" s="24" t="inlineStr">
        <is>
          <t>Las Vegas Aces</t>
        </is>
      </c>
      <c r="G21" s="24" t="inlineStr">
        <is>
          <t>Atlanta Dream</t>
        </is>
      </c>
      <c r="H21" s="24" t="inlineStr">
        <is>
          <t>moneyline</t>
        </is>
      </c>
      <c r="I21" s="24" t="inlineStr">
        <is>
          <t>home</t>
        </is>
      </c>
      <c r="J21" s="25" t="n"/>
      <c r="K21" s="24" t="inlineStr">
        <is>
          <t>polymarket_us</t>
        </is>
      </c>
      <c r="L21" s="26" t="n">
        <v>-127</v>
      </c>
      <c r="M21" s="27" t="n">
        <v>1.787402</v>
      </c>
      <c r="N21" s="28" t="n">
        <v>0.5594710000000001</v>
      </c>
      <c r="O21" s="28" t="n">
        <v>0.51407</v>
      </c>
      <c r="P21" s="28" t="n"/>
      <c r="Q21" s="28" t="n">
        <v>-0.045401</v>
      </c>
      <c r="R21" s="26" t="n">
        <v>0</v>
      </c>
      <c r="S21" s="29" t="n">
        <v>1</v>
      </c>
      <c r="T21" s="24" t="inlineStr">
        <is>
          <t>wnba-elo-trend-lr-v4</t>
        </is>
      </c>
      <c r="U21" s="24" t="inlineStr">
        <is>
          <t>settled</t>
        </is>
      </c>
      <c r="V21" s="24" t="inlineStr">
        <is>
          <t>loss</t>
        </is>
      </c>
      <c r="W21" s="26" t="n">
        <v>109</v>
      </c>
      <c r="X21" s="26" t="n">
        <v>87</v>
      </c>
      <c r="Y21" s="25" t="n"/>
      <c r="Z21" s="26" t="n"/>
      <c r="AA21" s="28" t="n"/>
      <c r="AB21" s="28" t="n"/>
      <c r="AC21" s="30" t="n">
        <v>-1</v>
      </c>
      <c r="AD21" s="24" t="inlineStr">
        <is>
          <t>2026-08-04T01:58:38.949266Z</t>
        </is>
      </c>
      <c r="AE21" s="31" t="inlineStr">
        <is>
          <t>Learned LR call at threshold 0.5001; executable ask 0.5600 (aec-wnba-lv-atl-2026-08-03); model edge vs ask -0.0459.</t>
        </is>
      </c>
      <c r="AF21" s="31" t="inlineStr">
        <is>
          <t>Learned model; shadow-qualified via operator override.</t>
        </is>
      </c>
      <c r="AG21" s="24" t="inlineStr">
        <is>
          <t>review_required</t>
        </is>
      </c>
      <c r="AH21" s="24" t="n"/>
      <c r="AI21" s="31" t="n"/>
      <c r="AJ21" s="31" t="n"/>
      <c r="AK21" s="24" t="inlineStr">
        <is>
          <t>model_qualified</t>
        </is>
      </c>
      <c r="AL21" s="26" t="n">
        <v>3</v>
      </c>
      <c r="AM21" s="24" t="inlineStr">
        <is>
          <t>QUALIFIED_SHADOW_CALL</t>
        </is>
      </c>
      <c r="AN21" s="24" t="inlineStr">
        <is>
          <t>CALL</t>
        </is>
      </c>
      <c r="AO21" s="24" t="inlineStr">
        <is>
          <t>QUALIFIED</t>
        </is>
      </c>
      <c r="AP21" s="24" t="inlineStr">
        <is>
          <t>wnba-lva</t>
        </is>
      </c>
      <c r="AQ21" s="24" t="inlineStr">
        <is>
          <t>Las Vegas Aces</t>
        </is>
      </c>
      <c r="AR21" s="24" t="inlineStr">
        <is>
          <t>Las Vegas Aces</t>
        </is>
      </c>
      <c r="AS21" s="24" t="inlineStr">
        <is>
          <t>wnba-atl</t>
        </is>
      </c>
      <c r="AT21" s="24" t="inlineStr">
        <is>
          <t>Atlanta Dream</t>
        </is>
      </c>
      <c r="AU21" s="24" t="inlineStr">
        <is>
          <t>Atlanta Dream</t>
        </is>
      </c>
      <c r="AV21" s="24" t="n"/>
      <c r="AW21" s="24" t="n"/>
      <c r="AX21" s="24" t="inlineStr">
        <is>
          <t>statistical_model</t>
        </is>
      </c>
      <c r="AY21" s="24" t="n"/>
      <c r="AZ21" s="24" t="inlineStr">
        <is>
          <t>shadow_qualified</t>
        </is>
      </c>
      <c r="BA21" s="24" t="inlineStr">
        <is>
          <t>7afd5274214b58b7efd7f7febc7be3ab33b92351cda5cc6403c0a39faea0cc8c</t>
        </is>
      </c>
      <c r="BB21" s="24" t="inlineStr">
        <is>
          <t>learned_lr</t>
        </is>
      </c>
      <c r="BC21" s="24" t="inlineStr">
        <is>
          <t>wnba-elo-trend-lr-v4</t>
        </is>
      </c>
      <c r="BD21" s="24" t="inlineStr">
        <is>
          <t>7afd5274214b58b7efd7f7febc7be3ab33b92351cda5cc6403c0a39faea0cc8c</t>
        </is>
      </c>
      <c r="BE21" s="24" t="inlineStr">
        <is>
          <t>b2ef49b6e91b5973</t>
        </is>
      </c>
      <c r="BF21" s="24" t="inlineStr">
        <is>
          <t>1</t>
        </is>
      </c>
      <c r="BG21" s="24" t="inlineStr">
        <is>
          <t>wnba-elo-trend-lr-v4</t>
        </is>
      </c>
      <c r="BH21" s="24" t="inlineStr">
        <is>
          <t>2026-08-03T22:56:02.794073Z</t>
        </is>
      </c>
      <c r="BI21" s="24" t="inlineStr">
        <is>
          <t>["same_event","same_team_same_day","same_league_same_day"]</t>
        </is>
      </c>
      <c r="BJ21" s="25" t="n"/>
      <c r="BK21" s="26" t="n">
        <v>-127</v>
      </c>
      <c r="BL21" s="27" t="n">
        <v>1.787402</v>
      </c>
      <c r="BM21" s="28" t="n">
        <v>0.5594710000000001</v>
      </c>
      <c r="BN21" s="28" t="n">
        <v>0.554455</v>
      </c>
      <c r="BO21" s="28" t="n"/>
      <c r="BP21" s="25" t="n"/>
      <c r="BQ21" s="27" t="n"/>
      <c r="BR21" s="28" t="n"/>
      <c r="BS21" s="28" t="n"/>
      <c r="BT21" s="28" t="n"/>
      <c r="BU21" s="25" t="n"/>
      <c r="BV21" s="29" t="n"/>
      <c r="BW21" s="24" t="n"/>
      <c r="BX21" s="30" t="n"/>
      <c r="BY21" s="27" t="n"/>
      <c r="BZ21" s="24" t="n"/>
      <c r="CA21" s="31" t="n"/>
      <c r="CB21" s="24" t="n"/>
      <c r="CC21" s="24" t="inlineStr">
        <is>
          <t>0.5210843216</t>
        </is>
      </c>
      <c r="CD21" s="24" t="inlineStr">
        <is>
          <t>2.457049</t>
        </is>
      </c>
      <c r="CE21" s="24" t="n"/>
      <c r="CF21" s="24" t="n"/>
      <c r="CG21" s="24" t="n"/>
      <c r="CH21" s="24" t="n"/>
      <c r="CI21" s="24" t="n"/>
      <c r="CJ21" s="24" t="n"/>
      <c r="CK21" s="24" t="n"/>
      <c r="CL21" s="24" t="n"/>
      <c r="CM21" s="24" t="n"/>
      <c r="CN21" s="24" t="n"/>
      <c r="CO21" s="24" t="n"/>
      <c r="CP21" s="24" t="n"/>
      <c r="CQ21" s="24" t="n"/>
      <c r="CR21" s="24" t="inlineStr">
        <is>
          <t>0.51407</t>
        </is>
      </c>
      <c r="CS21" s="24" t="inlineStr">
        <is>
          <t>False</t>
        </is>
      </c>
    </row>
    <row r="22" ht="36" customHeight="1">
      <c r="A22" s="24" t="inlineStr">
        <is>
          <t>2580cab598964775</t>
        </is>
      </c>
      <c r="B22" s="24" t="inlineStr">
        <is>
          <t>2026-08-03T22:56:28.208831Z</t>
        </is>
      </c>
      <c r="C22" s="24" t="inlineStr">
        <is>
          <t>2026-08-03T19:00:00-0400</t>
        </is>
      </c>
      <c r="D22" s="24" t="inlineStr">
        <is>
          <t>401857112</t>
        </is>
      </c>
      <c r="E22" s="24" t="inlineStr">
        <is>
          <t>WNBA</t>
        </is>
      </c>
      <c r="F22" s="24" t="inlineStr">
        <is>
          <t>Seattle Storm</t>
        </is>
      </c>
      <c r="G22" s="24" t="inlineStr">
        <is>
          <t>New York Liberty</t>
        </is>
      </c>
      <c r="H22" s="24" t="inlineStr">
        <is>
          <t>moneyline</t>
        </is>
      </c>
      <c r="I22" s="24" t="inlineStr">
        <is>
          <t>home</t>
        </is>
      </c>
      <c r="J22" s="25" t="n"/>
      <c r="K22" s="24" t="inlineStr">
        <is>
          <t>polymarket_us</t>
        </is>
      </c>
      <c r="L22" s="26" t="n">
        <v>-300</v>
      </c>
      <c r="M22" s="27" t="n">
        <v>1.333333</v>
      </c>
      <c r="N22" s="28" t="n">
        <v>0.75</v>
      </c>
      <c r="O22" s="28" t="n">
        <v>0.668225</v>
      </c>
      <c r="P22" s="28" t="n"/>
      <c r="Q22" s="28" t="n">
        <v>-0.081775</v>
      </c>
      <c r="R22" s="26" t="n">
        <v>0</v>
      </c>
      <c r="S22" s="29" t="n">
        <v>1.75</v>
      </c>
      <c r="T22" s="24" t="inlineStr">
        <is>
          <t>wnba-elo-trend-lr-v4</t>
        </is>
      </c>
      <c r="U22" s="24" t="inlineStr">
        <is>
          <t>settled</t>
        </is>
      </c>
      <c r="V22" s="24" t="inlineStr">
        <is>
          <t>win</t>
        </is>
      </c>
      <c r="W22" s="26" t="n">
        <v>83</v>
      </c>
      <c r="X22" s="26" t="n">
        <v>95</v>
      </c>
      <c r="Y22" s="25" t="n"/>
      <c r="Z22" s="26" t="n"/>
      <c r="AA22" s="28" t="n"/>
      <c r="AB22" s="28" t="n"/>
      <c r="AC22" s="30" t="n">
        <v>0.5833</v>
      </c>
      <c r="AD22" s="24" t="inlineStr">
        <is>
          <t>2026-08-04T01:58:39.249876Z</t>
        </is>
      </c>
      <c r="AE22" s="31" t="inlineStr">
        <is>
          <t>Learned LR call at threshold 0.5001; executable ask 0.7500 (aec-wnba-sea-ny-2026-08-03); model edge vs ask -0.0818.</t>
        </is>
      </c>
      <c r="AF22" s="31" t="inlineStr">
        <is>
          <t>Learned model; shadow-qualified via operator override.</t>
        </is>
      </c>
      <c r="AG22" s="24" t="inlineStr">
        <is>
          <t>not_applicable</t>
        </is>
      </c>
      <c r="AH22" s="24" t="n"/>
      <c r="AI22" s="31" t="n"/>
      <c r="AJ22" s="31" t="n"/>
      <c r="AK22" s="24" t="inlineStr">
        <is>
          <t>model_qualified</t>
        </is>
      </c>
      <c r="AL22" s="26" t="n">
        <v>3</v>
      </c>
      <c r="AM22" s="24" t="inlineStr">
        <is>
          <t>QUALIFIED_SHADOW_CALL</t>
        </is>
      </c>
      <c r="AN22" s="24" t="inlineStr">
        <is>
          <t>CALL</t>
        </is>
      </c>
      <c r="AO22" s="24" t="inlineStr">
        <is>
          <t>QUALIFIED</t>
        </is>
      </c>
      <c r="AP22" s="24" t="inlineStr">
        <is>
          <t>wnba-sea</t>
        </is>
      </c>
      <c r="AQ22" s="24" t="inlineStr">
        <is>
          <t>Seattle Storm</t>
        </is>
      </c>
      <c r="AR22" s="24" t="inlineStr">
        <is>
          <t>Seattle Storm</t>
        </is>
      </c>
      <c r="AS22" s="24" t="inlineStr">
        <is>
          <t>wnba-nyl</t>
        </is>
      </c>
      <c r="AT22" s="24" t="inlineStr">
        <is>
          <t>New York Liberty</t>
        </is>
      </c>
      <c r="AU22" s="24" t="inlineStr">
        <is>
          <t>New York Liberty</t>
        </is>
      </c>
      <c r="AV22" s="24" t="n"/>
      <c r="AW22" s="24" t="n"/>
      <c r="AX22" s="24" t="inlineStr">
        <is>
          <t>statistical_model</t>
        </is>
      </c>
      <c r="AY22" s="24" t="n"/>
      <c r="AZ22" s="24" t="inlineStr">
        <is>
          <t>shadow_qualified</t>
        </is>
      </c>
      <c r="BA22" s="24" t="inlineStr">
        <is>
          <t>7afd5274214b58b7efd7f7febc7be3ab33b92351cda5cc6403c0a39faea0cc8c</t>
        </is>
      </c>
      <c r="BB22" s="24" t="inlineStr">
        <is>
          <t>learned_lr</t>
        </is>
      </c>
      <c r="BC22" s="24" t="inlineStr">
        <is>
          <t>wnba-elo-trend-lr-v4</t>
        </is>
      </c>
      <c r="BD22" s="24" t="inlineStr">
        <is>
          <t>7afd5274214b58b7efd7f7febc7be3ab33b92351cda5cc6403c0a39faea0cc8c</t>
        </is>
      </c>
      <c r="BE22" s="24" t="inlineStr">
        <is>
          <t>a7a2cf055acd172e</t>
        </is>
      </c>
      <c r="BF22" s="24" t="inlineStr">
        <is>
          <t>1</t>
        </is>
      </c>
      <c r="BG22" s="24" t="inlineStr">
        <is>
          <t>wnba-elo-trend-lr-v4</t>
        </is>
      </c>
      <c r="BH22" s="24" t="inlineStr">
        <is>
          <t>2026-08-03T22:56:03.448712Z</t>
        </is>
      </c>
      <c r="BI22" s="24" t="inlineStr">
        <is>
          <t>["same_event","same_team_same_day","same_league_same_day"]</t>
        </is>
      </c>
      <c r="BJ22" s="25" t="n"/>
      <c r="BK22" s="26" t="n">
        <v>-300</v>
      </c>
      <c r="BL22" s="27" t="n">
        <v>1.333333</v>
      </c>
      <c r="BM22" s="28" t="n">
        <v>0.75</v>
      </c>
      <c r="BN22" s="28" t="n">
        <v>0.742574</v>
      </c>
      <c r="BO22" s="28" t="n"/>
      <c r="BP22" s="25" t="n"/>
      <c r="BQ22" s="27" t="n"/>
      <c r="BR22" s="28" t="n"/>
      <c r="BS22" s="28" t="n"/>
      <c r="BT22" s="28" t="n"/>
      <c r="BU22" s="25" t="n"/>
      <c r="BV22" s="29" t="n"/>
      <c r="BW22" s="24" t="n"/>
      <c r="BX22" s="30" t="n"/>
      <c r="BY22" s="27" t="n"/>
      <c r="BZ22" s="24" t="n"/>
      <c r="CA22" s="31" t="n"/>
      <c r="CB22" s="24" t="n"/>
      <c r="CC22" s="24" t="inlineStr">
        <is>
          <t>0.826825309</t>
        </is>
      </c>
      <c r="CD22" s="24" t="inlineStr">
        <is>
          <t>-1.349631</t>
        </is>
      </c>
      <c r="CE22" s="24" t="n"/>
      <c r="CF22" s="24" t="n"/>
      <c r="CG22" s="24" t="n"/>
      <c r="CH22" s="24" t="n"/>
      <c r="CI22" s="24" t="n"/>
      <c r="CJ22" s="24" t="n"/>
      <c r="CK22" s="24" t="n"/>
      <c r="CL22" s="24" t="n"/>
      <c r="CM22" s="24" t="n"/>
      <c r="CN22" s="24" t="n"/>
      <c r="CO22" s="24" t="n"/>
      <c r="CP22" s="24" t="n"/>
      <c r="CQ22" s="24" t="n"/>
      <c r="CR22" s="24" t="inlineStr">
        <is>
          <t>0.668225</t>
        </is>
      </c>
      <c r="CS22" s="24" t="inlineStr">
        <is>
          <t>False</t>
        </is>
      </c>
    </row>
    <row r="23" ht="36" customHeight="1">
      <c r="A23" s="24" t="inlineStr">
        <is>
          <t>13d3087309254059</t>
        </is>
      </c>
      <c r="B23" s="24" t="inlineStr">
        <is>
          <t>2026-08-03T22:56:28.208831Z</t>
        </is>
      </c>
      <c r="C23" s="24" t="inlineStr">
        <is>
          <t>2026-08-03T21:00:00-0400</t>
        </is>
      </c>
      <c r="D23" s="24" t="inlineStr">
        <is>
          <t>401857113</t>
        </is>
      </c>
      <c r="E23" s="24" t="inlineStr">
        <is>
          <t>WNBA</t>
        </is>
      </c>
      <c r="F23" s="24" t="inlineStr">
        <is>
          <t>Phoenix Mercury</t>
        </is>
      </c>
      <c r="G23" s="24" t="inlineStr">
        <is>
          <t>Chicago Sky</t>
        </is>
      </c>
      <c r="H23" s="24" t="inlineStr">
        <is>
          <t>moneyline</t>
        </is>
      </c>
      <c r="I23" s="24" t="inlineStr">
        <is>
          <t>home</t>
        </is>
      </c>
      <c r="J23" s="25" t="n"/>
      <c r="K23" s="24" t="inlineStr">
        <is>
          <t>polymarket_us</t>
        </is>
      </c>
      <c r="L23" s="26" t="n">
        <v>117</v>
      </c>
      <c r="M23" s="27" t="n">
        <v>2.17</v>
      </c>
      <c r="N23" s="28" t="n">
        <v>0.460829</v>
      </c>
      <c r="O23" s="28" t="n">
        <v>0.580877</v>
      </c>
      <c r="P23" s="28" t="n"/>
      <c r="Q23" s="28" t="n">
        <v>0.120048</v>
      </c>
      <c r="R23" s="26" t="n">
        <v>83</v>
      </c>
      <c r="S23" s="29" t="n">
        <v>1.25</v>
      </c>
      <c r="T23" s="24" t="inlineStr">
        <is>
          <t>wnba-elo-trend-lr-v4</t>
        </is>
      </c>
      <c r="U23" s="24" t="inlineStr">
        <is>
          <t>settled</t>
        </is>
      </c>
      <c r="V23" s="24" t="inlineStr">
        <is>
          <t>loss</t>
        </is>
      </c>
      <c r="W23" s="26" t="n">
        <v>106</v>
      </c>
      <c r="X23" s="26" t="n">
        <v>101</v>
      </c>
      <c r="Y23" s="25" t="n"/>
      <c r="Z23" s="26" t="n"/>
      <c r="AA23" s="28" t="n"/>
      <c r="AB23" s="28" t="n"/>
      <c r="AC23" s="30" t="n">
        <v>-1.25</v>
      </c>
      <c r="AD23" s="24" t="inlineStr">
        <is>
          <t>2026-08-04T03:57:57.521400Z</t>
        </is>
      </c>
      <c r="AE23" s="31" t="inlineStr">
        <is>
          <t>Learned LR call at threshold 0.5001; executable ask 0.4600 (aec-wnba-phx-chi-2026-08-03); model edge vs ask +0.1209. NOTE: NO_CALL_AVAILABILITY_PLAYER_UNMAPPED unavailable for this game — defaulted to neutral, other features used normally.</t>
        </is>
      </c>
      <c r="AF23" s="31" t="inlineStr">
        <is>
          <t>Learned model; shadow-qualified via operator override.</t>
        </is>
      </c>
      <c r="AG23" s="24" t="inlineStr">
        <is>
          <t>review_required</t>
        </is>
      </c>
      <c r="AH23" s="24" t="n"/>
      <c r="AI23" s="31" t="n"/>
      <c r="AJ23" s="31" t="n"/>
      <c r="AK23" s="24" t="inlineStr">
        <is>
          <t>model_qualified</t>
        </is>
      </c>
      <c r="AL23" s="26" t="n">
        <v>3</v>
      </c>
      <c r="AM23" s="24" t="inlineStr">
        <is>
          <t>QUALIFIED_SHADOW_CALL</t>
        </is>
      </c>
      <c r="AN23" s="24" t="inlineStr">
        <is>
          <t>CALL</t>
        </is>
      </c>
      <c r="AO23" s="24" t="inlineStr">
        <is>
          <t>QUALIFIED</t>
        </is>
      </c>
      <c r="AP23" s="24" t="inlineStr">
        <is>
          <t>wnba-phx</t>
        </is>
      </c>
      <c r="AQ23" s="24" t="inlineStr">
        <is>
          <t>Phoenix Mercury</t>
        </is>
      </c>
      <c r="AR23" s="24" t="inlineStr">
        <is>
          <t>Phoenix Mercury</t>
        </is>
      </c>
      <c r="AS23" s="24" t="inlineStr">
        <is>
          <t>wnba-chi</t>
        </is>
      </c>
      <c r="AT23" s="24" t="inlineStr">
        <is>
          <t>Chicago Sky</t>
        </is>
      </c>
      <c r="AU23" s="24" t="inlineStr">
        <is>
          <t>Chicago Sky</t>
        </is>
      </c>
      <c r="AV23" s="24" t="n"/>
      <c r="AW23" s="24" t="n"/>
      <c r="AX23" s="24" t="inlineStr">
        <is>
          <t>statistical_model</t>
        </is>
      </c>
      <c r="AY23" s="24" t="n"/>
      <c r="AZ23" s="24" t="inlineStr">
        <is>
          <t>shadow_qualified</t>
        </is>
      </c>
      <c r="BA23" s="24" t="inlineStr">
        <is>
          <t>7afd5274214b58b7efd7f7febc7be3ab33b92351cda5cc6403c0a39faea0cc8c</t>
        </is>
      </c>
      <c r="BB23" s="24" t="inlineStr">
        <is>
          <t>learned_lr</t>
        </is>
      </c>
      <c r="BC23" s="24" t="inlineStr">
        <is>
          <t>wnba-elo-trend-lr-v4</t>
        </is>
      </c>
      <c r="BD23" s="24" t="inlineStr">
        <is>
          <t>7afd5274214b58b7efd7f7febc7be3ab33b92351cda5cc6403c0a39faea0cc8c</t>
        </is>
      </c>
      <c r="BE23" s="24" t="inlineStr">
        <is>
          <t>7a2885907d6a5230</t>
        </is>
      </c>
      <c r="BF23" s="24" t="inlineStr">
        <is>
          <t>1</t>
        </is>
      </c>
      <c r="BG23" s="24" t="inlineStr">
        <is>
          <t>wnba-elo-trend-lr-v4</t>
        </is>
      </c>
      <c r="BH23" s="24" t="inlineStr">
        <is>
          <t>2026-08-03T22:56:03.908601Z</t>
        </is>
      </c>
      <c r="BI23" s="24" t="inlineStr">
        <is>
          <t>["same_event","same_team_same_day","same_league_same_day"]</t>
        </is>
      </c>
      <c r="BJ23" s="25" t="n"/>
      <c r="BK23" s="26" t="n">
        <v>117</v>
      </c>
      <c r="BL23" s="27" t="n">
        <v>2.17</v>
      </c>
      <c r="BM23" s="28" t="n">
        <v>0.460829</v>
      </c>
      <c r="BN23" s="28" t="n">
        <v>0.455446</v>
      </c>
      <c r="BO23" s="28" t="n"/>
      <c r="BP23" s="25" t="n"/>
      <c r="BQ23" s="27" t="n"/>
      <c r="BR23" s="28" t="n"/>
      <c r="BS23" s="28" t="n"/>
      <c r="BT23" s="28" t="n"/>
      <c r="BU23" s="25" t="n"/>
      <c r="BV23" s="29" t="n"/>
      <c r="BW23" s="24" t="n"/>
      <c r="BX23" s="30" t="n"/>
      <c r="BY23" s="27" t="n"/>
      <c r="BZ23" s="24" t="n"/>
      <c r="CA23" s="31" t="n"/>
      <c r="CB23" s="24" t="n"/>
      <c r="CC23" s="24" t="inlineStr">
        <is>
          <t>0.6165118128</t>
        </is>
      </c>
      <c r="CD23" s="24" t="inlineStr">
        <is>
          <t>3.666063</t>
        </is>
      </c>
      <c r="CE23" s="24" t="n"/>
      <c r="CF23" s="24" t="n"/>
      <c r="CG23" s="24" t="n"/>
      <c r="CH23" s="24" t="n"/>
      <c r="CI23" s="24" t="inlineStr">
        <is>
          <t>NO_CALL_AVAILABILITY_PLAYER_UNMAPPED</t>
        </is>
      </c>
      <c r="CJ23" s="24" t="n"/>
      <c r="CK23" s="24" t="n"/>
      <c r="CL23" s="24" t="n"/>
      <c r="CM23" s="24" t="n"/>
      <c r="CN23" s="24" t="n"/>
      <c r="CO23" s="24" t="n"/>
      <c r="CP23" s="24" t="n"/>
      <c r="CQ23" s="24" t="n"/>
      <c r="CR23" s="24" t="inlineStr">
        <is>
          <t>0.580877</t>
        </is>
      </c>
      <c r="CS23" s="24" t="inlineStr">
        <is>
          <t>True</t>
        </is>
      </c>
    </row>
    <row r="24" ht="36" customHeight="1">
      <c r="A24" s="24" t="inlineStr">
        <is>
          <t>9fb18a9d55ab4afe</t>
        </is>
      </c>
      <c r="B24" s="24" t="inlineStr">
        <is>
          <t>2026-08-05T01:07:48.070985Z</t>
        </is>
      </c>
      <c r="C24" s="24" t="inlineStr">
        <is>
          <t>2026-08-04T22:00:00-0400</t>
        </is>
      </c>
      <c r="D24" s="24" t="inlineStr">
        <is>
          <t>401857114</t>
        </is>
      </c>
      <c r="E24" s="24" t="inlineStr">
        <is>
          <t>WNBA</t>
        </is>
      </c>
      <c r="F24" s="24" t="inlineStr">
        <is>
          <t>Toronto Tempo</t>
        </is>
      </c>
      <c r="G24" s="24" t="inlineStr">
        <is>
          <t>Golden State Valkyries</t>
        </is>
      </c>
      <c r="H24" s="24" t="inlineStr">
        <is>
          <t>moneyline</t>
        </is>
      </c>
      <c r="I24" s="24" t="inlineStr">
        <is>
          <t>home</t>
        </is>
      </c>
      <c r="J24" s="25" t="n"/>
      <c r="K24" s="24" t="inlineStr">
        <is>
          <t>polymarket_us</t>
        </is>
      </c>
      <c r="L24" s="26" t="n">
        <v>-614</v>
      </c>
      <c r="M24" s="27" t="n">
        <v>1.162866</v>
      </c>
      <c r="N24" s="28" t="n">
        <v>0.859944</v>
      </c>
      <c r="O24" s="28" t="n">
        <v>0.774468</v>
      </c>
      <c r="P24" s="28" t="n"/>
      <c r="Q24" s="28" t="n">
        <v>-0.085476</v>
      </c>
      <c r="R24" s="26" t="n">
        <v>0</v>
      </c>
      <c r="S24" s="29" t="n">
        <v>2</v>
      </c>
      <c r="T24" s="24" t="inlineStr">
        <is>
          <t>wnba-elo-trend-lr-v4</t>
        </is>
      </c>
      <c r="U24" s="24" t="inlineStr">
        <is>
          <t>settled</t>
        </is>
      </c>
      <c r="V24" s="24" t="inlineStr">
        <is>
          <t>win</t>
        </is>
      </c>
      <c r="W24" s="26" t="n">
        <v>82</v>
      </c>
      <c r="X24" s="26" t="n">
        <v>92</v>
      </c>
      <c r="Y24" s="25" t="n"/>
      <c r="Z24" s="26" t="n"/>
      <c r="AA24" s="28" t="n"/>
      <c r="AB24" s="28" t="n"/>
      <c r="AC24" s="30" t="n">
        <v>0.3257</v>
      </c>
      <c r="AD24" s="24" t="inlineStr">
        <is>
          <t>2026-08-05T04:21:32.559583Z</t>
        </is>
      </c>
      <c r="AE24" s="31" t="inlineStr">
        <is>
          <t>Learned LR call at threshold 0.5001; executable ask 0.8600 (aec-wnba-tor-gsv-2026-08-04); model edge vs ask -0.0855.</t>
        </is>
      </c>
      <c r="AF24" s="31" t="inlineStr">
        <is>
          <t>Learned model; shadow-qualified via operator override.</t>
        </is>
      </c>
      <c r="AG24" s="24" t="inlineStr">
        <is>
          <t>not_applicable</t>
        </is>
      </c>
      <c r="AH24" s="24" t="n"/>
      <c r="AI24" s="31" t="n"/>
      <c r="AJ24" s="31" t="n"/>
      <c r="AK24" s="24" t="inlineStr">
        <is>
          <t>model_qualified</t>
        </is>
      </c>
      <c r="AL24" s="26" t="n">
        <v>3</v>
      </c>
      <c r="AM24" s="24" t="inlineStr">
        <is>
          <t>QUALIFIED_SHADOW_CALL</t>
        </is>
      </c>
      <c r="AN24" s="24" t="inlineStr">
        <is>
          <t>CALL</t>
        </is>
      </c>
      <c r="AO24" s="24" t="inlineStr">
        <is>
          <t>QUALIFIED</t>
        </is>
      </c>
      <c r="AP24" s="24" t="inlineStr">
        <is>
          <t>wnba-tor</t>
        </is>
      </c>
      <c r="AQ24" s="24" t="inlineStr">
        <is>
          <t>Toronto Tempo</t>
        </is>
      </c>
      <c r="AR24" s="24" t="inlineStr">
        <is>
          <t>Toronto Tempo</t>
        </is>
      </c>
      <c r="AS24" s="24" t="inlineStr">
        <is>
          <t>wnba-gsv</t>
        </is>
      </c>
      <c r="AT24" s="24" t="inlineStr">
        <is>
          <t>Golden State Valkyries</t>
        </is>
      </c>
      <c r="AU24" s="24" t="inlineStr">
        <is>
          <t>Golden State Valkyries</t>
        </is>
      </c>
      <c r="AV24" s="24" t="n"/>
      <c r="AW24" s="24" t="n"/>
      <c r="AX24" s="24" t="inlineStr">
        <is>
          <t>statistical_model</t>
        </is>
      </c>
      <c r="AY24" s="24" t="n"/>
      <c r="AZ24" s="24" t="inlineStr">
        <is>
          <t>shadow_qualified</t>
        </is>
      </c>
      <c r="BA24" s="24" t="inlineStr">
        <is>
          <t>7afd5274214b58b7efd7f7febc7be3ab33b92351cda5cc6403c0a39faea0cc8c</t>
        </is>
      </c>
      <c r="BB24" s="24" t="inlineStr">
        <is>
          <t>learned_lr</t>
        </is>
      </c>
      <c r="BC24" s="24" t="inlineStr">
        <is>
          <t>wnba-elo-trend-lr-v4</t>
        </is>
      </c>
      <c r="BD24" s="24" t="inlineStr">
        <is>
          <t>7afd5274214b58b7efd7f7febc7be3ab33b92351cda5cc6403c0a39faea0cc8c</t>
        </is>
      </c>
      <c r="BE24" s="24" t="inlineStr">
        <is>
          <t>fb46ae94639bf9af</t>
        </is>
      </c>
      <c r="BF24" s="24" t="inlineStr">
        <is>
          <t>1</t>
        </is>
      </c>
      <c r="BG24" s="24" t="inlineStr">
        <is>
          <t>wnba-elo-trend-lr-v4</t>
        </is>
      </c>
      <c r="BH24" s="24" t="inlineStr">
        <is>
          <t>2026-08-05T01:07:13.594446Z</t>
        </is>
      </c>
      <c r="BI24" s="24" t="inlineStr">
        <is>
          <t>["same_event","same_team_same_day","same_league_same_day"]</t>
        </is>
      </c>
      <c r="BJ24" s="25" t="n"/>
      <c r="BK24" s="26" t="n">
        <v>-614</v>
      </c>
      <c r="BL24" s="27" t="n">
        <v>1.162866</v>
      </c>
      <c r="BM24" s="28" t="n">
        <v>0.859944</v>
      </c>
      <c r="BN24" s="28" t="n">
        <v>0.851485</v>
      </c>
      <c r="BO24" s="28" t="n"/>
      <c r="BP24" s="25" t="n"/>
      <c r="BQ24" s="27" t="n"/>
      <c r="BR24" s="28" t="n"/>
      <c r="BS24" s="28" t="n"/>
      <c r="BT24" s="28" t="n"/>
      <c r="BU24" s="25" t="n"/>
      <c r="BV24" s="29" t="n"/>
      <c r="BW24" s="24" t="n"/>
      <c r="BX24" s="30" t="n"/>
      <c r="BY24" s="27" t="n"/>
      <c r="BZ24" s="24" t="n"/>
      <c r="CA24" s="31" t="n"/>
      <c r="CB24" s="24" t="n"/>
      <c r="CC24" s="24" t="inlineStr">
        <is>
          <t>0.9026326565</t>
        </is>
      </c>
      <c r="CD24" s="24" t="inlineStr">
        <is>
          <t>2.972439</t>
        </is>
      </c>
      <c r="CE24" s="24" t="n"/>
      <c r="CF24" s="24" t="n"/>
      <c r="CG24" s="24" t="n"/>
      <c r="CH24" s="24" t="n"/>
      <c r="CI24" s="24" t="n"/>
      <c r="CJ24" s="24" t="inlineStr">
        <is>
          <t>1.230079</t>
        </is>
      </c>
      <c r="CK24" s="24" t="n"/>
      <c r="CL24" s="24" t="n"/>
      <c r="CM24" s="24" t="n"/>
      <c r="CN24" s="24" t="n"/>
      <c r="CO24" s="24" t="n"/>
      <c r="CP24" s="24" t="n"/>
      <c r="CQ24" s="24" t="n"/>
      <c r="CR24" s="24" t="inlineStr">
        <is>
          <t>0.774468</t>
        </is>
      </c>
      <c r="CS24" s="24" t="inlineStr">
        <is>
          <t>False</t>
        </is>
      </c>
    </row>
    <row r="25" ht="36" customHeight="1">
      <c r="A25" s="24" t="inlineStr">
        <is>
          <t>fcb554e501db41f7</t>
        </is>
      </c>
      <c r="B25" s="24" t="inlineStr">
        <is>
          <t>2026-08-05T21:01:20.386769Z</t>
        </is>
      </c>
      <c r="C25" s="24" t="inlineStr">
        <is>
          <t>2026-08-05T19:00:00-0400</t>
        </is>
      </c>
      <c r="D25" s="24" t="inlineStr">
        <is>
          <t>401857115</t>
        </is>
      </c>
      <c r="E25" s="24" t="inlineStr">
        <is>
          <t>WNBA</t>
        </is>
      </c>
      <c r="F25" s="24" t="inlineStr">
        <is>
          <t>Phoenix Mercury</t>
        </is>
      </c>
      <c r="G25" s="24" t="inlineStr">
        <is>
          <t>Atlanta Dream</t>
        </is>
      </c>
      <c r="H25" s="24" t="inlineStr">
        <is>
          <t>moneyline</t>
        </is>
      </c>
      <c r="I25" s="24" t="inlineStr">
        <is>
          <t>home</t>
        </is>
      </c>
      <c r="J25" s="25" t="n"/>
      <c r="K25" s="24" t="inlineStr">
        <is>
          <t>polymarket_us</t>
        </is>
      </c>
      <c r="L25" s="26" t="n">
        <v>-233</v>
      </c>
      <c r="M25" s="27" t="n">
        <v>1.429185</v>
      </c>
      <c r="N25" s="28" t="n">
        <v>0.6997</v>
      </c>
      <c r="O25" s="28" t="n">
        <v>0.660664</v>
      </c>
      <c r="P25" s="28" t="n"/>
      <c r="Q25" s="28" t="n">
        <v>-0.039036</v>
      </c>
      <c r="R25" s="26" t="n">
        <v>4</v>
      </c>
      <c r="S25" s="29" t="n">
        <v>0</v>
      </c>
      <c r="T25" s="24" t="inlineStr">
        <is>
          <t>wnba-elo-trend-lr-v4</t>
        </is>
      </c>
      <c r="U25" s="24" t="inlineStr">
        <is>
          <t>settled</t>
        </is>
      </c>
      <c r="V25" s="24" t="inlineStr">
        <is>
          <t>win</t>
        </is>
      </c>
      <c r="W25" s="26" t="n">
        <v>82</v>
      </c>
      <c r="X25" s="26" t="n">
        <v>96</v>
      </c>
      <c r="Y25" s="25" t="n"/>
      <c r="Z25" s="26" t="n"/>
      <c r="AA25" s="28" t="n"/>
      <c r="AB25" s="28" t="n"/>
      <c r="AC25" s="30" t="n">
        <v>0</v>
      </c>
      <c r="AD25" s="24" t="inlineStr">
        <is>
          <t>2026-08-06T03:25:55.924337Z</t>
        </is>
      </c>
      <c r="AE25" s="31" t="inlineStr">
        <is>
          <t>Learned LR call at threshold 0.5001; executable ask 0.7000 (aec-wnba-phx-atl-2026-08-05); model edge vs ask -0.0393.</t>
        </is>
      </c>
      <c r="AF25" s="31" t="inlineStr">
        <is>
          <t>Learned model; shadow-qualified via operator override.</t>
        </is>
      </c>
      <c r="AG25" s="24" t="inlineStr">
        <is>
          <t>not_applicable</t>
        </is>
      </c>
      <c r="AH25" s="24" t="n"/>
      <c r="AI25" s="31" t="n"/>
      <c r="AJ25" s="31" t="n"/>
      <c r="AK25" s="24" t="inlineStr">
        <is>
          <t>research_observation</t>
        </is>
      </c>
      <c r="AL25" s="26" t="n">
        <v>3</v>
      </c>
      <c r="AM25" s="24" t="inlineStr">
        <is>
          <t>RESEARCH_OBSERVATION</t>
        </is>
      </c>
      <c r="AN25" s="24" t="inlineStr">
        <is>
          <t>NO_CALL</t>
        </is>
      </c>
      <c r="AO25" s="24" t="inlineStr">
        <is>
          <t>NO_CALL_WINNER_OVERVALUED</t>
        </is>
      </c>
      <c r="AP25" s="24" t="inlineStr">
        <is>
          <t>wnba-phx</t>
        </is>
      </c>
      <c r="AQ25" s="24" t="inlineStr">
        <is>
          <t>Phoenix Mercury</t>
        </is>
      </c>
      <c r="AR25" s="24" t="inlineStr">
        <is>
          <t>Phoenix Mercury</t>
        </is>
      </c>
      <c r="AS25" s="24" t="inlineStr">
        <is>
          <t>wnba-atl</t>
        </is>
      </c>
      <c r="AT25" s="24" t="inlineStr">
        <is>
          <t>Atlanta Dream</t>
        </is>
      </c>
      <c r="AU25" s="24" t="inlineStr">
        <is>
          <t>Atlanta Dream</t>
        </is>
      </c>
      <c r="AV25" s="24" t="n"/>
      <c r="AW25" s="24" t="n"/>
      <c r="AX25" s="24" t="inlineStr">
        <is>
          <t>statistical_model</t>
        </is>
      </c>
      <c r="AY25" s="24" t="n"/>
      <c r="AZ25" s="24" t="inlineStr">
        <is>
          <t>shadow_qualified</t>
        </is>
      </c>
      <c r="BA25" s="24" t="inlineStr">
        <is>
          <t>7afd5274214b58b7efd7f7febc7be3ab33b92351cda5cc6403c0a39faea0cc8c</t>
        </is>
      </c>
      <c r="BB25" s="24" t="inlineStr">
        <is>
          <t>learned_lr</t>
        </is>
      </c>
      <c r="BC25" s="24" t="inlineStr">
        <is>
          <t>wnba-elo-trend-lr-v4</t>
        </is>
      </c>
      <c r="BD25" s="24" t="inlineStr">
        <is>
          <t>7afd5274214b58b7efd7f7febc7be3ab33b92351cda5cc6403c0a39faea0cc8c</t>
        </is>
      </c>
      <c r="BE25" s="24" t="inlineStr">
        <is>
          <t>db4cf2e6209fa446</t>
        </is>
      </c>
      <c r="BF25" s="24" t="inlineStr">
        <is>
          <t>1</t>
        </is>
      </c>
      <c r="BG25" s="24" t="inlineStr">
        <is>
          <t>wnba-elo-trend-lr-v4</t>
        </is>
      </c>
      <c r="BH25" s="24" t="inlineStr">
        <is>
          <t>2026-08-05T21:00:50.745854Z</t>
        </is>
      </c>
      <c r="BI25" s="24" t="inlineStr">
        <is>
          <t>["same_event","same_team_same_day","same_league_same_day"]</t>
        </is>
      </c>
      <c r="BJ25" s="25" t="n"/>
      <c r="BK25" s="26" t="n">
        <v>-233</v>
      </c>
      <c r="BL25" s="27" t="n">
        <v>1.429185</v>
      </c>
      <c r="BM25" s="28" t="n">
        <v>0.6997</v>
      </c>
      <c r="BN25" s="28" t="n">
        <v>0.693069</v>
      </c>
      <c r="BO25" s="28" t="n"/>
      <c r="BP25" s="25" t="n"/>
      <c r="BQ25" s="27" t="n"/>
      <c r="BR25" s="28" t="n"/>
      <c r="BS25" s="28" t="n"/>
      <c r="BT25" s="28" t="n"/>
      <c r="BU25" s="25" t="n"/>
      <c r="BV25" s="29" t="n"/>
      <c r="BW25" s="24" t="n"/>
      <c r="BX25" s="30" t="n"/>
      <c r="BY25" s="27" t="n"/>
      <c r="BZ25" s="24" t="n"/>
      <c r="CA25" s="31" t="n"/>
      <c r="CB25" s="24" t="n"/>
      <c r="CC25" s="24" t="inlineStr">
        <is>
          <t>0.708542691</t>
        </is>
      </c>
      <c r="CD25" s="24" t="inlineStr">
        <is>
          <t>-1.788883</t>
        </is>
      </c>
      <c r="CE25" s="24" t="n"/>
      <c r="CF25" s="24" t="n"/>
      <c r="CG25" s="24" t="n"/>
      <c r="CH25" s="24" t="n"/>
      <c r="CI25" s="24" t="n"/>
      <c r="CJ25" s="24" t="inlineStr">
        <is>
          <t>-1.7391</t>
        </is>
      </c>
      <c r="CK25" s="24" t="n"/>
      <c r="CL25" s="24" t="n"/>
      <c r="CM25" s="24" t="n"/>
      <c r="CN25" s="24" t="n"/>
      <c r="CO25" s="24" t="n"/>
      <c r="CP25" s="24" t="n"/>
      <c r="CQ25" s="24" t="n"/>
      <c r="CR25" s="24" t="inlineStr">
        <is>
          <t>0.660664</t>
        </is>
      </c>
      <c r="CS25" s="24" t="inlineStr">
        <is>
          <t>False</t>
        </is>
      </c>
    </row>
    <row r="26" ht="36" customHeight="1">
      <c r="A26" s="24" t="inlineStr">
        <is>
          <t>756ccd778ac2469e</t>
        </is>
      </c>
      <c r="B26" s="24" t="inlineStr">
        <is>
          <t>2026-08-05T21:01:20.386769Z</t>
        </is>
      </c>
      <c r="C26" s="24" t="inlineStr">
        <is>
          <t>2026-08-05T19:00:00-0400</t>
        </is>
      </c>
      <c r="D26" s="24" t="inlineStr">
        <is>
          <t>401857116</t>
        </is>
      </c>
      <c r="E26" s="24" t="inlineStr">
        <is>
          <t>WNBA</t>
        </is>
      </c>
      <c r="F26" s="24" t="inlineStr">
        <is>
          <t>Seattle Storm</t>
        </is>
      </c>
      <c r="G26" s="24" t="inlineStr">
        <is>
          <t>New York Liberty</t>
        </is>
      </c>
      <c r="H26" s="24" t="inlineStr">
        <is>
          <t>moneyline</t>
        </is>
      </c>
      <c r="I26" s="24" t="inlineStr">
        <is>
          <t>home</t>
        </is>
      </c>
      <c r="J26" s="25" t="n"/>
      <c r="K26" s="24" t="inlineStr">
        <is>
          <t>polymarket_us</t>
        </is>
      </c>
      <c r="L26" s="26" t="n">
        <v>-335</v>
      </c>
      <c r="M26" s="27" t="n">
        <v>1.298507</v>
      </c>
      <c r="N26" s="28" t="n">
        <v>0.770115</v>
      </c>
      <c r="O26" s="28" t="n">
        <v>0.741322</v>
      </c>
      <c r="P26" s="28" t="n"/>
      <c r="Q26" s="28" t="n">
        <v>-0.028793</v>
      </c>
      <c r="R26" s="26" t="n">
        <v>9</v>
      </c>
      <c r="S26" s="29" t="n">
        <v>0</v>
      </c>
      <c r="T26" s="24" t="inlineStr">
        <is>
          <t>wnba-elo-trend-lr-v4</t>
        </is>
      </c>
      <c r="U26" s="24" t="inlineStr">
        <is>
          <t>settled</t>
        </is>
      </c>
      <c r="V26" s="24" t="inlineStr">
        <is>
          <t>win</t>
        </is>
      </c>
      <c r="W26" s="26" t="n">
        <v>86</v>
      </c>
      <c r="X26" s="26" t="n">
        <v>92</v>
      </c>
      <c r="Y26" s="25" t="n"/>
      <c r="Z26" s="26" t="n"/>
      <c r="AA26" s="28" t="n"/>
      <c r="AB26" s="28" t="n"/>
      <c r="AC26" s="30" t="n">
        <v>0</v>
      </c>
      <c r="AD26" s="24" t="inlineStr">
        <is>
          <t>2026-08-06T03:25:56.598669Z</t>
        </is>
      </c>
      <c r="AE26" s="31" t="inlineStr">
        <is>
          <t>Learned LR call at threshold 0.5001; executable ask 0.7700 (aec-wnba-sea-ny-2026-08-05); model edge vs ask -0.0287.</t>
        </is>
      </c>
      <c r="AF26" s="31" t="inlineStr">
        <is>
          <t>Learned model; shadow-qualified via operator override.</t>
        </is>
      </c>
      <c r="AG26" s="24" t="inlineStr">
        <is>
          <t>not_applicable</t>
        </is>
      </c>
      <c r="AH26" s="24" t="n"/>
      <c r="AI26" s="31" t="n"/>
      <c r="AJ26" s="31" t="n"/>
      <c r="AK26" s="24" t="inlineStr">
        <is>
          <t>research_observation</t>
        </is>
      </c>
      <c r="AL26" s="26" t="n">
        <v>3</v>
      </c>
      <c r="AM26" s="24" t="inlineStr">
        <is>
          <t>RESEARCH_OBSERVATION</t>
        </is>
      </c>
      <c r="AN26" s="24" t="inlineStr">
        <is>
          <t>NO_CALL</t>
        </is>
      </c>
      <c r="AO26" s="24" t="inlineStr">
        <is>
          <t>NO_CALL_WINNER_OVERVALUED</t>
        </is>
      </c>
      <c r="AP26" s="24" t="inlineStr">
        <is>
          <t>wnba-sea</t>
        </is>
      </c>
      <c r="AQ26" s="24" t="inlineStr">
        <is>
          <t>Seattle Storm</t>
        </is>
      </c>
      <c r="AR26" s="24" t="inlineStr">
        <is>
          <t>Seattle Storm</t>
        </is>
      </c>
      <c r="AS26" s="24" t="inlineStr">
        <is>
          <t>wnba-nyl</t>
        </is>
      </c>
      <c r="AT26" s="24" t="inlineStr">
        <is>
          <t>New York Liberty</t>
        </is>
      </c>
      <c r="AU26" s="24" t="inlineStr">
        <is>
          <t>New York Liberty</t>
        </is>
      </c>
      <c r="AV26" s="24" t="n"/>
      <c r="AW26" s="24" t="n"/>
      <c r="AX26" s="24" t="inlineStr">
        <is>
          <t>statistical_model</t>
        </is>
      </c>
      <c r="AY26" s="24" t="n"/>
      <c r="AZ26" s="24" t="inlineStr">
        <is>
          <t>shadow_qualified</t>
        </is>
      </c>
      <c r="BA26" s="24" t="inlineStr">
        <is>
          <t>7afd5274214b58b7efd7f7febc7be3ab33b92351cda5cc6403c0a39faea0cc8c</t>
        </is>
      </c>
      <c r="BB26" s="24" t="inlineStr">
        <is>
          <t>learned_lr</t>
        </is>
      </c>
      <c r="BC26" s="24" t="inlineStr">
        <is>
          <t>wnba-elo-trend-lr-v4</t>
        </is>
      </c>
      <c r="BD26" s="24" t="inlineStr">
        <is>
          <t>7afd5274214b58b7efd7f7febc7be3ab33b92351cda5cc6403c0a39faea0cc8c</t>
        </is>
      </c>
      <c r="BE26" s="24" t="inlineStr">
        <is>
          <t>cbc087f3d2f12e27</t>
        </is>
      </c>
      <c r="BF26" s="24" t="inlineStr">
        <is>
          <t>1</t>
        </is>
      </c>
      <c r="BG26" s="24" t="inlineStr">
        <is>
          <t>wnba-elo-trend-lr-v4</t>
        </is>
      </c>
      <c r="BH26" s="24" t="inlineStr">
        <is>
          <t>2026-08-05T21:00:51.572136Z</t>
        </is>
      </c>
      <c r="BI26" s="24" t="inlineStr">
        <is>
          <t>["same_event","same_team_same_day","same_league_same_day"]</t>
        </is>
      </c>
      <c r="BJ26" s="25" t="n"/>
      <c r="BK26" s="26" t="n">
        <v>-335</v>
      </c>
      <c r="BL26" s="27" t="n">
        <v>1.298507</v>
      </c>
      <c r="BM26" s="28" t="n">
        <v>0.770115</v>
      </c>
      <c r="BN26" s="28" t="n">
        <v>0.7623760000000001</v>
      </c>
      <c r="BO26" s="28" t="n"/>
      <c r="BP26" s="25" t="n"/>
      <c r="BQ26" s="27" t="n"/>
      <c r="BR26" s="28" t="n"/>
      <c r="BS26" s="28" t="n"/>
      <c r="BT26" s="28" t="n"/>
      <c r="BU26" s="25" t="n"/>
      <c r="BV26" s="29" t="n"/>
      <c r="BW26" s="24" t="n"/>
      <c r="BX26" s="30" t="n"/>
      <c r="BY26" s="27" t="n"/>
      <c r="BZ26" s="24" t="n"/>
      <c r="CA26" s="31" t="n"/>
      <c r="CB26" s="24" t="n"/>
      <c r="CC26" s="24" t="inlineStr">
        <is>
          <t>0.8394756417</t>
        </is>
      </c>
      <c r="CD26" s="24" t="inlineStr">
        <is>
          <t>0.315883</t>
        </is>
      </c>
      <c r="CE26" s="24" t="n"/>
      <c r="CF26" s="24" t="n"/>
      <c r="CG26" s="24" t="n"/>
      <c r="CH26" s="24" t="n"/>
      <c r="CI26" s="24" t="n"/>
      <c r="CJ26" s="24" t="inlineStr">
        <is>
          <t>1.520421</t>
        </is>
      </c>
      <c r="CK26" s="24" t="n"/>
      <c r="CL26" s="24" t="n"/>
      <c r="CM26" s="24" t="n"/>
      <c r="CN26" s="24" t="n"/>
      <c r="CO26" s="24" t="n"/>
      <c r="CP26" s="24" t="n"/>
      <c r="CQ26" s="24" t="n"/>
      <c r="CR26" s="24" t="inlineStr">
        <is>
          <t>0.741322</t>
        </is>
      </c>
      <c r="CS26" s="24" t="inlineStr">
        <is>
          <t>False</t>
        </is>
      </c>
    </row>
    <row r="27" ht="36" customHeight="1">
      <c r="A27" s="24" t="inlineStr">
        <is>
          <t>fbae16fd793f4cb6</t>
        </is>
      </c>
      <c r="B27" s="24" t="inlineStr">
        <is>
          <t>2026-08-05T21:01:20.386769Z</t>
        </is>
      </c>
      <c r="C27" s="24" t="inlineStr">
        <is>
          <t>2026-08-05T19:30:00-0400</t>
        </is>
      </c>
      <c r="D27" s="24" t="inlineStr">
        <is>
          <t>401857117</t>
        </is>
      </c>
      <c r="E27" s="24" t="inlineStr">
        <is>
          <t>WNBA</t>
        </is>
      </c>
      <c r="F27" s="24" t="inlineStr">
        <is>
          <t>Dallas Wings</t>
        </is>
      </c>
      <c r="G27" s="24" t="inlineStr">
        <is>
          <t>Washington Mystics</t>
        </is>
      </c>
      <c r="H27" s="24" t="inlineStr">
        <is>
          <t>moneyline</t>
        </is>
      </c>
      <c r="I27" s="24" t="inlineStr">
        <is>
          <t>away</t>
        </is>
      </c>
      <c r="J27" s="25" t="n"/>
      <c r="K27" s="24" t="inlineStr">
        <is>
          <t>polymarket_us</t>
        </is>
      </c>
      <c r="L27" s="26" t="n">
        <v>-117</v>
      </c>
      <c r="M27" s="27" t="n">
        <v>1.854701</v>
      </c>
      <c r="N27" s="28" t="n">
        <v>0.539171</v>
      </c>
      <c r="O27" s="28" t="n">
        <v>0.532764</v>
      </c>
      <c r="P27" s="28" t="n"/>
      <c r="Q27" s="28" t="n">
        <v>-0.006407</v>
      </c>
      <c r="R27" s="26" t="n">
        <v>19</v>
      </c>
      <c r="S27" s="29" t="n">
        <v>0</v>
      </c>
      <c r="T27" s="24" t="inlineStr">
        <is>
          <t>wnba-elo-trend-lr-v4</t>
        </is>
      </c>
      <c r="U27" s="24" t="inlineStr">
        <is>
          <t>settled</t>
        </is>
      </c>
      <c r="V27" s="24" t="inlineStr">
        <is>
          <t>loss</t>
        </is>
      </c>
      <c r="W27" s="26" t="n">
        <v>92</v>
      </c>
      <c r="X27" s="26" t="n">
        <v>96</v>
      </c>
      <c r="Y27" s="25" t="n"/>
      <c r="Z27" s="26" t="n"/>
      <c r="AA27" s="28" t="n"/>
      <c r="AB27" s="28" t="n"/>
      <c r="AC27" s="30" t="n">
        <v>0</v>
      </c>
      <c r="AD27" s="24" t="inlineStr">
        <is>
          <t>2026-08-06T03:25:57.279339Z</t>
        </is>
      </c>
      <c r="AE27" s="31" t="inlineStr">
        <is>
          <t>Learned LR call at threshold 0.5001; executable ask 0.5400 (aec-wnba-dal-wsh-2026-08-05); model edge vs ask -0.0072.</t>
        </is>
      </c>
      <c r="AF27" s="31" t="inlineStr">
        <is>
          <t>Learned model; shadow-qualified via operator override.</t>
        </is>
      </c>
      <c r="AG27" s="24" t="inlineStr">
        <is>
          <t>review_required</t>
        </is>
      </c>
      <c r="AH27" s="24" t="n"/>
      <c r="AI27" s="31" t="n"/>
      <c r="AJ27" s="31" t="n"/>
      <c r="AK27" s="24" t="inlineStr">
        <is>
          <t>research_observation</t>
        </is>
      </c>
      <c r="AL27" s="26" t="n">
        <v>3</v>
      </c>
      <c r="AM27" s="24" t="inlineStr">
        <is>
          <t>RESEARCH_OBSERVATION</t>
        </is>
      </c>
      <c r="AN27" s="24" t="inlineStr">
        <is>
          <t>NO_CALL</t>
        </is>
      </c>
      <c r="AO27" s="24" t="inlineStr">
        <is>
          <t>NO_CALL_WINNER_OVERVALUED</t>
        </is>
      </c>
      <c r="AP27" s="24" t="inlineStr">
        <is>
          <t>wnba-dal</t>
        </is>
      </c>
      <c r="AQ27" s="24" t="inlineStr">
        <is>
          <t>Dallas Wings</t>
        </is>
      </c>
      <c r="AR27" s="24" t="inlineStr">
        <is>
          <t>Dallas Wings</t>
        </is>
      </c>
      <c r="AS27" s="24" t="inlineStr">
        <is>
          <t>wnba-was</t>
        </is>
      </c>
      <c r="AT27" s="24" t="inlineStr">
        <is>
          <t>Washington Mystics</t>
        </is>
      </c>
      <c r="AU27" s="24" t="inlineStr">
        <is>
          <t>Washington Mystics</t>
        </is>
      </c>
      <c r="AV27" s="24" t="n"/>
      <c r="AW27" s="24" t="n"/>
      <c r="AX27" s="24" t="inlineStr">
        <is>
          <t>statistical_model</t>
        </is>
      </c>
      <c r="AY27" s="24" t="n"/>
      <c r="AZ27" s="24" t="inlineStr">
        <is>
          <t>shadow_qualified</t>
        </is>
      </c>
      <c r="BA27" s="24" t="inlineStr">
        <is>
          <t>7afd5274214b58b7efd7f7febc7be3ab33b92351cda5cc6403c0a39faea0cc8c</t>
        </is>
      </c>
      <c r="BB27" s="24" t="inlineStr">
        <is>
          <t>learned_lr</t>
        </is>
      </c>
      <c r="BC27" s="24" t="inlineStr">
        <is>
          <t>wnba-elo-trend-lr-v4</t>
        </is>
      </c>
      <c r="BD27" s="24" t="inlineStr">
        <is>
          <t>7afd5274214b58b7efd7f7febc7be3ab33b92351cda5cc6403c0a39faea0cc8c</t>
        </is>
      </c>
      <c r="BE27" s="24" t="inlineStr">
        <is>
          <t>72f5694b0619f905</t>
        </is>
      </c>
      <c r="BF27" s="24" t="inlineStr">
        <is>
          <t>1</t>
        </is>
      </c>
      <c r="BG27" s="24" t="inlineStr">
        <is>
          <t>wnba-elo-trend-lr-v4</t>
        </is>
      </c>
      <c r="BH27" s="24" t="inlineStr">
        <is>
          <t>2026-08-05T21:00:52.092163Z</t>
        </is>
      </c>
      <c r="BI27" s="24" t="inlineStr">
        <is>
          <t>["same_event","same_team_same_day","same_league_same_day"]</t>
        </is>
      </c>
      <c r="BJ27" s="25" t="n"/>
      <c r="BK27" s="26" t="n">
        <v>-117</v>
      </c>
      <c r="BL27" s="27" t="n">
        <v>1.854701</v>
      </c>
      <c r="BM27" s="28" t="n">
        <v>0.539171</v>
      </c>
      <c r="BN27" s="28" t="n">
        <v>0.534653</v>
      </c>
      <c r="BO27" s="28" t="n"/>
      <c r="BP27" s="25" t="n"/>
      <c r="BQ27" s="27" t="n"/>
      <c r="BR27" s="28" t="n"/>
      <c r="BS27" s="28" t="n"/>
      <c r="BT27" s="28" t="n"/>
      <c r="BU27" s="25" t="n"/>
      <c r="BV27" s="29" t="n"/>
      <c r="BW27" s="24" t="n"/>
      <c r="BX27" s="30" t="n"/>
      <c r="BY27" s="27" t="n"/>
      <c r="BZ27" s="24" t="n"/>
      <c r="CA27" s="31" t="n"/>
      <c r="CB27" s="24" t="n"/>
      <c r="CC27" s="24" t="inlineStr">
        <is>
          <t>0.4611418469</t>
        </is>
      </c>
      <c r="CD27" s="24" t="inlineStr">
        <is>
          <t>1.287558</t>
        </is>
      </c>
      <c r="CE27" s="24" t="n"/>
      <c r="CF27" s="24" t="n"/>
      <c r="CG27" s="24" t="n"/>
      <c r="CH27" s="24" t="n"/>
      <c r="CI27" s="24" t="n"/>
      <c r="CJ27" s="24" t="inlineStr">
        <is>
          <t>-1.305803</t>
        </is>
      </c>
      <c r="CK27" s="24" t="n"/>
      <c r="CL27" s="24" t="n"/>
      <c r="CM27" s="24" t="n"/>
      <c r="CN27" s="24" t="n"/>
      <c r="CO27" s="24" t="n"/>
      <c r="CP27" s="24" t="n"/>
      <c r="CQ27" s="24" t="n"/>
      <c r="CR27" s="24" t="inlineStr">
        <is>
          <t>0.532764</t>
        </is>
      </c>
      <c r="CS27" s="24" t="inlineStr">
        <is>
          <t>False</t>
        </is>
      </c>
    </row>
    <row r="28" ht="36" customHeight="1">
      <c r="A28" s="24" t="inlineStr">
        <is>
          <t>4c120856e1e94f85</t>
        </is>
      </c>
      <c r="B28" s="24" t="inlineStr">
        <is>
          <t>2026-08-06T00:23:10.436172Z</t>
        </is>
      </c>
      <c r="C28" s="24" t="inlineStr">
        <is>
          <t>2026-08-05T21:00:00-0400</t>
        </is>
      </c>
      <c r="D28" s="24" t="inlineStr">
        <is>
          <t>401857118</t>
        </is>
      </c>
      <c r="E28" s="24" t="inlineStr">
        <is>
          <t>WNBA</t>
        </is>
      </c>
      <c r="F28" s="24" t="inlineStr">
        <is>
          <t>Los Angeles Sparks</t>
        </is>
      </c>
      <c r="G28" s="24" t="inlineStr">
        <is>
          <t>Chicago Sky</t>
        </is>
      </c>
      <c r="H28" s="24" t="inlineStr">
        <is>
          <t>moneyline</t>
        </is>
      </c>
      <c r="I28" s="24" t="inlineStr">
        <is>
          <t>home</t>
        </is>
      </c>
      <c r="J28" s="25" t="n"/>
      <c r="K28" s="24" t="inlineStr">
        <is>
          <t>polymarket_us</t>
        </is>
      </c>
      <c r="L28" s="26" t="n">
        <v>-133</v>
      </c>
      <c r="M28" s="27" t="n">
        <v>1.75188</v>
      </c>
      <c r="N28" s="28" t="n">
        <v>0.570815</v>
      </c>
      <c r="O28" s="28" t="n">
        <v>0.549529</v>
      </c>
      <c r="P28" s="28" t="n"/>
      <c r="Q28" s="28" t="n">
        <v>-0.021286</v>
      </c>
      <c r="R28" s="26" t="n">
        <v>13</v>
      </c>
      <c r="S28" s="29" t="n">
        <v>0</v>
      </c>
      <c r="T28" s="24" t="inlineStr">
        <is>
          <t>wnba-elo-trend-lr-v4</t>
        </is>
      </c>
      <c r="U28" s="24" t="inlineStr">
        <is>
          <t>settled</t>
        </is>
      </c>
      <c r="V28" s="24" t="inlineStr">
        <is>
          <t>win</t>
        </is>
      </c>
      <c r="W28" s="26" t="n">
        <v>88</v>
      </c>
      <c r="X28" s="26" t="n">
        <v>95</v>
      </c>
      <c r="Y28" s="25" t="n"/>
      <c r="Z28" s="26" t="n"/>
      <c r="AA28" s="28" t="n"/>
      <c r="AB28" s="28" t="n"/>
      <c r="AC28" s="30" t="n">
        <v>0</v>
      </c>
      <c r="AD28" s="24" t="inlineStr">
        <is>
          <t>2026-08-06T03:26:39.722755Z</t>
        </is>
      </c>
      <c r="AE28" s="31" t="inlineStr">
        <is>
          <t>Learned LR call at threshold 0.5001; executable ask 0.5700 (aec-wnba-la-chi-2026-08-05); model edge vs ask -0.0205. NOTE: NO_CALL_AVAILABILITY_SOURCE_CONFLICT unavailable for this game — defaulted to neutral, other features used normally.</t>
        </is>
      </c>
      <c r="AF28" s="31" t="inlineStr">
        <is>
          <t>Learned model; shadow-qualified via operator override.</t>
        </is>
      </c>
      <c r="AG28" s="24" t="inlineStr">
        <is>
          <t>not_applicable</t>
        </is>
      </c>
      <c r="AH28" s="24" t="n"/>
      <c r="AI28" s="31" t="n"/>
      <c r="AJ28" s="31" t="n"/>
      <c r="AK28" s="24" t="inlineStr">
        <is>
          <t>research_observation</t>
        </is>
      </c>
      <c r="AL28" s="26" t="n">
        <v>3</v>
      </c>
      <c r="AM28" s="24" t="inlineStr">
        <is>
          <t>RESEARCH_OBSERVATION</t>
        </is>
      </c>
      <c r="AN28" s="24" t="inlineStr">
        <is>
          <t>NO_CALL</t>
        </is>
      </c>
      <c r="AO28" s="24" t="inlineStr">
        <is>
          <t>NO_CALL_WINNER_OVERVALUED</t>
        </is>
      </c>
      <c r="AP28" s="24" t="inlineStr">
        <is>
          <t>wnba-las</t>
        </is>
      </c>
      <c r="AQ28" s="24" t="inlineStr">
        <is>
          <t>Los Angeles Sparks</t>
        </is>
      </c>
      <c r="AR28" s="24" t="inlineStr">
        <is>
          <t>Los Angeles Sparks</t>
        </is>
      </c>
      <c r="AS28" s="24" t="inlineStr">
        <is>
          <t>wnba-chi</t>
        </is>
      </c>
      <c r="AT28" s="24" t="inlineStr">
        <is>
          <t>Chicago Sky</t>
        </is>
      </c>
      <c r="AU28" s="24" t="inlineStr">
        <is>
          <t>Chicago Sky</t>
        </is>
      </c>
      <c r="AV28" s="24" t="n"/>
      <c r="AW28" s="24" t="n"/>
      <c r="AX28" s="24" t="inlineStr">
        <is>
          <t>statistical_model</t>
        </is>
      </c>
      <c r="AY28" s="24" t="n"/>
      <c r="AZ28" s="24" t="inlineStr">
        <is>
          <t>shadow_qualified</t>
        </is>
      </c>
      <c r="BA28" s="24" t="inlineStr">
        <is>
          <t>7afd5274214b58b7efd7f7febc7be3ab33b92351cda5cc6403c0a39faea0cc8c</t>
        </is>
      </c>
      <c r="BB28" s="24" t="inlineStr">
        <is>
          <t>learned_lr</t>
        </is>
      </c>
      <c r="BC28" s="24" t="inlineStr">
        <is>
          <t>wnba-elo-trend-lr-v4</t>
        </is>
      </c>
      <c r="BD28" s="24" t="inlineStr">
        <is>
          <t>7afd5274214b58b7efd7f7febc7be3ab33b92351cda5cc6403c0a39faea0cc8c</t>
        </is>
      </c>
      <c r="BE28" s="24" t="inlineStr">
        <is>
          <t>5cc21b269728431d</t>
        </is>
      </c>
      <c r="BF28" s="24" t="inlineStr">
        <is>
          <t>1</t>
        </is>
      </c>
      <c r="BG28" s="24" t="inlineStr">
        <is>
          <t>wnba-elo-trend-lr-v4</t>
        </is>
      </c>
      <c r="BH28" s="24" t="inlineStr">
        <is>
          <t>2026-08-06T00:22:59.513151Z</t>
        </is>
      </c>
      <c r="BI28" s="24" t="inlineStr">
        <is>
          <t>["same_event","same_team_same_day","same_league_same_day"]</t>
        </is>
      </c>
      <c r="BJ28" s="25" t="n"/>
      <c r="BK28" s="26" t="n">
        <v>-133</v>
      </c>
      <c r="BL28" s="27" t="n">
        <v>1.75188</v>
      </c>
      <c r="BM28" s="28" t="n">
        <v>0.570815</v>
      </c>
      <c r="BN28" s="28" t="n">
        <v>0.564356</v>
      </c>
      <c r="BO28" s="28" t="n"/>
      <c r="BP28" s="25" t="n"/>
      <c r="BQ28" s="27" t="n"/>
      <c r="BR28" s="28" t="n"/>
      <c r="BS28" s="28" t="n"/>
      <c r="BT28" s="28" t="n"/>
      <c r="BU28" s="25" t="n"/>
      <c r="BV28" s="29" t="n"/>
      <c r="BW28" s="24" t="n"/>
      <c r="BX28" s="30" t="n"/>
      <c r="BY28" s="27" t="n"/>
      <c r="BZ28" s="24" t="n"/>
      <c r="CA28" s="31" t="n"/>
      <c r="CB28" s="24" t="n"/>
      <c r="CC28" s="24" t="inlineStr">
        <is>
          <t>0.573492291</t>
        </is>
      </c>
      <c r="CD28" s="24" t="inlineStr">
        <is>
          <t>3.024749</t>
        </is>
      </c>
      <c r="CE28" s="24" t="n"/>
      <c r="CF28" s="24" t="n"/>
      <c r="CG28" s="24" t="n"/>
      <c r="CH28" s="24" t="n"/>
      <c r="CI28" s="24" t="inlineStr">
        <is>
          <t>NO_CALL_AVAILABILITY_SOURCE_CONFLICT</t>
        </is>
      </c>
      <c r="CJ28" s="24" t="inlineStr">
        <is>
          <t>2.235061</t>
        </is>
      </c>
      <c r="CK28" s="24" t="n"/>
      <c r="CL28" s="24" t="n"/>
      <c r="CM28" s="24" t="n"/>
      <c r="CN28" s="24" t="n"/>
      <c r="CO28" s="24" t="n"/>
      <c r="CP28" s="24" t="n"/>
      <c r="CQ28" s="24" t="n"/>
      <c r="CR28" s="24" t="inlineStr">
        <is>
          <t>0.549529</t>
        </is>
      </c>
      <c r="CS28" s="24" t="inlineStr">
        <is>
          <t>False</t>
        </is>
      </c>
    </row>
    <row r="29" ht="36" customHeight="1">
      <c r="A29" s="24" t="inlineStr">
        <is>
          <t>85909d8c00894246</t>
        </is>
      </c>
      <c r="B29" s="24" t="inlineStr">
        <is>
          <t>2026-08-06T18:58:18.495512Z</t>
        </is>
      </c>
      <c r="C29" s="24" t="inlineStr">
        <is>
          <t>2026-08-06T19:00:00-0400</t>
        </is>
      </c>
      <c r="D29" s="24" t="inlineStr">
        <is>
          <t>401857119</t>
        </is>
      </c>
      <c r="E29" s="24" t="inlineStr">
        <is>
          <t>WNBA</t>
        </is>
      </c>
      <c r="F29" s="24" t="inlineStr">
        <is>
          <t>Las Vegas Aces</t>
        </is>
      </c>
      <c r="G29" s="24" t="inlineStr">
        <is>
          <t>Indiana Fever</t>
        </is>
      </c>
      <c r="H29" s="24" t="inlineStr">
        <is>
          <t>moneyline</t>
        </is>
      </c>
      <c r="I29" s="24" t="inlineStr">
        <is>
          <t>home</t>
        </is>
      </c>
      <c r="J29" s="25" t="n"/>
      <c r="K29" s="24" t="inlineStr">
        <is>
          <t>polymarket_us</t>
        </is>
      </c>
      <c r="L29" s="26" t="n">
        <v>-104</v>
      </c>
      <c r="M29" s="27" t="n">
        <v>1.961538</v>
      </c>
      <c r="N29" s="28" t="n">
        <v>0.509804</v>
      </c>
      <c r="O29" s="28" t="n">
        <v>0.555661</v>
      </c>
      <c r="P29" s="28" t="n"/>
      <c r="Q29" s="28" t="n">
        <v>0.045857</v>
      </c>
      <c r="R29" s="26" t="n">
        <v>45</v>
      </c>
      <c r="S29" s="29" t="n">
        <v>0</v>
      </c>
      <c r="T29" s="24" t="inlineStr">
        <is>
          <t>wnba-elo-trend-lr-v4</t>
        </is>
      </c>
      <c r="U29" s="24" t="inlineStr">
        <is>
          <t>settled</t>
        </is>
      </c>
      <c r="V29" s="24" t="inlineStr">
        <is>
          <t>loss</t>
        </is>
      </c>
      <c r="W29" s="26" t="n">
        <v>86</v>
      </c>
      <c r="X29" s="26" t="n">
        <v>84</v>
      </c>
      <c r="Y29" s="25" t="n"/>
      <c r="Z29" s="26" t="n"/>
      <c r="AA29" s="28" t="n"/>
      <c r="AB29" s="28" t="n"/>
      <c r="AC29" s="30" t="n">
        <v>0</v>
      </c>
      <c r="AD29" s="24" t="inlineStr">
        <is>
          <t>2026-08-07T09:06:32.192371Z</t>
        </is>
      </c>
      <c r="AE29" s="31" t="inlineStr">
        <is>
          <t>Learned LR call at threshold 0.5001; executable ask 0.5100 (aec-wnba-lv-ind-2026-08-06); model edge vs ask +0.0457. NOTE: NO_CALL_AVAILABILITY_SOURCE_CONFLICT unavailable for this game — defaulted to neutral, other features used normally.</t>
        </is>
      </c>
      <c r="AF29" s="31" t="inlineStr">
        <is>
          <t>Learned model; shadow-qualified via operator override.</t>
        </is>
      </c>
      <c r="AG29" s="24" t="inlineStr">
        <is>
          <t>review_required</t>
        </is>
      </c>
      <c r="AH29" s="24" t="n"/>
      <c r="AI29" s="31" t="n"/>
      <c r="AJ29" s="31" t="n"/>
      <c r="AK29" s="24" t="inlineStr">
        <is>
          <t>research_observation</t>
        </is>
      </c>
      <c r="AL29" s="26" t="n">
        <v>3</v>
      </c>
      <c r="AM29" s="24" t="inlineStr">
        <is>
          <t>RESEARCH_OBSERVATION</t>
        </is>
      </c>
      <c r="AN29" s="24" t="inlineStr">
        <is>
          <t>NO_CALL</t>
        </is>
      </c>
      <c r="AO29" s="24" t="inlineStr">
        <is>
          <t>NO_CALL_WINNER_OVERVALUED</t>
        </is>
      </c>
      <c r="AP29" s="24" t="inlineStr">
        <is>
          <t>wnba-lva</t>
        </is>
      </c>
      <c r="AQ29" s="24" t="inlineStr">
        <is>
          <t>Las Vegas Aces</t>
        </is>
      </c>
      <c r="AR29" s="24" t="inlineStr">
        <is>
          <t>Las Vegas Aces</t>
        </is>
      </c>
      <c r="AS29" s="24" t="inlineStr">
        <is>
          <t>wnba-ind</t>
        </is>
      </c>
      <c r="AT29" s="24" t="inlineStr">
        <is>
          <t>Indiana Fever</t>
        </is>
      </c>
      <c r="AU29" s="24" t="inlineStr">
        <is>
          <t>Indiana Fever</t>
        </is>
      </c>
      <c r="AV29" s="24" t="n"/>
      <c r="AW29" s="24" t="n"/>
      <c r="AX29" s="24" t="inlineStr">
        <is>
          <t>statistical_model</t>
        </is>
      </c>
      <c r="AY29" s="24" t="n"/>
      <c r="AZ29" s="24" t="inlineStr">
        <is>
          <t>shadow_qualified</t>
        </is>
      </c>
      <c r="BA29" s="24" t="inlineStr">
        <is>
          <t>7afd5274214b58b7efd7f7febc7be3ab33b92351cda5cc6403c0a39faea0cc8c</t>
        </is>
      </c>
      <c r="BB29" s="24" t="inlineStr">
        <is>
          <t>learned_lr</t>
        </is>
      </c>
      <c r="BC29" s="24" t="inlineStr">
        <is>
          <t>wnba-elo-trend-lr-v4</t>
        </is>
      </c>
      <c r="BD29" s="24" t="inlineStr">
        <is>
          <t>7afd5274214b58b7efd7f7febc7be3ab33b92351cda5cc6403c0a39faea0cc8c</t>
        </is>
      </c>
      <c r="BE29" s="24" t="inlineStr">
        <is>
          <t>ee263665aa5e3903</t>
        </is>
      </c>
      <c r="BF29" s="24" t="inlineStr">
        <is>
          <t>1</t>
        </is>
      </c>
      <c r="BG29" s="24" t="inlineStr">
        <is>
          <t>wnba-elo-trend-lr-v4</t>
        </is>
      </c>
      <c r="BH29" s="24" t="inlineStr">
        <is>
          <t>2026-08-06T18:57:56.303091Z</t>
        </is>
      </c>
      <c r="BI29" s="24" t="inlineStr">
        <is>
          <t>["same_event","same_team_same_day","same_league_same_day"]</t>
        </is>
      </c>
      <c r="BJ29" s="25" t="n"/>
      <c r="BK29" s="26" t="n">
        <v>-104</v>
      </c>
      <c r="BL29" s="27" t="n">
        <v>1.961538</v>
      </c>
      <c r="BM29" s="28" t="n">
        <v>0.509804</v>
      </c>
      <c r="BN29" s="28" t="n">
        <v>0.50495</v>
      </c>
      <c r="BO29" s="28" t="n"/>
      <c r="BP29" s="25" t="n"/>
      <c r="BQ29" s="27" t="n"/>
      <c r="BR29" s="28" t="n"/>
      <c r="BS29" s="28" t="n"/>
      <c r="BT29" s="28" t="n"/>
      <c r="BU29" s="25" t="n"/>
      <c r="BV29" s="29" t="n"/>
      <c r="BW29" s="24" t="n"/>
      <c r="BX29" s="30" t="n"/>
      <c r="BY29" s="27" t="n"/>
      <c r="BZ29" s="24" t="n"/>
      <c r="CA29" s="31" t="n"/>
      <c r="CB29" s="24" t="n"/>
      <c r="CC29" s="24" t="inlineStr">
        <is>
          <t>0.5778273332</t>
        </is>
      </c>
      <c r="CD29" s="24" t="inlineStr">
        <is>
          <t>4.392054</t>
        </is>
      </c>
      <c r="CE29" s="24" t="n"/>
      <c r="CF29" s="24" t="n"/>
      <c r="CG29" s="24" t="n"/>
      <c r="CH29" s="24" t="n"/>
      <c r="CI29" s="24" t="inlineStr">
        <is>
          <t>NO_CALL_AVAILABILITY_SOURCE_CONFLICT</t>
        </is>
      </c>
      <c r="CJ29" s="24" t="inlineStr">
        <is>
          <t>-4.728134</t>
        </is>
      </c>
      <c r="CK29" s="24" t="n"/>
      <c r="CL29" s="24" t="n"/>
      <c r="CM29" s="24" t="n"/>
      <c r="CN29" s="24" t="n"/>
      <c r="CO29" s="24" t="n"/>
      <c r="CP29" s="24" t="n"/>
      <c r="CQ29" s="24" t="n"/>
      <c r="CR29" s="24" t="inlineStr">
        <is>
          <t>0.555661</t>
        </is>
      </c>
      <c r="CS29" s="24" t="inlineStr">
        <is>
          <t>True</t>
        </is>
      </c>
    </row>
    <row r="30" ht="36" customHeight="1">
      <c r="A30" s="24" t="inlineStr">
        <is>
          <t>7d69846638e04c11</t>
        </is>
      </c>
      <c r="B30" s="24" t="inlineStr">
        <is>
          <t>2026-08-06T18:58:18.495512Z</t>
        </is>
      </c>
      <c r="C30" s="24" t="inlineStr">
        <is>
          <t>2026-08-06T21:00:00-0400</t>
        </is>
      </c>
      <c r="D30" s="24" t="inlineStr">
        <is>
          <t>401857120</t>
        </is>
      </c>
      <c r="E30" s="24" t="inlineStr">
        <is>
          <t>WNBA</t>
        </is>
      </c>
      <c r="F30" s="24" t="inlineStr">
        <is>
          <t>Los Angeles Sparks</t>
        </is>
      </c>
      <c r="G30" s="24" t="inlineStr">
        <is>
          <t>Minnesota Lynx</t>
        </is>
      </c>
      <c r="H30" s="24" t="inlineStr">
        <is>
          <t>moneyline</t>
        </is>
      </c>
      <c r="I30" s="24" t="inlineStr">
        <is>
          <t>home</t>
        </is>
      </c>
      <c r="J30" s="25" t="n"/>
      <c r="K30" s="24" t="inlineStr">
        <is>
          <t>polymarket_us</t>
        </is>
      </c>
      <c r="L30" s="26" t="n">
        <v>-1150</v>
      </c>
      <c r="M30" s="27" t="n">
        <v>1.086957</v>
      </c>
      <c r="N30" s="28" t="n">
        <v>0.92</v>
      </c>
      <c r="O30" s="28" t="n">
        <v>0.7758</v>
      </c>
      <c r="P30" s="28" t="n"/>
      <c r="Q30" s="28" t="n">
        <v>-0.1442</v>
      </c>
      <c r="R30" s="26" t="n">
        <v>0</v>
      </c>
      <c r="S30" s="29" t="n">
        <v>0</v>
      </c>
      <c r="T30" s="24" t="inlineStr">
        <is>
          <t>wnba-elo-trend-lr-v4</t>
        </is>
      </c>
      <c r="U30" s="24" t="inlineStr">
        <is>
          <t>settled</t>
        </is>
      </c>
      <c r="V30" s="24" t="inlineStr">
        <is>
          <t>loss</t>
        </is>
      </c>
      <c r="W30" s="26" t="n">
        <v>89</v>
      </c>
      <c r="X30" s="26" t="n">
        <v>82</v>
      </c>
      <c r="Y30" s="25" t="n"/>
      <c r="Z30" s="26" t="n"/>
      <c r="AA30" s="28" t="n"/>
      <c r="AB30" s="28" t="n"/>
      <c r="AC30" s="30" t="n">
        <v>0</v>
      </c>
      <c r="AD30" s="24" t="inlineStr">
        <is>
          <t>2026-08-07T09:06:32.598784Z</t>
        </is>
      </c>
      <c r="AE30" s="31" t="inlineStr">
        <is>
          <t>Learned LR call at threshold 0.5001; executable ask 0.9200 (aec-wnba-la-min-2026-08-06); model edge vs ask -0.1442. NOTE: NO_CALL_AVAILABILITY_SOURCE_CONFLICT unavailable for this game — defaulted to neutral, other features used normally.</t>
        </is>
      </c>
      <c r="AF30" s="31" t="inlineStr">
        <is>
          <t>Learned model; shadow-qualified via operator override.</t>
        </is>
      </c>
      <c r="AG30" s="24" t="inlineStr">
        <is>
          <t>review_required</t>
        </is>
      </c>
      <c r="AH30" s="24" t="n"/>
      <c r="AI30" s="31" t="n"/>
      <c r="AJ30" s="31" t="n"/>
      <c r="AK30" s="24" t="inlineStr">
        <is>
          <t>research_observation</t>
        </is>
      </c>
      <c r="AL30" s="26" t="n">
        <v>3</v>
      </c>
      <c r="AM30" s="24" t="inlineStr">
        <is>
          <t>RESEARCH_OBSERVATION</t>
        </is>
      </c>
      <c r="AN30" s="24" t="inlineStr">
        <is>
          <t>NO_CALL</t>
        </is>
      </c>
      <c r="AO30" s="24" t="inlineStr">
        <is>
          <t>NO_CALL_WINNER_OVERVALUED</t>
        </is>
      </c>
      <c r="AP30" s="24" t="inlineStr">
        <is>
          <t>wnba-las</t>
        </is>
      </c>
      <c r="AQ30" s="24" t="inlineStr">
        <is>
          <t>Los Angeles Sparks</t>
        </is>
      </c>
      <c r="AR30" s="24" t="inlineStr">
        <is>
          <t>Los Angeles Sparks</t>
        </is>
      </c>
      <c r="AS30" s="24" t="inlineStr">
        <is>
          <t>wnba-min</t>
        </is>
      </c>
      <c r="AT30" s="24" t="inlineStr">
        <is>
          <t>Minnesota Lynx</t>
        </is>
      </c>
      <c r="AU30" s="24" t="inlineStr">
        <is>
          <t>Minnesota Lynx</t>
        </is>
      </c>
      <c r="AV30" s="24" t="n"/>
      <c r="AW30" s="24" t="n"/>
      <c r="AX30" s="24" t="inlineStr">
        <is>
          <t>statistical_model</t>
        </is>
      </c>
      <c r="AY30" s="24" t="n"/>
      <c r="AZ30" s="24" t="inlineStr">
        <is>
          <t>shadow_qualified</t>
        </is>
      </c>
      <c r="BA30" s="24" t="inlineStr">
        <is>
          <t>7afd5274214b58b7efd7f7febc7be3ab33b92351cda5cc6403c0a39faea0cc8c</t>
        </is>
      </c>
      <c r="BB30" s="24" t="inlineStr">
        <is>
          <t>learned_lr</t>
        </is>
      </c>
      <c r="BC30" s="24" t="inlineStr">
        <is>
          <t>wnba-elo-trend-lr-v4</t>
        </is>
      </c>
      <c r="BD30" s="24" t="inlineStr">
        <is>
          <t>7afd5274214b58b7efd7f7febc7be3ab33b92351cda5cc6403c0a39faea0cc8c</t>
        </is>
      </c>
      <c r="BE30" s="24" t="inlineStr">
        <is>
          <t>41c5f8278a71f705</t>
        </is>
      </c>
      <c r="BF30" s="24" t="inlineStr">
        <is>
          <t>1</t>
        </is>
      </c>
      <c r="BG30" s="24" t="inlineStr">
        <is>
          <t>wnba-elo-trend-lr-v4</t>
        </is>
      </c>
      <c r="BH30" s="24" t="inlineStr">
        <is>
          <t>2026-08-06T18:57:57.071624Z</t>
        </is>
      </c>
      <c r="BI30" s="24" t="inlineStr">
        <is>
          <t>["same_event","same_team_same_day","same_league_same_day"]</t>
        </is>
      </c>
      <c r="BJ30" s="25" t="n"/>
      <c r="BK30" s="26" t="n">
        <v>-1150</v>
      </c>
      <c r="BL30" s="27" t="n">
        <v>1.086957</v>
      </c>
      <c r="BM30" s="28" t="n">
        <v>0.92</v>
      </c>
      <c r="BN30" s="28" t="n">
        <v>0.910891</v>
      </c>
      <c r="BO30" s="28" t="n"/>
      <c r="BP30" s="25" t="n"/>
      <c r="BQ30" s="27" t="n"/>
      <c r="BR30" s="28" t="n"/>
      <c r="BS30" s="28" t="n"/>
      <c r="BT30" s="28" t="n"/>
      <c r="BU30" s="25" t="n"/>
      <c r="BV30" s="29" t="n"/>
      <c r="BW30" s="24" t="n"/>
      <c r="BX30" s="30" t="n"/>
      <c r="BY30" s="27" t="n"/>
      <c r="BZ30" s="24" t="n"/>
      <c r="CA30" s="31" t="n"/>
      <c r="CB30" s="24" t="n"/>
      <c r="CC30" s="24" t="inlineStr">
        <is>
          <t>0.904420571</t>
        </is>
      </c>
      <c r="CD30" s="24" t="inlineStr">
        <is>
          <t>3.215406</t>
        </is>
      </c>
      <c r="CE30" s="24" t="n"/>
      <c r="CF30" s="24" t="n"/>
      <c r="CG30" s="24" t="n"/>
      <c r="CH30" s="24" t="n"/>
      <c r="CI30" s="24" t="inlineStr">
        <is>
          <t>NO_CALL_AVAILABILITY_SOURCE_CONFLICT</t>
        </is>
      </c>
      <c r="CJ30" s="24" t="inlineStr">
        <is>
          <t>-0.02251</t>
        </is>
      </c>
      <c r="CK30" s="24" t="n"/>
      <c r="CL30" s="24" t="n"/>
      <c r="CM30" s="24" t="n"/>
      <c r="CN30" s="24" t="n"/>
      <c r="CO30" s="24" t="n"/>
      <c r="CP30" s="24" t="n"/>
      <c r="CQ30" s="24" t="n"/>
      <c r="CR30" s="24" t="inlineStr">
        <is>
          <t>0.7758</t>
        </is>
      </c>
      <c r="CS30" s="24" t="inlineStr">
        <is>
          <t>False</t>
        </is>
      </c>
    </row>
    <row r="31" ht="36" customHeight="1">
      <c r="A31" s="24" t="inlineStr">
        <is>
          <t>17f439c082b14660</t>
        </is>
      </c>
      <c r="B31" s="24" t="inlineStr">
        <is>
          <t>2026-08-06T18:58:18.495512Z</t>
        </is>
      </c>
      <c r="C31" s="24" t="inlineStr">
        <is>
          <t>2026-08-06T22:00:00-0400</t>
        </is>
      </c>
      <c r="D31" s="24" t="inlineStr">
        <is>
          <t>401857121</t>
        </is>
      </c>
      <c r="E31" s="24" t="inlineStr">
        <is>
          <t>WNBA</t>
        </is>
      </c>
      <c r="F31" s="24" t="inlineStr">
        <is>
          <t>Toronto Tempo</t>
        </is>
      </c>
      <c r="G31" s="24" t="inlineStr">
        <is>
          <t>Portland Fire</t>
        </is>
      </c>
      <c r="H31" s="24" t="inlineStr">
        <is>
          <t>moneyline</t>
        </is>
      </c>
      <c r="I31" s="24" t="inlineStr">
        <is>
          <t>home</t>
        </is>
      </c>
      <c r="J31" s="25" t="n"/>
      <c r="K31" s="24" t="inlineStr">
        <is>
          <t>polymarket_us</t>
        </is>
      </c>
      <c r="L31" s="26" t="n">
        <v>-138</v>
      </c>
      <c r="M31" s="27" t="n">
        <v>1.724638</v>
      </c>
      <c r="N31" s="28" t="n">
        <v>0.579832</v>
      </c>
      <c r="O31" s="28" t="n">
        <v>0.617434</v>
      </c>
      <c r="P31" s="28" t="n"/>
      <c r="Q31" s="28" t="n">
        <v>0.037602</v>
      </c>
      <c r="R31" s="26" t="n">
        <v>42</v>
      </c>
      <c r="S31" s="29" t="n">
        <v>0</v>
      </c>
      <c r="T31" s="24" t="inlineStr">
        <is>
          <t>wnba-elo-trend-lr-v4</t>
        </is>
      </c>
      <c r="U31" s="24" t="inlineStr">
        <is>
          <t>settled</t>
        </is>
      </c>
      <c r="V31" s="24" t="inlineStr">
        <is>
          <t>win</t>
        </is>
      </c>
      <c r="W31" s="26" t="n">
        <v>83</v>
      </c>
      <c r="X31" s="26" t="n">
        <v>97</v>
      </c>
      <c r="Y31" s="25" t="n"/>
      <c r="Z31" s="26" t="n"/>
      <c r="AA31" s="28" t="n"/>
      <c r="AB31" s="28" t="n"/>
      <c r="AC31" s="30" t="n">
        <v>0</v>
      </c>
      <c r="AD31" s="24" t="inlineStr">
        <is>
          <t>2026-08-07T09:06:33.053227Z</t>
        </is>
      </c>
      <c r="AE31" s="31" t="inlineStr">
        <is>
          <t>Learned LR call at threshold 0.5001; executable ask 0.5800 (aec-wnba-tor-por-2026-08-06); model edge vs ask +0.0374. NOTE: NO_CALL_AVAILABILITY_SOURCE_CONFLICT unavailable for this game — defaulted to neutral, other features used normally.</t>
        </is>
      </c>
      <c r="AF31" s="31" t="inlineStr">
        <is>
          <t>Learned model; shadow-qualified via operator override.</t>
        </is>
      </c>
      <c r="AG31" s="24" t="inlineStr">
        <is>
          <t>not_applicable</t>
        </is>
      </c>
      <c r="AH31" s="24" t="n"/>
      <c r="AI31" s="31" t="n"/>
      <c r="AJ31" s="31" t="n"/>
      <c r="AK31" s="24" t="inlineStr">
        <is>
          <t>research_observation</t>
        </is>
      </c>
      <c r="AL31" s="26" t="n">
        <v>3</v>
      </c>
      <c r="AM31" s="24" t="inlineStr">
        <is>
          <t>RESEARCH_OBSERVATION</t>
        </is>
      </c>
      <c r="AN31" s="24" t="inlineStr">
        <is>
          <t>NO_CALL</t>
        </is>
      </c>
      <c r="AO31" s="24" t="inlineStr">
        <is>
          <t>NO_CALL_WINNER_OVERVALUED</t>
        </is>
      </c>
      <c r="AP31" s="24" t="inlineStr">
        <is>
          <t>wnba-tor</t>
        </is>
      </c>
      <c r="AQ31" s="24" t="inlineStr">
        <is>
          <t>Toronto Tempo</t>
        </is>
      </c>
      <c r="AR31" s="24" t="inlineStr">
        <is>
          <t>Toronto Tempo</t>
        </is>
      </c>
      <c r="AS31" s="24" t="inlineStr">
        <is>
          <t>wnba-por</t>
        </is>
      </c>
      <c r="AT31" s="24" t="inlineStr">
        <is>
          <t>Portland Fire</t>
        </is>
      </c>
      <c r="AU31" s="24" t="inlineStr">
        <is>
          <t>Portland Fire</t>
        </is>
      </c>
      <c r="AV31" s="24" t="n"/>
      <c r="AW31" s="24" t="n"/>
      <c r="AX31" s="24" t="inlineStr">
        <is>
          <t>statistical_model</t>
        </is>
      </c>
      <c r="AY31" s="24" t="n"/>
      <c r="AZ31" s="24" t="inlineStr">
        <is>
          <t>shadow_qualified</t>
        </is>
      </c>
      <c r="BA31" s="24" t="inlineStr">
        <is>
          <t>7afd5274214b58b7efd7f7febc7be3ab33b92351cda5cc6403c0a39faea0cc8c</t>
        </is>
      </c>
      <c r="BB31" s="24" t="inlineStr">
        <is>
          <t>learned_lr</t>
        </is>
      </c>
      <c r="BC31" s="24" t="inlineStr">
        <is>
          <t>wnba-elo-trend-lr-v4</t>
        </is>
      </c>
      <c r="BD31" s="24" t="inlineStr">
        <is>
          <t>7afd5274214b58b7efd7f7febc7be3ab33b92351cda5cc6403c0a39faea0cc8c</t>
        </is>
      </c>
      <c r="BE31" s="24" t="inlineStr">
        <is>
          <t>90fd0d58822b7917</t>
        </is>
      </c>
      <c r="BF31" s="24" t="inlineStr">
        <is>
          <t>1</t>
        </is>
      </c>
      <c r="BG31" s="24" t="inlineStr">
        <is>
          <t>wnba-elo-trend-lr-v4</t>
        </is>
      </c>
      <c r="BH31" s="24" t="inlineStr">
        <is>
          <t>2026-08-06T18:57:57.472055Z</t>
        </is>
      </c>
      <c r="BI31" s="24" t="inlineStr">
        <is>
          <t>["same_event","same_team_same_day","same_league_same_day"]</t>
        </is>
      </c>
      <c r="BJ31" s="25" t="n"/>
      <c r="BK31" s="26" t="n">
        <v>-138</v>
      </c>
      <c r="BL31" s="27" t="n">
        <v>1.724638</v>
      </c>
      <c r="BM31" s="28" t="n">
        <v>0.579832</v>
      </c>
      <c r="BN31" s="28" t="n">
        <v>0.574257</v>
      </c>
      <c r="BO31" s="28" t="n"/>
      <c r="BP31" s="25" t="n"/>
      <c r="BQ31" s="27" t="n"/>
      <c r="BR31" s="28" t="n"/>
      <c r="BS31" s="28" t="n"/>
      <c r="BT31" s="28" t="n"/>
      <c r="BU31" s="25" t="n"/>
      <c r="BV31" s="29" t="n"/>
      <c r="BW31" s="24" t="n"/>
      <c r="BX31" s="30" t="n"/>
      <c r="BY31" s="27" t="n"/>
      <c r="BZ31" s="24" t="n"/>
      <c r="CA31" s="31" t="n"/>
      <c r="CB31" s="24" t="n"/>
      <c r="CC31" s="24" t="inlineStr">
        <is>
          <t>0.6630193028</t>
        </is>
      </c>
      <c r="CD31" s="24" t="inlineStr">
        <is>
          <t>4.186942</t>
        </is>
      </c>
      <c r="CE31" s="24" t="n"/>
      <c r="CF31" s="24" t="n"/>
      <c r="CG31" s="24" t="n"/>
      <c r="CH31" s="24" t="n"/>
      <c r="CI31" s="24" t="inlineStr">
        <is>
          <t>NO_CALL_AVAILABILITY_SOURCE_CONFLICT</t>
        </is>
      </c>
      <c r="CJ31" s="24" t="inlineStr">
        <is>
          <t>-0.197354</t>
        </is>
      </c>
      <c r="CK31" s="24" t="n"/>
      <c r="CL31" s="24" t="n"/>
      <c r="CM31" s="24" t="n"/>
      <c r="CN31" s="24" t="n"/>
      <c r="CO31" s="24" t="n"/>
      <c r="CP31" s="24" t="n"/>
      <c r="CQ31" s="24" t="n"/>
      <c r="CR31" s="24" t="inlineStr">
        <is>
          <t>0.617434</t>
        </is>
      </c>
      <c r="CS31" s="24" t="inlineStr">
        <is>
          <t>True</t>
        </is>
      </c>
    </row>
    <row r="32" ht="36" customHeight="1">
      <c r="A32" s="24" t="inlineStr">
        <is>
          <t>37898ae8bd4a4c61</t>
        </is>
      </c>
      <c r="B32" s="24" t="inlineStr">
        <is>
          <t>2026-08-07T21:56:24.360448Z</t>
        </is>
      </c>
      <c r="C32" s="24" t="inlineStr">
        <is>
          <t>2026-08-07T19:30:00-0400</t>
        </is>
      </c>
      <c r="D32" s="24" t="inlineStr">
        <is>
          <t>401857122</t>
        </is>
      </c>
      <c r="E32" s="24" t="inlineStr">
        <is>
          <t>WNBA</t>
        </is>
      </c>
      <c r="F32" s="24" t="inlineStr">
        <is>
          <t>Phoenix Mercury</t>
        </is>
      </c>
      <c r="G32" s="24" t="inlineStr">
        <is>
          <t>Connecticut Sun</t>
        </is>
      </c>
      <c r="H32" s="24" t="inlineStr">
        <is>
          <t>moneyline</t>
        </is>
      </c>
      <c r="I32" s="24" t="inlineStr">
        <is>
          <t>away</t>
        </is>
      </c>
      <c r="J32" s="25" t="n"/>
      <c r="K32" s="24" t="inlineStr">
        <is>
          <t>polymarket_us</t>
        </is>
      </c>
      <c r="L32" s="26" t="n">
        <v>-223</v>
      </c>
      <c r="M32" s="27" t="n">
        <v>1.44843</v>
      </c>
      <c r="N32" s="28" t="n">
        <v>0.690402</v>
      </c>
      <c r="O32" s="28" t="n">
        <v>0.5232869999999999</v>
      </c>
      <c r="P32" s="28" t="n"/>
      <c r="Q32" s="28" t="n">
        <v>-0.167115</v>
      </c>
      <c r="R32" s="26" t="n">
        <v>0</v>
      </c>
      <c r="S32" s="29" t="n">
        <v>0</v>
      </c>
      <c r="T32" s="24" t="inlineStr">
        <is>
          <t>wnba-elo-trend-lr-v4</t>
        </is>
      </c>
      <c r="U32" s="24" t="inlineStr">
        <is>
          <t>settled</t>
        </is>
      </c>
      <c r="V32" s="24" t="inlineStr">
        <is>
          <t>loss</t>
        </is>
      </c>
      <c r="W32" s="26" t="n">
        <v>72</v>
      </c>
      <c r="X32" s="26" t="n">
        <v>75</v>
      </c>
      <c r="Y32" s="25" t="n"/>
      <c r="Z32" s="26" t="n"/>
      <c r="AA32" s="28" t="n"/>
      <c r="AB32" s="28" t="n"/>
      <c r="AC32" s="30" t="n">
        <v>0</v>
      </c>
      <c r="AD32" s="24" t="inlineStr">
        <is>
          <t>2026-08-08T04:03:23.983838Z</t>
        </is>
      </c>
      <c r="AE32" s="31" t="inlineStr">
        <is>
          <t>Learned LR call at threshold 0.5001; executable ask 0.6900 (aec-wnba-phx-conn-2026-08-07); model edge vs ask -0.1667. NOTE: NO_CALL_AVAILABILITY_SOURCE_CONFLICT unavailable for this game — defaulted to neutral, other features used normally.</t>
        </is>
      </c>
      <c r="AF32" s="31" t="inlineStr">
        <is>
          <t>Learned model; shadow-qualified via operator override.</t>
        </is>
      </c>
      <c r="AG32" s="24" t="inlineStr">
        <is>
          <t>review_required</t>
        </is>
      </c>
      <c r="AH32" s="24" t="n"/>
      <c r="AI32" s="31" t="n"/>
      <c r="AJ32" s="31" t="n"/>
      <c r="AK32" s="24" t="inlineStr">
        <is>
          <t>research_observation</t>
        </is>
      </c>
      <c r="AL32" s="26" t="n">
        <v>3</v>
      </c>
      <c r="AM32" s="24" t="inlineStr">
        <is>
          <t>RESEARCH_OBSERVATION</t>
        </is>
      </c>
      <c r="AN32" s="24" t="inlineStr">
        <is>
          <t>NO_CALL</t>
        </is>
      </c>
      <c r="AO32" s="24" t="inlineStr">
        <is>
          <t>NO_CALL_WINNER_OVERVALUED</t>
        </is>
      </c>
      <c r="AP32" s="24" t="inlineStr">
        <is>
          <t>wnba-phx</t>
        </is>
      </c>
      <c r="AQ32" s="24" t="inlineStr">
        <is>
          <t>Phoenix Mercury</t>
        </is>
      </c>
      <c r="AR32" s="24" t="inlineStr">
        <is>
          <t>Phoenix Mercury</t>
        </is>
      </c>
      <c r="AS32" s="24" t="inlineStr">
        <is>
          <t>wnba-con</t>
        </is>
      </c>
      <c r="AT32" s="24" t="inlineStr">
        <is>
          <t>Connecticut Sun</t>
        </is>
      </c>
      <c r="AU32" s="24" t="inlineStr">
        <is>
          <t>Connecticut Sun</t>
        </is>
      </c>
      <c r="AV32" s="24" t="n"/>
      <c r="AW32" s="24" t="n"/>
      <c r="AX32" s="24" t="inlineStr">
        <is>
          <t>statistical_model</t>
        </is>
      </c>
      <c r="AY32" s="24" t="n"/>
      <c r="AZ32" s="24" t="inlineStr">
        <is>
          <t>shadow_qualified</t>
        </is>
      </c>
      <c r="BA32" s="24" t="inlineStr">
        <is>
          <t>7afd5274214b58b7efd7f7febc7be3ab33b92351cda5cc6403c0a39faea0cc8c</t>
        </is>
      </c>
      <c r="BB32" s="24" t="inlineStr">
        <is>
          <t>learned_lr</t>
        </is>
      </c>
      <c r="BC32" s="24" t="inlineStr">
        <is>
          <t>wnba-elo-trend-lr-v4</t>
        </is>
      </c>
      <c r="BD32" s="24" t="inlineStr">
        <is>
          <t>7afd5274214b58b7efd7f7febc7be3ab33b92351cda5cc6403c0a39faea0cc8c</t>
        </is>
      </c>
      <c r="BE32" s="24" t="inlineStr">
        <is>
          <t>0cc51532bda1a1e7</t>
        </is>
      </c>
      <c r="BF32" s="24" t="inlineStr">
        <is>
          <t>1</t>
        </is>
      </c>
      <c r="BG32" s="24" t="inlineStr">
        <is>
          <t>wnba-elo-trend-lr-v4</t>
        </is>
      </c>
      <c r="BH32" s="24" t="inlineStr">
        <is>
          <t>2026-08-07T21:55:59.492580Z</t>
        </is>
      </c>
      <c r="BI32" s="24" t="inlineStr">
        <is>
          <t>["same_event","same_team_same_day","same_league_same_day"]</t>
        </is>
      </c>
      <c r="BJ32" s="25" t="n"/>
      <c r="BK32" s="26" t="n">
        <v>-223</v>
      </c>
      <c r="BL32" s="27" t="n">
        <v>1.44843</v>
      </c>
      <c r="BM32" s="28" t="n">
        <v>0.690402</v>
      </c>
      <c r="BN32" s="28" t="n">
        <v>0.683168</v>
      </c>
      <c r="BO32" s="28" t="n"/>
      <c r="BP32" s="25" t="n"/>
      <c r="BQ32" s="27" t="n"/>
      <c r="BR32" s="28" t="n"/>
      <c r="BS32" s="28" t="n"/>
      <c r="BT32" s="28" t="n"/>
      <c r="BU32" s="25" t="n"/>
      <c r="BV32" s="29" t="n"/>
      <c r="BW32" s="24" t="n"/>
      <c r="BX32" s="30" t="n"/>
      <c r="BY32" s="27" t="n"/>
      <c r="BZ32" s="24" t="n"/>
      <c r="CA32" s="31" t="n"/>
      <c r="CB32" s="24" t="n"/>
      <c r="CC32" s="24" t="inlineStr">
        <is>
          <t>0.464766751</t>
        </is>
      </c>
      <c r="CD32" s="24" t="inlineStr">
        <is>
          <t>-5.674273</t>
        </is>
      </c>
      <c r="CE32" s="24" t="n"/>
      <c r="CF32" s="24" t="n"/>
      <c r="CG32" s="24" t="n"/>
      <c r="CH32" s="24" t="n"/>
      <c r="CI32" s="24" t="inlineStr">
        <is>
          <t>NO_CALL_AVAILABILITY_SOURCE_CONFLICT</t>
        </is>
      </c>
      <c r="CJ32" s="24" t="inlineStr">
        <is>
          <t>5.627573</t>
        </is>
      </c>
      <c r="CK32" s="24" t="n"/>
      <c r="CL32" s="24" t="n"/>
      <c r="CM32" s="24" t="n"/>
      <c r="CN32" s="24" t="n"/>
      <c r="CO32" s="24" t="n"/>
      <c r="CP32" s="24" t="n"/>
      <c r="CQ32" s="24" t="n"/>
      <c r="CR32" s="24" t="inlineStr">
        <is>
          <t>0.523287</t>
        </is>
      </c>
      <c r="CS32" s="24" t="inlineStr">
        <is>
          <t>False</t>
        </is>
      </c>
    </row>
    <row r="33" ht="36" customHeight="1">
      <c r="A33" s="24" t="inlineStr">
        <is>
          <t>81a2663931b24d74</t>
        </is>
      </c>
      <c r="B33" s="24" t="inlineStr">
        <is>
          <t>2026-08-07T21:56:24.360448Z</t>
        </is>
      </c>
      <c r="C33" s="24" t="inlineStr">
        <is>
          <t>2026-08-07T19:30:00-0400</t>
        </is>
      </c>
      <c r="D33" s="24" t="inlineStr">
        <is>
          <t>401857123</t>
        </is>
      </c>
      <c r="E33" s="24" t="inlineStr">
        <is>
          <t>WNBA</t>
        </is>
      </c>
      <c r="F33" s="24" t="inlineStr">
        <is>
          <t>Atlanta Dream</t>
        </is>
      </c>
      <c r="G33" s="24" t="inlineStr">
        <is>
          <t>Washington Mystics</t>
        </is>
      </c>
      <c r="H33" s="24" t="inlineStr">
        <is>
          <t>moneyline</t>
        </is>
      </c>
      <c r="I33" s="24" t="inlineStr">
        <is>
          <t>home</t>
        </is>
      </c>
      <c r="J33" s="25" t="n"/>
      <c r="K33" s="24" t="inlineStr">
        <is>
          <t>polymarket_us</t>
        </is>
      </c>
      <c r="L33" s="26" t="n">
        <v>194</v>
      </c>
      <c r="M33" s="27" t="n">
        <v>2.94</v>
      </c>
      <c r="N33" s="28" t="n">
        <v>0.340136</v>
      </c>
      <c r="O33" s="28" t="n">
        <v>0.561972</v>
      </c>
      <c r="P33" s="28" t="n"/>
      <c r="Q33" s="28" t="n">
        <v>0.221836</v>
      </c>
      <c r="R33" s="26" t="n">
        <v>100</v>
      </c>
      <c r="S33" s="29" t="n">
        <v>1</v>
      </c>
      <c r="T33" s="24" t="inlineStr">
        <is>
          <t>wnba-elo-trend-lr-v4</t>
        </is>
      </c>
      <c r="U33" s="24" t="inlineStr">
        <is>
          <t>settled</t>
        </is>
      </c>
      <c r="V33" s="24" t="inlineStr">
        <is>
          <t>win</t>
        </is>
      </c>
      <c r="W33" s="26" t="n">
        <v>74</v>
      </c>
      <c r="X33" s="26" t="n">
        <v>79</v>
      </c>
      <c r="Y33" s="25" t="n"/>
      <c r="Z33" s="26" t="n"/>
      <c r="AA33" s="28" t="n"/>
      <c r="AB33" s="28" t="n"/>
      <c r="AC33" s="30" t="n">
        <v>1.94</v>
      </c>
      <c r="AD33" s="24" t="inlineStr">
        <is>
          <t>2026-08-08T04:03:24.422459Z</t>
        </is>
      </c>
      <c r="AE33" s="31" t="inlineStr">
        <is>
          <t>Learned LR call at threshold 0.5001; executable ask 0.3400 (aec-wnba-atl-wsh-2026-08-07); model edge vs ask +0.2220.</t>
        </is>
      </c>
      <c r="AF33" s="31" t="inlineStr">
        <is>
          <t>Learned model; shadow-qualified via operator override.</t>
        </is>
      </c>
      <c r="AG33" s="24" t="inlineStr">
        <is>
          <t>not_applicable</t>
        </is>
      </c>
      <c r="AH33" s="24" t="n"/>
      <c r="AI33" s="31" t="n"/>
      <c r="AJ33" s="31" t="n"/>
      <c r="AK33" s="24" t="inlineStr">
        <is>
          <t>model_qualified</t>
        </is>
      </c>
      <c r="AL33" s="26" t="n">
        <v>3</v>
      </c>
      <c r="AM33" s="24" t="inlineStr">
        <is>
          <t>QUALIFIED_SHADOW_CALL</t>
        </is>
      </c>
      <c r="AN33" s="24" t="inlineStr">
        <is>
          <t>CALL</t>
        </is>
      </c>
      <c r="AO33" s="24" t="inlineStr">
        <is>
          <t>QUALIFIED</t>
        </is>
      </c>
      <c r="AP33" s="24" t="inlineStr">
        <is>
          <t>wnba-atl</t>
        </is>
      </c>
      <c r="AQ33" s="24" t="inlineStr">
        <is>
          <t>Atlanta Dream</t>
        </is>
      </c>
      <c r="AR33" s="24" t="inlineStr">
        <is>
          <t>Atlanta Dream</t>
        </is>
      </c>
      <c r="AS33" s="24" t="inlineStr">
        <is>
          <t>wnba-was</t>
        </is>
      </c>
      <c r="AT33" s="24" t="inlineStr">
        <is>
          <t>Washington Mystics</t>
        </is>
      </c>
      <c r="AU33" s="24" t="inlineStr">
        <is>
          <t>Washington Mystics</t>
        </is>
      </c>
      <c r="AV33" s="24" t="n"/>
      <c r="AW33" s="24" t="n"/>
      <c r="AX33" s="24" t="inlineStr">
        <is>
          <t>statistical_model</t>
        </is>
      </c>
      <c r="AY33" s="24" t="n"/>
      <c r="AZ33" s="24" t="inlineStr">
        <is>
          <t>shadow_qualified</t>
        </is>
      </c>
      <c r="BA33" s="24" t="inlineStr">
        <is>
          <t>7afd5274214b58b7efd7f7febc7be3ab33b92351cda5cc6403c0a39faea0cc8c</t>
        </is>
      </c>
      <c r="BB33" s="24" t="inlineStr">
        <is>
          <t>learned_lr</t>
        </is>
      </c>
      <c r="BC33" s="24" t="inlineStr">
        <is>
          <t>wnba-elo-trend-lr-v4</t>
        </is>
      </c>
      <c r="BD33" s="24" t="inlineStr">
        <is>
          <t>7afd5274214b58b7efd7f7febc7be3ab33b92351cda5cc6403c0a39faea0cc8c</t>
        </is>
      </c>
      <c r="BE33" s="24" t="inlineStr">
        <is>
          <t>7527e38cbf3d298e</t>
        </is>
      </c>
      <c r="BF33" s="24" t="inlineStr">
        <is>
          <t>1</t>
        </is>
      </c>
      <c r="BG33" s="24" t="inlineStr">
        <is>
          <t>wnba-elo-trend-lr-v4</t>
        </is>
      </c>
      <c r="BH33" s="24" t="inlineStr">
        <is>
          <t>2026-08-07T21:56:00.000131Z</t>
        </is>
      </c>
      <c r="BI33" s="24" t="inlineStr">
        <is>
          <t>["same_event","same_team_same_day","same_league_same_day"]</t>
        </is>
      </c>
      <c r="BJ33" s="25" t="n"/>
      <c r="BK33" s="26" t="n">
        <v>194</v>
      </c>
      <c r="BL33" s="27" t="n">
        <v>2.94</v>
      </c>
      <c r="BM33" s="28" t="n">
        <v>0.340136</v>
      </c>
      <c r="BN33" s="28" t="n">
        <v>0.336634</v>
      </c>
      <c r="BO33" s="28" t="n"/>
      <c r="BP33" s="25" t="n"/>
      <c r="BQ33" s="27" t="n"/>
      <c r="BR33" s="28" t="n"/>
      <c r="BS33" s="28" t="n"/>
      <c r="BT33" s="28" t="n"/>
      <c r="BU33" s="25" t="n"/>
      <c r="BV33" s="29" t="n"/>
      <c r="BW33" s="24" t="n"/>
      <c r="BX33" s="30" t="n"/>
      <c r="BY33" s="27" t="n"/>
      <c r="BZ33" s="24" t="n"/>
      <c r="CA33" s="31" t="n"/>
      <c r="CB33" s="24" t="n"/>
      <c r="CC33" s="24" t="inlineStr">
        <is>
          <t>0.5839932663</t>
        </is>
      </c>
      <c r="CD33" s="24" t="inlineStr">
        <is>
          <t>-1.592597</t>
        </is>
      </c>
      <c r="CE33" s="24" t="n"/>
      <c r="CF33" s="24" t="n"/>
      <c r="CG33" s="24" t="n"/>
      <c r="CH33" s="24" t="n"/>
      <c r="CI33" s="24" t="n"/>
      <c r="CJ33" s="24" t="inlineStr">
        <is>
          <t>6.900454</t>
        </is>
      </c>
      <c r="CK33" s="24" t="n"/>
      <c r="CL33" s="24" t="n"/>
      <c r="CM33" s="24" t="n"/>
      <c r="CN33" s="24" t="n"/>
      <c r="CO33" s="24" t="n"/>
      <c r="CP33" s="24" t="n"/>
      <c r="CQ33" s="24" t="n"/>
      <c r="CR33" s="24" t="inlineStr">
        <is>
          <t>0.561972</t>
        </is>
      </c>
      <c r="CS33" s="24" t="inlineStr">
        <is>
          <t>True</t>
        </is>
      </c>
    </row>
    <row r="34" ht="36" customHeight="1">
      <c r="A34" s="24" t="inlineStr">
        <is>
          <t>ce8b7cfa0d84414d</t>
        </is>
      </c>
      <c r="B34" s="24" t="inlineStr">
        <is>
          <t>2026-08-08T01:00:54.678171Z</t>
        </is>
      </c>
      <c r="C34" s="24" t="inlineStr">
        <is>
          <t>2026-08-07T21:30:00-0400</t>
        </is>
      </c>
      <c r="D34" s="24" t="inlineStr">
        <is>
          <t>401857124</t>
        </is>
      </c>
      <c r="E34" s="24" t="inlineStr">
        <is>
          <t>WNBA</t>
        </is>
      </c>
      <c r="F34" s="24" t="inlineStr">
        <is>
          <t>Golden State Valkyries</t>
        </is>
      </c>
      <c r="G34" s="24" t="inlineStr">
        <is>
          <t>Dallas Wings</t>
        </is>
      </c>
      <c r="H34" s="24" t="inlineStr">
        <is>
          <t>moneyline</t>
        </is>
      </c>
      <c r="I34" s="24" t="inlineStr">
        <is>
          <t>away</t>
        </is>
      </c>
      <c r="J34" s="25" t="n"/>
      <c r="K34" s="24" t="inlineStr">
        <is>
          <t>polymarket_us</t>
        </is>
      </c>
      <c r="L34" s="26" t="n">
        <v>104</v>
      </c>
      <c r="M34" s="27" t="n">
        <v>2.04</v>
      </c>
      <c r="N34" s="28" t="n">
        <v>0.490196</v>
      </c>
      <c r="O34" s="28" t="n">
        <v>0.506578</v>
      </c>
      <c r="P34" s="28" t="n"/>
      <c r="Q34" s="28" t="n">
        <v>0.016382</v>
      </c>
      <c r="R34" s="26" t="n">
        <v>31</v>
      </c>
      <c r="S34" s="29" t="n">
        <v>0</v>
      </c>
      <c r="T34" s="24" t="inlineStr">
        <is>
          <t>wnba-elo-trend-lr-v4</t>
        </is>
      </c>
      <c r="U34" s="24" t="inlineStr">
        <is>
          <t>settled</t>
        </is>
      </c>
      <c r="V34" s="24" t="inlineStr">
        <is>
          <t>win</t>
        </is>
      </c>
      <c r="W34" s="26" t="n">
        <v>94</v>
      </c>
      <c r="X34" s="26" t="n">
        <v>76</v>
      </c>
      <c r="Y34" s="25" t="n"/>
      <c r="Z34" s="26" t="n"/>
      <c r="AA34" s="28" t="n"/>
      <c r="AB34" s="28" t="n"/>
      <c r="AC34" s="30" t="n">
        <v>0</v>
      </c>
      <c r="AD34" s="24" t="inlineStr">
        <is>
          <t>2026-08-08T04:03:56.240853Z</t>
        </is>
      </c>
      <c r="AE34" s="31" t="inlineStr">
        <is>
          <t>Learned LR call at threshold 0.5001; executable ask 0.4900 (aec-wnba-gsv-dal-2026-08-07); model edge vs ask +0.0166.</t>
        </is>
      </c>
      <c r="AF34" s="31" t="inlineStr">
        <is>
          <t>Learned model; shadow-qualified via operator override.</t>
        </is>
      </c>
      <c r="AG34" s="24" t="inlineStr">
        <is>
          <t>not_applicable</t>
        </is>
      </c>
      <c r="AH34" s="24" t="n"/>
      <c r="AI34" s="31" t="n"/>
      <c r="AJ34" s="31" t="n"/>
      <c r="AK34" s="24" t="inlineStr">
        <is>
          <t>research_observation</t>
        </is>
      </c>
      <c r="AL34" s="26" t="n">
        <v>3</v>
      </c>
      <c r="AM34" s="24" t="inlineStr">
        <is>
          <t>RESEARCH_OBSERVATION</t>
        </is>
      </c>
      <c r="AN34" s="24" t="inlineStr">
        <is>
          <t>NO_CALL</t>
        </is>
      </c>
      <c r="AO34" s="24" t="inlineStr">
        <is>
          <t>NO_CALL_WINNER_OVERVALUED</t>
        </is>
      </c>
      <c r="AP34" s="24" t="inlineStr">
        <is>
          <t>wnba-gsv</t>
        </is>
      </c>
      <c r="AQ34" s="24" t="inlineStr">
        <is>
          <t>Golden State Valkyries</t>
        </is>
      </c>
      <c r="AR34" s="24" t="inlineStr">
        <is>
          <t>Golden State Valkyries</t>
        </is>
      </c>
      <c r="AS34" s="24" t="inlineStr">
        <is>
          <t>wnba-dal</t>
        </is>
      </c>
      <c r="AT34" s="24" t="inlineStr">
        <is>
          <t>Dallas Wings</t>
        </is>
      </c>
      <c r="AU34" s="24" t="inlineStr">
        <is>
          <t>Dallas Wings</t>
        </is>
      </c>
      <c r="AV34" s="24" t="n"/>
      <c r="AW34" s="24" t="n"/>
      <c r="AX34" s="24" t="inlineStr">
        <is>
          <t>statistical_model</t>
        </is>
      </c>
      <c r="AY34" s="24" t="n"/>
      <c r="AZ34" s="24" t="inlineStr">
        <is>
          <t>shadow_qualified</t>
        </is>
      </c>
      <c r="BA34" s="24" t="inlineStr">
        <is>
          <t>7afd5274214b58b7efd7f7febc7be3ab33b92351cda5cc6403c0a39faea0cc8c</t>
        </is>
      </c>
      <c r="BB34" s="24" t="inlineStr">
        <is>
          <t>learned_lr</t>
        </is>
      </c>
      <c r="BC34" s="24" t="inlineStr">
        <is>
          <t>wnba-elo-trend-lr-v4</t>
        </is>
      </c>
      <c r="BD34" s="24" t="inlineStr">
        <is>
          <t>7afd5274214b58b7efd7f7febc7be3ab33b92351cda5cc6403c0a39faea0cc8c</t>
        </is>
      </c>
      <c r="BE34" s="24" t="inlineStr">
        <is>
          <t>c2d3c7c45366cc37</t>
        </is>
      </c>
      <c r="BF34" s="24" t="inlineStr">
        <is>
          <t>1</t>
        </is>
      </c>
      <c r="BG34" s="24" t="inlineStr">
        <is>
          <t>wnba-elo-trend-lr-v4</t>
        </is>
      </c>
      <c r="BH34" s="24" t="inlineStr">
        <is>
          <t>2026-08-08T01:00:45.249760Z</t>
        </is>
      </c>
      <c r="BI34" s="24" t="inlineStr">
        <is>
          <t>["same_event","same_team_same_day","same_league_same_day"]</t>
        </is>
      </c>
      <c r="BJ34" s="25" t="n"/>
      <c r="BK34" s="26" t="n">
        <v>104</v>
      </c>
      <c r="BL34" s="27" t="n">
        <v>2.04</v>
      </c>
      <c r="BM34" s="28" t="n">
        <v>0.490196</v>
      </c>
      <c r="BN34" s="28" t="n">
        <v>0.485149</v>
      </c>
      <c r="BO34" s="28" t="n"/>
      <c r="BP34" s="25" t="n"/>
      <c r="BQ34" s="27" t="n"/>
      <c r="BR34" s="28" t="n"/>
      <c r="BS34" s="28" t="n"/>
      <c r="BT34" s="28" t="n"/>
      <c r="BU34" s="25" t="n"/>
      <c r="BV34" s="29" t="n"/>
      <c r="BW34" s="24" t="n"/>
      <c r="BX34" s="30" t="n"/>
      <c r="BY34" s="27" t="n"/>
      <c r="BZ34" s="24" t="n"/>
      <c r="CA34" s="31" t="n"/>
      <c r="CB34" s="24" t="n"/>
      <c r="CC34" s="24" t="inlineStr">
        <is>
          <t>0.4936041743</t>
        </is>
      </c>
      <c r="CD34" s="24" t="inlineStr">
        <is>
          <t>-0.766561</t>
        </is>
      </c>
      <c r="CE34" s="24" t="n"/>
      <c r="CF34" s="24" t="n"/>
      <c r="CG34" s="24" t="n"/>
      <c r="CH34" s="24" t="n"/>
      <c r="CI34" s="24" t="n"/>
      <c r="CJ34" s="24" t="inlineStr">
        <is>
          <t>2.335261</t>
        </is>
      </c>
      <c r="CK34" s="24" t="n"/>
      <c r="CL34" s="24" t="n"/>
      <c r="CM34" s="24" t="n"/>
      <c r="CN34" s="24" t="n"/>
      <c r="CO34" s="24" t="n"/>
      <c r="CP34" s="24" t="n"/>
      <c r="CQ34" s="24" t="n"/>
      <c r="CR34" s="24" t="inlineStr">
        <is>
          <t>0.506578</t>
        </is>
      </c>
      <c r="CS34" s="24" t="inlineStr">
        <is>
          <t>True</t>
        </is>
      </c>
    </row>
    <row r="35" ht="36" customHeight="1">
      <c r="A35" s="24" t="inlineStr">
        <is>
          <t>4f17191a6c83414d</t>
        </is>
      </c>
      <c r="B35" s="24" t="inlineStr">
        <is>
          <t>2026-08-08T18:35:59.410253Z</t>
        </is>
      </c>
      <c r="C35" s="24" t="inlineStr">
        <is>
          <t>2026-08-08T15:30:00-0400</t>
        </is>
      </c>
      <c r="D35" s="24" t="inlineStr">
        <is>
          <t>401857126</t>
        </is>
      </c>
      <c r="E35" s="24" t="inlineStr">
        <is>
          <t>WNBA</t>
        </is>
      </c>
      <c r="F35" s="24" t="inlineStr">
        <is>
          <t>Indiana Fever</t>
        </is>
      </c>
      <c r="G35" s="24" t="inlineStr">
        <is>
          <t>Chicago Sky</t>
        </is>
      </c>
      <c r="H35" s="24" t="inlineStr">
        <is>
          <t>moneyline</t>
        </is>
      </c>
      <c r="I35" s="24" t="inlineStr">
        <is>
          <t>away</t>
        </is>
      </c>
      <c r="J35" s="25" t="n"/>
      <c r="K35" s="24" t="inlineStr">
        <is>
          <t>polymarket_us</t>
        </is>
      </c>
      <c r="L35" s="26" t="n">
        <v>-223</v>
      </c>
      <c r="M35" s="27" t="n">
        <v>1.44843</v>
      </c>
      <c r="N35" s="28" t="n">
        <v>0.690402</v>
      </c>
      <c r="O35" s="28" t="n">
        <v>0.642496</v>
      </c>
      <c r="P35" s="28" t="n"/>
      <c r="Q35" s="28" t="n">
        <v>-0.047906</v>
      </c>
      <c r="R35" s="26" t="n">
        <v>0</v>
      </c>
      <c r="S35" s="29" t="n">
        <v>0</v>
      </c>
      <c r="T35" s="24" t="inlineStr">
        <is>
          <t>wnba-elo-trend-lr-v4</t>
        </is>
      </c>
      <c r="U35" s="24" t="inlineStr">
        <is>
          <t>settled</t>
        </is>
      </c>
      <c r="V35" s="24" t="inlineStr">
        <is>
          <t>win</t>
        </is>
      </c>
      <c r="W35" s="26" t="n">
        <v>90</v>
      </c>
      <c r="X35" s="26" t="n">
        <v>86</v>
      </c>
      <c r="Y35" s="25" t="n"/>
      <c r="Z35" s="26" t="n"/>
      <c r="AA35" s="28" t="n"/>
      <c r="AB35" s="28" t="n"/>
      <c r="AC35" s="30" t="n">
        <v>0</v>
      </c>
      <c r="AD35" s="24" t="inlineStr">
        <is>
          <t>2026-08-09T05:12:53.839909Z</t>
        </is>
      </c>
      <c r="AE35" s="31" t="inlineStr">
        <is>
          <t>Learned LR call at threshold 0.5001; executable ask 0.6900 (aec-wnba-ind-chi-2026-08-08); model edge vs ask -0.0475. NOTE: NO_CALL_AVAILABILITY_SOURCE_CONFLICT unavailable for this game — defaulted to neutral, other features used normally.</t>
        </is>
      </c>
      <c r="AF35" s="31" t="inlineStr">
        <is>
          <t>Learned model; shadow-qualified via operator override.</t>
        </is>
      </c>
      <c r="AG35" s="24" t="inlineStr">
        <is>
          <t>not_applicable</t>
        </is>
      </c>
      <c r="AH35" s="24" t="n"/>
      <c r="AI35" s="31" t="n"/>
      <c r="AJ35" s="31" t="n"/>
      <c r="AK35" s="24" t="inlineStr">
        <is>
          <t>research_observation</t>
        </is>
      </c>
      <c r="AL35" s="26" t="n">
        <v>3</v>
      </c>
      <c r="AM35" s="24" t="inlineStr">
        <is>
          <t>RESEARCH_OBSERVATION</t>
        </is>
      </c>
      <c r="AN35" s="24" t="inlineStr">
        <is>
          <t>NO_CALL</t>
        </is>
      </c>
      <c r="AO35" s="24" t="inlineStr">
        <is>
          <t>NO_CALL_WINNER_OVERVALUED</t>
        </is>
      </c>
      <c r="AP35" s="24" t="inlineStr">
        <is>
          <t>wnba-ind</t>
        </is>
      </c>
      <c r="AQ35" s="24" t="inlineStr">
        <is>
          <t>Indiana Fever</t>
        </is>
      </c>
      <c r="AR35" s="24" t="inlineStr">
        <is>
          <t>Indiana Fever</t>
        </is>
      </c>
      <c r="AS35" s="24" t="inlineStr">
        <is>
          <t>wnba-chi</t>
        </is>
      </c>
      <c r="AT35" s="24" t="inlineStr">
        <is>
          <t>Chicago Sky</t>
        </is>
      </c>
      <c r="AU35" s="24" t="inlineStr">
        <is>
          <t>Chicago Sky</t>
        </is>
      </c>
      <c r="AV35" s="24" t="n"/>
      <c r="AW35" s="24" t="n"/>
      <c r="AX35" s="24" t="inlineStr">
        <is>
          <t>statistical_model</t>
        </is>
      </c>
      <c r="AY35" s="24" t="n"/>
      <c r="AZ35" s="24" t="inlineStr">
        <is>
          <t>shadow_qualified</t>
        </is>
      </c>
      <c r="BA35" s="24" t="inlineStr">
        <is>
          <t>7afd5274214b58b7efd7f7febc7be3ab33b92351cda5cc6403c0a39faea0cc8c</t>
        </is>
      </c>
      <c r="BB35" s="24" t="inlineStr">
        <is>
          <t>learned_lr</t>
        </is>
      </c>
      <c r="BC35" s="24" t="inlineStr">
        <is>
          <t>wnba-elo-trend-lr-v4</t>
        </is>
      </c>
      <c r="BD35" s="24" t="inlineStr">
        <is>
          <t>7afd5274214b58b7efd7f7febc7be3ab33b92351cda5cc6403c0a39faea0cc8c</t>
        </is>
      </c>
      <c r="BE35" s="24" t="inlineStr">
        <is>
          <t>151c56cfebdd36b1</t>
        </is>
      </c>
      <c r="BF35" s="24" t="inlineStr">
        <is>
          <t>1</t>
        </is>
      </c>
      <c r="BG35" s="24" t="inlineStr">
        <is>
          <t>wnba-elo-trend-lr-v4</t>
        </is>
      </c>
      <c r="BH35" s="24" t="inlineStr">
        <is>
          <t>2026-08-08T18:35:41.075858Z</t>
        </is>
      </c>
      <c r="BI35" s="24" t="inlineStr">
        <is>
          <t>["same_event","same_team_same_day","same_league_same_day"]</t>
        </is>
      </c>
      <c r="BJ35" s="25" t="n"/>
      <c r="BK35" s="26" t="n">
        <v>-223</v>
      </c>
      <c r="BL35" s="27" t="n">
        <v>1.44843</v>
      </c>
      <c r="BM35" s="28" t="n">
        <v>0.690402</v>
      </c>
      <c r="BN35" s="28" t="n">
        <v>0.683168</v>
      </c>
      <c r="BO35" s="28" t="n"/>
      <c r="BP35" s="25" t="n"/>
      <c r="BQ35" s="27" t="n"/>
      <c r="BR35" s="28" t="n"/>
      <c r="BS35" s="28" t="n"/>
      <c r="BT35" s="28" t="n"/>
      <c r="BU35" s="25" t="n"/>
      <c r="BV35" s="29" t="n"/>
      <c r="BW35" s="24" t="n"/>
      <c r="BX35" s="30" t="n"/>
      <c r="BY35" s="27" t="n"/>
      <c r="BZ35" s="24" t="n"/>
      <c r="CA35" s="31" t="n"/>
      <c r="CB35" s="24" t="n"/>
      <c r="CC35" s="24" t="inlineStr">
        <is>
          <t>0.3173646589</t>
        </is>
      </c>
      <c r="CD35" s="24" t="inlineStr">
        <is>
          <t>0.612216</t>
        </is>
      </c>
      <c r="CE35" s="24" t="n"/>
      <c r="CF35" s="24" t="n"/>
      <c r="CG35" s="24" t="n"/>
      <c r="CH35" s="24" t="n"/>
      <c r="CI35" s="24" t="inlineStr">
        <is>
          <t>NO_CALL_AVAILABILITY_SOURCE_CONFLICT</t>
        </is>
      </c>
      <c r="CJ35" s="24" t="inlineStr">
        <is>
          <t>1.718569</t>
        </is>
      </c>
      <c r="CK35" s="24" t="n"/>
      <c r="CL35" s="24" t="n"/>
      <c r="CM35" s="24" t="n"/>
      <c r="CN35" s="24" t="n"/>
      <c r="CO35" s="24" t="n"/>
      <c r="CP35" s="24" t="n"/>
      <c r="CQ35" s="24" t="n"/>
      <c r="CR35" s="24" t="inlineStr">
        <is>
          <t>0.642496</t>
        </is>
      </c>
      <c r="CS35" s="24" t="inlineStr">
        <is>
          <t>False</t>
        </is>
      </c>
    </row>
    <row r="36" ht="36" customHeight="1">
      <c r="A36" s="24" t="inlineStr">
        <is>
          <t>34e6986747844e0e</t>
        </is>
      </c>
      <c r="B36" s="24" t="inlineStr">
        <is>
          <t>2026-08-08T18:35:59.410253Z</t>
        </is>
      </c>
      <c r="C36" s="24" t="inlineStr">
        <is>
          <t>2026-08-08T20:30:00-0400</t>
        </is>
      </c>
      <c r="D36" s="24" t="inlineStr">
        <is>
          <t>401857127</t>
        </is>
      </c>
      <c r="E36" s="24" t="inlineStr">
        <is>
          <t>WNBA</t>
        </is>
      </c>
      <c r="F36" s="24" t="inlineStr">
        <is>
          <t>Seattle Storm</t>
        </is>
      </c>
      <c r="G36" s="24" t="inlineStr">
        <is>
          <t>Portland Fire</t>
        </is>
      </c>
      <c r="H36" s="24" t="inlineStr">
        <is>
          <t>moneyline</t>
        </is>
      </c>
      <c r="I36" s="24" t="inlineStr">
        <is>
          <t>home</t>
        </is>
      </c>
      <c r="J36" s="25" t="n"/>
      <c r="K36" s="24" t="inlineStr">
        <is>
          <t>polymarket_us</t>
        </is>
      </c>
      <c r="L36" s="26" t="n">
        <v>100</v>
      </c>
      <c r="M36" s="27" t="n">
        <v>2</v>
      </c>
      <c r="N36" s="28" t="n">
        <v>0.5</v>
      </c>
      <c r="O36" s="28" t="n">
        <v>0.636385</v>
      </c>
      <c r="P36" s="28" t="n"/>
      <c r="Q36" s="28" t="n">
        <v>0.136385</v>
      </c>
      <c r="R36" s="26" t="n">
        <v>91</v>
      </c>
      <c r="S36" s="29" t="n">
        <v>1.5</v>
      </c>
      <c r="T36" s="24" t="inlineStr">
        <is>
          <t>wnba-elo-trend-lr-v4</t>
        </is>
      </c>
      <c r="U36" s="24" t="inlineStr">
        <is>
          <t>settled</t>
        </is>
      </c>
      <c r="V36" s="24" t="inlineStr">
        <is>
          <t>win</t>
        </is>
      </c>
      <c r="W36" s="26" t="n">
        <v>93</v>
      </c>
      <c r="X36" s="26" t="n">
        <v>100</v>
      </c>
      <c r="Y36" s="25" t="n"/>
      <c r="Z36" s="26" t="n"/>
      <c r="AA36" s="28" t="n"/>
      <c r="AB36" s="28" t="n"/>
      <c r="AC36" s="30" t="n">
        <v>1.5</v>
      </c>
      <c r="AD36" s="24" t="inlineStr">
        <is>
          <t>2026-08-09T05:12:54.769320Z</t>
        </is>
      </c>
      <c r="AE36" s="31" t="inlineStr">
        <is>
          <t>Learned LR call at threshold 0.5001; executable ask 0.5000 (aec-wnba-sea-por-2026-08-08); model edge vs ask +0.1364. NOTE: NO_CALL_AVAILABILITY_SOURCE_CONFLICT unavailable for this game — defaulted to neutral, other features used normally.</t>
        </is>
      </c>
      <c r="AF36" s="31" t="inlineStr">
        <is>
          <t>Learned model; shadow-qualified via operator override.</t>
        </is>
      </c>
      <c r="AG36" s="24" t="inlineStr">
        <is>
          <t>not_applicable</t>
        </is>
      </c>
      <c r="AH36" s="24" t="n"/>
      <c r="AI36" s="31" t="n"/>
      <c r="AJ36" s="31" t="n"/>
      <c r="AK36" s="24" t="inlineStr">
        <is>
          <t>model_qualified</t>
        </is>
      </c>
      <c r="AL36" s="26" t="n">
        <v>3</v>
      </c>
      <c r="AM36" s="24" t="inlineStr">
        <is>
          <t>QUALIFIED_SHADOW_CALL</t>
        </is>
      </c>
      <c r="AN36" s="24" t="inlineStr">
        <is>
          <t>CALL</t>
        </is>
      </c>
      <c r="AO36" s="24" t="inlineStr">
        <is>
          <t>QUALIFIED</t>
        </is>
      </c>
      <c r="AP36" s="24" t="inlineStr">
        <is>
          <t>wnba-sea</t>
        </is>
      </c>
      <c r="AQ36" s="24" t="inlineStr">
        <is>
          <t>Seattle Storm</t>
        </is>
      </c>
      <c r="AR36" s="24" t="inlineStr">
        <is>
          <t>Seattle Storm</t>
        </is>
      </c>
      <c r="AS36" s="24" t="inlineStr">
        <is>
          <t>wnba-por</t>
        </is>
      </c>
      <c r="AT36" s="24" t="inlineStr">
        <is>
          <t>Portland Fire</t>
        </is>
      </c>
      <c r="AU36" s="24" t="inlineStr">
        <is>
          <t>Portland Fire</t>
        </is>
      </c>
      <c r="AV36" s="24" t="n"/>
      <c r="AW36" s="24" t="n"/>
      <c r="AX36" s="24" t="inlineStr">
        <is>
          <t>statistical_model</t>
        </is>
      </c>
      <c r="AY36" s="24" t="n"/>
      <c r="AZ36" s="24" t="inlineStr">
        <is>
          <t>shadow_qualified</t>
        </is>
      </c>
      <c r="BA36" s="24" t="inlineStr">
        <is>
          <t>7afd5274214b58b7efd7f7febc7be3ab33b92351cda5cc6403c0a39faea0cc8c</t>
        </is>
      </c>
      <c r="BB36" s="24" t="inlineStr">
        <is>
          <t>learned_lr</t>
        </is>
      </c>
      <c r="BC36" s="24" t="inlineStr">
        <is>
          <t>wnba-elo-trend-lr-v4</t>
        </is>
      </c>
      <c r="BD36" s="24" t="inlineStr">
        <is>
          <t>7afd5274214b58b7efd7f7febc7be3ab33b92351cda5cc6403c0a39faea0cc8c</t>
        </is>
      </c>
      <c r="BE36" s="24" t="inlineStr">
        <is>
          <t>c4f4370995132da0</t>
        </is>
      </c>
      <c r="BF36" s="24" t="inlineStr">
        <is>
          <t>1</t>
        </is>
      </c>
      <c r="BG36" s="24" t="inlineStr">
        <is>
          <t>wnba-elo-trend-lr-v4</t>
        </is>
      </c>
      <c r="BH36" s="24" t="inlineStr">
        <is>
          <t>2026-08-08T18:35:41.814320Z</t>
        </is>
      </c>
      <c r="BI36" s="24" t="inlineStr">
        <is>
          <t>["same_event","same_team_same_day","same_league_same_day"]</t>
        </is>
      </c>
      <c r="BJ36" s="25" t="n"/>
      <c r="BK36" s="26" t="n">
        <v>100</v>
      </c>
      <c r="BL36" s="27" t="n">
        <v>2</v>
      </c>
      <c r="BM36" s="28" t="n">
        <v>0.5</v>
      </c>
      <c r="BN36" s="28" t="n">
        <v>0.49505</v>
      </c>
      <c r="BO36" s="28" t="n"/>
      <c r="BP36" s="25" t="n"/>
      <c r="BQ36" s="27" t="n"/>
      <c r="BR36" s="28" t="n"/>
      <c r="BS36" s="28" t="n"/>
      <c r="BT36" s="28" t="n"/>
      <c r="BU36" s="25" t="n"/>
      <c r="BV36" s="29" t="n"/>
      <c r="BW36" s="24" t="n"/>
      <c r="BX36" s="30" t="n"/>
      <c r="BY36" s="27" t="n"/>
      <c r="BZ36" s="24" t="n"/>
      <c r="CA36" s="31" t="n"/>
      <c r="CB36" s="24" t="n"/>
      <c r="CC36" s="24" t="inlineStr">
        <is>
          <t>0.6792726129</t>
        </is>
      </c>
      <c r="CD36" s="24" t="inlineStr">
        <is>
          <t>-3.251216</t>
        </is>
      </c>
      <c r="CE36" s="24" t="n"/>
      <c r="CF36" s="24" t="n"/>
      <c r="CG36" s="24" t="n"/>
      <c r="CH36" s="24" t="n"/>
      <c r="CI36" s="24" t="inlineStr">
        <is>
          <t>NO_CALL_AVAILABILITY_SOURCE_CONFLICT</t>
        </is>
      </c>
      <c r="CJ36" s="24" t="inlineStr">
        <is>
          <t>6.663423</t>
        </is>
      </c>
      <c r="CK36" s="24" t="n"/>
      <c r="CL36" s="24" t="n"/>
      <c r="CM36" s="24" t="n"/>
      <c r="CN36" s="24" t="n"/>
      <c r="CO36" s="24" t="n"/>
      <c r="CP36" s="24" t="n"/>
      <c r="CQ36" s="24" t="n"/>
      <c r="CR36" s="24" t="inlineStr">
        <is>
          <t>0.636385</t>
        </is>
      </c>
      <c r="CS36" s="24" t="inlineStr">
        <is>
          <t>True</t>
        </is>
      </c>
    </row>
    <row r="37" ht="36" customHeight="1">
      <c r="A37" s="24" t="inlineStr">
        <is>
          <t>c76fa7f043d24097</t>
        </is>
      </c>
      <c r="B37" s="24" t="inlineStr">
        <is>
          <t>2026-08-09T13:59:23.763456Z</t>
        </is>
      </c>
      <c r="C37" s="24" t="inlineStr">
        <is>
          <t>2026-08-09T12:30:00-0400</t>
        </is>
      </c>
      <c r="D37" s="24" t="inlineStr">
        <is>
          <t>401857128</t>
        </is>
      </c>
      <c r="E37" s="24" t="inlineStr">
        <is>
          <t>WNBA</t>
        </is>
      </c>
      <c r="F37" s="24" t="inlineStr">
        <is>
          <t>Las Vegas Aces</t>
        </is>
      </c>
      <c r="G37" s="24" t="inlineStr">
        <is>
          <t>New York Liberty</t>
        </is>
      </c>
      <c r="H37" s="24" t="inlineStr">
        <is>
          <t>moneyline</t>
        </is>
      </c>
      <c r="I37" s="24" t="inlineStr">
        <is>
          <t>away</t>
        </is>
      </c>
      <c r="J37" s="25" t="n"/>
      <c r="K37" s="24" t="inlineStr">
        <is>
          <t>polymarket_us</t>
        </is>
      </c>
      <c r="L37" s="26" t="n">
        <v>300</v>
      </c>
      <c r="M37" s="27" t="n">
        <v>4</v>
      </c>
      <c r="N37" s="28" t="n">
        <v>0.25</v>
      </c>
      <c r="O37" s="28" t="n">
        <v>0.513331</v>
      </c>
      <c r="P37" s="28" t="n"/>
      <c r="Q37" s="28" t="n">
        <v>0.263331</v>
      </c>
      <c r="R37" s="26" t="n">
        <v>100</v>
      </c>
      <c r="S37" s="29" t="n">
        <v>1</v>
      </c>
      <c r="T37" s="24" t="inlineStr">
        <is>
          <t>wnba-elo-trend-lr-v4</t>
        </is>
      </c>
      <c r="U37" s="24" t="inlineStr">
        <is>
          <t>settled</t>
        </is>
      </c>
      <c r="V37" s="24" t="inlineStr">
        <is>
          <t>loss</t>
        </is>
      </c>
      <c r="W37" s="26" t="n">
        <v>71</v>
      </c>
      <c r="X37" s="26" t="n">
        <v>111</v>
      </c>
      <c r="Y37" s="25" t="n"/>
      <c r="Z37" s="26" t="n"/>
      <c r="AA37" s="28" t="n"/>
      <c r="AB37" s="28" t="n"/>
      <c r="AC37" s="30" t="n">
        <v>-1</v>
      </c>
      <c r="AD37" s="24" t="inlineStr">
        <is>
          <t>2026-08-09T20:24:37.708312Z</t>
        </is>
      </c>
      <c r="AE37" s="31" t="inlineStr">
        <is>
          <t>Learned LR call at threshold 0.5001; executable ask 0.2500 (aec-wnba-lv-ny-2026-08-09); model edge vs ask +0.2633. NOTE: NO_CALL_AVAILABILITY_SOURCE_CONFLICT unavailable for this game — defaulted to neutral, other features used normally.</t>
        </is>
      </c>
      <c r="AF37" s="31" t="inlineStr">
        <is>
          <t>Learned model; shadow-qualified via operator override.</t>
        </is>
      </c>
      <c r="AG37" s="24" t="inlineStr">
        <is>
          <t>review_required</t>
        </is>
      </c>
      <c r="AH37" s="24" t="n"/>
      <c r="AI37" s="31" t="n"/>
      <c r="AJ37" s="31" t="n"/>
      <c r="AK37" s="24" t="inlineStr">
        <is>
          <t>model_qualified</t>
        </is>
      </c>
      <c r="AL37" s="26" t="n">
        <v>3</v>
      </c>
      <c r="AM37" s="24" t="inlineStr">
        <is>
          <t>QUALIFIED_SHADOW_CALL</t>
        </is>
      </c>
      <c r="AN37" s="24" t="inlineStr">
        <is>
          <t>CALL</t>
        </is>
      </c>
      <c r="AO37" s="24" t="inlineStr">
        <is>
          <t>QUALIFIED</t>
        </is>
      </c>
      <c r="AP37" s="24" t="inlineStr">
        <is>
          <t>wnba-lva</t>
        </is>
      </c>
      <c r="AQ37" s="24" t="inlineStr">
        <is>
          <t>Las Vegas Aces</t>
        </is>
      </c>
      <c r="AR37" s="24" t="inlineStr">
        <is>
          <t>Las Vegas Aces</t>
        </is>
      </c>
      <c r="AS37" s="24" t="inlineStr">
        <is>
          <t>wnba-nyl</t>
        </is>
      </c>
      <c r="AT37" s="24" t="inlineStr">
        <is>
          <t>New York Liberty</t>
        </is>
      </c>
      <c r="AU37" s="24" t="inlineStr">
        <is>
          <t>New York Liberty</t>
        </is>
      </c>
      <c r="AV37" s="24" t="n"/>
      <c r="AW37" s="24" t="n"/>
      <c r="AX37" s="24" t="inlineStr">
        <is>
          <t>statistical_model</t>
        </is>
      </c>
      <c r="AY37" s="24" t="n"/>
      <c r="AZ37" s="24" t="inlineStr">
        <is>
          <t>shadow_qualified</t>
        </is>
      </c>
      <c r="BA37" s="24" t="inlineStr">
        <is>
          <t>7afd5274214b58b7efd7f7febc7be3ab33b92351cda5cc6403c0a39faea0cc8c</t>
        </is>
      </c>
      <c r="BB37" s="24" t="inlineStr">
        <is>
          <t>learned_lr</t>
        </is>
      </c>
      <c r="BC37" s="24" t="inlineStr">
        <is>
          <t>wnba-elo-trend-lr-v4</t>
        </is>
      </c>
      <c r="BD37" s="24" t="inlineStr">
        <is>
          <t>7afd5274214b58b7efd7f7febc7be3ab33b92351cda5cc6403c0a39faea0cc8c</t>
        </is>
      </c>
      <c r="BE37" s="24" t="inlineStr">
        <is>
          <t>326af12f4add44d3</t>
        </is>
      </c>
      <c r="BF37" s="24" t="inlineStr">
        <is>
          <t>1</t>
        </is>
      </c>
      <c r="BG37" s="24" t="inlineStr">
        <is>
          <t>wnba-elo-trend-lr-v4</t>
        </is>
      </c>
      <c r="BH37" s="24" t="inlineStr">
        <is>
          <t>2026-08-09T13:58:13.130881Z</t>
        </is>
      </c>
      <c r="BI37" s="24" t="inlineStr">
        <is>
          <t>["same_event","same_team_same_day","same_league_same_day"]</t>
        </is>
      </c>
      <c r="BJ37" s="25" t="n"/>
      <c r="BK37" s="26" t="n">
        <v>300</v>
      </c>
      <c r="BL37" s="27" t="n">
        <v>4</v>
      </c>
      <c r="BM37" s="28" t="n">
        <v>0.25</v>
      </c>
      <c r="BN37" s="28" t="n">
        <v>0.247525</v>
      </c>
      <c r="BO37" s="28" t="n"/>
      <c r="BP37" s="25" t="n"/>
      <c r="BQ37" s="27" t="n"/>
      <c r="BR37" s="28" t="n"/>
      <c r="BS37" s="28" t="n"/>
      <c r="BT37" s="28" t="n"/>
      <c r="BU37" s="25" t="n"/>
      <c r="BV37" s="29" t="n"/>
      <c r="BW37" s="24" t="n"/>
      <c r="BX37" s="30" t="n"/>
      <c r="BY37" s="27" t="n"/>
      <c r="BZ37" s="24" t="n"/>
      <c r="CA37" s="31" t="n"/>
      <c r="CB37" s="24" t="n"/>
      <c r="CC37" s="24" t="inlineStr">
        <is>
          <t>0.4879470816</t>
        </is>
      </c>
      <c r="CD37" s="24" t="inlineStr">
        <is>
          <t>3.090342</t>
        </is>
      </c>
      <c r="CE37" s="24" t="n"/>
      <c r="CF37" s="24" t="n"/>
      <c r="CG37" s="24" t="n"/>
      <c r="CH37" s="24" t="n"/>
      <c r="CI37" s="24" t="inlineStr">
        <is>
          <t>NO_CALL_AVAILABILITY_SOURCE_CONFLICT</t>
        </is>
      </c>
      <c r="CJ37" s="24" t="inlineStr">
        <is>
          <t>-3.371641</t>
        </is>
      </c>
      <c r="CK37" s="24" t="n"/>
      <c r="CL37" s="24" t="n"/>
      <c r="CM37" s="24" t="n"/>
      <c r="CN37" s="24" t="n"/>
      <c r="CO37" s="24" t="n"/>
      <c r="CP37" s="24" t="n"/>
      <c r="CQ37" s="24" t="n"/>
      <c r="CR37" s="24" t="inlineStr">
        <is>
          <t>0.513331</t>
        </is>
      </c>
      <c r="CS37" s="24" t="inlineStr">
        <is>
          <t>True</t>
        </is>
      </c>
    </row>
    <row r="38" ht="36" customHeight="1">
      <c r="A38" s="24" t="inlineStr">
        <is>
          <t>d31cf22d794b4e7c</t>
        </is>
      </c>
      <c r="B38" s="24" t="inlineStr">
        <is>
          <t>2026-08-09T17:06:21.079905Z</t>
        </is>
      </c>
      <c r="C38" s="24" t="inlineStr">
        <is>
          <t>2026-08-09T15:00:00-0400</t>
        </is>
      </c>
      <c r="D38" s="24" t="inlineStr">
        <is>
          <t>401857129</t>
        </is>
      </c>
      <c r="E38" s="24" t="inlineStr">
        <is>
          <t>WNBA</t>
        </is>
      </c>
      <c r="F38" s="24" t="inlineStr">
        <is>
          <t>Phoenix Mercury</t>
        </is>
      </c>
      <c r="G38" s="24" t="inlineStr">
        <is>
          <t>Washington Mystics</t>
        </is>
      </c>
      <c r="H38" s="24" t="inlineStr">
        <is>
          <t>moneyline</t>
        </is>
      </c>
      <c r="I38" s="24" t="inlineStr">
        <is>
          <t>home</t>
        </is>
      </c>
      <c r="J38" s="25" t="n"/>
      <c r="K38" s="24" t="inlineStr">
        <is>
          <t>polymarket_us</t>
        </is>
      </c>
      <c r="L38" s="26" t="n">
        <v>-113</v>
      </c>
      <c r="M38" s="27" t="n">
        <v>1.884956</v>
      </c>
      <c r="N38" s="28" t="n">
        <v>0.530516</v>
      </c>
      <c r="O38" s="28" t="n">
        <v>0.695232</v>
      </c>
      <c r="P38" s="28" t="n"/>
      <c r="Q38" s="28" t="n">
        <v>0.164716</v>
      </c>
      <c r="R38" s="26" t="n">
        <v>100</v>
      </c>
      <c r="S38" s="29" t="n">
        <v>2</v>
      </c>
      <c r="T38" s="24" t="inlineStr">
        <is>
          <t>wnba-elo-trend-lr-v4</t>
        </is>
      </c>
      <c r="U38" s="24" t="inlineStr">
        <is>
          <t>settled</t>
        </is>
      </c>
      <c r="V38" s="24" t="inlineStr">
        <is>
          <t>win</t>
        </is>
      </c>
      <c r="W38" s="26" t="n">
        <v>75</v>
      </c>
      <c r="X38" s="26" t="n">
        <v>95</v>
      </c>
      <c r="Y38" s="25" t="n"/>
      <c r="Z38" s="26" t="n"/>
      <c r="AA38" s="28" t="n"/>
      <c r="AB38" s="28" t="n"/>
      <c r="AC38" s="30" t="n">
        <v>1.7699</v>
      </c>
      <c r="AD38" s="24" t="inlineStr">
        <is>
          <t>2026-08-09T23:29:27.139926Z</t>
        </is>
      </c>
      <c r="AE38" s="31" t="inlineStr">
        <is>
          <t>Learned LR call at threshold 0.5001; executable ask 0.5300 (aec-wnba-phx-wsh-2026-08-09); model edge vs ask +0.1652. NOTE: NO_CALL_AVAILABILITY_SOURCE_CONFLICT unavailable for this game — defaulted to neutral, other features used normally.</t>
        </is>
      </c>
      <c r="AF38" s="31" t="inlineStr">
        <is>
          <t>Learned model; shadow-qualified via operator override.</t>
        </is>
      </c>
      <c r="AG38" s="24" t="inlineStr">
        <is>
          <t>not_applicable</t>
        </is>
      </c>
      <c r="AH38" s="24" t="n"/>
      <c r="AI38" s="31" t="n"/>
      <c r="AJ38" s="31" t="n"/>
      <c r="AK38" s="24" t="inlineStr">
        <is>
          <t>model_qualified</t>
        </is>
      </c>
      <c r="AL38" s="26" t="n">
        <v>3</v>
      </c>
      <c r="AM38" s="24" t="inlineStr">
        <is>
          <t>QUALIFIED_SHADOW_CALL</t>
        </is>
      </c>
      <c r="AN38" s="24" t="inlineStr">
        <is>
          <t>CALL</t>
        </is>
      </c>
      <c r="AO38" s="24" t="inlineStr">
        <is>
          <t>QUALIFIED</t>
        </is>
      </c>
      <c r="AP38" s="24" t="inlineStr">
        <is>
          <t>wnba-phx</t>
        </is>
      </c>
      <c r="AQ38" s="24" t="inlineStr">
        <is>
          <t>Phoenix Mercury</t>
        </is>
      </c>
      <c r="AR38" s="24" t="inlineStr">
        <is>
          <t>Phoenix Mercury</t>
        </is>
      </c>
      <c r="AS38" s="24" t="inlineStr">
        <is>
          <t>wnba-was</t>
        </is>
      </c>
      <c r="AT38" s="24" t="inlineStr">
        <is>
          <t>Washington Mystics</t>
        </is>
      </c>
      <c r="AU38" s="24" t="inlineStr">
        <is>
          <t>Washington Mystics</t>
        </is>
      </c>
      <c r="AV38" s="24" t="n"/>
      <c r="AW38" s="24" t="n"/>
      <c r="AX38" s="24" t="inlineStr">
        <is>
          <t>statistical_model</t>
        </is>
      </c>
      <c r="AY38" s="24" t="n"/>
      <c r="AZ38" s="24" t="inlineStr">
        <is>
          <t>shadow_qualified</t>
        </is>
      </c>
      <c r="BA38" s="24" t="inlineStr">
        <is>
          <t>7afd5274214b58b7efd7f7febc7be3ab33b92351cda5cc6403c0a39faea0cc8c</t>
        </is>
      </c>
      <c r="BB38" s="24" t="inlineStr">
        <is>
          <t>learned_lr</t>
        </is>
      </c>
      <c r="BC38" s="24" t="inlineStr">
        <is>
          <t>wnba-elo-trend-lr-v4</t>
        </is>
      </c>
      <c r="BD38" s="24" t="inlineStr">
        <is>
          <t>7afd5274214b58b7efd7f7febc7be3ab33b92351cda5cc6403c0a39faea0cc8c</t>
        </is>
      </c>
      <c r="BE38" s="24" t="inlineStr">
        <is>
          <t>28057b4491fbc31b</t>
        </is>
      </c>
      <c r="BF38" s="24" t="inlineStr">
        <is>
          <t>1</t>
        </is>
      </c>
      <c r="BG38" s="24" t="inlineStr">
        <is>
          <t>wnba-elo-trend-lr-v4</t>
        </is>
      </c>
      <c r="BH38" s="24" t="inlineStr">
        <is>
          <t>2026-08-09T17:05:41.727182Z</t>
        </is>
      </c>
      <c r="BI38" s="24" t="inlineStr">
        <is>
          <t>["same_event","same_team_same_day","same_league_same_day"]</t>
        </is>
      </c>
      <c r="BJ38" s="25" t="n"/>
      <c r="BK38" s="26" t="n">
        <v>-113</v>
      </c>
      <c r="BL38" s="27" t="n">
        <v>1.884956</v>
      </c>
      <c r="BM38" s="28" t="n">
        <v>0.530516</v>
      </c>
      <c r="BN38" s="28" t="n">
        <v>0.524752</v>
      </c>
      <c r="BO38" s="28" t="n"/>
      <c r="BP38" s="25" t="n"/>
      <c r="BQ38" s="27" t="n"/>
      <c r="BR38" s="28" t="n"/>
      <c r="BS38" s="28" t="n"/>
      <c r="BT38" s="28" t="n"/>
      <c r="BU38" s="25" t="n"/>
      <c r="BV38" s="29" t="n"/>
      <c r="BW38" s="24" t="n"/>
      <c r="BX38" s="30" t="n"/>
      <c r="BY38" s="27" t="n"/>
      <c r="BZ38" s="24" t="n"/>
      <c r="CA38" s="31" t="n"/>
      <c r="CB38" s="24" t="n"/>
      <c r="CC38" s="24" t="inlineStr">
        <is>
          <t>0.7723991943</t>
        </is>
      </c>
      <c r="CD38" s="24" t="inlineStr">
        <is>
          <t>0.96982</t>
        </is>
      </c>
      <c r="CE38" s="24" t="n"/>
      <c r="CF38" s="24" t="n"/>
      <c r="CG38" s="24" t="n"/>
      <c r="CH38" s="24" t="n"/>
      <c r="CI38" s="24" t="inlineStr">
        <is>
          <t>NO_CALL_AVAILABILITY_SOURCE_CONFLICT</t>
        </is>
      </c>
      <c r="CJ38" s="24" t="inlineStr">
        <is>
          <t>6.116575</t>
        </is>
      </c>
      <c r="CK38" s="24" t="n"/>
      <c r="CL38" s="24" t="n"/>
      <c r="CM38" s="24" t="n"/>
      <c r="CN38" s="24" t="n"/>
      <c r="CO38" s="24" t="n"/>
      <c r="CP38" s="24" t="n"/>
      <c r="CQ38" s="24" t="n"/>
      <c r="CR38" s="24" t="inlineStr">
        <is>
          <t>0.695232</t>
        </is>
      </c>
      <c r="CS38" s="24" t="inlineStr">
        <is>
          <t>True</t>
        </is>
      </c>
    </row>
    <row r="39" ht="36" customHeight="1">
      <c r="A39" s="24" t="inlineStr">
        <is>
          <t>194ec7af0d9549c6</t>
        </is>
      </c>
      <c r="B39" s="24" t="inlineStr">
        <is>
          <t>2026-08-09T17:06:21.079905Z</t>
        </is>
      </c>
      <c r="C39" s="24" t="inlineStr">
        <is>
          <t>2026-08-09T15:30:00-0400</t>
        </is>
      </c>
      <c r="D39" s="24" t="inlineStr">
        <is>
          <t>401857130</t>
        </is>
      </c>
      <c r="E39" s="24" t="inlineStr">
        <is>
          <t>WNBA</t>
        </is>
      </c>
      <c r="F39" s="24" t="inlineStr">
        <is>
          <t>Dallas Wings</t>
        </is>
      </c>
      <c r="G39" s="24" t="inlineStr">
        <is>
          <t>Minnesota Lynx</t>
        </is>
      </c>
      <c r="H39" s="24" t="inlineStr">
        <is>
          <t>moneyline</t>
        </is>
      </c>
      <c r="I39" s="24" t="inlineStr">
        <is>
          <t>home</t>
        </is>
      </c>
      <c r="J39" s="25" t="n"/>
      <c r="K39" s="24" t="inlineStr">
        <is>
          <t>polymarket_us</t>
        </is>
      </c>
      <c r="L39" s="26" t="n">
        <v>-223</v>
      </c>
      <c r="M39" s="27" t="n">
        <v>1.44843</v>
      </c>
      <c r="N39" s="28" t="n">
        <v>0.690402</v>
      </c>
      <c r="O39" s="28" t="n">
        <v>0.686674</v>
      </c>
      <c r="P39" s="28" t="n"/>
      <c r="Q39" s="28" t="n">
        <v>-0.003728</v>
      </c>
      <c r="R39" s="26" t="n">
        <v>22</v>
      </c>
      <c r="S39" s="29" t="n">
        <v>0</v>
      </c>
      <c r="T39" s="24" t="inlineStr">
        <is>
          <t>wnba-elo-trend-lr-v4</t>
        </is>
      </c>
      <c r="U39" s="24" t="inlineStr">
        <is>
          <t>settled</t>
        </is>
      </c>
      <c r="V39" s="24" t="inlineStr">
        <is>
          <t>win</t>
        </is>
      </c>
      <c r="W39" s="26" t="n">
        <v>90</v>
      </c>
      <c r="X39" s="26" t="n">
        <v>103</v>
      </c>
      <c r="Y39" s="25" t="n"/>
      <c r="Z39" s="26" t="n"/>
      <c r="AA39" s="28" t="n"/>
      <c r="AB39" s="28" t="n"/>
      <c r="AC39" s="30" t="n">
        <v>0</v>
      </c>
      <c r="AD39" s="24" t="inlineStr">
        <is>
          <t>2026-08-09T23:29:27.602016Z</t>
        </is>
      </c>
      <c r="AE39" s="31" t="inlineStr">
        <is>
          <t>Learned LR call at threshold 0.5001; executable ask 0.6900 (aec-wnba-dal-min-2026-08-09); model edge vs ask -0.0033. NOTE: NO_CALL_AVAILABILITY_REPORT_INCOMPLETE unavailable for this game — defaulted to neutral, other features used normally.</t>
        </is>
      </c>
      <c r="AF39" s="31" t="inlineStr">
        <is>
          <t>Learned model; shadow-qualified via operator override.</t>
        </is>
      </c>
      <c r="AG39" s="24" t="inlineStr">
        <is>
          <t>not_applicable</t>
        </is>
      </c>
      <c r="AH39" s="24" t="n"/>
      <c r="AI39" s="31" t="n"/>
      <c r="AJ39" s="31" t="n"/>
      <c r="AK39" s="24" t="inlineStr">
        <is>
          <t>research_observation</t>
        </is>
      </c>
      <c r="AL39" s="26" t="n">
        <v>3</v>
      </c>
      <c r="AM39" s="24" t="inlineStr">
        <is>
          <t>RESEARCH_OBSERVATION</t>
        </is>
      </c>
      <c r="AN39" s="24" t="inlineStr">
        <is>
          <t>NO_CALL</t>
        </is>
      </c>
      <c r="AO39" s="24" t="inlineStr">
        <is>
          <t>NO_CALL_WINNER_OVERVALUED</t>
        </is>
      </c>
      <c r="AP39" s="24" t="inlineStr">
        <is>
          <t>wnba-dal</t>
        </is>
      </c>
      <c r="AQ39" s="24" t="inlineStr">
        <is>
          <t>Dallas Wings</t>
        </is>
      </c>
      <c r="AR39" s="24" t="inlineStr">
        <is>
          <t>Dallas Wings</t>
        </is>
      </c>
      <c r="AS39" s="24" t="inlineStr">
        <is>
          <t>wnba-min</t>
        </is>
      </c>
      <c r="AT39" s="24" t="inlineStr">
        <is>
          <t>Minnesota Lynx</t>
        </is>
      </c>
      <c r="AU39" s="24" t="inlineStr">
        <is>
          <t>Minnesota Lynx</t>
        </is>
      </c>
      <c r="AV39" s="24" t="n"/>
      <c r="AW39" s="24" t="n"/>
      <c r="AX39" s="24" t="inlineStr">
        <is>
          <t>statistical_model</t>
        </is>
      </c>
      <c r="AY39" s="24" t="n"/>
      <c r="AZ39" s="24" t="inlineStr">
        <is>
          <t>shadow_qualified</t>
        </is>
      </c>
      <c r="BA39" s="24" t="inlineStr">
        <is>
          <t>7afd5274214b58b7efd7f7febc7be3ab33b92351cda5cc6403c0a39faea0cc8c</t>
        </is>
      </c>
      <c r="BB39" s="24" t="inlineStr">
        <is>
          <t>learned_lr</t>
        </is>
      </c>
      <c r="BC39" s="24" t="inlineStr">
        <is>
          <t>wnba-elo-trend-lr-v4</t>
        </is>
      </c>
      <c r="BD39" s="24" t="inlineStr">
        <is>
          <t>7afd5274214b58b7efd7f7febc7be3ab33b92351cda5cc6403c0a39faea0cc8c</t>
        </is>
      </c>
      <c r="BE39" s="24" t="inlineStr">
        <is>
          <t>a5bf8ab17ecf7ac2</t>
        </is>
      </c>
      <c r="BF39" s="24" t="inlineStr">
        <is>
          <t>1</t>
        </is>
      </c>
      <c r="BG39" s="24" t="inlineStr">
        <is>
          <t>wnba-elo-trend-lr-v4</t>
        </is>
      </c>
      <c r="BH39" s="24" t="inlineStr">
        <is>
          <t>2026-08-09T17:05:42.495207Z</t>
        </is>
      </c>
      <c r="BI39" s="24" t="inlineStr">
        <is>
          <t>["same_event","same_team_same_day","same_league_same_day"]</t>
        </is>
      </c>
      <c r="BJ39" s="25" t="n"/>
      <c r="BK39" s="26" t="n">
        <v>-223</v>
      </c>
      <c r="BL39" s="27" t="n">
        <v>1.44843</v>
      </c>
      <c r="BM39" s="28" t="n">
        <v>0.690402</v>
      </c>
      <c r="BN39" s="28" t="n">
        <v>0.683168</v>
      </c>
      <c r="BO39" s="28" t="n"/>
      <c r="BP39" s="25" t="n"/>
      <c r="BQ39" s="27" t="n"/>
      <c r="BR39" s="28" t="n"/>
      <c r="BS39" s="28" t="n"/>
      <c r="BT39" s="28" t="n"/>
      <c r="BU39" s="25" t="n"/>
      <c r="BV39" s="29" t="n"/>
      <c r="BW39" s="24" t="n"/>
      <c r="BX39" s="30" t="n"/>
      <c r="BY39" s="27" t="n"/>
      <c r="BZ39" s="24" t="n"/>
      <c r="CA39" s="31" t="n"/>
      <c r="CB39" s="24" t="n"/>
      <c r="CC39" s="24" t="inlineStr">
        <is>
          <t>0.7587906514</t>
        </is>
      </c>
      <c r="CD39" s="24" t="inlineStr">
        <is>
          <t>4.679116</t>
        </is>
      </c>
      <c r="CE39" s="24" t="n"/>
      <c r="CF39" s="24" t="n"/>
      <c r="CG39" s="24" t="n"/>
      <c r="CH39" s="24" t="n"/>
      <c r="CI39" s="24" t="inlineStr">
        <is>
          <t>NO_CALL_AVAILABILITY_REPORT_INCOMPLETE</t>
        </is>
      </c>
      <c r="CJ39" s="24" t="inlineStr">
        <is>
          <t>-3.292164</t>
        </is>
      </c>
      <c r="CK39" s="24" t="n"/>
      <c r="CL39" s="24" t="n"/>
      <c r="CM39" s="24" t="n"/>
      <c r="CN39" s="24" t="n"/>
      <c r="CO39" s="24" t="n"/>
      <c r="CP39" s="24" t="n"/>
      <c r="CQ39" s="24" t="n"/>
      <c r="CR39" s="24" t="inlineStr">
        <is>
          <t>0.686674</t>
        </is>
      </c>
      <c r="CS39" s="24" t="inlineStr">
        <is>
          <t>False</t>
        </is>
      </c>
    </row>
    <row r="40" ht="36" customHeight="1">
      <c r="A40" s="24" t="inlineStr">
        <is>
          <t>b15a97b0ddc84635</t>
        </is>
      </c>
      <c r="B40" s="24" t="inlineStr">
        <is>
          <t>2026-08-09T20:27:02.435009Z</t>
        </is>
      </c>
      <c r="C40" s="24" t="inlineStr">
        <is>
          <t>2026-08-09T19:00:00-0400</t>
        </is>
      </c>
      <c r="D40" s="24" t="inlineStr">
        <is>
          <t>401857131</t>
        </is>
      </c>
      <c r="E40" s="24" t="inlineStr">
        <is>
          <t>WNBA</t>
        </is>
      </c>
      <c r="F40" s="24" t="inlineStr">
        <is>
          <t>Golden State Valkyries</t>
        </is>
      </c>
      <c r="G40" s="24" t="inlineStr">
        <is>
          <t>Los Angeles Sparks</t>
        </is>
      </c>
      <c r="H40" s="24" t="inlineStr">
        <is>
          <t>moneyline</t>
        </is>
      </c>
      <c r="I40" s="24" t="inlineStr">
        <is>
          <t>away</t>
        </is>
      </c>
      <c r="J40" s="25" t="n"/>
      <c r="K40" s="24" t="inlineStr">
        <is>
          <t>polymarket_us</t>
        </is>
      </c>
      <c r="L40" s="26" t="n">
        <v>-233</v>
      </c>
      <c r="M40" s="27" t="n">
        <v>1.429185</v>
      </c>
      <c r="N40" s="28" t="n">
        <v>0.6997</v>
      </c>
      <c r="O40" s="28" t="n">
        <v>0.68049</v>
      </c>
      <c r="P40" s="28" t="n"/>
      <c r="Q40" s="28" t="n">
        <v>-0.01921</v>
      </c>
      <c r="R40" s="26" t="n">
        <v>14</v>
      </c>
      <c r="S40" s="29" t="n">
        <v>1.75</v>
      </c>
      <c r="T40" s="24" t="inlineStr">
        <is>
          <t>wnba-elo-trend-lr-v4</t>
        </is>
      </c>
      <c r="U40" s="24" t="inlineStr">
        <is>
          <t>settled</t>
        </is>
      </c>
      <c r="V40" s="24" t="inlineStr">
        <is>
          <t>win</t>
        </is>
      </c>
      <c r="W40" s="26" t="n">
        <v>84</v>
      </c>
      <c r="X40" s="26" t="n">
        <v>78</v>
      </c>
      <c r="Y40" s="25" t="n"/>
      <c r="Z40" s="26" t="n"/>
      <c r="AA40" s="28" t="n"/>
      <c r="AB40" s="28" t="n"/>
      <c r="AC40" s="30" t="n">
        <v>0.7511</v>
      </c>
      <c r="AD40" s="24" t="inlineStr">
        <is>
          <t>2026-08-10T02:34:07.318931Z</t>
        </is>
      </c>
      <c r="AE40" s="31" t="inlineStr">
        <is>
          <t>Learned LR call at threshold 0.5001; executable ask 0.7000 (aec-wnba-gsv-la-2026-08-09); model edge vs ask -0.0195. NOTE: NO_CALL_AVAILABILITY_SOURCE_CONFLICT unavailable for this game — defaulted to neutral, other features used normally.</t>
        </is>
      </c>
      <c r="AF40" s="31" t="inlineStr">
        <is>
          <t>Learned model; shadow-qualified via operator override.</t>
        </is>
      </c>
      <c r="AG40" s="24" t="inlineStr">
        <is>
          <t>not_applicable</t>
        </is>
      </c>
      <c r="AH40" s="24" t="n"/>
      <c r="AI40" s="31" t="n"/>
      <c r="AJ40" s="31" t="n"/>
      <c r="AK40" s="24" t="inlineStr">
        <is>
          <t>model_qualified</t>
        </is>
      </c>
      <c r="AL40" s="26" t="n">
        <v>3</v>
      </c>
      <c r="AM40" s="24" t="inlineStr">
        <is>
          <t>QUALIFIED_SHADOW_CALL</t>
        </is>
      </c>
      <c r="AN40" s="24" t="inlineStr">
        <is>
          <t>CALL</t>
        </is>
      </c>
      <c r="AO40" s="24" t="inlineStr">
        <is>
          <t>QUALIFIED</t>
        </is>
      </c>
      <c r="AP40" s="24" t="inlineStr">
        <is>
          <t>wnba-gsv</t>
        </is>
      </c>
      <c r="AQ40" s="24" t="inlineStr">
        <is>
          <t>Golden State Valkyries</t>
        </is>
      </c>
      <c r="AR40" s="24" t="inlineStr">
        <is>
          <t>Golden State Valkyries</t>
        </is>
      </c>
      <c r="AS40" s="24" t="inlineStr">
        <is>
          <t>wnba-las</t>
        </is>
      </c>
      <c r="AT40" s="24" t="inlineStr">
        <is>
          <t>Los Angeles Sparks</t>
        </is>
      </c>
      <c r="AU40" s="24" t="inlineStr">
        <is>
          <t>Los Angeles Sparks</t>
        </is>
      </c>
      <c r="AV40" s="24" t="n"/>
      <c r="AW40" s="24" t="n"/>
      <c r="AX40" s="24" t="inlineStr">
        <is>
          <t>statistical_model</t>
        </is>
      </c>
      <c r="AY40" s="24" t="n"/>
      <c r="AZ40" s="24" t="inlineStr">
        <is>
          <t>shadow_qualified</t>
        </is>
      </c>
      <c r="BA40" s="24" t="inlineStr">
        <is>
          <t>7afd5274214b58b7efd7f7febc7be3ab33b92351cda5cc6403c0a39faea0cc8c</t>
        </is>
      </c>
      <c r="BB40" s="24" t="inlineStr">
        <is>
          <t>learned_lr</t>
        </is>
      </c>
      <c r="BC40" s="24" t="inlineStr">
        <is>
          <t>wnba-elo-trend-lr-v4</t>
        </is>
      </c>
      <c r="BD40" s="24" t="inlineStr">
        <is>
          <t>7afd5274214b58b7efd7f7febc7be3ab33b92351cda5cc6403c0a39faea0cc8c</t>
        </is>
      </c>
      <c r="BE40" s="24" t="inlineStr">
        <is>
          <t>3f8776ef716da556</t>
        </is>
      </c>
      <c r="BF40" s="24" t="inlineStr">
        <is>
          <t>1</t>
        </is>
      </c>
      <c r="BG40" s="24" t="inlineStr">
        <is>
          <t>wnba-elo-trend-lr-v4</t>
        </is>
      </c>
      <c r="BH40" s="24" t="inlineStr">
        <is>
          <t>2026-08-09T20:26:42.890552Z</t>
        </is>
      </c>
      <c r="BI40" s="24" t="inlineStr">
        <is>
          <t>["same_event","same_team_same_day","same_league_same_day"]</t>
        </is>
      </c>
      <c r="BJ40" s="25" t="n"/>
      <c r="BK40" s="26" t="n">
        <v>-233</v>
      </c>
      <c r="BL40" s="27" t="n">
        <v>1.429185</v>
      </c>
      <c r="BM40" s="28" t="n">
        <v>0.6997</v>
      </c>
      <c r="BN40" s="28" t="n">
        <v>0.693069</v>
      </c>
      <c r="BO40" s="28" t="n"/>
      <c r="BP40" s="25" t="n"/>
      <c r="BQ40" s="27" t="n"/>
      <c r="BR40" s="28" t="n"/>
      <c r="BS40" s="28" t="n"/>
      <c r="BT40" s="28" t="n"/>
      <c r="BU40" s="25" t="n"/>
      <c r="BV40" s="29" t="n"/>
      <c r="BW40" s="24" t="n"/>
      <c r="BX40" s="30" t="n"/>
      <c r="BY40" s="27" t="n"/>
      <c r="BZ40" s="24" t="n"/>
      <c r="CA40" s="31" t="n"/>
      <c r="CB40" s="24" t="n"/>
      <c r="CC40" s="24" t="inlineStr">
        <is>
          <t>0.2620546512</t>
        </is>
      </c>
      <c r="CD40" s="24" t="inlineStr">
        <is>
          <t>1.491968</t>
        </is>
      </c>
      <c r="CE40" s="24" t="n"/>
      <c r="CF40" s="24" t="n"/>
      <c r="CG40" s="24" t="n"/>
      <c r="CH40" s="24" t="n"/>
      <c r="CI40" s="24" t="inlineStr">
        <is>
          <t>NO_CALL_AVAILABILITY_SOURCE_CONFLICT</t>
        </is>
      </c>
      <c r="CJ40" s="24" t="inlineStr">
        <is>
          <t>-1.513705</t>
        </is>
      </c>
      <c r="CK40" s="24" t="n"/>
      <c r="CL40" s="24" t="n"/>
      <c r="CM40" s="24" t="n"/>
      <c r="CN40" s="24" t="n"/>
      <c r="CO40" s="24" t="n"/>
      <c r="CP40" s="24" t="n"/>
      <c r="CQ40" s="24" t="n"/>
      <c r="CR40" s="24" t="inlineStr">
        <is>
          <t>0.68049</t>
        </is>
      </c>
      <c r="CS40" s="24" t="inlineStr">
        <is>
          <t>False</t>
        </is>
      </c>
    </row>
    <row r="41" ht="36" customHeight="1">
      <c r="A41" s="24" t="inlineStr">
        <is>
          <t>8d4481f7be804794</t>
        </is>
      </c>
      <c r="B41" s="24" t="inlineStr">
        <is>
          <t>2026-08-10T16:34:47.251195Z</t>
        </is>
      </c>
      <c r="C41" s="24" t="inlineStr">
        <is>
          <t>2026-08-10T20:00:00-0400</t>
        </is>
      </c>
      <c r="D41" s="24" t="inlineStr">
        <is>
          <t>401857132</t>
        </is>
      </c>
      <c r="E41" s="24" t="inlineStr">
        <is>
          <t>WNBA</t>
        </is>
      </c>
      <c r="F41" s="24" t="inlineStr">
        <is>
          <t>Toronto Tempo</t>
        </is>
      </c>
      <c r="G41" s="24" t="inlineStr">
        <is>
          <t>Atlanta Dream</t>
        </is>
      </c>
      <c r="H41" s="24" t="inlineStr">
        <is>
          <t>moneyline</t>
        </is>
      </c>
      <c r="I41" s="24" t="inlineStr">
        <is>
          <t>home</t>
        </is>
      </c>
      <c r="J41" s="25" t="n"/>
      <c r="K41" s="24" t="inlineStr">
        <is>
          <t>polymarket_us</t>
        </is>
      </c>
      <c r="L41" s="26" t="n">
        <v>-733</v>
      </c>
      <c r="M41" s="27" t="n">
        <v>1.136426</v>
      </c>
      <c r="N41" s="28" t="n">
        <v>0.879952</v>
      </c>
      <c r="O41" s="28" t="n">
        <v>0.737133</v>
      </c>
      <c r="P41" s="28" t="n"/>
      <c r="Q41" s="28" t="n">
        <v>-0.142819</v>
      </c>
      <c r="R41" s="26" t="n">
        <v>0</v>
      </c>
      <c r="S41" s="29" t="n">
        <v>2</v>
      </c>
      <c r="T41" s="24" t="inlineStr">
        <is>
          <t>wnba-elo-trend-lr-v4</t>
        </is>
      </c>
      <c r="U41" s="24" t="inlineStr">
        <is>
          <t>settled</t>
        </is>
      </c>
      <c r="V41" s="24" t="inlineStr">
        <is>
          <t>win</t>
        </is>
      </c>
      <c r="W41" s="26" t="n">
        <v>95</v>
      </c>
      <c r="X41" s="26" t="n">
        <v>107</v>
      </c>
      <c r="Y41" s="25" t="n"/>
      <c r="Z41" s="26" t="n"/>
      <c r="AA41" s="28" t="n"/>
      <c r="AB41" s="28" t="n"/>
      <c r="AC41" s="30" t="n">
        <v>0.2729</v>
      </c>
      <c r="AD41" s="24" t="inlineStr">
        <is>
          <t>2026-08-11T13:06:33.323693Z</t>
        </is>
      </c>
      <c r="AE41" s="31" t="inlineStr">
        <is>
          <t>Learned LR call at threshold 0.5001; executable ask 0.8800 (aec-wnba-tor-atl-2026-08-10); model edge vs ask -0.1429. NOTE: NO_CALL_AVAILABILITY_SOURCE_CONFLICT unavailable for this game — defaulted to neutral, other features used normally.</t>
        </is>
      </c>
      <c r="AF41" s="31" t="inlineStr">
        <is>
          <t>Learned model; shadow-qualified via operator override.</t>
        </is>
      </c>
      <c r="AG41" s="24" t="inlineStr">
        <is>
          <t>not_applicable</t>
        </is>
      </c>
      <c r="AH41" s="24" t="n"/>
      <c r="AI41" s="31" t="n"/>
      <c r="AJ41" s="31" t="n"/>
      <c r="AK41" s="24" t="inlineStr">
        <is>
          <t>model_qualified</t>
        </is>
      </c>
      <c r="AL41" s="26" t="n">
        <v>3</v>
      </c>
      <c r="AM41" s="24" t="inlineStr">
        <is>
          <t>QUALIFIED_SHADOW_CALL</t>
        </is>
      </c>
      <c r="AN41" s="24" t="inlineStr">
        <is>
          <t>CALL</t>
        </is>
      </c>
      <c r="AO41" s="24" t="inlineStr">
        <is>
          <t>QUALIFIED</t>
        </is>
      </c>
      <c r="AP41" s="24" t="inlineStr">
        <is>
          <t>wnba-tor</t>
        </is>
      </c>
      <c r="AQ41" s="24" t="inlineStr">
        <is>
          <t>Toronto Tempo</t>
        </is>
      </c>
      <c r="AR41" s="24" t="inlineStr">
        <is>
          <t>Toronto Tempo</t>
        </is>
      </c>
      <c r="AS41" s="24" t="inlineStr">
        <is>
          <t>wnba-atl</t>
        </is>
      </c>
      <c r="AT41" s="24" t="inlineStr">
        <is>
          <t>Atlanta Dream</t>
        </is>
      </c>
      <c r="AU41" s="24" t="inlineStr">
        <is>
          <t>Atlanta Dream</t>
        </is>
      </c>
      <c r="AV41" s="24" t="n"/>
      <c r="AW41" s="24" t="n"/>
      <c r="AX41" s="24" t="inlineStr">
        <is>
          <t>statistical_model</t>
        </is>
      </c>
      <c r="AY41" s="24" t="n"/>
      <c r="AZ41" s="24" t="inlineStr">
        <is>
          <t>shadow_qualified</t>
        </is>
      </c>
      <c r="BA41" s="24" t="inlineStr">
        <is>
          <t>7afd5274214b58b7efd7f7febc7be3ab33b92351cda5cc6403c0a39faea0cc8c</t>
        </is>
      </c>
      <c r="BB41" s="24" t="inlineStr">
        <is>
          <t>learned_lr</t>
        </is>
      </c>
      <c r="BC41" s="24" t="inlineStr">
        <is>
          <t>wnba-elo-trend-lr-v4</t>
        </is>
      </c>
      <c r="BD41" s="24" t="inlineStr">
        <is>
          <t>7afd5274214b58b7efd7f7febc7be3ab33b92351cda5cc6403c0a39faea0cc8c</t>
        </is>
      </c>
      <c r="BE41" s="24" t="inlineStr">
        <is>
          <t>cc3e04aa2e66419b</t>
        </is>
      </c>
      <c r="BF41" s="24" t="inlineStr">
        <is>
          <t>1</t>
        </is>
      </c>
      <c r="BG41" s="24" t="inlineStr">
        <is>
          <t>wnba-elo-trend-lr-v4</t>
        </is>
      </c>
      <c r="BH41" s="24" t="inlineStr">
        <is>
          <t>2026-08-10T16:34:14.661341Z</t>
        </is>
      </c>
      <c r="BI41" s="24" t="inlineStr">
        <is>
          <t>["same_event","same_team_same_day","same_league_same_day"]</t>
        </is>
      </c>
      <c r="BJ41" s="25" t="n"/>
      <c r="BK41" s="26" t="n">
        <v>-733</v>
      </c>
      <c r="BL41" s="27" t="n">
        <v>1.136426</v>
      </c>
      <c r="BM41" s="28" t="n">
        <v>0.879952</v>
      </c>
      <c r="BN41" s="28" t="n">
        <v>0.871287</v>
      </c>
      <c r="BO41" s="28" t="n"/>
      <c r="BP41" s="25" t="n"/>
      <c r="BQ41" s="27" t="n"/>
      <c r="BR41" s="28" t="n"/>
      <c r="BS41" s="28" t="n"/>
      <c r="BT41" s="28" t="n"/>
      <c r="BU41" s="25" t="n"/>
      <c r="BV41" s="29" t="n"/>
      <c r="BW41" s="24" t="n"/>
      <c r="BX41" s="30" t="n"/>
      <c r="BY41" s="27" t="n"/>
      <c r="BZ41" s="24" t="n"/>
      <c r="CA41" s="31" t="n"/>
      <c r="CB41" s="24" t="n"/>
      <c r="CC41" s="24" t="inlineStr">
        <is>
          <t>0.8354799774</t>
        </is>
      </c>
      <c r="CD41" s="24" t="inlineStr">
        <is>
          <t>3.773711</t>
        </is>
      </c>
      <c r="CE41" s="24" t="n"/>
      <c r="CF41" s="24" t="n"/>
      <c r="CG41" s="24" t="n"/>
      <c r="CH41" s="24" t="n"/>
      <c r="CI41" s="24" t="inlineStr">
        <is>
          <t>NO_CALL_AVAILABILITY_SOURCE_CONFLICT</t>
        </is>
      </c>
      <c r="CJ41" s="24" t="inlineStr">
        <is>
          <t>-3.297793</t>
        </is>
      </c>
      <c r="CK41" s="24" t="n"/>
      <c r="CL41" s="24" t="n"/>
      <c r="CM41" s="24" t="n"/>
      <c r="CN41" s="24" t="n"/>
      <c r="CO41" s="24" t="n"/>
      <c r="CP41" s="24" t="n"/>
      <c r="CQ41" s="24" t="n"/>
      <c r="CR41" s="24" t="inlineStr">
        <is>
          <t>0.737133</t>
        </is>
      </c>
      <c r="CS41" s="24" t="inlineStr">
        <is>
          <t>False</t>
        </is>
      </c>
    </row>
    <row r="42" ht="36" customHeight="1">
      <c r="A42" s="24" t="inlineStr">
        <is>
          <t>fbd65d4071754e79</t>
        </is>
      </c>
      <c r="B42" s="24" t="inlineStr">
        <is>
          <t>2026-08-10T16:34:47.251195Z</t>
        </is>
      </c>
      <c r="C42" s="24" t="inlineStr">
        <is>
          <t>2026-08-10T22:00:00-0400</t>
        </is>
      </c>
      <c r="D42" s="24" t="inlineStr">
        <is>
          <t>401857133</t>
        </is>
      </c>
      <c r="E42" s="24" t="inlineStr">
        <is>
          <t>WNBA</t>
        </is>
      </c>
      <c r="F42" s="24" t="inlineStr">
        <is>
          <t>Chicago Sky</t>
        </is>
      </c>
      <c r="G42" s="24" t="inlineStr">
        <is>
          <t>Seattle Storm</t>
        </is>
      </c>
      <c r="H42" s="24" t="inlineStr">
        <is>
          <t>moneyline</t>
        </is>
      </c>
      <c r="I42" s="24" t="inlineStr">
        <is>
          <t>away</t>
        </is>
      </c>
      <c r="J42" s="25" t="n"/>
      <c r="K42" s="24" t="inlineStr">
        <is>
          <t>polymarket_us</t>
        </is>
      </c>
      <c r="L42" s="26" t="n">
        <v>-113</v>
      </c>
      <c r="M42" s="27" t="n">
        <v>1.884956</v>
      </c>
      <c r="N42" s="28" t="n">
        <v>0.530516</v>
      </c>
      <c r="O42" s="28" t="n">
        <v>0.543228</v>
      </c>
      <c r="P42" s="28" t="n"/>
      <c r="Q42" s="28" t="n">
        <v>0.012712</v>
      </c>
      <c r="R42" s="26" t="n">
        <v>29</v>
      </c>
      <c r="S42" s="29" t="n">
        <v>1</v>
      </c>
      <c r="T42" s="24" t="inlineStr">
        <is>
          <t>wnba-elo-trend-lr-v4</t>
        </is>
      </c>
      <c r="U42" s="24" t="inlineStr">
        <is>
          <t>settled</t>
        </is>
      </c>
      <c r="V42" s="24" t="inlineStr">
        <is>
          <t>loss</t>
        </is>
      </c>
      <c r="W42" s="26" t="n">
        <v>88</v>
      </c>
      <c r="X42" s="26" t="n">
        <v>97</v>
      </c>
      <c r="Y42" s="25" t="n"/>
      <c r="Z42" s="26" t="n"/>
      <c r="AA42" s="28" t="n"/>
      <c r="AB42" s="28" t="n"/>
      <c r="AC42" s="30" t="n">
        <v>-1</v>
      </c>
      <c r="AD42" s="24" t="inlineStr">
        <is>
          <t>2026-08-11T13:06:33.815356Z</t>
        </is>
      </c>
      <c r="AE42" s="31" t="inlineStr">
        <is>
          <t>Learned LR call at threshold 0.5001; executable ask 0.5300 (aec-wnba-chi-sea-2026-08-10); model edge vs ask +0.0132.</t>
        </is>
      </c>
      <c r="AF42" s="31" t="inlineStr">
        <is>
          <t>Learned model; shadow-qualified via operator override.</t>
        </is>
      </c>
      <c r="AG42" s="24" t="inlineStr">
        <is>
          <t>review_required</t>
        </is>
      </c>
      <c r="AH42" s="24" t="n"/>
      <c r="AI42" s="31" t="n"/>
      <c r="AJ42" s="31" t="n"/>
      <c r="AK42" s="24" t="inlineStr">
        <is>
          <t>model_qualified</t>
        </is>
      </c>
      <c r="AL42" s="26" t="n">
        <v>3</v>
      </c>
      <c r="AM42" s="24" t="inlineStr">
        <is>
          <t>QUALIFIED_SHADOW_CALL</t>
        </is>
      </c>
      <c r="AN42" s="24" t="inlineStr">
        <is>
          <t>CALL</t>
        </is>
      </c>
      <c r="AO42" s="24" t="inlineStr">
        <is>
          <t>QUALIFIED</t>
        </is>
      </c>
      <c r="AP42" s="24" t="inlineStr">
        <is>
          <t>wnba-chi</t>
        </is>
      </c>
      <c r="AQ42" s="24" t="inlineStr">
        <is>
          <t>Chicago Sky</t>
        </is>
      </c>
      <c r="AR42" s="24" t="inlineStr">
        <is>
          <t>Chicago Sky</t>
        </is>
      </c>
      <c r="AS42" s="24" t="inlineStr">
        <is>
          <t>wnba-sea</t>
        </is>
      </c>
      <c r="AT42" s="24" t="inlineStr">
        <is>
          <t>Seattle Storm</t>
        </is>
      </c>
      <c r="AU42" s="24" t="inlineStr">
        <is>
          <t>Seattle Storm</t>
        </is>
      </c>
      <c r="AV42" s="24" t="n"/>
      <c r="AW42" s="24" t="n"/>
      <c r="AX42" s="24" t="inlineStr">
        <is>
          <t>statistical_model</t>
        </is>
      </c>
      <c r="AY42" s="24" t="n"/>
      <c r="AZ42" s="24" t="inlineStr">
        <is>
          <t>shadow_qualified</t>
        </is>
      </c>
      <c r="BA42" s="24" t="inlineStr">
        <is>
          <t>7afd5274214b58b7efd7f7febc7be3ab33b92351cda5cc6403c0a39faea0cc8c</t>
        </is>
      </c>
      <c r="BB42" s="24" t="inlineStr">
        <is>
          <t>learned_lr</t>
        </is>
      </c>
      <c r="BC42" s="24" t="inlineStr">
        <is>
          <t>wnba-elo-trend-lr-v4</t>
        </is>
      </c>
      <c r="BD42" s="24" t="inlineStr">
        <is>
          <t>7afd5274214b58b7efd7f7febc7be3ab33b92351cda5cc6403c0a39faea0cc8c</t>
        </is>
      </c>
      <c r="BE42" s="24" t="inlineStr">
        <is>
          <t>0f4dad8fd6dfb442</t>
        </is>
      </c>
      <c r="BF42" s="24" t="inlineStr">
        <is>
          <t>1</t>
        </is>
      </c>
      <c r="BG42" s="24" t="inlineStr">
        <is>
          <t>wnba-elo-trend-lr-v4</t>
        </is>
      </c>
      <c r="BH42" s="24" t="inlineStr">
        <is>
          <t>2026-08-10T16:34:14.903004Z</t>
        </is>
      </c>
      <c r="BI42" s="24" t="inlineStr">
        <is>
          <t>["same_event","same_team_same_day","same_league_same_day"]</t>
        </is>
      </c>
      <c r="BJ42" s="25" t="n"/>
      <c r="BK42" s="26" t="n">
        <v>-113</v>
      </c>
      <c r="BL42" s="27" t="n">
        <v>1.884956</v>
      </c>
      <c r="BM42" s="28" t="n">
        <v>0.530516</v>
      </c>
      <c r="BN42" s="28" t="n">
        <v>0.524752</v>
      </c>
      <c r="BO42" s="28" t="n"/>
      <c r="BP42" s="25" t="n"/>
      <c r="BQ42" s="27" t="n"/>
      <c r="BR42" s="28" t="n"/>
      <c r="BS42" s="28" t="n"/>
      <c r="BT42" s="28" t="n"/>
      <c r="BU42" s="25" t="n"/>
      <c r="BV42" s="29" t="n"/>
      <c r="BW42" s="24" t="n"/>
      <c r="BX42" s="30" t="n"/>
      <c r="BY42" s="27" t="n"/>
      <c r="BZ42" s="24" t="n"/>
      <c r="CA42" s="31" t="n"/>
      <c r="CB42" s="24" t="n"/>
      <c r="CC42" s="24" t="inlineStr">
        <is>
          <t>0.4387952332</t>
        </is>
      </c>
      <c r="CD42" s="24" t="inlineStr">
        <is>
          <t>-0.915897</t>
        </is>
      </c>
      <c r="CE42" s="24" t="n"/>
      <c r="CF42" s="24" t="n"/>
      <c r="CG42" s="24" t="n"/>
      <c r="CH42" s="24" t="n"/>
      <c r="CI42" s="24" t="n"/>
      <c r="CJ42" s="24" t="inlineStr">
        <is>
          <t>-5.749741</t>
        </is>
      </c>
      <c r="CK42" s="24" t="n"/>
      <c r="CL42" s="24" t="n"/>
      <c r="CM42" s="24" t="n"/>
      <c r="CN42" s="24" t="n"/>
      <c r="CO42" s="24" t="n"/>
      <c r="CP42" s="24" t="n"/>
      <c r="CQ42" s="24" t="n"/>
      <c r="CR42" s="24" t="inlineStr">
        <is>
          <t>0.543228</t>
        </is>
      </c>
      <c r="CS42" s="24" t="inlineStr">
        <is>
          <t>True</t>
        </is>
      </c>
    </row>
    <row r="43" ht="36" customHeight="1">
      <c r="A43" s="24" t="inlineStr">
        <is>
          <t>c2b8ff34971a4524</t>
        </is>
      </c>
      <c r="B43" s="24" t="inlineStr">
        <is>
          <t>2026-08-11T23:02:00.677208Z</t>
        </is>
      </c>
      <c r="C43" s="24" t="inlineStr">
        <is>
          <t>2026-08-11T19:30:00-0400</t>
        </is>
      </c>
      <c r="D43" s="24" t="inlineStr">
        <is>
          <t>401857134</t>
        </is>
      </c>
      <c r="E43" s="24" t="inlineStr">
        <is>
          <t>WNBA</t>
        </is>
      </c>
      <c r="F43" s="24" t="inlineStr">
        <is>
          <t>New York Liberty</t>
        </is>
      </c>
      <c r="G43" s="24" t="inlineStr">
        <is>
          <t>Indiana Fever</t>
        </is>
      </c>
      <c r="H43" s="24" t="inlineStr">
        <is>
          <t>moneyline</t>
        </is>
      </c>
      <c r="I43" s="24" t="inlineStr">
        <is>
          <t>home</t>
        </is>
      </c>
      <c r="J43" s="25" t="n"/>
      <c r="K43" s="24" t="inlineStr">
        <is>
          <t>polymarket_us</t>
        </is>
      </c>
      <c r="L43" s="26" t="n">
        <v>-144</v>
      </c>
      <c r="M43" s="27" t="n">
        <v>1.694444</v>
      </c>
      <c r="N43" s="28" t="n">
        <v>0.590164</v>
      </c>
      <c r="O43" s="28" t="n">
        <v>0.601532</v>
      </c>
      <c r="P43" s="28" t="n"/>
      <c r="Q43" s="28" t="n">
        <v>0.011368</v>
      </c>
      <c r="R43" s="26" t="n">
        <v>29</v>
      </c>
      <c r="S43" s="29" t="n">
        <v>1.25</v>
      </c>
      <c r="T43" s="24" t="inlineStr">
        <is>
          <t>wnba-elo-trend-lr-v4</t>
        </is>
      </c>
      <c r="U43" s="24" t="inlineStr">
        <is>
          <t>settled</t>
        </is>
      </c>
      <c r="V43" s="24" t="inlineStr">
        <is>
          <t>win</t>
        </is>
      </c>
      <c r="W43" s="26" t="n">
        <v>92</v>
      </c>
      <c r="X43" s="26" t="n">
        <v>106</v>
      </c>
      <c r="Y43" s="25" t="n"/>
      <c r="Z43" s="26" t="n"/>
      <c r="AA43" s="28" t="n"/>
      <c r="AB43" s="28" t="n"/>
      <c r="AC43" s="30" t="n">
        <v>0.8681</v>
      </c>
      <c r="AD43" s="24" t="inlineStr">
        <is>
          <t>2026-08-12T02:05:35.184671Z</t>
        </is>
      </c>
      <c r="AE43" s="31" t="inlineStr">
        <is>
          <t>Learned LR call at threshold 0.5001; executable ask 0.5900 (aec-wnba-ny-ind-2026-08-11); model edge vs ask +0.0115. NOTE: NO_CALL_AVAILABILITY_PLAYER_UNMAPPED unavailable for this game — defaulted to neutral, other features used normally.</t>
        </is>
      </c>
      <c r="AF43" s="31" t="inlineStr">
        <is>
          <t>Learned model; shadow-qualified via operator override.</t>
        </is>
      </c>
      <c r="AG43" s="24" t="inlineStr">
        <is>
          <t>not_applicable</t>
        </is>
      </c>
      <c r="AH43" s="24" t="n"/>
      <c r="AI43" s="31" t="n"/>
      <c r="AJ43" s="31" t="n"/>
      <c r="AK43" s="24" t="inlineStr">
        <is>
          <t>model_qualified</t>
        </is>
      </c>
      <c r="AL43" s="26" t="n">
        <v>3</v>
      </c>
      <c r="AM43" s="24" t="inlineStr">
        <is>
          <t>QUALIFIED_SHADOW_CALL</t>
        </is>
      </c>
      <c r="AN43" s="24" t="inlineStr">
        <is>
          <t>CALL</t>
        </is>
      </c>
      <c r="AO43" s="24" t="inlineStr">
        <is>
          <t>QUALIFIED</t>
        </is>
      </c>
      <c r="AP43" s="24" t="inlineStr">
        <is>
          <t>wnba-nyl</t>
        </is>
      </c>
      <c r="AQ43" s="24" t="inlineStr">
        <is>
          <t>New York Liberty</t>
        </is>
      </c>
      <c r="AR43" s="24" t="inlineStr">
        <is>
          <t>New York Liberty</t>
        </is>
      </c>
      <c r="AS43" s="24" t="inlineStr">
        <is>
          <t>wnba-ind</t>
        </is>
      </c>
      <c r="AT43" s="24" t="inlineStr">
        <is>
          <t>Indiana Fever</t>
        </is>
      </c>
      <c r="AU43" s="24" t="inlineStr">
        <is>
          <t>Indiana Fever</t>
        </is>
      </c>
      <c r="AV43" s="24" t="n"/>
      <c r="AW43" s="24" t="n"/>
      <c r="AX43" s="24" t="inlineStr">
        <is>
          <t>statistical_model</t>
        </is>
      </c>
      <c r="AY43" s="24" t="n"/>
      <c r="AZ43" s="24" t="inlineStr">
        <is>
          <t>shadow_qualified</t>
        </is>
      </c>
      <c r="BA43" s="24" t="inlineStr">
        <is>
          <t>7afd5274214b58b7efd7f7febc7be3ab33b92351cda5cc6403c0a39faea0cc8c</t>
        </is>
      </c>
      <c r="BB43" s="24" t="inlineStr">
        <is>
          <t>learned_lr</t>
        </is>
      </c>
      <c r="BC43" s="24" t="inlineStr">
        <is>
          <t>wnba-elo-trend-lr-v4</t>
        </is>
      </c>
      <c r="BD43" s="24" t="inlineStr">
        <is>
          <t>7afd5274214b58b7efd7f7febc7be3ab33b92351cda5cc6403c0a39faea0cc8c</t>
        </is>
      </c>
      <c r="BE43" s="24" t="inlineStr">
        <is>
          <t>ba520a9a4c477ab6</t>
        </is>
      </c>
      <c r="BF43" s="24" t="inlineStr">
        <is>
          <t>1</t>
        </is>
      </c>
      <c r="BG43" s="24" t="inlineStr">
        <is>
          <t>wnba-elo-trend-lr-v4</t>
        </is>
      </c>
      <c r="BH43" s="24" t="inlineStr">
        <is>
          <t>2026-08-11T23:01:21.703219Z</t>
        </is>
      </c>
      <c r="BI43" s="24" t="inlineStr">
        <is>
          <t>["same_event","same_team_same_day","same_league_same_day"]</t>
        </is>
      </c>
      <c r="BJ43" s="25" t="n"/>
      <c r="BK43" s="26" t="n">
        <v>-144</v>
      </c>
      <c r="BL43" s="27" t="n">
        <v>1.694444</v>
      </c>
      <c r="BM43" s="28" t="n">
        <v>0.590164</v>
      </c>
      <c r="BN43" s="28" t="n">
        <v>0.584158</v>
      </c>
      <c r="BO43" s="28" t="n"/>
      <c r="BP43" s="25" t="n"/>
      <c r="BQ43" s="27" t="n"/>
      <c r="BR43" s="28" t="n"/>
      <c r="BS43" s="28" t="n"/>
      <c r="BT43" s="28" t="n"/>
      <c r="BU43" s="25" t="n"/>
      <c r="BV43" s="29" t="n"/>
      <c r="BW43" s="24" t="n"/>
      <c r="BX43" s="30" t="n"/>
      <c r="BY43" s="27" t="n"/>
      <c r="BZ43" s="24" t="n"/>
      <c r="CA43" s="31" t="n"/>
      <c r="CB43" s="24" t="n"/>
      <c r="CC43" s="24" t="inlineStr">
        <is>
          <t>0.6211005454</t>
        </is>
      </c>
      <c r="CD43" s="24" t="inlineStr">
        <is>
          <t>-4.657768</t>
        </is>
      </c>
      <c r="CE43" s="24" t="n"/>
      <c r="CF43" s="24" t="n"/>
      <c r="CG43" s="24" t="n"/>
      <c r="CH43" s="24" t="n"/>
      <c r="CI43" s="24" t="inlineStr">
        <is>
          <t>NO_CALL_AVAILABILITY_PLAYER_UNMAPPED</t>
        </is>
      </c>
      <c r="CJ43" s="24" t="inlineStr">
        <is>
          <t>-1.837931</t>
        </is>
      </c>
      <c r="CK43" s="24" t="n"/>
      <c r="CL43" s="24" t="n"/>
      <c r="CM43" s="24" t="n"/>
      <c r="CN43" s="24" t="n"/>
      <c r="CO43" s="24" t="n"/>
      <c r="CP43" s="24" t="n"/>
      <c r="CQ43" s="24" t="n"/>
      <c r="CR43" s="24" t="inlineStr">
        <is>
          <t>0.601532</t>
        </is>
      </c>
      <c r="CS43" s="24" t="inlineStr">
        <is>
          <t>True</t>
        </is>
      </c>
    </row>
    <row r="44" ht="36" customHeight="1">
      <c r="A44" s="24" t="inlineStr">
        <is>
          <t>94b6e82d47414a9a</t>
        </is>
      </c>
      <c r="B44" s="24" t="inlineStr">
        <is>
          <t>2026-08-11T23:02:00.677208Z</t>
        </is>
      </c>
      <c r="C44" s="24" t="inlineStr">
        <is>
          <t>2026-08-11T22:00:00-0400</t>
        </is>
      </c>
      <c r="D44" s="24" t="inlineStr">
        <is>
          <t>401857135</t>
        </is>
      </c>
      <c r="E44" s="24" t="inlineStr">
        <is>
          <t>WNBA</t>
        </is>
      </c>
      <c r="F44" s="24" t="inlineStr">
        <is>
          <t>Washington Mystics</t>
        </is>
      </c>
      <c r="G44" s="24" t="inlineStr">
        <is>
          <t>Las Vegas Aces</t>
        </is>
      </c>
      <c r="H44" s="24" t="inlineStr">
        <is>
          <t>moneyline</t>
        </is>
      </c>
      <c r="I44" s="24" t="inlineStr">
        <is>
          <t>home</t>
        </is>
      </c>
      <c r="J44" s="25" t="n"/>
      <c r="K44" s="24" t="inlineStr">
        <is>
          <t>polymarket_us</t>
        </is>
      </c>
      <c r="L44" s="26" t="n">
        <v>-257</v>
      </c>
      <c r="M44" s="27" t="n">
        <v>1.389105</v>
      </c>
      <c r="N44" s="28" t="n">
        <v>0.719888</v>
      </c>
      <c r="O44" s="28" t="n">
        <v>0.607315</v>
      </c>
      <c r="P44" s="28" t="n"/>
      <c r="Q44" s="28" t="n">
        <v>-0.112573</v>
      </c>
      <c r="R44" s="26" t="n">
        <v>0</v>
      </c>
      <c r="S44" s="29" t="n">
        <v>1.5</v>
      </c>
      <c r="T44" s="24" t="inlineStr">
        <is>
          <t>wnba-elo-trend-lr-v4</t>
        </is>
      </c>
      <c r="U44" s="24" t="inlineStr">
        <is>
          <t>settled</t>
        </is>
      </c>
      <c r="V44" s="24" t="inlineStr">
        <is>
          <t>win</t>
        </is>
      </c>
      <c r="W44" s="26" t="n">
        <v>76</v>
      </c>
      <c r="X44" s="26" t="n">
        <v>86</v>
      </c>
      <c r="Y44" s="25" t="n"/>
      <c r="Z44" s="26" t="n"/>
      <c r="AA44" s="28" t="n"/>
      <c r="AB44" s="28" t="n"/>
      <c r="AC44" s="30" t="n">
        <v>0.5837</v>
      </c>
      <c r="AD44" s="24" t="inlineStr">
        <is>
          <t>2026-08-12T05:11:32.121723Z</t>
        </is>
      </c>
      <c r="AE44" s="31" t="inlineStr">
        <is>
          <t>Learned LR call at threshold 0.5001; executable ask 0.7200 (aec-wnba-wsh-lv-2026-08-11); model edge vs ask -0.1127.</t>
        </is>
      </c>
      <c r="AF44" s="31" t="inlineStr">
        <is>
          <t>Learned model; shadow-qualified via operator override.</t>
        </is>
      </c>
      <c r="AG44" s="24" t="inlineStr">
        <is>
          <t>not_applicable</t>
        </is>
      </c>
      <c r="AH44" s="24" t="n"/>
      <c r="AI44" s="31" t="n"/>
      <c r="AJ44" s="31" t="n"/>
      <c r="AK44" s="24" t="inlineStr">
        <is>
          <t>model_qualified</t>
        </is>
      </c>
      <c r="AL44" s="26" t="n">
        <v>3</v>
      </c>
      <c r="AM44" s="24" t="inlineStr">
        <is>
          <t>QUALIFIED_SHADOW_CALL</t>
        </is>
      </c>
      <c r="AN44" s="24" t="inlineStr">
        <is>
          <t>CALL</t>
        </is>
      </c>
      <c r="AO44" s="24" t="inlineStr">
        <is>
          <t>QUALIFIED</t>
        </is>
      </c>
      <c r="AP44" s="24" t="inlineStr">
        <is>
          <t>wnba-was</t>
        </is>
      </c>
      <c r="AQ44" s="24" t="inlineStr">
        <is>
          <t>Washington Mystics</t>
        </is>
      </c>
      <c r="AR44" s="24" t="inlineStr">
        <is>
          <t>Washington Mystics</t>
        </is>
      </c>
      <c r="AS44" s="24" t="inlineStr">
        <is>
          <t>wnba-lva</t>
        </is>
      </c>
      <c r="AT44" s="24" t="inlineStr">
        <is>
          <t>Las Vegas Aces</t>
        </is>
      </c>
      <c r="AU44" s="24" t="inlineStr">
        <is>
          <t>Las Vegas Aces</t>
        </is>
      </c>
      <c r="AV44" s="24" t="n"/>
      <c r="AW44" s="24" t="n"/>
      <c r="AX44" s="24" t="inlineStr">
        <is>
          <t>statistical_model</t>
        </is>
      </c>
      <c r="AY44" s="24" t="n"/>
      <c r="AZ44" s="24" t="inlineStr">
        <is>
          <t>shadow_qualified</t>
        </is>
      </c>
      <c r="BA44" s="24" t="inlineStr">
        <is>
          <t>7afd5274214b58b7efd7f7febc7be3ab33b92351cda5cc6403c0a39faea0cc8c</t>
        </is>
      </c>
      <c r="BB44" s="24" t="inlineStr">
        <is>
          <t>learned_lr</t>
        </is>
      </c>
      <c r="BC44" s="24" t="inlineStr">
        <is>
          <t>wnba-elo-trend-lr-v4</t>
        </is>
      </c>
      <c r="BD44" s="24" t="inlineStr">
        <is>
          <t>7afd5274214b58b7efd7f7febc7be3ab33b92351cda5cc6403c0a39faea0cc8c</t>
        </is>
      </c>
      <c r="BE44" s="24" t="inlineStr">
        <is>
          <t>a0c31254ee1bbd66</t>
        </is>
      </c>
      <c r="BF44" s="24" t="inlineStr">
        <is>
          <t>1</t>
        </is>
      </c>
      <c r="BG44" s="24" t="inlineStr">
        <is>
          <t>wnba-elo-trend-lr-v4</t>
        </is>
      </c>
      <c r="BH44" s="24" t="inlineStr">
        <is>
          <t>2026-08-11T23:01:22.435695Z</t>
        </is>
      </c>
      <c r="BI44" s="24" t="inlineStr">
        <is>
          <t>["same_event","same_team_same_day","same_league_same_day"]</t>
        </is>
      </c>
      <c r="BJ44" s="25" t="n"/>
      <c r="BK44" s="26" t="n">
        <v>-257</v>
      </c>
      <c r="BL44" s="27" t="n">
        <v>1.389105</v>
      </c>
      <c r="BM44" s="28" t="n">
        <v>0.719888</v>
      </c>
      <c r="BN44" s="28" t="n">
        <v>0.712871</v>
      </c>
      <c r="BO44" s="28" t="n"/>
      <c r="BP44" s="25" t="n"/>
      <c r="BQ44" s="27" t="n"/>
      <c r="BR44" s="28" t="n"/>
      <c r="BS44" s="28" t="n"/>
      <c r="BT44" s="28" t="n"/>
      <c r="BU44" s="25" t="n"/>
      <c r="BV44" s="29" t="n"/>
      <c r="BW44" s="24" t="n"/>
      <c r="BX44" s="30" t="n"/>
      <c r="BY44" s="27" t="n"/>
      <c r="BZ44" s="24" t="n"/>
      <c r="CA44" s="31" t="n"/>
      <c r="CB44" s="24" t="n"/>
      <c r="CC44" s="24" t="inlineStr">
        <is>
          <t>0.6234716814</t>
        </is>
      </c>
      <c r="CD44" s="24" t="inlineStr">
        <is>
          <t>-4.445907</t>
        </is>
      </c>
      <c r="CE44" s="24" t="n"/>
      <c r="CF44" s="24" t="n"/>
      <c r="CG44" s="24" t="n"/>
      <c r="CH44" s="24" t="n"/>
      <c r="CI44" s="24" t="n"/>
      <c r="CJ44" s="24" t="inlineStr">
        <is>
          <t>-8.030375</t>
        </is>
      </c>
      <c r="CK44" s="24" t="n"/>
      <c r="CL44" s="24" t="n"/>
      <c r="CM44" s="24" t="n"/>
      <c r="CN44" s="24" t="n"/>
      <c r="CO44" s="24" t="n"/>
      <c r="CP44" s="24" t="n"/>
      <c r="CQ44" s="24" t="n"/>
      <c r="CR44" s="24" t="inlineStr">
        <is>
          <t>0.607315</t>
        </is>
      </c>
      <c r="CS44" s="24" t="inlineStr">
        <is>
          <t>False</t>
        </is>
      </c>
    </row>
    <row r="45" ht="36" customHeight="1">
      <c r="A45" s="24" t="inlineStr">
        <is>
          <t>5996ca17401a4bdb</t>
        </is>
      </c>
      <c r="B45" s="24" t="inlineStr">
        <is>
          <t>2026-08-11T23:02:00.677208Z</t>
        </is>
      </c>
      <c r="C45" s="24" t="inlineStr">
        <is>
          <t>2026-08-11T22:00:00-0400</t>
        </is>
      </c>
      <c r="D45" s="24" t="inlineStr">
        <is>
          <t>401857136</t>
        </is>
      </c>
      <c r="E45" s="24" t="inlineStr">
        <is>
          <t>WNBA</t>
        </is>
      </c>
      <c r="F45" s="24" t="inlineStr">
        <is>
          <t>Phoenix Mercury</t>
        </is>
      </c>
      <c r="G45" s="24" t="inlineStr">
        <is>
          <t>Los Angeles Sparks</t>
        </is>
      </c>
      <c r="H45" s="24" t="inlineStr">
        <is>
          <t>moneyline</t>
        </is>
      </c>
      <c r="I45" s="24" t="inlineStr">
        <is>
          <t>home</t>
        </is>
      </c>
      <c r="J45" s="25" t="n"/>
      <c r="K45" s="24" t="inlineStr">
        <is>
          <t>polymarket_us</t>
        </is>
      </c>
      <c r="L45" s="26" t="n">
        <v>-127</v>
      </c>
      <c r="M45" s="27" t="n">
        <v>1.787402</v>
      </c>
      <c r="N45" s="28" t="n">
        <v>0.5594710000000001</v>
      </c>
      <c r="O45" s="28" t="n">
        <v>0.605795</v>
      </c>
      <c r="P45" s="28" t="n"/>
      <c r="Q45" s="28" t="n">
        <v>0.046324</v>
      </c>
      <c r="R45" s="26" t="n">
        <v>46</v>
      </c>
      <c r="S45" s="29" t="n">
        <v>1.25</v>
      </c>
      <c r="T45" s="24" t="inlineStr">
        <is>
          <t>wnba-elo-trend-lr-v4</t>
        </is>
      </c>
      <c r="U45" s="24" t="inlineStr">
        <is>
          <t>settled</t>
        </is>
      </c>
      <c r="V45" s="24" t="inlineStr">
        <is>
          <t>loss</t>
        </is>
      </c>
      <c r="W45" s="26" t="n">
        <v>94</v>
      </c>
      <c r="X45" s="26" t="n">
        <v>87</v>
      </c>
      <c r="Y45" s="25" t="n"/>
      <c r="Z45" s="26" t="n"/>
      <c r="AA45" s="28" t="n"/>
      <c r="AB45" s="28" t="n"/>
      <c r="AC45" s="30" t="n">
        <v>-1.25</v>
      </c>
      <c r="AD45" s="24" t="inlineStr">
        <is>
          <t>2026-08-12T05:11:32.639916Z</t>
        </is>
      </c>
      <c r="AE45" s="31" t="inlineStr">
        <is>
          <t>Learned LR call at threshold 0.5001; executable ask 0.5600 (aec-wnba-phx-la-2026-08-11); model edge vs ask +0.0458.</t>
        </is>
      </c>
      <c r="AF45" s="31" t="inlineStr">
        <is>
          <t>Learned model; shadow-qualified via operator override.</t>
        </is>
      </c>
      <c r="AG45" s="24" t="inlineStr">
        <is>
          <t>review_required</t>
        </is>
      </c>
      <c r="AH45" s="24" t="n"/>
      <c r="AI45" s="31" t="n"/>
      <c r="AJ45" s="31" t="n"/>
      <c r="AK45" s="24" t="inlineStr">
        <is>
          <t>model_qualified</t>
        </is>
      </c>
      <c r="AL45" s="26" t="n">
        <v>3</v>
      </c>
      <c r="AM45" s="24" t="inlineStr">
        <is>
          <t>QUALIFIED_SHADOW_CALL</t>
        </is>
      </c>
      <c r="AN45" s="24" t="inlineStr">
        <is>
          <t>CALL</t>
        </is>
      </c>
      <c r="AO45" s="24" t="inlineStr">
        <is>
          <t>QUALIFIED</t>
        </is>
      </c>
      <c r="AP45" s="24" t="inlineStr">
        <is>
          <t>wnba-phx</t>
        </is>
      </c>
      <c r="AQ45" s="24" t="inlineStr">
        <is>
          <t>Phoenix Mercury</t>
        </is>
      </c>
      <c r="AR45" s="24" t="inlineStr">
        <is>
          <t>Phoenix Mercury</t>
        </is>
      </c>
      <c r="AS45" s="24" t="inlineStr">
        <is>
          <t>wnba-las</t>
        </is>
      </c>
      <c r="AT45" s="24" t="inlineStr">
        <is>
          <t>Los Angeles Sparks</t>
        </is>
      </c>
      <c r="AU45" s="24" t="inlineStr">
        <is>
          <t>Los Angeles Sparks</t>
        </is>
      </c>
      <c r="AV45" s="24" t="n"/>
      <c r="AW45" s="24" t="n"/>
      <c r="AX45" s="24" t="inlineStr">
        <is>
          <t>statistical_model</t>
        </is>
      </c>
      <c r="AY45" s="24" t="n"/>
      <c r="AZ45" s="24" t="inlineStr">
        <is>
          <t>shadow_qualified</t>
        </is>
      </c>
      <c r="BA45" s="24" t="inlineStr">
        <is>
          <t>7afd5274214b58b7efd7f7febc7be3ab33b92351cda5cc6403c0a39faea0cc8c</t>
        </is>
      </c>
      <c r="BB45" s="24" t="inlineStr">
        <is>
          <t>learned_lr</t>
        </is>
      </c>
      <c r="BC45" s="24" t="inlineStr">
        <is>
          <t>wnba-elo-trend-lr-v4</t>
        </is>
      </c>
      <c r="BD45" s="24" t="inlineStr">
        <is>
          <t>7afd5274214b58b7efd7f7febc7be3ab33b92351cda5cc6403c0a39faea0cc8c</t>
        </is>
      </c>
      <c r="BE45" s="24" t="inlineStr">
        <is>
          <t>ea8ddf96e9d55211</t>
        </is>
      </c>
      <c r="BF45" s="24" t="inlineStr">
        <is>
          <t>1</t>
        </is>
      </c>
      <c r="BG45" s="24" t="inlineStr">
        <is>
          <t>wnba-elo-trend-lr-v4</t>
        </is>
      </c>
      <c r="BH45" s="24" t="inlineStr">
        <is>
          <t>2026-08-11T23:01:23.084715Z</t>
        </is>
      </c>
      <c r="BI45" s="24" t="inlineStr">
        <is>
          <t>["same_event","same_team_same_day","same_league_same_day"]</t>
        </is>
      </c>
      <c r="BJ45" s="25" t="n"/>
      <c r="BK45" s="26" t="n">
        <v>-127</v>
      </c>
      <c r="BL45" s="27" t="n">
        <v>1.787402</v>
      </c>
      <c r="BM45" s="28" t="n">
        <v>0.5594710000000001</v>
      </c>
      <c r="BN45" s="28" t="n">
        <v>0.554455</v>
      </c>
      <c r="BO45" s="28" t="n"/>
      <c r="BP45" s="25" t="n"/>
      <c r="BQ45" s="27" t="n"/>
      <c r="BR45" s="28" t="n"/>
      <c r="BS45" s="28" t="n"/>
      <c r="BT45" s="28" t="n"/>
      <c r="BU45" s="25" t="n"/>
      <c r="BV45" s="29" t="n"/>
      <c r="BW45" s="24" t="n"/>
      <c r="BX45" s="30" t="n"/>
      <c r="BY45" s="27" t="n"/>
      <c r="BZ45" s="24" t="n"/>
      <c r="CA45" s="31" t="n"/>
      <c r="CB45" s="24" t="n"/>
      <c r="CC45" s="24" t="inlineStr">
        <is>
          <t>0.6486314752</t>
        </is>
      </c>
      <c r="CD45" s="24" t="inlineStr">
        <is>
          <t>2.704875</t>
        </is>
      </c>
      <c r="CE45" s="24" t="n"/>
      <c r="CF45" s="24" t="n"/>
      <c r="CG45" s="24" t="n"/>
      <c r="CH45" s="24" t="n"/>
      <c r="CI45" s="24" t="n"/>
      <c r="CJ45" s="24" t="inlineStr">
        <is>
          <t>4.540233</t>
        </is>
      </c>
      <c r="CK45" s="24" t="n"/>
      <c r="CL45" s="24" t="n"/>
      <c r="CM45" s="24" t="n"/>
      <c r="CN45" s="24" t="n"/>
      <c r="CO45" s="24" t="n"/>
      <c r="CP45" s="24" t="n"/>
      <c r="CQ45" s="24" t="n"/>
      <c r="CR45" s="24" t="inlineStr">
        <is>
          <t>0.605795</t>
        </is>
      </c>
      <c r="CS45" s="24" t="inlineStr">
        <is>
          <t>True</t>
        </is>
      </c>
    </row>
    <row r="46" ht="36" customHeight="1">
      <c r="A46" s="24" t="inlineStr">
        <is>
          <t>b2bf5cf7a91d4eaf</t>
        </is>
      </c>
      <c r="B46" s="24" t="inlineStr">
        <is>
          <t>2026-08-12T17:42:37.205703Z</t>
        </is>
      </c>
      <c r="C46" s="24" t="inlineStr">
        <is>
          <t>2026-08-12T20:00:00-0400</t>
        </is>
      </c>
      <c r="D46" s="24" t="inlineStr">
        <is>
          <t>401857137</t>
        </is>
      </c>
      <c r="E46" s="24" t="inlineStr">
        <is>
          <t>WNBA</t>
        </is>
      </c>
      <c r="F46" s="24" t="inlineStr">
        <is>
          <t>Toronto Tempo</t>
        </is>
      </c>
      <c r="G46" s="24" t="inlineStr">
        <is>
          <t>Dallas Wings</t>
        </is>
      </c>
      <c r="H46" s="24" t="inlineStr">
        <is>
          <t>moneyline</t>
        </is>
      </c>
      <c r="I46" s="24" t="inlineStr">
        <is>
          <t>home</t>
        </is>
      </c>
      <c r="J46" s="25" t="n"/>
      <c r="K46" s="24" t="inlineStr">
        <is>
          <t>polymarket_us</t>
        </is>
      </c>
      <c r="L46" s="26" t="n">
        <v>-426</v>
      </c>
      <c r="M46" s="27" t="n">
        <v>1.234742</v>
      </c>
      <c r="N46" s="28" t="n">
        <v>0.809886</v>
      </c>
      <c r="O46" s="28" t="n">
        <v>0.752207</v>
      </c>
      <c r="P46" s="28" t="n"/>
      <c r="Q46" s="28" t="n">
        <v>-0.057679</v>
      </c>
      <c r="R46" s="26" t="n">
        <v>0</v>
      </c>
      <c r="S46" s="29" t="n">
        <v>2</v>
      </c>
      <c r="T46" s="24" t="inlineStr">
        <is>
          <t>wnba-elo-trend-lr-v4</t>
        </is>
      </c>
      <c r="U46" s="24" t="inlineStr">
        <is>
          <t>open</t>
        </is>
      </c>
      <c r="V46" s="24" t="n"/>
      <c r="W46" s="26" t="n"/>
      <c r="X46" s="26" t="n"/>
      <c r="Y46" s="25" t="n"/>
      <c r="Z46" s="26" t="n"/>
      <c r="AA46" s="28" t="n"/>
      <c r="AB46" s="28" t="n"/>
      <c r="AC46" s="30" t="n"/>
      <c r="AD46" s="24" t="n"/>
      <c r="AE46" s="31" t="inlineStr">
        <is>
          <t>Learned LR call at threshold 0.5001; executable ask 0.8100 (aec-wnba-tor-dal-2026-08-12); model edge vs ask -0.0578. NOTE: NO_CALL_AVAILABILITY_SOURCE_CONFLICT unavailable for this game — defaulted to neutral, other features used normally.</t>
        </is>
      </c>
      <c r="AF46" s="31" t="inlineStr">
        <is>
          <t>Learned model; shadow-qualified via operator override.</t>
        </is>
      </c>
      <c r="AG46" s="24" t="inlineStr">
        <is>
          <t>not_applicable</t>
        </is>
      </c>
      <c r="AH46" s="24" t="n"/>
      <c r="AI46" s="31" t="n"/>
      <c r="AJ46" s="31" t="n"/>
      <c r="AK46" s="24" t="inlineStr">
        <is>
          <t>model_qualified</t>
        </is>
      </c>
      <c r="AL46" s="26" t="n">
        <v>3</v>
      </c>
      <c r="AM46" s="24" t="inlineStr">
        <is>
          <t>QUALIFIED_SHADOW_CALL</t>
        </is>
      </c>
      <c r="AN46" s="24" t="inlineStr">
        <is>
          <t>CALL</t>
        </is>
      </c>
      <c r="AO46" s="24" t="inlineStr">
        <is>
          <t>QUALIFIED</t>
        </is>
      </c>
      <c r="AP46" s="24" t="inlineStr">
        <is>
          <t>wnba-tor</t>
        </is>
      </c>
      <c r="AQ46" s="24" t="inlineStr">
        <is>
          <t>Toronto Tempo</t>
        </is>
      </c>
      <c r="AR46" s="24" t="inlineStr">
        <is>
          <t>Toronto Tempo</t>
        </is>
      </c>
      <c r="AS46" s="24" t="inlineStr">
        <is>
          <t>wnba-dal</t>
        </is>
      </c>
      <c r="AT46" s="24" t="inlineStr">
        <is>
          <t>Dallas Wings</t>
        </is>
      </c>
      <c r="AU46" s="24" t="inlineStr">
        <is>
          <t>Dallas Wings</t>
        </is>
      </c>
      <c r="AV46" s="24" t="n"/>
      <c r="AW46" s="24" t="n"/>
      <c r="AX46" s="24" t="inlineStr">
        <is>
          <t>statistical_model</t>
        </is>
      </c>
      <c r="AY46" s="24" t="n"/>
      <c r="AZ46" s="24" t="inlineStr">
        <is>
          <t>shadow_qualified</t>
        </is>
      </c>
      <c r="BA46" s="24" t="inlineStr">
        <is>
          <t>7afd5274214b58b7efd7f7febc7be3ab33b92351cda5cc6403c0a39faea0cc8c</t>
        </is>
      </c>
      <c r="BB46" s="24" t="inlineStr">
        <is>
          <t>learned_lr</t>
        </is>
      </c>
      <c r="BC46" s="24" t="inlineStr">
        <is>
          <t>wnba-elo-trend-lr-v4</t>
        </is>
      </c>
      <c r="BD46" s="24" t="inlineStr">
        <is>
          <t>7afd5274214b58b7efd7f7febc7be3ab33b92351cda5cc6403c0a39faea0cc8c</t>
        </is>
      </c>
      <c r="BE46" s="24" t="inlineStr">
        <is>
          <t>bed262b4cc2cb026</t>
        </is>
      </c>
      <c r="BF46" s="24" t="inlineStr">
        <is>
          <t>1</t>
        </is>
      </c>
      <c r="BG46" s="24" t="inlineStr">
        <is>
          <t>wnba-elo-trend-lr-v4</t>
        </is>
      </c>
      <c r="BH46" s="24" t="inlineStr">
        <is>
          <t>2026-08-12T17:41:29.908829Z</t>
        </is>
      </c>
      <c r="BI46" s="24" t="inlineStr">
        <is>
          <t>["same_event","same_team_same_day","same_league_same_day"]</t>
        </is>
      </c>
      <c r="BJ46" s="25" t="n"/>
      <c r="BK46" s="26" t="n">
        <v>-426</v>
      </c>
      <c r="BL46" s="27" t="n">
        <v>1.234742</v>
      </c>
      <c r="BM46" s="28" t="n">
        <v>0.809886</v>
      </c>
      <c r="BN46" s="28" t="n">
        <v>0.80198</v>
      </c>
      <c r="BO46" s="28" t="n"/>
      <c r="BP46" s="25" t="n"/>
      <c r="BQ46" s="27" t="n"/>
      <c r="BR46" s="28" t="n"/>
      <c r="BS46" s="28" t="n"/>
      <c r="BT46" s="28" t="n"/>
      <c r="BU46" s="25" t="n"/>
      <c r="BV46" s="29" t="n"/>
      <c r="BW46" s="24" t="n"/>
      <c r="BX46" s="30" t="n"/>
      <c r="BY46" s="27" t="n"/>
      <c r="BZ46" s="24" t="n"/>
      <c r="CA46" s="31" t="n"/>
      <c r="CB46" s="24" t="n"/>
      <c r="CC46" s="24" t="inlineStr">
        <is>
          <t>0.8593821994</t>
        </is>
      </c>
      <c r="CD46" s="24" t="inlineStr">
        <is>
          <t>1.688216</t>
        </is>
      </c>
      <c r="CE46" s="24" t="n"/>
      <c r="CF46" s="24" t="n"/>
      <c r="CG46" s="24" t="n"/>
      <c r="CH46" s="24" t="n"/>
      <c r="CI46" s="24" t="inlineStr">
        <is>
          <t>NO_CALL_AVAILABILITY_SOURCE_CONFLICT</t>
        </is>
      </c>
      <c r="CJ46" s="24" t="inlineStr">
        <is>
          <t>0.008501</t>
        </is>
      </c>
      <c r="CK46" s="24" t="n"/>
      <c r="CL46" s="24" t="n"/>
      <c r="CM46" s="24" t="n"/>
      <c r="CN46" s="24" t="n"/>
      <c r="CO46" s="24" t="n"/>
      <c r="CP46" s="24" t="n"/>
      <c r="CQ46" s="24" t="n"/>
      <c r="CR46" s="24" t="inlineStr">
        <is>
          <t>0.752207</t>
        </is>
      </c>
      <c r="CS46" s="24" t="inlineStr">
        <is>
          <t>False</t>
        </is>
      </c>
    </row>
    <row r="47" ht="36" customHeight="1">
      <c r="A47" s="24" t="inlineStr">
        <is>
          <t>bfeeede986364356</t>
        </is>
      </c>
      <c r="B47" s="24" t="inlineStr">
        <is>
          <t>2026-08-12T17:42:37.205703Z</t>
        </is>
      </c>
      <c r="C47" s="24" t="inlineStr">
        <is>
          <t>2026-08-12T22:00:00-0400</t>
        </is>
      </c>
      <c r="D47" s="24" t="inlineStr">
        <is>
          <t>401857138</t>
        </is>
      </c>
      <c r="E47" s="24" t="inlineStr">
        <is>
          <t>WNBA</t>
        </is>
      </c>
      <c r="F47" s="24" t="inlineStr">
        <is>
          <t>Chicago Sky</t>
        </is>
      </c>
      <c r="G47" s="24" t="inlineStr">
        <is>
          <t>Golden State Valkyries</t>
        </is>
      </c>
      <c r="H47" s="24" t="inlineStr">
        <is>
          <t>moneyline</t>
        </is>
      </c>
      <c r="I47" s="24" t="inlineStr">
        <is>
          <t>home</t>
        </is>
      </c>
      <c r="J47" s="25" t="n"/>
      <c r="K47" s="24" t="inlineStr">
        <is>
          <t>polymarket_us</t>
        </is>
      </c>
      <c r="L47" s="26" t="n">
        <v>-376</v>
      </c>
      <c r="M47" s="27" t="n">
        <v>1.265957</v>
      </c>
      <c r="N47" s="28" t="n">
        <v>0.789916</v>
      </c>
      <c r="O47" s="28" t="n">
        <v>0.7756999999999999</v>
      </c>
      <c r="P47" s="28" t="n"/>
      <c r="Q47" s="28" t="n">
        <v>-0.014216</v>
      </c>
      <c r="R47" s="26" t="n">
        <v>17</v>
      </c>
      <c r="S47" s="29" t="n">
        <v>2</v>
      </c>
      <c r="T47" s="24" t="inlineStr">
        <is>
          <t>wnba-elo-trend-lr-v4</t>
        </is>
      </c>
      <c r="U47" s="24" t="inlineStr">
        <is>
          <t>open</t>
        </is>
      </c>
      <c r="V47" s="24" t="n"/>
      <c r="W47" s="26" t="n"/>
      <c r="X47" s="26" t="n"/>
      <c r="Y47" s="25" t="n"/>
      <c r="Z47" s="26" t="n"/>
      <c r="AA47" s="28" t="n"/>
      <c r="AB47" s="28" t="n"/>
      <c r="AC47" s="30" t="n"/>
      <c r="AD47" s="24" t="n"/>
      <c r="AE47" s="31" t="inlineStr">
        <is>
          <t>Learned LR call at threshold 0.5001; executable ask 0.7900 (aec-wnba-chi-gsv-2026-08-12); model edge vs ask -0.0143.</t>
        </is>
      </c>
      <c r="AF47" s="31" t="inlineStr">
        <is>
          <t>Learned model; shadow-qualified via operator override.</t>
        </is>
      </c>
      <c r="AG47" s="24" t="inlineStr">
        <is>
          <t>not_applicable</t>
        </is>
      </c>
      <c r="AH47" s="24" t="n"/>
      <c r="AI47" s="31" t="n"/>
      <c r="AJ47" s="31" t="n"/>
      <c r="AK47" s="24" t="inlineStr">
        <is>
          <t>model_qualified</t>
        </is>
      </c>
      <c r="AL47" s="26" t="n">
        <v>3</v>
      </c>
      <c r="AM47" s="24" t="inlineStr">
        <is>
          <t>QUALIFIED_SHADOW_CALL</t>
        </is>
      </c>
      <c r="AN47" s="24" t="inlineStr">
        <is>
          <t>CALL</t>
        </is>
      </c>
      <c r="AO47" s="24" t="inlineStr">
        <is>
          <t>QUALIFIED</t>
        </is>
      </c>
      <c r="AP47" s="24" t="inlineStr">
        <is>
          <t>wnba-chi</t>
        </is>
      </c>
      <c r="AQ47" s="24" t="inlineStr">
        <is>
          <t>Chicago Sky</t>
        </is>
      </c>
      <c r="AR47" s="24" t="inlineStr">
        <is>
          <t>Chicago Sky</t>
        </is>
      </c>
      <c r="AS47" s="24" t="inlineStr">
        <is>
          <t>wnba-gsv</t>
        </is>
      </c>
      <c r="AT47" s="24" t="inlineStr">
        <is>
          <t>Golden State Valkyries</t>
        </is>
      </c>
      <c r="AU47" s="24" t="inlineStr">
        <is>
          <t>Golden State Valkyries</t>
        </is>
      </c>
      <c r="AV47" s="24" t="n"/>
      <c r="AW47" s="24" t="n"/>
      <c r="AX47" s="24" t="inlineStr">
        <is>
          <t>statistical_model</t>
        </is>
      </c>
      <c r="AY47" s="24" t="n"/>
      <c r="AZ47" s="24" t="inlineStr">
        <is>
          <t>shadow_qualified</t>
        </is>
      </c>
      <c r="BA47" s="24" t="inlineStr">
        <is>
          <t>7afd5274214b58b7efd7f7febc7be3ab33b92351cda5cc6403c0a39faea0cc8c</t>
        </is>
      </c>
      <c r="BB47" s="24" t="inlineStr">
        <is>
          <t>learned_lr</t>
        </is>
      </c>
      <c r="BC47" s="24" t="inlineStr">
        <is>
          <t>wnba-elo-trend-lr-v4</t>
        </is>
      </c>
      <c r="BD47" s="24" t="inlineStr">
        <is>
          <t>7afd5274214b58b7efd7f7febc7be3ab33b92351cda5cc6403c0a39faea0cc8c</t>
        </is>
      </c>
      <c r="BE47" s="24" t="inlineStr">
        <is>
          <t>25be967f882f1f6d</t>
        </is>
      </c>
      <c r="BF47" s="24" t="inlineStr">
        <is>
          <t>1</t>
        </is>
      </c>
      <c r="BG47" s="24" t="inlineStr">
        <is>
          <t>wnba-elo-trend-lr-v4</t>
        </is>
      </c>
      <c r="BH47" s="24" t="inlineStr">
        <is>
          <t>2026-08-12T17:41:30.522789Z</t>
        </is>
      </c>
      <c r="BI47" s="24" t="inlineStr">
        <is>
          <t>["same_event","same_team_same_day","same_league_same_day"]</t>
        </is>
      </c>
      <c r="BJ47" s="25" t="n"/>
      <c r="BK47" s="26" t="n">
        <v>-376</v>
      </c>
      <c r="BL47" s="27" t="n">
        <v>1.265957</v>
      </c>
      <c r="BM47" s="28" t="n">
        <v>0.789916</v>
      </c>
      <c r="BN47" s="28" t="n">
        <v>0.782178</v>
      </c>
      <c r="BO47" s="28" t="n"/>
      <c r="BP47" s="25" t="n"/>
      <c r="BQ47" s="27" t="n"/>
      <c r="BR47" s="28" t="n"/>
      <c r="BS47" s="28" t="n"/>
      <c r="BT47" s="28" t="n"/>
      <c r="BU47" s="25" t="n"/>
      <c r="BV47" s="29" t="n"/>
      <c r="BW47" s="24" t="n"/>
      <c r="BX47" s="30" t="n"/>
      <c r="BY47" s="27" t="n"/>
      <c r="BZ47" s="24" t="n"/>
      <c r="CA47" s="31" t="n"/>
      <c r="CB47" s="24" t="n"/>
      <c r="CC47" s="24" t="inlineStr">
        <is>
          <t>0.8909512632</t>
        </is>
      </c>
      <c r="CD47" s="24" t="inlineStr">
        <is>
          <t>-3.866065</t>
        </is>
      </c>
      <c r="CE47" s="24" t="n"/>
      <c r="CF47" s="24" t="n"/>
      <c r="CG47" s="24" t="n"/>
      <c r="CH47" s="24" t="n"/>
      <c r="CI47" s="24" t="n"/>
      <c r="CJ47" s="24" t="inlineStr">
        <is>
          <t>2.087162</t>
        </is>
      </c>
      <c r="CK47" s="24" t="n"/>
      <c r="CL47" s="24" t="n"/>
      <c r="CM47" s="24" t="n"/>
      <c r="CN47" s="24" t="n"/>
      <c r="CO47" s="24" t="n"/>
      <c r="CP47" s="24" t="n"/>
      <c r="CQ47" s="24" t="n"/>
      <c r="CR47" s="24" t="inlineStr">
        <is>
          <t>0.7757</t>
        </is>
      </c>
      <c r="CS47" s="24" t="inlineStr">
        <is>
          <t>False</t>
        </is>
      </c>
    </row>
    <row r="48" ht="36" customHeight="1">
      <c r="A48" s="24" t="inlineStr">
        <is>
          <t>562d72acc9a74e8f</t>
        </is>
      </c>
      <c r="B48" s="24" t="inlineStr">
        <is>
          <t>2026-08-12T17:42:37.205703Z</t>
        </is>
      </c>
      <c r="C48" s="24" t="inlineStr">
        <is>
          <t>2026-08-12T22:00:00-0400</t>
        </is>
      </c>
      <c r="D48" s="24" t="inlineStr">
        <is>
          <t>401857139</t>
        </is>
      </c>
      <c r="E48" s="24" t="inlineStr">
        <is>
          <t>WNBA</t>
        </is>
      </c>
      <c r="F48" s="24" t="inlineStr">
        <is>
          <t>Minnesota Lynx</t>
        </is>
      </c>
      <c r="G48" s="24" t="inlineStr">
        <is>
          <t>Portland Fire</t>
        </is>
      </c>
      <c r="H48" s="24" t="inlineStr">
        <is>
          <t>moneyline</t>
        </is>
      </c>
      <c r="I48" s="24" t="inlineStr">
        <is>
          <t>away</t>
        </is>
      </c>
      <c r="J48" s="25" t="n"/>
      <c r="K48" s="24" t="inlineStr">
        <is>
          <t>polymarket_us</t>
        </is>
      </c>
      <c r="L48" s="26" t="n">
        <v>-733</v>
      </c>
      <c r="M48" s="27" t="n">
        <v>1.136426</v>
      </c>
      <c r="N48" s="28" t="n">
        <v>0.879952</v>
      </c>
      <c r="O48" s="28" t="n">
        <v>0.723101</v>
      </c>
      <c r="P48" s="28" t="n"/>
      <c r="Q48" s="28" t="n">
        <v>-0.156851</v>
      </c>
      <c r="R48" s="26" t="n">
        <v>0</v>
      </c>
      <c r="S48" s="29" t="n">
        <v>2</v>
      </c>
      <c r="T48" s="24" t="inlineStr">
        <is>
          <t>wnba-elo-trend-lr-v4</t>
        </is>
      </c>
      <c r="U48" s="24" t="inlineStr">
        <is>
          <t>open</t>
        </is>
      </c>
      <c r="V48" s="24" t="n"/>
      <c r="W48" s="26" t="n"/>
      <c r="X48" s="26" t="n"/>
      <c r="Y48" s="25" t="n"/>
      <c r="Z48" s="26" t="n"/>
      <c r="AA48" s="28" t="n"/>
      <c r="AB48" s="28" t="n"/>
      <c r="AC48" s="30" t="n"/>
      <c r="AD48" s="24" t="n"/>
      <c r="AE48" s="31" t="inlineStr">
        <is>
          <t>Learned LR call at threshold 0.5001; executable ask 0.8800 (aec-wnba-min-por-2026-08-12); model edge vs ask -0.1569. NOTE: NO_CALL_AVAILABILITY_SOURCE_CONFLICT unavailable for this game — defaulted to neutral, other features used normally.</t>
        </is>
      </c>
      <c r="AF48" s="31" t="inlineStr">
        <is>
          <t>Learned model; shadow-qualified via operator override.</t>
        </is>
      </c>
      <c r="AG48" s="24" t="inlineStr">
        <is>
          <t>not_applicable</t>
        </is>
      </c>
      <c r="AH48" s="24" t="n"/>
      <c r="AI48" s="31" t="n"/>
      <c r="AJ48" s="31" t="n"/>
      <c r="AK48" s="24" t="inlineStr">
        <is>
          <t>model_qualified</t>
        </is>
      </c>
      <c r="AL48" s="26" t="n">
        <v>3</v>
      </c>
      <c r="AM48" s="24" t="inlineStr">
        <is>
          <t>QUALIFIED_SHADOW_CALL</t>
        </is>
      </c>
      <c r="AN48" s="24" t="inlineStr">
        <is>
          <t>CALL</t>
        </is>
      </c>
      <c r="AO48" s="24" t="inlineStr">
        <is>
          <t>QUALIFIED</t>
        </is>
      </c>
      <c r="AP48" s="24" t="inlineStr">
        <is>
          <t>wnba-min</t>
        </is>
      </c>
      <c r="AQ48" s="24" t="inlineStr">
        <is>
          <t>Minnesota Lynx</t>
        </is>
      </c>
      <c r="AR48" s="24" t="inlineStr">
        <is>
          <t>Minnesota Lynx</t>
        </is>
      </c>
      <c r="AS48" s="24" t="inlineStr">
        <is>
          <t>wnba-por</t>
        </is>
      </c>
      <c r="AT48" s="24" t="inlineStr">
        <is>
          <t>Portland Fire</t>
        </is>
      </c>
      <c r="AU48" s="24" t="inlineStr">
        <is>
          <t>Portland Fire</t>
        </is>
      </c>
      <c r="AV48" s="24" t="n"/>
      <c r="AW48" s="24" t="n"/>
      <c r="AX48" s="24" t="inlineStr">
        <is>
          <t>statistical_model</t>
        </is>
      </c>
      <c r="AY48" s="24" t="n"/>
      <c r="AZ48" s="24" t="inlineStr">
        <is>
          <t>shadow_qualified</t>
        </is>
      </c>
      <c r="BA48" s="24" t="inlineStr">
        <is>
          <t>7afd5274214b58b7efd7f7febc7be3ab33b92351cda5cc6403c0a39faea0cc8c</t>
        </is>
      </c>
      <c r="BB48" s="24" t="inlineStr">
        <is>
          <t>learned_lr</t>
        </is>
      </c>
      <c r="BC48" s="24" t="inlineStr">
        <is>
          <t>wnba-elo-trend-lr-v4</t>
        </is>
      </c>
      <c r="BD48" s="24" t="inlineStr">
        <is>
          <t>7afd5274214b58b7efd7f7febc7be3ab33b92351cda5cc6403c0a39faea0cc8c</t>
        </is>
      </c>
      <c r="BE48" s="24" t="inlineStr">
        <is>
          <t>54b300fef3816245</t>
        </is>
      </c>
      <c r="BF48" s="24" t="inlineStr">
        <is>
          <t>1</t>
        </is>
      </c>
      <c r="BG48" s="24" t="inlineStr">
        <is>
          <t>wnba-elo-trend-lr-v4</t>
        </is>
      </c>
      <c r="BH48" s="24" t="inlineStr">
        <is>
          <t>2026-08-12T17:41:30.941772Z</t>
        </is>
      </c>
      <c r="BI48" s="24" t="inlineStr">
        <is>
          <t>["same_event","same_team_same_day","same_league_same_day"]</t>
        </is>
      </c>
      <c r="BJ48" s="25" t="n"/>
      <c r="BK48" s="26" t="n">
        <v>-733</v>
      </c>
      <c r="BL48" s="27" t="n">
        <v>1.136426</v>
      </c>
      <c r="BM48" s="28" t="n">
        <v>0.879952</v>
      </c>
      <c r="BN48" s="28" t="n">
        <v>0.871287</v>
      </c>
      <c r="BO48" s="28" t="n"/>
      <c r="BP48" s="25" t="n"/>
      <c r="BQ48" s="27" t="n"/>
      <c r="BR48" s="28" t="n"/>
      <c r="BS48" s="28" t="n"/>
      <c r="BT48" s="28" t="n"/>
      <c r="BU48" s="25" t="n"/>
      <c r="BV48" s="29" t="n"/>
      <c r="BW48" s="24" t="n"/>
      <c r="BX48" s="30" t="n"/>
      <c r="BY48" s="27" t="n"/>
      <c r="BZ48" s="24" t="n"/>
      <c r="CA48" s="31" t="n"/>
      <c r="CB48" s="24" t="n"/>
      <c r="CC48" s="24" t="inlineStr">
        <is>
          <t>0.1965379833</t>
        </is>
      </c>
      <c r="CD48" s="24" t="inlineStr">
        <is>
          <t>-1.095212</t>
        </is>
      </c>
      <c r="CE48" s="24" t="n"/>
      <c r="CF48" s="24" t="n"/>
      <c r="CG48" s="24" t="n"/>
      <c r="CH48" s="24" t="n"/>
      <c r="CI48" s="24" t="inlineStr">
        <is>
          <t>NO_CALL_AVAILABILITY_SOURCE_CONFLICT</t>
        </is>
      </c>
      <c r="CJ48" s="24" t="inlineStr">
        <is>
          <t>3.932321</t>
        </is>
      </c>
      <c r="CK48" s="24" t="n"/>
      <c r="CL48" s="24" t="n"/>
      <c r="CM48" s="24" t="n"/>
      <c r="CN48" s="24" t="n"/>
      <c r="CO48" s="24" t="n"/>
      <c r="CP48" s="24" t="n"/>
      <c r="CQ48" s="24" t="n"/>
      <c r="CR48" s="24" t="inlineStr">
        <is>
          <t>0.723101</t>
        </is>
      </c>
      <c r="CS48" s="24" t="inlineStr">
        <is>
          <t>False</t>
        </is>
      </c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Model Prediction</dc:creator>
  <dc:title xmlns:dc="http://purl.org/dc/elements/1.1/">Model Prediction Picks Ledger</dc:title>
  <dc:subject xmlns:dc="http://purl.org/dc/elements/1.1/">Shadow-only sports forecasting research ledger</dc:subject>
  <dcterms:created xmlns:dcterms="http://purl.org/dc/terms/" xmlns:xsi="http://www.w3.org/2001/XMLSchema-instance" xsi:type="dcterms:W3CDTF">2026-08-12T17:42:51Z</dcterms:created>
  <dcterms:modified xmlns:dcterms="http://purl.org/dc/terms/" xmlns:xsi="http://www.w3.org/2001/XMLSchema-instance" xsi:type="dcterms:W3CDTF">2026-08-12T17:42:52Z</dcterms:modified>
</cp:coreProperties>
</file>