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34" headerRowCount="1">
  <autoFilter ref="A1:CS34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COUNTA('Picks'!$A$2:$A$34)</f>
        <v/>
      </c>
      <c r="C4" s="6">
        <f>COUNTIF('Picks'!$U$2:$U$34,"open")</f>
        <v/>
      </c>
      <c r="E4" s="6">
        <f>COUNTIF('Picks'!$U$2:$U$34,"settled")</f>
        <v/>
      </c>
      <c r="G4" s="6">
        <f>IF(COUNTIFS('Picks'!$U$2:$U$34,"settled",'Picks'!$V$2:$V$34,"win")+COUNTIFS('Picks'!$U$2:$U$34,"settled",'Picks'!$V$2:$V$34,"loss")&gt;=$L$2,"Ready","Insufficient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COUNTIF('Picks'!$BX$2:$BX$34,"&gt;0")</f>
        <v/>
      </c>
      <c r="C7" s="6">
        <f>COUNTIFS('Picks'!$BX$2:$BX$34,"&gt;0",'Picks'!$V$2:$V$34,"win")&amp;"-"&amp;COUNTIFS('Picks'!$BX$2:$BX$34,"&gt;0",'Picks'!$V$2:$V$34,"loss")</f>
        <v/>
      </c>
      <c r="E7" s="7">
        <f>IFERROR(COUNTIFS('Picks'!$BX$2:$BX$34,"&gt;0",'Picks'!$V$2:$V$34,"win")/(COUNTIFS('Picks'!$BX$2:$BX$34,"&gt;0",'Picks'!$V$2:$V$34,"win")+COUNTIFS('Picks'!$BX$2:$BX$34,"&gt;0",'Picks'!$V$2:$V$34,"loss")),0)</f>
        <v/>
      </c>
      <c r="G7" s="7">
        <f>IFERROR(SUM('Picks'!$BY$2:$BY$34)/SUM('Picks'!$BX$2:$BX$34),0)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SUM('Picks'!$BY$2:$BY$34)</f>
        <v/>
      </c>
      <c r="C10" s="9">
        <f>IFERROR(AVERAGEIF('Picks'!$AB$2:$AB$34,"&lt;&gt;",'Picks'!$AB$2:$AB$34),0)</f>
        <v/>
      </c>
      <c r="E10" s="6">
        <f>COUNTIFS('Picks'!$AM$2:$AM$34,"QUALIFIED_SHADOW_CALL",'Picks'!$U$2:$U$34,"settled")</f>
        <v/>
      </c>
      <c r="G10" s="8">
        <f>SUMIFS('Picks'!$AC$2:$AC$34,'Picks'!$AM$2:$AM$34,"QUALIFIED_SHADOW_CALL")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COUNTIFS('Picks'!$H$2:$H$34,$A14,'Picks'!$U$2:$U$34,"settled")</f>
        <v/>
      </c>
      <c r="C14" s="13">
        <f>COUNTIFS('Picks'!$H$2:$H$34,$A14,'Picks'!$U$2:$U$34,"settled",'Picks'!$V$2:$V$34,"win")</f>
        <v/>
      </c>
      <c r="D14" s="13">
        <f>COUNTIFS('Picks'!$H$2:$H$34,$A14,'Picks'!$U$2:$U$34,"settled",'Picks'!$V$2:$V$34,"loss")</f>
        <v/>
      </c>
      <c r="E14" s="14">
        <f>IFERROR(C14/(C14+D14),0)</f>
        <v/>
      </c>
      <c r="F14" s="15">
        <f>SUMIFS('Picks'!$BY$2:$BY$34,'Picks'!$H$2:$H$34,$A14)</f>
        <v/>
      </c>
      <c r="G14" s="16">
        <f>IFERROR(AVERAGEIFS('Picks'!$AB$2:$AB$34,'Picks'!$H$2:$H$34,$A14,'Picks'!$U$2:$U$34,"settled"),0)</f>
        <v/>
      </c>
    </row>
    <row r="15">
      <c r="A15" s="17" t="inlineStr">
        <is>
          <t>spread</t>
        </is>
      </c>
      <c r="B15" s="18">
        <f>COUNTIFS('Picks'!$H$2:$H$34,$A15,'Picks'!$U$2:$U$34,"settled")</f>
        <v/>
      </c>
      <c r="C15" s="18">
        <f>COUNTIFS('Picks'!$H$2:$H$34,$A15,'Picks'!$U$2:$U$34,"settled",'Picks'!$V$2:$V$34,"win")</f>
        <v/>
      </c>
      <c r="D15" s="18">
        <f>COUNTIFS('Picks'!$H$2:$H$34,$A15,'Picks'!$U$2:$U$34,"settled",'Picks'!$V$2:$V$34,"loss")</f>
        <v/>
      </c>
      <c r="E15" s="19">
        <f>IFERROR(C15/(C15+D15),0)</f>
        <v/>
      </c>
      <c r="F15" s="20">
        <f>SUMIFS('Picks'!$BY$2:$BY$34,'Picks'!$H$2:$H$34,$A15)</f>
        <v/>
      </c>
      <c r="G15" s="21">
        <f>IFERROR(AVERAGEIFS('Picks'!$AB$2:$AB$34,'Picks'!$H$2:$H$34,$A15,'Picks'!$U$2:$U$34,"settled"),0)</f>
        <v/>
      </c>
    </row>
    <row r="16">
      <c r="A16" s="12" t="inlineStr">
        <is>
          <t>total</t>
        </is>
      </c>
      <c r="B16" s="13">
        <f>COUNTIFS('Picks'!$H$2:$H$34,$A16,'Picks'!$U$2:$U$34,"settled")</f>
        <v/>
      </c>
      <c r="C16" s="13">
        <f>COUNTIFS('Picks'!$H$2:$H$34,$A16,'Picks'!$U$2:$U$34,"settled",'Picks'!$V$2:$V$34,"win")</f>
        <v/>
      </c>
      <c r="D16" s="13">
        <f>COUNTIFS('Picks'!$H$2:$H$34,$A16,'Picks'!$U$2:$U$34,"settled",'Picks'!$V$2:$V$34,"loss")</f>
        <v/>
      </c>
      <c r="E16" s="14">
        <f>IFERROR(C16/(C16+D16),0)</f>
        <v/>
      </c>
      <c r="F16" s="15">
        <f>SUMIFS('Picks'!$BY$2:$BY$34,'Picks'!$H$2:$H$34,$A16)</f>
        <v/>
      </c>
      <c r="G16" s="16">
        <f>IFERROR(AVERAGEIFS('Picks'!$AB$2:$AB$34,'Picks'!$H$2:$H$34,$A16,'Picks'!$U$2:$U$34,"settled"),0)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fa2528b34ff54c85</t>
        </is>
      </c>
      <c r="B2" s="24" t="inlineStr">
        <is>
          <t>2026-07-28T20:32:52.305699Z</t>
        </is>
      </c>
      <c r="C2" s="24" t="inlineStr">
        <is>
          <t>2026-07-28T19:30:00-0400</t>
        </is>
      </c>
      <c r="D2" s="24" t="inlineStr">
        <is>
          <t>401857092</t>
        </is>
      </c>
      <c r="E2" s="24" t="inlineStr">
        <is>
          <t>WNBA</t>
        </is>
      </c>
      <c r="F2" s="24" t="inlineStr">
        <is>
          <t>Connecticut Sun</t>
        </is>
      </c>
      <c r="G2" s="24" t="inlineStr">
        <is>
          <t>Washington Mystics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-233</v>
      </c>
      <c r="M2" s="27" t="n">
        <v>1.429185</v>
      </c>
      <c r="N2" s="28" t="n">
        <v>0.6997</v>
      </c>
      <c r="O2" s="28" t="n">
        <v>0.651351</v>
      </c>
      <c r="P2" s="28" t="n"/>
      <c r="Q2" s="28" t="n">
        <v>-0.048349</v>
      </c>
      <c r="R2" s="26" t="n">
        <v>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win</t>
        </is>
      </c>
      <c r="W2" s="26" t="n">
        <v>84</v>
      </c>
      <c r="X2" s="26" t="n">
        <v>92</v>
      </c>
      <c r="Y2" s="25" t="n"/>
      <c r="Z2" s="26" t="n"/>
      <c r="AA2" s="28" t="n"/>
      <c r="AB2" s="28" t="n"/>
      <c r="AC2" s="30" t="n">
        <v>0.8584000000000001</v>
      </c>
      <c r="AD2" s="24" t="inlineStr">
        <is>
          <t>2026-07-29T02:41:27.874111Z</t>
        </is>
      </c>
      <c r="AE2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wnba-con</t>
        </is>
      </c>
      <c r="AQ2" s="24" t="inlineStr">
        <is>
          <t>Connecticut Sun</t>
        </is>
      </c>
      <c r="AR2" s="24" t="inlineStr">
        <is>
          <t>Connecticut Sun</t>
        </is>
      </c>
      <c r="AS2" s="24" t="inlineStr">
        <is>
          <t>wnba-was</t>
        </is>
      </c>
      <c r="AT2" s="24" t="inlineStr">
        <is>
          <t>Washington Mystics</t>
        </is>
      </c>
      <c r="AU2" s="24" t="inlineStr">
        <is>
          <t>Washington Mystics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9ff7e91f06711349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2026-07-28T20:32:19.399772Z</t>
        </is>
      </c>
      <c r="BI2" s="24" t="inlineStr">
        <is>
          <t>["same_event","same_team_same_day","same_league_same_day"]</t>
        </is>
      </c>
      <c r="BJ2" s="25" t="n"/>
      <c r="BK2" s="26" t="n">
        <v>-233</v>
      </c>
      <c r="BL2" s="27" t="n">
        <v>1.429185</v>
      </c>
      <c r="BM2" s="28" t="n">
        <v>0.6997</v>
      </c>
      <c r="BN2" s="28" t="n">
        <v>0.693069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0.6918482186</t>
        </is>
      </c>
      <c r="CD2" s="24" t="inlineStr">
        <is>
          <t>-5.150338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ea6da1b7d56c4211</t>
        </is>
      </c>
      <c r="B3" s="24" t="inlineStr">
        <is>
          <t>2026-07-28T23:38:20.366083Z</t>
        </is>
      </c>
      <c r="C3" s="24" t="inlineStr">
        <is>
          <t>2026-07-28T20:00:00-0400</t>
        </is>
      </c>
      <c r="D3" s="24" t="inlineStr">
        <is>
          <t>401857093</t>
        </is>
      </c>
      <c r="E3" s="24" t="inlineStr">
        <is>
          <t>WNBA</t>
        </is>
      </c>
      <c r="F3" s="24" t="inlineStr">
        <is>
          <t>Toronto Tempo</t>
        </is>
      </c>
      <c r="G3" s="24" t="inlineStr">
        <is>
          <t>Minnesota Lynx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-1011</v>
      </c>
      <c r="M3" s="27" t="n">
        <v>1.098912</v>
      </c>
      <c r="N3" s="28" t="n">
        <v>0.909991</v>
      </c>
      <c r="O3" s="28" t="n">
        <v>0.778885</v>
      </c>
      <c r="P3" s="28" t="n"/>
      <c r="Q3" s="28" t="n">
        <v>-0.131106</v>
      </c>
      <c r="R3" s="26" t="n">
        <v>0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93</v>
      </c>
      <c r="X3" s="26" t="n">
        <v>100</v>
      </c>
      <c r="Y3" s="25" t="n"/>
      <c r="Z3" s="26" t="n"/>
      <c r="AA3" s="28" t="n"/>
      <c r="AB3" s="28" t="n"/>
      <c r="AC3" s="30" t="n">
        <v>0.1978</v>
      </c>
      <c r="AD3" s="24" t="inlineStr">
        <is>
          <t>2026-07-29T02:41:32.227419Z</t>
        </is>
      </c>
      <c r="AE3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wnba-tor</t>
        </is>
      </c>
      <c r="AQ3" s="24" t="inlineStr">
        <is>
          <t>Toronto Tempo</t>
        </is>
      </c>
      <c r="AR3" s="24" t="inlineStr">
        <is>
          <t>Toronto Tempo</t>
        </is>
      </c>
      <c r="AS3" s="24" t="inlineStr">
        <is>
          <t>wnba-min</t>
        </is>
      </c>
      <c r="AT3" s="24" t="inlineStr">
        <is>
          <t>Minnesota Lynx</t>
        </is>
      </c>
      <c r="AU3" s="24" t="inlineStr">
        <is>
          <t>Minnesota Lynx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5d941a25079d4ddd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2026-07-28T23:37:54.980549Z</t>
        </is>
      </c>
      <c r="BI3" s="24" t="inlineStr">
        <is>
          <t>["same_event","same_team_same_day","same_league_same_day"]</t>
        </is>
      </c>
      <c r="BJ3" s="25" t="n"/>
      <c r="BK3" s="26" t="n">
        <v>-1011</v>
      </c>
      <c r="BL3" s="27" t="n">
        <v>1.098912</v>
      </c>
      <c r="BM3" s="28" t="n">
        <v>0.909991</v>
      </c>
      <c r="BN3" s="28" t="n">
        <v>0.90099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0.9095039397</t>
        </is>
      </c>
      <c r="CD3" s="24" t="inlineStr">
        <is>
          <t>5.061789</t>
        </is>
      </c>
      <c r="CE3" s="24" t="n"/>
      <c r="CF3" s="24" t="n"/>
      <c r="CG3" s="24" t="n"/>
      <c r="CH3" s="24" t="n"/>
      <c r="CI3" s="24" t="inlineStr">
        <is>
          <t>wnba_availability_source_conflict</t>
        </is>
      </c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fe9449a57062428e</t>
        </is>
      </c>
      <c r="B4" s="24" t="inlineStr">
        <is>
          <t>2026-07-28T23:38:20.366083Z</t>
        </is>
      </c>
      <c r="C4" s="24" t="inlineStr">
        <is>
          <t>2026-07-28T21:30:00-0400</t>
        </is>
      </c>
      <c r="D4" s="24" t="inlineStr">
        <is>
          <t>401857094</t>
        </is>
      </c>
      <c r="E4" s="24" t="inlineStr">
        <is>
          <t>WNBA</t>
        </is>
      </c>
      <c r="F4" s="24" t="inlineStr">
        <is>
          <t>Indiana Fever</t>
        </is>
      </c>
      <c r="G4" s="24" t="inlineStr">
        <is>
          <t>Seattle Storm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0.684756</v>
      </c>
      <c r="P4" s="28" t="n"/>
      <c r="Q4" s="28" t="n">
        <v>-0.09546399999999999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105</v>
      </c>
      <c r="X4" s="26" t="n">
        <v>95</v>
      </c>
      <c r="Y4" s="25" t="n"/>
      <c r="Z4" s="26" t="n"/>
      <c r="AA4" s="28" t="n"/>
      <c r="AB4" s="28" t="n"/>
      <c r="AC4" s="30" t="n">
        <v>0.5634</v>
      </c>
      <c r="AD4" s="24" t="inlineStr">
        <is>
          <t>2026-07-29T05:44:55.346504Z</t>
        </is>
      </c>
      <c r="AE4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wnba-ind</t>
        </is>
      </c>
      <c r="AQ4" s="24" t="inlineStr">
        <is>
          <t>Indiana Fever</t>
        </is>
      </c>
      <c r="AR4" s="24" t="inlineStr">
        <is>
          <t>Indiana Fever</t>
        </is>
      </c>
      <c r="AS4" s="24" t="inlineStr">
        <is>
          <t>wnba-sea</t>
        </is>
      </c>
      <c r="AT4" s="24" t="inlineStr">
        <is>
          <t>Seattle Storm</t>
        </is>
      </c>
      <c r="AU4" s="24" t="inlineStr">
        <is>
          <t>Seattle Storm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6e0ccdfedaa12592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2026-07-28T23:37:55.863565Z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0.2416972703</t>
        </is>
      </c>
      <c r="CD4" s="24" t="inlineStr">
        <is>
          <t>-4.477657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2b8a162265d04475</t>
        </is>
      </c>
      <c r="B5" s="24" t="inlineStr">
        <is>
          <t>2026-07-28T23:38:20.366083Z</t>
        </is>
      </c>
      <c r="C5" s="24" t="inlineStr">
        <is>
          <t>2026-07-28T22:00:00-0400</t>
        </is>
      </c>
      <c r="D5" s="24" t="inlineStr">
        <is>
          <t>401857095</t>
        </is>
      </c>
      <c r="E5" s="24" t="inlineStr">
        <is>
          <t>WNBA</t>
        </is>
      </c>
      <c r="F5" s="24" t="inlineStr">
        <is>
          <t>Portland Fire</t>
        </is>
      </c>
      <c r="G5" s="24" t="inlineStr">
        <is>
          <t>Las Vegas Aces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0.70389</v>
      </c>
      <c r="P5" s="28" t="n"/>
      <c r="Q5" s="28" t="n">
        <v>-0.156054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83</v>
      </c>
      <c r="X5" s="26" t="n">
        <v>98</v>
      </c>
      <c r="Y5" s="25" t="n"/>
      <c r="Z5" s="26" t="n"/>
      <c r="AA5" s="28" t="n"/>
      <c r="AB5" s="28" t="n"/>
      <c r="AC5" s="30" t="n">
        <v>0.3257</v>
      </c>
      <c r="AD5" s="24" t="inlineStr">
        <is>
          <t>2026-07-29T05:44:56.065486Z</t>
        </is>
      </c>
      <c r="AE5" s="31" t="inlineStr">
        <is>
          <t>Learned LR call at threshold 0.5001; executable ask 0.8600 (aec-wnba-por-lv-2026-07-28).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wnba-por</t>
        </is>
      </c>
      <c r="AQ5" s="24" t="inlineStr">
        <is>
          <t>Portland Fire</t>
        </is>
      </c>
      <c r="AR5" s="24" t="inlineStr">
        <is>
          <t>Portland Fire</t>
        </is>
      </c>
      <c r="AS5" s="24" t="inlineStr">
        <is>
          <t>wnba-lva</t>
        </is>
      </c>
      <c r="AT5" s="24" t="inlineStr">
        <is>
          <t>Las Vegas Aces</t>
        </is>
      </c>
      <c r="AU5" s="24" t="inlineStr">
        <is>
          <t>Las Vegas Aces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b361b2a5b789ec69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2026-07-28T23:37:57.460079Z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0.7673200787</t>
        </is>
      </c>
      <c r="CD5" s="24" t="inlineStr">
        <is>
          <t>-4.164083</t>
        </is>
      </c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63de2dfbf1a84729</t>
        </is>
      </c>
      <c r="B6" s="24" t="inlineStr">
        <is>
          <t>2026-07-28T23:38:20.366083Z</t>
        </is>
      </c>
      <c r="C6" s="24" t="inlineStr">
        <is>
          <t>2026-07-28T22:00:00-0400</t>
        </is>
      </c>
      <c r="D6" s="24" t="inlineStr">
        <is>
          <t>401857096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Los Angeles Sparks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0.571136</v>
      </c>
      <c r="P6" s="28" t="n"/>
      <c r="Q6" s="28" t="n">
        <v>-0.06915200000000001</v>
      </c>
      <c r="R6" s="26" t="n">
        <v>0</v>
      </c>
      <c r="S6" s="29" t="n">
        <v>1.25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113</v>
      </c>
      <c r="X6" s="26" t="n">
        <v>109</v>
      </c>
      <c r="Y6" s="25" t="n"/>
      <c r="Z6" s="26" t="n"/>
      <c r="AA6" s="28" t="n"/>
      <c r="AB6" s="28" t="n"/>
      <c r="AC6" s="30" t="n">
        <v>0.7022</v>
      </c>
      <c r="AD6" s="24" t="inlineStr">
        <is>
          <t>2026-07-29T05:44:56.782128Z</t>
        </is>
      </c>
      <c r="AE6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wnba-las</t>
        </is>
      </c>
      <c r="AT6" s="24" t="inlineStr">
        <is>
          <t>Los Angeles Sparks</t>
        </is>
      </c>
      <c r="AU6" s="24" t="inlineStr">
        <is>
          <t>Los Angeles Sparks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cdebf9ad1de7512e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2026-07-28T23:37:58.046318Z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0.4096120487</t>
        </is>
      </c>
      <c r="CD6" s="24" t="inlineStr">
        <is>
          <t>-1.261801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9729768851cd4ce0</t>
        </is>
      </c>
      <c r="B7" s="24" t="inlineStr">
        <is>
          <t>2026-07-29T17:43:50.913671Z</t>
        </is>
      </c>
      <c r="C7" s="24" t="inlineStr">
        <is>
          <t>2026-07-29T20:00:00-0400</t>
        </is>
      </c>
      <c r="D7" s="24" t="inlineStr">
        <is>
          <t>401857097</t>
        </is>
      </c>
      <c r="E7" s="24" t="inlineStr">
        <is>
          <t>WNBA</t>
        </is>
      </c>
      <c r="F7" s="24" t="inlineStr">
        <is>
          <t>Atlanta Dream</t>
        </is>
      </c>
      <c r="G7" s="24" t="inlineStr">
        <is>
          <t>Dallas Wings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108</v>
      </c>
      <c r="M7" s="27" t="n">
        <v>2.08</v>
      </c>
      <c r="N7" s="28" t="n">
        <v>0.480769</v>
      </c>
      <c r="O7" s="28" t="n">
        <v>0.66476</v>
      </c>
      <c r="P7" s="28" t="n"/>
      <c r="Q7" s="28" t="n">
        <v>0.183991</v>
      </c>
      <c r="R7" s="26" t="n">
        <v>100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82</v>
      </c>
      <c r="X7" s="26" t="n">
        <v>81</v>
      </c>
      <c r="Y7" s="25" t="n"/>
      <c r="Z7" s="26" t="n"/>
      <c r="AA7" s="28" t="n"/>
      <c r="AB7" s="28" t="n"/>
      <c r="AC7" s="30" t="n">
        <v>-2</v>
      </c>
      <c r="AD7" s="24" t="inlineStr">
        <is>
          <t>2026-07-30T04:11:52.718757Z</t>
        </is>
      </c>
      <c r="AE7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wnba-atl</t>
        </is>
      </c>
      <c r="AQ7" s="24" t="inlineStr">
        <is>
          <t>Atlanta Dream</t>
        </is>
      </c>
      <c r="AR7" s="24" t="inlineStr">
        <is>
          <t>Atlanta Dream</t>
        </is>
      </c>
      <c r="AS7" s="24" t="inlineStr">
        <is>
          <t>wnba-dal</t>
        </is>
      </c>
      <c r="AT7" s="24" t="inlineStr">
        <is>
          <t>Dallas Wings</t>
        </is>
      </c>
      <c r="AU7" s="24" t="inlineStr">
        <is>
          <t>Dallas Wings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f25936b561e6d355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2026-07-29T17:43:12.551208Z</t>
        </is>
      </c>
      <c r="BI7" s="24" t="inlineStr">
        <is>
          <t>["same_event","same_team_same_day","same_league_same_day"]</t>
        </is>
      </c>
      <c r="BJ7" s="25" t="n"/>
      <c r="BK7" s="26" t="n">
        <v>108</v>
      </c>
      <c r="BL7" s="27" t="n">
        <v>2.08</v>
      </c>
      <c r="BM7" s="28" t="n">
        <v>0.480769</v>
      </c>
      <c r="BN7" s="28" t="n">
        <v>0.475248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0.7229749194</t>
        </is>
      </c>
      <c r="CD7" s="24" t="inlineStr">
        <is>
          <t>-2.425932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78b993466b62448a</t>
        </is>
      </c>
      <c r="B8" s="24" t="inlineStr">
        <is>
          <t>2026-07-29T17:43:50.913671Z</t>
        </is>
      </c>
      <c r="C8" s="24" t="inlineStr">
        <is>
          <t>2026-07-29T22:00:00-0400</t>
        </is>
      </c>
      <c r="D8" s="24" t="inlineStr">
        <is>
          <t>401857098</t>
        </is>
      </c>
      <c r="E8" s="24" t="inlineStr">
        <is>
          <t>WNBA</t>
        </is>
      </c>
      <c r="F8" s="24" t="inlineStr">
        <is>
          <t>Golden State Valkyries</t>
        </is>
      </c>
      <c r="G8" s="24" t="inlineStr">
        <is>
          <t>Phoenix Mercury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0.7219989999999999</v>
      </c>
      <c r="P8" s="28" t="n"/>
      <c r="Q8" s="28" t="n">
        <v>0.112624</v>
      </c>
      <c r="R8" s="26" t="n">
        <v>79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89</v>
      </c>
      <c r="X8" s="26" t="n">
        <v>91</v>
      </c>
      <c r="Y8" s="25" t="n"/>
      <c r="Z8" s="26" t="n"/>
      <c r="AA8" s="28" t="n"/>
      <c r="AB8" s="28" t="n"/>
      <c r="AC8" s="30" t="n">
        <v>-2</v>
      </c>
      <c r="AD8" s="24" t="inlineStr">
        <is>
          <t>2026-07-30T05:40:57.557947Z</t>
        </is>
      </c>
      <c r="AE8" s="31" t="inlineStr">
        <is>
          <t>Learned LR call at threshold 0.5001; executable ask 0.6100 (aec-wnba-gsv-phx-2026-07-29).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wnba-gsv</t>
        </is>
      </c>
      <c r="AQ8" s="24" t="inlineStr">
        <is>
          <t>Golden State Valkyries</t>
        </is>
      </c>
      <c r="AR8" s="24" t="inlineStr">
        <is>
          <t>Golden State Valkyries</t>
        </is>
      </c>
      <c r="AS8" s="24" t="inlineStr">
        <is>
          <t>wnba-phx</t>
        </is>
      </c>
      <c r="AT8" s="24" t="inlineStr">
        <is>
          <t>Phoenix Mercury</t>
        </is>
      </c>
      <c r="AU8" s="24" t="inlineStr">
        <is>
          <t>Phoenix Mercury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5ba5847b783e4237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2026-07-29T17:43:13.575889Z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>
        <v>0.6039600000000001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0.1902656067</t>
        </is>
      </c>
      <c r="CD8" s="24" t="inlineStr">
        <is>
          <t>-0.399848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ecf162c53b6e43a6</t>
        </is>
      </c>
      <c r="B9" s="24" t="inlineStr">
        <is>
          <t>2026-07-30T21:07:38.996144Z</t>
        </is>
      </c>
      <c r="C9" s="24" t="inlineStr">
        <is>
          <t>2026-07-30T20:00:00-0400</t>
        </is>
      </c>
      <c r="D9" s="24" t="inlineStr">
        <is>
          <t>401857099</t>
        </is>
      </c>
      <c r="E9" s="24" t="inlineStr">
        <is>
          <t>WNBA</t>
        </is>
      </c>
      <c r="F9" s="24" t="inlineStr">
        <is>
          <t>Minnesota Lynx</t>
        </is>
      </c>
      <c r="G9" s="24" t="inlineStr">
        <is>
          <t>Toronto Tempo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-614</v>
      </c>
      <c r="M9" s="27" t="n">
        <v>1.162866</v>
      </c>
      <c r="N9" s="28" t="n">
        <v>0.859944</v>
      </c>
      <c r="O9" s="28" t="n">
        <v>0.750119</v>
      </c>
      <c r="P9" s="28" t="n"/>
      <c r="Q9" s="28" t="n">
        <v>-0.109825</v>
      </c>
      <c r="R9" s="26" t="n">
        <v>0</v>
      </c>
      <c r="S9" s="29" t="n">
        <v>2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104</v>
      </c>
      <c r="X9" s="26" t="n">
        <v>72</v>
      </c>
      <c r="Y9" s="25" t="n"/>
      <c r="Z9" s="26" t="n"/>
      <c r="AA9" s="28" t="n"/>
      <c r="AB9" s="28" t="n"/>
      <c r="AC9" s="30" t="n">
        <v>0.3257</v>
      </c>
      <c r="AD9" s="24" t="inlineStr">
        <is>
          <t>2026-07-31T04:29:19.818080Z</t>
        </is>
      </c>
      <c r="AE9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wnba-min</t>
        </is>
      </c>
      <c r="AQ9" s="24" t="inlineStr">
        <is>
          <t>Minnesota Lynx</t>
        </is>
      </c>
      <c r="AR9" s="24" t="inlineStr">
        <is>
          <t>Minnesota Lynx</t>
        </is>
      </c>
      <c r="AS9" s="24" t="inlineStr">
        <is>
          <t>wnba-tor</t>
        </is>
      </c>
      <c r="AT9" s="24" t="inlineStr">
        <is>
          <t>Toronto Tempo</t>
        </is>
      </c>
      <c r="AU9" s="24" t="inlineStr">
        <is>
          <t>Toronto Tempo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a8d16f9be486f04d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2026-07-30T21:07:16.651071Z</t>
        </is>
      </c>
      <c r="BI9" s="24" t="inlineStr">
        <is>
          <t>["same_event","same_team_same_day","same_league_same_day"]</t>
        </is>
      </c>
      <c r="BJ9" s="25" t="n"/>
      <c r="BK9" s="26" t="n">
        <v>-614</v>
      </c>
      <c r="BL9" s="27" t="n">
        <v>1.162866</v>
      </c>
      <c r="BM9" s="28" t="n">
        <v>0.859944</v>
      </c>
      <c r="BN9" s="28" t="n">
        <v>0.851485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0.1447442732</t>
        </is>
      </c>
      <c r="CD9" s="24" t="inlineStr">
        <is>
          <t>-5.213719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18fa1289f8ca42ca</t>
        </is>
      </c>
      <c r="B10" s="24" t="inlineStr">
        <is>
          <t>2026-07-30T21:07:38.996144Z</t>
        </is>
      </c>
      <c r="C10" s="24" t="inlineStr">
        <is>
          <t>2026-07-30T20:00:00-0400</t>
        </is>
      </c>
      <c r="D10" s="24" t="inlineStr">
        <is>
          <t>401857100</t>
        </is>
      </c>
      <c r="E10" s="24" t="inlineStr">
        <is>
          <t>WNBA</t>
        </is>
      </c>
      <c r="F10" s="24" t="inlineStr">
        <is>
          <t>Connecticut Sun</t>
        </is>
      </c>
      <c r="G10" s="24" t="inlineStr">
        <is>
          <t>Chicago Sky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-194</v>
      </c>
      <c r="M10" s="27" t="n">
        <v>1.515464</v>
      </c>
      <c r="N10" s="28" t="n">
        <v>0.659864</v>
      </c>
      <c r="O10" s="28" t="n">
        <v>0.670401</v>
      </c>
      <c r="P10" s="28" t="n"/>
      <c r="Q10" s="28" t="n">
        <v>0.010537</v>
      </c>
      <c r="R10" s="26" t="n">
        <v>28</v>
      </c>
      <c r="S10" s="29" t="n">
        <v>2</v>
      </c>
      <c r="T10" s="24" t="inlineStr">
        <is>
          <t>wnba-elo-trend-lr-v4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88</v>
      </c>
      <c r="X10" s="26" t="n">
        <v>94</v>
      </c>
      <c r="Y10" s="25" t="n"/>
      <c r="Z10" s="26" t="n"/>
      <c r="AA10" s="28" t="n"/>
      <c r="AB10" s="28" t="n"/>
      <c r="AC10" s="30" t="n">
        <v>1.0309</v>
      </c>
      <c r="AD10" s="24" t="inlineStr">
        <is>
          <t>2026-07-31T04:29:20.464220Z</t>
        </is>
      </c>
      <c r="AE10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wnba-con</t>
        </is>
      </c>
      <c r="AQ10" s="24" t="inlineStr">
        <is>
          <t>Connecticut Sun</t>
        </is>
      </c>
      <c r="AR10" s="24" t="inlineStr">
        <is>
          <t>Connecticut Sun</t>
        </is>
      </c>
      <c r="AS10" s="24" t="inlineStr">
        <is>
          <t>wnba-chi</t>
        </is>
      </c>
      <c r="AT10" s="24" t="inlineStr">
        <is>
          <t>Chicago Sky</t>
        </is>
      </c>
      <c r="AU10" s="24" t="inlineStr">
        <is>
          <t>Chicago Sky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7afd5274214b58b7efd7f7febc7be3ab33b92351cda5cc6403c0a39faea0cc8c</t>
        </is>
      </c>
      <c r="BB10" s="24" t="inlineStr">
        <is>
          <t>learned_lr</t>
        </is>
      </c>
      <c r="BC10" s="24" t="inlineStr">
        <is>
          <t>wnba-elo-trend-lr-v4</t>
        </is>
      </c>
      <c r="BD10" s="24" t="inlineStr">
        <is>
          <t>7afd5274214b58b7efd7f7febc7be3ab33b92351cda5cc6403c0a39faea0cc8c</t>
        </is>
      </c>
      <c r="BE10" s="24" t="inlineStr">
        <is>
          <t>de1d675da66b275e</t>
        </is>
      </c>
      <c r="BF10" s="24" t="inlineStr">
        <is>
          <t>1</t>
        </is>
      </c>
      <c r="BG10" s="24" t="inlineStr">
        <is>
          <t>wnba-elo-trend-lr-v4</t>
        </is>
      </c>
      <c r="BH10" s="24" t="inlineStr">
        <is>
          <t>2026-07-30T21:07:18.309580Z</t>
        </is>
      </c>
      <c r="BI10" s="24" t="inlineStr">
        <is>
          <t>["same_event","same_team_same_day","same_league_same_day"]</t>
        </is>
      </c>
      <c r="BJ10" s="25" t="n"/>
      <c r="BK10" s="26" t="n">
        <v>-194</v>
      </c>
      <c r="BL10" s="27" t="n">
        <v>1.515464</v>
      </c>
      <c r="BM10" s="28" t="n">
        <v>0.659864</v>
      </c>
      <c r="BN10" s="28" t="n">
        <v>0.653465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0.6616868073</t>
        </is>
      </c>
      <c r="CD10" s="24" t="inlineStr">
        <is>
          <t>5.467445</t>
        </is>
      </c>
      <c r="CE10" s="24" t="n"/>
      <c r="CF10" s="24" t="n"/>
      <c r="CG10" s="24" t="n"/>
      <c r="CH10" s="24" t="n"/>
      <c r="CI10" s="24" t="inlineStr">
        <is>
          <t>wnba_availability_source_conflict</t>
        </is>
      </c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826fb2a467984162</t>
        </is>
      </c>
      <c r="B11" s="24" t="inlineStr">
        <is>
          <t>2026-07-31T00:56:17.350684Z</t>
        </is>
      </c>
      <c r="C11" s="24" t="inlineStr">
        <is>
          <t>2026-07-30T22:00:00-0400</t>
        </is>
      </c>
      <c r="D11" s="24" t="inlineStr">
        <is>
          <t>401857101</t>
        </is>
      </c>
      <c r="E11" s="24" t="inlineStr">
        <is>
          <t>WNBA</t>
        </is>
      </c>
      <c r="F11" s="24" t="inlineStr">
        <is>
          <t>New York Liberty</t>
        </is>
      </c>
      <c r="G11" s="24" t="inlineStr">
        <is>
          <t>Las Vegas Aces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-178</v>
      </c>
      <c r="M11" s="27" t="n">
        <v>1.561798</v>
      </c>
      <c r="N11" s="28" t="n">
        <v>0.640288</v>
      </c>
      <c r="O11" s="28" t="n">
        <v>0.615328</v>
      </c>
      <c r="P11" s="28" t="n"/>
      <c r="Q11" s="28" t="n">
        <v>-0.02496</v>
      </c>
      <c r="R11" s="26" t="n">
        <v>11</v>
      </c>
      <c r="S11" s="29" t="n">
        <v>1.75</v>
      </c>
      <c r="T11" s="24" t="inlineStr">
        <is>
          <t>wnba-elo-trend-lr-v4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99</v>
      </c>
      <c r="X11" s="26" t="n">
        <v>104</v>
      </c>
      <c r="Y11" s="25" t="n"/>
      <c r="Z11" s="26" t="n"/>
      <c r="AA11" s="28" t="n"/>
      <c r="AB11" s="28" t="n"/>
      <c r="AC11" s="30" t="n">
        <v>0.9831</v>
      </c>
      <c r="AD11" s="24" t="inlineStr">
        <is>
          <t>2026-07-31T04:29:22.183741Z</t>
        </is>
      </c>
      <c r="AE11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wnba-nyl</t>
        </is>
      </c>
      <c r="AQ11" s="24" t="inlineStr">
        <is>
          <t>New York Liberty</t>
        </is>
      </c>
      <c r="AR11" s="24" t="inlineStr">
        <is>
          <t>New York Liberty</t>
        </is>
      </c>
      <c r="AS11" s="24" t="inlineStr">
        <is>
          <t>wnba-lva</t>
        </is>
      </c>
      <c r="AT11" s="24" t="inlineStr">
        <is>
          <t>Las Vegas Aces</t>
        </is>
      </c>
      <c r="AU11" s="24" t="inlineStr">
        <is>
          <t>Las Vegas Aces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7afd5274214b58b7efd7f7febc7be3ab33b92351cda5cc6403c0a39faea0cc8c</t>
        </is>
      </c>
      <c r="BB11" s="24" t="inlineStr">
        <is>
          <t>learned_lr</t>
        </is>
      </c>
      <c r="BC11" s="24" t="inlineStr">
        <is>
          <t>wnba-elo-trend-lr-v4</t>
        </is>
      </c>
      <c r="BD11" s="24" t="inlineStr">
        <is>
          <t>7afd5274214b58b7efd7f7febc7be3ab33b92351cda5cc6403c0a39faea0cc8c</t>
        </is>
      </c>
      <c r="BE11" s="24" t="inlineStr">
        <is>
          <t>181554924d3d25f6</t>
        </is>
      </c>
      <c r="BF11" s="24" t="inlineStr">
        <is>
          <t>1</t>
        </is>
      </c>
      <c r="BG11" s="24" t="inlineStr">
        <is>
          <t>wnba-elo-trend-lr-v4</t>
        </is>
      </c>
      <c r="BH11" s="24" t="inlineStr">
        <is>
          <t>2026-07-31T00:56:07.048062Z</t>
        </is>
      </c>
      <c r="BI11" s="24" t="inlineStr">
        <is>
          <t>["same_event","same_team_same_day","same_league_same_day"]</t>
        </is>
      </c>
      <c r="BJ11" s="25" t="n"/>
      <c r="BK11" s="26" t="n">
        <v>-178</v>
      </c>
      <c r="BL11" s="27" t="n">
        <v>1.561798</v>
      </c>
      <c r="BM11" s="28" t="n">
        <v>0.640288</v>
      </c>
      <c r="BN11" s="28" t="n">
        <v>0.633663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0.6511069872</t>
        </is>
      </c>
      <c r="CD11" s="24" t="inlineStr">
        <is>
          <t>-4.276653</t>
        </is>
      </c>
      <c r="CE11" s="24" t="n"/>
      <c r="CF11" s="24" t="n"/>
      <c r="CG11" s="24" t="n"/>
      <c r="CH11" s="24" t="n"/>
      <c r="CI11" s="24" t="inlineStr">
        <is>
          <t>wnba_availability_source_conflict</t>
        </is>
      </c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55640aa916a34dcf</t>
        </is>
      </c>
      <c r="B12" s="24" t="inlineStr">
        <is>
          <t>2026-07-31T23:29:42.171549Z</t>
        </is>
      </c>
      <c r="C12" s="24" t="inlineStr">
        <is>
          <t>2026-07-31T19:30:00-0400</t>
        </is>
      </c>
      <c r="D12" s="24" t="inlineStr">
        <is>
          <t>401857102</t>
        </is>
      </c>
      <c r="E12" s="24" t="inlineStr">
        <is>
          <t>WNBA</t>
        </is>
      </c>
      <c r="F12" s="24" t="inlineStr">
        <is>
          <t>Seattle Storm</t>
        </is>
      </c>
      <c r="G12" s="24" t="inlineStr">
        <is>
          <t>Atlanta Dream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-525</v>
      </c>
      <c r="M12" s="27" t="n">
        <v>1.190476</v>
      </c>
      <c r="N12" s="28" t="n">
        <v>0.84</v>
      </c>
      <c r="O12" s="28" t="n">
        <v>0.737046</v>
      </c>
      <c r="P12" s="28" t="n"/>
      <c r="Q12" s="28" t="n">
        <v>-0.102954</v>
      </c>
      <c r="R12" s="26" t="n">
        <v>0</v>
      </c>
      <c r="S12" s="29" t="n">
        <v>2</v>
      </c>
      <c r="T12" s="24" t="inlineStr">
        <is>
          <t>wnba-elo-trend-lr-v4</t>
        </is>
      </c>
      <c r="U12" s="24" t="inlineStr">
        <is>
          <t>settled</t>
        </is>
      </c>
      <c r="V12" s="24" t="inlineStr">
        <is>
          <t>win</t>
        </is>
      </c>
      <c r="W12" s="26" t="n">
        <v>89</v>
      </c>
      <c r="X12" s="26" t="n">
        <v>98</v>
      </c>
      <c r="Y12" s="25" t="n"/>
      <c r="Z12" s="26" t="n"/>
      <c r="AA12" s="28" t="n"/>
      <c r="AB12" s="28" t="n"/>
      <c r="AC12" s="30" t="n">
        <v>0.381</v>
      </c>
      <c r="AD12" s="24" t="inlineStr">
        <is>
          <t>2026-08-01T03:00:06.398841Z</t>
        </is>
      </c>
      <c r="AE12" s="31" t="inlineStr">
        <is>
          <t>Learned LR call at threshold 0.5001; executable ask 0.8400 (aec-wnba-sea-atl-2026-07-31); model edge vs ask -0.1030.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wnba-sea</t>
        </is>
      </c>
      <c r="AQ12" s="24" t="inlineStr">
        <is>
          <t>Seattle Storm</t>
        </is>
      </c>
      <c r="AR12" s="24" t="inlineStr">
        <is>
          <t>Seattle Storm</t>
        </is>
      </c>
      <c r="AS12" s="24" t="inlineStr">
        <is>
          <t>wnba-atl</t>
        </is>
      </c>
      <c r="AT12" s="24" t="inlineStr">
        <is>
          <t>Atlanta Dream</t>
        </is>
      </c>
      <c r="AU12" s="24" t="inlineStr">
        <is>
          <t>Atlanta Dream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7afd5274214b58b7efd7f7febc7be3ab33b92351cda5cc6403c0a39faea0cc8c</t>
        </is>
      </c>
      <c r="BB12" s="24" t="inlineStr">
        <is>
          <t>learned_lr</t>
        </is>
      </c>
      <c r="BC12" s="24" t="inlineStr">
        <is>
          <t>wnba-elo-trend-lr-v4</t>
        </is>
      </c>
      <c r="BD12" s="24" t="inlineStr">
        <is>
          <t>7afd5274214b58b7efd7f7febc7be3ab33b92351cda5cc6403c0a39faea0cc8c</t>
        </is>
      </c>
      <c r="BE12" s="24" t="inlineStr">
        <is>
          <t>8fdca19bc32f576a</t>
        </is>
      </c>
      <c r="BF12" s="24" t="inlineStr">
        <is>
          <t>1</t>
        </is>
      </c>
      <c r="BG12" s="24" t="inlineStr">
        <is>
          <t>wnba-elo-trend-lr-v4</t>
        </is>
      </c>
      <c r="BH12" s="24" t="inlineStr">
        <is>
          <t>2026-07-31T23:29:25.425390Z</t>
        </is>
      </c>
      <c r="BI12" s="24" t="inlineStr">
        <is>
          <t>["same_event","same_team_same_day","same_league_same_day"]</t>
        </is>
      </c>
      <c r="BJ12" s="25" t="n"/>
      <c r="BK12" s="26" t="n">
        <v>-525</v>
      </c>
      <c r="BL12" s="27" t="n">
        <v>1.190476</v>
      </c>
      <c r="BM12" s="28" t="n">
        <v>0.84</v>
      </c>
      <c r="BN12" s="28" t="n">
        <v>0.831683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0.821319619</t>
        </is>
      </c>
      <c r="CD12" s="24" t="inlineStr">
        <is>
          <t>-5.618671</t>
        </is>
      </c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cd01f161ca044950</t>
        </is>
      </c>
      <c r="B13" s="24" t="inlineStr">
        <is>
          <t>2026-07-31T23:29:42.171549Z</t>
        </is>
      </c>
      <c r="C13" s="24" t="inlineStr">
        <is>
          <t>2026-07-31T19:30:00-0400</t>
        </is>
      </c>
      <c r="D13" s="24" t="inlineStr">
        <is>
          <t>401857103</t>
        </is>
      </c>
      <c r="E13" s="24" t="inlineStr">
        <is>
          <t>WNBA</t>
        </is>
      </c>
      <c r="F13" s="24" t="inlineStr">
        <is>
          <t>Dallas Wings</t>
        </is>
      </c>
      <c r="G13" s="24" t="inlineStr">
        <is>
          <t>Washington Mystics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-150</v>
      </c>
      <c r="M13" s="27" t="n">
        <v>1.666667</v>
      </c>
      <c r="N13" s="28" t="n">
        <v>0.6</v>
      </c>
      <c r="O13" s="28" t="n">
        <v>0.575648</v>
      </c>
      <c r="P13" s="28" t="n"/>
      <c r="Q13" s="28" t="n">
        <v>-0.024352</v>
      </c>
      <c r="R13" s="26" t="n">
        <v>11</v>
      </c>
      <c r="S13" s="29" t="n">
        <v>1.25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loss</t>
        </is>
      </c>
      <c r="W13" s="26" t="n">
        <v>75</v>
      </c>
      <c r="X13" s="26" t="n">
        <v>81</v>
      </c>
      <c r="Y13" s="25" t="n"/>
      <c r="Z13" s="26" t="n"/>
      <c r="AA13" s="28" t="n"/>
      <c r="AB13" s="28" t="n"/>
      <c r="AC13" s="30" t="n">
        <v>-1.25</v>
      </c>
      <c r="AD13" s="24" t="inlineStr">
        <is>
          <t>2026-08-01T03:00:06.684303Z</t>
        </is>
      </c>
      <c r="AE13" s="31" t="inlineStr">
        <is>
          <t>Learned LR call at threshold 0.5001; executable ask 0.6000 (aec-wnba-dal-wsh-2026-07-31); model edge vs ask -0.0244.</t>
        </is>
      </c>
      <c r="AF13" s="31" t="inlineStr">
        <is>
          <t>Learned model; shadow-qualified via operator override.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wnba-dal</t>
        </is>
      </c>
      <c r="AQ13" s="24" t="inlineStr">
        <is>
          <t>Dallas Wings</t>
        </is>
      </c>
      <c r="AR13" s="24" t="inlineStr">
        <is>
          <t>Dallas Wings</t>
        </is>
      </c>
      <c r="AS13" s="24" t="inlineStr">
        <is>
          <t>wnba-was</t>
        </is>
      </c>
      <c r="AT13" s="24" t="inlineStr">
        <is>
          <t>Washington Mystics</t>
        </is>
      </c>
      <c r="AU13" s="24" t="inlineStr">
        <is>
          <t>Washington Mystics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0f848d940ea26816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2026-07-31T23:29:26.294036Z</t>
        </is>
      </c>
      <c r="BI13" s="24" t="inlineStr">
        <is>
          <t>["same_event","same_team_same_day","same_league_same_day"]</t>
        </is>
      </c>
      <c r="BJ13" s="25" t="n"/>
      <c r="BK13" s="26" t="n">
        <v>-150</v>
      </c>
      <c r="BL13" s="27" t="n">
        <v>1.666667</v>
      </c>
      <c r="BM13" s="28" t="n">
        <v>0.6</v>
      </c>
      <c r="BN13" s="28" t="n">
        <v>0.594059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0.4036949453</t>
        </is>
      </c>
      <c r="CD13" s="24" t="inlineStr">
        <is>
          <t>-0.615194</t>
        </is>
      </c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f87ad21d2fcd40e3</t>
        </is>
      </c>
      <c r="B14" s="24" t="inlineStr">
        <is>
          <t>2026-07-31T23:29:42.171549Z</t>
        </is>
      </c>
      <c r="C14" s="24" t="inlineStr">
        <is>
          <t>2026-07-31T22:00:00-0400</t>
        </is>
      </c>
      <c r="D14" s="24" t="inlineStr">
        <is>
          <t>401857104</t>
        </is>
      </c>
      <c r="E14" s="24" t="inlineStr">
        <is>
          <t>WNBA</t>
        </is>
      </c>
      <c r="F14" s="24" t="inlineStr">
        <is>
          <t>Indiana Fever</t>
        </is>
      </c>
      <c r="G14" s="24" t="inlineStr">
        <is>
          <t>Portland Fire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-300</v>
      </c>
      <c r="M14" s="27" t="n">
        <v>1.333333</v>
      </c>
      <c r="N14" s="28" t="n">
        <v>0.75</v>
      </c>
      <c r="O14" s="28" t="n">
        <v>0.650826</v>
      </c>
      <c r="P14" s="28" t="n"/>
      <c r="Q14" s="28" t="n">
        <v>-0.099174</v>
      </c>
      <c r="R14" s="26" t="n">
        <v>0</v>
      </c>
      <c r="S14" s="29" t="n">
        <v>1.75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win</t>
        </is>
      </c>
      <c r="W14" s="26" t="n">
        <v>112</v>
      </c>
      <c r="X14" s="26" t="n">
        <v>98</v>
      </c>
      <c r="Y14" s="25" t="n"/>
      <c r="Z14" s="26" t="n"/>
      <c r="AA14" s="28" t="n"/>
      <c r="AB14" s="28" t="n"/>
      <c r="AC14" s="30" t="n">
        <v>0.5833</v>
      </c>
      <c r="AD14" s="24" t="inlineStr">
        <is>
          <t>2026-08-01T05:33:40.859943Z</t>
        </is>
      </c>
      <c r="AE14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wnba-ind</t>
        </is>
      </c>
      <c r="AQ14" s="24" t="inlineStr">
        <is>
          <t>Indiana Fever</t>
        </is>
      </c>
      <c r="AR14" s="24" t="inlineStr">
        <is>
          <t>Indiana Fever</t>
        </is>
      </c>
      <c r="AS14" s="24" t="inlineStr">
        <is>
          <t>wnba-por</t>
        </is>
      </c>
      <c r="AT14" s="24" t="inlineStr">
        <is>
          <t>Portland Fire</t>
        </is>
      </c>
      <c r="AU14" s="24" t="inlineStr">
        <is>
          <t>Portland Fire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7afd5274214b58b7efd7f7febc7be3ab33b92351cda5cc6403c0a39faea0cc8c</t>
        </is>
      </c>
      <c r="BB14" s="24" t="inlineStr">
        <is>
          <t>learned_lr</t>
        </is>
      </c>
      <c r="BC14" s="24" t="inlineStr">
        <is>
          <t>wnba-elo-trend-lr-v4</t>
        </is>
      </c>
      <c r="BD14" s="24" t="inlineStr">
        <is>
          <t>7afd5274214b58b7efd7f7febc7be3ab33b92351cda5cc6403c0a39faea0cc8c</t>
        </is>
      </c>
      <c r="BE14" s="24" t="inlineStr">
        <is>
          <t>bcb9c02760c21728</t>
        </is>
      </c>
      <c r="BF14" s="24" t="inlineStr">
        <is>
          <t>1</t>
        </is>
      </c>
      <c r="BG14" s="24" t="inlineStr">
        <is>
          <t>wnba-elo-trend-lr-v4</t>
        </is>
      </c>
      <c r="BH14" s="24" t="inlineStr">
        <is>
          <t>2026-07-31T23:29:27.325378Z</t>
        </is>
      </c>
      <c r="BI14" s="24" t="inlineStr">
        <is>
          <t>["same_event","same_team_same_day","same_league_same_day"]</t>
        </is>
      </c>
      <c r="BJ14" s="25" t="n"/>
      <c r="BK14" s="26" t="n">
        <v>-300</v>
      </c>
      <c r="BL14" s="27" t="n">
        <v>1.333333</v>
      </c>
      <c r="BM14" s="28" t="n">
        <v>0.75</v>
      </c>
      <c r="BN14" s="28" t="n">
        <v>0.742574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0.2910587699</t>
        </is>
      </c>
      <c r="CD14" s="24" t="inlineStr">
        <is>
          <t>-7.416658</t>
        </is>
      </c>
      <c r="CE14" s="24" t="n"/>
      <c r="CF14" s="24" t="n"/>
      <c r="CG14" s="24" t="n"/>
      <c r="CH14" s="24" t="n"/>
      <c r="CI14" s="24" t="inlineStr">
        <is>
          <t>wnba_availability_source_conflict</t>
        </is>
      </c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3714d2fbafec4e5d</t>
        </is>
      </c>
      <c r="B15" s="24" t="inlineStr">
        <is>
          <t>2026-08-01T16:50:21.394933Z</t>
        </is>
      </c>
      <c r="C15" s="24" t="inlineStr">
        <is>
          <t>2026-08-01T13:00:00-0400</t>
        </is>
      </c>
      <c r="D15" s="24" t="inlineStr">
        <is>
          <t>401857105</t>
        </is>
      </c>
      <c r="E15" s="24" t="inlineStr">
        <is>
          <t>WNBA</t>
        </is>
      </c>
      <c r="F15" s="24" t="inlineStr">
        <is>
          <t>Las Vegas Aces</t>
        </is>
      </c>
      <c r="G15" s="24" t="inlineStr">
        <is>
          <t>Chicago Sky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-245</v>
      </c>
      <c r="M15" s="27" t="n">
        <v>1.408163</v>
      </c>
      <c r="N15" s="28" t="n">
        <v>0.710145</v>
      </c>
      <c r="O15" s="28" t="n">
        <v>0.646163</v>
      </c>
      <c r="P15" s="28" t="n"/>
      <c r="Q15" s="28" t="n">
        <v>-0.063982</v>
      </c>
      <c r="R15" s="26" t="n">
        <v>0</v>
      </c>
      <c r="S15" s="29" t="n">
        <v>1.75</v>
      </c>
      <c r="T15" s="24" t="inlineStr">
        <is>
          <t>wnba-elo-trend-lr-v4</t>
        </is>
      </c>
      <c r="U15" s="24" t="inlineStr">
        <is>
          <t>settled</t>
        </is>
      </c>
      <c r="V15" s="24" t="inlineStr">
        <is>
          <t>loss</t>
        </is>
      </c>
      <c r="W15" s="26" t="n">
        <v>83</v>
      </c>
      <c r="X15" s="26" t="n">
        <v>84</v>
      </c>
      <c r="Y15" s="25" t="n"/>
      <c r="Z15" s="26" t="n"/>
      <c r="AA15" s="28" t="n"/>
      <c r="AB15" s="28" t="n"/>
      <c r="AC15" s="30" t="n">
        <v>-1.75</v>
      </c>
      <c r="AD15" s="24" t="inlineStr">
        <is>
          <t>2026-08-01T20:13:05.677373Z</t>
        </is>
      </c>
      <c r="AE15" s="31" t="inlineStr">
        <is>
          <t>Learned LR call at threshold 0.5001; executable ask 0.7100 (aec-wnba-lv-chi-2026-08-01); model edge vs ask -0.0638.</t>
        </is>
      </c>
      <c r="AF15" s="31" t="inlineStr">
        <is>
          <t>Learned model; shadow-qualified via operator override.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wnba-lva</t>
        </is>
      </c>
      <c r="AQ15" s="24" t="inlineStr">
        <is>
          <t>Las Vegas Aces</t>
        </is>
      </c>
      <c r="AR15" s="24" t="inlineStr">
        <is>
          <t>Las Vegas Aces</t>
        </is>
      </c>
      <c r="AS15" s="24" t="inlineStr">
        <is>
          <t>wnba-chi</t>
        </is>
      </c>
      <c r="AT15" s="24" t="inlineStr">
        <is>
          <t>Chicago Sky</t>
        </is>
      </c>
      <c r="AU15" s="24" t="inlineStr">
        <is>
          <t>Chicago Sky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7afd5274214b58b7efd7f7febc7be3ab33b92351cda5cc6403c0a39faea0cc8c</t>
        </is>
      </c>
      <c r="BB15" s="24" t="inlineStr">
        <is>
          <t>learned_lr</t>
        </is>
      </c>
      <c r="BC15" s="24" t="inlineStr">
        <is>
          <t>wnba-elo-trend-lr-v4</t>
        </is>
      </c>
      <c r="BD15" s="24" t="inlineStr">
        <is>
          <t>7afd5274214b58b7efd7f7febc7be3ab33b92351cda5cc6403c0a39faea0cc8c</t>
        </is>
      </c>
      <c r="BE15" s="24" t="inlineStr">
        <is>
          <t>51a2c72f2e141b8b</t>
        </is>
      </c>
      <c r="BF15" s="24" t="inlineStr">
        <is>
          <t>1</t>
        </is>
      </c>
      <c r="BG15" s="24" t="inlineStr">
        <is>
          <t>wnba-elo-trend-lr-v4</t>
        </is>
      </c>
      <c r="BH15" s="24" t="inlineStr">
        <is>
          <t>2026-08-01T16:49:04.221920Z</t>
        </is>
      </c>
      <c r="BI15" s="24" t="inlineStr">
        <is>
          <t>["same_event","same_team_same_day","same_league_same_day"]</t>
        </is>
      </c>
      <c r="BJ15" s="25" t="n"/>
      <c r="BK15" s="26" t="n">
        <v>-245</v>
      </c>
      <c r="BL15" s="27" t="n">
        <v>1.408163</v>
      </c>
      <c r="BM15" s="28" t="n">
        <v>0.710145</v>
      </c>
      <c r="BN15" s="28" t="n">
        <v>0.70297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0.317202935</t>
        </is>
      </c>
      <c r="CD15" s="24" t="inlineStr">
        <is>
          <t>4.001837</t>
        </is>
      </c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95dfdf1aeb5c4314</t>
        </is>
      </c>
      <c r="B16" s="24" t="inlineStr">
        <is>
          <t>2026-08-01T18:37:44.379324Z</t>
        </is>
      </c>
      <c r="C16" s="24" t="inlineStr">
        <is>
          <t>2026-08-01T15:00:00-0400</t>
        </is>
      </c>
      <c r="D16" s="24" t="inlineStr">
        <is>
          <t>401857106</t>
        </is>
      </c>
      <c r="E16" s="24" t="inlineStr">
        <is>
          <t>WNBA</t>
        </is>
      </c>
      <c r="F16" s="24" t="inlineStr">
        <is>
          <t>New York Liberty</t>
        </is>
      </c>
      <c r="G16" s="24" t="inlineStr">
        <is>
          <t>Phoenix Mercury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-144</v>
      </c>
      <c r="M16" s="27" t="n">
        <v>1.694444</v>
      </c>
      <c r="N16" s="28" t="n">
        <v>0.590164</v>
      </c>
      <c r="O16" s="28" t="n">
        <v>0.568764</v>
      </c>
      <c r="P16" s="28" t="n"/>
      <c r="Q16" s="28" t="n">
        <v>-0.0214</v>
      </c>
      <c r="R16" s="26" t="n">
        <v>12</v>
      </c>
      <c r="S16" s="29" t="n">
        <v>1.25</v>
      </c>
      <c r="T16" s="24" t="inlineStr">
        <is>
          <t>wnba-elo-trend-lr-v4</t>
        </is>
      </c>
      <c r="U16" s="24" t="inlineStr">
        <is>
          <t>settled</t>
        </is>
      </c>
      <c r="V16" s="24" t="inlineStr">
        <is>
          <t>win</t>
        </is>
      </c>
      <c r="W16" s="26" t="n">
        <v>94</v>
      </c>
      <c r="X16" s="26" t="n">
        <v>92</v>
      </c>
      <c r="Y16" s="25" t="n"/>
      <c r="Z16" s="26" t="n"/>
      <c r="AA16" s="28" t="n"/>
      <c r="AB16" s="28" t="n"/>
      <c r="AC16" s="30" t="n">
        <v>0.8681</v>
      </c>
      <c r="AD16" s="24" t="inlineStr">
        <is>
          <t>2026-08-01T21:25:18.148772Z</t>
        </is>
      </c>
      <c r="AE16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wnba-nyl</t>
        </is>
      </c>
      <c r="AQ16" s="24" t="inlineStr">
        <is>
          <t>New York Liberty</t>
        </is>
      </c>
      <c r="AR16" s="24" t="inlineStr">
        <is>
          <t>New York Liberty</t>
        </is>
      </c>
      <c r="AS16" s="24" t="inlineStr">
        <is>
          <t>wnba-phx</t>
        </is>
      </c>
      <c r="AT16" s="24" t="inlineStr">
        <is>
          <t>Phoenix Mercury</t>
        </is>
      </c>
      <c r="AU16" s="24" t="inlineStr">
        <is>
          <t>Phoenix Mercury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7afd5274214b58b7efd7f7febc7be3ab33b92351cda5cc6403c0a39faea0cc8c</t>
        </is>
      </c>
      <c r="BB16" s="24" t="inlineStr">
        <is>
          <t>learned_lr</t>
        </is>
      </c>
      <c r="BC16" s="24" t="inlineStr">
        <is>
          <t>wnba-elo-trend-lr-v4</t>
        </is>
      </c>
      <c r="BD16" s="24" t="inlineStr">
        <is>
          <t>7afd5274214b58b7efd7f7febc7be3ab33b92351cda5cc6403c0a39faea0cc8c</t>
        </is>
      </c>
      <c r="BE16" s="24" t="inlineStr">
        <is>
          <t>bbef9e1b90cf700b</t>
        </is>
      </c>
      <c r="BF16" s="24" t="inlineStr">
        <is>
          <t>1</t>
        </is>
      </c>
      <c r="BG16" s="24" t="inlineStr">
        <is>
          <t>wnba-elo-trend-lr-v4</t>
        </is>
      </c>
      <c r="BH16" s="24" t="inlineStr">
        <is>
          <t>2026-08-01T18:36:36.294824Z</t>
        </is>
      </c>
      <c r="BI16" s="24" t="inlineStr">
        <is>
          <t>["same_event","same_team_same_day","same_league_same_day"]</t>
        </is>
      </c>
      <c r="BJ16" s="25" t="n"/>
      <c r="BK16" s="26" t="n">
        <v>-144</v>
      </c>
      <c r="BL16" s="27" t="n">
        <v>1.694444</v>
      </c>
      <c r="BM16" s="28" t="n">
        <v>0.590164</v>
      </c>
      <c r="BN16" s="28" t="n">
        <v>0.584158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0.4080094464</t>
        </is>
      </c>
      <c r="CD16" s="24" t="inlineStr">
        <is>
          <t>-5.162465</t>
        </is>
      </c>
      <c r="CE16" s="24" t="n"/>
      <c r="CF16" s="24" t="n"/>
      <c r="CG16" s="24" t="n"/>
      <c r="CH16" s="24" t="n"/>
      <c r="CI16" s="24" t="inlineStr">
        <is>
          <t>NO_CALL_AVAILABILITY_PLAYER_UNMAPPED</t>
        </is>
      </c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406e675981464953</t>
        </is>
      </c>
      <c r="B17" s="24" t="inlineStr">
        <is>
          <t>2026-08-02T16:48:43.908788Z</t>
        </is>
      </c>
      <c r="C17" s="24" t="inlineStr">
        <is>
          <t>2026-08-02T13:00:00-0400</t>
        </is>
      </c>
      <c r="D17" s="24" t="inlineStr">
        <is>
          <t>401857107</t>
        </is>
      </c>
      <c r="E17" s="24" t="inlineStr">
        <is>
          <t>WNBA</t>
        </is>
      </c>
      <c r="F17" s="24" t="inlineStr">
        <is>
          <t>Indiana Fever</t>
        </is>
      </c>
      <c r="G17" s="24" t="inlineStr">
        <is>
          <t>Minnesota Lynx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-186</v>
      </c>
      <c r="M17" s="27" t="n">
        <v>1.537634</v>
      </c>
      <c r="N17" s="28" t="n">
        <v>0.65035</v>
      </c>
      <c r="O17" s="28" t="n">
        <v>0.643489</v>
      </c>
      <c r="P17" s="28" t="n"/>
      <c r="Q17" s="28" t="n">
        <v>-0.006861</v>
      </c>
      <c r="R17" s="26" t="n">
        <v>20</v>
      </c>
      <c r="S17" s="29" t="n">
        <v>1.5</v>
      </c>
      <c r="T17" s="24" t="inlineStr">
        <is>
          <t>wnba-elo-trend-lr-v4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100</v>
      </c>
      <c r="X17" s="26" t="n">
        <v>108</v>
      </c>
      <c r="Y17" s="25" t="n"/>
      <c r="Z17" s="26" t="n"/>
      <c r="AA17" s="28" t="n"/>
      <c r="AB17" s="28" t="n"/>
      <c r="AC17" s="30" t="n">
        <v>0.8065</v>
      </c>
      <c r="AD17" s="24" t="inlineStr">
        <is>
          <t>2026-08-02T19:26:27.591268Z</t>
        </is>
      </c>
      <c r="AE17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17" s="31" t="inlineStr">
        <is>
          <t>Learned model; shadow-qualified via operator override.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wnba-ind</t>
        </is>
      </c>
      <c r="AQ17" s="24" t="inlineStr">
        <is>
          <t>Indiana Fever</t>
        </is>
      </c>
      <c r="AR17" s="24" t="inlineStr">
        <is>
          <t>Indiana Fever</t>
        </is>
      </c>
      <c r="AS17" s="24" t="inlineStr">
        <is>
          <t>wnba-min</t>
        </is>
      </c>
      <c r="AT17" s="24" t="inlineStr">
        <is>
          <t>Minnesota Lynx</t>
        </is>
      </c>
      <c r="AU17" s="24" t="inlineStr">
        <is>
          <t>Minnesota Lynx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7afd5274214b58b7efd7f7febc7be3ab33b92351cda5cc6403c0a39faea0cc8c</t>
        </is>
      </c>
      <c r="BB17" s="24" t="inlineStr">
        <is>
          <t>learned_lr</t>
        </is>
      </c>
      <c r="BC17" s="24" t="inlineStr">
        <is>
          <t>wnba-elo-trend-lr-v4</t>
        </is>
      </c>
      <c r="BD17" s="24" t="inlineStr">
        <is>
          <t>7afd5274214b58b7efd7f7febc7be3ab33b92351cda5cc6403c0a39faea0cc8c</t>
        </is>
      </c>
      <c r="BE17" s="24" t="inlineStr">
        <is>
          <t>cb6d856341c7efe7</t>
        </is>
      </c>
      <c r="BF17" s="24" t="inlineStr">
        <is>
          <t>1</t>
        </is>
      </c>
      <c r="BG17" s="24" t="inlineStr">
        <is>
          <t>wnba-elo-trend-lr-v4</t>
        </is>
      </c>
      <c r="BH17" s="24" t="inlineStr">
        <is>
          <t>2026-08-02T16:47:30.539614Z</t>
        </is>
      </c>
      <c r="BI17" s="24" t="inlineStr">
        <is>
          <t>["same_event","same_team_same_day","same_league_same_day"]</t>
        </is>
      </c>
      <c r="BJ17" s="25" t="n"/>
      <c r="BK17" s="26" t="n">
        <v>-186</v>
      </c>
      <c r="BL17" s="27" t="n">
        <v>1.537634</v>
      </c>
      <c r="BM17" s="28" t="n">
        <v>0.65035</v>
      </c>
      <c r="BN17" s="28" t="n">
        <v>0.643564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0.6810434571</t>
        </is>
      </c>
      <c r="CD17" s="24" t="inlineStr">
        <is>
          <t>-4.330577</t>
        </is>
      </c>
      <c r="CE17" s="24" t="n"/>
      <c r="CF17" s="24" t="n"/>
      <c r="CG17" s="24" t="n"/>
      <c r="CH17" s="24" t="n"/>
      <c r="CI17" s="24" t="inlineStr">
        <is>
          <t>NO_CALL_AVAILABILITY_PLAYER_UNMAPPED</t>
        </is>
      </c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inlineStr">
        <is>
          <t>0.643489</t>
        </is>
      </c>
      <c r="CS17" s="24" t="inlineStr">
        <is>
          <t>0</t>
        </is>
      </c>
    </row>
    <row r="18" ht="36" customHeight="1">
      <c r="A18" s="24" t="inlineStr">
        <is>
          <t>84ca57c160404cdf</t>
        </is>
      </c>
      <c r="B18" s="24" t="inlineStr">
        <is>
          <t>2026-08-02T19:28:41.982598Z</t>
        </is>
      </c>
      <c r="C18" s="24" t="inlineStr">
        <is>
          <t>2026-08-02T15:30:00-0400</t>
        </is>
      </c>
      <c r="D18" s="24" t="inlineStr">
        <is>
          <t>401857108</t>
        </is>
      </c>
      <c r="E18" s="24" t="inlineStr">
        <is>
          <t>WNBA</t>
        </is>
      </c>
      <c r="F18" s="24" t="inlineStr">
        <is>
          <t>Los Angeles Sparks</t>
        </is>
      </c>
      <c r="G18" s="24" t="inlineStr">
        <is>
          <t>Portland Fire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104</v>
      </c>
      <c r="M18" s="27" t="n">
        <v>2.04</v>
      </c>
      <c r="N18" s="28" t="n">
        <v>0.490196</v>
      </c>
      <c r="O18" s="28" t="n">
        <v>0.57112</v>
      </c>
      <c r="P18" s="28" t="n"/>
      <c r="Q18" s="28" t="n">
        <v>0.080924</v>
      </c>
      <c r="R18" s="26" t="n">
        <v>63</v>
      </c>
      <c r="S18" s="29" t="n">
        <v>1.25</v>
      </c>
      <c r="T18" s="24" t="inlineStr">
        <is>
          <t>wnba-elo-trend-lr-v4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106</v>
      </c>
      <c r="X18" s="26" t="n">
        <v>101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2026-08-02T23:12:45.737006Z</t>
        </is>
      </c>
      <c r="AE18" s="31" t="inlineStr">
        <is>
          <t>Learned LR call at threshold 0.5001; executable ask 0.4900 (aec-wnba-la-por-2026-08-02); model edge vs ask +0.0811. NOTE: NO_CALL_AVAILABILITY_PLAYER_UNMAPPED unavailable for this game — defaulted to neutral, other features used normally.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wnba-las</t>
        </is>
      </c>
      <c r="AQ18" s="24" t="inlineStr">
        <is>
          <t>Los Angeles Sparks</t>
        </is>
      </c>
      <c r="AR18" s="24" t="inlineStr">
        <is>
          <t>Los Angeles Sparks</t>
        </is>
      </c>
      <c r="AS18" s="24" t="inlineStr">
        <is>
          <t>wnba-por</t>
        </is>
      </c>
      <c r="AT18" s="24" t="inlineStr">
        <is>
          <t>Portland Fire</t>
        </is>
      </c>
      <c r="AU18" s="24" t="inlineStr">
        <is>
          <t>Portland Fire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7afd5274214b58b7efd7f7febc7be3ab33b92351cda5cc6403c0a39faea0cc8c</t>
        </is>
      </c>
      <c r="BB18" s="24" t="inlineStr">
        <is>
          <t>learned_lr</t>
        </is>
      </c>
      <c r="BC18" s="24" t="inlineStr">
        <is>
          <t>wnba-elo-trend-lr-v4</t>
        </is>
      </c>
      <c r="BD18" s="24" t="inlineStr">
        <is>
          <t>7afd5274214b58b7efd7f7febc7be3ab33b92351cda5cc6403c0a39faea0cc8c</t>
        </is>
      </c>
      <c r="BE18" s="24" t="inlineStr">
        <is>
          <t>58d7c01d51192db8</t>
        </is>
      </c>
      <c r="BF18" s="24" t="inlineStr">
        <is>
          <t>1</t>
        </is>
      </c>
      <c r="BG18" s="24" t="inlineStr">
        <is>
          <t>wnba-elo-trend-lr-v4</t>
        </is>
      </c>
      <c r="BH18" s="24" t="inlineStr">
        <is>
          <t>2026-08-02T19:27:38.881123Z</t>
        </is>
      </c>
      <c r="BI18" s="24" t="inlineStr">
        <is>
          <t>["same_event","same_team_same_day","same_league_same_day"]</t>
        </is>
      </c>
      <c r="BJ18" s="25" t="n"/>
      <c r="BK18" s="26" t="n">
        <v>104</v>
      </c>
      <c r="BL18" s="27" t="n">
        <v>2.04</v>
      </c>
      <c r="BM18" s="28" t="n">
        <v>0.490196</v>
      </c>
      <c r="BN18" s="28" t="n">
        <v>0.485149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0.5937045717</t>
        </is>
      </c>
      <c r="CD18" s="24" t="inlineStr">
        <is>
          <t>-1.420483</t>
        </is>
      </c>
      <c r="CE18" s="24" t="n"/>
      <c r="CF18" s="24" t="n"/>
      <c r="CG18" s="24" t="n"/>
      <c r="CH18" s="24" t="n"/>
      <c r="CI18" s="24" t="inlineStr">
        <is>
          <t>NO_CALL_AVAILABILITY_PLAYER_UNMAPPED</t>
        </is>
      </c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inlineStr">
        <is>
          <t>0.57112</t>
        </is>
      </c>
      <c r="CS18" s="24" t="inlineStr">
        <is>
          <t>True</t>
        </is>
      </c>
    </row>
    <row r="19" ht="36" customHeight="1">
      <c r="A19" s="24" t="inlineStr">
        <is>
          <t>e3ace56e024b4f80</t>
        </is>
      </c>
      <c r="B19" s="24" t="inlineStr">
        <is>
          <t>2026-08-02T19:28:41.982598Z</t>
        </is>
      </c>
      <c r="C19" s="24" t="inlineStr">
        <is>
          <t>2026-08-02T19:00:00-0400</t>
        </is>
      </c>
      <c r="D19" s="24" t="inlineStr">
        <is>
          <t>401857109</t>
        </is>
      </c>
      <c r="E19" s="24" t="inlineStr">
        <is>
          <t>WNBA</t>
        </is>
      </c>
      <c r="F19" s="24" t="inlineStr">
        <is>
          <t>Connecticut Sun</t>
        </is>
      </c>
      <c r="G19" s="24" t="inlineStr">
        <is>
          <t>Dallas Wings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-488</v>
      </c>
      <c r="M19" s="27" t="n">
        <v>1.204918</v>
      </c>
      <c r="N19" s="28" t="n">
        <v>0.829932</v>
      </c>
      <c r="O19" s="28" t="n">
        <v>0.758559</v>
      </c>
      <c r="P19" s="28" t="n"/>
      <c r="Q19" s="28" t="n">
        <v>-0.07137300000000001</v>
      </c>
      <c r="R19" s="26" t="n">
        <v>0</v>
      </c>
      <c r="S19" s="29" t="n">
        <v>2</v>
      </c>
      <c r="T19" s="24" t="inlineStr">
        <is>
          <t>wnba-elo-trend-lr-v4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63</v>
      </c>
      <c r="X19" s="26" t="n">
        <v>83</v>
      </c>
      <c r="Y19" s="25" t="n"/>
      <c r="Z19" s="26" t="n"/>
      <c r="AA19" s="28" t="n"/>
      <c r="AB19" s="28" t="n"/>
      <c r="AC19" s="30" t="n">
        <v>0.4098</v>
      </c>
      <c r="AD19" s="24" t="inlineStr">
        <is>
          <t>2026-08-03T02:34:11.555126Z</t>
        </is>
      </c>
      <c r="AE19" s="31" t="inlineStr">
        <is>
          <t>Learned LR call at threshold 0.5001; executable ask 0.8300 (aec-wnba-conn-dal-2026-08-02); model edge vs ask -0.0714. NOTE: NO_CALL_AVAILABILITY_PLAYER_UNMAPPED unavailable for this game — defaulted to neutral, other features used normally.</t>
        </is>
      </c>
      <c r="AF19" s="31" t="inlineStr">
        <is>
          <t>Learned model; shadow-qualified via operator override.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wnba-con</t>
        </is>
      </c>
      <c r="AQ19" s="24" t="inlineStr">
        <is>
          <t>Connecticut Sun</t>
        </is>
      </c>
      <c r="AR19" s="24" t="inlineStr">
        <is>
          <t>Connecticut Sun</t>
        </is>
      </c>
      <c r="AS19" s="24" t="inlineStr">
        <is>
          <t>wnba-dal</t>
        </is>
      </c>
      <c r="AT19" s="24" t="inlineStr">
        <is>
          <t>Dallas Wings</t>
        </is>
      </c>
      <c r="AU19" s="24" t="inlineStr">
        <is>
          <t>Dallas Wings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7afd5274214b58b7efd7f7febc7be3ab33b92351cda5cc6403c0a39faea0cc8c</t>
        </is>
      </c>
      <c r="BB19" s="24" t="inlineStr">
        <is>
          <t>learned_lr</t>
        </is>
      </c>
      <c r="BC19" s="24" t="inlineStr">
        <is>
          <t>wnba-elo-trend-lr-v4</t>
        </is>
      </c>
      <c r="BD19" s="24" t="inlineStr">
        <is>
          <t>7afd5274214b58b7efd7f7febc7be3ab33b92351cda5cc6403c0a39faea0cc8c</t>
        </is>
      </c>
      <c r="BE19" s="24" t="inlineStr">
        <is>
          <t>9c0c7cfe02317de7</t>
        </is>
      </c>
      <c r="BF19" s="24" t="inlineStr">
        <is>
          <t>1</t>
        </is>
      </c>
      <c r="BG19" s="24" t="inlineStr">
        <is>
          <t>wnba-elo-trend-lr-v4</t>
        </is>
      </c>
      <c r="BH19" s="24" t="inlineStr">
        <is>
          <t>2026-08-02T19:27:40.019420Z</t>
        </is>
      </c>
      <c r="BI19" s="24" t="inlineStr">
        <is>
          <t>["same_event","same_team_same_day","same_league_same_day"]</t>
        </is>
      </c>
      <c r="BJ19" s="25" t="n"/>
      <c r="BK19" s="26" t="n">
        <v>-488</v>
      </c>
      <c r="BL19" s="27" t="n">
        <v>1.204918</v>
      </c>
      <c r="BM19" s="28" t="n">
        <v>0.829932</v>
      </c>
      <c r="BN19" s="28" t="n">
        <v>0.821782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0.8648169599</t>
        </is>
      </c>
      <c r="CD19" s="24" t="inlineStr">
        <is>
          <t>-2.14749</t>
        </is>
      </c>
      <c r="CE19" s="24" t="n"/>
      <c r="CF19" s="24" t="n"/>
      <c r="CG19" s="24" t="n"/>
      <c r="CH19" s="24" t="n"/>
      <c r="CI19" s="24" t="inlineStr">
        <is>
          <t>NO_CALL_AVAILABILITY_PLAYER_UNMAPPED</t>
        </is>
      </c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inlineStr">
        <is>
          <t>0.758559</t>
        </is>
      </c>
      <c r="CS19" s="24" t="inlineStr">
        <is>
          <t>False</t>
        </is>
      </c>
    </row>
    <row r="20" ht="36" customHeight="1">
      <c r="A20" s="24" t="inlineStr">
        <is>
          <t>906bbbda05864026</t>
        </is>
      </c>
      <c r="B20" s="24" t="inlineStr">
        <is>
          <t>2026-08-02T23:14:34.350495Z</t>
        </is>
      </c>
      <c r="C20" s="24" t="inlineStr">
        <is>
          <t>2026-08-02T20:30:00-0400</t>
        </is>
      </c>
      <c r="D20" s="24" t="inlineStr">
        <is>
          <t>401857110</t>
        </is>
      </c>
      <c r="E20" s="24" t="inlineStr">
        <is>
          <t>WNBA</t>
        </is>
      </c>
      <c r="F20" s="24" t="inlineStr">
        <is>
          <t>Toronto Tempo</t>
        </is>
      </c>
      <c r="G20" s="24" t="inlineStr">
        <is>
          <t>Golden State Valkyries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-733</v>
      </c>
      <c r="M20" s="27" t="n">
        <v>1.136426</v>
      </c>
      <c r="N20" s="28" t="n">
        <v>0.879952</v>
      </c>
      <c r="O20" s="28" t="n">
        <v>0.772803</v>
      </c>
      <c r="P20" s="28" t="n"/>
      <c r="Q20" s="28" t="n">
        <v>-0.107149</v>
      </c>
      <c r="R20" s="26" t="n">
        <v>0</v>
      </c>
      <c r="S20" s="29" t="n">
        <v>2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79</v>
      </c>
      <c r="X20" s="26" t="n">
        <v>96</v>
      </c>
      <c r="Y20" s="25" t="n"/>
      <c r="Z20" s="26" t="n"/>
      <c r="AA20" s="28" t="n"/>
      <c r="AB20" s="28" t="n"/>
      <c r="AC20" s="30" t="n">
        <v>0.2729</v>
      </c>
      <c r="AD20" s="24" t="inlineStr">
        <is>
          <t>2026-08-03T02:34:27.042682Z</t>
        </is>
      </c>
      <c r="AE20" s="31" t="inlineStr">
        <is>
          <t>Learned LR call at threshold 0.5001; executable ask 0.8800 (aec-wnba-tor-gsv-2026-08-02); model edge vs ask -0.1072. NOTE: NO_CALL_AVAILABILITY_PLAYER_UNMAPPED unavailable for this game — defaulted to neutral, other features used normally.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wnba-tor</t>
        </is>
      </c>
      <c r="AQ20" s="24" t="inlineStr">
        <is>
          <t>Toronto Tempo</t>
        </is>
      </c>
      <c r="AR20" s="24" t="inlineStr">
        <is>
          <t>Toronto Tempo</t>
        </is>
      </c>
      <c r="AS20" s="24" t="inlineStr">
        <is>
          <t>wnba-gsv</t>
        </is>
      </c>
      <c r="AT20" s="24" t="inlineStr">
        <is>
          <t>Golden State Valkyries</t>
        </is>
      </c>
      <c r="AU20" s="24" t="inlineStr">
        <is>
          <t>Golden State Valkyries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c1ef9fc1d2a3714a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2026-08-02T23:13:58.588337Z</t>
        </is>
      </c>
      <c r="BI20" s="24" t="inlineStr">
        <is>
          <t>["same_event","same_team_same_day","same_league_same_day"]</t>
        </is>
      </c>
      <c r="BJ20" s="25" t="n"/>
      <c r="BK20" s="26" t="n">
        <v>-733</v>
      </c>
      <c r="BL20" s="27" t="n">
        <v>1.136426</v>
      </c>
      <c r="BM20" s="28" t="n">
        <v>0.879952</v>
      </c>
      <c r="BN20" s="28" t="n">
        <v>0.871287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0.8973864278</t>
        </is>
      </c>
      <c r="CD20" s="24" t="inlineStr">
        <is>
          <t>2.248193</t>
        </is>
      </c>
      <c r="CE20" s="24" t="n"/>
      <c r="CF20" s="24" t="n"/>
      <c r="CG20" s="24" t="n"/>
      <c r="CH20" s="24" t="n"/>
      <c r="CI20" s="24" t="inlineStr">
        <is>
          <t>NO_CALL_AVAILABILITY_PLAYER_UNMAPPED</t>
        </is>
      </c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inlineStr">
        <is>
          <t>0.772803</t>
        </is>
      </c>
      <c r="CS20" s="24" t="inlineStr">
        <is>
          <t>False</t>
        </is>
      </c>
    </row>
    <row r="21" ht="36" customHeight="1">
      <c r="A21" s="24" t="inlineStr">
        <is>
          <t>07ad66fff4614b87</t>
        </is>
      </c>
      <c r="B21" s="24" t="inlineStr">
        <is>
          <t>2026-08-03T22:56:28.208831Z</t>
        </is>
      </c>
      <c r="C21" s="24" t="inlineStr">
        <is>
          <t>2026-08-03T19:00:00-0400</t>
        </is>
      </c>
      <c r="D21" s="24" t="inlineStr">
        <is>
          <t>401857111</t>
        </is>
      </c>
      <c r="E21" s="24" t="inlineStr">
        <is>
          <t>WNBA</t>
        </is>
      </c>
      <c r="F21" s="24" t="inlineStr">
        <is>
          <t>Las Vegas Aces</t>
        </is>
      </c>
      <c r="G21" s="24" t="inlineStr">
        <is>
          <t>Atlanta Dream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-127</v>
      </c>
      <c r="M21" s="27" t="n">
        <v>1.787402</v>
      </c>
      <c r="N21" s="28" t="n">
        <v>0.5594710000000001</v>
      </c>
      <c r="O21" s="28" t="n">
        <v>0.51407</v>
      </c>
      <c r="P21" s="28" t="n"/>
      <c r="Q21" s="28" t="n">
        <v>-0.045401</v>
      </c>
      <c r="R21" s="26" t="n">
        <v>0</v>
      </c>
      <c r="S21" s="29" t="n">
        <v>1</v>
      </c>
      <c r="T21" s="24" t="inlineStr">
        <is>
          <t>wnba-elo-trend-lr-v4</t>
        </is>
      </c>
      <c r="U21" s="24" t="inlineStr">
        <is>
          <t>settled</t>
        </is>
      </c>
      <c r="V21" s="24" t="inlineStr">
        <is>
          <t>loss</t>
        </is>
      </c>
      <c r="W21" s="26" t="n">
        <v>109</v>
      </c>
      <c r="X21" s="26" t="n">
        <v>87</v>
      </c>
      <c r="Y21" s="25" t="n"/>
      <c r="Z21" s="26" t="n"/>
      <c r="AA21" s="28" t="n"/>
      <c r="AB21" s="28" t="n"/>
      <c r="AC21" s="30" t="n">
        <v>-1</v>
      </c>
      <c r="AD21" s="24" t="inlineStr">
        <is>
          <t>2026-08-04T01:58:38.949266Z</t>
        </is>
      </c>
      <c r="AE21" s="31" t="inlineStr">
        <is>
          <t>Learned LR call at threshold 0.5001; executable ask 0.5600 (aec-wnba-lv-atl-2026-08-03); model edge vs ask -0.0459.</t>
        </is>
      </c>
      <c r="AF21" s="31" t="inlineStr">
        <is>
          <t>Learned model; shadow-qualified via operator override.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wnba-lva</t>
        </is>
      </c>
      <c r="AQ21" s="24" t="inlineStr">
        <is>
          <t>Las Vegas Aces</t>
        </is>
      </c>
      <c r="AR21" s="24" t="inlineStr">
        <is>
          <t>Las Vegas Aces</t>
        </is>
      </c>
      <c r="AS21" s="24" t="inlineStr">
        <is>
          <t>wnba-atl</t>
        </is>
      </c>
      <c r="AT21" s="24" t="inlineStr">
        <is>
          <t>Atlanta Dream</t>
        </is>
      </c>
      <c r="AU21" s="24" t="inlineStr">
        <is>
          <t>Atlanta Dream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7afd5274214b58b7efd7f7febc7be3ab33b92351cda5cc6403c0a39faea0cc8c</t>
        </is>
      </c>
      <c r="BB21" s="24" t="inlineStr">
        <is>
          <t>learned_lr</t>
        </is>
      </c>
      <c r="BC21" s="24" t="inlineStr">
        <is>
          <t>wnba-elo-trend-lr-v4</t>
        </is>
      </c>
      <c r="BD21" s="24" t="inlineStr">
        <is>
          <t>7afd5274214b58b7efd7f7febc7be3ab33b92351cda5cc6403c0a39faea0cc8c</t>
        </is>
      </c>
      <c r="BE21" s="24" t="inlineStr">
        <is>
          <t>b2ef49b6e91b5973</t>
        </is>
      </c>
      <c r="BF21" s="24" t="inlineStr">
        <is>
          <t>1</t>
        </is>
      </c>
      <c r="BG21" s="24" t="inlineStr">
        <is>
          <t>wnba-elo-trend-lr-v4</t>
        </is>
      </c>
      <c r="BH21" s="24" t="inlineStr">
        <is>
          <t>2026-08-03T22:56:02.794073Z</t>
        </is>
      </c>
      <c r="BI21" s="24" t="inlineStr">
        <is>
          <t>["same_event","same_team_same_day","same_league_same_day"]</t>
        </is>
      </c>
      <c r="BJ21" s="25" t="n"/>
      <c r="BK21" s="26" t="n">
        <v>-127</v>
      </c>
      <c r="BL21" s="27" t="n">
        <v>1.787402</v>
      </c>
      <c r="BM21" s="28" t="n">
        <v>0.5594710000000001</v>
      </c>
      <c r="BN21" s="28" t="n">
        <v>0.554455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0.5210843216</t>
        </is>
      </c>
      <c r="CD21" s="24" t="inlineStr">
        <is>
          <t>2.457049</t>
        </is>
      </c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inlineStr">
        <is>
          <t>0.51407</t>
        </is>
      </c>
      <c r="CS21" s="24" t="inlineStr">
        <is>
          <t>False</t>
        </is>
      </c>
    </row>
    <row r="22" ht="36" customHeight="1">
      <c r="A22" s="24" t="inlineStr">
        <is>
          <t>2580cab598964775</t>
        </is>
      </c>
      <c r="B22" s="24" t="inlineStr">
        <is>
          <t>2026-08-03T22:56:28.208831Z</t>
        </is>
      </c>
      <c r="C22" s="24" t="inlineStr">
        <is>
          <t>2026-08-03T19:00:00-0400</t>
        </is>
      </c>
      <c r="D22" s="24" t="inlineStr">
        <is>
          <t>401857112</t>
        </is>
      </c>
      <c r="E22" s="24" t="inlineStr">
        <is>
          <t>WNBA</t>
        </is>
      </c>
      <c r="F22" s="24" t="inlineStr">
        <is>
          <t>Seattle Storm</t>
        </is>
      </c>
      <c r="G22" s="24" t="inlineStr">
        <is>
          <t>New York Liberty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-300</v>
      </c>
      <c r="M22" s="27" t="n">
        <v>1.333333</v>
      </c>
      <c r="N22" s="28" t="n">
        <v>0.75</v>
      </c>
      <c r="O22" s="28" t="n">
        <v>0.668225</v>
      </c>
      <c r="P22" s="28" t="n"/>
      <c r="Q22" s="28" t="n">
        <v>-0.081775</v>
      </c>
      <c r="R22" s="26" t="n">
        <v>0</v>
      </c>
      <c r="S22" s="29" t="n">
        <v>1.75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83</v>
      </c>
      <c r="X22" s="26" t="n">
        <v>95</v>
      </c>
      <c r="Y22" s="25" t="n"/>
      <c r="Z22" s="26" t="n"/>
      <c r="AA22" s="28" t="n"/>
      <c r="AB22" s="28" t="n"/>
      <c r="AC22" s="30" t="n">
        <v>0.5833</v>
      </c>
      <c r="AD22" s="24" t="inlineStr">
        <is>
          <t>2026-08-04T01:58:39.249876Z</t>
        </is>
      </c>
      <c r="AE22" s="31" t="inlineStr">
        <is>
          <t>Learned LR call at threshold 0.5001; executable ask 0.7500 (aec-wnba-sea-ny-2026-08-03); model edge vs ask -0.0818.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wnba-sea</t>
        </is>
      </c>
      <c r="AQ22" s="24" t="inlineStr">
        <is>
          <t>Seattle Storm</t>
        </is>
      </c>
      <c r="AR22" s="24" t="inlineStr">
        <is>
          <t>Seattle Storm</t>
        </is>
      </c>
      <c r="AS22" s="24" t="inlineStr">
        <is>
          <t>wnba-nyl</t>
        </is>
      </c>
      <c r="AT22" s="24" t="inlineStr">
        <is>
          <t>New York Liberty</t>
        </is>
      </c>
      <c r="AU22" s="24" t="inlineStr">
        <is>
          <t>New York Liberty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learned_lr</t>
        </is>
      </c>
      <c r="BC22" s="24" t="inlineStr">
        <is>
          <t>wnba-elo-trend-lr-v4</t>
        </is>
      </c>
      <c r="BD22" s="24" t="inlineStr">
        <is>
          <t>7afd5274214b58b7efd7f7febc7be3ab33b92351cda5cc6403c0a39faea0cc8c</t>
        </is>
      </c>
      <c r="BE22" s="24" t="inlineStr">
        <is>
          <t>a7a2cf055acd172e</t>
        </is>
      </c>
      <c r="BF22" s="24" t="inlineStr">
        <is>
          <t>1</t>
        </is>
      </c>
      <c r="BG22" s="24" t="inlineStr">
        <is>
          <t>wnba-elo-trend-lr-v4</t>
        </is>
      </c>
      <c r="BH22" s="24" t="inlineStr">
        <is>
          <t>2026-08-03T22:56:03.448712Z</t>
        </is>
      </c>
      <c r="BI22" s="24" t="inlineStr">
        <is>
          <t>["same_event","same_team_same_day","same_league_same_day"]</t>
        </is>
      </c>
      <c r="BJ22" s="25" t="n"/>
      <c r="BK22" s="26" t="n">
        <v>-300</v>
      </c>
      <c r="BL22" s="27" t="n">
        <v>1.333333</v>
      </c>
      <c r="BM22" s="28" t="n">
        <v>0.75</v>
      </c>
      <c r="BN22" s="28" t="n">
        <v>0.742574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0.826825309</t>
        </is>
      </c>
      <c r="CD22" s="24" t="inlineStr">
        <is>
          <t>-1.349631</t>
        </is>
      </c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inlineStr">
        <is>
          <t>0.668225</t>
        </is>
      </c>
      <c r="CS22" s="24" t="inlineStr">
        <is>
          <t>False</t>
        </is>
      </c>
    </row>
    <row r="23" ht="36" customHeight="1">
      <c r="A23" s="24" t="inlineStr">
        <is>
          <t>13d3087309254059</t>
        </is>
      </c>
      <c r="B23" s="24" t="inlineStr">
        <is>
          <t>2026-08-03T22:56:28.208831Z</t>
        </is>
      </c>
      <c r="C23" s="24" t="inlineStr">
        <is>
          <t>2026-08-03T21:00:00-0400</t>
        </is>
      </c>
      <c r="D23" s="24" t="inlineStr">
        <is>
          <t>401857113</t>
        </is>
      </c>
      <c r="E23" s="24" t="inlineStr">
        <is>
          <t>WNBA</t>
        </is>
      </c>
      <c r="F23" s="24" t="inlineStr">
        <is>
          <t>Phoenix Mercury</t>
        </is>
      </c>
      <c r="G23" s="24" t="inlineStr">
        <is>
          <t>Chicago Sky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117</v>
      </c>
      <c r="M23" s="27" t="n">
        <v>2.17</v>
      </c>
      <c r="N23" s="28" t="n">
        <v>0.460829</v>
      </c>
      <c r="O23" s="28" t="n">
        <v>0.580877</v>
      </c>
      <c r="P23" s="28" t="n"/>
      <c r="Q23" s="28" t="n">
        <v>0.120048</v>
      </c>
      <c r="R23" s="26" t="n">
        <v>83</v>
      </c>
      <c r="S23" s="29" t="n">
        <v>1.25</v>
      </c>
      <c r="T23" s="24" t="inlineStr">
        <is>
          <t>wnba-elo-trend-lr-v4</t>
        </is>
      </c>
      <c r="U23" s="24" t="inlineStr">
        <is>
          <t>settled</t>
        </is>
      </c>
      <c r="V23" s="24" t="inlineStr">
        <is>
          <t>loss</t>
        </is>
      </c>
      <c r="W23" s="26" t="n">
        <v>106</v>
      </c>
      <c r="X23" s="26" t="n">
        <v>101</v>
      </c>
      <c r="Y23" s="25" t="n"/>
      <c r="Z23" s="26" t="n"/>
      <c r="AA23" s="28" t="n"/>
      <c r="AB23" s="28" t="n"/>
      <c r="AC23" s="30" t="n">
        <v>-1.25</v>
      </c>
      <c r="AD23" s="24" t="inlineStr">
        <is>
          <t>2026-08-04T03:57:57.521400Z</t>
        </is>
      </c>
      <c r="AE23" s="31" t="inlineStr">
        <is>
          <t>Learned LR call at threshold 0.5001; executable ask 0.4600 (aec-wnba-phx-chi-2026-08-03); model edge vs ask +0.1209. NOTE: NO_CALL_AVAILABILITY_PLAYER_UNMAPPED unavailable for this game — defaulted to neutral, other features used normally.</t>
        </is>
      </c>
      <c r="AF23" s="31" t="inlineStr">
        <is>
          <t>Learned model; shadow-qualified via operator override.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wnba-phx</t>
        </is>
      </c>
      <c r="AQ23" s="24" t="inlineStr">
        <is>
          <t>Phoenix Mercury</t>
        </is>
      </c>
      <c r="AR23" s="24" t="inlineStr">
        <is>
          <t>Phoenix Mercury</t>
        </is>
      </c>
      <c r="AS23" s="24" t="inlineStr">
        <is>
          <t>wnba-chi</t>
        </is>
      </c>
      <c r="AT23" s="24" t="inlineStr">
        <is>
          <t>Chicago Sky</t>
        </is>
      </c>
      <c r="AU23" s="24" t="inlineStr">
        <is>
          <t>Chicago Sky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7afd5274214b58b7efd7f7febc7be3ab33b92351cda5cc6403c0a39faea0cc8c</t>
        </is>
      </c>
      <c r="BB23" s="24" t="inlineStr">
        <is>
          <t>learned_lr</t>
        </is>
      </c>
      <c r="BC23" s="24" t="inlineStr">
        <is>
          <t>wnba-elo-trend-lr-v4</t>
        </is>
      </c>
      <c r="BD23" s="24" t="inlineStr">
        <is>
          <t>7afd5274214b58b7efd7f7febc7be3ab33b92351cda5cc6403c0a39faea0cc8c</t>
        </is>
      </c>
      <c r="BE23" s="24" t="inlineStr">
        <is>
          <t>7a2885907d6a5230</t>
        </is>
      </c>
      <c r="BF23" s="24" t="inlineStr">
        <is>
          <t>1</t>
        </is>
      </c>
      <c r="BG23" s="24" t="inlineStr">
        <is>
          <t>wnba-elo-trend-lr-v4</t>
        </is>
      </c>
      <c r="BH23" s="24" t="inlineStr">
        <is>
          <t>2026-08-03T22:56:03.908601Z</t>
        </is>
      </c>
      <c r="BI23" s="24" t="inlineStr">
        <is>
          <t>["same_event","same_team_same_day","same_league_same_day"]</t>
        </is>
      </c>
      <c r="BJ23" s="25" t="n"/>
      <c r="BK23" s="26" t="n">
        <v>117</v>
      </c>
      <c r="BL23" s="27" t="n">
        <v>2.17</v>
      </c>
      <c r="BM23" s="28" t="n">
        <v>0.460829</v>
      </c>
      <c r="BN23" s="28" t="n">
        <v>0.455446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0.6165118128</t>
        </is>
      </c>
      <c r="CD23" s="24" t="inlineStr">
        <is>
          <t>3.666063</t>
        </is>
      </c>
      <c r="CE23" s="24" t="n"/>
      <c r="CF23" s="24" t="n"/>
      <c r="CG23" s="24" t="n"/>
      <c r="CH23" s="24" t="n"/>
      <c r="CI23" s="24" t="inlineStr">
        <is>
          <t>NO_CALL_AVAILABILITY_PLAYER_UNMAPPED</t>
        </is>
      </c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inlineStr">
        <is>
          <t>0.580877</t>
        </is>
      </c>
      <c r="CS23" s="24" t="inlineStr">
        <is>
          <t>True</t>
        </is>
      </c>
    </row>
    <row r="24" ht="36" customHeight="1">
      <c r="A24" s="24" t="inlineStr">
        <is>
          <t>9fb18a9d55ab4afe</t>
        </is>
      </c>
      <c r="B24" s="24" t="inlineStr">
        <is>
          <t>2026-08-05T01:07:48.070985Z</t>
        </is>
      </c>
      <c r="C24" s="24" t="inlineStr">
        <is>
          <t>2026-08-04T22:00:00-0400</t>
        </is>
      </c>
      <c r="D24" s="24" t="inlineStr">
        <is>
          <t>401857114</t>
        </is>
      </c>
      <c r="E24" s="24" t="inlineStr">
        <is>
          <t>WNBA</t>
        </is>
      </c>
      <c r="F24" s="24" t="inlineStr">
        <is>
          <t>Toronto Tempo</t>
        </is>
      </c>
      <c r="G24" s="24" t="inlineStr">
        <is>
          <t>Golden State Valkyries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0.774468</v>
      </c>
      <c r="P24" s="28" t="n"/>
      <c r="Q24" s="28" t="n">
        <v>-0.085476</v>
      </c>
      <c r="R24" s="26" t="n">
        <v>0</v>
      </c>
      <c r="S24" s="29" t="n">
        <v>2</v>
      </c>
      <c r="T24" s="24" t="inlineStr">
        <is>
          <t>wnba-elo-trend-lr-v4</t>
        </is>
      </c>
      <c r="U24" s="24" t="inlineStr">
        <is>
          <t>settled</t>
        </is>
      </c>
      <c r="V24" s="24" t="inlineStr">
        <is>
          <t>win</t>
        </is>
      </c>
      <c r="W24" s="26" t="n">
        <v>82</v>
      </c>
      <c r="X24" s="26" t="n">
        <v>92</v>
      </c>
      <c r="Y24" s="25" t="n"/>
      <c r="Z24" s="26" t="n"/>
      <c r="AA24" s="28" t="n"/>
      <c r="AB24" s="28" t="n"/>
      <c r="AC24" s="30" t="n">
        <v>0.3257</v>
      </c>
      <c r="AD24" s="24" t="inlineStr">
        <is>
          <t>2026-08-05T04:21:32.559583Z</t>
        </is>
      </c>
      <c r="AE24" s="31" t="inlineStr">
        <is>
          <t>Learned LR call at threshold 0.5001; executable ask 0.8600 (aec-wnba-tor-gsv-2026-08-04); model edge vs ask -0.0855.</t>
        </is>
      </c>
      <c r="AF24" s="31" t="inlineStr">
        <is>
          <t>Learned model; shadow-qualified via operator override.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wnba-tor</t>
        </is>
      </c>
      <c r="AQ24" s="24" t="inlineStr">
        <is>
          <t>Toronto Tempo</t>
        </is>
      </c>
      <c r="AR24" s="24" t="inlineStr">
        <is>
          <t>Toronto Tempo</t>
        </is>
      </c>
      <c r="AS24" s="24" t="inlineStr">
        <is>
          <t>wnba-gsv</t>
        </is>
      </c>
      <c r="AT24" s="24" t="inlineStr">
        <is>
          <t>Golden State Valkyries</t>
        </is>
      </c>
      <c r="AU24" s="24" t="inlineStr">
        <is>
          <t>Golden State Valkyries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7afd5274214b58b7efd7f7febc7be3ab33b92351cda5cc6403c0a39faea0cc8c</t>
        </is>
      </c>
      <c r="BB24" s="24" t="inlineStr">
        <is>
          <t>learned_lr</t>
        </is>
      </c>
      <c r="BC24" s="24" t="inlineStr">
        <is>
          <t>wnba-elo-trend-lr-v4</t>
        </is>
      </c>
      <c r="BD24" s="24" t="inlineStr">
        <is>
          <t>7afd5274214b58b7efd7f7febc7be3ab33b92351cda5cc6403c0a39faea0cc8c</t>
        </is>
      </c>
      <c r="BE24" s="24" t="inlineStr">
        <is>
          <t>fb46ae94639bf9af</t>
        </is>
      </c>
      <c r="BF24" s="24" t="inlineStr">
        <is>
          <t>1</t>
        </is>
      </c>
      <c r="BG24" s="24" t="inlineStr">
        <is>
          <t>wnba-elo-trend-lr-v4</t>
        </is>
      </c>
      <c r="BH24" s="24" t="inlineStr">
        <is>
          <t>2026-08-05T01:07:13.594446Z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>
        <v>0.851485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0.9026326565</t>
        </is>
      </c>
      <c r="CD24" s="24" t="inlineStr">
        <is>
          <t>2.972439</t>
        </is>
      </c>
      <c r="CE24" s="24" t="n"/>
      <c r="CF24" s="24" t="n"/>
      <c r="CG24" s="24" t="n"/>
      <c r="CH24" s="24" t="n"/>
      <c r="CI24" s="24" t="n"/>
      <c r="CJ24" s="24" t="inlineStr">
        <is>
          <t>1.230079</t>
        </is>
      </c>
      <c r="CK24" s="24" t="n"/>
      <c r="CL24" s="24" t="n"/>
      <c r="CM24" s="24" t="n"/>
      <c r="CN24" s="24" t="n"/>
      <c r="CO24" s="24" t="n"/>
      <c r="CP24" s="24" t="n"/>
      <c r="CQ24" s="24" t="n"/>
      <c r="CR24" s="24" t="inlineStr">
        <is>
          <t>0.774468</t>
        </is>
      </c>
      <c r="CS24" s="24" t="inlineStr">
        <is>
          <t>False</t>
        </is>
      </c>
    </row>
    <row r="25" ht="36" customHeight="1">
      <c r="A25" s="24" t="inlineStr">
        <is>
          <t>fcb554e501db41f7</t>
        </is>
      </c>
      <c r="B25" s="24" t="inlineStr">
        <is>
          <t>2026-08-05T21:01:20.386769Z</t>
        </is>
      </c>
      <c r="C25" s="24" t="inlineStr">
        <is>
          <t>2026-08-05T19:00:00-0400</t>
        </is>
      </c>
      <c r="D25" s="24" t="inlineStr">
        <is>
          <t>401857115</t>
        </is>
      </c>
      <c r="E25" s="24" t="inlineStr">
        <is>
          <t>WNBA</t>
        </is>
      </c>
      <c r="F25" s="24" t="inlineStr">
        <is>
          <t>Phoenix Mercury</t>
        </is>
      </c>
      <c r="G25" s="24" t="inlineStr">
        <is>
          <t>Atlanta Dream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-233</v>
      </c>
      <c r="M25" s="27" t="n">
        <v>1.429185</v>
      </c>
      <c r="N25" s="28" t="n">
        <v>0.6997</v>
      </c>
      <c r="O25" s="28" t="n">
        <v>0.660664</v>
      </c>
      <c r="P25" s="28" t="n"/>
      <c r="Q25" s="28" t="n">
        <v>-0.039036</v>
      </c>
      <c r="R25" s="26" t="n">
        <v>4</v>
      </c>
      <c r="S25" s="29" t="n">
        <v>0</v>
      </c>
      <c r="T25" s="24" t="inlineStr">
        <is>
          <t>wnba-elo-trend-lr-v4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82</v>
      </c>
      <c r="X25" s="26" t="n">
        <v>96</v>
      </c>
      <c r="Y25" s="25" t="n"/>
      <c r="Z25" s="26" t="n"/>
      <c r="AA25" s="28" t="n"/>
      <c r="AB25" s="28" t="n"/>
      <c r="AC25" s="30" t="n">
        <v>0</v>
      </c>
      <c r="AD25" s="24" t="inlineStr">
        <is>
          <t>2026-08-06T03:25:55.924337Z</t>
        </is>
      </c>
      <c r="AE25" s="31" t="inlineStr">
        <is>
          <t>Learned LR call at threshold 0.5001; executable ask 0.7000 (aec-wnba-phx-atl-2026-08-05); model edge vs ask -0.0393.</t>
        </is>
      </c>
      <c r="AF25" s="31" t="inlineStr">
        <is>
          <t>Learned model; shadow-qualified via operator override.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NO_CALL_WINNER_OVERVALUED</t>
        </is>
      </c>
      <c r="AP25" s="24" t="inlineStr">
        <is>
          <t>wnba-phx</t>
        </is>
      </c>
      <c r="AQ25" s="24" t="inlineStr">
        <is>
          <t>Phoenix Mercury</t>
        </is>
      </c>
      <c r="AR25" s="24" t="inlineStr">
        <is>
          <t>Phoenix Mercury</t>
        </is>
      </c>
      <c r="AS25" s="24" t="inlineStr">
        <is>
          <t>wnba-atl</t>
        </is>
      </c>
      <c r="AT25" s="24" t="inlineStr">
        <is>
          <t>Atlanta Dream</t>
        </is>
      </c>
      <c r="AU25" s="24" t="inlineStr">
        <is>
          <t>Atlanta Dream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7afd5274214b58b7efd7f7febc7be3ab33b92351cda5cc6403c0a39faea0cc8c</t>
        </is>
      </c>
      <c r="BB25" s="24" t="inlineStr">
        <is>
          <t>learned_lr</t>
        </is>
      </c>
      <c r="BC25" s="24" t="inlineStr">
        <is>
          <t>wnba-elo-trend-lr-v4</t>
        </is>
      </c>
      <c r="BD25" s="24" t="inlineStr">
        <is>
          <t>7afd5274214b58b7efd7f7febc7be3ab33b92351cda5cc6403c0a39faea0cc8c</t>
        </is>
      </c>
      <c r="BE25" s="24" t="inlineStr">
        <is>
          <t>db4cf2e6209fa446</t>
        </is>
      </c>
      <c r="BF25" s="24" t="inlineStr">
        <is>
          <t>1</t>
        </is>
      </c>
      <c r="BG25" s="24" t="inlineStr">
        <is>
          <t>wnba-elo-trend-lr-v4</t>
        </is>
      </c>
      <c r="BH25" s="24" t="inlineStr">
        <is>
          <t>2026-08-05T21:00:50.745854Z</t>
        </is>
      </c>
      <c r="BI25" s="24" t="inlineStr">
        <is>
          <t>["same_event","same_team_same_day","same_league_same_day"]</t>
        </is>
      </c>
      <c r="BJ25" s="25" t="n"/>
      <c r="BK25" s="26" t="n">
        <v>-233</v>
      </c>
      <c r="BL25" s="27" t="n">
        <v>1.429185</v>
      </c>
      <c r="BM25" s="28" t="n">
        <v>0.6997</v>
      </c>
      <c r="BN25" s="28" t="n">
        <v>0.693069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0.708542691</t>
        </is>
      </c>
      <c r="CD25" s="24" t="inlineStr">
        <is>
          <t>-1.788883</t>
        </is>
      </c>
      <c r="CE25" s="24" t="n"/>
      <c r="CF25" s="24" t="n"/>
      <c r="CG25" s="24" t="n"/>
      <c r="CH25" s="24" t="n"/>
      <c r="CI25" s="24" t="n"/>
      <c r="CJ25" s="24" t="inlineStr">
        <is>
          <t>-1.7391</t>
        </is>
      </c>
      <c r="CK25" s="24" t="n"/>
      <c r="CL25" s="24" t="n"/>
      <c r="CM25" s="24" t="n"/>
      <c r="CN25" s="24" t="n"/>
      <c r="CO25" s="24" t="n"/>
      <c r="CP25" s="24" t="n"/>
      <c r="CQ25" s="24" t="n"/>
      <c r="CR25" s="24" t="inlineStr">
        <is>
          <t>0.660664</t>
        </is>
      </c>
      <c r="CS25" s="24" t="inlineStr">
        <is>
          <t>False</t>
        </is>
      </c>
    </row>
    <row r="26" ht="36" customHeight="1">
      <c r="A26" s="24" t="inlineStr">
        <is>
          <t>756ccd778ac2469e</t>
        </is>
      </c>
      <c r="B26" s="24" t="inlineStr">
        <is>
          <t>2026-08-05T21:01:20.386769Z</t>
        </is>
      </c>
      <c r="C26" s="24" t="inlineStr">
        <is>
          <t>2026-08-05T19:00:00-0400</t>
        </is>
      </c>
      <c r="D26" s="24" t="inlineStr">
        <is>
          <t>401857116</t>
        </is>
      </c>
      <c r="E26" s="24" t="inlineStr">
        <is>
          <t>WNBA</t>
        </is>
      </c>
      <c r="F26" s="24" t="inlineStr">
        <is>
          <t>Seattle Storm</t>
        </is>
      </c>
      <c r="G26" s="24" t="inlineStr">
        <is>
          <t>New York Liberty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-335</v>
      </c>
      <c r="M26" s="27" t="n">
        <v>1.298507</v>
      </c>
      <c r="N26" s="28" t="n">
        <v>0.770115</v>
      </c>
      <c r="O26" s="28" t="n">
        <v>0.741322</v>
      </c>
      <c r="P26" s="28" t="n"/>
      <c r="Q26" s="28" t="n">
        <v>-0.028793</v>
      </c>
      <c r="R26" s="26" t="n">
        <v>9</v>
      </c>
      <c r="S26" s="29" t="n">
        <v>0</v>
      </c>
      <c r="T26" s="24" t="inlineStr">
        <is>
          <t>wnba-elo-trend-lr-v4</t>
        </is>
      </c>
      <c r="U26" s="24" t="inlineStr">
        <is>
          <t>settled</t>
        </is>
      </c>
      <c r="V26" s="24" t="inlineStr">
        <is>
          <t>win</t>
        </is>
      </c>
      <c r="W26" s="26" t="n">
        <v>86</v>
      </c>
      <c r="X26" s="26" t="n">
        <v>92</v>
      </c>
      <c r="Y26" s="25" t="n"/>
      <c r="Z26" s="26" t="n"/>
      <c r="AA26" s="28" t="n"/>
      <c r="AB26" s="28" t="n"/>
      <c r="AC26" s="30" t="n">
        <v>0</v>
      </c>
      <c r="AD26" s="24" t="inlineStr">
        <is>
          <t>2026-08-06T03:25:56.598669Z</t>
        </is>
      </c>
      <c r="AE26" s="31" t="inlineStr">
        <is>
          <t>Learned LR call at threshold 0.5001; executable ask 0.7700 (aec-wnba-sea-ny-2026-08-05); model edge vs ask -0.0287.</t>
        </is>
      </c>
      <c r="AF26" s="31" t="inlineStr">
        <is>
          <t>Learned model; shadow-qualified via operator override.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NO_CALL_WINNER_OVERVALUED</t>
        </is>
      </c>
      <c r="AP26" s="24" t="inlineStr">
        <is>
          <t>wnba-sea</t>
        </is>
      </c>
      <c r="AQ26" s="24" t="inlineStr">
        <is>
          <t>Seattle Storm</t>
        </is>
      </c>
      <c r="AR26" s="24" t="inlineStr">
        <is>
          <t>Seattle Storm</t>
        </is>
      </c>
      <c r="AS26" s="24" t="inlineStr">
        <is>
          <t>wnba-nyl</t>
        </is>
      </c>
      <c r="AT26" s="24" t="inlineStr">
        <is>
          <t>New York Liberty</t>
        </is>
      </c>
      <c r="AU26" s="24" t="inlineStr">
        <is>
          <t>New York Liberty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7afd5274214b58b7efd7f7febc7be3ab33b92351cda5cc6403c0a39faea0cc8c</t>
        </is>
      </c>
      <c r="BB26" s="24" t="inlineStr">
        <is>
          <t>learned_lr</t>
        </is>
      </c>
      <c r="BC26" s="24" t="inlineStr">
        <is>
          <t>wnba-elo-trend-lr-v4</t>
        </is>
      </c>
      <c r="BD26" s="24" t="inlineStr">
        <is>
          <t>7afd5274214b58b7efd7f7febc7be3ab33b92351cda5cc6403c0a39faea0cc8c</t>
        </is>
      </c>
      <c r="BE26" s="24" t="inlineStr">
        <is>
          <t>cbc087f3d2f12e27</t>
        </is>
      </c>
      <c r="BF26" s="24" t="inlineStr">
        <is>
          <t>1</t>
        </is>
      </c>
      <c r="BG26" s="24" t="inlineStr">
        <is>
          <t>wnba-elo-trend-lr-v4</t>
        </is>
      </c>
      <c r="BH26" s="24" t="inlineStr">
        <is>
          <t>2026-08-05T21:00:51.572136Z</t>
        </is>
      </c>
      <c r="BI26" s="24" t="inlineStr">
        <is>
          <t>["same_event","same_team_same_day","same_league_same_day"]</t>
        </is>
      </c>
      <c r="BJ26" s="25" t="n"/>
      <c r="BK26" s="26" t="n">
        <v>-335</v>
      </c>
      <c r="BL26" s="27" t="n">
        <v>1.298507</v>
      </c>
      <c r="BM26" s="28" t="n">
        <v>0.770115</v>
      </c>
      <c r="BN26" s="28" t="n">
        <v>0.7623760000000001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0.8394756417</t>
        </is>
      </c>
      <c r="CD26" s="24" t="inlineStr">
        <is>
          <t>0.315883</t>
        </is>
      </c>
      <c r="CE26" s="24" t="n"/>
      <c r="CF26" s="24" t="n"/>
      <c r="CG26" s="24" t="n"/>
      <c r="CH26" s="24" t="n"/>
      <c r="CI26" s="24" t="n"/>
      <c r="CJ26" s="24" t="inlineStr">
        <is>
          <t>1.520421</t>
        </is>
      </c>
      <c r="CK26" s="24" t="n"/>
      <c r="CL26" s="24" t="n"/>
      <c r="CM26" s="24" t="n"/>
      <c r="CN26" s="24" t="n"/>
      <c r="CO26" s="24" t="n"/>
      <c r="CP26" s="24" t="n"/>
      <c r="CQ26" s="24" t="n"/>
      <c r="CR26" s="24" t="inlineStr">
        <is>
          <t>0.741322</t>
        </is>
      </c>
      <c r="CS26" s="24" t="inlineStr">
        <is>
          <t>False</t>
        </is>
      </c>
    </row>
    <row r="27" ht="36" customHeight="1">
      <c r="A27" s="24" t="inlineStr">
        <is>
          <t>fbae16fd793f4cb6</t>
        </is>
      </c>
      <c r="B27" s="24" t="inlineStr">
        <is>
          <t>2026-08-05T21:01:20.386769Z</t>
        </is>
      </c>
      <c r="C27" s="24" t="inlineStr">
        <is>
          <t>2026-08-05T19:30:00-0400</t>
        </is>
      </c>
      <c r="D27" s="24" t="inlineStr">
        <is>
          <t>401857117</t>
        </is>
      </c>
      <c r="E27" s="24" t="inlineStr">
        <is>
          <t>WNBA</t>
        </is>
      </c>
      <c r="F27" s="24" t="inlineStr">
        <is>
          <t>Dallas Wings</t>
        </is>
      </c>
      <c r="G27" s="24" t="inlineStr">
        <is>
          <t>Washington Mystics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-117</v>
      </c>
      <c r="M27" s="27" t="n">
        <v>1.854701</v>
      </c>
      <c r="N27" s="28" t="n">
        <v>0.539171</v>
      </c>
      <c r="O27" s="28" t="n">
        <v>0.532764</v>
      </c>
      <c r="P27" s="28" t="n"/>
      <c r="Q27" s="28" t="n">
        <v>-0.006407</v>
      </c>
      <c r="R27" s="26" t="n">
        <v>19</v>
      </c>
      <c r="S27" s="29" t="n">
        <v>0</v>
      </c>
      <c r="T27" s="24" t="inlineStr">
        <is>
          <t>wnba-elo-trend-lr-v4</t>
        </is>
      </c>
      <c r="U27" s="24" t="inlineStr">
        <is>
          <t>settled</t>
        </is>
      </c>
      <c r="V27" s="24" t="inlineStr">
        <is>
          <t>loss</t>
        </is>
      </c>
      <c r="W27" s="26" t="n">
        <v>92</v>
      </c>
      <c r="X27" s="26" t="n">
        <v>96</v>
      </c>
      <c r="Y27" s="25" t="n"/>
      <c r="Z27" s="26" t="n"/>
      <c r="AA27" s="28" t="n"/>
      <c r="AB27" s="28" t="n"/>
      <c r="AC27" s="30" t="n">
        <v>0</v>
      </c>
      <c r="AD27" s="24" t="inlineStr">
        <is>
          <t>2026-08-06T03:25:57.279339Z</t>
        </is>
      </c>
      <c r="AE27" s="31" t="inlineStr">
        <is>
          <t>Learned LR call at threshold 0.5001; executable ask 0.5400 (aec-wnba-dal-wsh-2026-08-05); model edge vs ask -0.0072.</t>
        </is>
      </c>
      <c r="AF27" s="31" t="inlineStr">
        <is>
          <t>Learned model; shadow-qualified via operator override.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NO_CALL_WINNER_OVERVALUED</t>
        </is>
      </c>
      <c r="AP27" s="24" t="inlineStr">
        <is>
          <t>wnba-dal</t>
        </is>
      </c>
      <c r="AQ27" s="24" t="inlineStr">
        <is>
          <t>Dallas Wings</t>
        </is>
      </c>
      <c r="AR27" s="24" t="inlineStr">
        <is>
          <t>Dallas Wings</t>
        </is>
      </c>
      <c r="AS27" s="24" t="inlineStr">
        <is>
          <t>wnba-was</t>
        </is>
      </c>
      <c r="AT27" s="24" t="inlineStr">
        <is>
          <t>Washington Mystics</t>
        </is>
      </c>
      <c r="AU27" s="24" t="inlineStr">
        <is>
          <t>Washington Mystics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7afd5274214b58b7efd7f7febc7be3ab33b92351cda5cc6403c0a39faea0cc8c</t>
        </is>
      </c>
      <c r="BB27" s="24" t="inlineStr">
        <is>
          <t>learned_lr</t>
        </is>
      </c>
      <c r="BC27" s="24" t="inlineStr">
        <is>
          <t>wnba-elo-trend-lr-v4</t>
        </is>
      </c>
      <c r="BD27" s="24" t="inlineStr">
        <is>
          <t>7afd5274214b58b7efd7f7febc7be3ab33b92351cda5cc6403c0a39faea0cc8c</t>
        </is>
      </c>
      <c r="BE27" s="24" t="inlineStr">
        <is>
          <t>72f5694b0619f905</t>
        </is>
      </c>
      <c r="BF27" s="24" t="inlineStr">
        <is>
          <t>1</t>
        </is>
      </c>
      <c r="BG27" s="24" t="inlineStr">
        <is>
          <t>wnba-elo-trend-lr-v4</t>
        </is>
      </c>
      <c r="BH27" s="24" t="inlineStr">
        <is>
          <t>2026-08-05T21:00:52.092163Z</t>
        </is>
      </c>
      <c r="BI27" s="24" t="inlineStr">
        <is>
          <t>["same_event","same_team_same_day","same_league_same_day"]</t>
        </is>
      </c>
      <c r="BJ27" s="25" t="n"/>
      <c r="BK27" s="26" t="n">
        <v>-117</v>
      </c>
      <c r="BL27" s="27" t="n">
        <v>1.854701</v>
      </c>
      <c r="BM27" s="28" t="n">
        <v>0.539171</v>
      </c>
      <c r="BN27" s="28" t="n">
        <v>0.534653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0.4611418469</t>
        </is>
      </c>
      <c r="CD27" s="24" t="inlineStr">
        <is>
          <t>1.287558</t>
        </is>
      </c>
      <c r="CE27" s="24" t="n"/>
      <c r="CF27" s="24" t="n"/>
      <c r="CG27" s="24" t="n"/>
      <c r="CH27" s="24" t="n"/>
      <c r="CI27" s="24" t="n"/>
      <c r="CJ27" s="24" t="inlineStr">
        <is>
          <t>-1.305803</t>
        </is>
      </c>
      <c r="CK27" s="24" t="n"/>
      <c r="CL27" s="24" t="n"/>
      <c r="CM27" s="24" t="n"/>
      <c r="CN27" s="24" t="n"/>
      <c r="CO27" s="24" t="n"/>
      <c r="CP27" s="24" t="n"/>
      <c r="CQ27" s="24" t="n"/>
      <c r="CR27" s="24" t="inlineStr">
        <is>
          <t>0.532764</t>
        </is>
      </c>
      <c r="CS27" s="24" t="inlineStr">
        <is>
          <t>False</t>
        </is>
      </c>
    </row>
    <row r="28" ht="36" customHeight="1">
      <c r="A28" s="24" t="inlineStr">
        <is>
          <t>4c120856e1e94f85</t>
        </is>
      </c>
      <c r="B28" s="24" t="inlineStr">
        <is>
          <t>2026-08-06T00:23:10.436172Z</t>
        </is>
      </c>
      <c r="C28" s="24" t="inlineStr">
        <is>
          <t>2026-08-05T21:00:00-0400</t>
        </is>
      </c>
      <c r="D28" s="24" t="inlineStr">
        <is>
          <t>401857118</t>
        </is>
      </c>
      <c r="E28" s="24" t="inlineStr">
        <is>
          <t>WNBA</t>
        </is>
      </c>
      <c r="F28" s="24" t="inlineStr">
        <is>
          <t>Los Angeles Sparks</t>
        </is>
      </c>
      <c r="G28" s="24" t="inlineStr">
        <is>
          <t>Chicago Sky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-133</v>
      </c>
      <c r="M28" s="27" t="n">
        <v>1.75188</v>
      </c>
      <c r="N28" s="28" t="n">
        <v>0.570815</v>
      </c>
      <c r="O28" s="28" t="n">
        <v>0.549529</v>
      </c>
      <c r="P28" s="28" t="n"/>
      <c r="Q28" s="28" t="n">
        <v>-0.021286</v>
      </c>
      <c r="R28" s="26" t="n">
        <v>13</v>
      </c>
      <c r="S28" s="29" t="n">
        <v>0</v>
      </c>
      <c r="T28" s="24" t="inlineStr">
        <is>
          <t>wnba-elo-trend-lr-v4</t>
        </is>
      </c>
      <c r="U28" s="24" t="inlineStr">
        <is>
          <t>settled</t>
        </is>
      </c>
      <c r="V28" s="24" t="inlineStr">
        <is>
          <t>win</t>
        </is>
      </c>
      <c r="W28" s="26" t="n">
        <v>88</v>
      </c>
      <c r="X28" s="26" t="n">
        <v>95</v>
      </c>
      <c r="Y28" s="25" t="n"/>
      <c r="Z28" s="26" t="n"/>
      <c r="AA28" s="28" t="n"/>
      <c r="AB28" s="28" t="n"/>
      <c r="AC28" s="30" t="n">
        <v>0</v>
      </c>
      <c r="AD28" s="24" t="inlineStr">
        <is>
          <t>2026-08-06T03:26:39.722755Z</t>
        </is>
      </c>
      <c r="AE28" s="31" t="inlineStr">
        <is>
          <t>Learned LR call at threshold 0.5001; executable ask 0.5700 (aec-wnba-la-chi-2026-08-05); model edge vs ask -0.0205. NOTE: NO_CALL_AVAILABILITY_SOURCE_CONFLICT unavailable for this game — defaulted to neutral, other features used normally.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NO_CALL_WINNER_OVERVALUED</t>
        </is>
      </c>
      <c r="AP28" s="24" t="inlineStr">
        <is>
          <t>wnba-las</t>
        </is>
      </c>
      <c r="AQ28" s="24" t="inlineStr">
        <is>
          <t>Los Angeles Sparks</t>
        </is>
      </c>
      <c r="AR28" s="24" t="inlineStr">
        <is>
          <t>Los Angeles Sparks</t>
        </is>
      </c>
      <c r="AS28" s="24" t="inlineStr">
        <is>
          <t>wnba-chi</t>
        </is>
      </c>
      <c r="AT28" s="24" t="inlineStr">
        <is>
          <t>Chicago Sky</t>
        </is>
      </c>
      <c r="AU28" s="24" t="inlineStr">
        <is>
          <t>Chicago Sky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7afd5274214b58b7efd7f7febc7be3ab33b92351cda5cc6403c0a39faea0cc8c</t>
        </is>
      </c>
      <c r="BB28" s="24" t="inlineStr">
        <is>
          <t>learned_lr</t>
        </is>
      </c>
      <c r="BC28" s="24" t="inlineStr">
        <is>
          <t>wnba-elo-trend-lr-v4</t>
        </is>
      </c>
      <c r="BD28" s="24" t="inlineStr">
        <is>
          <t>7afd5274214b58b7efd7f7febc7be3ab33b92351cda5cc6403c0a39faea0cc8c</t>
        </is>
      </c>
      <c r="BE28" s="24" t="inlineStr">
        <is>
          <t>5cc21b269728431d</t>
        </is>
      </c>
      <c r="BF28" s="24" t="inlineStr">
        <is>
          <t>1</t>
        </is>
      </c>
      <c r="BG28" s="24" t="inlineStr">
        <is>
          <t>wnba-elo-trend-lr-v4</t>
        </is>
      </c>
      <c r="BH28" s="24" t="inlineStr">
        <is>
          <t>2026-08-06T00:22:59.513151Z</t>
        </is>
      </c>
      <c r="BI28" s="24" t="inlineStr">
        <is>
          <t>["same_event","same_team_same_day","same_league_same_day"]</t>
        </is>
      </c>
      <c r="BJ28" s="25" t="n"/>
      <c r="BK28" s="26" t="n">
        <v>-133</v>
      </c>
      <c r="BL28" s="27" t="n">
        <v>1.75188</v>
      </c>
      <c r="BM28" s="28" t="n">
        <v>0.570815</v>
      </c>
      <c r="BN28" s="28" t="n">
        <v>0.564356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0.573492291</t>
        </is>
      </c>
      <c r="CD28" s="24" t="inlineStr">
        <is>
          <t>3.024749</t>
        </is>
      </c>
      <c r="CE28" s="24" t="n"/>
      <c r="CF28" s="24" t="n"/>
      <c r="CG28" s="24" t="n"/>
      <c r="CH28" s="24" t="n"/>
      <c r="CI28" s="24" t="inlineStr">
        <is>
          <t>NO_CALL_AVAILABILITY_SOURCE_CONFLICT</t>
        </is>
      </c>
      <c r="CJ28" s="24" t="inlineStr">
        <is>
          <t>2.235061</t>
        </is>
      </c>
      <c r="CK28" s="24" t="n"/>
      <c r="CL28" s="24" t="n"/>
      <c r="CM28" s="24" t="n"/>
      <c r="CN28" s="24" t="n"/>
      <c r="CO28" s="24" t="n"/>
      <c r="CP28" s="24" t="n"/>
      <c r="CQ28" s="24" t="n"/>
      <c r="CR28" s="24" t="inlineStr">
        <is>
          <t>0.549529</t>
        </is>
      </c>
      <c r="CS28" s="24" t="inlineStr">
        <is>
          <t>False</t>
        </is>
      </c>
    </row>
    <row r="29" ht="36" customHeight="1">
      <c r="A29" s="24" t="inlineStr">
        <is>
          <t>85909d8c00894246</t>
        </is>
      </c>
      <c r="B29" s="24" t="inlineStr">
        <is>
          <t>2026-08-06T18:58:18.495512Z</t>
        </is>
      </c>
      <c r="C29" s="24" t="inlineStr">
        <is>
          <t>2026-08-06T19:00:00-0400</t>
        </is>
      </c>
      <c r="D29" s="24" t="inlineStr">
        <is>
          <t>401857119</t>
        </is>
      </c>
      <c r="E29" s="24" t="inlineStr">
        <is>
          <t>WNBA</t>
        </is>
      </c>
      <c r="F29" s="24" t="inlineStr">
        <is>
          <t>Las Vegas Aces</t>
        </is>
      </c>
      <c r="G29" s="24" t="inlineStr">
        <is>
          <t>Indiana Fever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0.555661</v>
      </c>
      <c r="P29" s="28" t="n"/>
      <c r="Q29" s="28" t="n">
        <v>0.045857</v>
      </c>
      <c r="R29" s="26" t="n">
        <v>45</v>
      </c>
      <c r="S29" s="29" t="n">
        <v>0</v>
      </c>
      <c r="T29" s="24" t="inlineStr">
        <is>
          <t>wnba-elo-trend-lr-v4</t>
        </is>
      </c>
      <c r="U29" s="24" t="inlineStr">
        <is>
          <t>settled</t>
        </is>
      </c>
      <c r="V29" s="24" t="inlineStr">
        <is>
          <t>loss</t>
        </is>
      </c>
      <c r="W29" s="26" t="n">
        <v>86</v>
      </c>
      <c r="X29" s="26" t="n">
        <v>84</v>
      </c>
      <c r="Y29" s="25" t="n"/>
      <c r="Z29" s="26" t="n"/>
      <c r="AA29" s="28" t="n"/>
      <c r="AB29" s="28" t="n"/>
      <c r="AC29" s="30" t="n">
        <v>0</v>
      </c>
      <c r="AD29" s="24" t="inlineStr">
        <is>
          <t>2026-08-07T09:06:32.192371Z</t>
        </is>
      </c>
      <c r="AE29" s="31" t="inlineStr">
        <is>
          <t>Learned LR call at threshold 0.5001; executable ask 0.5100 (aec-wnba-lv-ind-2026-08-06); model edge vs ask +0.0457. NOTE: NO_CALL_AVAILABILITY_SOURCE_CONFLICT unavailable for this game — defaulted to neutral, other features used normally.</t>
        </is>
      </c>
      <c r="AF29" s="31" t="inlineStr">
        <is>
          <t>Learned model; shadow-qualified via operator override.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NO_CALL_WINNER_OVERVALUED</t>
        </is>
      </c>
      <c r="AP29" s="24" t="inlineStr">
        <is>
          <t>wnba-lva</t>
        </is>
      </c>
      <c r="AQ29" s="24" t="inlineStr">
        <is>
          <t>Las Vegas Aces</t>
        </is>
      </c>
      <c r="AR29" s="24" t="inlineStr">
        <is>
          <t>Las Vegas Aces</t>
        </is>
      </c>
      <c r="AS29" s="24" t="inlineStr">
        <is>
          <t>wnba-ind</t>
        </is>
      </c>
      <c r="AT29" s="24" t="inlineStr">
        <is>
          <t>Indiana Fever</t>
        </is>
      </c>
      <c r="AU29" s="24" t="inlineStr">
        <is>
          <t>Indiana Fever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7afd5274214b58b7efd7f7febc7be3ab33b92351cda5cc6403c0a39faea0cc8c</t>
        </is>
      </c>
      <c r="BB29" s="24" t="inlineStr">
        <is>
          <t>learned_lr</t>
        </is>
      </c>
      <c r="BC29" s="24" t="inlineStr">
        <is>
          <t>wnba-elo-trend-lr-v4</t>
        </is>
      </c>
      <c r="BD29" s="24" t="inlineStr">
        <is>
          <t>7afd5274214b58b7efd7f7febc7be3ab33b92351cda5cc6403c0a39faea0cc8c</t>
        </is>
      </c>
      <c r="BE29" s="24" t="inlineStr">
        <is>
          <t>ee263665aa5e3903</t>
        </is>
      </c>
      <c r="BF29" s="24" t="inlineStr">
        <is>
          <t>1</t>
        </is>
      </c>
      <c r="BG29" s="24" t="inlineStr">
        <is>
          <t>wnba-elo-trend-lr-v4</t>
        </is>
      </c>
      <c r="BH29" s="24" t="inlineStr">
        <is>
          <t>2026-08-06T18:57:56.303091Z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>
        <v>0.50495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0.5778273332</t>
        </is>
      </c>
      <c r="CD29" s="24" t="inlineStr">
        <is>
          <t>4.392054</t>
        </is>
      </c>
      <c r="CE29" s="24" t="n"/>
      <c r="CF29" s="24" t="n"/>
      <c r="CG29" s="24" t="n"/>
      <c r="CH29" s="24" t="n"/>
      <c r="CI29" s="24" t="inlineStr">
        <is>
          <t>NO_CALL_AVAILABILITY_SOURCE_CONFLICT</t>
        </is>
      </c>
      <c r="CJ29" s="24" t="inlineStr">
        <is>
          <t>-4.728134</t>
        </is>
      </c>
      <c r="CK29" s="24" t="n"/>
      <c r="CL29" s="24" t="n"/>
      <c r="CM29" s="24" t="n"/>
      <c r="CN29" s="24" t="n"/>
      <c r="CO29" s="24" t="n"/>
      <c r="CP29" s="24" t="n"/>
      <c r="CQ29" s="24" t="n"/>
      <c r="CR29" s="24" t="inlineStr">
        <is>
          <t>0.555661</t>
        </is>
      </c>
      <c r="CS29" s="24" t="inlineStr">
        <is>
          <t>True</t>
        </is>
      </c>
    </row>
    <row r="30" ht="36" customHeight="1">
      <c r="A30" s="24" t="inlineStr">
        <is>
          <t>7d69846638e04c11</t>
        </is>
      </c>
      <c r="B30" s="24" t="inlineStr">
        <is>
          <t>2026-08-06T18:58:18.495512Z</t>
        </is>
      </c>
      <c r="C30" s="24" t="inlineStr">
        <is>
          <t>2026-08-06T21:00:00-0400</t>
        </is>
      </c>
      <c r="D30" s="24" t="inlineStr">
        <is>
          <t>401857120</t>
        </is>
      </c>
      <c r="E30" s="24" t="inlineStr">
        <is>
          <t>WNBA</t>
        </is>
      </c>
      <c r="F30" s="24" t="inlineStr">
        <is>
          <t>Los Angeles Sparks</t>
        </is>
      </c>
      <c r="G30" s="24" t="inlineStr">
        <is>
          <t>Minnesota Lynx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-1150</v>
      </c>
      <c r="M30" s="27" t="n">
        <v>1.086957</v>
      </c>
      <c r="N30" s="28" t="n">
        <v>0.92</v>
      </c>
      <c r="O30" s="28" t="n">
        <v>0.7758</v>
      </c>
      <c r="P30" s="28" t="n"/>
      <c r="Q30" s="28" t="n">
        <v>-0.1442</v>
      </c>
      <c r="R30" s="26" t="n">
        <v>0</v>
      </c>
      <c r="S30" s="29" t="n">
        <v>0</v>
      </c>
      <c r="T30" s="24" t="inlineStr">
        <is>
          <t>wnba-elo-trend-lr-v4</t>
        </is>
      </c>
      <c r="U30" s="24" t="inlineStr">
        <is>
          <t>settled</t>
        </is>
      </c>
      <c r="V30" s="24" t="inlineStr">
        <is>
          <t>loss</t>
        </is>
      </c>
      <c r="W30" s="26" t="n">
        <v>89</v>
      </c>
      <c r="X30" s="26" t="n">
        <v>82</v>
      </c>
      <c r="Y30" s="25" t="n"/>
      <c r="Z30" s="26" t="n"/>
      <c r="AA30" s="28" t="n"/>
      <c r="AB30" s="28" t="n"/>
      <c r="AC30" s="30" t="n">
        <v>0</v>
      </c>
      <c r="AD30" s="24" t="inlineStr">
        <is>
          <t>2026-08-07T09:06:32.598784Z</t>
        </is>
      </c>
      <c r="AE30" s="31" t="inlineStr">
        <is>
          <t>Learned LR call at threshold 0.5001; executable ask 0.9200 (aec-wnba-la-min-2026-08-06); model edge vs ask -0.1442. NOTE: NO_CALL_AVAILABILITY_SOURCE_CONFLICT unavailable for this game — defaulted to neutral, other features used normally.</t>
        </is>
      </c>
      <c r="AF30" s="31" t="inlineStr">
        <is>
          <t>Learned model; shadow-qualified via operator override.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NO_CALL_WINNER_OVERVALUED</t>
        </is>
      </c>
      <c r="AP30" s="24" t="inlineStr">
        <is>
          <t>wnba-las</t>
        </is>
      </c>
      <c r="AQ30" s="24" t="inlineStr">
        <is>
          <t>Los Angeles Sparks</t>
        </is>
      </c>
      <c r="AR30" s="24" t="inlineStr">
        <is>
          <t>Los Angeles Sparks</t>
        </is>
      </c>
      <c r="AS30" s="24" t="inlineStr">
        <is>
          <t>wnba-min</t>
        </is>
      </c>
      <c r="AT30" s="24" t="inlineStr">
        <is>
          <t>Minnesota Lynx</t>
        </is>
      </c>
      <c r="AU30" s="24" t="inlineStr">
        <is>
          <t>Minnesota Lynx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7afd5274214b58b7efd7f7febc7be3ab33b92351cda5cc6403c0a39faea0cc8c</t>
        </is>
      </c>
      <c r="BB30" s="24" t="inlineStr">
        <is>
          <t>learned_lr</t>
        </is>
      </c>
      <c r="BC30" s="24" t="inlineStr">
        <is>
          <t>wnba-elo-trend-lr-v4</t>
        </is>
      </c>
      <c r="BD30" s="24" t="inlineStr">
        <is>
          <t>7afd5274214b58b7efd7f7febc7be3ab33b92351cda5cc6403c0a39faea0cc8c</t>
        </is>
      </c>
      <c r="BE30" s="24" t="inlineStr">
        <is>
          <t>41c5f8278a71f705</t>
        </is>
      </c>
      <c r="BF30" s="24" t="inlineStr">
        <is>
          <t>1</t>
        </is>
      </c>
      <c r="BG30" s="24" t="inlineStr">
        <is>
          <t>wnba-elo-trend-lr-v4</t>
        </is>
      </c>
      <c r="BH30" s="24" t="inlineStr">
        <is>
          <t>2026-08-06T18:57:57.071624Z</t>
        </is>
      </c>
      <c r="BI30" s="24" t="inlineStr">
        <is>
          <t>["same_event","same_team_same_day","same_league_same_day"]</t>
        </is>
      </c>
      <c r="BJ30" s="25" t="n"/>
      <c r="BK30" s="26" t="n">
        <v>-1150</v>
      </c>
      <c r="BL30" s="27" t="n">
        <v>1.086957</v>
      </c>
      <c r="BM30" s="28" t="n">
        <v>0.92</v>
      </c>
      <c r="BN30" s="28" t="n">
        <v>0.910891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0.904420571</t>
        </is>
      </c>
      <c r="CD30" s="24" t="inlineStr">
        <is>
          <t>3.215406</t>
        </is>
      </c>
      <c r="CE30" s="24" t="n"/>
      <c r="CF30" s="24" t="n"/>
      <c r="CG30" s="24" t="n"/>
      <c r="CH30" s="24" t="n"/>
      <c r="CI30" s="24" t="inlineStr">
        <is>
          <t>NO_CALL_AVAILABILITY_SOURCE_CONFLICT</t>
        </is>
      </c>
      <c r="CJ30" s="24" t="inlineStr">
        <is>
          <t>-0.02251</t>
        </is>
      </c>
      <c r="CK30" s="24" t="n"/>
      <c r="CL30" s="24" t="n"/>
      <c r="CM30" s="24" t="n"/>
      <c r="CN30" s="24" t="n"/>
      <c r="CO30" s="24" t="n"/>
      <c r="CP30" s="24" t="n"/>
      <c r="CQ30" s="24" t="n"/>
      <c r="CR30" s="24" t="inlineStr">
        <is>
          <t>0.7758</t>
        </is>
      </c>
      <c r="CS30" s="24" t="inlineStr">
        <is>
          <t>False</t>
        </is>
      </c>
    </row>
    <row r="31" ht="36" customHeight="1">
      <c r="A31" s="24" t="inlineStr">
        <is>
          <t>17f439c082b14660</t>
        </is>
      </c>
      <c r="B31" s="24" t="inlineStr">
        <is>
          <t>2026-08-06T18:58:18.495512Z</t>
        </is>
      </c>
      <c r="C31" s="24" t="inlineStr">
        <is>
          <t>2026-08-06T22:00:00-0400</t>
        </is>
      </c>
      <c r="D31" s="24" t="inlineStr">
        <is>
          <t>401857121</t>
        </is>
      </c>
      <c r="E31" s="24" t="inlineStr">
        <is>
          <t>WNBA</t>
        </is>
      </c>
      <c r="F31" s="24" t="inlineStr">
        <is>
          <t>Toronto Tempo</t>
        </is>
      </c>
      <c r="G31" s="24" t="inlineStr">
        <is>
          <t>Portland Fire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-138</v>
      </c>
      <c r="M31" s="27" t="n">
        <v>1.724638</v>
      </c>
      <c r="N31" s="28" t="n">
        <v>0.579832</v>
      </c>
      <c r="O31" s="28" t="n">
        <v>0.617434</v>
      </c>
      <c r="P31" s="28" t="n"/>
      <c r="Q31" s="28" t="n">
        <v>0.037602</v>
      </c>
      <c r="R31" s="26" t="n">
        <v>42</v>
      </c>
      <c r="S31" s="29" t="n">
        <v>0</v>
      </c>
      <c r="T31" s="24" t="inlineStr">
        <is>
          <t>wnba-elo-trend-lr-v4</t>
        </is>
      </c>
      <c r="U31" s="24" t="inlineStr">
        <is>
          <t>settled</t>
        </is>
      </c>
      <c r="V31" s="24" t="inlineStr">
        <is>
          <t>win</t>
        </is>
      </c>
      <c r="W31" s="26" t="n">
        <v>83</v>
      </c>
      <c r="X31" s="26" t="n">
        <v>97</v>
      </c>
      <c r="Y31" s="25" t="n"/>
      <c r="Z31" s="26" t="n"/>
      <c r="AA31" s="28" t="n"/>
      <c r="AB31" s="28" t="n"/>
      <c r="AC31" s="30" t="n">
        <v>0</v>
      </c>
      <c r="AD31" s="24" t="inlineStr">
        <is>
          <t>2026-08-07T09:06:33.053227Z</t>
        </is>
      </c>
      <c r="AE31" s="31" t="inlineStr">
        <is>
          <t>Learned LR call at threshold 0.5001; executable ask 0.5800 (aec-wnba-tor-por-2026-08-06); model edge vs ask +0.0374. NOTE: NO_CALL_AVAILABILITY_SOURCE_CONFLICT unavailable for this game — defaulted to neutral, other features used normally.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NO_CALL_WINNER_OVERVALUED</t>
        </is>
      </c>
      <c r="AP31" s="24" t="inlineStr">
        <is>
          <t>wnba-tor</t>
        </is>
      </c>
      <c r="AQ31" s="24" t="inlineStr">
        <is>
          <t>Toronto Tempo</t>
        </is>
      </c>
      <c r="AR31" s="24" t="inlineStr">
        <is>
          <t>Toronto Tempo</t>
        </is>
      </c>
      <c r="AS31" s="24" t="inlineStr">
        <is>
          <t>wnba-por</t>
        </is>
      </c>
      <c r="AT31" s="24" t="inlineStr">
        <is>
          <t>Portland Fire</t>
        </is>
      </c>
      <c r="AU31" s="24" t="inlineStr">
        <is>
          <t>Portland Fire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7afd5274214b58b7efd7f7febc7be3ab33b92351cda5cc6403c0a39faea0cc8c</t>
        </is>
      </c>
      <c r="BB31" s="24" t="inlineStr">
        <is>
          <t>learned_lr</t>
        </is>
      </c>
      <c r="BC31" s="24" t="inlineStr">
        <is>
          <t>wnba-elo-trend-lr-v4</t>
        </is>
      </c>
      <c r="BD31" s="24" t="inlineStr">
        <is>
          <t>7afd5274214b58b7efd7f7febc7be3ab33b92351cda5cc6403c0a39faea0cc8c</t>
        </is>
      </c>
      <c r="BE31" s="24" t="inlineStr">
        <is>
          <t>90fd0d58822b7917</t>
        </is>
      </c>
      <c r="BF31" s="24" t="inlineStr">
        <is>
          <t>1</t>
        </is>
      </c>
      <c r="BG31" s="24" t="inlineStr">
        <is>
          <t>wnba-elo-trend-lr-v4</t>
        </is>
      </c>
      <c r="BH31" s="24" t="inlineStr">
        <is>
          <t>2026-08-06T18:57:57.472055Z</t>
        </is>
      </c>
      <c r="BI31" s="24" t="inlineStr">
        <is>
          <t>["same_event","same_team_same_day","same_league_same_day"]</t>
        </is>
      </c>
      <c r="BJ31" s="25" t="n"/>
      <c r="BK31" s="26" t="n">
        <v>-138</v>
      </c>
      <c r="BL31" s="27" t="n">
        <v>1.724638</v>
      </c>
      <c r="BM31" s="28" t="n">
        <v>0.579832</v>
      </c>
      <c r="BN31" s="28" t="n">
        <v>0.574257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0.6630193028</t>
        </is>
      </c>
      <c r="CD31" s="24" t="inlineStr">
        <is>
          <t>4.186942</t>
        </is>
      </c>
      <c r="CE31" s="24" t="n"/>
      <c r="CF31" s="24" t="n"/>
      <c r="CG31" s="24" t="n"/>
      <c r="CH31" s="24" t="n"/>
      <c r="CI31" s="24" t="inlineStr">
        <is>
          <t>NO_CALL_AVAILABILITY_SOURCE_CONFLICT</t>
        </is>
      </c>
      <c r="CJ31" s="24" t="inlineStr">
        <is>
          <t>-0.197354</t>
        </is>
      </c>
      <c r="CK31" s="24" t="n"/>
      <c r="CL31" s="24" t="n"/>
      <c r="CM31" s="24" t="n"/>
      <c r="CN31" s="24" t="n"/>
      <c r="CO31" s="24" t="n"/>
      <c r="CP31" s="24" t="n"/>
      <c r="CQ31" s="24" t="n"/>
      <c r="CR31" s="24" t="inlineStr">
        <is>
          <t>0.617434</t>
        </is>
      </c>
      <c r="CS31" s="24" t="inlineStr">
        <is>
          <t>True</t>
        </is>
      </c>
    </row>
    <row r="32" ht="36" customHeight="1">
      <c r="A32" s="24" t="inlineStr">
        <is>
          <t>20bdbfe22d1b4bb6</t>
        </is>
      </c>
      <c r="B32" s="24" t="inlineStr">
        <is>
          <t>2026-08-07T18:28:49.432084Z</t>
        </is>
      </c>
      <c r="C32" s="24" t="inlineStr">
        <is>
          <t>2026-08-07T19:30:00-0400</t>
        </is>
      </c>
      <c r="D32" s="24" t="inlineStr">
        <is>
          <t>401857122</t>
        </is>
      </c>
      <c r="E32" s="24" t="inlineStr">
        <is>
          <t>WNBA</t>
        </is>
      </c>
      <c r="F32" s="24" t="inlineStr">
        <is>
          <t>Phoenix Mercury</t>
        </is>
      </c>
      <c r="G32" s="24" t="inlineStr">
        <is>
          <t>Connecticut Sun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-233</v>
      </c>
      <c r="M32" s="27" t="n">
        <v>1.429185</v>
      </c>
      <c r="N32" s="28" t="n">
        <v>0.6997</v>
      </c>
      <c r="O32" s="28" t="n">
        <v>0.5232869999999999</v>
      </c>
      <c r="P32" s="28" t="n"/>
      <c r="Q32" s="28" t="n">
        <v>-0.176413</v>
      </c>
      <c r="R32" s="26" t="n">
        <v>0</v>
      </c>
      <c r="S32" s="29" t="n">
        <v>0</v>
      </c>
      <c r="T32" s="24" t="inlineStr">
        <is>
          <t>wnba-elo-trend-lr-v4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Learned LR call at threshold 0.5001; executable ask 0.7000 (aec-wnba-phx-conn-2026-08-07); model edge vs ask -0.1767. NOTE: NO_CALL_AVAILABILITY_SOURCE_CONFLICT unavailable for this game — defaulted to neutral, other features used normally.</t>
        </is>
      </c>
      <c r="AF32" s="31" t="inlineStr">
        <is>
          <t>Learned model; shadow-qualified via operator override.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NO_CALL_WINNER_OVERVALUED</t>
        </is>
      </c>
      <c r="AP32" s="24" t="inlineStr">
        <is>
          <t>wnba-phx</t>
        </is>
      </c>
      <c r="AQ32" s="24" t="inlineStr">
        <is>
          <t>Phoenix Mercury</t>
        </is>
      </c>
      <c r="AR32" s="24" t="inlineStr">
        <is>
          <t>Phoenix Mercury</t>
        </is>
      </c>
      <c r="AS32" s="24" t="inlineStr">
        <is>
          <t>wnba-con</t>
        </is>
      </c>
      <c r="AT32" s="24" t="inlineStr">
        <is>
          <t>Connecticut Sun</t>
        </is>
      </c>
      <c r="AU32" s="24" t="inlineStr">
        <is>
          <t>Connecticut Sun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7afd5274214b58b7efd7f7febc7be3ab33b92351cda5cc6403c0a39faea0cc8c</t>
        </is>
      </c>
      <c r="BB32" s="24" t="inlineStr">
        <is>
          <t>learned_lr</t>
        </is>
      </c>
      <c r="BC32" s="24" t="inlineStr">
        <is>
          <t>wnba-elo-trend-lr-v4</t>
        </is>
      </c>
      <c r="BD32" s="24" t="inlineStr">
        <is>
          <t>7afd5274214b58b7efd7f7febc7be3ab33b92351cda5cc6403c0a39faea0cc8c</t>
        </is>
      </c>
      <c r="BE32" s="24" t="inlineStr">
        <is>
          <t>0cc51532bda1a1e7</t>
        </is>
      </c>
      <c r="BF32" s="24" t="inlineStr">
        <is>
          <t>1</t>
        </is>
      </c>
      <c r="BG32" s="24" t="inlineStr">
        <is>
          <t>wnba-elo-trend-lr-v4</t>
        </is>
      </c>
      <c r="BH32" s="24" t="inlineStr">
        <is>
          <t>2026-08-07T18:28:02.520228Z</t>
        </is>
      </c>
      <c r="BI32" s="24" t="inlineStr">
        <is>
          <t>["same_event","same_team_same_day","same_league_same_day"]</t>
        </is>
      </c>
      <c r="BJ32" s="25" t="n"/>
      <c r="BK32" s="26" t="n">
        <v>-233</v>
      </c>
      <c r="BL32" s="27" t="n">
        <v>1.429185</v>
      </c>
      <c r="BM32" s="28" t="n">
        <v>0.6997</v>
      </c>
      <c r="BN32" s="28" t="n">
        <v>0.693069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0.464766751</t>
        </is>
      </c>
      <c r="CD32" s="24" t="inlineStr">
        <is>
          <t>-5.674273</t>
        </is>
      </c>
      <c r="CE32" s="24" t="n"/>
      <c r="CF32" s="24" t="n"/>
      <c r="CG32" s="24" t="n"/>
      <c r="CH32" s="24" t="n"/>
      <c r="CI32" s="24" t="inlineStr">
        <is>
          <t>NO_CALL_AVAILABILITY_SOURCE_CONFLICT</t>
        </is>
      </c>
      <c r="CJ32" s="24" t="inlineStr">
        <is>
          <t>5.627573</t>
        </is>
      </c>
      <c r="CK32" s="24" t="n"/>
      <c r="CL32" s="24" t="n"/>
      <c r="CM32" s="24" t="n"/>
      <c r="CN32" s="24" t="n"/>
      <c r="CO32" s="24" t="n"/>
      <c r="CP32" s="24" t="n"/>
      <c r="CQ32" s="24" t="n"/>
      <c r="CR32" s="24" t="inlineStr">
        <is>
          <t>0.523287</t>
        </is>
      </c>
      <c r="CS32" s="24" t="inlineStr">
        <is>
          <t>False</t>
        </is>
      </c>
    </row>
    <row r="33" ht="36" customHeight="1">
      <c r="A33" s="24" t="inlineStr">
        <is>
          <t>06246ff3dc9f4c64</t>
        </is>
      </c>
      <c r="B33" s="24" t="inlineStr">
        <is>
          <t>2026-08-07T18:28:49.432084Z</t>
        </is>
      </c>
      <c r="C33" s="24" t="inlineStr">
        <is>
          <t>2026-08-07T19:30:00-0400</t>
        </is>
      </c>
      <c r="D33" s="24" t="inlineStr">
        <is>
          <t>401857123</t>
        </is>
      </c>
      <c r="E33" s="24" t="inlineStr">
        <is>
          <t>WNBA</t>
        </is>
      </c>
      <c r="F33" s="24" t="inlineStr">
        <is>
          <t>Atlanta Dream</t>
        </is>
      </c>
      <c r="G33" s="24" t="inlineStr">
        <is>
          <t>Washington Mystics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194</v>
      </c>
      <c r="M33" s="27" t="n">
        <v>2.94</v>
      </c>
      <c r="N33" s="28" t="n">
        <v>0.340136</v>
      </c>
      <c r="O33" s="28" t="n">
        <v>0.561972</v>
      </c>
      <c r="P33" s="28" t="n"/>
      <c r="Q33" s="28" t="n">
        <v>0.221836</v>
      </c>
      <c r="R33" s="26" t="n">
        <v>100</v>
      </c>
      <c r="S33" s="29" t="n">
        <v>1</v>
      </c>
      <c r="T33" s="24" t="inlineStr">
        <is>
          <t>wnba-elo-trend-lr-v4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Learned LR call at threshold 0.5001; executable ask 0.3400 (aec-wnba-atl-wsh-2026-08-07); model edge vs ask +0.2220.</t>
        </is>
      </c>
      <c r="AF33" s="31" t="inlineStr">
        <is>
          <t>Learned model; shadow-qualified via operator override.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wnba-atl</t>
        </is>
      </c>
      <c r="AQ33" s="24" t="inlineStr">
        <is>
          <t>Atlanta Dream</t>
        </is>
      </c>
      <c r="AR33" s="24" t="inlineStr">
        <is>
          <t>Atlanta Dream</t>
        </is>
      </c>
      <c r="AS33" s="24" t="inlineStr">
        <is>
          <t>wnba-was</t>
        </is>
      </c>
      <c r="AT33" s="24" t="inlineStr">
        <is>
          <t>Washington Mystics</t>
        </is>
      </c>
      <c r="AU33" s="24" t="inlineStr">
        <is>
          <t>Washington Mystics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7afd5274214b58b7efd7f7febc7be3ab33b92351cda5cc6403c0a39faea0cc8c</t>
        </is>
      </c>
      <c r="BB33" s="24" t="inlineStr">
        <is>
          <t>learned_lr</t>
        </is>
      </c>
      <c r="BC33" s="24" t="inlineStr">
        <is>
          <t>wnba-elo-trend-lr-v4</t>
        </is>
      </c>
      <c r="BD33" s="24" t="inlineStr">
        <is>
          <t>7afd5274214b58b7efd7f7febc7be3ab33b92351cda5cc6403c0a39faea0cc8c</t>
        </is>
      </c>
      <c r="BE33" s="24" t="inlineStr">
        <is>
          <t>7527e38cbf3d298e</t>
        </is>
      </c>
      <c r="BF33" s="24" t="inlineStr">
        <is>
          <t>1</t>
        </is>
      </c>
      <c r="BG33" s="24" t="inlineStr">
        <is>
          <t>wnba-elo-trend-lr-v4</t>
        </is>
      </c>
      <c r="BH33" s="24" t="inlineStr">
        <is>
          <t>2026-08-07T18:28:03.051036Z</t>
        </is>
      </c>
      <c r="BI33" s="24" t="inlineStr">
        <is>
          <t>["same_event","same_team_same_day","same_league_same_day"]</t>
        </is>
      </c>
      <c r="BJ33" s="25" t="n"/>
      <c r="BK33" s="26" t="n">
        <v>194</v>
      </c>
      <c r="BL33" s="27" t="n">
        <v>2.94</v>
      </c>
      <c r="BM33" s="28" t="n">
        <v>0.340136</v>
      </c>
      <c r="BN33" s="28" t="n">
        <v>0.336634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0.5839932663</t>
        </is>
      </c>
      <c r="CD33" s="24" t="inlineStr">
        <is>
          <t>-1.592597</t>
        </is>
      </c>
      <c r="CE33" s="24" t="n"/>
      <c r="CF33" s="24" t="n"/>
      <c r="CG33" s="24" t="n"/>
      <c r="CH33" s="24" t="n"/>
      <c r="CI33" s="24" t="n"/>
      <c r="CJ33" s="24" t="inlineStr">
        <is>
          <t>6.900454</t>
        </is>
      </c>
      <c r="CK33" s="24" t="n"/>
      <c r="CL33" s="24" t="n"/>
      <c r="CM33" s="24" t="n"/>
      <c r="CN33" s="24" t="n"/>
      <c r="CO33" s="24" t="n"/>
      <c r="CP33" s="24" t="n"/>
      <c r="CQ33" s="24" t="n"/>
      <c r="CR33" s="24" t="inlineStr">
        <is>
          <t>0.561972</t>
        </is>
      </c>
      <c r="CS33" s="24" t="inlineStr">
        <is>
          <t>True</t>
        </is>
      </c>
    </row>
    <row r="34" ht="36" customHeight="1">
      <c r="A34" s="24" t="inlineStr">
        <is>
          <t>d6adbdb873ef4965</t>
        </is>
      </c>
      <c r="B34" s="24" t="inlineStr">
        <is>
          <t>2026-08-07T18:28:49.432084Z</t>
        </is>
      </c>
      <c r="C34" s="24" t="inlineStr">
        <is>
          <t>2026-08-07T21:30:00-0400</t>
        </is>
      </c>
      <c r="D34" s="24" t="inlineStr">
        <is>
          <t>401857124</t>
        </is>
      </c>
      <c r="E34" s="24" t="inlineStr">
        <is>
          <t>WNBA</t>
        </is>
      </c>
      <c r="F34" s="24" t="inlineStr">
        <is>
          <t>Golden State Valkyries</t>
        </is>
      </c>
      <c r="G34" s="24" t="inlineStr">
        <is>
          <t>Dallas Wings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104</v>
      </c>
      <c r="M34" s="27" t="n">
        <v>2.04</v>
      </c>
      <c r="N34" s="28" t="n">
        <v>0.490196</v>
      </c>
      <c r="O34" s="28" t="n">
        <v>0.506578</v>
      </c>
      <c r="P34" s="28" t="n"/>
      <c r="Q34" s="28" t="n">
        <v>0.016382</v>
      </c>
      <c r="R34" s="26" t="n">
        <v>31</v>
      </c>
      <c r="S34" s="29" t="n">
        <v>0</v>
      </c>
      <c r="T34" s="24" t="inlineStr">
        <is>
          <t>wnba-elo-trend-lr-v4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Learned LR call at threshold 0.5001; executable ask 0.4900 (aec-wnba-gsv-dal-2026-08-07); model edge vs ask +0.0166.</t>
        </is>
      </c>
      <c r="AF34" s="31" t="inlineStr">
        <is>
          <t>Learned model; shadow-qualified via operator override.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NO_CALL_WINNER_OVERVALUED</t>
        </is>
      </c>
      <c r="AP34" s="24" t="inlineStr">
        <is>
          <t>wnba-gsv</t>
        </is>
      </c>
      <c r="AQ34" s="24" t="inlineStr">
        <is>
          <t>Golden State Valkyries</t>
        </is>
      </c>
      <c r="AR34" s="24" t="inlineStr">
        <is>
          <t>Golden State Valkyries</t>
        </is>
      </c>
      <c r="AS34" s="24" t="inlineStr">
        <is>
          <t>wnba-dal</t>
        </is>
      </c>
      <c r="AT34" s="24" t="inlineStr">
        <is>
          <t>Dallas Wings</t>
        </is>
      </c>
      <c r="AU34" s="24" t="inlineStr">
        <is>
          <t>Dallas Wings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7afd5274214b58b7efd7f7febc7be3ab33b92351cda5cc6403c0a39faea0cc8c</t>
        </is>
      </c>
      <c r="BB34" s="24" t="inlineStr">
        <is>
          <t>learned_lr</t>
        </is>
      </c>
      <c r="BC34" s="24" t="inlineStr">
        <is>
          <t>wnba-elo-trend-lr-v4</t>
        </is>
      </c>
      <c r="BD34" s="24" t="inlineStr">
        <is>
          <t>7afd5274214b58b7efd7f7febc7be3ab33b92351cda5cc6403c0a39faea0cc8c</t>
        </is>
      </c>
      <c r="BE34" s="24" t="inlineStr">
        <is>
          <t>c2d3c7c45366cc37</t>
        </is>
      </c>
      <c r="BF34" s="24" t="inlineStr">
        <is>
          <t>1</t>
        </is>
      </c>
      <c r="BG34" s="24" t="inlineStr">
        <is>
          <t>wnba-elo-trend-lr-v4</t>
        </is>
      </c>
      <c r="BH34" s="24" t="inlineStr">
        <is>
          <t>2026-08-07T18:28:03.748682Z</t>
        </is>
      </c>
      <c r="BI34" s="24" t="inlineStr">
        <is>
          <t>["same_event","same_team_same_day","same_league_same_day"]</t>
        </is>
      </c>
      <c r="BJ34" s="25" t="n"/>
      <c r="BK34" s="26" t="n">
        <v>104</v>
      </c>
      <c r="BL34" s="27" t="n">
        <v>2.04</v>
      </c>
      <c r="BM34" s="28" t="n">
        <v>0.490196</v>
      </c>
      <c r="BN34" s="28" t="n">
        <v>0.485149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0.4936041743</t>
        </is>
      </c>
      <c r="CD34" s="24" t="inlineStr">
        <is>
          <t>-0.766561</t>
        </is>
      </c>
      <c r="CE34" s="24" t="n"/>
      <c r="CF34" s="24" t="n"/>
      <c r="CG34" s="24" t="n"/>
      <c r="CH34" s="24" t="n"/>
      <c r="CI34" s="24" t="n"/>
      <c r="CJ34" s="24" t="inlineStr">
        <is>
          <t>2.335261</t>
        </is>
      </c>
      <c r="CK34" s="24" t="n"/>
      <c r="CL34" s="24" t="n"/>
      <c r="CM34" s="24" t="n"/>
      <c r="CN34" s="24" t="n"/>
      <c r="CO34" s="24" t="n"/>
      <c r="CP34" s="24" t="n"/>
      <c r="CQ34" s="24" t="n"/>
      <c r="CR34" s="24" t="inlineStr">
        <is>
          <t>0.506578</t>
        </is>
      </c>
      <c r="CS34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2026-08-07T18:29:08Z</dcterms:created>
  <dcterms:modified xmlns:dcterms="http://purl.org/dc/terms/" xmlns:xsi="http://www.w3.org/2001/XMLSchema-instance" xsi:type="dcterms:W3CDTF">2026-08-07T18:29:08Z</dcterms:modified>
</cp:coreProperties>
</file>