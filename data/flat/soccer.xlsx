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95" headerRowCount="1">
  <autoFilter ref="A1:CS9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COUNTA('Picks'!$A$2:$A$95)</f>
        <v/>
      </c>
      <c r="C4" s="6">
        <f>COUNTIF('Picks'!$U$2:$U$95,"open")</f>
        <v/>
      </c>
      <c r="E4" s="6">
        <f>COUNTIF('Picks'!$U$2:$U$95,"settled")</f>
        <v/>
      </c>
      <c r="G4" s="6">
        <f>IF(COUNTIFS('Picks'!$U$2:$U$95,"settled",'Picks'!$V$2:$V$95,"win")+COUNTIFS('Picks'!$U$2:$U$95,"settled",'Picks'!$V$2:$V$95,"loss")&gt;=$L$2,"Ready","Insufficient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COUNTIF('Picks'!$BX$2:$BX$95,"&gt;0")</f>
        <v/>
      </c>
      <c r="C7" s="6">
        <f>COUNTIFS('Picks'!$BX$2:$BX$95,"&gt;0",'Picks'!$V$2:$V$95,"win")&amp;"-"&amp;COUNTIFS('Picks'!$BX$2:$BX$95,"&gt;0",'Picks'!$V$2:$V$95,"loss")</f>
        <v/>
      </c>
      <c r="E7" s="7">
        <f>IFERROR(COUNTIFS('Picks'!$BX$2:$BX$95,"&gt;0",'Picks'!$V$2:$V$95,"win")/(COUNTIFS('Picks'!$BX$2:$BX$95,"&gt;0",'Picks'!$V$2:$V$95,"win")+COUNTIFS('Picks'!$BX$2:$BX$95,"&gt;0",'Picks'!$V$2:$V$95,"loss")),0)</f>
        <v/>
      </c>
      <c r="G7" s="7">
        <f>IFERROR(SUM('Picks'!$BY$2:$BY$95)/SUM('Picks'!$BX$2:$BX$95),0)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SUM('Picks'!$BY$2:$BY$95)</f>
        <v/>
      </c>
      <c r="C10" s="9">
        <f>IFERROR(AVERAGEIF('Picks'!$AB$2:$AB$95,"&lt;&gt;",'Picks'!$AB$2:$AB$95),0)</f>
        <v/>
      </c>
      <c r="E10" s="6">
        <f>COUNTIFS('Picks'!$AM$2:$AM$95,"QUALIFIED_SHADOW_CALL",'Picks'!$U$2:$U$95,"settled")</f>
        <v/>
      </c>
      <c r="G10" s="8">
        <f>SUMIFS('Picks'!$AC$2:$AC$95,'Picks'!$AM$2:$AM$95,"QUALIFIED_SHADOW_CALL")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COUNTIFS('Picks'!$H$2:$H$95,$A14,'Picks'!$U$2:$U$95,"settled")</f>
        <v/>
      </c>
      <c r="C14" s="13">
        <f>COUNTIFS('Picks'!$H$2:$H$95,$A14,'Picks'!$U$2:$U$95,"settled",'Picks'!$V$2:$V$95,"win")</f>
        <v/>
      </c>
      <c r="D14" s="13">
        <f>COUNTIFS('Picks'!$H$2:$H$95,$A14,'Picks'!$U$2:$U$95,"settled",'Picks'!$V$2:$V$95,"loss")</f>
        <v/>
      </c>
      <c r="E14" s="14">
        <f>IFERROR(C14/(C14+D14),0)</f>
        <v/>
      </c>
      <c r="F14" s="15">
        <f>SUMIFS('Picks'!$BY$2:$BY$95,'Picks'!$H$2:$H$95,$A14)</f>
        <v/>
      </c>
      <c r="G14" s="16">
        <f>IFERROR(AVERAGEIFS('Picks'!$AB$2:$AB$95,'Picks'!$H$2:$H$95,$A14,'Picks'!$U$2:$U$95,"settled"),0)</f>
        <v/>
      </c>
    </row>
    <row r="15">
      <c r="A15" s="17" t="inlineStr">
        <is>
          <t>spread</t>
        </is>
      </c>
      <c r="B15" s="18">
        <f>COUNTIFS('Picks'!$H$2:$H$95,$A15,'Picks'!$U$2:$U$95,"settled")</f>
        <v/>
      </c>
      <c r="C15" s="18">
        <f>COUNTIFS('Picks'!$H$2:$H$95,$A15,'Picks'!$U$2:$U$95,"settled",'Picks'!$V$2:$V$95,"win")</f>
        <v/>
      </c>
      <c r="D15" s="18">
        <f>COUNTIFS('Picks'!$H$2:$H$95,$A15,'Picks'!$U$2:$U$95,"settled",'Picks'!$V$2:$V$95,"loss")</f>
        <v/>
      </c>
      <c r="E15" s="19">
        <f>IFERROR(C15/(C15+D15),0)</f>
        <v/>
      </c>
      <c r="F15" s="20">
        <f>SUMIFS('Picks'!$BY$2:$BY$95,'Picks'!$H$2:$H$95,$A15)</f>
        <v/>
      </c>
      <c r="G15" s="21">
        <f>IFERROR(AVERAGEIFS('Picks'!$AB$2:$AB$95,'Picks'!$H$2:$H$95,$A15,'Picks'!$U$2:$U$95,"settled"),0)</f>
        <v/>
      </c>
    </row>
    <row r="16">
      <c r="A16" s="12" t="inlineStr">
        <is>
          <t>total</t>
        </is>
      </c>
      <c r="B16" s="13">
        <f>COUNTIFS('Picks'!$H$2:$H$95,$A16,'Picks'!$U$2:$U$95,"settled")</f>
        <v/>
      </c>
      <c r="C16" s="13">
        <f>COUNTIFS('Picks'!$H$2:$H$95,$A16,'Picks'!$U$2:$U$95,"settled",'Picks'!$V$2:$V$95,"win")</f>
        <v/>
      </c>
      <c r="D16" s="13">
        <f>COUNTIFS('Picks'!$H$2:$H$95,$A16,'Picks'!$U$2:$U$95,"settled",'Picks'!$V$2:$V$95,"loss")</f>
        <v/>
      </c>
      <c r="E16" s="14">
        <f>IFERROR(C16/(C16+D16),0)</f>
        <v/>
      </c>
      <c r="F16" s="15">
        <f>SUMIFS('Picks'!$BY$2:$BY$95,'Picks'!$H$2:$H$95,$A16)</f>
        <v/>
      </c>
      <c r="G16" s="16">
        <f>IFERROR(AVERAGEIFS('Picks'!$AB$2:$AB$95,'Picks'!$H$2:$H$95,$A16,'Picks'!$U$2:$U$95,"settled"),0)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0682c489cec848f9</t>
        </is>
      </c>
      <c r="B83" s="24" t="inlineStr">
        <is>
          <t>2026-08-04T16:53:20.897729Z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-614</v>
      </c>
      <c r="M83" s="27" t="n">
        <v>1.162866</v>
      </c>
      <c r="N83" s="28" t="n">
        <v>0.859944</v>
      </c>
      <c r="O83" s="28" t="n">
        <v>0.480757</v>
      </c>
      <c r="P83" s="28" t="n">
        <v>0.2</v>
      </c>
      <c r="Q83" s="28" t="n">
        <v>-0.379187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1</v>
      </c>
      <c r="Y83" s="25" t="n"/>
      <c r="Z83" s="26" t="n"/>
      <c r="AA83" s="28" t="n"/>
      <c r="AB83" s="28" t="n"/>
      <c r="AC83" s="30" t="n">
        <v>0.1629</v>
      </c>
      <c r="AD83" s="24" t="inlineStr">
        <is>
          <t>2026-08-04T21:59:03.661368Z</t>
        </is>
      </c>
      <c r="AE83" s="31" t="inlineStr">
        <is>
          <t>Poisson-DC rates 1.07 (home) / 1.59 (away) from EWMA attack/defense strengths. Executable ask 0.8600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2026-08-04T16:50:24.939028Z</t>
        </is>
      </c>
      <c r="BI83" s="24" t="inlineStr">
        <is>
          <t>["same_event","same_team_same_day","same_league_same_day"]</t>
        </is>
      </c>
      <c r="BJ83" s="25" t="n"/>
      <c r="BK83" s="26" t="n">
        <v>-614</v>
      </c>
      <c r="BL83" s="27" t="n">
        <v>1.162866</v>
      </c>
      <c r="BM83" s="28" t="n">
        <v>0.859944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  <row r="84" ht="36" customHeight="1">
      <c r="A84" s="24" t="inlineStr">
        <is>
          <t>59c4be4e115e4c99</t>
        </is>
      </c>
      <c r="B84" s="24" t="inlineStr">
        <is>
          <t>2026-08-05T10:45:53.298989Z</t>
        </is>
      </c>
      <c r="C84" s="24" t="inlineStr">
        <is>
          <t>2026-08-05T11:30Z</t>
        </is>
      </c>
      <c r="D84" s="24" t="inlineStr">
        <is>
          <t>401871494</t>
        </is>
      </c>
      <c r="E84" s="24" t="inlineStr">
        <is>
          <t>SOCCER</t>
        </is>
      </c>
      <c r="F84" s="24" t="inlineStr">
        <is>
          <t>Juventus</t>
        </is>
      </c>
      <c r="G84" s="24" t="inlineStr">
        <is>
          <t>Chelsea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233</v>
      </c>
      <c r="M84" s="27" t="n">
        <v>3.33</v>
      </c>
      <c r="N84" s="28" t="n">
        <v>0.3003</v>
      </c>
      <c r="O84" s="28" t="n">
        <v>0.483062</v>
      </c>
      <c r="P84" s="28" t="n">
        <v>0.04</v>
      </c>
      <c r="Q84" s="28" t="n">
        <v>0.182762</v>
      </c>
      <c r="R84" s="26" t="n">
        <v>100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2.33</v>
      </c>
      <c r="AD84" s="24" t="inlineStr">
        <is>
          <t>2026-08-05T13:50:15.913809Z</t>
        </is>
      </c>
      <c r="AE84" s="31" t="inlineStr">
        <is>
          <t>Poisson-DC rates 1.02 (home) / 1.55 (away) from EWMA attack/defense strengths. Executable ask 0.3000 (atc-clbf-cfc-juv-2026-08-05-juv).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Juventus</t>
        </is>
      </c>
      <c r="AQ84" s="24" t="inlineStr">
        <is>
          <t>Juventus</t>
        </is>
      </c>
      <c r="AR84" s="24" t="inlineStr">
        <is>
          <t>Juventus</t>
        </is>
      </c>
      <c r="AS84" s="24" t="inlineStr">
        <is>
          <t>Chelsea</t>
        </is>
      </c>
      <c r="AT84" s="24" t="inlineStr">
        <is>
          <t>Chelsea</t>
        </is>
      </c>
      <c r="AU84" s="24" t="inlineStr">
        <is>
          <t>Chelsea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c95ec2023134439ab985cb4cdcc58243749b9deb564fca7a2d587c15c9875427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c95ec2023134439ab985cb4cdcc58243749b9deb564fca7a2d587c15c9875427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c95ec2023134439ab985cb4cdcc58243749b9deb564fca7a2d587c15c9875427</t>
        </is>
      </c>
      <c r="BH84" s="24" t="inlineStr">
        <is>
          <t>2026-08-05T10:42:33.963889Z</t>
        </is>
      </c>
      <c r="BI84" s="24" t="inlineStr">
        <is>
          <t>["same_event","same_team_same_day","same_league_same_day"]</t>
        </is>
      </c>
      <c r="BJ84" s="25" t="n"/>
      <c r="BK84" s="26" t="n">
        <v>233</v>
      </c>
      <c r="BL84" s="27" t="n">
        <v>3.33</v>
      </c>
      <c r="BM84" s="28" t="n">
        <v>0.3003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</row>
    <row r="85" ht="36" customHeight="1">
      <c r="A85" s="24" t="inlineStr">
        <is>
          <t>d0a8fc4bf3eb49b5</t>
        </is>
      </c>
      <c r="B85" s="24" t="inlineStr">
        <is>
          <t>2026-08-05T17:03:58.301897Z</t>
        </is>
      </c>
      <c r="C85" s="24" t="inlineStr">
        <is>
          <t>2026-08-05T18:00Z</t>
        </is>
      </c>
      <c r="D85" s="24" t="inlineStr">
        <is>
          <t>401843981</t>
        </is>
      </c>
      <c r="E85" s="24" t="inlineStr">
        <is>
          <t>SOCCER</t>
        </is>
      </c>
      <c r="F85" s="24" t="inlineStr">
        <is>
          <t>Gimnasia y Tiro (Salta)</t>
        </is>
      </c>
      <c r="G85" s="24" t="inlineStr">
        <is>
          <t>Almagro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203</v>
      </c>
      <c r="M85" s="27" t="n">
        <v>3.03</v>
      </c>
      <c r="N85" s="28" t="n">
        <v>0.330033</v>
      </c>
      <c r="O85" s="28" t="n">
        <v>0.456135</v>
      </c>
      <c r="P85" s="28" t="n">
        <v>0.2</v>
      </c>
      <c r="Q85" s="28" t="n">
        <v>0.126102</v>
      </c>
      <c r="R85" s="26" t="n">
        <v>0</v>
      </c>
      <c r="S85" s="29" t="n">
        <v>0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2</v>
      </c>
      <c r="X85" s="26" t="n">
        <v>0</v>
      </c>
      <c r="Y85" s="25" t="n"/>
      <c r="Z85" s="26" t="n"/>
      <c r="AA85" s="28" t="n"/>
      <c r="AB85" s="28" t="n"/>
      <c r="AC85" s="30" t="n">
        <v>0</v>
      </c>
      <c r="AD85" s="24" t="inlineStr">
        <is>
          <t>2026-08-06T00:20:47.753158Z</t>
        </is>
      </c>
      <c r="AE85" s="31" t="inlineStr">
        <is>
          <t>Poisson-DC rates 1.64 (home) / 1.24 (away) from EWMA attack/defense strengths. Executable ask 0.3300 (atc-arg2-alm-gyt-2026-08-05-alm).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NO_CALL_WINNER_OVERVALUED</t>
        </is>
      </c>
      <c r="AP85" s="24" t="inlineStr">
        <is>
          <t>Gimnasia y Tiro (Salta)</t>
        </is>
      </c>
      <c r="AQ85" s="24" t="inlineStr">
        <is>
          <t>Gimnasia y Tiro (Salta)</t>
        </is>
      </c>
      <c r="AR85" s="24" t="inlineStr">
        <is>
          <t>Gimnasia y Tiro (Salta)</t>
        </is>
      </c>
      <c r="AS85" s="24" t="inlineStr">
        <is>
          <t>Almagro</t>
        </is>
      </c>
      <c r="AT85" s="24" t="inlineStr">
        <is>
          <t>Almagro</t>
        </is>
      </c>
      <c r="AU85" s="24" t="inlineStr">
        <is>
          <t>Almagro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c95ec2023134439ab985cb4cdcc58243749b9deb564fca7a2d587c15c9875427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c95ec2023134439ab985cb4cdcc58243749b9deb564fca7a2d587c15c9875427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c95ec2023134439ab985cb4cdcc58243749b9deb564fca7a2d587c15c9875427</t>
        </is>
      </c>
      <c r="BH85" s="24" t="inlineStr">
        <is>
          <t>2026-08-05T17:01:54.694147Z</t>
        </is>
      </c>
      <c r="BI85" s="24" t="inlineStr">
        <is>
          <t>["same_event","same_team_same_day","same_league_same_day"]</t>
        </is>
      </c>
      <c r="BJ85" s="25" t="n"/>
      <c r="BK85" s="26" t="n">
        <v>203</v>
      </c>
      <c r="BL85" s="27" t="n">
        <v>3.03</v>
      </c>
      <c r="BM85" s="28" t="n">
        <v>0.330033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0c24c70c0c3c47c4</t>
        </is>
      </c>
      <c r="B86" s="24" t="inlineStr">
        <is>
          <t>2026-08-05T17:03:58.301897Z</t>
        </is>
      </c>
      <c r="C86" s="24" t="inlineStr">
        <is>
          <t>2026-08-05T18:30Z</t>
        </is>
      </c>
      <c r="D86" s="24" t="inlineStr">
        <is>
          <t>401867142</t>
        </is>
      </c>
      <c r="E86" s="24" t="inlineStr">
        <is>
          <t>SOCCER</t>
        </is>
      </c>
      <c r="F86" s="24" t="inlineStr">
        <is>
          <t>Real Betis</t>
        </is>
      </c>
      <c r="G86" s="24" t="inlineStr">
        <is>
          <t>Arsenal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-194</v>
      </c>
      <c r="M86" s="27" t="n">
        <v>1.515464</v>
      </c>
      <c r="N86" s="28" t="n">
        <v>0.659864</v>
      </c>
      <c r="O86" s="28" t="n">
        <v>0.615056</v>
      </c>
      <c r="P86" s="28" t="n">
        <v>0.04</v>
      </c>
      <c r="Q86" s="28" t="n">
        <v>-0.044808</v>
      </c>
      <c r="R86" s="26" t="n">
        <v>4</v>
      </c>
      <c r="S86" s="29" t="n">
        <v>0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/>
      <c r="AA86" s="28" t="n"/>
      <c r="AB86" s="28" t="n"/>
      <c r="AC86" s="30" t="n">
        <v>0</v>
      </c>
      <c r="AD86" s="24" t="inlineStr">
        <is>
          <t>2026-08-05T20:58:28.792815Z</t>
        </is>
      </c>
      <c r="AE86" s="31" t="inlineStr">
        <is>
          <t>Poisson-DC rates 1.70 (home) / 0.66 (away) from EWMA attack/defense strengths. Executable ask 0.6600 (atc-clbf-afr-rbb-2026-08-05-afr).</t>
        </is>
      </c>
      <c r="AF86" s="31" t="inlineStr">
        <is>
          <t>Research-only soccer score model; draw-aware, but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NO_CALL_WINNER_OVERVALUED</t>
        </is>
      </c>
      <c r="AP86" s="24" t="inlineStr">
        <is>
          <t>Real Betis</t>
        </is>
      </c>
      <c r="AQ86" s="24" t="inlineStr">
        <is>
          <t>Real Betis</t>
        </is>
      </c>
      <c r="AR86" s="24" t="inlineStr">
        <is>
          <t>Real Betis</t>
        </is>
      </c>
      <c r="AS86" s="24" t="inlineStr">
        <is>
          <t>Arsenal</t>
        </is>
      </c>
      <c r="AT86" s="24" t="inlineStr">
        <is>
          <t>Arsenal</t>
        </is>
      </c>
      <c r="AU86" s="24" t="inlineStr">
        <is>
          <t>Arsenal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c95ec2023134439ab985cb4cdcc58243749b9deb564fca7a2d587c15c9875427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c95ec2023134439ab985cb4cdcc58243749b9deb564fca7a2d587c15c9875427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c95ec2023134439ab985cb4cdcc58243749b9deb564fca7a2d587c15c9875427</t>
        </is>
      </c>
      <c r="BH86" s="24" t="inlineStr">
        <is>
          <t>2026-08-05T17:01:55.596249Z</t>
        </is>
      </c>
      <c r="BI86" s="24" t="inlineStr">
        <is>
          <t>["same_event","same_team_same_day","same_league_same_day"]</t>
        </is>
      </c>
      <c r="BJ86" s="25" t="n"/>
      <c r="BK86" s="26" t="n">
        <v>-194</v>
      </c>
      <c r="BL86" s="27" t="n">
        <v>1.515464</v>
      </c>
      <c r="BM86" s="28" t="n">
        <v>0.659864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331dab6fce6540c2</t>
        </is>
      </c>
      <c r="B87" s="24" t="inlineStr">
        <is>
          <t>2026-08-05T17:03:58.301897Z</t>
        </is>
      </c>
      <c r="C87" s="24" t="inlineStr">
        <is>
          <t>2026-08-05T19:00Z</t>
        </is>
      </c>
      <c r="D87" s="24" t="inlineStr">
        <is>
          <t>401886451</t>
        </is>
      </c>
      <c r="E87" s="24" t="inlineStr">
        <is>
          <t>SOCCER</t>
        </is>
      </c>
      <c r="F87" s="24" t="inlineStr">
        <is>
          <t>Paris Saint-Germain</t>
        </is>
      </c>
      <c r="G87" s="24" t="inlineStr">
        <is>
          <t>Mallorca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0.526434</v>
      </c>
      <c r="P87" s="28" t="n">
        <v>0.04</v>
      </c>
      <c r="Q87" s="28" t="n">
        <v>0.036238</v>
      </c>
      <c r="R87" s="26" t="n">
        <v>44</v>
      </c>
      <c r="S87" s="29" t="n">
        <v>0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3</v>
      </c>
      <c r="Y87" s="25" t="n"/>
      <c r="Z87" s="26" t="n"/>
      <c r="AA87" s="28" t="n"/>
      <c r="AB87" s="28" t="n"/>
      <c r="AC87" s="30" t="n">
        <v>0</v>
      </c>
      <c r="AD87" s="24" t="inlineStr">
        <is>
          <t>2026-08-05T20:58:29.328168Z</t>
        </is>
      </c>
      <c r="AE87" s="31" t="inlineStr">
        <is>
          <t>Poisson-DC rates 1.11 (home) / 1.81 (away) from EWMA attack/defense strengths. Executable ask 0.4900 (atc-clbf-mal-psg-2026-08-05-psg).</t>
        </is>
      </c>
      <c r="AF87" s="31" t="inlineStr">
        <is>
          <t>Research-only soccer score model; draw-aware, but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NO_CALL_WINNER_OVERVALUED</t>
        </is>
      </c>
      <c r="AP87" s="24" t="inlineStr">
        <is>
          <t>Paris Saint-Germain</t>
        </is>
      </c>
      <c r="AQ87" s="24" t="inlineStr">
        <is>
          <t>Paris Saint-Germain</t>
        </is>
      </c>
      <c r="AR87" s="24" t="inlineStr">
        <is>
          <t>Paris Saint-Germain</t>
        </is>
      </c>
      <c r="AS87" s="24" t="inlineStr">
        <is>
          <t>Mallorca</t>
        </is>
      </c>
      <c r="AT87" s="24" t="inlineStr">
        <is>
          <t>Mallorca</t>
        </is>
      </c>
      <c r="AU87" s="24" t="inlineStr">
        <is>
          <t>Mallorca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c95ec2023134439ab985cb4cdcc58243749b9deb564fca7a2d587c15c9875427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c95ec2023134439ab985cb4cdcc58243749b9deb564fca7a2d587c15c9875427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c95ec2023134439ab985cb4cdcc58243749b9deb564fca7a2d587c15c9875427</t>
        </is>
      </c>
      <c r="BH87" s="24" t="inlineStr">
        <is>
          <t>2026-08-05T17:01:55.733913Z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8df916fc7b0b4ee3</t>
        </is>
      </c>
      <c r="B88" s="24" t="inlineStr">
        <is>
          <t>2026-08-05T21:01:56.767307Z</t>
        </is>
      </c>
      <c r="C88" s="24" t="inlineStr">
        <is>
          <t>2026-08-05T22:00Z</t>
        </is>
      </c>
      <c r="D88" s="24" t="inlineStr">
        <is>
          <t>401841460</t>
        </is>
      </c>
      <c r="E88" s="24" t="inlineStr">
        <is>
          <t>SOCCER</t>
        </is>
      </c>
      <c r="F88" s="24" t="inlineStr">
        <is>
          <t>Estudiantes de La Plata</t>
        </is>
      </c>
      <c r="G88" s="24" t="inlineStr">
        <is>
          <t>Boca Juniors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-108</v>
      </c>
      <c r="M88" s="27" t="n">
        <v>1.925926</v>
      </c>
      <c r="N88" s="28" t="n">
        <v>0.519231</v>
      </c>
      <c r="O88" s="28" t="n">
        <v>0.500109</v>
      </c>
      <c r="P88" s="28" t="n">
        <v>0.19</v>
      </c>
      <c r="Q88" s="28" t="n">
        <v>-0.019122</v>
      </c>
      <c r="R88" s="26" t="n">
        <v>0</v>
      </c>
      <c r="S88" s="29" t="n">
        <v>0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</v>
      </c>
      <c r="AD88" s="24" t="inlineStr">
        <is>
          <t>2026-08-06T00:20:48.578143Z</t>
        </is>
      </c>
      <c r="AE88" s="31" t="inlineStr">
        <is>
          <t>Poisson-DC rates 1.66 (home) / 1.07 (away) from EWMA attack/defense strengths. Executable ask 0.5200 (atc-lpa-boc-est-2026-08-05-boc).</t>
        </is>
      </c>
      <c r="AF88" s="31" t="inlineStr">
        <is>
          <t>Research-only soccer score model; draw-aware, but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NO_CALL_WINNER_OVERVALUED</t>
        </is>
      </c>
      <c r="AP88" s="24" t="inlineStr">
        <is>
          <t>Estudiantes de La Plata</t>
        </is>
      </c>
      <c r="AQ88" s="24" t="inlineStr">
        <is>
          <t>Estudiantes de La Plata</t>
        </is>
      </c>
      <c r="AR88" s="24" t="inlineStr">
        <is>
          <t>Estudiantes de La Plata</t>
        </is>
      </c>
      <c r="AS88" s="24" t="inlineStr">
        <is>
          <t>Boca Juniors</t>
        </is>
      </c>
      <c r="AT88" s="24" t="inlineStr">
        <is>
          <t>Boca Juniors</t>
        </is>
      </c>
      <c r="AU88" s="24" t="inlineStr">
        <is>
          <t>Boca Juniors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c95ec2023134439ab985cb4cdcc58243749b9deb564fca7a2d587c15c9875427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c95ec2023134439ab985cb4cdcc58243749b9deb564fca7a2d587c15c9875427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c95ec2023134439ab985cb4cdcc58243749b9deb564fca7a2d587c15c9875427</t>
        </is>
      </c>
      <c r="BH88" s="24" t="inlineStr">
        <is>
          <t>2026-08-05T21:00:53.073019Z</t>
        </is>
      </c>
      <c r="BI88" s="24" t="inlineStr">
        <is>
          <t>["same_event","same_team_same_day","same_league_same_day"]</t>
        </is>
      </c>
      <c r="BJ88" s="25" t="n"/>
      <c r="BK88" s="26" t="n">
        <v>-108</v>
      </c>
      <c r="BL88" s="27" t="n">
        <v>1.925926</v>
      </c>
      <c r="BM88" s="28" t="n">
        <v>0.519231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</row>
    <row r="89" ht="36" customHeight="1">
      <c r="A89" s="24" t="inlineStr">
        <is>
          <t>e7d7caec12d04e99</t>
        </is>
      </c>
      <c r="B89" s="24" t="inlineStr">
        <is>
          <t>2026-08-05T21:01:56.767307Z</t>
        </is>
      </c>
      <c r="C89" s="24" t="inlineStr">
        <is>
          <t>2026-08-05T22:00Z</t>
        </is>
      </c>
      <c r="D89" s="24" t="inlineStr">
        <is>
          <t>401843990</t>
        </is>
      </c>
      <c r="E89" s="24" t="inlineStr">
        <is>
          <t>SOCCER</t>
        </is>
      </c>
      <c r="F89" s="24" t="inlineStr">
        <is>
          <t>Gimnasia y Esgrima (Jujuy)</t>
        </is>
      </c>
      <c r="G89" s="24" t="inlineStr">
        <is>
          <t>Quilmes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117</v>
      </c>
      <c r="M89" s="27" t="n">
        <v>2.17</v>
      </c>
      <c r="N89" s="28" t="n">
        <v>0.460829</v>
      </c>
      <c r="O89" s="28" t="n">
        <v>0.440521</v>
      </c>
      <c r="P89" s="28" t="n">
        <v>0.2</v>
      </c>
      <c r="Q89" s="28" t="n">
        <v>-0.020308</v>
      </c>
      <c r="R89" s="26" t="n">
        <v>0</v>
      </c>
      <c r="S89" s="29" t="n">
        <v>0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0</v>
      </c>
      <c r="AD89" s="24" t="inlineStr">
        <is>
          <t>2026-08-06T03:26:38.820063Z</t>
        </is>
      </c>
      <c r="AE89" s="31" t="inlineStr">
        <is>
          <t>Poisson-DC rates 1.46 (home) / 1.10 (away) from EWMA attack/defense strengths. Executable ask 0.4600 (atc-arg2-qui-ge-2026-08-05-qui).</t>
        </is>
      </c>
      <c r="AF89" s="31" t="inlineStr">
        <is>
          <t>Research-only soccer score model; draw-aware, but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Gimnasia y Esgrima (Jujuy)</t>
        </is>
      </c>
      <c r="AQ89" s="24" t="inlineStr">
        <is>
          <t>Gimnasia y Esgrima (Jujuy)</t>
        </is>
      </c>
      <c r="AR89" s="24" t="inlineStr">
        <is>
          <t>Gimnasia y Esgrima (Jujuy)</t>
        </is>
      </c>
      <c r="AS89" s="24" t="inlineStr">
        <is>
          <t>Quilmes</t>
        </is>
      </c>
      <c r="AT89" s="24" t="inlineStr">
        <is>
          <t>Quilmes</t>
        </is>
      </c>
      <c r="AU89" s="24" t="inlineStr">
        <is>
          <t>Quilmes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c95ec2023134439ab985cb4cdcc58243749b9deb564fca7a2d587c15c9875427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c95ec2023134439ab985cb4cdcc58243749b9deb564fca7a2d587c15c9875427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c95ec2023134439ab985cb4cdcc58243749b9deb564fca7a2d587c15c9875427</t>
        </is>
      </c>
      <c r="BH89" s="24" t="inlineStr">
        <is>
          <t>2026-08-05T21:00:53.307981Z</t>
        </is>
      </c>
      <c r="BI89" s="24" t="inlineStr">
        <is>
          <t>["same_event","same_team_same_day","same_league_same_day"]</t>
        </is>
      </c>
      <c r="BJ89" s="25" t="n"/>
      <c r="BK89" s="26" t="n">
        <v>117</v>
      </c>
      <c r="BL89" s="27" t="n">
        <v>2.17</v>
      </c>
      <c r="BM89" s="28" t="n">
        <v>0.460829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6d8a9fdda4384935</t>
        </is>
      </c>
      <c r="B90" s="24" t="inlineStr">
        <is>
          <t>2026-08-07T09:10:39.169965Z</t>
        </is>
      </c>
      <c r="C90" s="24" t="inlineStr">
        <is>
          <t>2026-08-07T12:00Z</t>
        </is>
      </c>
      <c r="D90" s="24" t="inlineStr">
        <is>
          <t>401867952</t>
        </is>
      </c>
      <c r="E90" s="24" t="inlineStr">
        <is>
          <t>SOCCER</t>
        </is>
      </c>
      <c r="F90" s="24" t="inlineStr">
        <is>
          <t>Aston Villa</t>
        </is>
      </c>
      <c r="G90" s="24" t="inlineStr">
        <is>
          <t>Bayern Munich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0.784326</v>
      </c>
      <c r="P90" s="28" t="n">
        <v>0.04</v>
      </c>
      <c r="Q90" s="28" t="n">
        <v>0.265095</v>
      </c>
      <c r="R90" s="26" t="n">
        <v>100</v>
      </c>
      <c r="S90" s="29" t="n">
        <v>2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win</t>
        </is>
      </c>
      <c r="W90" s="26" t="n">
        <v>1</v>
      </c>
      <c r="X90" s="26" t="n">
        <v>2</v>
      </c>
      <c r="Y90" s="25" t="n"/>
      <c r="Z90" s="26" t="n"/>
      <c r="AA90" s="28" t="n"/>
      <c r="AB90" s="28" t="n"/>
      <c r="AC90" s="30" t="n">
        <v>1.8519</v>
      </c>
      <c r="AD90" s="24" t="inlineStr">
        <is>
          <t>2026-08-07T15:18:25.790098Z</t>
        </is>
      </c>
      <c r="AE90" s="31" t="inlineStr">
        <is>
          <t>Poisson-DC rates 3.72 (home) / 1.43 (away) from EWMA attack/defense strengths. Executable ask 0.5200 (atc-clbf-bmu-avl-2026-08-07-bmu).</t>
        </is>
      </c>
      <c r="AF90" s="31" t="inlineStr">
        <is>
          <t>Research-only soccer score model; draw-aware, but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Aston Villa</t>
        </is>
      </c>
      <c r="AQ90" s="24" t="inlineStr">
        <is>
          <t>Aston Villa</t>
        </is>
      </c>
      <c r="AR90" s="24" t="inlineStr">
        <is>
          <t>Aston Villa</t>
        </is>
      </c>
      <c r="AS90" s="24" t="inlineStr">
        <is>
          <t>Bayern Munich</t>
        </is>
      </c>
      <c r="AT90" s="24" t="inlineStr">
        <is>
          <t>Bayern Munich</t>
        </is>
      </c>
      <c r="AU90" s="24" t="inlineStr">
        <is>
          <t>Bayern Munich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c95ec2023134439ab985cb4cdcc58243749b9deb564fca7a2d587c15c9875427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c95ec2023134439ab985cb4cdcc58243749b9deb564fca7a2d587c15c9875427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c95ec2023134439ab985cb4cdcc58243749b9deb564fca7a2d587c15c9875427</t>
        </is>
      </c>
      <c r="BH90" s="24" t="inlineStr">
        <is>
          <t>2026-08-07T09:08:46.980092Z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f058390f4b004de1</t>
        </is>
      </c>
      <c r="B91" s="24" t="inlineStr">
        <is>
          <t>2026-08-07T18:30:33.836209Z</t>
        </is>
      </c>
      <c r="C91" s="24" t="inlineStr">
        <is>
          <t>2026-08-07T23:30Z</t>
        </is>
      </c>
      <c r="D91" s="24" t="inlineStr">
        <is>
          <t>401860269</t>
        </is>
      </c>
      <c r="E91" s="24" t="inlineStr">
        <is>
          <t>SOCCER</t>
        </is>
      </c>
      <c r="F91" s="24" t="inlineStr">
        <is>
          <t>Ponte Preta</t>
        </is>
      </c>
      <c r="G91" s="24" t="inlineStr">
        <is>
          <t>Ceará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-233</v>
      </c>
      <c r="M91" s="27" t="n">
        <v>1.429185</v>
      </c>
      <c r="N91" s="28" t="n">
        <v>0.6997</v>
      </c>
      <c r="O91" s="28" t="n">
        <v>0.483295</v>
      </c>
      <c r="P91" s="28" t="n">
        <v>0.2</v>
      </c>
      <c r="Q91" s="28" t="n">
        <v>-0.216405</v>
      </c>
      <c r="R91" s="26" t="n">
        <v>0</v>
      </c>
      <c r="S91" s="29" t="n">
        <v>0</v>
      </c>
      <c r="T91" s="24" t="inlineStr">
        <is>
          <t>soccer-poisson-dc-v1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Poisson-DC rates 1.72 (home) / 1.20 (away) from EWMA attack/defense strengths. Executable ask 0.7000 (atc-brb-csc-pop-2026-08-07-csc).</t>
        </is>
      </c>
      <c r="AF91" s="31" t="inlineStr">
        <is>
          <t>Research-only soccer score model; draw-aware, but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Ponte Preta</t>
        </is>
      </c>
      <c r="AQ91" s="24" t="inlineStr">
        <is>
          <t>Ponte Preta</t>
        </is>
      </c>
      <c r="AR91" s="24" t="inlineStr">
        <is>
          <t>Ponte Preta</t>
        </is>
      </c>
      <c r="AS91" s="24" t="inlineStr">
        <is>
          <t>Ceará</t>
        </is>
      </c>
      <c r="AT91" s="24" t="inlineStr">
        <is>
          <t>Ceará</t>
        </is>
      </c>
      <c r="AU91" s="24" t="inlineStr">
        <is>
          <t>Ceará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c95ec2023134439ab985cb4cdcc58243749b9deb564fca7a2d587c15c9875427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c95ec2023134439ab985cb4cdcc58243749b9deb564fca7a2d587c15c9875427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c95ec2023134439ab985cb4cdcc58243749b9deb564fca7a2d587c15c9875427</t>
        </is>
      </c>
      <c r="BH91" s="24" t="inlineStr">
        <is>
          <t>2026-08-07T18:28:04.155625Z</t>
        </is>
      </c>
      <c r="BI91" s="24" t="inlineStr">
        <is>
          <t>["same_event","same_team_same_day","same_league_same_day"]</t>
        </is>
      </c>
      <c r="BJ91" s="25" t="n"/>
      <c r="BK91" s="26" t="n">
        <v>-233</v>
      </c>
      <c r="BL91" s="27" t="n">
        <v>1.429185</v>
      </c>
      <c r="BM91" s="28" t="n">
        <v>0.6997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09814b91eb264833</t>
        </is>
      </c>
      <c r="B92" s="24" t="inlineStr">
        <is>
          <t>2026-08-07T18:30:33.836209Z</t>
        </is>
      </c>
      <c r="C92" s="24" t="inlineStr">
        <is>
          <t>2026-08-07T22:30Z</t>
        </is>
      </c>
      <c r="D92" s="24" t="inlineStr">
        <is>
          <t>401841491</t>
        </is>
      </c>
      <c r="E92" s="24" t="inlineStr">
        <is>
          <t>SOCCER</t>
        </is>
      </c>
      <c r="F92" s="24" t="inlineStr">
        <is>
          <t>Aldosivi</t>
        </is>
      </c>
      <c r="G92" s="24" t="inlineStr">
        <is>
          <t>Rosario Central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-194</v>
      </c>
      <c r="M92" s="27" t="n">
        <v>1.515464</v>
      </c>
      <c r="N92" s="28" t="n">
        <v>0.659864</v>
      </c>
      <c r="O92" s="28" t="n">
        <v>0.456135</v>
      </c>
      <c r="P92" s="28" t="n">
        <v>0.2</v>
      </c>
      <c r="Q92" s="28" t="n">
        <v>-0.203729</v>
      </c>
      <c r="R92" s="26" t="n">
        <v>0</v>
      </c>
      <c r="S92" s="29" t="n">
        <v>0</v>
      </c>
      <c r="T92" s="24" t="inlineStr">
        <is>
          <t>soccer-poisson-dc-v1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Poisson-DC rates 1.64 (home) / 1.24 (away) from EWMA attack/defense strengths. Executable ask 0.6600 (atc-lpa-ros-ald-2026-08-07-ros).</t>
        </is>
      </c>
      <c r="AF92" s="31" t="inlineStr">
        <is>
          <t>Research-only soccer score model; draw-aware, but not yet locked-holdout qualified.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NO_CALL_WINNER_OVERVALUED</t>
        </is>
      </c>
      <c r="AP92" s="24" t="inlineStr">
        <is>
          <t>Aldosivi</t>
        </is>
      </c>
      <c r="AQ92" s="24" t="inlineStr">
        <is>
          <t>Aldosivi</t>
        </is>
      </c>
      <c r="AR92" s="24" t="inlineStr">
        <is>
          <t>Aldosivi</t>
        </is>
      </c>
      <c r="AS92" s="24" t="inlineStr">
        <is>
          <t>Rosario Central</t>
        </is>
      </c>
      <c r="AT92" s="24" t="inlineStr">
        <is>
          <t>Rosario Central</t>
        </is>
      </c>
      <c r="AU92" s="24" t="inlineStr">
        <is>
          <t>Rosario Central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c95ec2023134439ab985cb4cdcc58243749b9deb564fca7a2d587c15c9875427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c95ec2023134439ab985cb4cdcc58243749b9deb564fca7a2d587c15c9875427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c95ec2023134439ab985cb4cdcc58243749b9deb564fca7a2d587c15c9875427</t>
        </is>
      </c>
      <c r="BH92" s="24" t="inlineStr">
        <is>
          <t>2026-08-07T18:28:04.333422Z</t>
        </is>
      </c>
      <c r="BI92" s="24" t="inlineStr">
        <is>
          <t>["same_event","same_team_same_day","same_league_same_day"]</t>
        </is>
      </c>
      <c r="BJ92" s="25" t="n"/>
      <c r="BK92" s="26" t="n">
        <v>-194</v>
      </c>
      <c r="BL92" s="27" t="n">
        <v>1.515464</v>
      </c>
      <c r="BM92" s="28" t="n">
        <v>0.659864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5568763dc4a944db</t>
        </is>
      </c>
      <c r="B93" s="24" t="inlineStr">
        <is>
          <t>2026-08-07T18:30:33.836209Z</t>
        </is>
      </c>
      <c r="C93" s="24" t="inlineStr">
        <is>
          <t>2026-08-07T22:00Z</t>
        </is>
      </c>
      <c r="D93" s="24" t="inlineStr">
        <is>
          <t>401905201</t>
        </is>
      </c>
      <c r="E93" s="24" t="inlineStr">
        <is>
          <t>SOCCER</t>
        </is>
      </c>
      <c r="F93" s="24" t="inlineStr">
        <is>
          <t>Juventud</t>
        </is>
      </c>
      <c r="G93" s="24" t="inlineStr">
        <is>
          <t>Cerro Largo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194</v>
      </c>
      <c r="M93" s="27" t="n">
        <v>2.94</v>
      </c>
      <c r="N93" s="28" t="n">
        <v>0.340136</v>
      </c>
      <c r="O93" s="28" t="n">
        <v>0.456135</v>
      </c>
      <c r="P93" s="28" t="n">
        <v>0.2</v>
      </c>
      <c r="Q93" s="28" t="n">
        <v>0.115999</v>
      </c>
      <c r="R93" s="26" t="n">
        <v>0</v>
      </c>
      <c r="S93" s="29" t="n">
        <v>0</v>
      </c>
      <c r="T93" s="24" t="inlineStr">
        <is>
          <t>soccer-poisson-dc-v1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Poisson-DC rates 1.64 (home) / 1.24 (away) from EWMA attack/defense strengths. Executable ask 0.3400 (atc-uru1-cla-juv-2026-08-07-cla).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NO_CALL_WINNER_OVERVALUED</t>
        </is>
      </c>
      <c r="AP93" s="24" t="inlineStr">
        <is>
          <t>Juventud</t>
        </is>
      </c>
      <c r="AQ93" s="24" t="inlineStr">
        <is>
          <t>Juventud</t>
        </is>
      </c>
      <c r="AR93" s="24" t="inlineStr">
        <is>
          <t>Juventud</t>
        </is>
      </c>
      <c r="AS93" s="24" t="inlineStr">
        <is>
          <t>Cerro Largo</t>
        </is>
      </c>
      <c r="AT93" s="24" t="inlineStr">
        <is>
          <t>Cerro Largo</t>
        </is>
      </c>
      <c r="AU93" s="24" t="inlineStr">
        <is>
          <t>Cerro Largo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c95ec2023134439ab985cb4cdcc58243749b9deb564fca7a2d587c15c9875427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c95ec2023134439ab985cb4cdcc58243749b9deb564fca7a2d587c15c9875427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c95ec2023134439ab985cb4cdcc58243749b9deb564fca7a2d587c15c9875427</t>
        </is>
      </c>
      <c r="BH93" s="24" t="inlineStr">
        <is>
          <t>2026-08-07T18:28:04.740187Z</t>
        </is>
      </c>
      <c r="BI93" s="24" t="inlineStr">
        <is>
          <t>["same_event","same_team_same_day","same_league_same_day"]</t>
        </is>
      </c>
      <c r="BJ93" s="25" t="n"/>
      <c r="BK93" s="26" t="n">
        <v>194</v>
      </c>
      <c r="BL93" s="27" t="n">
        <v>2.94</v>
      </c>
      <c r="BM93" s="28" t="n">
        <v>0.340136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ec9fbb53d3bd434e</t>
        </is>
      </c>
      <c r="B94" s="24" t="inlineStr">
        <is>
          <t>2026-08-07T18:30:33.836209Z</t>
        </is>
      </c>
      <c r="C94" s="24" t="inlineStr">
        <is>
          <t>2026-08-07T20:15Z</t>
        </is>
      </c>
      <c r="D94" s="24" t="inlineStr">
        <is>
          <t>401886111</t>
        </is>
      </c>
      <c r="E94" s="24" t="inlineStr">
        <is>
          <t>SOCCER</t>
        </is>
      </c>
      <c r="F94" s="24" t="inlineStr">
        <is>
          <t>Cusco FC</t>
        </is>
      </c>
      <c r="G94" s="24" t="inlineStr">
        <is>
          <t>Comerciantes Unidos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163</v>
      </c>
      <c r="M94" s="27" t="n">
        <v>2.63</v>
      </c>
      <c r="N94" s="28" t="n">
        <v>0.380228</v>
      </c>
      <c r="O94" s="28" t="n">
        <v>0.394611</v>
      </c>
      <c r="P94" s="28" t="n">
        <v>0.19</v>
      </c>
      <c r="Q94" s="28" t="n">
        <v>0.014383</v>
      </c>
      <c r="R94" s="26" t="n">
        <v>0</v>
      </c>
      <c r="S94" s="29" t="n">
        <v>0</v>
      </c>
      <c r="T94" s="24" t="inlineStr">
        <is>
          <t>soccer-poisson-dc-v1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Poisson-DC rates 1.66 (home) / 1.56 (away) from EWMA attack/defense strengths. Executable ask 0.3800 (atc-pl1-cou-gar-2026-08-07-cou).</t>
        </is>
      </c>
      <c r="AF94" s="31" t="inlineStr">
        <is>
          <t>Research-only soccer score model; draw-aware, but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NO_CALL_WINNER_OVERVALUED</t>
        </is>
      </c>
      <c r="AP94" s="24" t="inlineStr">
        <is>
          <t>Cusco FC</t>
        </is>
      </c>
      <c r="AQ94" s="24" t="inlineStr">
        <is>
          <t>Cusco FC</t>
        </is>
      </c>
      <c r="AR94" s="24" t="inlineStr">
        <is>
          <t>Cusco FC</t>
        </is>
      </c>
      <c r="AS94" s="24" t="inlineStr">
        <is>
          <t>Comerciantes Unidos</t>
        </is>
      </c>
      <c r="AT94" s="24" t="inlineStr">
        <is>
          <t>Comerciantes Unidos</t>
        </is>
      </c>
      <c r="AU94" s="24" t="inlineStr">
        <is>
          <t>Comerciantes Unidos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c95ec2023134439ab985cb4cdcc58243749b9deb564fca7a2d587c15c9875427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c95ec2023134439ab985cb4cdcc58243749b9deb564fca7a2d587c15c9875427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c95ec2023134439ab985cb4cdcc58243749b9deb564fca7a2d587c15c9875427</t>
        </is>
      </c>
      <c r="BH94" s="24" t="inlineStr">
        <is>
          <t>2026-08-07T18:28:05.240611Z</t>
        </is>
      </c>
      <c r="BI94" s="24" t="inlineStr">
        <is>
          <t>["same_event","same_team_same_day","same_league_same_day"]</t>
        </is>
      </c>
      <c r="BJ94" s="25" t="n"/>
      <c r="BK94" s="26" t="n">
        <v>163</v>
      </c>
      <c r="BL94" s="27" t="n">
        <v>2.63</v>
      </c>
      <c r="BM94" s="28" t="n">
        <v>0.380228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65cbf0fd53194669</t>
        </is>
      </c>
      <c r="B95" s="24" t="inlineStr">
        <is>
          <t>2026-08-07T18:30:33.836209Z</t>
        </is>
      </c>
      <c r="C95" s="24" t="inlineStr">
        <is>
          <t>2026-08-07T18:45Z</t>
        </is>
      </c>
      <c r="D95" s="24" t="inlineStr">
        <is>
          <t>401906279</t>
        </is>
      </c>
      <c r="E95" s="24" t="inlineStr">
        <is>
          <t>SOCCER</t>
        </is>
      </c>
      <c r="F95" s="24" t="inlineStr">
        <is>
          <t>Padova</t>
        </is>
      </c>
      <c r="G95" s="24" t="inlineStr">
        <is>
          <t>Monza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426</v>
      </c>
      <c r="M95" s="27" t="n">
        <v>5.26</v>
      </c>
      <c r="N95" s="28" t="n">
        <v>0.190114</v>
      </c>
      <c r="O95" s="28" t="n">
        <v>0.5644479999999999</v>
      </c>
      <c r="P95" s="28" t="n">
        <v>0.2</v>
      </c>
      <c r="Q95" s="28" t="n">
        <v>0.374334</v>
      </c>
      <c r="R95" s="26" t="n">
        <v>100</v>
      </c>
      <c r="S95" s="29" t="n">
        <v>1</v>
      </c>
      <c r="T95" s="24" t="inlineStr">
        <is>
          <t>soccer-poisson-dc-v1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Poisson-DC rates 0.86 (home) / 1.71 (away) from EWMA attack/defense strengths. Executable ask 0.1900 (atc-clbf-mon-pad-2026-08-07-pad).</t>
        </is>
      </c>
      <c r="AF95" s="31" t="inlineStr">
        <is>
          <t>Research-only soccer score model; draw-aware, but not yet locked-holdout qualified.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Padova</t>
        </is>
      </c>
      <c r="AQ95" s="24" t="inlineStr">
        <is>
          <t>Padova</t>
        </is>
      </c>
      <c r="AR95" s="24" t="inlineStr">
        <is>
          <t>Padova</t>
        </is>
      </c>
      <c r="AS95" s="24" t="inlineStr">
        <is>
          <t>Monza</t>
        </is>
      </c>
      <c r="AT95" s="24" t="inlineStr">
        <is>
          <t>Monza</t>
        </is>
      </c>
      <c r="AU95" s="24" t="inlineStr">
        <is>
          <t>Monza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c95ec2023134439ab985cb4cdcc58243749b9deb564fca7a2d587c15c9875427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c95ec2023134439ab985cb4cdcc58243749b9deb564fca7a2d587c15c9875427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c95ec2023134439ab985cb4cdcc58243749b9deb564fca7a2d587c15c9875427</t>
        </is>
      </c>
      <c r="BH95" s="24" t="inlineStr">
        <is>
          <t>2026-08-07T18:28:05.312057Z</t>
        </is>
      </c>
      <c r="BI95" s="24" t="inlineStr">
        <is>
          <t>["same_event","same_team_same_day","same_league_same_day"]</t>
        </is>
      </c>
      <c r="BJ95" s="25" t="n"/>
      <c r="BK95" s="26" t="n">
        <v>426</v>
      </c>
      <c r="BL95" s="27" t="n">
        <v>5.26</v>
      </c>
      <c r="BM95" s="28" t="n">
        <v>0.190114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2026-08-07T18:30:37Z</dcterms:created>
  <dcterms:modified xmlns:dcterms="http://purl.org/dc/terms/" xmlns:xsi="http://www.w3.org/2001/XMLSchema-instance" xsi:type="dcterms:W3CDTF">2026-08-07T18:30:37Z</dcterms:modified>
</cp:coreProperties>
</file>