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88" headerRowCount="1">
  <autoFilter ref="A1:CS8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COUNTA('Picks'!$A$2:$A$88)</f>
        <v/>
      </c>
      <c r="C4" s="6">
        <f>COUNTIF('Picks'!$U$2:$U$88,"open")</f>
        <v/>
      </c>
      <c r="E4" s="6">
        <f>COUNTIF('Picks'!$U$2:$U$88,"settled")</f>
        <v/>
      </c>
      <c r="G4" s="6">
        <f>IF(COUNTIFS('Picks'!$U$2:$U$88,"settled",'Picks'!$V$2:$V$88,"win")+COUNTIFS('Picks'!$U$2:$U$88,"settled",'Picks'!$V$2:$V$88,"loss")&gt;=$L$2,"Ready","Insufficient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COUNTIF('Picks'!$BX$2:$BX$88,"&gt;0")</f>
        <v/>
      </c>
      <c r="C7" s="6">
        <f>COUNTIFS('Picks'!$BX$2:$BX$88,"&gt;0",'Picks'!$V$2:$V$88,"win")&amp;"-"&amp;COUNTIFS('Picks'!$BX$2:$BX$88,"&gt;0",'Picks'!$V$2:$V$88,"loss")</f>
        <v/>
      </c>
      <c r="E7" s="7">
        <f>IFERROR(COUNTIFS('Picks'!$BX$2:$BX$88,"&gt;0",'Picks'!$V$2:$V$88,"win")/(COUNTIFS('Picks'!$BX$2:$BX$88,"&gt;0",'Picks'!$V$2:$V$88,"win")+COUNTIFS('Picks'!$BX$2:$BX$88,"&gt;0",'Picks'!$V$2:$V$88,"loss")),0)</f>
        <v/>
      </c>
      <c r="G7" s="7">
        <f>IFERROR(SUM('Picks'!$BY$2:$BY$88)/SUM('Picks'!$BX$2:$BX$88),0)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SUM('Picks'!$BY$2:$BY$88)</f>
        <v/>
      </c>
      <c r="C10" s="9">
        <f>IFERROR(AVERAGEIF('Picks'!$AB$2:$AB$88,"&lt;&gt;",'Picks'!$AB$2:$AB$88),0)</f>
        <v/>
      </c>
      <c r="E10" s="6">
        <f>COUNTIFS('Picks'!$AM$2:$AM$88,"QUALIFIED_SHADOW_CALL",'Picks'!$U$2:$U$88,"settled")</f>
        <v/>
      </c>
      <c r="G10" s="8">
        <f>SUMIFS('Picks'!$AC$2:$AC$88,'Picks'!$AM$2:$AM$88,"QUALIFIED_SHADOW_CALL")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COUNTIFS('Picks'!$H$2:$H$88,$A14,'Picks'!$U$2:$U$88,"settled")</f>
        <v/>
      </c>
      <c r="C14" s="13">
        <f>COUNTIFS('Picks'!$H$2:$H$88,$A14,'Picks'!$U$2:$U$88,"settled",'Picks'!$V$2:$V$88,"win")</f>
        <v/>
      </c>
      <c r="D14" s="13">
        <f>COUNTIFS('Picks'!$H$2:$H$88,$A14,'Picks'!$U$2:$U$88,"settled",'Picks'!$V$2:$V$88,"loss")</f>
        <v/>
      </c>
      <c r="E14" s="14">
        <f>IFERROR(C14/(C14+D14),0)</f>
        <v/>
      </c>
      <c r="F14" s="15">
        <f>SUMIFS('Picks'!$BY$2:$BY$88,'Picks'!$H$2:$H$88,$A14)</f>
        <v/>
      </c>
      <c r="G14" s="16">
        <f>IFERROR(AVERAGEIFS('Picks'!$AB$2:$AB$88,'Picks'!$H$2:$H$88,$A14,'Picks'!$U$2:$U$88,"settled"),0)</f>
        <v/>
      </c>
    </row>
    <row r="15">
      <c r="A15" s="17" t="inlineStr">
        <is>
          <t>spread</t>
        </is>
      </c>
      <c r="B15" s="18">
        <f>COUNTIFS('Picks'!$H$2:$H$88,$A15,'Picks'!$U$2:$U$88,"settled")</f>
        <v/>
      </c>
      <c r="C15" s="18">
        <f>COUNTIFS('Picks'!$H$2:$H$88,$A15,'Picks'!$U$2:$U$88,"settled",'Picks'!$V$2:$V$88,"win")</f>
        <v/>
      </c>
      <c r="D15" s="18">
        <f>COUNTIFS('Picks'!$H$2:$H$88,$A15,'Picks'!$U$2:$U$88,"settled",'Picks'!$V$2:$V$88,"loss")</f>
        <v/>
      </c>
      <c r="E15" s="19">
        <f>IFERROR(C15/(C15+D15),0)</f>
        <v/>
      </c>
      <c r="F15" s="20">
        <f>SUMIFS('Picks'!$BY$2:$BY$88,'Picks'!$H$2:$H$88,$A15)</f>
        <v/>
      </c>
      <c r="G15" s="21">
        <f>IFERROR(AVERAGEIFS('Picks'!$AB$2:$AB$88,'Picks'!$H$2:$H$88,$A15,'Picks'!$U$2:$U$88,"settled"),0)</f>
        <v/>
      </c>
    </row>
    <row r="16">
      <c r="A16" s="12" t="inlineStr">
        <is>
          <t>total</t>
        </is>
      </c>
      <c r="B16" s="13">
        <f>COUNTIFS('Picks'!$H$2:$H$88,$A16,'Picks'!$U$2:$U$88,"settled")</f>
        <v/>
      </c>
      <c r="C16" s="13">
        <f>COUNTIFS('Picks'!$H$2:$H$88,$A16,'Picks'!$U$2:$U$88,"settled",'Picks'!$V$2:$V$88,"win")</f>
        <v/>
      </c>
      <c r="D16" s="13">
        <f>COUNTIFS('Picks'!$H$2:$H$88,$A16,'Picks'!$U$2:$U$88,"settled",'Picks'!$V$2:$V$88,"loss")</f>
        <v/>
      </c>
      <c r="E16" s="14">
        <f>IFERROR(C16/(C16+D16),0)</f>
        <v/>
      </c>
      <c r="F16" s="15">
        <f>SUMIFS('Picks'!$BY$2:$BY$88,'Picks'!$H$2:$H$88,$A16)</f>
        <v/>
      </c>
      <c r="G16" s="16">
        <f>IFERROR(AVERAGEIFS('Picks'!$AB$2:$AB$88,'Picks'!$H$2:$H$88,$A16,'Picks'!$U$2:$U$88,"settled"),0)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0682c489cec848f9</t>
        </is>
      </c>
      <c r="B83" s="24" t="inlineStr">
        <is>
          <t>2026-08-04T16:53:20.897729Z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-614</v>
      </c>
      <c r="M83" s="27" t="n">
        <v>1.162866</v>
      </c>
      <c r="N83" s="28" t="n">
        <v>0.859944</v>
      </c>
      <c r="O83" s="28" t="n">
        <v>0.480757</v>
      </c>
      <c r="P83" s="28" t="n">
        <v>0.2</v>
      </c>
      <c r="Q83" s="28" t="n">
        <v>-0.379187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1</v>
      </c>
      <c r="Y83" s="25" t="n"/>
      <c r="Z83" s="26" t="n"/>
      <c r="AA83" s="28" t="n"/>
      <c r="AB83" s="28" t="n"/>
      <c r="AC83" s="30" t="n">
        <v>0.1629</v>
      </c>
      <c r="AD83" s="24" t="inlineStr">
        <is>
          <t>2026-08-04T21:59:03.661368Z</t>
        </is>
      </c>
      <c r="AE83" s="31" t="inlineStr">
        <is>
          <t>Poisson-DC rates 1.07 (home) / 1.59 (away) from EWMA attack/defense strengths. Executable ask 0.8600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2026-08-04T16:50:24.939028Z</t>
        </is>
      </c>
      <c r="BI83" s="24" t="inlineStr">
        <is>
          <t>["same_event","same_team_same_day","same_league_same_day"]</t>
        </is>
      </c>
      <c r="BJ83" s="25" t="n"/>
      <c r="BK83" s="26" t="n">
        <v>-614</v>
      </c>
      <c r="BL83" s="27" t="n">
        <v>1.162866</v>
      </c>
      <c r="BM83" s="28" t="n">
        <v>0.859944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  <row r="84" ht="36" customHeight="1">
      <c r="A84" s="24" t="inlineStr">
        <is>
          <t>59c4be4e115e4c99</t>
        </is>
      </c>
      <c r="B84" s="24" t="inlineStr">
        <is>
          <t>2026-08-05T10:45:53.298989Z</t>
        </is>
      </c>
      <c r="C84" s="24" t="inlineStr">
        <is>
          <t>2026-08-05T11:30Z</t>
        </is>
      </c>
      <c r="D84" s="24" t="inlineStr">
        <is>
          <t>401871494</t>
        </is>
      </c>
      <c r="E84" s="24" t="inlineStr">
        <is>
          <t>SOCCER</t>
        </is>
      </c>
      <c r="F84" s="24" t="inlineStr">
        <is>
          <t>Juventus</t>
        </is>
      </c>
      <c r="G84" s="24" t="inlineStr">
        <is>
          <t>Chelsea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233</v>
      </c>
      <c r="M84" s="27" t="n">
        <v>3.33</v>
      </c>
      <c r="N84" s="28" t="n">
        <v>0.3003</v>
      </c>
      <c r="O84" s="28" t="n">
        <v>0.483062</v>
      </c>
      <c r="P84" s="28" t="n">
        <v>0.04</v>
      </c>
      <c r="Q84" s="28" t="n">
        <v>0.182762</v>
      </c>
      <c r="R84" s="26" t="n">
        <v>100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2.33</v>
      </c>
      <c r="AD84" s="24" t="inlineStr">
        <is>
          <t>2026-08-05T13:50:15.913809Z</t>
        </is>
      </c>
      <c r="AE84" s="31" t="inlineStr">
        <is>
          <t>Poisson-DC rates 1.02 (home) / 1.55 (away) from EWMA attack/defense strengths. Executable ask 0.3000 (atc-clbf-cfc-juv-2026-08-05-juv).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Juventus</t>
        </is>
      </c>
      <c r="AQ84" s="24" t="inlineStr">
        <is>
          <t>Juventus</t>
        </is>
      </c>
      <c r="AR84" s="24" t="inlineStr">
        <is>
          <t>Juventus</t>
        </is>
      </c>
      <c r="AS84" s="24" t="inlineStr">
        <is>
          <t>Chelsea</t>
        </is>
      </c>
      <c r="AT84" s="24" t="inlineStr">
        <is>
          <t>Chelsea</t>
        </is>
      </c>
      <c r="AU84" s="24" t="inlineStr">
        <is>
          <t>Chelsea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c95ec2023134439ab985cb4cdcc58243749b9deb564fca7a2d587c15c9875427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c95ec2023134439ab985cb4cdcc58243749b9deb564fca7a2d587c15c9875427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c95ec2023134439ab985cb4cdcc58243749b9deb564fca7a2d587c15c9875427</t>
        </is>
      </c>
      <c r="BH84" s="24" t="inlineStr">
        <is>
          <t>2026-08-05T10:42:33.963889Z</t>
        </is>
      </c>
      <c r="BI84" s="24" t="inlineStr">
        <is>
          <t>["same_event","same_team_same_day","same_league_same_day"]</t>
        </is>
      </c>
      <c r="BJ84" s="25" t="n"/>
      <c r="BK84" s="26" t="n">
        <v>233</v>
      </c>
      <c r="BL84" s="27" t="n">
        <v>3.33</v>
      </c>
      <c r="BM84" s="28" t="n">
        <v>0.3003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</row>
    <row r="85" ht="36" customHeight="1">
      <c r="A85" s="24" t="inlineStr">
        <is>
          <t>fbdaec01e3d74d51</t>
        </is>
      </c>
      <c r="B85" s="24" t="inlineStr">
        <is>
          <t>2026-08-05T13:55:50.543648Z</t>
        </is>
      </c>
      <c r="C85" s="24" t="inlineStr">
        <is>
          <t>2026-08-05T22:00Z</t>
        </is>
      </c>
      <c r="D85" s="24" t="inlineStr">
        <is>
          <t>401841460</t>
        </is>
      </c>
      <c r="E85" s="24" t="inlineStr">
        <is>
          <t>SOCCER</t>
        </is>
      </c>
      <c r="F85" s="24" t="inlineStr">
        <is>
          <t>Estudiantes de La Plata</t>
        </is>
      </c>
      <c r="G85" s="24" t="inlineStr">
        <is>
          <t>Boca Juniors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0.500109</v>
      </c>
      <c r="P85" s="28" t="n">
        <v>0.19</v>
      </c>
      <c r="Q85" s="28" t="n">
        <v>0.03928</v>
      </c>
      <c r="R85" s="26" t="n">
        <v>0</v>
      </c>
      <c r="S85" s="29" t="n">
        <v>1</v>
      </c>
      <c r="T85" s="24" t="inlineStr">
        <is>
          <t>soccer-poisson-dc-v1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Poisson-DC rates 1.66 (home) / 1.07 (away) from EWMA attack/defense strengths. Executable ask 0.4600 (atc-lpa-boc-est-2026-08-05-boc).</t>
        </is>
      </c>
      <c r="AF85" s="31" t="inlineStr">
        <is>
          <t>Research-only soccer score model; draw-aware, but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Estudiantes de La Plata</t>
        </is>
      </c>
      <c r="AQ85" s="24" t="inlineStr">
        <is>
          <t>Estudiantes de La Plata</t>
        </is>
      </c>
      <c r="AR85" s="24" t="inlineStr">
        <is>
          <t>Estudiantes de La Plata</t>
        </is>
      </c>
      <c r="AS85" s="24" t="inlineStr">
        <is>
          <t>Boca Juniors</t>
        </is>
      </c>
      <c r="AT85" s="24" t="inlineStr">
        <is>
          <t>Boca Juniors</t>
        </is>
      </c>
      <c r="AU85" s="24" t="inlineStr">
        <is>
          <t>Boca Juniors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c95ec2023134439ab985cb4cdcc58243749b9deb564fca7a2d587c15c9875427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c95ec2023134439ab985cb4cdcc58243749b9deb564fca7a2d587c15c9875427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c95ec2023134439ab985cb4cdcc58243749b9deb564fca7a2d587c15c9875427</t>
        </is>
      </c>
      <c r="BH85" s="24" t="inlineStr">
        <is>
          <t>2026-08-05T13:52:36.521797Z</t>
        </is>
      </c>
      <c r="BI85" s="24" t="inlineStr">
        <is>
          <t>["same_event","same_team_same_day","same_league_same_day"]</t>
        </is>
      </c>
      <c r="BJ85" s="25" t="n"/>
      <c r="BK85" s="26" t="n">
        <v>117</v>
      </c>
      <c r="BL85" s="27" t="n">
        <v>2.17</v>
      </c>
      <c r="BM85" s="28" t="n">
        <v>0.460829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11d60a53b30247fd</t>
        </is>
      </c>
      <c r="B86" s="24" t="inlineStr">
        <is>
          <t>2026-08-05T13:55:50.543648Z</t>
        </is>
      </c>
      <c r="C86" s="24" t="inlineStr">
        <is>
          <t>2026-08-05T18:00Z</t>
        </is>
      </c>
      <c r="D86" s="24" t="inlineStr">
        <is>
          <t>401843981</t>
        </is>
      </c>
      <c r="E86" s="24" t="inlineStr">
        <is>
          <t>SOCCER</t>
        </is>
      </c>
      <c r="F86" s="24" t="inlineStr">
        <is>
          <t>Gimnasia y Tiro (Salta)</t>
        </is>
      </c>
      <c r="G86" s="24" t="inlineStr">
        <is>
          <t>Almagro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203</v>
      </c>
      <c r="M86" s="27" t="n">
        <v>3.03</v>
      </c>
      <c r="N86" s="28" t="n">
        <v>0.330033</v>
      </c>
      <c r="O86" s="28" t="n">
        <v>0.456135</v>
      </c>
      <c r="P86" s="28" t="n">
        <v>0.2</v>
      </c>
      <c r="Q86" s="28" t="n">
        <v>0.126102</v>
      </c>
      <c r="R86" s="26" t="n">
        <v>0</v>
      </c>
      <c r="S86" s="29" t="n">
        <v>1</v>
      </c>
      <c r="T86" s="24" t="inlineStr">
        <is>
          <t>soccer-poisson-dc-v1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Poisson-DC rates 1.64 (home) / 1.24 (away) from EWMA attack/defense strengths. Executable ask 0.3300 (atc-arg2-alm-gyt-2026-08-05-alm).</t>
        </is>
      </c>
      <c r="AF86" s="31" t="inlineStr">
        <is>
          <t>Research-only soccer score model; draw-aware, but not yet locked-holdout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Gimnasia y Tiro (Salta)</t>
        </is>
      </c>
      <c r="AQ86" s="24" t="inlineStr">
        <is>
          <t>Gimnasia y Tiro (Salta)</t>
        </is>
      </c>
      <c r="AR86" s="24" t="inlineStr">
        <is>
          <t>Gimnasia y Tiro (Salta)</t>
        </is>
      </c>
      <c r="AS86" s="24" t="inlineStr">
        <is>
          <t>Almagro</t>
        </is>
      </c>
      <c r="AT86" s="24" t="inlineStr">
        <is>
          <t>Almagro</t>
        </is>
      </c>
      <c r="AU86" s="24" t="inlineStr">
        <is>
          <t>Almagro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c95ec2023134439ab985cb4cdcc58243749b9deb564fca7a2d587c15c9875427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c95ec2023134439ab985cb4cdcc58243749b9deb564fca7a2d587c15c9875427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c95ec2023134439ab985cb4cdcc58243749b9deb564fca7a2d587c15c9875427</t>
        </is>
      </c>
      <c r="BH86" s="24" t="inlineStr">
        <is>
          <t>2026-08-05T13:52:36.609124Z</t>
        </is>
      </c>
      <c r="BI86" s="24" t="inlineStr">
        <is>
          <t>["same_event","same_team_same_day","same_league_same_day"]</t>
        </is>
      </c>
      <c r="BJ86" s="25" t="n"/>
      <c r="BK86" s="26" t="n">
        <v>203</v>
      </c>
      <c r="BL86" s="27" t="n">
        <v>3.03</v>
      </c>
      <c r="BM86" s="28" t="n">
        <v>0.330033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cd1d25a8563f4b94</t>
        </is>
      </c>
      <c r="B87" s="24" t="inlineStr">
        <is>
          <t>2026-08-05T13:55:50.543648Z</t>
        </is>
      </c>
      <c r="C87" s="24" t="inlineStr">
        <is>
          <t>2026-08-05T18:30Z</t>
        </is>
      </c>
      <c r="D87" s="24" t="inlineStr">
        <is>
          <t>401867142</t>
        </is>
      </c>
      <c r="E87" s="24" t="inlineStr">
        <is>
          <t>SOCCER</t>
        </is>
      </c>
      <c r="F87" s="24" t="inlineStr">
        <is>
          <t>Real Betis</t>
        </is>
      </c>
      <c r="G87" s="24" t="inlineStr">
        <is>
          <t>Arsenal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-170</v>
      </c>
      <c r="M87" s="27" t="n">
        <v>1.588235</v>
      </c>
      <c r="N87" s="28" t="n">
        <v>0.62963</v>
      </c>
      <c r="O87" s="28" t="n">
        <v>0.615056</v>
      </c>
      <c r="P87" s="28" t="n">
        <v>0.04</v>
      </c>
      <c r="Q87" s="28" t="n">
        <v>-0.014574</v>
      </c>
      <c r="R87" s="26" t="n">
        <v>19</v>
      </c>
      <c r="S87" s="29" t="n">
        <v>1.5</v>
      </c>
      <c r="T87" s="24" t="inlineStr">
        <is>
          <t>soccer-poisson-dc-v1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Poisson-DC rates 1.70 (home) / 0.66 (away) from EWMA attack/defense strengths. Executable ask 0.6300 (atc-clbf-afr-rbb-2026-08-05-afr).</t>
        </is>
      </c>
      <c r="AF87" s="31" t="inlineStr">
        <is>
          <t>Research-only soccer score model; draw-aware, but not yet locked-holdout qualified.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Real Betis</t>
        </is>
      </c>
      <c r="AQ87" s="24" t="inlineStr">
        <is>
          <t>Real Betis</t>
        </is>
      </c>
      <c r="AR87" s="24" t="inlineStr">
        <is>
          <t>Real Betis</t>
        </is>
      </c>
      <c r="AS87" s="24" t="inlineStr">
        <is>
          <t>Arsenal</t>
        </is>
      </c>
      <c r="AT87" s="24" t="inlineStr">
        <is>
          <t>Arsenal</t>
        </is>
      </c>
      <c r="AU87" s="24" t="inlineStr">
        <is>
          <t>Arsenal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c95ec2023134439ab985cb4cdcc58243749b9deb564fca7a2d587c15c9875427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c95ec2023134439ab985cb4cdcc58243749b9deb564fca7a2d587c15c9875427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c95ec2023134439ab985cb4cdcc58243749b9deb564fca7a2d587c15c9875427</t>
        </is>
      </c>
      <c r="BH87" s="24" t="inlineStr">
        <is>
          <t>2026-08-05T13:52:37.515931Z</t>
        </is>
      </c>
      <c r="BI87" s="24" t="inlineStr">
        <is>
          <t>["same_event","same_team_same_day","same_league_same_day"]</t>
        </is>
      </c>
      <c r="BJ87" s="25" t="n"/>
      <c r="BK87" s="26" t="n">
        <v>-170</v>
      </c>
      <c r="BL87" s="27" t="n">
        <v>1.588235</v>
      </c>
      <c r="BM87" s="28" t="n">
        <v>0.62963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96772a5ab79f472c</t>
        </is>
      </c>
      <c r="B88" s="24" t="inlineStr">
        <is>
          <t>2026-08-05T13:55:50.543648Z</t>
        </is>
      </c>
      <c r="C88" s="24" t="inlineStr">
        <is>
          <t>2026-08-05T19:00Z</t>
        </is>
      </c>
      <c r="D88" s="24" t="inlineStr">
        <is>
          <t>401886451</t>
        </is>
      </c>
      <c r="E88" s="24" t="inlineStr">
        <is>
          <t>SOCCER</t>
        </is>
      </c>
      <c r="F88" s="24" t="inlineStr">
        <is>
          <t>Paris Saint-Germain</t>
        </is>
      </c>
      <c r="G88" s="24" t="inlineStr">
        <is>
          <t>Mallorca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100</v>
      </c>
      <c r="M88" s="27" t="n">
        <v>2</v>
      </c>
      <c r="N88" s="28" t="n">
        <v>0.5</v>
      </c>
      <c r="O88" s="28" t="n">
        <v>0.526434</v>
      </c>
      <c r="P88" s="28" t="n">
        <v>0.04</v>
      </c>
      <c r="Q88" s="28" t="n">
        <v>0.026434</v>
      </c>
      <c r="R88" s="26" t="n">
        <v>39</v>
      </c>
      <c r="S88" s="29" t="n">
        <v>1</v>
      </c>
      <c r="T88" s="24" t="inlineStr">
        <is>
          <t>soccer-poisson-dc-v1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Poisson-DC rates 1.11 (home) / 1.81 (away) from EWMA attack/defense strengths. Executable ask 0.5000 (atc-clbf-mal-psg-2026-08-05-psg).</t>
        </is>
      </c>
      <c r="AF88" s="31" t="inlineStr">
        <is>
          <t>Research-only soccer score model; draw-aware, but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Paris Saint-Germain</t>
        </is>
      </c>
      <c r="AQ88" s="24" t="inlineStr">
        <is>
          <t>Paris Saint-Germain</t>
        </is>
      </c>
      <c r="AR88" s="24" t="inlineStr">
        <is>
          <t>Paris Saint-Germain</t>
        </is>
      </c>
      <c r="AS88" s="24" t="inlineStr">
        <is>
          <t>Mallorca</t>
        </is>
      </c>
      <c r="AT88" s="24" t="inlineStr">
        <is>
          <t>Mallorca</t>
        </is>
      </c>
      <c r="AU88" s="24" t="inlineStr">
        <is>
          <t>Mallorca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c95ec2023134439ab985cb4cdcc58243749b9deb564fca7a2d587c15c9875427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c95ec2023134439ab985cb4cdcc58243749b9deb564fca7a2d587c15c9875427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c95ec2023134439ab985cb4cdcc58243749b9deb564fca7a2d587c15c9875427</t>
        </is>
      </c>
      <c r="BH88" s="24" t="inlineStr">
        <is>
          <t>2026-08-05T13:52:37.762719Z</t>
        </is>
      </c>
      <c r="BI88" s="24" t="inlineStr">
        <is>
          <t>["same_event","same_team_same_day","same_league_same_day"]</t>
        </is>
      </c>
      <c r="BJ88" s="25" t="n"/>
      <c r="BK88" s="26" t="n">
        <v>100</v>
      </c>
      <c r="BL88" s="27" t="n">
        <v>2</v>
      </c>
      <c r="BM88" s="28" t="n">
        <v>0.5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2026-08-05T13:56:07Z</dcterms:created>
  <dcterms:modified xmlns:dcterms="http://purl.org/dc/terms/" xmlns:xsi="http://www.w3.org/2001/XMLSchema-instance" xsi:type="dcterms:W3CDTF">2026-08-05T13:56:07Z</dcterms:modified>
</cp:coreProperties>
</file>