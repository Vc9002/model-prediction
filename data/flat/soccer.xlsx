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46" headerRowCount="1">
  <autoFilter ref="A1:CS14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COUNTA('Picks'!$A$2:$A$146)</f>
        <v/>
      </c>
      <c r="C4" s="6">
        <f>COUNTIF('Picks'!$U$2:$U$146,"open")</f>
        <v/>
      </c>
      <c r="E4" s="6">
        <f>COUNTIF('Picks'!$U$2:$U$146,"settled")</f>
        <v/>
      </c>
      <c r="G4" s="6">
        <f>IF(COUNTIFS('Picks'!$U$2:$U$146,"settled",'Picks'!$V$2:$V$146,"win")+COUNTIFS('Picks'!$U$2:$U$146,"settled",'Picks'!$V$2:$V$146,"loss")&gt;=$L$2,"Ready","Insufficient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COUNTIF('Picks'!$BX$2:$BX$146,"&gt;0")</f>
        <v/>
      </c>
      <c r="C7" s="6">
        <f>COUNTIFS('Picks'!$BX$2:$BX$146,"&gt;0",'Picks'!$V$2:$V$146,"win")&amp;"-"&amp;COUNTIFS('Picks'!$BX$2:$BX$146,"&gt;0",'Picks'!$V$2:$V$146,"loss")</f>
        <v/>
      </c>
      <c r="E7" s="7">
        <f>IFERROR(COUNTIFS('Picks'!$BX$2:$BX$146,"&gt;0",'Picks'!$V$2:$V$146,"win")/(COUNTIFS('Picks'!$BX$2:$BX$146,"&gt;0",'Picks'!$V$2:$V$146,"win")+COUNTIFS('Picks'!$BX$2:$BX$146,"&gt;0",'Picks'!$V$2:$V$146,"loss")),0)</f>
        <v/>
      </c>
      <c r="G7" s="7">
        <f>IFERROR(SUM('Picks'!$BY$2:$BY$146)/SUM('Picks'!$BX$2:$BX$146),0)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SUM('Picks'!$BY$2:$BY$146)</f>
        <v/>
      </c>
      <c r="C10" s="9">
        <f>IFERROR(AVERAGEIF('Picks'!$AB$2:$AB$146,"&lt;&gt;",'Picks'!$AB$2:$AB$146),0)</f>
        <v/>
      </c>
      <c r="E10" s="6">
        <f>COUNTIFS('Picks'!$AM$2:$AM$146,"QUALIFIED_SHADOW_CALL",'Picks'!$U$2:$U$146,"settled")</f>
        <v/>
      </c>
      <c r="G10" s="8">
        <f>SUMIFS('Picks'!$AC$2:$AC$146,'Picks'!$AM$2:$AM$146,"QUALIFIED_SHADOW_CALL")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COUNTIFS('Picks'!$H$2:$H$146,$A14,'Picks'!$U$2:$U$146,"settled")</f>
        <v/>
      </c>
      <c r="C14" s="13">
        <f>COUNTIFS('Picks'!$H$2:$H$146,$A14,'Picks'!$U$2:$U$146,"settled",'Picks'!$V$2:$V$146,"win")</f>
        <v/>
      </c>
      <c r="D14" s="13">
        <f>COUNTIFS('Picks'!$H$2:$H$146,$A14,'Picks'!$U$2:$U$146,"settled",'Picks'!$V$2:$V$146,"loss")</f>
        <v/>
      </c>
      <c r="E14" s="14">
        <f>IFERROR(C14/(C14+D14),0)</f>
        <v/>
      </c>
      <c r="F14" s="15">
        <f>SUMIFS('Picks'!$BY$2:$BY$146,'Picks'!$H$2:$H$146,$A14)</f>
        <v/>
      </c>
      <c r="G14" s="16">
        <f>IFERROR(AVERAGEIFS('Picks'!$AB$2:$AB$146,'Picks'!$H$2:$H$146,$A14,'Picks'!$U$2:$U$146,"settled"),0)</f>
        <v/>
      </c>
    </row>
    <row r="15">
      <c r="A15" s="17" t="inlineStr">
        <is>
          <t>spread</t>
        </is>
      </c>
      <c r="B15" s="18">
        <f>COUNTIFS('Picks'!$H$2:$H$146,$A15,'Picks'!$U$2:$U$146,"settled")</f>
        <v/>
      </c>
      <c r="C15" s="18">
        <f>COUNTIFS('Picks'!$H$2:$H$146,$A15,'Picks'!$U$2:$U$146,"settled",'Picks'!$V$2:$V$146,"win")</f>
        <v/>
      </c>
      <c r="D15" s="18">
        <f>COUNTIFS('Picks'!$H$2:$H$146,$A15,'Picks'!$U$2:$U$146,"settled",'Picks'!$V$2:$V$146,"loss")</f>
        <v/>
      </c>
      <c r="E15" s="19">
        <f>IFERROR(C15/(C15+D15),0)</f>
        <v/>
      </c>
      <c r="F15" s="20">
        <f>SUMIFS('Picks'!$BY$2:$BY$146,'Picks'!$H$2:$H$146,$A15)</f>
        <v/>
      </c>
      <c r="G15" s="21">
        <f>IFERROR(AVERAGEIFS('Picks'!$AB$2:$AB$146,'Picks'!$H$2:$H$146,$A15,'Picks'!$U$2:$U$146,"settled"),0)</f>
        <v/>
      </c>
    </row>
    <row r="16">
      <c r="A16" s="12" t="inlineStr">
        <is>
          <t>total</t>
        </is>
      </c>
      <c r="B16" s="13">
        <f>COUNTIFS('Picks'!$H$2:$H$146,$A16,'Picks'!$U$2:$U$146,"settled")</f>
        <v/>
      </c>
      <c r="C16" s="13">
        <f>COUNTIFS('Picks'!$H$2:$H$146,$A16,'Picks'!$U$2:$U$146,"settled",'Picks'!$V$2:$V$146,"win")</f>
        <v/>
      </c>
      <c r="D16" s="13">
        <f>COUNTIFS('Picks'!$H$2:$H$146,$A16,'Picks'!$U$2:$U$146,"settled",'Picks'!$V$2:$V$146,"loss")</f>
        <v/>
      </c>
      <c r="E16" s="14">
        <f>IFERROR(C16/(C16+D16),0)</f>
        <v/>
      </c>
      <c r="F16" s="15">
        <f>SUMIFS('Picks'!$BY$2:$BY$146,'Picks'!$H$2:$H$146,$A16)</f>
        <v/>
      </c>
      <c r="G16" s="16">
        <f>IFERROR(AVERAGEIFS('Picks'!$AB$2:$AB$146,'Picks'!$H$2:$H$146,$A16,'Picks'!$U$2:$U$146,"settled"),0)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1570b2da88bb4c5a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2026-08-02T15:52:39.747371Z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f7b150997a264103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2026-08-02T15:52:40.668054Z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7ab1c307320046bd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0.7874</v>
      </c>
      <c r="AD51" s="24" t="inlineStr">
        <is>
          <t>2026-08-02T17:15:06.999882Z</t>
        </is>
      </c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ba6383f0b7054d55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1.56</v>
      </c>
      <c r="AD52" s="24" t="inlineStr">
        <is>
          <t>2026-08-02T16:39:24.462328Z</t>
        </is>
      </c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73e5fffe29124687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1.4423</v>
      </c>
      <c r="AD53" s="24" t="inlineStr">
        <is>
          <t>2026-08-02T18:18:44.054014Z</t>
        </is>
      </c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0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2026-08-02T16:08:30.066604Z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2026-08-02T16:08:30.800425Z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2026-08-02T16:08:31.521562Z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2026-08-02T16:08:32.232747Z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2026-08-02T16:08:32.974089Z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2026-08-02T16:08:33.692075Z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2026-08-02T16:08:34.428201Z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2026-08-02T16:08:35.188473Z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2026-08-02T16:08:35.924162Z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2026-08-02T16:08:36.637340Z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2026-08-02T16:08:37.346741Z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2026-08-02T16:08:38.088611Z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2026-08-02T16:08:38.803420Z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2026-08-02T16:08:39.533103Z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2026-08-02T16:08:40.273795Z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0682c489cec848f9</t>
        </is>
      </c>
      <c r="B83" s="24" t="inlineStr">
        <is>
          <t>2026-08-04T16:53:20.897729Z</t>
        </is>
      </c>
      <c r="C83" s="24" t="inlineStr">
        <is>
          <t>2026-08-04T18:00Z</t>
        </is>
      </c>
      <c r="D83" s="24" t="inlineStr">
        <is>
          <t>401886532</t>
        </is>
      </c>
      <c r="E83" s="24" t="inlineStr">
        <is>
          <t>SOCCER</t>
        </is>
      </c>
      <c r="F83" s="24" t="inlineStr">
        <is>
          <t>AS Roma</t>
        </is>
      </c>
      <c r="G83" s="24" t="inlineStr">
        <is>
          <t>Newport County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-614</v>
      </c>
      <c r="M83" s="27" t="n">
        <v>1.162866</v>
      </c>
      <c r="N83" s="28" t="n">
        <v>0.859944</v>
      </c>
      <c r="O83" s="28" t="n">
        <v>0.480757</v>
      </c>
      <c r="P83" s="28" t="n">
        <v>0.2</v>
      </c>
      <c r="Q83" s="28" t="n">
        <v>-0.379187</v>
      </c>
      <c r="R83" s="26" t="n">
        <v>0</v>
      </c>
      <c r="S83" s="29" t="n">
        <v>1</v>
      </c>
      <c r="T83" s="24" t="inlineStr">
        <is>
          <t>soccer-poisson-dc-v1</t>
        </is>
      </c>
      <c r="U83" s="24" t="inlineStr">
        <is>
          <t>settled</t>
        </is>
      </c>
      <c r="V83" s="24" t="inlineStr">
        <is>
          <t>win</t>
        </is>
      </c>
      <c r="W83" s="26" t="n">
        <v>4</v>
      </c>
      <c r="X83" s="26" t="n">
        <v>1</v>
      </c>
      <c r="Y83" s="25" t="n"/>
      <c r="Z83" s="26" t="n"/>
      <c r="AA83" s="28" t="n"/>
      <c r="AB83" s="28" t="n"/>
      <c r="AC83" s="30" t="n">
        <v>0.1629</v>
      </c>
      <c r="AD83" s="24" t="inlineStr">
        <is>
          <t>2026-08-04T21:59:03.661368Z</t>
        </is>
      </c>
      <c r="AE83" s="31" t="inlineStr">
        <is>
          <t>Poisson-DC rates 1.07 (home) / 1.59 (away) from EWMA attack/defense strengths. Executable ask 0.8600 (atc-clbf-nc-ars-2026-08-04-ars).</t>
        </is>
      </c>
      <c r="AF83" s="31" t="inlineStr">
        <is>
          <t>Research-only soccer score model; draw-aware, but not yet locked-holdout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AS Roma</t>
        </is>
      </c>
      <c r="AQ83" s="24" t="inlineStr">
        <is>
          <t>AS Roma</t>
        </is>
      </c>
      <c r="AR83" s="24" t="inlineStr">
        <is>
          <t>AS Roma</t>
        </is>
      </c>
      <c r="AS83" s="24" t="inlineStr">
        <is>
          <t>Newport County</t>
        </is>
      </c>
      <c r="AT83" s="24" t="inlineStr">
        <is>
          <t>Newport County</t>
        </is>
      </c>
      <c r="AU83" s="24" t="inlineStr">
        <is>
          <t>Newport County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c95ec2023134439ab985cb4cdcc58243749b9deb564fca7a2d587c15c9875427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c95ec2023134439ab985cb4cdcc58243749b9deb564fca7a2d587c15c9875427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c95ec2023134439ab985cb4cdcc58243749b9deb564fca7a2d587c15c9875427</t>
        </is>
      </c>
      <c r="BH83" s="24" t="inlineStr">
        <is>
          <t>2026-08-04T16:50:24.939028Z</t>
        </is>
      </c>
      <c r="BI83" s="24" t="inlineStr">
        <is>
          <t>["same_event","same_team_same_day","same_league_same_day"]</t>
        </is>
      </c>
      <c r="BJ83" s="25" t="n"/>
      <c r="BK83" s="26" t="n">
        <v>-614</v>
      </c>
      <c r="BL83" s="27" t="n">
        <v>1.162866</v>
      </c>
      <c r="BM83" s="28" t="n">
        <v>0.859944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</row>
    <row r="84" ht="36" customHeight="1">
      <c r="A84" s="24" t="inlineStr">
        <is>
          <t>59c4be4e115e4c99</t>
        </is>
      </c>
      <c r="B84" s="24" t="inlineStr">
        <is>
          <t>2026-08-05T10:45:53.298989Z</t>
        </is>
      </c>
      <c r="C84" s="24" t="inlineStr">
        <is>
          <t>2026-08-05T11:30Z</t>
        </is>
      </c>
      <c r="D84" s="24" t="inlineStr">
        <is>
          <t>401871494</t>
        </is>
      </c>
      <c r="E84" s="24" t="inlineStr">
        <is>
          <t>SOCCER</t>
        </is>
      </c>
      <c r="F84" s="24" t="inlineStr">
        <is>
          <t>Juventus</t>
        </is>
      </c>
      <c r="G84" s="24" t="inlineStr">
        <is>
          <t>Chelsea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233</v>
      </c>
      <c r="M84" s="27" t="n">
        <v>3.33</v>
      </c>
      <c r="N84" s="28" t="n">
        <v>0.3003</v>
      </c>
      <c r="O84" s="28" t="n">
        <v>0.483062</v>
      </c>
      <c r="P84" s="28" t="n">
        <v>0.04</v>
      </c>
      <c r="Q84" s="28" t="n">
        <v>0.182762</v>
      </c>
      <c r="R84" s="26" t="n">
        <v>100</v>
      </c>
      <c r="S84" s="29" t="n">
        <v>1</v>
      </c>
      <c r="T84" s="24" t="inlineStr">
        <is>
          <t>soccer-poisson-dc-v1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2.33</v>
      </c>
      <c r="AD84" s="24" t="inlineStr">
        <is>
          <t>2026-08-05T13:50:15.913809Z</t>
        </is>
      </c>
      <c r="AE84" s="31" t="inlineStr">
        <is>
          <t>Poisson-DC rates 1.02 (home) / 1.55 (away) from EWMA attack/defense strengths. Executable ask 0.3000 (atc-clbf-cfc-juv-2026-08-05-juv).</t>
        </is>
      </c>
      <c r="AF84" s="31" t="inlineStr">
        <is>
          <t>Research-only soccer score model; draw-aware, but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Juventus</t>
        </is>
      </c>
      <c r="AQ84" s="24" t="inlineStr">
        <is>
          <t>Juventus</t>
        </is>
      </c>
      <c r="AR84" s="24" t="inlineStr">
        <is>
          <t>Juventus</t>
        </is>
      </c>
      <c r="AS84" s="24" t="inlineStr">
        <is>
          <t>Chelsea</t>
        </is>
      </c>
      <c r="AT84" s="24" t="inlineStr">
        <is>
          <t>Chelsea</t>
        </is>
      </c>
      <c r="AU84" s="24" t="inlineStr">
        <is>
          <t>Chelsea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c95ec2023134439ab985cb4cdcc58243749b9deb564fca7a2d587c15c9875427</t>
        </is>
      </c>
      <c r="BB84" s="24" t="inlineStr">
        <is>
          <t>poisson_dixon_coles</t>
        </is>
      </c>
      <c r="BC84" s="24" t="inlineStr">
        <is>
          <t>soccer-poisson-dc-v1</t>
        </is>
      </c>
      <c r="BD84" s="24" t="inlineStr">
        <is>
          <t>c95ec2023134439ab985cb4cdcc58243749b9deb564fca7a2d587c15c9875427</t>
        </is>
      </c>
      <c r="BE84" s="24" t="inlineStr">
        <is>
          <t>soccer-poisson-dc-v1</t>
        </is>
      </c>
      <c r="BF84" s="24" t="inlineStr">
        <is>
          <t>1</t>
        </is>
      </c>
      <c r="BG84" s="24" t="inlineStr">
        <is>
          <t>c95ec2023134439ab985cb4cdcc58243749b9deb564fca7a2d587c15c9875427</t>
        </is>
      </c>
      <c r="BH84" s="24" t="inlineStr">
        <is>
          <t>2026-08-05T10:42:33.963889Z</t>
        </is>
      </c>
      <c r="BI84" s="24" t="inlineStr">
        <is>
          <t>["same_event","same_team_same_day","same_league_same_day"]</t>
        </is>
      </c>
      <c r="BJ84" s="25" t="n"/>
      <c r="BK84" s="26" t="n">
        <v>233</v>
      </c>
      <c r="BL84" s="27" t="n">
        <v>3.33</v>
      </c>
      <c r="BM84" s="28" t="n">
        <v>0.3003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</row>
    <row r="85" ht="36" customHeight="1">
      <c r="A85" s="24" t="inlineStr">
        <is>
          <t>d0a8fc4bf3eb49b5</t>
        </is>
      </c>
      <c r="B85" s="24" t="inlineStr">
        <is>
          <t>2026-08-05T17:03:58.301897Z</t>
        </is>
      </c>
      <c r="C85" s="24" t="inlineStr">
        <is>
          <t>2026-08-05T18:00Z</t>
        </is>
      </c>
      <c r="D85" s="24" t="inlineStr">
        <is>
          <t>401843981</t>
        </is>
      </c>
      <c r="E85" s="24" t="inlineStr">
        <is>
          <t>SOCCER</t>
        </is>
      </c>
      <c r="F85" s="24" t="inlineStr">
        <is>
          <t>Gimnasia y Tiro (Salta)</t>
        </is>
      </c>
      <c r="G85" s="24" t="inlineStr">
        <is>
          <t>Almagro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203</v>
      </c>
      <c r="M85" s="27" t="n">
        <v>3.03</v>
      </c>
      <c r="N85" s="28" t="n">
        <v>0.330033</v>
      </c>
      <c r="O85" s="28" t="n">
        <v>0.456135</v>
      </c>
      <c r="P85" s="28" t="n">
        <v>0.2</v>
      </c>
      <c r="Q85" s="28" t="n">
        <v>0.126102</v>
      </c>
      <c r="R85" s="26" t="n">
        <v>0</v>
      </c>
      <c r="S85" s="29" t="n">
        <v>1</v>
      </c>
      <c r="T85" s="24" t="inlineStr">
        <is>
          <t>soccer-poisson-dc-v1</t>
        </is>
      </c>
      <c r="U85" s="24" t="inlineStr">
        <is>
          <t>settled</t>
        </is>
      </c>
      <c r="V85" s="24" t="inlineStr">
        <is>
          <t>loss</t>
        </is>
      </c>
      <c r="W85" s="26" t="n">
        <v>2</v>
      </c>
      <c r="X85" s="26" t="n">
        <v>0</v>
      </c>
      <c r="Y85" s="25" t="n"/>
      <c r="Z85" s="26" t="n"/>
      <c r="AA85" s="28" t="n"/>
      <c r="AB85" s="28" t="n"/>
      <c r="AC85" s="30" t="n">
        <v>-1</v>
      </c>
      <c r="AD85" s="24" t="inlineStr">
        <is>
          <t>2026-08-06T00:20:47.753158Z</t>
        </is>
      </c>
      <c r="AE85" s="31" t="inlineStr">
        <is>
          <t>Poisson-DC rates 1.64 (home) / 1.24 (away) from EWMA attack/defense strengths. Executable ask 0.3300 (atc-arg2-alm-gyt-2026-08-05-alm).</t>
        </is>
      </c>
      <c r="AF85" s="31" t="inlineStr">
        <is>
          <t>Research-only soccer score model; draw-aware, but not yet locked-holdout qualified.</t>
        </is>
      </c>
      <c r="AG85" s="24" t="inlineStr">
        <is>
          <t>review_required</t>
        </is>
      </c>
      <c r="AH85" s="24" t="n"/>
      <c r="AI85" s="31" t="n"/>
      <c r="AJ8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NO_CALL_WINNER_OVERVALUED</t>
        </is>
      </c>
      <c r="AP85" s="24" t="inlineStr">
        <is>
          <t>Gimnasia y Tiro (Salta)</t>
        </is>
      </c>
      <c r="AQ85" s="24" t="inlineStr">
        <is>
          <t>Gimnasia y Tiro (Salta)</t>
        </is>
      </c>
      <c r="AR85" s="24" t="inlineStr">
        <is>
          <t>Gimnasia y Tiro (Salta)</t>
        </is>
      </c>
      <c r="AS85" s="24" t="inlineStr">
        <is>
          <t>Almagro</t>
        </is>
      </c>
      <c r="AT85" s="24" t="inlineStr">
        <is>
          <t>Almagro</t>
        </is>
      </c>
      <c r="AU85" s="24" t="inlineStr">
        <is>
          <t>Almagro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c95ec2023134439ab985cb4cdcc58243749b9deb564fca7a2d587c15c9875427</t>
        </is>
      </c>
      <c r="BB85" s="24" t="inlineStr">
        <is>
          <t>poisson_dixon_coles</t>
        </is>
      </c>
      <c r="BC85" s="24" t="inlineStr">
        <is>
          <t>soccer-poisson-dc-v1</t>
        </is>
      </c>
      <c r="BD85" s="24" t="inlineStr">
        <is>
          <t>c95ec2023134439ab985cb4cdcc58243749b9deb564fca7a2d587c15c9875427</t>
        </is>
      </c>
      <c r="BE85" s="24" t="inlineStr">
        <is>
          <t>soccer-poisson-dc-v1</t>
        </is>
      </c>
      <c r="BF85" s="24" t="inlineStr">
        <is>
          <t>1</t>
        </is>
      </c>
      <c r="BG85" s="24" t="inlineStr">
        <is>
          <t>c95ec2023134439ab985cb4cdcc58243749b9deb564fca7a2d587c15c9875427</t>
        </is>
      </c>
      <c r="BH85" s="24" t="inlineStr">
        <is>
          <t>2026-08-05T17:01:54.694147Z</t>
        </is>
      </c>
      <c r="BI85" s="24" t="inlineStr">
        <is>
          <t>["same_event","same_team_same_day","same_league_same_day"]</t>
        </is>
      </c>
      <c r="BJ85" s="25" t="n"/>
      <c r="BK85" s="26" t="n">
        <v>203</v>
      </c>
      <c r="BL85" s="27" t="n">
        <v>3.03</v>
      </c>
      <c r="BM85" s="28" t="n">
        <v>0.330033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0c24c70c0c3c47c4</t>
        </is>
      </c>
      <c r="B86" s="24" t="inlineStr">
        <is>
          <t>2026-08-05T17:03:58.301897Z</t>
        </is>
      </c>
      <c r="C86" s="24" t="inlineStr">
        <is>
          <t>2026-08-05T18:30Z</t>
        </is>
      </c>
      <c r="D86" s="24" t="inlineStr">
        <is>
          <t>401867142</t>
        </is>
      </c>
      <c r="E86" s="24" t="inlineStr">
        <is>
          <t>SOCCER</t>
        </is>
      </c>
      <c r="F86" s="24" t="inlineStr">
        <is>
          <t>Real Betis</t>
        </is>
      </c>
      <c r="G86" s="24" t="inlineStr">
        <is>
          <t>Arsenal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-194</v>
      </c>
      <c r="M86" s="27" t="n">
        <v>1.515464</v>
      </c>
      <c r="N86" s="28" t="n">
        <v>0.659864</v>
      </c>
      <c r="O86" s="28" t="n">
        <v>0.615056</v>
      </c>
      <c r="P86" s="28" t="n">
        <v>0.04</v>
      </c>
      <c r="Q86" s="28" t="n">
        <v>-0.044808</v>
      </c>
      <c r="R86" s="26" t="n">
        <v>4</v>
      </c>
      <c r="S86" s="29" t="n">
        <v>1.5</v>
      </c>
      <c r="T86" s="24" t="inlineStr">
        <is>
          <t>soccer-poisson-dc-v1</t>
        </is>
      </c>
      <c r="U86" s="24" t="inlineStr">
        <is>
          <t>settled</t>
        </is>
      </c>
      <c r="V86" s="24" t="inlineStr">
        <is>
          <t>loss</t>
        </is>
      </c>
      <c r="W86" s="26" t="n">
        <v>3</v>
      </c>
      <c r="X86" s="26" t="n">
        <v>1</v>
      </c>
      <c r="Y86" s="25" t="n"/>
      <c r="Z86" s="26" t="n"/>
      <c r="AA86" s="28" t="n"/>
      <c r="AB86" s="28" t="n"/>
      <c r="AC86" s="30" t="n">
        <v>-1.5</v>
      </c>
      <c r="AD86" s="24" t="inlineStr">
        <is>
          <t>2026-08-05T20:58:28.792815Z</t>
        </is>
      </c>
      <c r="AE86" s="31" t="inlineStr">
        <is>
          <t>Poisson-DC rates 1.70 (home) / 0.66 (away) from EWMA attack/defense strengths. Executable ask 0.6600 (atc-clbf-afr-rbb-2026-08-05-afr).</t>
        </is>
      </c>
      <c r="AF86" s="31" t="inlineStr">
        <is>
          <t>Research-only soccer score model; draw-aware, but not yet locked-holdout qualified.</t>
        </is>
      </c>
      <c r="AG86" s="24" t="inlineStr">
        <is>
          <t>review_required</t>
        </is>
      </c>
      <c r="AH86" s="24" t="n"/>
      <c r="AI86" s="31" t="n"/>
      <c r="AJ8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NO_CALL_WINNER_OVERVALUED</t>
        </is>
      </c>
      <c r="AP86" s="24" t="inlineStr">
        <is>
          <t>Real Betis</t>
        </is>
      </c>
      <c r="AQ86" s="24" t="inlineStr">
        <is>
          <t>Real Betis</t>
        </is>
      </c>
      <c r="AR86" s="24" t="inlineStr">
        <is>
          <t>Real Betis</t>
        </is>
      </c>
      <c r="AS86" s="24" t="inlineStr">
        <is>
          <t>Arsenal</t>
        </is>
      </c>
      <c r="AT86" s="24" t="inlineStr">
        <is>
          <t>Arsenal</t>
        </is>
      </c>
      <c r="AU86" s="24" t="inlineStr">
        <is>
          <t>Arsenal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c95ec2023134439ab985cb4cdcc58243749b9deb564fca7a2d587c15c9875427</t>
        </is>
      </c>
      <c r="BB86" s="24" t="inlineStr">
        <is>
          <t>poisson_dixon_coles</t>
        </is>
      </c>
      <c r="BC86" s="24" t="inlineStr">
        <is>
          <t>soccer-poisson-dc-v1</t>
        </is>
      </c>
      <c r="BD86" s="24" t="inlineStr">
        <is>
          <t>c95ec2023134439ab985cb4cdcc58243749b9deb564fca7a2d587c15c9875427</t>
        </is>
      </c>
      <c r="BE86" s="24" t="inlineStr">
        <is>
          <t>soccer-poisson-dc-v1</t>
        </is>
      </c>
      <c r="BF86" s="24" t="inlineStr">
        <is>
          <t>1</t>
        </is>
      </c>
      <c r="BG86" s="24" t="inlineStr">
        <is>
          <t>c95ec2023134439ab985cb4cdcc58243749b9deb564fca7a2d587c15c9875427</t>
        </is>
      </c>
      <c r="BH86" s="24" t="inlineStr">
        <is>
          <t>2026-08-05T17:01:55.596249Z</t>
        </is>
      </c>
      <c r="BI86" s="24" t="inlineStr">
        <is>
          <t>["same_event","same_team_same_day","same_league_same_day"]</t>
        </is>
      </c>
      <c r="BJ86" s="25" t="n"/>
      <c r="BK86" s="26" t="n">
        <v>-194</v>
      </c>
      <c r="BL86" s="27" t="n">
        <v>1.515464</v>
      </c>
      <c r="BM86" s="28" t="n">
        <v>0.659864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</row>
    <row r="87" ht="36" customHeight="1">
      <c r="A87" s="24" t="inlineStr">
        <is>
          <t>331dab6fce6540c2</t>
        </is>
      </c>
      <c r="B87" s="24" t="inlineStr">
        <is>
          <t>2026-08-05T17:03:58.301897Z</t>
        </is>
      </c>
      <c r="C87" s="24" t="inlineStr">
        <is>
          <t>2026-08-05T19:00Z</t>
        </is>
      </c>
      <c r="D87" s="24" t="inlineStr">
        <is>
          <t>401886451</t>
        </is>
      </c>
      <c r="E87" s="24" t="inlineStr">
        <is>
          <t>SOCCER</t>
        </is>
      </c>
      <c r="F87" s="24" t="inlineStr">
        <is>
          <t>Paris Saint-Germain</t>
        </is>
      </c>
      <c r="G87" s="24" t="inlineStr">
        <is>
          <t>Mallorca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104</v>
      </c>
      <c r="M87" s="27" t="n">
        <v>2.04</v>
      </c>
      <c r="N87" s="28" t="n">
        <v>0.490196</v>
      </c>
      <c r="O87" s="28" t="n">
        <v>0.526434</v>
      </c>
      <c r="P87" s="28" t="n">
        <v>0.04</v>
      </c>
      <c r="Q87" s="28" t="n">
        <v>0.036238</v>
      </c>
      <c r="R87" s="26" t="n">
        <v>44</v>
      </c>
      <c r="S87" s="29" t="n">
        <v>1</v>
      </c>
      <c r="T87" s="24" t="inlineStr">
        <is>
          <t>soccer-poisson-dc-v1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3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2026-08-05T20:58:29.328168Z</t>
        </is>
      </c>
      <c r="AE87" s="31" t="inlineStr">
        <is>
          <t>Poisson-DC rates 1.11 (home) / 1.81 (away) from EWMA attack/defense strengths. Executable ask 0.4900 (atc-clbf-mal-psg-2026-08-05-psg).</t>
        </is>
      </c>
      <c r="AF87" s="31" t="inlineStr">
        <is>
          <t>Research-only soccer score model; draw-aware, but not yet locked-holdout qualified.</t>
        </is>
      </c>
      <c r="AG87" s="24" t="inlineStr">
        <is>
          <t>review_required</t>
        </is>
      </c>
      <c r="AH87" s="24" t="n"/>
      <c r="AI87" s="31" t="n"/>
      <c r="AJ8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NO_CALL_WINNER_OVERVALUED</t>
        </is>
      </c>
      <c r="AP87" s="24" t="inlineStr">
        <is>
          <t>Paris Saint-Germain</t>
        </is>
      </c>
      <c r="AQ87" s="24" t="inlineStr">
        <is>
          <t>Paris Saint-Germain</t>
        </is>
      </c>
      <c r="AR87" s="24" t="inlineStr">
        <is>
          <t>Paris Saint-Germain</t>
        </is>
      </c>
      <c r="AS87" s="24" t="inlineStr">
        <is>
          <t>Mallorca</t>
        </is>
      </c>
      <c r="AT87" s="24" t="inlineStr">
        <is>
          <t>Mallorca</t>
        </is>
      </c>
      <c r="AU87" s="24" t="inlineStr">
        <is>
          <t>Mallorca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c95ec2023134439ab985cb4cdcc58243749b9deb564fca7a2d587c15c9875427</t>
        </is>
      </c>
      <c r="BB87" s="24" t="inlineStr">
        <is>
          <t>poisson_dixon_coles</t>
        </is>
      </c>
      <c r="BC87" s="24" t="inlineStr">
        <is>
          <t>soccer-poisson-dc-v1</t>
        </is>
      </c>
      <c r="BD87" s="24" t="inlineStr">
        <is>
          <t>c95ec2023134439ab985cb4cdcc58243749b9deb564fca7a2d587c15c9875427</t>
        </is>
      </c>
      <c r="BE87" s="24" t="inlineStr">
        <is>
          <t>soccer-poisson-dc-v1</t>
        </is>
      </c>
      <c r="BF87" s="24" t="inlineStr">
        <is>
          <t>1</t>
        </is>
      </c>
      <c r="BG87" s="24" t="inlineStr">
        <is>
          <t>c95ec2023134439ab985cb4cdcc58243749b9deb564fca7a2d587c15c9875427</t>
        </is>
      </c>
      <c r="BH87" s="24" t="inlineStr">
        <is>
          <t>2026-08-05T17:01:55.733913Z</t>
        </is>
      </c>
      <c r="BI87" s="24" t="inlineStr">
        <is>
          <t>["same_event","same_team_same_day","same_league_same_day"]</t>
        </is>
      </c>
      <c r="BJ87" s="25" t="n"/>
      <c r="BK87" s="26" t="n">
        <v>104</v>
      </c>
      <c r="BL87" s="27" t="n">
        <v>2.04</v>
      </c>
      <c r="BM87" s="28" t="n">
        <v>0.490196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</row>
    <row r="88" ht="36" customHeight="1">
      <c r="A88" s="24" t="inlineStr">
        <is>
          <t>8df916fc7b0b4ee3</t>
        </is>
      </c>
      <c r="B88" s="24" t="inlineStr">
        <is>
          <t>2026-08-05T21:01:56.767307Z</t>
        </is>
      </c>
      <c r="C88" s="24" t="inlineStr">
        <is>
          <t>2026-08-05T22:00Z</t>
        </is>
      </c>
      <c r="D88" s="24" t="inlineStr">
        <is>
          <t>401841460</t>
        </is>
      </c>
      <c r="E88" s="24" t="inlineStr">
        <is>
          <t>SOCCER</t>
        </is>
      </c>
      <c r="F88" s="24" t="inlineStr">
        <is>
          <t>Estudiantes de La Plata</t>
        </is>
      </c>
      <c r="G88" s="24" t="inlineStr">
        <is>
          <t>Boca Juniors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-108</v>
      </c>
      <c r="M88" s="27" t="n">
        <v>1.925926</v>
      </c>
      <c r="N88" s="28" t="n">
        <v>0.519231</v>
      </c>
      <c r="O88" s="28" t="n">
        <v>0.500109</v>
      </c>
      <c r="P88" s="28" t="n">
        <v>0.19</v>
      </c>
      <c r="Q88" s="28" t="n">
        <v>-0.019122</v>
      </c>
      <c r="R88" s="26" t="n">
        <v>0</v>
      </c>
      <c r="S88" s="29" t="n">
        <v>1</v>
      </c>
      <c r="T88" s="24" t="inlineStr">
        <is>
          <t>soccer-poisson-dc-v1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0.9258999999999999</v>
      </c>
      <c r="AD88" s="24" t="inlineStr">
        <is>
          <t>2026-08-06T00:20:48.578143Z</t>
        </is>
      </c>
      <c r="AE88" s="31" t="inlineStr">
        <is>
          <t>Poisson-DC rates 1.66 (home) / 1.07 (away) from EWMA attack/defense strengths. Executable ask 0.5200 (atc-lpa-boc-est-2026-08-05-boc).</t>
        </is>
      </c>
      <c r="AF88" s="31" t="inlineStr">
        <is>
          <t>Research-only soccer score model; draw-aware, but not yet locked-holdout qualified.</t>
        </is>
      </c>
      <c r="AG88" s="24" t="inlineStr">
        <is>
          <t>not_applicable</t>
        </is>
      </c>
      <c r="AH88" s="24" t="n"/>
      <c r="AI88" s="31" t="n"/>
      <c r="AJ8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NO_CALL_WINNER_OVERVALUED</t>
        </is>
      </c>
      <c r="AP88" s="24" t="inlineStr">
        <is>
          <t>Estudiantes de La Plata</t>
        </is>
      </c>
      <c r="AQ88" s="24" t="inlineStr">
        <is>
          <t>Estudiantes de La Plata</t>
        </is>
      </c>
      <c r="AR88" s="24" t="inlineStr">
        <is>
          <t>Estudiantes de La Plata</t>
        </is>
      </c>
      <c r="AS88" s="24" t="inlineStr">
        <is>
          <t>Boca Juniors</t>
        </is>
      </c>
      <c r="AT88" s="24" t="inlineStr">
        <is>
          <t>Boca Juniors</t>
        </is>
      </c>
      <c r="AU88" s="24" t="inlineStr">
        <is>
          <t>Boca Juniors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c95ec2023134439ab985cb4cdcc58243749b9deb564fca7a2d587c15c9875427</t>
        </is>
      </c>
      <c r="BB88" s="24" t="inlineStr">
        <is>
          <t>poisson_dixon_coles</t>
        </is>
      </c>
      <c r="BC88" s="24" t="inlineStr">
        <is>
          <t>soccer-poisson-dc-v1</t>
        </is>
      </c>
      <c r="BD88" s="24" t="inlineStr">
        <is>
          <t>c95ec2023134439ab985cb4cdcc58243749b9deb564fca7a2d587c15c9875427</t>
        </is>
      </c>
      <c r="BE88" s="24" t="inlineStr">
        <is>
          <t>soccer-poisson-dc-v1</t>
        </is>
      </c>
      <c r="BF88" s="24" t="inlineStr">
        <is>
          <t>1</t>
        </is>
      </c>
      <c r="BG88" s="24" t="inlineStr">
        <is>
          <t>c95ec2023134439ab985cb4cdcc58243749b9deb564fca7a2d587c15c9875427</t>
        </is>
      </c>
      <c r="BH88" s="24" t="inlineStr">
        <is>
          <t>2026-08-05T21:00:53.073019Z</t>
        </is>
      </c>
      <c r="BI88" s="24" t="inlineStr">
        <is>
          <t>["same_event","same_team_same_day","same_league_same_day"]</t>
        </is>
      </c>
      <c r="BJ88" s="25" t="n"/>
      <c r="BK88" s="26" t="n">
        <v>-108</v>
      </c>
      <c r="BL88" s="27" t="n">
        <v>1.925926</v>
      </c>
      <c r="BM88" s="28" t="n">
        <v>0.519231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</row>
    <row r="89" ht="36" customHeight="1">
      <c r="A89" s="24" t="inlineStr">
        <is>
          <t>e7d7caec12d04e99</t>
        </is>
      </c>
      <c r="B89" s="24" t="inlineStr">
        <is>
          <t>2026-08-05T21:01:56.767307Z</t>
        </is>
      </c>
      <c r="C89" s="24" t="inlineStr">
        <is>
          <t>2026-08-05T22:00Z</t>
        </is>
      </c>
      <c r="D89" s="24" t="inlineStr">
        <is>
          <t>401843990</t>
        </is>
      </c>
      <c r="E89" s="24" t="inlineStr">
        <is>
          <t>SOCCER</t>
        </is>
      </c>
      <c r="F89" s="24" t="inlineStr">
        <is>
          <t>Gimnasia y Esgrima (Jujuy)</t>
        </is>
      </c>
      <c r="G89" s="24" t="inlineStr">
        <is>
          <t>Quilmes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117</v>
      </c>
      <c r="M89" s="27" t="n">
        <v>2.17</v>
      </c>
      <c r="N89" s="28" t="n">
        <v>0.460829</v>
      </c>
      <c r="O89" s="28" t="n">
        <v>0.440521</v>
      </c>
      <c r="P89" s="28" t="n">
        <v>0.2</v>
      </c>
      <c r="Q89" s="28" t="n">
        <v>-0.020308</v>
      </c>
      <c r="R89" s="26" t="n">
        <v>0</v>
      </c>
      <c r="S89" s="29" t="n">
        <v>1</v>
      </c>
      <c r="T89" s="24" t="inlineStr">
        <is>
          <t>soccer-poisson-dc-v1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2</v>
      </c>
      <c r="Y89" s="25" t="n"/>
      <c r="Z89" s="26" t="n"/>
      <c r="AA89" s="28" t="n"/>
      <c r="AB89" s="28" t="n"/>
      <c r="AC89" s="30" t="n">
        <v>1.17</v>
      </c>
      <c r="AD89" s="24" t="inlineStr">
        <is>
          <t>2026-08-06T03:26:38.820063Z</t>
        </is>
      </c>
      <c r="AE89" s="31" t="inlineStr">
        <is>
          <t>Poisson-DC rates 1.46 (home) / 1.10 (away) from EWMA attack/defense strengths. Executable ask 0.4600 (atc-arg2-qui-ge-2026-08-05-qui).</t>
        </is>
      </c>
      <c r="AF89" s="31" t="inlineStr">
        <is>
          <t>Research-only soccer score model; draw-aware, but not yet locked-holdout qualified.</t>
        </is>
      </c>
      <c r="AG89" s="24" t="inlineStr">
        <is>
          <t>not_applicable</t>
        </is>
      </c>
      <c r="AH89" s="24" t="n"/>
      <c r="AI89" s="31" t="n"/>
      <c r="AJ8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NO_CALL_WINNER_OVERVALUED</t>
        </is>
      </c>
      <c r="AP89" s="24" t="inlineStr">
        <is>
          <t>Gimnasia y Esgrima (Jujuy)</t>
        </is>
      </c>
      <c r="AQ89" s="24" t="inlineStr">
        <is>
          <t>Gimnasia y Esgrima (Jujuy)</t>
        </is>
      </c>
      <c r="AR89" s="24" t="inlineStr">
        <is>
          <t>Gimnasia y Esgrima (Jujuy)</t>
        </is>
      </c>
      <c r="AS89" s="24" t="inlineStr">
        <is>
          <t>Quilmes</t>
        </is>
      </c>
      <c r="AT89" s="24" t="inlineStr">
        <is>
          <t>Quilmes</t>
        </is>
      </c>
      <c r="AU89" s="24" t="inlineStr">
        <is>
          <t>Quilmes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c95ec2023134439ab985cb4cdcc58243749b9deb564fca7a2d587c15c9875427</t>
        </is>
      </c>
      <c r="BB89" s="24" t="inlineStr">
        <is>
          <t>poisson_dixon_coles</t>
        </is>
      </c>
      <c r="BC89" s="24" t="inlineStr">
        <is>
          <t>soccer-poisson-dc-v1</t>
        </is>
      </c>
      <c r="BD89" s="24" t="inlineStr">
        <is>
          <t>c95ec2023134439ab985cb4cdcc58243749b9deb564fca7a2d587c15c9875427</t>
        </is>
      </c>
      <c r="BE89" s="24" t="inlineStr">
        <is>
          <t>soccer-poisson-dc-v1</t>
        </is>
      </c>
      <c r="BF89" s="24" t="inlineStr">
        <is>
          <t>1</t>
        </is>
      </c>
      <c r="BG89" s="24" t="inlineStr">
        <is>
          <t>c95ec2023134439ab985cb4cdcc58243749b9deb564fca7a2d587c15c9875427</t>
        </is>
      </c>
      <c r="BH89" s="24" t="inlineStr">
        <is>
          <t>2026-08-05T21:00:53.307981Z</t>
        </is>
      </c>
      <c r="BI89" s="24" t="inlineStr">
        <is>
          <t>["same_event","same_team_same_day","same_league_same_day"]</t>
        </is>
      </c>
      <c r="BJ89" s="25" t="n"/>
      <c r="BK89" s="26" t="n">
        <v>117</v>
      </c>
      <c r="BL89" s="27" t="n">
        <v>2.17</v>
      </c>
      <c r="BM89" s="28" t="n">
        <v>0.460829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</row>
    <row r="90" ht="36" customHeight="1">
      <c r="A90" s="24" t="inlineStr">
        <is>
          <t>6d8a9fdda4384935</t>
        </is>
      </c>
      <c r="B90" s="24" t="inlineStr">
        <is>
          <t>2026-08-07T09:10:39.169965Z</t>
        </is>
      </c>
      <c r="C90" s="24" t="inlineStr">
        <is>
          <t>2026-08-07T12:00Z</t>
        </is>
      </c>
      <c r="D90" s="24" t="inlineStr">
        <is>
          <t>401867952</t>
        </is>
      </c>
      <c r="E90" s="24" t="inlineStr">
        <is>
          <t>SOCCER</t>
        </is>
      </c>
      <c r="F90" s="24" t="inlineStr">
        <is>
          <t>Aston Villa</t>
        </is>
      </c>
      <c r="G90" s="24" t="inlineStr">
        <is>
          <t>Bayern Munich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-108</v>
      </c>
      <c r="M90" s="27" t="n">
        <v>1.925926</v>
      </c>
      <c r="N90" s="28" t="n">
        <v>0.519231</v>
      </c>
      <c r="O90" s="28" t="n">
        <v>0.784326</v>
      </c>
      <c r="P90" s="28" t="n">
        <v>0.04</v>
      </c>
      <c r="Q90" s="28" t="n">
        <v>0.265095</v>
      </c>
      <c r="R90" s="26" t="n">
        <v>100</v>
      </c>
      <c r="S90" s="29" t="n">
        <v>2</v>
      </c>
      <c r="T90" s="24" t="inlineStr">
        <is>
          <t>soccer-poisson-dc-v1</t>
        </is>
      </c>
      <c r="U90" s="24" t="inlineStr">
        <is>
          <t>settled</t>
        </is>
      </c>
      <c r="V90" s="24" t="inlineStr">
        <is>
          <t>win</t>
        </is>
      </c>
      <c r="W90" s="26" t="n">
        <v>1</v>
      </c>
      <c r="X90" s="26" t="n">
        <v>2</v>
      </c>
      <c r="Y90" s="25" t="n"/>
      <c r="Z90" s="26" t="n"/>
      <c r="AA90" s="28" t="n"/>
      <c r="AB90" s="28" t="n"/>
      <c r="AC90" s="30" t="n">
        <v>1.8519</v>
      </c>
      <c r="AD90" s="24" t="inlineStr">
        <is>
          <t>2026-08-07T15:18:25.790098Z</t>
        </is>
      </c>
      <c r="AE90" s="31" t="inlineStr">
        <is>
          <t>Poisson-DC rates 3.72 (home) / 1.43 (away) from EWMA attack/defense strengths. Executable ask 0.5200 (atc-clbf-bmu-avl-2026-08-07-bmu).</t>
        </is>
      </c>
      <c r="AF90" s="31" t="inlineStr">
        <is>
          <t>Research-only soccer score model; draw-aware, but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Aston Villa</t>
        </is>
      </c>
      <c r="AQ90" s="24" t="inlineStr">
        <is>
          <t>Aston Villa</t>
        </is>
      </c>
      <c r="AR90" s="24" t="inlineStr">
        <is>
          <t>Aston Villa</t>
        </is>
      </c>
      <c r="AS90" s="24" t="inlineStr">
        <is>
          <t>Bayern Munich</t>
        </is>
      </c>
      <c r="AT90" s="24" t="inlineStr">
        <is>
          <t>Bayern Munich</t>
        </is>
      </c>
      <c r="AU90" s="24" t="inlineStr">
        <is>
          <t>Bayern Munich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c95ec2023134439ab985cb4cdcc58243749b9deb564fca7a2d587c15c9875427</t>
        </is>
      </c>
      <c r="BB90" s="24" t="inlineStr">
        <is>
          <t>poisson_dixon_coles</t>
        </is>
      </c>
      <c r="BC90" s="24" t="inlineStr">
        <is>
          <t>soccer-poisson-dc-v1</t>
        </is>
      </c>
      <c r="BD90" s="24" t="inlineStr">
        <is>
          <t>c95ec2023134439ab985cb4cdcc58243749b9deb564fca7a2d587c15c9875427</t>
        </is>
      </c>
      <c r="BE90" s="24" t="inlineStr">
        <is>
          <t>soccer-poisson-dc-v1</t>
        </is>
      </c>
      <c r="BF90" s="24" t="inlineStr">
        <is>
          <t>1</t>
        </is>
      </c>
      <c r="BG90" s="24" t="inlineStr">
        <is>
          <t>c95ec2023134439ab985cb4cdcc58243749b9deb564fca7a2d587c15c9875427</t>
        </is>
      </c>
      <c r="BH90" s="24" t="inlineStr">
        <is>
          <t>2026-08-07T09:08:46.980092Z</t>
        </is>
      </c>
      <c r="BI90" s="24" t="inlineStr">
        <is>
          <t>["same_event","same_team_same_day","same_league_same_day"]</t>
        </is>
      </c>
      <c r="BJ90" s="25" t="n"/>
      <c r="BK90" s="26" t="n">
        <v>-108</v>
      </c>
      <c r="BL90" s="27" t="n">
        <v>1.925926</v>
      </c>
      <c r="BM90" s="28" t="n">
        <v>0.519231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ec9fbb53d3bd434e</t>
        </is>
      </c>
      <c r="B91" s="24" t="inlineStr">
        <is>
          <t>2026-08-07T18:30:33.836209Z</t>
        </is>
      </c>
      <c r="C91" s="24" t="inlineStr">
        <is>
          <t>2026-08-07T20:15Z</t>
        </is>
      </c>
      <c r="D91" s="24" t="inlineStr">
        <is>
          <t>401886111</t>
        </is>
      </c>
      <c r="E91" s="24" t="inlineStr">
        <is>
          <t>SOCCER</t>
        </is>
      </c>
      <c r="F91" s="24" t="inlineStr">
        <is>
          <t>Cusco FC</t>
        </is>
      </c>
      <c r="G91" s="24" t="inlineStr">
        <is>
          <t>Comerciantes Unidos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163</v>
      </c>
      <c r="M91" s="27" t="n">
        <v>2.63</v>
      </c>
      <c r="N91" s="28" t="n">
        <v>0.380228</v>
      </c>
      <c r="O91" s="28" t="n">
        <v>0.394611</v>
      </c>
      <c r="P91" s="28" t="n">
        <v>0.19</v>
      </c>
      <c r="Q91" s="28" t="n">
        <v>0.014383</v>
      </c>
      <c r="R91" s="26" t="n">
        <v>0</v>
      </c>
      <c r="S91" s="29" t="n">
        <v>1</v>
      </c>
      <c r="T91" s="24" t="inlineStr">
        <is>
          <t>soccer-poisson-dc-v1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3</v>
      </c>
      <c r="Y91" s="25" t="n"/>
      <c r="Z91" s="26" t="n"/>
      <c r="AA91" s="28" t="n"/>
      <c r="AB91" s="28" t="n"/>
      <c r="AC91" s="30" t="n">
        <v>1.63</v>
      </c>
      <c r="AD91" s="24" t="inlineStr">
        <is>
          <t>2026-08-08T00:59:17.322513Z</t>
        </is>
      </c>
      <c r="AE91" s="31" t="inlineStr">
        <is>
          <t>Poisson-DC rates 1.66 (home) / 1.56 (away) from EWMA attack/defense strengths. Executable ask 0.3800 (atc-pl1-cou-gar-2026-08-07-cou).</t>
        </is>
      </c>
      <c r="AF91" s="31" t="inlineStr">
        <is>
          <t>Research-only soccer score model; draw-aware, but not yet locked-holdout qualified.</t>
        </is>
      </c>
      <c r="AG91" s="24" t="inlineStr">
        <is>
          <t>not_applicable</t>
        </is>
      </c>
      <c r="AH91" s="24" t="n"/>
      <c r="AI91" s="31" t="n"/>
      <c r="AJ9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NO_CALL_WINNER_OVERVALUED</t>
        </is>
      </c>
      <c r="AP91" s="24" t="inlineStr">
        <is>
          <t>Cusco FC</t>
        </is>
      </c>
      <c r="AQ91" s="24" t="inlineStr">
        <is>
          <t>Cusco FC</t>
        </is>
      </c>
      <c r="AR91" s="24" t="inlineStr">
        <is>
          <t>Cusco FC</t>
        </is>
      </c>
      <c r="AS91" s="24" t="inlineStr">
        <is>
          <t>Comerciantes Unidos</t>
        </is>
      </c>
      <c r="AT91" s="24" t="inlineStr">
        <is>
          <t>Comerciantes Unidos</t>
        </is>
      </c>
      <c r="AU91" s="24" t="inlineStr">
        <is>
          <t>Comerciantes Unidos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c95ec2023134439ab985cb4cdcc58243749b9deb564fca7a2d587c15c9875427</t>
        </is>
      </c>
      <c r="BB91" s="24" t="inlineStr">
        <is>
          <t>poisson_dixon_coles</t>
        </is>
      </c>
      <c r="BC91" s="24" t="inlineStr">
        <is>
          <t>soccer-poisson-dc-v1</t>
        </is>
      </c>
      <c r="BD91" s="24" t="inlineStr">
        <is>
          <t>c95ec2023134439ab985cb4cdcc58243749b9deb564fca7a2d587c15c9875427</t>
        </is>
      </c>
      <c r="BE91" s="24" t="inlineStr">
        <is>
          <t>soccer-poisson-dc-v1</t>
        </is>
      </c>
      <c r="BF91" s="24" t="inlineStr">
        <is>
          <t>1</t>
        </is>
      </c>
      <c r="BG91" s="24" t="inlineStr">
        <is>
          <t>c95ec2023134439ab985cb4cdcc58243749b9deb564fca7a2d587c15c9875427</t>
        </is>
      </c>
      <c r="BH91" s="24" t="inlineStr">
        <is>
          <t>2026-08-07T18:28:05.240611Z</t>
        </is>
      </c>
      <c r="BI91" s="24" t="inlineStr">
        <is>
          <t>["same_event","same_team_same_day","same_league_same_day"]</t>
        </is>
      </c>
      <c r="BJ91" s="25" t="n"/>
      <c r="BK91" s="26" t="n">
        <v>163</v>
      </c>
      <c r="BL91" s="27" t="n">
        <v>2.63</v>
      </c>
      <c r="BM91" s="28" t="n">
        <v>0.380228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</row>
    <row r="92" ht="36" customHeight="1">
      <c r="A92" s="24" t="inlineStr">
        <is>
          <t>65cbf0fd53194669</t>
        </is>
      </c>
      <c r="B92" s="24" t="inlineStr">
        <is>
          <t>2026-08-07T18:30:33.836209Z</t>
        </is>
      </c>
      <c r="C92" s="24" t="inlineStr">
        <is>
          <t>2026-08-07T18:45Z</t>
        </is>
      </c>
      <c r="D92" s="24" t="inlineStr">
        <is>
          <t>401906279</t>
        </is>
      </c>
      <c r="E92" s="24" t="inlineStr">
        <is>
          <t>SOCCER</t>
        </is>
      </c>
      <c r="F92" s="24" t="inlineStr">
        <is>
          <t>Padova</t>
        </is>
      </c>
      <c r="G92" s="24" t="inlineStr">
        <is>
          <t>Monza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426</v>
      </c>
      <c r="M92" s="27" t="n">
        <v>5.26</v>
      </c>
      <c r="N92" s="28" t="n">
        <v>0.190114</v>
      </c>
      <c r="O92" s="28" t="n">
        <v>0.5644479999999999</v>
      </c>
      <c r="P92" s="28" t="n">
        <v>0.2</v>
      </c>
      <c r="Q92" s="28" t="n">
        <v>0.374334</v>
      </c>
      <c r="R92" s="26" t="n">
        <v>100</v>
      </c>
      <c r="S92" s="29" t="n">
        <v>1</v>
      </c>
      <c r="T92" s="24" t="inlineStr">
        <is>
          <t>soccer-poisson-dc-v1</t>
        </is>
      </c>
      <c r="U92" s="24" t="inlineStr">
        <is>
          <t>settled</t>
        </is>
      </c>
      <c r="V92" s="24" t="inlineStr">
        <is>
          <t>loss</t>
        </is>
      </c>
      <c r="W92" s="26" t="n">
        <v>3</v>
      </c>
      <c r="X92" s="26" t="n">
        <v>3</v>
      </c>
      <c r="Y92" s="25" t="n"/>
      <c r="Z92" s="26" t="n"/>
      <c r="AA92" s="28" t="n"/>
      <c r="AB92" s="28" t="n"/>
      <c r="AC92" s="30" t="n">
        <v>-1</v>
      </c>
      <c r="AD92" s="24" t="inlineStr">
        <is>
          <t>2026-08-08T00:59:18.895318Z</t>
        </is>
      </c>
      <c r="AE92" s="31" t="inlineStr">
        <is>
          <t>Poisson-DC rates 0.86 (home) / 1.71 (away) from EWMA attack/defense strengths. Executable ask 0.1900 (atc-clbf-mon-pad-2026-08-07-pad).</t>
        </is>
      </c>
      <c r="AF92" s="31" t="inlineStr">
        <is>
          <t>Research-only soccer score model; draw-aware, but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Padova</t>
        </is>
      </c>
      <c r="AQ92" s="24" t="inlineStr">
        <is>
          <t>Padova</t>
        </is>
      </c>
      <c r="AR92" s="24" t="inlineStr">
        <is>
          <t>Padova</t>
        </is>
      </c>
      <c r="AS92" s="24" t="inlineStr">
        <is>
          <t>Monza</t>
        </is>
      </c>
      <c r="AT92" s="24" t="inlineStr">
        <is>
          <t>Monza</t>
        </is>
      </c>
      <c r="AU92" s="24" t="inlineStr">
        <is>
          <t>Monza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c95ec2023134439ab985cb4cdcc58243749b9deb564fca7a2d587c15c9875427</t>
        </is>
      </c>
      <c r="BB92" s="24" t="inlineStr">
        <is>
          <t>poisson_dixon_coles</t>
        </is>
      </c>
      <c r="BC92" s="24" t="inlineStr">
        <is>
          <t>soccer-poisson-dc-v1</t>
        </is>
      </c>
      <c r="BD92" s="24" t="inlineStr">
        <is>
          <t>c95ec2023134439ab985cb4cdcc58243749b9deb564fca7a2d587c15c9875427</t>
        </is>
      </c>
      <c r="BE92" s="24" t="inlineStr">
        <is>
          <t>soccer-poisson-dc-v1</t>
        </is>
      </c>
      <c r="BF92" s="24" t="inlineStr">
        <is>
          <t>1</t>
        </is>
      </c>
      <c r="BG92" s="24" t="inlineStr">
        <is>
          <t>c95ec2023134439ab985cb4cdcc58243749b9deb564fca7a2d587c15c9875427</t>
        </is>
      </c>
      <c r="BH92" s="24" t="inlineStr">
        <is>
          <t>2026-08-07T18:28:05.312057Z</t>
        </is>
      </c>
      <c r="BI92" s="24" t="inlineStr">
        <is>
          <t>["same_event","same_team_same_day","same_league_same_day"]</t>
        </is>
      </c>
      <c r="BJ92" s="25" t="n"/>
      <c r="BK92" s="26" t="n">
        <v>426</v>
      </c>
      <c r="BL92" s="27" t="n">
        <v>5.26</v>
      </c>
      <c r="BM92" s="28" t="n">
        <v>0.190114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</row>
    <row r="93" ht="36" customHeight="1">
      <c r="A93" s="24" t="inlineStr">
        <is>
          <t>afd9334bbea54991</t>
        </is>
      </c>
      <c r="B93" s="24" t="inlineStr">
        <is>
          <t>2026-08-07T21:57:06.967476Z</t>
        </is>
      </c>
      <c r="C93" s="24" t="inlineStr">
        <is>
          <t>2026-08-07T23:30Z</t>
        </is>
      </c>
      <c r="D93" s="24" t="inlineStr">
        <is>
          <t>401860269</t>
        </is>
      </c>
      <c r="E93" s="24" t="inlineStr">
        <is>
          <t>SOCCER</t>
        </is>
      </c>
      <c r="F93" s="24" t="inlineStr">
        <is>
          <t>Ponte Preta</t>
        </is>
      </c>
      <c r="G93" s="24" t="inlineStr">
        <is>
          <t>Ceará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-213</v>
      </c>
      <c r="M93" s="27" t="n">
        <v>1.469484</v>
      </c>
      <c r="N93" s="28" t="n">
        <v>0.680511</v>
      </c>
      <c r="O93" s="28" t="n">
        <v>0.483295</v>
      </c>
      <c r="P93" s="28" t="n">
        <v>0.2</v>
      </c>
      <c r="Q93" s="28" t="n">
        <v>-0.197216</v>
      </c>
      <c r="R93" s="26" t="n">
        <v>0</v>
      </c>
      <c r="S93" s="29" t="n">
        <v>1</v>
      </c>
      <c r="T93" s="24" t="inlineStr">
        <is>
          <t>soccer-poisson-dc-v1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2</v>
      </c>
      <c r="Y93" s="25" t="n"/>
      <c r="Z93" s="26" t="n"/>
      <c r="AA93" s="28" t="n"/>
      <c r="AB93" s="28" t="n"/>
      <c r="AC93" s="30" t="n">
        <v>0.4695</v>
      </c>
      <c r="AD93" s="24" t="inlineStr">
        <is>
          <t>2026-08-08T04:03:55.725680Z</t>
        </is>
      </c>
      <c r="AE93" s="31" t="inlineStr">
        <is>
          <t>Poisson-DC rates 1.72 (home) / 1.20 (away) from EWMA attack/defense strengths. Executable ask 0.6800 (atc-brb-csc-pop-2026-08-07-csc).</t>
        </is>
      </c>
      <c r="AF93" s="31" t="inlineStr">
        <is>
          <t>Research-only soccer score model; draw-aware, but not yet locked-holdout qualified.</t>
        </is>
      </c>
      <c r="AG93" s="24" t="inlineStr">
        <is>
          <t>not_applicable</t>
        </is>
      </c>
      <c r="AH93" s="24" t="n"/>
      <c r="AI93" s="31" t="n"/>
      <c r="AJ9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NO_CALL_WINNER_OVERVALUED</t>
        </is>
      </c>
      <c r="AP93" s="24" t="inlineStr">
        <is>
          <t>Ponte Preta</t>
        </is>
      </c>
      <c r="AQ93" s="24" t="inlineStr">
        <is>
          <t>Ponte Preta</t>
        </is>
      </c>
      <c r="AR93" s="24" t="inlineStr">
        <is>
          <t>Ponte Preta</t>
        </is>
      </c>
      <c r="AS93" s="24" t="inlineStr">
        <is>
          <t>Ceará</t>
        </is>
      </c>
      <c r="AT93" s="24" t="inlineStr">
        <is>
          <t>Ceará</t>
        </is>
      </c>
      <c r="AU93" s="24" t="inlineStr">
        <is>
          <t>Ceará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c95ec2023134439ab985cb4cdcc58243749b9deb564fca7a2d587c15c9875427</t>
        </is>
      </c>
      <c r="BB93" s="24" t="inlineStr">
        <is>
          <t>poisson_dixon_coles</t>
        </is>
      </c>
      <c r="BC93" s="24" t="inlineStr">
        <is>
          <t>soccer-poisson-dc-v1</t>
        </is>
      </c>
      <c r="BD93" s="24" t="inlineStr">
        <is>
          <t>c95ec2023134439ab985cb4cdcc58243749b9deb564fca7a2d587c15c9875427</t>
        </is>
      </c>
      <c r="BE93" s="24" t="inlineStr">
        <is>
          <t>soccer-poisson-dc-v1</t>
        </is>
      </c>
      <c r="BF93" s="24" t="inlineStr">
        <is>
          <t>1</t>
        </is>
      </c>
      <c r="BG93" s="24" t="inlineStr">
        <is>
          <t>c95ec2023134439ab985cb4cdcc58243749b9deb564fca7a2d587c15c9875427</t>
        </is>
      </c>
      <c r="BH93" s="24" t="inlineStr">
        <is>
          <t>2026-08-07T21:56:01.183000Z</t>
        </is>
      </c>
      <c r="BI93" s="24" t="inlineStr">
        <is>
          <t>["same_event","same_team_same_day","same_league_same_day"]</t>
        </is>
      </c>
      <c r="BJ93" s="25" t="n"/>
      <c r="BK93" s="26" t="n">
        <v>-213</v>
      </c>
      <c r="BL93" s="27" t="n">
        <v>1.469484</v>
      </c>
      <c r="BM93" s="28" t="n">
        <v>0.680511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</row>
    <row r="94" ht="36" customHeight="1">
      <c r="A94" s="24" t="inlineStr">
        <is>
          <t>a8f858cba7cb4501</t>
        </is>
      </c>
      <c r="B94" s="24" t="inlineStr">
        <is>
          <t>2026-08-07T21:57:06.967476Z</t>
        </is>
      </c>
      <c r="C94" s="24" t="inlineStr">
        <is>
          <t>2026-08-07T22:30Z</t>
        </is>
      </c>
      <c r="D94" s="24" t="inlineStr">
        <is>
          <t>401841491</t>
        </is>
      </c>
      <c r="E94" s="24" t="inlineStr">
        <is>
          <t>SOCCER</t>
        </is>
      </c>
      <c r="F94" s="24" t="inlineStr">
        <is>
          <t>Aldosivi</t>
        </is>
      </c>
      <c r="G94" s="24" t="inlineStr">
        <is>
          <t>Rosario Central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0.456135</v>
      </c>
      <c r="P94" s="28" t="n">
        <v>0.2</v>
      </c>
      <c r="Q94" s="28" t="n">
        <v>-0.173495</v>
      </c>
      <c r="R94" s="26" t="n">
        <v>0</v>
      </c>
      <c r="S94" s="29" t="n">
        <v>1</v>
      </c>
      <c r="T94" s="24" t="inlineStr">
        <is>
          <t>soccer-poisson-dc-v1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2</v>
      </c>
      <c r="Y94" s="25" t="n"/>
      <c r="Z94" s="26" t="n"/>
      <c r="AA94" s="28" t="n"/>
      <c r="AB94" s="28" t="n"/>
      <c r="AC94" s="30" t="n">
        <v>0.5881999999999999</v>
      </c>
      <c r="AD94" s="24" t="inlineStr">
        <is>
          <t>2026-08-08T00:59:22.760236Z</t>
        </is>
      </c>
      <c r="AE94" s="31" t="inlineStr">
        <is>
          <t>Poisson-DC rates 1.64 (home) / 1.24 (away) from EWMA attack/defense strengths. Executable ask 0.6300 (atc-lpa-ros-ald-2026-08-07-ros).</t>
        </is>
      </c>
      <c r="AF94" s="31" t="inlineStr">
        <is>
          <t>Research-only soccer score model; draw-aware, but not yet locked-holdout qualified.</t>
        </is>
      </c>
      <c r="AG94" s="24" t="inlineStr">
        <is>
          <t>not_applicable</t>
        </is>
      </c>
      <c r="AH94" s="24" t="n"/>
      <c r="AI94" s="31" t="n"/>
      <c r="AJ9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NO_CALL_WINNER_OVERVALUED</t>
        </is>
      </c>
      <c r="AP94" s="24" t="inlineStr">
        <is>
          <t>Aldosivi</t>
        </is>
      </c>
      <c r="AQ94" s="24" t="inlineStr">
        <is>
          <t>Aldosivi</t>
        </is>
      </c>
      <c r="AR94" s="24" t="inlineStr">
        <is>
          <t>Aldosivi</t>
        </is>
      </c>
      <c r="AS94" s="24" t="inlineStr">
        <is>
          <t>Rosario Central</t>
        </is>
      </c>
      <c r="AT94" s="24" t="inlineStr">
        <is>
          <t>Rosario Central</t>
        </is>
      </c>
      <c r="AU94" s="24" t="inlineStr">
        <is>
          <t>Rosario Central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c95ec2023134439ab985cb4cdcc58243749b9deb564fca7a2d587c15c9875427</t>
        </is>
      </c>
      <c r="BB94" s="24" t="inlineStr">
        <is>
          <t>poisson_dixon_coles</t>
        </is>
      </c>
      <c r="BC94" s="24" t="inlineStr">
        <is>
          <t>soccer-poisson-dc-v1</t>
        </is>
      </c>
      <c r="BD94" s="24" t="inlineStr">
        <is>
          <t>c95ec2023134439ab985cb4cdcc58243749b9deb564fca7a2d587c15c9875427</t>
        </is>
      </c>
      <c r="BE94" s="24" t="inlineStr">
        <is>
          <t>soccer-poisson-dc-v1</t>
        </is>
      </c>
      <c r="BF94" s="24" t="inlineStr">
        <is>
          <t>1</t>
        </is>
      </c>
      <c r="BG94" s="24" t="inlineStr">
        <is>
          <t>c95ec2023134439ab985cb4cdcc58243749b9deb564fca7a2d587c15c9875427</t>
        </is>
      </c>
      <c r="BH94" s="24" t="inlineStr">
        <is>
          <t>2026-08-07T21:56:01.197015Z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</row>
    <row r="95" ht="36" customHeight="1">
      <c r="A95" s="24" t="inlineStr">
        <is>
          <t>01e015683cc44227</t>
        </is>
      </c>
      <c r="B95" s="24" t="inlineStr">
        <is>
          <t>2026-08-07T21:57:06.967476Z</t>
        </is>
      </c>
      <c r="C95" s="24" t="inlineStr">
        <is>
          <t>2026-08-07T22:00Z</t>
        </is>
      </c>
      <c r="D95" s="24" t="inlineStr">
        <is>
          <t>401905201</t>
        </is>
      </c>
      <c r="E95" s="24" t="inlineStr">
        <is>
          <t>SOCCER</t>
        </is>
      </c>
      <c r="F95" s="24" t="inlineStr">
        <is>
          <t>Juventud</t>
        </is>
      </c>
      <c r="G95" s="24" t="inlineStr">
        <is>
          <t>Cerro Largo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203</v>
      </c>
      <c r="M95" s="27" t="n">
        <v>3.03</v>
      </c>
      <c r="N95" s="28" t="n">
        <v>0.330033</v>
      </c>
      <c r="O95" s="28" t="n">
        <v>0.456135</v>
      </c>
      <c r="P95" s="28" t="n">
        <v>0.2</v>
      </c>
      <c r="Q95" s="28" t="n">
        <v>0.126102</v>
      </c>
      <c r="R95" s="26" t="n">
        <v>0</v>
      </c>
      <c r="S95" s="29" t="n">
        <v>1</v>
      </c>
      <c r="T95" s="24" t="inlineStr">
        <is>
          <t>soccer-poisson-dc-v1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1</v>
      </c>
      <c r="Y95" s="25" t="n"/>
      <c r="Z95" s="26" t="n"/>
      <c r="AA95" s="28" t="n"/>
      <c r="AB95" s="28" t="n"/>
      <c r="AC95" s="30" t="n">
        <v>-1</v>
      </c>
      <c r="AD95" s="24" t="inlineStr">
        <is>
          <t>2026-08-08T00:59:23.350192Z</t>
        </is>
      </c>
      <c r="AE95" s="31" t="inlineStr">
        <is>
          <t>Poisson-DC rates 1.64 (home) / 1.24 (away) from EWMA attack/defense strengths. Executable ask 0.3300 (atc-uru1-cla-juv-2026-08-07-cla).</t>
        </is>
      </c>
      <c r="AF95" s="31" t="inlineStr">
        <is>
          <t>Research-only soccer score model; draw-aware, but not yet locked-holdout qualified.</t>
        </is>
      </c>
      <c r="AG95" s="24" t="inlineStr">
        <is>
          <t>review_required</t>
        </is>
      </c>
      <c r="AH95" s="24" t="n"/>
      <c r="AI95" s="31" t="n"/>
      <c r="AJ9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NO_CALL_WINNER_OVERVALUED</t>
        </is>
      </c>
      <c r="AP95" s="24" t="inlineStr">
        <is>
          <t>Juventud</t>
        </is>
      </c>
      <c r="AQ95" s="24" t="inlineStr">
        <is>
          <t>Juventud</t>
        </is>
      </c>
      <c r="AR95" s="24" t="inlineStr">
        <is>
          <t>Juventud</t>
        </is>
      </c>
      <c r="AS95" s="24" t="inlineStr">
        <is>
          <t>Cerro Largo</t>
        </is>
      </c>
      <c r="AT95" s="24" t="inlineStr">
        <is>
          <t>Cerro Largo</t>
        </is>
      </c>
      <c r="AU95" s="24" t="inlineStr">
        <is>
          <t>Cerro Largo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c95ec2023134439ab985cb4cdcc58243749b9deb564fca7a2d587c15c9875427</t>
        </is>
      </c>
      <c r="BB95" s="24" t="inlineStr">
        <is>
          <t>poisson_dixon_coles</t>
        </is>
      </c>
      <c r="BC95" s="24" t="inlineStr">
        <is>
          <t>soccer-poisson-dc-v1</t>
        </is>
      </c>
      <c r="BD95" s="24" t="inlineStr">
        <is>
          <t>c95ec2023134439ab985cb4cdcc58243749b9deb564fca7a2d587c15c9875427</t>
        </is>
      </c>
      <c r="BE95" s="24" t="inlineStr">
        <is>
          <t>soccer-poisson-dc-v1</t>
        </is>
      </c>
      <c r="BF95" s="24" t="inlineStr">
        <is>
          <t>1</t>
        </is>
      </c>
      <c r="BG95" s="24" t="inlineStr">
        <is>
          <t>c95ec2023134439ab985cb4cdcc58243749b9deb564fca7a2d587c15c9875427</t>
        </is>
      </c>
      <c r="BH95" s="24" t="inlineStr">
        <is>
          <t>2026-08-07T21:56:01.741896Z</t>
        </is>
      </c>
      <c r="BI95" s="24" t="inlineStr">
        <is>
          <t>["same_event","same_team_same_day","same_league_same_day"]</t>
        </is>
      </c>
      <c r="BJ95" s="25" t="n"/>
      <c r="BK95" s="26" t="n">
        <v>203</v>
      </c>
      <c r="BL95" s="27" t="n">
        <v>3.03</v>
      </c>
      <c r="BM95" s="28" t="n">
        <v>0.330033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</row>
    <row r="96" ht="36" customHeight="1">
      <c r="A96" s="24" t="inlineStr">
        <is>
          <t>850960253aab4352</t>
        </is>
      </c>
      <c r="B96" s="24" t="inlineStr">
        <is>
          <t>2026-08-08T04:06:48.430272Z</t>
        </is>
      </c>
      <c r="C96" s="24" t="inlineStr">
        <is>
          <t>2026-08-08T12:00Z</t>
        </is>
      </c>
      <c r="D96" s="24" t="inlineStr">
        <is>
          <t>401871495</t>
        </is>
      </c>
      <c r="E96" s="24" t="inlineStr">
        <is>
          <t>SOCCER</t>
        </is>
      </c>
      <c r="F96" s="24" t="inlineStr">
        <is>
          <t>AC Milan</t>
        </is>
      </c>
      <c r="G96" s="24" t="inlineStr">
        <is>
          <t>Chelsea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223</v>
      </c>
      <c r="M96" s="27" t="n">
        <v>3.23</v>
      </c>
      <c r="N96" s="28" t="n">
        <v>0.309598</v>
      </c>
      <c r="O96" s="28" t="n">
        <v>0.38707</v>
      </c>
      <c r="P96" s="28" t="n">
        <v>0.04</v>
      </c>
      <c r="Q96" s="28" t="n">
        <v>0.077472</v>
      </c>
      <c r="R96" s="26" t="n">
        <v>65</v>
      </c>
      <c r="S96" s="29" t="n">
        <v>1.5</v>
      </c>
      <c r="T96" s="24" t="inlineStr">
        <is>
          <t>soccer-poisson-dc-v1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3</v>
      </c>
      <c r="Y96" s="25" t="n"/>
      <c r="Z96" s="26" t="n"/>
      <c r="AA96" s="28" t="n"/>
      <c r="AB96" s="28" t="n"/>
      <c r="AC96" s="30" t="n">
        <v>-1.5</v>
      </c>
      <c r="AD96" s="24" t="inlineStr">
        <is>
          <t>2026-08-08T18:33:30.065799Z</t>
        </is>
      </c>
      <c r="AE96" s="31" t="inlineStr">
        <is>
          <t>Poisson-DC rates 1.20 (home) / 1.34 (away) from EWMA attack/defense strengths. Executable ask 0.3100 (atc-clbf-cfc-acm-2026-08-08-acm).</t>
        </is>
      </c>
      <c r="AF96" s="31" t="inlineStr">
        <is>
          <t>Research-only soccer score model; draw-aware, but not yet locked-holdout qualified.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AC Milan</t>
        </is>
      </c>
      <c r="AQ96" s="24" t="inlineStr">
        <is>
          <t>AC Milan</t>
        </is>
      </c>
      <c r="AR96" s="24" t="inlineStr">
        <is>
          <t>AC Milan</t>
        </is>
      </c>
      <c r="AS96" s="24" t="inlineStr">
        <is>
          <t>Chelsea</t>
        </is>
      </c>
      <c r="AT96" s="24" t="inlineStr">
        <is>
          <t>Chelsea</t>
        </is>
      </c>
      <c r="AU96" s="24" t="inlineStr">
        <is>
          <t>Chelsea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c95ec2023134439ab985cb4cdcc58243749b9deb564fca7a2d587c15c9875427</t>
        </is>
      </c>
      <c r="BB96" s="24" t="inlineStr">
        <is>
          <t>poisson_dixon_coles</t>
        </is>
      </c>
      <c r="BC96" s="24" t="inlineStr">
        <is>
          <t>soccer-poisson-dc-v1</t>
        </is>
      </c>
      <c r="BD96" s="24" t="inlineStr">
        <is>
          <t>c95ec2023134439ab985cb4cdcc58243749b9deb564fca7a2d587c15c9875427</t>
        </is>
      </c>
      <c r="BE96" s="24" t="inlineStr">
        <is>
          <t>soccer-poisson-dc-v1</t>
        </is>
      </c>
      <c r="BF96" s="24" t="inlineStr">
        <is>
          <t>1</t>
        </is>
      </c>
      <c r="BG96" s="24" t="inlineStr">
        <is>
          <t>c95ec2023134439ab985cb4cdcc58243749b9deb564fca7a2d587c15c9875427</t>
        </is>
      </c>
      <c r="BH96" s="24" t="inlineStr">
        <is>
          <t>2026-08-08T04:05:26.078272Z</t>
        </is>
      </c>
      <c r="BI96" s="24" t="inlineStr">
        <is>
          <t>["same_event","same_team_same_day","same_league_same_day"]</t>
        </is>
      </c>
      <c r="BJ96" s="25" t="n"/>
      <c r="BK96" s="26" t="n">
        <v>223</v>
      </c>
      <c r="BL96" s="27" t="n">
        <v>3.23</v>
      </c>
      <c r="BM96" s="28" t="n">
        <v>0.309598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</row>
    <row r="97" ht="36" customHeight="1">
      <c r="A97" s="24" t="inlineStr">
        <is>
          <t>720c129b5d7a4477</t>
        </is>
      </c>
      <c r="B97" s="24" t="inlineStr">
        <is>
          <t>2026-08-08T18:36:33.205564Z</t>
        </is>
      </c>
      <c r="C97" s="24" t="inlineStr">
        <is>
          <t>2026-08-08T23:30Z</t>
        </is>
      </c>
      <c r="D97" s="24" t="inlineStr">
        <is>
          <t>401841184</t>
        </is>
      </c>
      <c r="E97" s="24" t="inlineStr">
        <is>
          <t>SOCCER</t>
        </is>
      </c>
      <c r="F97" s="24" t="inlineStr">
        <is>
          <t>Chapecoense</t>
        </is>
      </c>
      <c r="G97" s="24" t="inlineStr">
        <is>
          <t>Coritiba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-144</v>
      </c>
      <c r="M97" s="27" t="n">
        <v>1.694444</v>
      </c>
      <c r="N97" s="28" t="n">
        <v>0.590164</v>
      </c>
      <c r="O97" s="28" t="n">
        <v>0.451659</v>
      </c>
      <c r="P97" s="28" t="n">
        <v>0.2</v>
      </c>
      <c r="Q97" s="28" t="n">
        <v>-0.138505</v>
      </c>
      <c r="R97" s="26" t="n">
        <v>0</v>
      </c>
      <c r="S97" s="29" t="n">
        <v>1</v>
      </c>
      <c r="T97" s="24" t="inlineStr">
        <is>
          <t>soccer-poisson-dc-v1</t>
        </is>
      </c>
      <c r="U97" s="24" t="inlineStr">
        <is>
          <t>settled</t>
        </is>
      </c>
      <c r="V97" s="24" t="inlineStr">
        <is>
          <t>win</t>
        </is>
      </c>
      <c r="W97" s="26" t="n">
        <v>1</v>
      </c>
      <c r="X97" s="26" t="n">
        <v>2</v>
      </c>
      <c r="Y97" s="25" t="n"/>
      <c r="Z97" s="26" t="n"/>
      <c r="AA97" s="28" t="n"/>
      <c r="AB97" s="28" t="n"/>
      <c r="AC97" s="30" t="n">
        <v>0.6944</v>
      </c>
      <c r="AD97" s="24" t="inlineStr">
        <is>
          <t>2026-08-09T05:13:11.862105Z</t>
        </is>
      </c>
      <c r="AE97" s="31" t="inlineStr">
        <is>
          <t>Poisson-DC rates 1.59 (home) / 1.20 (away) from EWMA attack/defense strengths. Executable ask 0.5900 (atc-bra-cor-cha-2026-08-08-cor).</t>
        </is>
      </c>
      <c r="AF97" s="31" t="inlineStr">
        <is>
          <t>Research-only soccer score model; draw-aware, but not yet locked-holdout qualified.</t>
        </is>
      </c>
      <c r="AG97" s="24" t="inlineStr">
        <is>
          <t>not_applicable</t>
        </is>
      </c>
      <c r="AH97" s="24" t="n"/>
      <c r="AI97" s="31" t="n"/>
      <c r="AJ9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NO_CALL_WINNER_OVERVALUED</t>
        </is>
      </c>
      <c r="AP97" s="24" t="inlineStr">
        <is>
          <t>Chapecoense</t>
        </is>
      </c>
      <c r="AQ97" s="24" t="inlineStr">
        <is>
          <t>Chapecoense</t>
        </is>
      </c>
      <c r="AR97" s="24" t="inlineStr">
        <is>
          <t>Chapecoense</t>
        </is>
      </c>
      <c r="AS97" s="24" t="inlineStr">
        <is>
          <t>Coritiba</t>
        </is>
      </c>
      <c r="AT97" s="24" t="inlineStr">
        <is>
          <t>Coritiba</t>
        </is>
      </c>
      <c r="AU97" s="24" t="inlineStr">
        <is>
          <t>Coritiba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c95ec2023134439ab985cb4cdcc58243749b9deb564fca7a2d587c15c9875427</t>
        </is>
      </c>
      <c r="BB97" s="24" t="inlineStr">
        <is>
          <t>poisson_dixon_coles</t>
        </is>
      </c>
      <c r="BC97" s="24" t="inlineStr">
        <is>
          <t>soccer-poisson-dc-v1</t>
        </is>
      </c>
      <c r="BD97" s="24" t="inlineStr">
        <is>
          <t>c95ec2023134439ab985cb4cdcc58243749b9deb564fca7a2d587c15c9875427</t>
        </is>
      </c>
      <c r="BE97" s="24" t="inlineStr">
        <is>
          <t>soccer-poisson-dc-v1</t>
        </is>
      </c>
      <c r="BF97" s="24" t="inlineStr">
        <is>
          <t>1</t>
        </is>
      </c>
      <c r="BG97" s="24" t="inlineStr">
        <is>
          <t>c95ec2023134439ab985cb4cdcc58243749b9deb564fca7a2d587c15c9875427</t>
        </is>
      </c>
      <c r="BH97" s="24" t="inlineStr">
        <is>
          <t>2026-08-08T18:35:42.695025Z</t>
        </is>
      </c>
      <c r="BI97" s="24" t="inlineStr">
        <is>
          <t>["same_event","same_team_same_day","same_league_same_day"]</t>
        </is>
      </c>
      <c r="BJ97" s="25" t="n"/>
      <c r="BK97" s="26" t="n">
        <v>-144</v>
      </c>
      <c r="BL97" s="27" t="n">
        <v>1.694444</v>
      </c>
      <c r="BM97" s="28" t="n">
        <v>0.590164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</row>
    <row r="98" ht="36" customHeight="1">
      <c r="A98" s="24" t="inlineStr">
        <is>
          <t>1e3c78a3ea604069</t>
        </is>
      </c>
      <c r="B98" s="24" t="inlineStr">
        <is>
          <t>2026-08-08T18:36:33.205564Z</t>
        </is>
      </c>
      <c r="C98" s="24" t="inlineStr">
        <is>
          <t>2026-08-09T00:00Z</t>
        </is>
      </c>
      <c r="D98" s="24" t="inlineStr">
        <is>
          <t>401841185</t>
        </is>
      </c>
      <c r="E98" s="24" t="inlineStr">
        <is>
          <t>SOCCER</t>
        </is>
      </c>
      <c r="F98" s="24" t="inlineStr">
        <is>
          <t>Fluminense</t>
        </is>
      </c>
      <c r="G98" s="24" t="inlineStr">
        <is>
          <t>Botafogo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133</v>
      </c>
      <c r="M98" s="27" t="n">
        <v>2.33</v>
      </c>
      <c r="N98" s="28" t="n">
        <v>0.429185</v>
      </c>
      <c r="O98" s="28" t="n">
        <v>0.456135</v>
      </c>
      <c r="P98" s="28" t="n">
        <v>0.2</v>
      </c>
      <c r="Q98" s="28" t="n">
        <v>0.02695</v>
      </c>
      <c r="R98" s="26" t="n">
        <v>0</v>
      </c>
      <c r="S98" s="29" t="n">
        <v>1</v>
      </c>
      <c r="T98" s="24" t="inlineStr">
        <is>
          <t>soccer-poisson-dc-v1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1</v>
      </c>
      <c r="Y98" s="25" t="n"/>
      <c r="Z98" s="26" t="n"/>
      <c r="AA98" s="28" t="n"/>
      <c r="AB98" s="28" t="n"/>
      <c r="AC98" s="30" t="n">
        <v>-1</v>
      </c>
      <c r="AD98" s="24" t="inlineStr">
        <is>
          <t>2026-08-09T05:13:13.233873Z</t>
        </is>
      </c>
      <c r="AE98" s="31" t="inlineStr">
        <is>
          <t>Poisson-DC rates 1.64 (home) / 1.24 (away) from EWMA attack/defense strengths. Executable ask 0.4300 (atc-bra-bot-flu-2026-08-08-bot).</t>
        </is>
      </c>
      <c r="AF98" s="31" t="inlineStr">
        <is>
          <t>Research-only soccer score model; draw-aware, but not yet locked-holdout qualified.</t>
        </is>
      </c>
      <c r="AG98" s="24" t="inlineStr">
        <is>
          <t>review_required</t>
        </is>
      </c>
      <c r="AH98" s="24" t="n"/>
      <c r="AI98" s="31" t="n"/>
      <c r="AJ9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NO_CALL_WINNER_OVERVALUED</t>
        </is>
      </c>
      <c r="AP98" s="24" t="inlineStr">
        <is>
          <t>Fluminense</t>
        </is>
      </c>
      <c r="AQ98" s="24" t="inlineStr">
        <is>
          <t>Fluminense</t>
        </is>
      </c>
      <c r="AR98" s="24" t="inlineStr">
        <is>
          <t>Fluminense</t>
        </is>
      </c>
      <c r="AS98" s="24" t="inlineStr">
        <is>
          <t>Botafogo</t>
        </is>
      </c>
      <c r="AT98" s="24" t="inlineStr">
        <is>
          <t>Botafogo</t>
        </is>
      </c>
      <c r="AU98" s="24" t="inlineStr">
        <is>
          <t>Botafogo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c95ec2023134439ab985cb4cdcc58243749b9deb564fca7a2d587c15c9875427</t>
        </is>
      </c>
      <c r="BB98" s="24" t="inlineStr">
        <is>
          <t>poisson_dixon_coles</t>
        </is>
      </c>
      <c r="BC98" s="24" t="inlineStr">
        <is>
          <t>soccer-poisson-dc-v1</t>
        </is>
      </c>
      <c r="BD98" s="24" t="inlineStr">
        <is>
          <t>c95ec2023134439ab985cb4cdcc58243749b9deb564fca7a2d587c15c9875427</t>
        </is>
      </c>
      <c r="BE98" s="24" t="inlineStr">
        <is>
          <t>soccer-poisson-dc-v1</t>
        </is>
      </c>
      <c r="BF98" s="24" t="inlineStr">
        <is>
          <t>1</t>
        </is>
      </c>
      <c r="BG98" s="24" t="inlineStr">
        <is>
          <t>c95ec2023134439ab985cb4cdcc58243749b9deb564fca7a2d587c15c9875427</t>
        </is>
      </c>
      <c r="BH98" s="24" t="inlineStr">
        <is>
          <t>2026-08-08T18:35:42.924313Z</t>
        </is>
      </c>
      <c r="BI98" s="24" t="inlineStr">
        <is>
          <t>["same_event","same_team_same_day","same_league_same_day"]</t>
        </is>
      </c>
      <c r="BJ98" s="25" t="n"/>
      <c r="BK98" s="26" t="n">
        <v>133</v>
      </c>
      <c r="BL98" s="27" t="n">
        <v>2.33</v>
      </c>
      <c r="BM98" s="28" t="n">
        <v>0.429185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9a46107b2e294898</t>
        </is>
      </c>
      <c r="B99" s="24" t="inlineStr">
        <is>
          <t>2026-08-08T18:36:33.205564Z</t>
        </is>
      </c>
      <c r="C99" s="24" t="inlineStr">
        <is>
          <t>2026-08-08T20:00Z</t>
        </is>
      </c>
      <c r="D99" s="24" t="inlineStr">
        <is>
          <t>401841488</t>
        </is>
      </c>
      <c r="E99" s="24" t="inlineStr">
        <is>
          <t>SOCCER</t>
        </is>
      </c>
      <c r="F99" s="24" t="inlineStr">
        <is>
          <t>River Plate</t>
        </is>
      </c>
      <c r="G99" s="24" t="inlineStr">
        <is>
          <t>Tigre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270</v>
      </c>
      <c r="M99" s="27" t="n">
        <v>3.7</v>
      </c>
      <c r="N99" s="28" t="n">
        <v>0.27027</v>
      </c>
      <c r="O99" s="28" t="n">
        <v>0.378182</v>
      </c>
      <c r="P99" s="28" t="n">
        <v>0.2</v>
      </c>
      <c r="Q99" s="28" t="n">
        <v>0.107912</v>
      </c>
      <c r="R99" s="26" t="n">
        <v>0</v>
      </c>
      <c r="S99" s="29" t="n">
        <v>1</v>
      </c>
      <c r="T99" s="24" t="inlineStr">
        <is>
          <t>soccer-poisson-dc-v1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2.7</v>
      </c>
      <c r="AD99" s="24" t="inlineStr">
        <is>
          <t>2026-08-09T05:13:15.462045Z</t>
        </is>
      </c>
      <c r="AE99" s="31" t="inlineStr">
        <is>
          <t>Poisson-DC rates 1.46 (home) / 1.39 (away) from EWMA attack/defense strengths. Executable ask 0.2700 (atc-lpa-tig-riv-2026-08-08-tig).</t>
        </is>
      </c>
      <c r="AF99" s="31" t="inlineStr">
        <is>
          <t>Research-only soccer score model; draw-aware, but not yet locked-holdout qualified.</t>
        </is>
      </c>
      <c r="AG99" s="24" t="inlineStr">
        <is>
          <t>not_applicable</t>
        </is>
      </c>
      <c r="AH99" s="24" t="n"/>
      <c r="AI99" s="31" t="n"/>
      <c r="AJ9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NO_CALL_WINNER_OVERVALUED</t>
        </is>
      </c>
      <c r="AP99" s="24" t="inlineStr">
        <is>
          <t>River Plate</t>
        </is>
      </c>
      <c r="AQ99" s="24" t="inlineStr">
        <is>
          <t>River Plate</t>
        </is>
      </c>
      <c r="AR99" s="24" t="inlineStr">
        <is>
          <t>River Plate</t>
        </is>
      </c>
      <c r="AS99" s="24" t="inlineStr">
        <is>
          <t>Tigre</t>
        </is>
      </c>
      <c r="AT99" s="24" t="inlineStr">
        <is>
          <t>Tigre</t>
        </is>
      </c>
      <c r="AU99" s="24" t="inlineStr">
        <is>
          <t>Tigre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c95ec2023134439ab985cb4cdcc58243749b9deb564fca7a2d587c15c9875427</t>
        </is>
      </c>
      <c r="BB99" s="24" t="inlineStr">
        <is>
          <t>poisson_dixon_coles</t>
        </is>
      </c>
      <c r="BC99" s="24" t="inlineStr">
        <is>
          <t>soccer-poisson-dc-v1</t>
        </is>
      </c>
      <c r="BD99" s="24" t="inlineStr">
        <is>
          <t>c95ec2023134439ab985cb4cdcc58243749b9deb564fca7a2d587c15c9875427</t>
        </is>
      </c>
      <c r="BE99" s="24" t="inlineStr">
        <is>
          <t>soccer-poisson-dc-v1</t>
        </is>
      </c>
      <c r="BF99" s="24" t="inlineStr">
        <is>
          <t>1</t>
        </is>
      </c>
      <c r="BG99" s="24" t="inlineStr">
        <is>
          <t>c95ec2023134439ab985cb4cdcc58243749b9deb564fca7a2d587c15c9875427</t>
        </is>
      </c>
      <c r="BH99" s="24" t="inlineStr">
        <is>
          <t>2026-08-08T18:35:43.449488Z</t>
        </is>
      </c>
      <c r="BI99" s="24" t="inlineStr">
        <is>
          <t>["same_event","same_team_same_day","same_league_same_day"]</t>
        </is>
      </c>
      <c r="BJ99" s="25" t="n"/>
      <c r="BK99" s="26" t="n">
        <v>270</v>
      </c>
      <c r="BL99" s="27" t="n">
        <v>3.7</v>
      </c>
      <c r="BM99" s="28" t="n">
        <v>0.27027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66c9f4dd7dde449c</t>
        </is>
      </c>
      <c r="B100" s="24" t="inlineStr">
        <is>
          <t>2026-08-08T18:36:33.205564Z</t>
        </is>
      </c>
      <c r="C100" s="24" t="inlineStr">
        <is>
          <t>2026-08-09T00:30Z</t>
        </is>
      </c>
      <c r="D100" s="24" t="inlineStr">
        <is>
          <t>401841486</t>
        </is>
      </c>
      <c r="E100" s="24" t="inlineStr">
        <is>
          <t>SOCCER</t>
        </is>
      </c>
      <c r="F100" s="24" t="inlineStr">
        <is>
          <t>Platense</t>
        </is>
      </c>
      <c r="G100" s="24" t="inlineStr">
        <is>
          <t>Independiente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-113</v>
      </c>
      <c r="M100" s="27" t="n">
        <v>1.884956</v>
      </c>
      <c r="N100" s="28" t="n">
        <v>0.530516</v>
      </c>
      <c r="O100" s="28" t="n">
        <v>0.456135</v>
      </c>
      <c r="P100" s="28" t="n">
        <v>0.2</v>
      </c>
      <c r="Q100" s="28" t="n">
        <v>-0.074381</v>
      </c>
      <c r="R100" s="26" t="n">
        <v>0</v>
      </c>
      <c r="S100" s="29" t="n">
        <v>1</v>
      </c>
      <c r="T100" s="24" t="inlineStr">
        <is>
          <t>soccer-poisson-dc-v1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/>
      <c r="AA100" s="28" t="n"/>
      <c r="AB100" s="28" t="n"/>
      <c r="AC100" s="30" t="n">
        <v>-1</v>
      </c>
      <c r="AD100" s="24" t="inlineStr">
        <is>
          <t>2026-08-09T05:13:17.044847Z</t>
        </is>
      </c>
      <c r="AE100" s="31" t="inlineStr">
        <is>
          <t>Poisson-DC rates 1.64 (home) / 1.24 (away) from EWMA attack/defense strengths. Executable ask 0.5300 (atc-lpa-ind-pla-2026-08-08-ind).</t>
        </is>
      </c>
      <c r="AF100" s="31" t="inlineStr">
        <is>
          <t>Research-only soccer score model; draw-aware, but not yet locked-holdout qualified.</t>
        </is>
      </c>
      <c r="AG100" s="24" t="inlineStr">
        <is>
          <t>review_required</t>
        </is>
      </c>
      <c r="AH100" s="24" t="n"/>
      <c r="AI100" s="31" t="n"/>
      <c r="AJ10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NO_CALL_WINNER_OVERVALUED</t>
        </is>
      </c>
      <c r="AP100" s="24" t="inlineStr">
        <is>
          <t>Platense</t>
        </is>
      </c>
      <c r="AQ100" s="24" t="inlineStr">
        <is>
          <t>Platense</t>
        </is>
      </c>
      <c r="AR100" s="24" t="inlineStr">
        <is>
          <t>Platense</t>
        </is>
      </c>
      <c r="AS100" s="24" t="inlineStr">
        <is>
          <t>Independiente</t>
        </is>
      </c>
      <c r="AT100" s="24" t="inlineStr">
        <is>
          <t>Independiente</t>
        </is>
      </c>
      <c r="AU100" s="24" t="inlineStr">
        <is>
          <t>Independiente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c95ec2023134439ab985cb4cdcc58243749b9deb564fca7a2d587c15c9875427</t>
        </is>
      </c>
      <c r="BB100" s="24" t="inlineStr">
        <is>
          <t>poisson_dixon_coles</t>
        </is>
      </c>
      <c r="BC100" s="24" t="inlineStr">
        <is>
          <t>soccer-poisson-dc-v1</t>
        </is>
      </c>
      <c r="BD100" s="24" t="inlineStr">
        <is>
          <t>c95ec2023134439ab985cb4cdcc58243749b9deb564fca7a2d587c15c9875427</t>
        </is>
      </c>
      <c r="BE100" s="24" t="inlineStr">
        <is>
          <t>soccer-poisson-dc-v1</t>
        </is>
      </c>
      <c r="BF100" s="24" t="inlineStr">
        <is>
          <t>1</t>
        </is>
      </c>
      <c r="BG100" s="24" t="inlineStr">
        <is>
          <t>c95ec2023134439ab985cb4cdcc58243749b9deb564fca7a2d587c15c9875427</t>
        </is>
      </c>
      <c r="BH100" s="24" t="inlineStr">
        <is>
          <t>2026-08-08T18:35:43.668850Z</t>
        </is>
      </c>
      <c r="BI100" s="24" t="inlineStr">
        <is>
          <t>["same_event","same_team_same_day","same_league_same_day"]</t>
        </is>
      </c>
      <c r="BJ100" s="25" t="n"/>
      <c r="BK100" s="26" t="n">
        <v>-113</v>
      </c>
      <c r="BL100" s="27" t="n">
        <v>1.884956</v>
      </c>
      <c r="BM100" s="28" t="n">
        <v>0.530516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da9a3a117c814575</t>
        </is>
      </c>
      <c r="B101" s="24" t="inlineStr">
        <is>
          <t>2026-08-08T18:36:33.205564Z</t>
        </is>
      </c>
      <c r="C101" s="24" t="inlineStr">
        <is>
          <t>2026-08-08T19:00Z</t>
        </is>
      </c>
      <c r="D101" s="24" t="inlineStr">
        <is>
          <t>401844041</t>
        </is>
      </c>
      <c r="E101" s="24" t="inlineStr">
        <is>
          <t>SOCCER</t>
        </is>
      </c>
      <c r="F101" s="24" t="inlineStr">
        <is>
          <t>Chacarita Juniors</t>
        </is>
      </c>
      <c r="G101" s="24" t="inlineStr">
        <is>
          <t>Atletico Rafaela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144</v>
      </c>
      <c r="M101" s="27" t="n">
        <v>2.44</v>
      </c>
      <c r="N101" s="28" t="n">
        <v>0.409836</v>
      </c>
      <c r="O101" s="28" t="n">
        <v>0.456135</v>
      </c>
      <c r="P101" s="28" t="n">
        <v>0.2</v>
      </c>
      <c r="Q101" s="28" t="n">
        <v>0.046299</v>
      </c>
      <c r="R101" s="26" t="n">
        <v>0</v>
      </c>
      <c r="S101" s="29" t="n">
        <v>1</v>
      </c>
      <c r="T101" s="24" t="inlineStr">
        <is>
          <t>soccer-poisson-dc-v1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1.44</v>
      </c>
      <c r="AD101" s="24" t="inlineStr">
        <is>
          <t>2026-08-09T05:13:18.773319Z</t>
        </is>
      </c>
      <c r="AE101" s="31" t="inlineStr">
        <is>
          <t>Poisson-DC rates 1.64 (home) / 1.24 (away) from EWMA attack/defense strengths. Executable ask 0.4100 (atc-arg2-ar-cjh-2026-08-08-ar).</t>
        </is>
      </c>
      <c r="AF101" s="31" t="inlineStr">
        <is>
          <t>Research-only soccer score model; draw-aware, but not yet locked-holdout qualified.</t>
        </is>
      </c>
      <c r="AG101" s="24" t="inlineStr">
        <is>
          <t>not_applicable</t>
        </is>
      </c>
      <c r="AH101" s="24" t="n"/>
      <c r="AI101" s="31" t="n"/>
      <c r="AJ10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NO_CALL_WINNER_OVERVALUED</t>
        </is>
      </c>
      <c r="AP101" s="24" t="inlineStr">
        <is>
          <t>Chacarita Juniors</t>
        </is>
      </c>
      <c r="AQ101" s="24" t="inlineStr">
        <is>
          <t>Chacarita Juniors</t>
        </is>
      </c>
      <c r="AR101" s="24" t="inlineStr">
        <is>
          <t>Chacarita Juniors</t>
        </is>
      </c>
      <c r="AS101" s="24" t="inlineStr">
        <is>
          <t>Atletico Rafaela</t>
        </is>
      </c>
      <c r="AT101" s="24" t="inlineStr">
        <is>
          <t>Atletico Rafaela</t>
        </is>
      </c>
      <c r="AU101" s="24" t="inlineStr">
        <is>
          <t>Atletico Rafaela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c95ec2023134439ab985cb4cdcc58243749b9deb564fca7a2d587c15c9875427</t>
        </is>
      </c>
      <c r="BB101" s="24" t="inlineStr">
        <is>
          <t>poisson_dixon_coles</t>
        </is>
      </c>
      <c r="BC101" s="24" t="inlineStr">
        <is>
          <t>soccer-poisson-dc-v1</t>
        </is>
      </c>
      <c r="BD101" s="24" t="inlineStr">
        <is>
          <t>c95ec2023134439ab985cb4cdcc58243749b9deb564fca7a2d587c15c9875427</t>
        </is>
      </c>
      <c r="BE101" s="24" t="inlineStr">
        <is>
          <t>soccer-poisson-dc-v1</t>
        </is>
      </c>
      <c r="BF101" s="24" t="inlineStr">
        <is>
          <t>1</t>
        </is>
      </c>
      <c r="BG101" s="24" t="inlineStr">
        <is>
          <t>c95ec2023134439ab985cb4cdcc58243749b9deb564fca7a2d587c15c9875427</t>
        </is>
      </c>
      <c r="BH101" s="24" t="inlineStr">
        <is>
          <t>2026-08-08T18:35:44.262304Z</t>
        </is>
      </c>
      <c r="BI101" s="24" t="inlineStr">
        <is>
          <t>["same_event","same_team_same_day","same_league_same_day"]</t>
        </is>
      </c>
      <c r="BJ101" s="25" t="n"/>
      <c r="BK101" s="26" t="n">
        <v>144</v>
      </c>
      <c r="BL101" s="27" t="n">
        <v>2.44</v>
      </c>
      <c r="BM101" s="28" t="n">
        <v>0.409836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2357169c6c404e94</t>
        </is>
      </c>
      <c r="B102" s="24" t="inlineStr">
        <is>
          <t>2026-08-08T18:36:33.205564Z</t>
        </is>
      </c>
      <c r="C102" s="24" t="inlineStr">
        <is>
          <t>2026-08-08T19:00Z</t>
        </is>
      </c>
      <c r="D102" s="24" t="inlineStr">
        <is>
          <t>401850616</t>
        </is>
      </c>
      <c r="E102" s="24" t="inlineStr">
        <is>
          <t>SOCCER</t>
        </is>
      </c>
      <c r="F102" s="24" t="inlineStr">
        <is>
          <t>Everton CD</t>
        </is>
      </c>
      <c r="G102" s="24" t="inlineStr">
        <is>
          <t>Huachipato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212</v>
      </c>
      <c r="M102" s="27" t="n">
        <v>3.12</v>
      </c>
      <c r="N102" s="28" t="n">
        <v>0.320513</v>
      </c>
      <c r="O102" s="28" t="n">
        <v>0.468722</v>
      </c>
      <c r="P102" s="28" t="n">
        <v>0.19</v>
      </c>
      <c r="Q102" s="28" t="n">
        <v>0.148209</v>
      </c>
      <c r="R102" s="26" t="n">
        <v>10</v>
      </c>
      <c r="S102" s="29" t="n">
        <v>1</v>
      </c>
      <c r="T102" s="24" t="inlineStr">
        <is>
          <t>soccer-poisson-dc-v1</t>
        </is>
      </c>
      <c r="U102" s="24" t="inlineStr">
        <is>
          <t>settled</t>
        </is>
      </c>
      <c r="V102" s="24" t="inlineStr">
        <is>
          <t>loss</t>
        </is>
      </c>
      <c r="W102" s="26" t="n">
        <v>4</v>
      </c>
      <c r="X102" s="26" t="n">
        <v>1</v>
      </c>
      <c r="Y102" s="25" t="n"/>
      <c r="Z102" s="26" t="n"/>
      <c r="AA102" s="28" t="n"/>
      <c r="AB102" s="28" t="n"/>
      <c r="AC102" s="30" t="n">
        <v>-1</v>
      </c>
      <c r="AD102" s="24" t="inlineStr">
        <is>
          <t>2026-08-09T05:13:20.714473Z</t>
        </is>
      </c>
      <c r="AE102" s="31" t="inlineStr">
        <is>
          <t>Poisson-DC rates 1.53 (home) / 1.07 (away) from EWMA attack/defense strengths. Executable ask 0.3200 (atc-pdc-hua-eve-2026-08-08-hua).</t>
        </is>
      </c>
      <c r="AF102" s="31" t="inlineStr">
        <is>
          <t>Research-only soccer score model; draw-aware, but not yet locked-holdout qualified.</t>
        </is>
      </c>
      <c r="AG102" s="24" t="inlineStr">
        <is>
          <t>review_required</t>
        </is>
      </c>
      <c r="AH102" s="24" t="n"/>
      <c r="AI102" s="31" t="n"/>
      <c r="AJ10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NO_CALL_WINNER_OVERVALUED</t>
        </is>
      </c>
      <c r="AP102" s="24" t="inlineStr">
        <is>
          <t>Everton CD</t>
        </is>
      </c>
      <c r="AQ102" s="24" t="inlineStr">
        <is>
          <t>Everton CD</t>
        </is>
      </c>
      <c r="AR102" s="24" t="inlineStr">
        <is>
          <t>Everton CD</t>
        </is>
      </c>
      <c r="AS102" s="24" t="inlineStr">
        <is>
          <t>Huachipato</t>
        </is>
      </c>
      <c r="AT102" s="24" t="inlineStr">
        <is>
          <t>Huachipato</t>
        </is>
      </c>
      <c r="AU102" s="24" t="inlineStr">
        <is>
          <t>Huachipato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c95ec2023134439ab985cb4cdcc58243749b9deb564fca7a2d587c15c9875427</t>
        </is>
      </c>
      <c r="BB102" s="24" t="inlineStr">
        <is>
          <t>poisson_dixon_coles</t>
        </is>
      </c>
      <c r="BC102" s="24" t="inlineStr">
        <is>
          <t>soccer-poisson-dc-v1</t>
        </is>
      </c>
      <c r="BD102" s="24" t="inlineStr">
        <is>
          <t>c95ec2023134439ab985cb4cdcc58243749b9deb564fca7a2d587c15c9875427</t>
        </is>
      </c>
      <c r="BE102" s="24" t="inlineStr">
        <is>
          <t>soccer-poisson-dc-v1</t>
        </is>
      </c>
      <c r="BF102" s="24" t="inlineStr">
        <is>
          <t>1</t>
        </is>
      </c>
      <c r="BG102" s="24" t="inlineStr">
        <is>
          <t>c95ec2023134439ab985cb4cdcc58243749b9deb564fca7a2d587c15c9875427</t>
        </is>
      </c>
      <c r="BH102" s="24" t="inlineStr">
        <is>
          <t>2026-08-08T18:35:44.660930Z</t>
        </is>
      </c>
      <c r="BI102" s="24" t="inlineStr">
        <is>
          <t>["same_event","same_team_same_day","same_league_same_day"]</t>
        </is>
      </c>
      <c r="BJ102" s="25" t="n"/>
      <c r="BK102" s="26" t="n">
        <v>212</v>
      </c>
      <c r="BL102" s="27" t="n">
        <v>3.12</v>
      </c>
      <c r="BM102" s="28" t="n">
        <v>0.320513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01440401ec2847a1</t>
        </is>
      </c>
      <c r="B103" s="24" t="inlineStr">
        <is>
          <t>2026-08-08T18:36:33.205564Z</t>
        </is>
      </c>
      <c r="C103" s="24" t="inlineStr">
        <is>
          <t>2026-08-08T21:30Z</t>
        </is>
      </c>
      <c r="D103" s="24" t="inlineStr">
        <is>
          <t>401850618</t>
        </is>
      </c>
      <c r="E103" s="24" t="inlineStr">
        <is>
          <t>SOCCER</t>
        </is>
      </c>
      <c r="F103" s="24" t="inlineStr">
        <is>
          <t>La Serena</t>
        </is>
      </c>
      <c r="G103" s="24" t="inlineStr">
        <is>
          <t>Coquimbo Unido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0.456135</v>
      </c>
      <c r="P103" s="28" t="n">
        <v>0.2</v>
      </c>
      <c r="Q103" s="28" t="n">
        <v>-0.15324</v>
      </c>
      <c r="R103" s="26" t="n">
        <v>0</v>
      </c>
      <c r="S103" s="29" t="n">
        <v>1</v>
      </c>
      <c r="T103" s="24" t="inlineStr">
        <is>
          <t>soccer-poisson-dc-v1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1</v>
      </c>
      <c r="Y103" s="25" t="n"/>
      <c r="Z103" s="26" t="n"/>
      <c r="AA103" s="28" t="n"/>
      <c r="AB103" s="28" t="n"/>
      <c r="AC103" s="30" t="n">
        <v>-1</v>
      </c>
      <c r="AD103" s="24" t="inlineStr">
        <is>
          <t>2026-08-09T05:13:22.294978Z</t>
        </is>
      </c>
      <c r="AE103" s="31" t="inlineStr">
        <is>
          <t>Poisson-DC rates 1.64 (home) / 1.24 (away) from EWMA attack/defense strengths. Executable ask 0.6100 (atc-pdc-coq-ser-2026-08-08-coq).</t>
        </is>
      </c>
      <c r="AF103" s="31" t="inlineStr">
        <is>
          <t>Research-only soccer score model; draw-aware, but not yet locked-holdout qualified.</t>
        </is>
      </c>
      <c r="AG103" s="24" t="inlineStr">
        <is>
          <t>review_required</t>
        </is>
      </c>
      <c r="AH103" s="24" t="n"/>
      <c r="AI103" s="31" t="n"/>
      <c r="AJ10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NO_CALL_WINNER_OVERVALUED</t>
        </is>
      </c>
      <c r="AP103" s="24" t="inlineStr">
        <is>
          <t>La Serena</t>
        </is>
      </c>
      <c r="AQ103" s="24" t="inlineStr">
        <is>
          <t>La Serena</t>
        </is>
      </c>
      <c r="AR103" s="24" t="inlineStr">
        <is>
          <t>La Serena</t>
        </is>
      </c>
      <c r="AS103" s="24" t="inlineStr">
        <is>
          <t>Coquimbo Unido</t>
        </is>
      </c>
      <c r="AT103" s="24" t="inlineStr">
        <is>
          <t>Coquimbo Unido</t>
        </is>
      </c>
      <c r="AU103" s="24" t="inlineStr">
        <is>
          <t>Coquimbo Unido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c95ec2023134439ab985cb4cdcc58243749b9deb564fca7a2d587c15c9875427</t>
        </is>
      </c>
      <c r="BB103" s="24" t="inlineStr">
        <is>
          <t>poisson_dixon_coles</t>
        </is>
      </c>
      <c r="BC103" s="24" t="inlineStr">
        <is>
          <t>soccer-poisson-dc-v1</t>
        </is>
      </c>
      <c r="BD103" s="24" t="inlineStr">
        <is>
          <t>c95ec2023134439ab985cb4cdcc58243749b9deb564fca7a2d587c15c9875427</t>
        </is>
      </c>
      <c r="BE103" s="24" t="inlineStr">
        <is>
          <t>soccer-poisson-dc-v1</t>
        </is>
      </c>
      <c r="BF103" s="24" t="inlineStr">
        <is>
          <t>1</t>
        </is>
      </c>
      <c r="BG103" s="24" t="inlineStr">
        <is>
          <t>c95ec2023134439ab985cb4cdcc58243749b9deb564fca7a2d587c15c9875427</t>
        </is>
      </c>
      <c r="BH103" s="24" t="inlineStr">
        <is>
          <t>2026-08-08T18:35:44.820477Z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bc2dba08f8934343</t>
        </is>
      </c>
      <c r="B104" s="24" t="inlineStr">
        <is>
          <t>2026-08-08T18:36:33.205564Z</t>
        </is>
      </c>
      <c r="C104" s="24" t="inlineStr">
        <is>
          <t>2026-08-08T21:30Z</t>
        </is>
      </c>
      <c r="D104" s="24" t="inlineStr">
        <is>
          <t>401859719</t>
        </is>
      </c>
      <c r="E104" s="24" t="inlineStr">
        <is>
          <t>SOCCER</t>
        </is>
      </c>
      <c r="F104" s="24" t="inlineStr">
        <is>
          <t>Leones</t>
        </is>
      </c>
      <c r="G104" s="24" t="inlineStr">
        <is>
          <t>Aucas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-122</v>
      </c>
      <c r="M104" s="27" t="n">
        <v>1.819672</v>
      </c>
      <c r="N104" s="28" t="n">
        <v>0.54955</v>
      </c>
      <c r="O104" s="28" t="n">
        <v>0.418807</v>
      </c>
      <c r="P104" s="28" t="n">
        <v>0.2</v>
      </c>
      <c r="Q104" s="28" t="n">
        <v>-0.130743</v>
      </c>
      <c r="R104" s="26" t="n">
        <v>0</v>
      </c>
      <c r="S104" s="29" t="n">
        <v>1</v>
      </c>
      <c r="T104" s="24" t="inlineStr">
        <is>
          <t>soccer-poisson-dc-v1</t>
        </is>
      </c>
      <c r="U104" s="24" t="inlineStr">
        <is>
          <t>settled</t>
        </is>
      </c>
      <c r="V104" s="24" t="inlineStr">
        <is>
          <t>win</t>
        </is>
      </c>
      <c r="W104" s="26" t="n">
        <v>0</v>
      </c>
      <c r="X104" s="26" t="n">
        <v>3</v>
      </c>
      <c r="Y104" s="25" t="n"/>
      <c r="Z104" s="26" t="n"/>
      <c r="AA104" s="28" t="n"/>
      <c r="AB104" s="28" t="n"/>
      <c r="AC104" s="30" t="n">
        <v>0.8197</v>
      </c>
      <c r="AD104" s="24" t="inlineStr">
        <is>
          <t>2026-08-09T05:13:24.792766Z</t>
        </is>
      </c>
      <c r="AE104" s="31" t="inlineStr">
        <is>
          <t>Poisson-DC rates 1.46 (home) / 1.20 (away) from EWMA attack/defense strengths. Executable ask 0.5500 (atc-ecu1-sda-leo-2026-08-08-sda).</t>
        </is>
      </c>
      <c r="AF104" s="31" t="inlineStr">
        <is>
          <t>Research-only soccer score model; draw-aware, but not yet locked-holdout qualified.</t>
        </is>
      </c>
      <c r="AG104" s="24" t="inlineStr">
        <is>
          <t>not_applicable</t>
        </is>
      </c>
      <c r="AH104" s="24" t="n"/>
      <c r="AI104" s="31" t="n"/>
      <c r="AJ10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NO_CALL_WINNER_OVERVALUED</t>
        </is>
      </c>
      <c r="AP104" s="24" t="inlineStr">
        <is>
          <t>Leones</t>
        </is>
      </c>
      <c r="AQ104" s="24" t="inlineStr">
        <is>
          <t>Leones</t>
        </is>
      </c>
      <c r="AR104" s="24" t="inlineStr">
        <is>
          <t>Leones</t>
        </is>
      </c>
      <c r="AS104" s="24" t="inlineStr">
        <is>
          <t>Aucas</t>
        </is>
      </c>
      <c r="AT104" s="24" t="inlineStr">
        <is>
          <t>Aucas</t>
        </is>
      </c>
      <c r="AU104" s="24" t="inlineStr">
        <is>
          <t>Aucas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c95ec2023134439ab985cb4cdcc58243749b9deb564fca7a2d587c15c9875427</t>
        </is>
      </c>
      <c r="BB104" s="24" t="inlineStr">
        <is>
          <t>poisson_dixon_coles</t>
        </is>
      </c>
      <c r="BC104" s="24" t="inlineStr">
        <is>
          <t>soccer-poisson-dc-v1</t>
        </is>
      </c>
      <c r="BD104" s="24" t="inlineStr">
        <is>
          <t>c95ec2023134439ab985cb4cdcc58243749b9deb564fca7a2d587c15c9875427</t>
        </is>
      </c>
      <c r="BE104" s="24" t="inlineStr">
        <is>
          <t>soccer-poisson-dc-v1</t>
        </is>
      </c>
      <c r="BF104" s="24" t="inlineStr">
        <is>
          <t>1</t>
        </is>
      </c>
      <c r="BG104" s="24" t="inlineStr">
        <is>
          <t>c95ec2023134439ab985cb4cdcc58243749b9deb564fca7a2d587c15c9875427</t>
        </is>
      </c>
      <c r="BH104" s="24" t="inlineStr">
        <is>
          <t>2026-08-08T18:35:45.141525Z</t>
        </is>
      </c>
      <c r="BI104" s="24" t="inlineStr">
        <is>
          <t>["same_event","same_team_same_day","same_league_same_day"]</t>
        </is>
      </c>
      <c r="BJ104" s="25" t="n"/>
      <c r="BK104" s="26" t="n">
        <v>-122</v>
      </c>
      <c r="BL104" s="27" t="n">
        <v>1.819672</v>
      </c>
      <c r="BM104" s="28" t="n">
        <v>0.54955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1170a686f31f4a8a</t>
        </is>
      </c>
      <c r="B105" s="24" t="inlineStr">
        <is>
          <t>2026-08-08T18:36:33.205564Z</t>
        </is>
      </c>
      <c r="C105" s="24" t="inlineStr">
        <is>
          <t>2026-08-09T00:00Z</t>
        </is>
      </c>
      <c r="D105" s="24" t="inlineStr">
        <is>
          <t>401859652</t>
        </is>
      </c>
      <c r="E105" s="24" t="inlineStr">
        <is>
          <t>SOCCER</t>
        </is>
      </c>
      <c r="F105" s="24" t="inlineStr">
        <is>
          <t>Macará</t>
        </is>
      </c>
      <c r="G105" s="24" t="inlineStr">
        <is>
          <t>Barcelona SC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0.643159</v>
      </c>
      <c r="P105" s="28" t="n">
        <v>0.2</v>
      </c>
      <c r="Q105" s="28" t="n">
        <v>0.06332699999999999</v>
      </c>
      <c r="R105" s="26" t="n">
        <v>0</v>
      </c>
      <c r="S105" s="29" t="n">
        <v>1</v>
      </c>
      <c r="T105" s="24" t="inlineStr">
        <is>
          <t>soccer-poisson-dc-v1</t>
        </is>
      </c>
      <c r="U105" s="24" t="inlineStr">
        <is>
          <t>settled</t>
        </is>
      </c>
      <c r="V105" s="24" t="inlineStr">
        <is>
          <t>loss</t>
        </is>
      </c>
      <c r="W105" s="26" t="n">
        <v>2</v>
      </c>
      <c r="X105" s="26" t="n">
        <v>1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2026-08-09T05:13:26.168921Z</t>
        </is>
      </c>
      <c r="AE105" s="31" t="inlineStr">
        <is>
          <t>Poisson-DC rates 2.32 (home) / 1.08 (away) from EWMA attack/defense strengths. Executable ask 0.5800 (atc-ecu1-bsc-mac-2026-08-08-bsc).</t>
        </is>
      </c>
      <c r="AF105" s="31" t="inlineStr">
        <is>
          <t>Research-only soccer score model; draw-aware, but not yet locked-holdout qualified.</t>
        </is>
      </c>
      <c r="AG105" s="24" t="inlineStr">
        <is>
          <t>review_required</t>
        </is>
      </c>
      <c r="AH105" s="24" t="n"/>
      <c r="AI105" s="31" t="n"/>
      <c r="AJ10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NO_CALL_WINNER_OVERVALUED</t>
        </is>
      </c>
      <c r="AP105" s="24" t="inlineStr">
        <is>
          <t>Macará</t>
        </is>
      </c>
      <c r="AQ105" s="24" t="inlineStr">
        <is>
          <t>Macará</t>
        </is>
      </c>
      <c r="AR105" s="24" t="inlineStr">
        <is>
          <t>Macará</t>
        </is>
      </c>
      <c r="AS105" s="24" t="inlineStr">
        <is>
          <t>Barcelona SC</t>
        </is>
      </c>
      <c r="AT105" s="24" t="inlineStr">
        <is>
          <t>Barcelona SC</t>
        </is>
      </c>
      <c r="AU105" s="24" t="inlineStr">
        <is>
          <t>Barcelona SC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c95ec2023134439ab985cb4cdcc58243749b9deb564fca7a2d587c15c9875427</t>
        </is>
      </c>
      <c r="BB105" s="24" t="inlineStr">
        <is>
          <t>poisson_dixon_coles</t>
        </is>
      </c>
      <c r="BC105" s="24" t="inlineStr">
        <is>
          <t>soccer-poisson-dc-v1</t>
        </is>
      </c>
      <c r="BD105" s="24" t="inlineStr">
        <is>
          <t>c95ec2023134439ab985cb4cdcc58243749b9deb564fca7a2d587c15c9875427</t>
        </is>
      </c>
      <c r="BE105" s="24" t="inlineStr">
        <is>
          <t>soccer-poisson-dc-v1</t>
        </is>
      </c>
      <c r="BF105" s="24" t="inlineStr">
        <is>
          <t>1</t>
        </is>
      </c>
      <c r="BG105" s="24" t="inlineStr">
        <is>
          <t>c95ec2023134439ab985cb4cdcc58243749b9deb564fca7a2d587c15c9875427</t>
        </is>
      </c>
      <c r="BH105" s="24" t="inlineStr">
        <is>
          <t>2026-08-08T18:35:45.231100Z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1581e7658fc84bc3</t>
        </is>
      </c>
      <c r="B106" s="24" t="inlineStr">
        <is>
          <t>2026-08-08T18:36:33.205564Z</t>
        </is>
      </c>
      <c r="C106" s="24" t="inlineStr">
        <is>
          <t>2026-08-09T01:00Z</t>
        </is>
      </c>
      <c r="D106" s="24" t="inlineStr">
        <is>
          <t>401886115</t>
        </is>
      </c>
      <c r="E106" s="24" t="inlineStr">
        <is>
          <t>SOCCER</t>
        </is>
      </c>
      <c r="F106" s="24" t="inlineStr">
        <is>
          <t>Alianza Lima</t>
        </is>
      </c>
      <c r="G106" s="24" t="inlineStr">
        <is>
          <t>Sport Boys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317</v>
      </c>
      <c r="M106" s="27" t="n">
        <v>4.17</v>
      </c>
      <c r="N106" s="28" t="n">
        <v>0.239808</v>
      </c>
      <c r="O106" s="28" t="n">
        <v>0.456135</v>
      </c>
      <c r="P106" s="28" t="n">
        <v>0.2</v>
      </c>
      <c r="Q106" s="28" t="n">
        <v>0.216327</v>
      </c>
      <c r="R106" s="26" t="n">
        <v>38</v>
      </c>
      <c r="S106" s="29" t="n">
        <v>1</v>
      </c>
      <c r="T106" s="24" t="inlineStr">
        <is>
          <t>soccer-poisson-dc-v1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1</v>
      </c>
      <c r="Y106" s="25" t="n"/>
      <c r="Z106" s="26" t="n"/>
      <c r="AA106" s="28" t="n"/>
      <c r="AB106" s="28" t="n"/>
      <c r="AC106" s="30" t="n">
        <v>-1</v>
      </c>
      <c r="AD106" s="24" t="inlineStr">
        <is>
          <t>2026-08-09T05:13:27.966768Z</t>
        </is>
      </c>
      <c r="AE106" s="31" t="inlineStr">
        <is>
          <t>Poisson-DC rates 1.64 (home) / 1.24 (away) from EWMA attack/defense strengths. Executable ask 0.2400 (atc-pl1-sba-ali-2026-08-08-sba).</t>
        </is>
      </c>
      <c r="AF106" s="31" t="inlineStr">
        <is>
          <t>Research-only soccer score model; draw-aware, but not yet locked-holdout qualified.</t>
        </is>
      </c>
      <c r="AG106" s="24" t="inlineStr">
        <is>
          <t>review_required</t>
        </is>
      </c>
      <c r="AH106" s="24" t="n"/>
      <c r="AI106" s="31" t="n"/>
      <c r="AJ10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NO_CALL_WINNER_OVERVALUED</t>
        </is>
      </c>
      <c r="AP106" s="24" t="inlineStr">
        <is>
          <t>Alianza Lima</t>
        </is>
      </c>
      <c r="AQ106" s="24" t="inlineStr">
        <is>
          <t>Alianza Lima</t>
        </is>
      </c>
      <c r="AR106" s="24" t="inlineStr">
        <is>
          <t>Alianza Lima</t>
        </is>
      </c>
      <c r="AS106" s="24" t="inlineStr">
        <is>
          <t>Sport Boys</t>
        </is>
      </c>
      <c r="AT106" s="24" t="inlineStr">
        <is>
          <t>Sport Boys</t>
        </is>
      </c>
      <c r="AU106" s="24" t="inlineStr">
        <is>
          <t>Sport Boys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c95ec2023134439ab985cb4cdcc58243749b9deb564fca7a2d587c15c9875427</t>
        </is>
      </c>
      <c r="BB106" s="24" t="inlineStr">
        <is>
          <t>poisson_dixon_coles</t>
        </is>
      </c>
      <c r="BC106" s="24" t="inlineStr">
        <is>
          <t>soccer-poisson-dc-v1</t>
        </is>
      </c>
      <c r="BD106" s="24" t="inlineStr">
        <is>
          <t>c95ec2023134439ab985cb4cdcc58243749b9deb564fca7a2d587c15c9875427</t>
        </is>
      </c>
      <c r="BE106" s="24" t="inlineStr">
        <is>
          <t>soccer-poisson-dc-v1</t>
        </is>
      </c>
      <c r="BF106" s="24" t="inlineStr">
        <is>
          <t>1</t>
        </is>
      </c>
      <c r="BG106" s="24" t="inlineStr">
        <is>
          <t>c95ec2023134439ab985cb4cdcc58243749b9deb564fca7a2d587c15c9875427</t>
        </is>
      </c>
      <c r="BH106" s="24" t="inlineStr">
        <is>
          <t>2026-08-08T18:35:45.582063Z</t>
        </is>
      </c>
      <c r="BI106" s="24" t="inlineStr">
        <is>
          <t>["same_event","same_team_same_day","same_league_same_day"]</t>
        </is>
      </c>
      <c r="BJ106" s="25" t="n"/>
      <c r="BK106" s="26" t="n">
        <v>317</v>
      </c>
      <c r="BL106" s="27" t="n">
        <v>4.17</v>
      </c>
      <c r="BM106" s="28" t="n">
        <v>0.239808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</row>
    <row r="107" ht="36" customHeight="1">
      <c r="A107" s="24" t="inlineStr">
        <is>
          <t>278048158f944a91</t>
        </is>
      </c>
      <c r="B107" s="24" t="inlineStr">
        <is>
          <t>2026-08-08T18:36:33.205564Z</t>
        </is>
      </c>
      <c r="C107" s="24" t="inlineStr">
        <is>
          <t>2026-08-08T19:00Z</t>
        </is>
      </c>
      <c r="D107" s="24" t="inlineStr">
        <is>
          <t>401906390</t>
        </is>
      </c>
      <c r="E107" s="24" t="inlineStr">
        <is>
          <t>SOCCER</t>
        </is>
      </c>
      <c r="F107" s="24" t="inlineStr">
        <is>
          <t>Celta Vigo</t>
        </is>
      </c>
      <c r="G107" s="24" t="inlineStr">
        <is>
          <t>Napoli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-104</v>
      </c>
      <c r="M107" s="27" t="n">
        <v>1.961538</v>
      </c>
      <c r="N107" s="28" t="n">
        <v>0.509804</v>
      </c>
      <c r="O107" s="28" t="n">
        <v>0.537819</v>
      </c>
      <c r="P107" s="28" t="n">
        <v>0.04</v>
      </c>
      <c r="Q107" s="28" t="n">
        <v>0.028015</v>
      </c>
      <c r="R107" s="26" t="n">
        <v>40</v>
      </c>
      <c r="S107" s="29" t="n">
        <v>1</v>
      </c>
      <c r="T107" s="24" t="inlineStr">
        <is>
          <t>soccer-poisson-dc-v1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Poisson-DC rates 1.64 (home) / 0.90 (away) from EWMA attack/defense strengths. Executable ask 0.5100 (atc-clbf-nap-rcc-2026-08-08-nap).</t>
        </is>
      </c>
      <c r="AF107" s="31" t="inlineStr">
        <is>
          <t>Research-only soccer score model; draw-aware, but not yet locked-holdout qualified.</t>
        </is>
      </c>
      <c r="AG107" s="24" t="inlineStr">
        <is>
          <t>not_applicable</t>
        </is>
      </c>
      <c r="AH107" s="24" t="n"/>
      <c r="AI107" s="31" t="n"/>
      <c r="AJ10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NO_CALL_WINNER_OVERVALUED</t>
        </is>
      </c>
      <c r="AP107" s="24" t="inlineStr">
        <is>
          <t>Celta Vigo</t>
        </is>
      </c>
      <c r="AQ107" s="24" t="inlineStr">
        <is>
          <t>Celta Vigo</t>
        </is>
      </c>
      <c r="AR107" s="24" t="inlineStr">
        <is>
          <t>Celta Vigo</t>
        </is>
      </c>
      <c r="AS107" s="24" t="inlineStr">
        <is>
          <t>Napoli</t>
        </is>
      </c>
      <c r="AT107" s="24" t="inlineStr">
        <is>
          <t>Napoli</t>
        </is>
      </c>
      <c r="AU107" s="24" t="inlineStr">
        <is>
          <t>Napoli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c95ec2023134439ab985cb4cdcc58243749b9deb564fca7a2d587c15c9875427</t>
        </is>
      </c>
      <c r="BB107" s="24" t="inlineStr">
        <is>
          <t>poisson_dixon_coles</t>
        </is>
      </c>
      <c r="BC107" s="24" t="inlineStr">
        <is>
          <t>soccer-poisson-dc-v1</t>
        </is>
      </c>
      <c r="BD107" s="24" t="inlineStr">
        <is>
          <t>c95ec2023134439ab985cb4cdcc58243749b9deb564fca7a2d587c15c9875427</t>
        </is>
      </c>
      <c r="BE107" s="24" t="inlineStr">
        <is>
          <t>soccer-poisson-dc-v1</t>
        </is>
      </c>
      <c r="BF107" s="24" t="inlineStr">
        <is>
          <t>1</t>
        </is>
      </c>
      <c r="BG107" s="24" t="inlineStr">
        <is>
          <t>c95ec2023134439ab985cb4cdcc58243749b9deb564fca7a2d587c15c9875427</t>
        </is>
      </c>
      <c r="BH107" s="24" t="inlineStr">
        <is>
          <t>2026-08-08T18:35:46.451248Z</t>
        </is>
      </c>
      <c r="BI107" s="24" t="inlineStr">
        <is>
          <t>["same_event","same_team_same_day","same_league_same_day"]</t>
        </is>
      </c>
      <c r="BJ107" s="25" t="n"/>
      <c r="BK107" s="26" t="n">
        <v>-104</v>
      </c>
      <c r="BL107" s="27" t="n">
        <v>1.961538</v>
      </c>
      <c r="BM107" s="28" t="n">
        <v>0.509804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c44cee7417a24a76</t>
        </is>
      </c>
      <c r="B108" s="24" t="inlineStr">
        <is>
          <t>2026-08-08T18:36:33.205564Z</t>
        </is>
      </c>
      <c r="C108" s="24" t="inlineStr">
        <is>
          <t>2026-08-08T19:00Z</t>
        </is>
      </c>
      <c r="D108" s="24" t="inlineStr">
        <is>
          <t>401905968</t>
        </is>
      </c>
      <c r="E108" s="24" t="inlineStr">
        <is>
          <t>SOCCER</t>
        </is>
      </c>
      <c r="F108" s="24" t="inlineStr">
        <is>
          <t>Newcastle United</t>
        </is>
      </c>
      <c r="G108" s="24" t="inlineStr">
        <is>
          <t>Valencia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194</v>
      </c>
      <c r="M108" s="27" t="n">
        <v>2.94</v>
      </c>
      <c r="N108" s="28" t="n">
        <v>0.340136</v>
      </c>
      <c r="O108" s="28" t="n">
        <v>0.495811</v>
      </c>
      <c r="P108" s="28" t="n">
        <v>0.04</v>
      </c>
      <c r="Q108" s="28" t="n">
        <v>0.155675</v>
      </c>
      <c r="R108" s="26" t="n">
        <v>100</v>
      </c>
      <c r="S108" s="29" t="n">
        <v>1</v>
      </c>
      <c r="T108" s="24" t="inlineStr">
        <is>
          <t>soccer-poisson-dc-v1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Poisson-DC rates 1.88 (home) / 1.32 (away) from EWMA attack/defense strengths. Executable ask 0.3400 (atc-clbf-vcf-new-2026-08-08-vcf).</t>
        </is>
      </c>
      <c r="AF108" s="31" t="inlineStr">
        <is>
          <t>Research-only soccer score model; draw-aware, but not yet locked-holdout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Newcastle United</t>
        </is>
      </c>
      <c r="AQ108" s="24" t="inlineStr">
        <is>
          <t>Newcastle United</t>
        </is>
      </c>
      <c r="AR108" s="24" t="inlineStr">
        <is>
          <t>Newcastle United</t>
        </is>
      </c>
      <c r="AS108" s="24" t="inlineStr">
        <is>
          <t>Valencia</t>
        </is>
      </c>
      <c r="AT108" s="24" t="inlineStr">
        <is>
          <t>Valencia</t>
        </is>
      </c>
      <c r="AU108" s="24" t="inlineStr">
        <is>
          <t>Valencia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c95ec2023134439ab985cb4cdcc58243749b9deb564fca7a2d587c15c9875427</t>
        </is>
      </c>
      <c r="BB108" s="24" t="inlineStr">
        <is>
          <t>poisson_dixon_coles</t>
        </is>
      </c>
      <c r="BC108" s="24" t="inlineStr">
        <is>
          <t>soccer-poisson-dc-v1</t>
        </is>
      </c>
      <c r="BD108" s="24" t="inlineStr">
        <is>
          <t>c95ec2023134439ab985cb4cdcc58243749b9deb564fca7a2d587c15c9875427</t>
        </is>
      </c>
      <c r="BE108" s="24" t="inlineStr">
        <is>
          <t>soccer-poisson-dc-v1</t>
        </is>
      </c>
      <c r="BF108" s="24" t="inlineStr">
        <is>
          <t>1</t>
        </is>
      </c>
      <c r="BG108" s="24" t="inlineStr">
        <is>
          <t>c95ec2023134439ab985cb4cdcc58243749b9deb564fca7a2d587c15c9875427</t>
        </is>
      </c>
      <c r="BH108" s="24" t="inlineStr">
        <is>
          <t>2026-08-08T18:35:46.298113Z</t>
        </is>
      </c>
      <c r="BI108" s="24" t="inlineStr">
        <is>
          <t>["same_event","same_team_same_day","same_league_same_day"]</t>
        </is>
      </c>
      <c r="BJ108" s="25" t="n"/>
      <c r="BK108" s="26" t="n">
        <v>194</v>
      </c>
      <c r="BL108" s="27" t="n">
        <v>2.94</v>
      </c>
      <c r="BM108" s="28" t="n">
        <v>0.340136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4b36994d157b4f6c</t>
        </is>
      </c>
      <c r="B109" s="24" t="inlineStr">
        <is>
          <t>2026-08-09T05:17:56.951687Z</t>
        </is>
      </c>
      <c r="C109" s="24" t="inlineStr">
        <is>
          <t>2026-08-09T12:00Z</t>
        </is>
      </c>
      <c r="D109" s="24" t="inlineStr">
        <is>
          <t>401886559</t>
        </is>
      </c>
      <c r="E109" s="24" t="inlineStr">
        <is>
          <t>SOCCER</t>
        </is>
      </c>
      <c r="F109" s="24" t="inlineStr">
        <is>
          <t>Chelsea</t>
        </is>
      </c>
      <c r="G109" s="24" t="inlineStr">
        <is>
          <t>Johor Darul Ta'zim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400</v>
      </c>
      <c r="M109" s="27" t="n">
        <v>5</v>
      </c>
      <c r="N109" s="28" t="n">
        <v>0.2</v>
      </c>
      <c r="O109" s="28" t="n">
        <v>0.569527</v>
      </c>
      <c r="P109" s="28" t="n">
        <v>0.2</v>
      </c>
      <c r="Q109" s="28" t="n">
        <v>0.369527</v>
      </c>
      <c r="R109" s="26" t="n">
        <v>100</v>
      </c>
      <c r="S109" s="29" t="n">
        <v>1</v>
      </c>
      <c r="T109" s="24" t="inlineStr">
        <is>
          <t>soccer-poisson-dc-v1</t>
        </is>
      </c>
      <c r="U109" s="24" t="inlineStr">
        <is>
          <t>settled</t>
        </is>
      </c>
      <c r="V109" s="24" t="inlineStr">
        <is>
          <t>loss</t>
        </is>
      </c>
      <c r="W109" s="26" t="n">
        <v>3</v>
      </c>
      <c r="X109" s="26" t="n">
        <v>3</v>
      </c>
      <c r="Y109" s="25" t="n"/>
      <c r="Z109" s="26" t="n"/>
      <c r="AA109" s="28" t="n"/>
      <c r="AB109" s="28" t="n"/>
      <c r="AC109" s="30" t="n">
        <v>-1</v>
      </c>
      <c r="AD109" s="24" t="inlineStr">
        <is>
          <t>2026-08-09T17:03:54.566081Z</t>
        </is>
      </c>
      <c r="AE109" s="31" t="inlineStr">
        <is>
          <t>Poisson-DC rates 2.01 (home) / 1.12 (away) from EWMA attack/defense strengths. Executable ask 0.2000 (atc-clbf-joh-cfc-2026-08-09-joh).</t>
        </is>
      </c>
      <c r="AF109" s="31" t="inlineStr">
        <is>
          <t>Research-only soccer score model; draw-aware, but not yet locked-holdout qualified.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Chelsea</t>
        </is>
      </c>
      <c r="AQ109" s="24" t="inlineStr">
        <is>
          <t>Chelsea</t>
        </is>
      </c>
      <c r="AR109" s="24" t="inlineStr">
        <is>
          <t>Chelsea</t>
        </is>
      </c>
      <c r="AS109" s="24" t="inlineStr">
        <is>
          <t>Johor Darul Ta'zim</t>
        </is>
      </c>
      <c r="AT109" s="24" t="inlineStr">
        <is>
          <t>Johor Darul Ta'zim</t>
        </is>
      </c>
      <c r="AU109" s="24" t="inlineStr">
        <is>
          <t>Johor Darul Ta'zim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c95ec2023134439ab985cb4cdcc58243749b9deb564fca7a2d587c15c9875427</t>
        </is>
      </c>
      <c r="BB109" s="24" t="inlineStr">
        <is>
          <t>poisson_dixon_coles</t>
        </is>
      </c>
      <c r="BC109" s="24" t="inlineStr">
        <is>
          <t>soccer-poisson-dc-v1</t>
        </is>
      </c>
      <c r="BD109" s="24" t="inlineStr">
        <is>
          <t>c95ec2023134439ab985cb4cdcc58243749b9deb564fca7a2d587c15c9875427</t>
        </is>
      </c>
      <c r="BE109" s="24" t="inlineStr">
        <is>
          <t>soccer-poisson-dc-v1</t>
        </is>
      </c>
      <c r="BF109" s="24" t="inlineStr">
        <is>
          <t>1</t>
        </is>
      </c>
      <c r="BG109" s="24" t="inlineStr">
        <is>
          <t>c95ec2023134439ab985cb4cdcc58243749b9deb564fca7a2d587c15c9875427</t>
        </is>
      </c>
      <c r="BH109" s="24" t="inlineStr">
        <is>
          <t>2026-08-09T05:15:21.422169Z</t>
        </is>
      </c>
      <c r="BI109" s="24" t="inlineStr">
        <is>
          <t>["same_event","same_team_same_day","same_league_same_day"]</t>
        </is>
      </c>
      <c r="BJ109" s="25" t="n"/>
      <c r="BK109" s="26" t="n">
        <v>400</v>
      </c>
      <c r="BL109" s="27" t="n">
        <v>5</v>
      </c>
      <c r="BM109" s="28" t="n">
        <v>0.2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2a3f47ffd5cc4a91</t>
        </is>
      </c>
      <c r="B110" s="24" t="inlineStr">
        <is>
          <t>2026-08-09T05:17:56.951687Z</t>
        </is>
      </c>
      <c r="C110" s="24" t="inlineStr">
        <is>
          <t>2026-08-09T13:30Z</t>
        </is>
      </c>
      <c r="D110" s="24" t="inlineStr">
        <is>
          <t>401886533</t>
        </is>
      </c>
      <c r="E110" s="24" t="inlineStr">
        <is>
          <t>SOCCER</t>
        </is>
      </c>
      <c r="F110" s="24" t="inlineStr">
        <is>
          <t>AS Monaco</t>
        </is>
      </c>
      <c r="G110" s="24" t="inlineStr">
        <is>
          <t>Liverpool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-178</v>
      </c>
      <c r="M110" s="27" t="n">
        <v>1.561798</v>
      </c>
      <c r="N110" s="28" t="n">
        <v>0.640288</v>
      </c>
      <c r="O110" s="28" t="n">
        <v>0.547186</v>
      </c>
      <c r="P110" s="28" t="n">
        <v>0.04</v>
      </c>
      <c r="Q110" s="28" t="n">
        <v>-0.093102</v>
      </c>
      <c r="R110" s="26" t="n">
        <v>0</v>
      </c>
      <c r="S110" s="29" t="n">
        <v>1</v>
      </c>
      <c r="T110" s="24" t="inlineStr">
        <is>
          <t>soccer-poisson-dc-v1</t>
        </is>
      </c>
      <c r="U110" s="24" t="inlineStr">
        <is>
          <t>settled</t>
        </is>
      </c>
      <c r="V110" s="24" t="inlineStr">
        <is>
          <t>loss</t>
        </is>
      </c>
      <c r="W110" s="26" t="n">
        <v>3</v>
      </c>
      <c r="X110" s="26" t="n">
        <v>2</v>
      </c>
      <c r="Y110" s="25" t="n"/>
      <c r="Z110" s="26" t="n"/>
      <c r="AA110" s="28" t="n"/>
      <c r="AB110" s="28" t="n"/>
      <c r="AC110" s="30" t="n">
        <v>-1</v>
      </c>
      <c r="AD110" s="24" t="inlineStr">
        <is>
          <t>2026-08-09T17:03:55.372556Z</t>
        </is>
      </c>
      <c r="AE110" s="31" t="inlineStr">
        <is>
          <t>Poisson-DC rates 2.31 (home) / 1.51 (away) from EWMA attack/defense strengths. Executable ask 0.6400 (atc-clbf-lfc-asm-2026-08-09-lfc).</t>
        </is>
      </c>
      <c r="AF110" s="31" t="inlineStr">
        <is>
          <t>Research-only soccer score model; draw-aware, but not yet locked-holdout qualified.</t>
        </is>
      </c>
      <c r="AG110" s="24" t="inlineStr">
        <is>
          <t>review_required</t>
        </is>
      </c>
      <c r="AH110" s="24" t="n"/>
      <c r="AI110" s="31" t="n"/>
      <c r="AJ1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NO_CALL_WINNER_OVERVALUED</t>
        </is>
      </c>
      <c r="AP110" s="24" t="inlineStr">
        <is>
          <t>AS Monaco</t>
        </is>
      </c>
      <c r="AQ110" s="24" t="inlineStr">
        <is>
          <t>AS Monaco</t>
        </is>
      </c>
      <c r="AR110" s="24" t="inlineStr">
        <is>
          <t>AS Monaco</t>
        </is>
      </c>
      <c r="AS110" s="24" t="inlineStr">
        <is>
          <t>Liverpool</t>
        </is>
      </c>
      <c r="AT110" s="24" t="inlineStr">
        <is>
          <t>Liverpool</t>
        </is>
      </c>
      <c r="AU110" s="24" t="inlineStr">
        <is>
          <t>Liverpool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c95ec2023134439ab985cb4cdcc58243749b9deb564fca7a2d587c15c9875427</t>
        </is>
      </c>
      <c r="BB110" s="24" t="inlineStr">
        <is>
          <t>poisson_dixon_coles</t>
        </is>
      </c>
      <c r="BC110" s="24" t="inlineStr">
        <is>
          <t>soccer-poisson-dc-v1</t>
        </is>
      </c>
      <c r="BD110" s="24" t="inlineStr">
        <is>
          <t>c95ec2023134439ab985cb4cdcc58243749b9deb564fca7a2d587c15c9875427</t>
        </is>
      </c>
      <c r="BE110" s="24" t="inlineStr">
        <is>
          <t>soccer-poisson-dc-v1</t>
        </is>
      </c>
      <c r="BF110" s="24" t="inlineStr">
        <is>
          <t>1</t>
        </is>
      </c>
      <c r="BG110" s="24" t="inlineStr">
        <is>
          <t>c95ec2023134439ab985cb4cdcc58243749b9deb564fca7a2d587c15c9875427</t>
        </is>
      </c>
      <c r="BH110" s="24" t="inlineStr">
        <is>
          <t>2026-08-09T05:15:21.440984Z</t>
        </is>
      </c>
      <c r="BI110" s="24" t="inlineStr">
        <is>
          <t>["same_event","same_team_same_day","same_league_same_day"]</t>
        </is>
      </c>
      <c r="BJ110" s="25" t="n"/>
      <c r="BK110" s="26" t="n">
        <v>-178</v>
      </c>
      <c r="BL110" s="27" t="n">
        <v>1.561798</v>
      </c>
      <c r="BM110" s="28" t="n">
        <v>0.640288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</row>
    <row r="111" ht="36" customHeight="1">
      <c r="A111" s="24" t="inlineStr">
        <is>
          <t>02d7e290c3604e1d</t>
        </is>
      </c>
      <c r="B111" s="24" t="inlineStr">
        <is>
          <t>2026-08-09T14:01:10.760642Z</t>
        </is>
      </c>
      <c r="C111" s="24" t="inlineStr">
        <is>
          <t>2026-08-09T17:00Z</t>
        </is>
      </c>
      <c r="D111" s="24" t="inlineStr">
        <is>
          <t>401844040</t>
        </is>
      </c>
      <c r="E111" s="24" t="inlineStr">
        <is>
          <t>SOCCER</t>
        </is>
      </c>
      <c r="F111" s="24" t="inlineStr">
        <is>
          <t>Temperley</t>
        </is>
      </c>
      <c r="G111" s="24" t="inlineStr">
        <is>
          <t>Atlanta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113</v>
      </c>
      <c r="M111" s="27" t="n">
        <v>2.13</v>
      </c>
      <c r="N111" s="28" t="n">
        <v>0.469484</v>
      </c>
      <c r="O111" s="28" t="n">
        <v>0.456135</v>
      </c>
      <c r="P111" s="28" t="n">
        <v>0.2</v>
      </c>
      <c r="Q111" s="28" t="n">
        <v>-0.013349</v>
      </c>
      <c r="R111" s="26" t="n">
        <v>0</v>
      </c>
      <c r="S111" s="29" t="n">
        <v>1</v>
      </c>
      <c r="T111" s="24" t="inlineStr">
        <is>
          <t>soccer-poisson-dc-v1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/>
      <c r="AA111" s="28" t="n"/>
      <c r="AB111" s="28" t="n"/>
      <c r="AC111" s="30" t="n">
        <v>1.13</v>
      </c>
      <c r="AD111" s="24" t="inlineStr">
        <is>
          <t>2026-08-09T23:29:11.211957Z</t>
        </is>
      </c>
      <c r="AE111" s="31" t="inlineStr">
        <is>
          <t>Poisson-DC rates 1.64 (home) / 1.24 (away) from EWMA attack/defense strengths. Executable ask 0.4700 (atc-arg2-atl-cat-2026-08-08-atl).</t>
        </is>
      </c>
      <c r="AF111" s="31" t="inlineStr">
        <is>
          <t>Research-only soccer score model; draw-aware, but not yet locked-holdout qualified.</t>
        </is>
      </c>
      <c r="AG111" s="24" t="inlineStr">
        <is>
          <t>not_applicable</t>
        </is>
      </c>
      <c r="AH111" s="24" t="n"/>
      <c r="AI111" s="31" t="n"/>
      <c r="AJ1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NO_CALL_WINNER_OVERVALUED</t>
        </is>
      </c>
      <c r="AP111" s="24" t="inlineStr">
        <is>
          <t>Temperley</t>
        </is>
      </c>
      <c r="AQ111" s="24" t="inlineStr">
        <is>
          <t>Temperley</t>
        </is>
      </c>
      <c r="AR111" s="24" t="inlineStr">
        <is>
          <t>Temperley</t>
        </is>
      </c>
      <c r="AS111" s="24" t="inlineStr">
        <is>
          <t>Atlanta</t>
        </is>
      </c>
      <c r="AT111" s="24" t="inlineStr">
        <is>
          <t>Atlanta</t>
        </is>
      </c>
      <c r="AU111" s="24" t="inlineStr">
        <is>
          <t>Atlanta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c95ec2023134439ab985cb4cdcc58243749b9deb564fca7a2d587c15c9875427</t>
        </is>
      </c>
      <c r="BB111" s="24" t="inlineStr">
        <is>
          <t>poisson_dixon_coles</t>
        </is>
      </c>
      <c r="BC111" s="24" t="inlineStr">
        <is>
          <t>soccer-poisson-dc-v1</t>
        </is>
      </c>
      <c r="BD111" s="24" t="inlineStr">
        <is>
          <t>c95ec2023134439ab985cb4cdcc58243749b9deb564fca7a2d587c15c9875427</t>
        </is>
      </c>
      <c r="BE111" s="24" t="inlineStr">
        <is>
          <t>soccer-poisson-dc-v1</t>
        </is>
      </c>
      <c r="BF111" s="24" t="inlineStr">
        <is>
          <t>1</t>
        </is>
      </c>
      <c r="BG111" s="24" t="inlineStr">
        <is>
          <t>c95ec2023134439ab985cb4cdcc58243749b9deb564fca7a2d587c15c9875427</t>
        </is>
      </c>
      <c r="BH111" s="24" t="inlineStr">
        <is>
          <t>2026-08-09T13:58:17.449388Z</t>
        </is>
      </c>
      <c r="BI111" s="24" t="inlineStr">
        <is>
          <t>["same_event","same_team_same_day","same_league_same_day"]</t>
        </is>
      </c>
      <c r="BJ111" s="25" t="n"/>
      <c r="BK111" s="26" t="n">
        <v>113</v>
      </c>
      <c r="BL111" s="27" t="n">
        <v>2.13</v>
      </c>
      <c r="BM111" s="28" t="n">
        <v>0.469484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153e6299134847e8</t>
        </is>
      </c>
      <c r="B112" s="24" t="inlineStr">
        <is>
          <t>2026-08-09T14:01:10.760642Z</t>
        </is>
      </c>
      <c r="C112" s="24" t="inlineStr">
        <is>
          <t>2026-08-09T15:30Z</t>
        </is>
      </c>
      <c r="D112" s="24" t="inlineStr">
        <is>
          <t>401906389</t>
        </is>
      </c>
      <c r="E112" s="24" t="inlineStr">
        <is>
          <t>SOCCER</t>
        </is>
      </c>
      <c r="F112" s="24" t="inlineStr">
        <is>
          <t>Athletic Club</t>
        </is>
      </c>
      <c r="G112" s="24" t="inlineStr">
        <is>
          <t>Marseille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178</v>
      </c>
      <c r="M112" s="27" t="n">
        <v>2.78</v>
      </c>
      <c r="N112" s="28" t="n">
        <v>0.359712</v>
      </c>
      <c r="O112" s="28" t="n">
        <v>0.568607</v>
      </c>
      <c r="P112" s="28" t="n">
        <v>0.04</v>
      </c>
      <c r="Q112" s="28" t="n">
        <v>0.208895</v>
      </c>
      <c r="R112" s="26" t="n">
        <v>100</v>
      </c>
      <c r="S112" s="29" t="n">
        <v>1.25</v>
      </c>
      <c r="T112" s="24" t="inlineStr">
        <is>
          <t>soccer-poisson-dc-v1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3</v>
      </c>
      <c r="Y112" s="25" t="n"/>
      <c r="Z112" s="26" t="n"/>
      <c r="AA112" s="28" t="n"/>
      <c r="AB112" s="28" t="n"/>
      <c r="AC112" s="30" t="n">
        <v>2.225</v>
      </c>
      <c r="AD112" s="24" t="inlineStr">
        <is>
          <t>2026-08-09T20:24:50.983986Z</t>
        </is>
      </c>
      <c r="AE112" s="31" t="inlineStr">
        <is>
          <t>Poisson-DC rates 2.04 (home) / 1.15 (away) from EWMA attack/defense strengths. Executable ask 0.3600 (atc-clbf-olm-ath-2026-08-09-olm).</t>
        </is>
      </c>
      <c r="AF112" s="31" t="inlineStr">
        <is>
          <t>Research-only soccer score model; draw-aware, but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Athletic Club</t>
        </is>
      </c>
      <c r="AQ112" s="24" t="inlineStr">
        <is>
          <t>Athletic Club</t>
        </is>
      </c>
      <c r="AR112" s="24" t="inlineStr">
        <is>
          <t>Athletic Club</t>
        </is>
      </c>
      <c r="AS112" s="24" t="inlineStr">
        <is>
          <t>Marseille</t>
        </is>
      </c>
      <c r="AT112" s="24" t="inlineStr">
        <is>
          <t>Marseille</t>
        </is>
      </c>
      <c r="AU112" s="24" t="inlineStr">
        <is>
          <t>Marseille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c95ec2023134439ab985cb4cdcc58243749b9deb564fca7a2d587c15c9875427</t>
        </is>
      </c>
      <c r="BB112" s="24" t="inlineStr">
        <is>
          <t>poisson_dixon_coles</t>
        </is>
      </c>
      <c r="BC112" s="24" t="inlineStr">
        <is>
          <t>soccer-poisson-dc-v1</t>
        </is>
      </c>
      <c r="BD112" s="24" t="inlineStr">
        <is>
          <t>c95ec2023134439ab985cb4cdcc58243749b9deb564fca7a2d587c15c9875427</t>
        </is>
      </c>
      <c r="BE112" s="24" t="inlineStr">
        <is>
          <t>soccer-poisson-dc-v1</t>
        </is>
      </c>
      <c r="BF112" s="24" t="inlineStr">
        <is>
          <t>1</t>
        </is>
      </c>
      <c r="BG112" s="24" t="inlineStr">
        <is>
          <t>c95ec2023134439ab985cb4cdcc58243749b9deb564fca7a2d587c15c9875427</t>
        </is>
      </c>
      <c r="BH112" s="24" t="inlineStr">
        <is>
          <t>2026-08-09T13:58:20.170765Z</t>
        </is>
      </c>
      <c r="BI112" s="24" t="inlineStr">
        <is>
          <t>["same_event","same_team_same_day","same_league_same_day"]</t>
        </is>
      </c>
      <c r="BJ112" s="25" t="n"/>
      <c r="BK112" s="26" t="n">
        <v>178</v>
      </c>
      <c r="BL112" s="27" t="n">
        <v>2.78</v>
      </c>
      <c r="BM112" s="28" t="n">
        <v>0.359712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</row>
    <row r="113" ht="36" customHeight="1">
      <c r="A113" s="24" t="inlineStr">
        <is>
          <t>44f244a02f344744</t>
        </is>
      </c>
      <c r="B113" s="24" t="inlineStr">
        <is>
          <t>2026-08-09T17:07:17.181830Z</t>
        </is>
      </c>
      <c r="C113" s="24" t="inlineStr">
        <is>
          <t>2026-08-09T19:00Z</t>
        </is>
      </c>
      <c r="D113" s="24" t="inlineStr">
        <is>
          <t>401841186</t>
        </is>
      </c>
      <c r="E113" s="24" t="inlineStr">
        <is>
          <t>SOCCER</t>
        </is>
      </c>
      <c r="F113" s="24" t="inlineStr">
        <is>
          <t>Vasco da Gama</t>
        </is>
      </c>
      <c r="G113" s="24" t="inlineStr">
        <is>
          <t>Bahia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104</v>
      </c>
      <c r="M113" s="27" t="n">
        <v>2.04</v>
      </c>
      <c r="N113" s="28" t="n">
        <v>0.490196</v>
      </c>
      <c r="O113" s="28" t="n">
        <v>0.456135</v>
      </c>
      <c r="P113" s="28" t="n">
        <v>0.2</v>
      </c>
      <c r="Q113" s="28" t="n">
        <v>-0.034061</v>
      </c>
      <c r="R113" s="26" t="n">
        <v>0</v>
      </c>
      <c r="S113" s="29" t="n">
        <v>1</v>
      </c>
      <c r="T113" s="24" t="inlineStr">
        <is>
          <t>soccer-poisson-dc-v1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0</v>
      </c>
      <c r="Y113" s="25" t="n"/>
      <c r="Z113" s="26" t="n"/>
      <c r="AA113" s="28" t="n"/>
      <c r="AB113" s="28" t="n"/>
      <c r="AC113" s="30" t="n">
        <v>-1</v>
      </c>
      <c r="AD113" s="24" t="inlineStr">
        <is>
          <t>2026-08-09T23:29:59.353408Z</t>
        </is>
      </c>
      <c r="AE113" s="31" t="inlineStr">
        <is>
          <t>Poisson-DC rates 1.64 (home) / 1.24 (away) from EWMA attack/defense strengths. Executable ask 0.4900 (atc-bra-bah-vas-2026-08-09-bah).</t>
        </is>
      </c>
      <c r="AF113" s="31" t="inlineStr">
        <is>
          <t>Research-only soccer score model; draw-aware, but not yet locked-holdout qualified.</t>
        </is>
      </c>
      <c r="AG113" s="24" t="inlineStr">
        <is>
          <t>review_required</t>
        </is>
      </c>
      <c r="AH113" s="24" t="n"/>
      <c r="AI113" s="31" t="n"/>
      <c r="AJ1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NO_CALL_WINNER_OVERVALUED</t>
        </is>
      </c>
      <c r="AP113" s="24" t="inlineStr">
        <is>
          <t>Vasco da Gama</t>
        </is>
      </c>
      <c r="AQ113" s="24" t="inlineStr">
        <is>
          <t>Vasco da Gama</t>
        </is>
      </c>
      <c r="AR113" s="24" t="inlineStr">
        <is>
          <t>Vasco da Gama</t>
        </is>
      </c>
      <c r="AS113" s="24" t="inlineStr">
        <is>
          <t>Bahia</t>
        </is>
      </c>
      <c r="AT113" s="24" t="inlineStr">
        <is>
          <t>Bahia</t>
        </is>
      </c>
      <c r="AU113" s="24" t="inlineStr">
        <is>
          <t>Bahia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c95ec2023134439ab985cb4cdcc58243749b9deb564fca7a2d587c15c9875427</t>
        </is>
      </c>
      <c r="BB113" s="24" t="inlineStr">
        <is>
          <t>poisson_dixon_coles</t>
        </is>
      </c>
      <c r="BC113" s="24" t="inlineStr">
        <is>
          <t>soccer-poisson-dc-v1</t>
        </is>
      </c>
      <c r="BD113" s="24" t="inlineStr">
        <is>
          <t>c95ec2023134439ab985cb4cdcc58243749b9deb564fca7a2d587c15c9875427</t>
        </is>
      </c>
      <c r="BE113" s="24" t="inlineStr">
        <is>
          <t>soccer-poisson-dc-v1</t>
        </is>
      </c>
      <c r="BF113" s="24" t="inlineStr">
        <is>
          <t>1</t>
        </is>
      </c>
      <c r="BG113" s="24" t="inlineStr">
        <is>
          <t>c95ec2023134439ab985cb4cdcc58243749b9deb564fca7a2d587c15c9875427</t>
        </is>
      </c>
      <c r="BH113" s="24" t="inlineStr">
        <is>
          <t>2026-08-09T17:05:43.237837Z</t>
        </is>
      </c>
      <c r="BI113" s="24" t="inlineStr">
        <is>
          <t>["same_event","same_team_same_day","same_league_same_day"]</t>
        </is>
      </c>
      <c r="BJ113" s="25" t="n"/>
      <c r="BK113" s="26" t="n">
        <v>104</v>
      </c>
      <c r="BL113" s="27" t="n">
        <v>2.04</v>
      </c>
      <c r="BM113" s="28" t="n">
        <v>0.490196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</row>
    <row r="114" ht="36" customHeight="1">
      <c r="A114" s="24" t="inlineStr">
        <is>
          <t>f7d2e8931ff24429</t>
        </is>
      </c>
      <c r="B114" s="24" t="inlineStr">
        <is>
          <t>2026-08-09T17:07:17.181830Z</t>
        </is>
      </c>
      <c r="C114" s="24" t="inlineStr">
        <is>
          <t>2026-08-09T19:00Z</t>
        </is>
      </c>
      <c r="D114" s="24" t="inlineStr">
        <is>
          <t>401841180</t>
        </is>
      </c>
      <c r="E114" s="24" t="inlineStr">
        <is>
          <t>SOCCER</t>
        </is>
      </c>
      <c r="F114" s="24" t="inlineStr">
        <is>
          <t>Internacional</t>
        </is>
      </c>
      <c r="G114" s="24" t="inlineStr">
        <is>
          <t>Palmeiras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-170</v>
      </c>
      <c r="M114" s="27" t="n">
        <v>1.588235</v>
      </c>
      <c r="N114" s="28" t="n">
        <v>0.62963</v>
      </c>
      <c r="O114" s="28" t="n">
        <v>0.456135</v>
      </c>
      <c r="P114" s="28" t="n">
        <v>0.2</v>
      </c>
      <c r="Q114" s="28" t="n">
        <v>-0.173495</v>
      </c>
      <c r="R114" s="26" t="n">
        <v>0</v>
      </c>
      <c r="S114" s="29" t="n">
        <v>1</v>
      </c>
      <c r="T114" s="24" t="inlineStr">
        <is>
          <t>soccer-poisson-dc-v1</t>
        </is>
      </c>
      <c r="U114" s="24" t="inlineStr">
        <is>
          <t>settled</t>
        </is>
      </c>
      <c r="V114" s="24" t="inlineStr">
        <is>
          <t>loss</t>
        </is>
      </c>
      <c r="W114" s="26" t="n">
        <v>0</v>
      </c>
      <c r="X114" s="26" t="n">
        <v>0</v>
      </c>
      <c r="Y114" s="25" t="n"/>
      <c r="Z114" s="26" t="n"/>
      <c r="AA114" s="28" t="n"/>
      <c r="AB114" s="28" t="n"/>
      <c r="AC114" s="30" t="n">
        <v>-1</v>
      </c>
      <c r="AD114" s="24" t="inlineStr">
        <is>
          <t>2026-08-09T23:30:00.191545Z</t>
        </is>
      </c>
      <c r="AE114" s="31" t="inlineStr">
        <is>
          <t>Poisson-DC rates 1.64 (home) / 1.24 (away) from EWMA attack/defense strengths. Executable ask 0.6300 (atc-bra-pal-int-2026-08-09-pal).</t>
        </is>
      </c>
      <c r="AF114" s="31" t="inlineStr">
        <is>
          <t>Research-only soccer score model; draw-aware, but not yet locked-holdout qualified.</t>
        </is>
      </c>
      <c r="AG114" s="24" t="inlineStr">
        <is>
          <t>review_required</t>
        </is>
      </c>
      <c r="AH114" s="24" t="n"/>
      <c r="AI114" s="31" t="n"/>
      <c r="AJ1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NO_CALL_WINNER_OVERVALUED</t>
        </is>
      </c>
      <c r="AP114" s="24" t="inlineStr">
        <is>
          <t>Internacional</t>
        </is>
      </c>
      <c r="AQ114" s="24" t="inlineStr">
        <is>
          <t>Internacional</t>
        </is>
      </c>
      <c r="AR114" s="24" t="inlineStr">
        <is>
          <t>Internacional</t>
        </is>
      </c>
      <c r="AS114" s="24" t="inlineStr">
        <is>
          <t>Palmeiras</t>
        </is>
      </c>
      <c r="AT114" s="24" t="inlineStr">
        <is>
          <t>Palmeiras</t>
        </is>
      </c>
      <c r="AU114" s="24" t="inlineStr">
        <is>
          <t>Palmeiras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c95ec2023134439ab985cb4cdcc58243749b9deb564fca7a2d587c15c9875427</t>
        </is>
      </c>
      <c r="BB114" s="24" t="inlineStr">
        <is>
          <t>poisson_dixon_coles</t>
        </is>
      </c>
      <c r="BC114" s="24" t="inlineStr">
        <is>
          <t>soccer-poisson-dc-v1</t>
        </is>
      </c>
      <c r="BD114" s="24" t="inlineStr">
        <is>
          <t>c95ec2023134439ab985cb4cdcc58243749b9deb564fca7a2d587c15c9875427</t>
        </is>
      </c>
      <c r="BE114" s="24" t="inlineStr">
        <is>
          <t>soccer-poisson-dc-v1</t>
        </is>
      </c>
      <c r="BF114" s="24" t="inlineStr">
        <is>
          <t>1</t>
        </is>
      </c>
      <c r="BG114" s="24" t="inlineStr">
        <is>
          <t>c95ec2023134439ab985cb4cdcc58243749b9deb564fca7a2d587c15c9875427</t>
        </is>
      </c>
      <c r="BH114" s="24" t="inlineStr">
        <is>
          <t>2026-08-09T17:05:43.426223Z</t>
        </is>
      </c>
      <c r="BI114" s="24" t="inlineStr">
        <is>
          <t>["same_event","same_team_same_day","same_league_same_day"]</t>
        </is>
      </c>
      <c r="BJ114" s="25" t="n"/>
      <c r="BK114" s="26" t="n">
        <v>-170</v>
      </c>
      <c r="BL114" s="27" t="n">
        <v>1.588235</v>
      </c>
      <c r="BM114" s="28" t="n">
        <v>0.62963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5f21b3c5f8b24a7c</t>
        </is>
      </c>
      <c r="B115" s="24" t="inlineStr">
        <is>
          <t>2026-08-09T17:07:17.181830Z</t>
        </is>
      </c>
      <c r="C115" s="24" t="inlineStr">
        <is>
          <t>2026-08-09T19:00Z</t>
        </is>
      </c>
      <c r="D115" s="24" t="inlineStr">
        <is>
          <t>401860271</t>
        </is>
      </c>
      <c r="E115" s="24" t="inlineStr">
        <is>
          <t>SOCCER</t>
        </is>
      </c>
      <c r="F115" s="24" t="inlineStr">
        <is>
          <t>Juventude</t>
        </is>
      </c>
      <c r="G115" s="24" t="inlineStr">
        <is>
          <t>Novorizontino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113</v>
      </c>
      <c r="M115" s="27" t="n">
        <v>2.13</v>
      </c>
      <c r="N115" s="28" t="n">
        <v>0.469484</v>
      </c>
      <c r="O115" s="28" t="n">
        <v>0.456135</v>
      </c>
      <c r="P115" s="28" t="n">
        <v>0.2</v>
      </c>
      <c r="Q115" s="28" t="n">
        <v>-0.013349</v>
      </c>
      <c r="R115" s="26" t="n">
        <v>0</v>
      </c>
      <c r="S115" s="29" t="n">
        <v>1</v>
      </c>
      <c r="T115" s="24" t="inlineStr">
        <is>
          <t>soccer-poisson-dc-v1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2026-08-09T23:30:00.992007Z</t>
        </is>
      </c>
      <c r="AE115" s="31" t="inlineStr">
        <is>
          <t>Poisson-DC rates 1.64 (home) / 1.24 (away) from EWMA attack/defense strengths. Executable ask 0.4700 (atc-brb-nov-juv-2026-08-09-nov).</t>
        </is>
      </c>
      <c r="AF115" s="31" t="inlineStr">
        <is>
          <t>Research-only soccer score model; draw-aware, but not yet locked-holdout qualified.</t>
        </is>
      </c>
      <c r="AG115" s="24" t="inlineStr">
        <is>
          <t>review_required</t>
        </is>
      </c>
      <c r="AH115" s="24" t="n"/>
      <c r="AI115" s="31" t="n"/>
      <c r="AJ1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NO_CALL_WINNER_OVERVALUED</t>
        </is>
      </c>
      <c r="AP115" s="24" t="inlineStr">
        <is>
          <t>Juventude</t>
        </is>
      </c>
      <c r="AQ115" s="24" t="inlineStr">
        <is>
          <t>Juventude</t>
        </is>
      </c>
      <c r="AR115" s="24" t="inlineStr">
        <is>
          <t>Juventude</t>
        </is>
      </c>
      <c r="AS115" s="24" t="inlineStr">
        <is>
          <t>Novorizontino</t>
        </is>
      </c>
      <c r="AT115" s="24" t="inlineStr">
        <is>
          <t>Novorizontino</t>
        </is>
      </c>
      <c r="AU115" s="24" t="inlineStr">
        <is>
          <t>Novorizontino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c95ec2023134439ab985cb4cdcc58243749b9deb564fca7a2d587c15c9875427</t>
        </is>
      </c>
      <c r="BB115" s="24" t="inlineStr">
        <is>
          <t>poisson_dixon_coles</t>
        </is>
      </c>
      <c r="BC115" s="24" t="inlineStr">
        <is>
          <t>soccer-poisson-dc-v1</t>
        </is>
      </c>
      <c r="BD115" s="24" t="inlineStr">
        <is>
          <t>c95ec2023134439ab985cb4cdcc58243749b9deb564fca7a2d587c15c9875427</t>
        </is>
      </c>
      <c r="BE115" s="24" t="inlineStr">
        <is>
          <t>soccer-poisson-dc-v1</t>
        </is>
      </c>
      <c r="BF115" s="24" t="inlineStr">
        <is>
          <t>1</t>
        </is>
      </c>
      <c r="BG115" s="24" t="inlineStr">
        <is>
          <t>c95ec2023134439ab985cb4cdcc58243749b9deb564fca7a2d587c15c9875427</t>
        </is>
      </c>
      <c r="BH115" s="24" t="inlineStr">
        <is>
          <t>2026-08-09T17:05:43.950668Z</t>
        </is>
      </c>
      <c r="BI115" s="24" t="inlineStr">
        <is>
          <t>["same_event","same_team_same_day","same_league_same_day"]</t>
        </is>
      </c>
      <c r="BJ115" s="25" t="n"/>
      <c r="BK115" s="26" t="n">
        <v>113</v>
      </c>
      <c r="BL115" s="27" t="n">
        <v>2.13</v>
      </c>
      <c r="BM115" s="28" t="n">
        <v>0.469484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</row>
    <row r="116" ht="36" customHeight="1">
      <c r="A116" s="24" t="inlineStr">
        <is>
          <t>2d1fa41a590440d8</t>
        </is>
      </c>
      <c r="B116" s="24" t="inlineStr">
        <is>
          <t>2026-08-09T17:07:17.181830Z</t>
        </is>
      </c>
      <c r="C116" s="24" t="inlineStr">
        <is>
          <t>2026-08-09T17:30Z</t>
        </is>
      </c>
      <c r="D116" s="24" t="inlineStr">
        <is>
          <t>401844032</t>
        </is>
      </c>
      <c r="E116" s="24" t="inlineStr">
        <is>
          <t>SOCCER</t>
        </is>
      </c>
      <c r="F116" s="24" t="inlineStr">
        <is>
          <t>Ferro Carril Oeste</t>
        </is>
      </c>
      <c r="G116" s="24" t="inlineStr">
        <is>
          <t>Los Andes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178</v>
      </c>
      <c r="M116" s="27" t="n">
        <v>2.78</v>
      </c>
      <c r="N116" s="28" t="n">
        <v>0.359712</v>
      </c>
      <c r="O116" s="28" t="n">
        <v>0.456135</v>
      </c>
      <c r="P116" s="28" t="n">
        <v>0.2</v>
      </c>
      <c r="Q116" s="28" t="n">
        <v>0.09642299999999999</v>
      </c>
      <c r="R116" s="26" t="n">
        <v>0</v>
      </c>
      <c r="S116" s="29" t="n">
        <v>1</v>
      </c>
      <c r="T116" s="24" t="inlineStr">
        <is>
          <t>soccer-poisson-dc-v1</t>
        </is>
      </c>
      <c r="U116" s="24" t="inlineStr">
        <is>
          <t>settled</t>
        </is>
      </c>
      <c r="V116" s="24" t="inlineStr">
        <is>
          <t>loss</t>
        </is>
      </c>
      <c r="W116" s="26" t="n">
        <v>2</v>
      </c>
      <c r="X116" s="26" t="n">
        <v>1</v>
      </c>
      <c r="Y116" s="25" t="n"/>
      <c r="Z116" s="26" t="n"/>
      <c r="AA116" s="28" t="n"/>
      <c r="AB116" s="28" t="n"/>
      <c r="AC116" s="30" t="n">
        <v>-1</v>
      </c>
      <c r="AD116" s="24" t="inlineStr">
        <is>
          <t>2026-08-09T23:30:01.792009Z</t>
        </is>
      </c>
      <c r="AE116" s="31" t="inlineStr">
        <is>
          <t>Poisson-DC rates 1.64 (home) / 1.24 (away) from EWMA attack/defense strengths. Executable ask 0.3600 (atc-arg2-ala-fco-2026-08-08-ala).</t>
        </is>
      </c>
      <c r="AF116" s="31" t="inlineStr">
        <is>
          <t>Research-only soccer score model; draw-aware, but not yet locked-holdout qualified.</t>
        </is>
      </c>
      <c r="AG116" s="24" t="inlineStr">
        <is>
          <t>review_required</t>
        </is>
      </c>
      <c r="AH116" s="24" t="n"/>
      <c r="AI116" s="31" t="n"/>
      <c r="AJ1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NO_CALL_WINNER_OVERVALUED</t>
        </is>
      </c>
      <c r="AP116" s="24" t="inlineStr">
        <is>
          <t>Ferro Carril Oeste</t>
        </is>
      </c>
      <c r="AQ116" s="24" t="inlineStr">
        <is>
          <t>Ferro Carril Oeste</t>
        </is>
      </c>
      <c r="AR116" s="24" t="inlineStr">
        <is>
          <t>Ferro Carril Oeste</t>
        </is>
      </c>
      <c r="AS116" s="24" t="inlineStr">
        <is>
          <t>Los Andes</t>
        </is>
      </c>
      <c r="AT116" s="24" t="inlineStr">
        <is>
          <t>Los Andes</t>
        </is>
      </c>
      <c r="AU116" s="24" t="inlineStr">
        <is>
          <t>Los Andes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c95ec2023134439ab985cb4cdcc58243749b9deb564fca7a2d587c15c9875427</t>
        </is>
      </c>
      <c r="BB116" s="24" t="inlineStr">
        <is>
          <t>poisson_dixon_coles</t>
        </is>
      </c>
      <c r="BC116" s="24" t="inlineStr">
        <is>
          <t>soccer-poisson-dc-v1</t>
        </is>
      </c>
      <c r="BD116" s="24" t="inlineStr">
        <is>
          <t>c95ec2023134439ab985cb4cdcc58243749b9deb564fca7a2d587c15c9875427</t>
        </is>
      </c>
      <c r="BE116" s="24" t="inlineStr">
        <is>
          <t>soccer-poisson-dc-v1</t>
        </is>
      </c>
      <c r="BF116" s="24" t="inlineStr">
        <is>
          <t>1</t>
        </is>
      </c>
      <c r="BG116" s="24" t="inlineStr">
        <is>
          <t>c95ec2023134439ab985cb4cdcc58243749b9deb564fca7a2d587c15c9875427</t>
        </is>
      </c>
      <c r="BH116" s="24" t="inlineStr">
        <is>
          <t>2026-08-09T17:05:44.777099Z</t>
        </is>
      </c>
      <c r="BI116" s="24" t="inlineStr">
        <is>
          <t>["same_event","same_team_same_day","same_league_same_day"]</t>
        </is>
      </c>
      <c r="BJ116" s="25" t="n"/>
      <c r="BK116" s="26" t="n">
        <v>178</v>
      </c>
      <c r="BL116" s="27" t="n">
        <v>2.78</v>
      </c>
      <c r="BM116" s="28" t="n">
        <v>0.359712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</row>
    <row r="117" ht="36" customHeight="1">
      <c r="A117" s="24" t="inlineStr">
        <is>
          <t>5bba191e45ae466d</t>
        </is>
      </c>
      <c r="B117" s="24" t="inlineStr">
        <is>
          <t>2026-08-09T17:07:17.181830Z</t>
        </is>
      </c>
      <c r="C117" s="24" t="inlineStr">
        <is>
          <t>2026-08-09T18:00Z</t>
        </is>
      </c>
      <c r="D117" s="24" t="inlineStr">
        <is>
          <t>401844042</t>
        </is>
      </c>
      <c r="E117" s="24" t="inlineStr">
        <is>
          <t>SOCCER</t>
        </is>
      </c>
      <c r="F117" s="24" t="inlineStr">
        <is>
          <t>Patronato</t>
        </is>
      </c>
      <c r="G117" s="24" t="inlineStr">
        <is>
          <t>Colegiales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108</v>
      </c>
      <c r="M117" s="27" t="n">
        <v>2.08</v>
      </c>
      <c r="N117" s="28" t="n">
        <v>0.480769</v>
      </c>
      <c r="O117" s="28" t="n">
        <v>0.456135</v>
      </c>
      <c r="P117" s="28" t="n">
        <v>0.2</v>
      </c>
      <c r="Q117" s="28" t="n">
        <v>-0.024634</v>
      </c>
      <c r="R117" s="26" t="n">
        <v>0</v>
      </c>
      <c r="S117" s="29" t="n">
        <v>1</v>
      </c>
      <c r="T117" s="24" t="inlineStr">
        <is>
          <t>soccer-poisson-dc-v1</t>
        </is>
      </c>
      <c r="U117" s="24" t="inlineStr">
        <is>
          <t>settled</t>
        </is>
      </c>
      <c r="V117" s="24" t="inlineStr">
        <is>
          <t>loss</t>
        </is>
      </c>
      <c r="W117" s="26" t="n">
        <v>2</v>
      </c>
      <c r="X117" s="26" t="n">
        <v>2</v>
      </c>
      <c r="Y117" s="25" t="n"/>
      <c r="Z117" s="26" t="n"/>
      <c r="AA117" s="28" t="n"/>
      <c r="AB117" s="28" t="n"/>
      <c r="AC117" s="30" t="n">
        <v>-1</v>
      </c>
      <c r="AD117" s="24" t="inlineStr">
        <is>
          <t>2026-08-09T23:30:02.628000Z</t>
        </is>
      </c>
      <c r="AE117" s="31" t="inlineStr">
        <is>
          <t>Poisson-DC rates 1.64 (home) / 1.24 (away) from EWMA attack/defense strengths. Executable ask 0.4800 (atc-arg2-cac-cap-2026-08-08-cac).</t>
        </is>
      </c>
      <c r="AF117" s="31" t="inlineStr">
        <is>
          <t>Research-only soccer score model; draw-aware, but not yet locked-holdout qualified.</t>
        </is>
      </c>
      <c r="AG117" s="24" t="inlineStr">
        <is>
          <t>review_required</t>
        </is>
      </c>
      <c r="AH117" s="24" t="n"/>
      <c r="AI117" s="31" t="n"/>
      <c r="AJ1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NO_CALL_WINNER_OVERVALUED</t>
        </is>
      </c>
      <c r="AP117" s="24" t="inlineStr">
        <is>
          <t>Patronato</t>
        </is>
      </c>
      <c r="AQ117" s="24" t="inlineStr">
        <is>
          <t>Patronato</t>
        </is>
      </c>
      <c r="AR117" s="24" t="inlineStr">
        <is>
          <t>Patronato</t>
        </is>
      </c>
      <c r="AS117" s="24" t="inlineStr">
        <is>
          <t>Colegiales</t>
        </is>
      </c>
      <c r="AT117" s="24" t="inlineStr">
        <is>
          <t>Colegiales</t>
        </is>
      </c>
      <c r="AU117" s="24" t="inlineStr">
        <is>
          <t>Colegiales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c95ec2023134439ab985cb4cdcc58243749b9deb564fca7a2d587c15c9875427</t>
        </is>
      </c>
      <c r="BB117" s="24" t="inlineStr">
        <is>
          <t>poisson_dixon_coles</t>
        </is>
      </c>
      <c r="BC117" s="24" t="inlineStr">
        <is>
          <t>soccer-poisson-dc-v1</t>
        </is>
      </c>
      <c r="BD117" s="24" t="inlineStr">
        <is>
          <t>c95ec2023134439ab985cb4cdcc58243749b9deb564fca7a2d587c15c9875427</t>
        </is>
      </c>
      <c r="BE117" s="24" t="inlineStr">
        <is>
          <t>soccer-poisson-dc-v1</t>
        </is>
      </c>
      <c r="BF117" s="24" t="inlineStr">
        <is>
          <t>1</t>
        </is>
      </c>
      <c r="BG117" s="24" t="inlineStr">
        <is>
          <t>c95ec2023134439ab985cb4cdcc58243749b9deb564fca7a2d587c15c9875427</t>
        </is>
      </c>
      <c r="BH117" s="24" t="inlineStr">
        <is>
          <t>2026-08-09T17:05:44.745762Z</t>
        </is>
      </c>
      <c r="BI117" s="24" t="inlineStr">
        <is>
          <t>["same_event","same_team_same_day","same_league_same_day"]</t>
        </is>
      </c>
      <c r="BJ117" s="25" t="n"/>
      <c r="BK117" s="26" t="n">
        <v>108</v>
      </c>
      <c r="BL117" s="27" t="n">
        <v>2.08</v>
      </c>
      <c r="BM117" s="28" t="n">
        <v>0.480769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e12d19b332d24984</t>
        </is>
      </c>
      <c r="B118" s="24" t="inlineStr">
        <is>
          <t>2026-08-09T17:07:17.181830Z</t>
        </is>
      </c>
      <c r="C118" s="24" t="inlineStr">
        <is>
          <t>2026-08-09T19:00Z</t>
        </is>
      </c>
      <c r="D118" s="24" t="inlineStr">
        <is>
          <t>401844033</t>
        </is>
      </c>
      <c r="E118" s="24" t="inlineStr">
        <is>
          <t>SOCCER</t>
        </is>
      </c>
      <c r="F118" s="24" t="inlineStr">
        <is>
          <t>Defensores de Belgrano</t>
        </is>
      </c>
      <c r="G118" s="24" t="inlineStr">
        <is>
          <t>Mitre (Santiago del Estero)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150</v>
      </c>
      <c r="M118" s="27" t="n">
        <v>2.5</v>
      </c>
      <c r="N118" s="28" t="n">
        <v>0.4</v>
      </c>
      <c r="O118" s="28" t="n">
        <v>0.456135</v>
      </c>
      <c r="P118" s="28" t="n">
        <v>0.2</v>
      </c>
      <c r="Q118" s="28" t="n">
        <v>0.056135</v>
      </c>
      <c r="R118" s="26" t="n">
        <v>0</v>
      </c>
      <c r="S118" s="29" t="n">
        <v>1</v>
      </c>
      <c r="T118" s="24" t="inlineStr">
        <is>
          <t>soccer-poisson-dc-v1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2</v>
      </c>
      <c r="Y118" s="25" t="n"/>
      <c r="Z118" s="26" t="n"/>
      <c r="AA118" s="28" t="n"/>
      <c r="AB118" s="28" t="n"/>
      <c r="AC118" s="30" t="n">
        <v>1.5</v>
      </c>
      <c r="AD118" s="24" t="inlineStr">
        <is>
          <t>2026-08-10T02:34:05.570382Z</t>
        </is>
      </c>
      <c r="AE118" s="31" t="inlineStr">
        <is>
          <t>Poisson-DC rates 1.64 (home) / 1.24 (away) from EWMA attack/defense strengths. Executable ask 0.4000 (atc-arg2-cam-ddb-2026-08-08-cam).</t>
        </is>
      </c>
      <c r="AF118" s="31" t="inlineStr">
        <is>
          <t>Research-only soccer score model; draw-aware, but not yet locked-holdout qualified.</t>
        </is>
      </c>
      <c r="AG118" s="24" t="inlineStr">
        <is>
          <t>not_applicable</t>
        </is>
      </c>
      <c r="AH118" s="24" t="n"/>
      <c r="AI118" s="31" t="n"/>
      <c r="AJ1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NO_CALL_WINNER_OVERVALUED</t>
        </is>
      </c>
      <c r="AP118" s="24" t="inlineStr">
        <is>
          <t>Defensores de Belgrano</t>
        </is>
      </c>
      <c r="AQ118" s="24" t="inlineStr">
        <is>
          <t>Defensores de Belgrano</t>
        </is>
      </c>
      <c r="AR118" s="24" t="inlineStr">
        <is>
          <t>Defensores de Belgrano</t>
        </is>
      </c>
      <c r="AS118" s="24" t="inlineStr">
        <is>
          <t>Mitre (Santiago del Estero)</t>
        </is>
      </c>
      <c r="AT118" s="24" t="inlineStr">
        <is>
          <t>Mitre (Santiago del Estero)</t>
        </is>
      </c>
      <c r="AU118" s="24" t="inlineStr">
        <is>
          <t>Mitre (Santiago del Estero)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c95ec2023134439ab985cb4cdcc58243749b9deb564fca7a2d587c15c9875427</t>
        </is>
      </c>
      <c r="BB118" s="24" t="inlineStr">
        <is>
          <t>poisson_dixon_coles</t>
        </is>
      </c>
      <c r="BC118" s="24" t="inlineStr">
        <is>
          <t>soccer-poisson-dc-v1</t>
        </is>
      </c>
      <c r="BD118" s="24" t="inlineStr">
        <is>
          <t>c95ec2023134439ab985cb4cdcc58243749b9deb564fca7a2d587c15c9875427</t>
        </is>
      </c>
      <c r="BE118" s="24" t="inlineStr">
        <is>
          <t>soccer-poisson-dc-v1</t>
        </is>
      </c>
      <c r="BF118" s="24" t="inlineStr">
        <is>
          <t>1</t>
        </is>
      </c>
      <c r="BG118" s="24" t="inlineStr">
        <is>
          <t>c95ec2023134439ab985cb4cdcc58243749b9deb564fca7a2d587c15c9875427</t>
        </is>
      </c>
      <c r="BH118" s="24" t="inlineStr">
        <is>
          <t>2026-08-09T17:05:45.178866Z</t>
        </is>
      </c>
      <c r="BI118" s="24" t="inlineStr">
        <is>
          <t>["same_event","same_team_same_day","same_league_same_day"]</t>
        </is>
      </c>
      <c r="BJ118" s="25" t="n"/>
      <c r="BK118" s="26" t="n">
        <v>150</v>
      </c>
      <c r="BL118" s="27" t="n">
        <v>2.5</v>
      </c>
      <c r="BM118" s="28" t="n">
        <v>0.4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be4880370c874e51</t>
        </is>
      </c>
      <c r="B119" s="24" t="inlineStr">
        <is>
          <t>2026-08-09T17:07:17.181830Z</t>
        </is>
      </c>
      <c r="C119" s="24" t="inlineStr">
        <is>
          <t>2026-08-09T20:00Z</t>
        </is>
      </c>
      <c r="D119" s="24" t="inlineStr">
        <is>
          <t>401844034</t>
        </is>
      </c>
      <c r="E119" s="24" t="inlineStr">
        <is>
          <t>SOCCER</t>
        </is>
      </c>
      <c r="F119" s="24" t="inlineStr">
        <is>
          <t>Almagro</t>
        </is>
      </c>
      <c r="G119" s="24" t="inlineStr">
        <is>
          <t>Quilmes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-170</v>
      </c>
      <c r="M119" s="27" t="n">
        <v>1.588235</v>
      </c>
      <c r="N119" s="28" t="n">
        <v>0.62963</v>
      </c>
      <c r="O119" s="28" t="n">
        <v>0.440521</v>
      </c>
      <c r="P119" s="28" t="n">
        <v>0.2</v>
      </c>
      <c r="Q119" s="28" t="n">
        <v>-0.189109</v>
      </c>
      <c r="R119" s="26" t="n">
        <v>0</v>
      </c>
      <c r="S119" s="29" t="n">
        <v>1</v>
      </c>
      <c r="T119" s="24" t="inlineStr">
        <is>
          <t>soccer-poisson-dc-v1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1</v>
      </c>
      <c r="Y119" s="25" t="n"/>
      <c r="Z119" s="26" t="n"/>
      <c r="AA119" s="28" t="n"/>
      <c r="AB119" s="28" t="n"/>
      <c r="AC119" s="30" t="n">
        <v>-1</v>
      </c>
      <c r="AD119" s="24" t="inlineStr">
        <is>
          <t>2026-08-10T02:34:06.350793Z</t>
        </is>
      </c>
      <c r="AE119" s="31" t="inlineStr">
        <is>
          <t>Poisson-DC rates 1.46 (home) / 1.10 (away) from EWMA attack/defense strengths. Executable ask 0.6300 (atc-arg2-qui-alm-2026-08-08-qui).</t>
        </is>
      </c>
      <c r="AF119" s="31" t="inlineStr">
        <is>
          <t>Research-only soccer score model; draw-aware, but not yet locked-holdout qualified.</t>
        </is>
      </c>
      <c r="AG119" s="24" t="inlineStr">
        <is>
          <t>review_required</t>
        </is>
      </c>
      <c r="AH119" s="24" t="n"/>
      <c r="AI119" s="31" t="n"/>
      <c r="AJ1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NO_CALL_WINNER_OVERVALUED</t>
        </is>
      </c>
      <c r="AP119" s="24" t="inlineStr">
        <is>
          <t>Almagro</t>
        </is>
      </c>
      <c r="AQ119" s="24" t="inlineStr">
        <is>
          <t>Almagro</t>
        </is>
      </c>
      <c r="AR119" s="24" t="inlineStr">
        <is>
          <t>Almagro</t>
        </is>
      </c>
      <c r="AS119" s="24" t="inlineStr">
        <is>
          <t>Quilmes</t>
        </is>
      </c>
      <c r="AT119" s="24" t="inlineStr">
        <is>
          <t>Quilmes</t>
        </is>
      </c>
      <c r="AU119" s="24" t="inlineStr">
        <is>
          <t>Quilmes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c95ec2023134439ab985cb4cdcc58243749b9deb564fca7a2d587c15c9875427</t>
        </is>
      </c>
      <c r="BB119" s="24" t="inlineStr">
        <is>
          <t>poisson_dixon_coles</t>
        </is>
      </c>
      <c r="BC119" s="24" t="inlineStr">
        <is>
          <t>soccer-poisson-dc-v1</t>
        </is>
      </c>
      <c r="BD119" s="24" t="inlineStr">
        <is>
          <t>c95ec2023134439ab985cb4cdcc58243749b9deb564fca7a2d587c15c9875427</t>
        </is>
      </c>
      <c r="BE119" s="24" t="inlineStr">
        <is>
          <t>soccer-poisson-dc-v1</t>
        </is>
      </c>
      <c r="BF119" s="24" t="inlineStr">
        <is>
          <t>1</t>
        </is>
      </c>
      <c r="BG119" s="24" t="inlineStr">
        <is>
          <t>c95ec2023134439ab985cb4cdcc58243749b9deb564fca7a2d587c15c9875427</t>
        </is>
      </c>
      <c r="BH119" s="24" t="inlineStr">
        <is>
          <t>2026-08-09T17:05:45.373359Z</t>
        </is>
      </c>
      <c r="BI119" s="24" t="inlineStr">
        <is>
          <t>["same_event","same_team_same_day","same_league_same_day"]</t>
        </is>
      </c>
      <c r="BJ119" s="25" t="n"/>
      <c r="BK119" s="26" t="n">
        <v>-170</v>
      </c>
      <c r="BL119" s="27" t="n">
        <v>1.588235</v>
      </c>
      <c r="BM119" s="28" t="n">
        <v>0.62963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95b699d9fb2f473d</t>
        </is>
      </c>
      <c r="B120" s="24" t="inlineStr">
        <is>
          <t>2026-08-09T17:07:17.181830Z</t>
        </is>
      </c>
      <c r="C120" s="24" t="inlineStr">
        <is>
          <t>2026-08-09T18:00Z</t>
        </is>
      </c>
      <c r="D120" s="24" t="inlineStr">
        <is>
          <t>401905197</t>
        </is>
      </c>
      <c r="E120" s="24" t="inlineStr">
        <is>
          <t>SOCCER</t>
        </is>
      </c>
      <c r="F120" s="24" t="inlineStr">
        <is>
          <t>Montevideo Wanderers</t>
        </is>
      </c>
      <c r="G120" s="24" t="inlineStr">
        <is>
          <t>Defensor Sporting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127</v>
      </c>
      <c r="M120" s="27" t="n">
        <v>2.27</v>
      </c>
      <c r="N120" s="28" t="n">
        <v>0.440529</v>
      </c>
      <c r="O120" s="28" t="n">
        <v>0.456347</v>
      </c>
      <c r="P120" s="28" t="n">
        <v>0.19</v>
      </c>
      <c r="Q120" s="28" t="n">
        <v>0.015818</v>
      </c>
      <c r="R120" s="26" t="n">
        <v>0</v>
      </c>
      <c r="S120" s="29" t="n">
        <v>1</v>
      </c>
      <c r="T120" s="24" t="inlineStr">
        <is>
          <t>soccer-poisson-dc-v1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/>
      <c r="AA120" s="28" t="n"/>
      <c r="AB120" s="28" t="n"/>
      <c r="AC120" s="30" t="n">
        <v>-1</v>
      </c>
      <c r="AD120" s="24" t="inlineStr">
        <is>
          <t>2026-08-09T20:25:05.861348Z</t>
        </is>
      </c>
      <c r="AE120" s="31" t="inlineStr">
        <is>
          <t>Poisson-DC rates 1.41 (home) / 0.98 (away) from EWMA attack/defense strengths. Executable ask 0.4400 (atc-uru1-def-wan-2026-08-09-def).</t>
        </is>
      </c>
      <c r="AF120" s="31" t="inlineStr">
        <is>
          <t>Research-only soccer score model; draw-aware, but not yet locked-holdout qualified.</t>
        </is>
      </c>
      <c r="AG120" s="24" t="inlineStr">
        <is>
          <t>review_required</t>
        </is>
      </c>
      <c r="AH120" s="24" t="n"/>
      <c r="AI120" s="31" t="n"/>
      <c r="AJ1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NO_CALL_WINNER_OVERVALUED</t>
        </is>
      </c>
      <c r="AP120" s="24" t="inlineStr">
        <is>
          <t>Montevideo Wanderers</t>
        </is>
      </c>
      <c r="AQ120" s="24" t="inlineStr">
        <is>
          <t>Montevideo Wanderers</t>
        </is>
      </c>
      <c r="AR120" s="24" t="inlineStr">
        <is>
          <t>Montevideo Wanderers</t>
        </is>
      </c>
      <c r="AS120" s="24" t="inlineStr">
        <is>
          <t>Defensor Sporting</t>
        </is>
      </c>
      <c r="AT120" s="24" t="inlineStr">
        <is>
          <t>Defensor Sporting</t>
        </is>
      </c>
      <c r="AU120" s="24" t="inlineStr">
        <is>
          <t>Defensor Sporting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c95ec2023134439ab985cb4cdcc58243749b9deb564fca7a2d587c15c9875427</t>
        </is>
      </c>
      <c r="BB120" s="24" t="inlineStr">
        <is>
          <t>poisson_dixon_coles</t>
        </is>
      </c>
      <c r="BC120" s="24" t="inlineStr">
        <is>
          <t>soccer-poisson-dc-v1</t>
        </is>
      </c>
      <c r="BD120" s="24" t="inlineStr">
        <is>
          <t>c95ec2023134439ab985cb4cdcc58243749b9deb564fca7a2d587c15c9875427</t>
        </is>
      </c>
      <c r="BE120" s="24" t="inlineStr">
        <is>
          <t>soccer-poisson-dc-v1</t>
        </is>
      </c>
      <c r="BF120" s="24" t="inlineStr">
        <is>
          <t>1</t>
        </is>
      </c>
      <c r="BG120" s="24" t="inlineStr">
        <is>
          <t>c95ec2023134439ab985cb4cdcc58243749b9deb564fca7a2d587c15c9875427</t>
        </is>
      </c>
      <c r="BH120" s="24" t="inlineStr">
        <is>
          <t>2026-08-09T17:05:46.624016Z</t>
        </is>
      </c>
      <c r="BI120" s="24" t="inlineStr">
        <is>
          <t>["same_event","same_team_same_day","same_league_same_day"]</t>
        </is>
      </c>
      <c r="BJ120" s="25" t="n"/>
      <c r="BK120" s="26" t="n">
        <v>127</v>
      </c>
      <c r="BL120" s="27" t="n">
        <v>2.27</v>
      </c>
      <c r="BM120" s="28" t="n">
        <v>0.440529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fe38f070f2ee44a6</t>
        </is>
      </c>
      <c r="B121" s="24" t="inlineStr">
        <is>
          <t>2026-08-09T17:07:17.181830Z</t>
        </is>
      </c>
      <c r="C121" s="24" t="inlineStr">
        <is>
          <t>2026-08-09T18:45Z</t>
        </is>
      </c>
      <c r="D121" s="24" t="inlineStr">
        <is>
          <t>401906454</t>
        </is>
      </c>
      <c r="E121" s="24" t="inlineStr">
        <is>
          <t>SOCCER</t>
        </is>
      </c>
      <c r="F121" s="24" t="inlineStr">
        <is>
          <t>Lazio</t>
        </is>
      </c>
      <c r="G121" s="24" t="inlineStr">
        <is>
          <t>Frosinone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113</v>
      </c>
      <c r="M121" s="27" t="n">
        <v>2.13</v>
      </c>
      <c r="N121" s="28" t="n">
        <v>0.469484</v>
      </c>
      <c r="O121" s="28" t="n">
        <v>0.349881</v>
      </c>
      <c r="P121" s="28" t="n">
        <v>0.04</v>
      </c>
      <c r="Q121" s="28" t="n">
        <v>-0.119603</v>
      </c>
      <c r="R121" s="26" t="n">
        <v>0</v>
      </c>
      <c r="S121" s="29" t="n">
        <v>1.75</v>
      </c>
      <c r="T121" s="24" t="inlineStr">
        <is>
          <t>soccer-poisson-dc-v1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1</v>
      </c>
      <c r="Y121" s="25" t="n"/>
      <c r="Z121" s="26" t="n"/>
      <c r="AA121" s="28" t="n"/>
      <c r="AB121" s="28" t="n"/>
      <c r="AC121" s="30" t="n">
        <v>1.9775</v>
      </c>
      <c r="AD121" s="24" t="inlineStr">
        <is>
          <t>2026-08-09T23:30:06.839430Z</t>
        </is>
      </c>
      <c r="AE121" s="31" t="inlineStr">
        <is>
          <t>Poisson-DC rates 1.07 (home) / 1.11 (away) from EWMA attack/defense strengths. Executable ask 0.4700 (atc-clbf-fro-laz-2026-08-09-laz).</t>
        </is>
      </c>
      <c r="AF121" s="31" t="inlineStr">
        <is>
          <t>Research-only soccer score model; draw-aware, but not yet locked-holdout qualified.</t>
        </is>
      </c>
      <c r="AG121" s="24" t="inlineStr">
        <is>
          <t>not_applicable</t>
        </is>
      </c>
      <c r="AH121" s="24" t="n"/>
      <c r="AI121" s="31" t="n"/>
      <c r="AJ1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NO_CALL_WINNER_OVERVALUED</t>
        </is>
      </c>
      <c r="AP121" s="24" t="inlineStr">
        <is>
          <t>Lazio</t>
        </is>
      </c>
      <c r="AQ121" s="24" t="inlineStr">
        <is>
          <t>Lazio</t>
        </is>
      </c>
      <c r="AR121" s="24" t="inlineStr">
        <is>
          <t>Lazio</t>
        </is>
      </c>
      <c r="AS121" s="24" t="inlineStr">
        <is>
          <t>Frosinone</t>
        </is>
      </c>
      <c r="AT121" s="24" t="inlineStr">
        <is>
          <t>Frosinone</t>
        </is>
      </c>
      <c r="AU121" s="24" t="inlineStr">
        <is>
          <t>Frosinone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c95ec2023134439ab985cb4cdcc58243749b9deb564fca7a2d587c15c9875427</t>
        </is>
      </c>
      <c r="BB121" s="24" t="inlineStr">
        <is>
          <t>poisson_dixon_coles</t>
        </is>
      </c>
      <c r="BC121" s="24" t="inlineStr">
        <is>
          <t>soccer-poisson-dc-v1</t>
        </is>
      </c>
      <c r="BD121" s="24" t="inlineStr">
        <is>
          <t>c95ec2023134439ab985cb4cdcc58243749b9deb564fca7a2d587c15c9875427</t>
        </is>
      </c>
      <c r="BE121" s="24" t="inlineStr">
        <is>
          <t>soccer-poisson-dc-v1</t>
        </is>
      </c>
      <c r="BF121" s="24" t="inlineStr">
        <is>
          <t>1</t>
        </is>
      </c>
      <c r="BG121" s="24" t="inlineStr">
        <is>
          <t>c95ec2023134439ab985cb4cdcc58243749b9deb564fca7a2d587c15c9875427</t>
        </is>
      </c>
      <c r="BH121" s="24" t="inlineStr">
        <is>
          <t>2026-08-09T17:05:47.155497Z</t>
        </is>
      </c>
      <c r="BI121" s="24" t="inlineStr">
        <is>
          <t>["same_event","same_team_same_day","same_league_same_day"]</t>
        </is>
      </c>
      <c r="BJ121" s="25" t="n"/>
      <c r="BK121" s="26" t="n">
        <v>113</v>
      </c>
      <c r="BL121" s="27" t="n">
        <v>2.13</v>
      </c>
      <c r="BM121" s="28" t="n">
        <v>0.469484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93cfc81fc4e94d70</t>
        </is>
      </c>
      <c r="B122" s="24" t="inlineStr">
        <is>
          <t>2026-08-09T20:27:41.663537Z</t>
        </is>
      </c>
      <c r="C122" s="24" t="inlineStr">
        <is>
          <t>2026-08-09T21:30Z</t>
        </is>
      </c>
      <c r="D122" s="24" t="inlineStr">
        <is>
          <t>401841179</t>
        </is>
      </c>
      <c r="E122" s="24" t="inlineStr">
        <is>
          <t>SOCCER</t>
        </is>
      </c>
      <c r="F122" s="24" t="inlineStr">
        <is>
          <t>Corinthians</t>
        </is>
      </c>
      <c r="G122" s="24" t="inlineStr">
        <is>
          <t>Red Bull Bragantino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133</v>
      </c>
      <c r="M122" s="27" t="n">
        <v>2.33</v>
      </c>
      <c r="N122" s="28" t="n">
        <v>0.429185</v>
      </c>
      <c r="O122" s="28" t="n">
        <v>0.456135</v>
      </c>
      <c r="P122" s="28" t="n">
        <v>0.2</v>
      </c>
      <c r="Q122" s="28" t="n">
        <v>0.02695</v>
      </c>
      <c r="R122" s="26" t="n">
        <v>0</v>
      </c>
      <c r="S122" s="29" t="n">
        <v>1</v>
      </c>
      <c r="T122" s="24" t="inlineStr">
        <is>
          <t>soccer-poisson-dc-v1</t>
        </is>
      </c>
      <c r="U122" s="24" t="inlineStr">
        <is>
          <t>settled</t>
        </is>
      </c>
      <c r="V122" s="24" t="inlineStr">
        <is>
          <t>loss</t>
        </is>
      </c>
      <c r="W122" s="26" t="n">
        <v>2</v>
      </c>
      <c r="X122" s="26" t="n">
        <v>0</v>
      </c>
      <c r="Y122" s="25" t="n"/>
      <c r="Z122" s="26" t="n"/>
      <c r="AA122" s="28" t="n"/>
      <c r="AB122" s="28" t="n"/>
      <c r="AC122" s="30" t="n">
        <v>-1</v>
      </c>
      <c r="AD122" s="24" t="inlineStr">
        <is>
          <t>2026-08-09T23:30:07.637002Z</t>
        </is>
      </c>
      <c r="AE122" s="31" t="inlineStr">
        <is>
          <t>Poisson-DC rates 1.64 (home) / 1.24 (away) from EWMA attack/defense strengths. Executable ask 0.4300 (atc-bra-bra-scp-2026-08-09-bra).</t>
        </is>
      </c>
      <c r="AF122" s="31" t="inlineStr">
        <is>
          <t>Research-only soccer score model; draw-aware, but not yet locked-holdout qualified.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NO_CALL_MODEL_UNVALIDATED</t>
        </is>
      </c>
      <c r="AP122" s="24" t="inlineStr">
        <is>
          <t>Corinthians</t>
        </is>
      </c>
      <c r="AQ122" s="24" t="inlineStr">
        <is>
          <t>Corinthians</t>
        </is>
      </c>
      <c r="AR122" s="24" t="inlineStr">
        <is>
          <t>Corinthians</t>
        </is>
      </c>
      <c r="AS122" s="24" t="inlineStr">
        <is>
          <t>Red Bull Bragantino</t>
        </is>
      </c>
      <c r="AT122" s="24" t="inlineStr">
        <is>
          <t>Red Bull Bragantino</t>
        </is>
      </c>
      <c r="AU122" s="24" t="inlineStr">
        <is>
          <t>Red Bull Bragantino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c95ec2023134439ab985cb4cdcc58243749b9deb564fca7a2d587c15c9875427</t>
        </is>
      </c>
      <c r="BB122" s="24" t="inlineStr">
        <is>
          <t>poisson_dixon_coles</t>
        </is>
      </c>
      <c r="BC122" s="24" t="inlineStr">
        <is>
          <t>soccer-poisson-dc-v1</t>
        </is>
      </c>
      <c r="BD122" s="24" t="inlineStr">
        <is>
          <t>c95ec2023134439ab985cb4cdcc58243749b9deb564fca7a2d587c15c9875427</t>
        </is>
      </c>
      <c r="BE122" s="24" t="inlineStr">
        <is>
          <t>soccer-poisson-dc-v1</t>
        </is>
      </c>
      <c r="BF122" s="24" t="inlineStr">
        <is>
          <t>1</t>
        </is>
      </c>
      <c r="BG122" s="24" t="inlineStr">
        <is>
          <t>c95ec2023134439ab985cb4cdcc58243749b9deb564fca7a2d587c15c9875427</t>
        </is>
      </c>
      <c r="BH122" s="24" t="inlineStr">
        <is>
          <t>2026-08-09T20:26:43.607886Z</t>
        </is>
      </c>
      <c r="BI122" s="24" t="inlineStr">
        <is>
          <t>["same_event","same_team_same_day","same_league_same_day"]</t>
        </is>
      </c>
      <c r="BJ122" s="25" t="n"/>
      <c r="BK122" s="26" t="n">
        <v>133</v>
      </c>
      <c r="BL122" s="27" t="n">
        <v>2.33</v>
      </c>
      <c r="BM122" s="28" t="n">
        <v>0.429185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9e180722f6194899</t>
        </is>
      </c>
      <c r="B123" s="24" t="inlineStr">
        <is>
          <t>2026-08-09T20:27:41.663537Z</t>
        </is>
      </c>
      <c r="C123" s="24" t="inlineStr">
        <is>
          <t>2026-08-09T21:00Z</t>
        </is>
      </c>
      <c r="D123" s="24" t="inlineStr">
        <is>
          <t>401860268</t>
        </is>
      </c>
      <c r="E123" s="24" t="inlineStr">
        <is>
          <t>SOCCER</t>
        </is>
      </c>
      <c r="F123" s="24" t="inlineStr">
        <is>
          <t>Fortaleza</t>
        </is>
      </c>
      <c r="G123" s="24" t="inlineStr">
        <is>
          <t>Cuiabá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203</v>
      </c>
      <c r="M123" s="27" t="n">
        <v>3.03</v>
      </c>
      <c r="N123" s="28" t="n">
        <v>0.330033</v>
      </c>
      <c r="O123" s="28" t="n">
        <v>0.456135</v>
      </c>
      <c r="P123" s="28" t="n">
        <v>0.2</v>
      </c>
      <c r="Q123" s="28" t="n">
        <v>0.126102</v>
      </c>
      <c r="R123" s="26" t="n">
        <v>0</v>
      </c>
      <c r="S123" s="29" t="n">
        <v>1</v>
      </c>
      <c r="T123" s="24" t="inlineStr">
        <is>
          <t>soccer-poisson-dc-v1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1</v>
      </c>
      <c r="Y123" s="25" t="n"/>
      <c r="Z123" s="26" t="n"/>
      <c r="AA123" s="28" t="n"/>
      <c r="AB123" s="28" t="n"/>
      <c r="AC123" s="30" t="n">
        <v>-1</v>
      </c>
      <c r="AD123" s="24" t="inlineStr">
        <is>
          <t>2026-08-09T23:30:08.480184Z</t>
        </is>
      </c>
      <c r="AE123" s="31" t="inlineStr">
        <is>
          <t>Poisson-DC rates 1.64 (home) / 1.24 (away) from EWMA attack/defense strengths. Executable ask 0.3300 (atc-brb-cui-fec-2026-08-09-cui).</t>
        </is>
      </c>
      <c r="AF123" s="31" t="inlineStr">
        <is>
          <t>Research-only soccer score model; draw-aware, but not yet locked-holdout qualified.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NO_CALL_MODEL_UNVALIDATED</t>
        </is>
      </c>
      <c r="AP123" s="24" t="inlineStr">
        <is>
          <t>Fortaleza</t>
        </is>
      </c>
      <c r="AQ123" s="24" t="inlineStr">
        <is>
          <t>Fortaleza</t>
        </is>
      </c>
      <c r="AR123" s="24" t="inlineStr">
        <is>
          <t>Fortaleza</t>
        </is>
      </c>
      <c r="AS123" s="24" t="inlineStr">
        <is>
          <t>Cuiabá</t>
        </is>
      </c>
      <c r="AT123" s="24" t="inlineStr">
        <is>
          <t>Cuiabá</t>
        </is>
      </c>
      <c r="AU123" s="24" t="inlineStr">
        <is>
          <t>Cuiabá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c95ec2023134439ab985cb4cdcc58243749b9deb564fca7a2d587c15c9875427</t>
        </is>
      </c>
      <c r="BB123" s="24" t="inlineStr">
        <is>
          <t>poisson_dixon_coles</t>
        </is>
      </c>
      <c r="BC123" s="24" t="inlineStr">
        <is>
          <t>soccer-poisson-dc-v1</t>
        </is>
      </c>
      <c r="BD123" s="24" t="inlineStr">
        <is>
          <t>c95ec2023134439ab985cb4cdcc58243749b9deb564fca7a2d587c15c9875427</t>
        </is>
      </c>
      <c r="BE123" s="24" t="inlineStr">
        <is>
          <t>soccer-poisson-dc-v1</t>
        </is>
      </c>
      <c r="BF123" s="24" t="inlineStr">
        <is>
          <t>1</t>
        </is>
      </c>
      <c r="BG123" s="24" t="inlineStr">
        <is>
          <t>c95ec2023134439ab985cb4cdcc58243749b9deb564fca7a2d587c15c9875427</t>
        </is>
      </c>
      <c r="BH123" s="24" t="inlineStr">
        <is>
          <t>2026-08-09T20:26:44.239332Z</t>
        </is>
      </c>
      <c r="BI123" s="24" t="inlineStr">
        <is>
          <t>["same_event","same_team_same_day","same_league_same_day"]</t>
        </is>
      </c>
      <c r="BJ123" s="25" t="n"/>
      <c r="BK123" s="26" t="n">
        <v>203</v>
      </c>
      <c r="BL123" s="27" t="n">
        <v>3.03</v>
      </c>
      <c r="BM123" s="28" t="n">
        <v>0.330033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2ccd48b1847f4c8b</t>
        </is>
      </c>
      <c r="B124" s="24" t="inlineStr">
        <is>
          <t>2026-08-09T20:27:41.663537Z</t>
        </is>
      </c>
      <c r="C124" s="24" t="inlineStr">
        <is>
          <t>2026-08-09T20:45Z</t>
        </is>
      </c>
      <c r="D124" s="24" t="inlineStr">
        <is>
          <t>401841481</t>
        </is>
      </c>
      <c r="E124" s="24" t="inlineStr">
        <is>
          <t>SOCCER</t>
        </is>
      </c>
      <c r="F124" s="24" t="inlineStr">
        <is>
          <t>Newell's Old Boys</t>
        </is>
      </c>
      <c r="G124" s="24" t="inlineStr">
        <is>
          <t>Defensa y Justicia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104</v>
      </c>
      <c r="M124" s="27" t="n">
        <v>2.04</v>
      </c>
      <c r="N124" s="28" t="n">
        <v>0.490196</v>
      </c>
      <c r="O124" s="28" t="n">
        <v>0.456135</v>
      </c>
      <c r="P124" s="28" t="n">
        <v>0.2</v>
      </c>
      <c r="Q124" s="28" t="n">
        <v>-0.034061</v>
      </c>
      <c r="R124" s="26" t="n">
        <v>0</v>
      </c>
      <c r="S124" s="29" t="n">
        <v>1</v>
      </c>
      <c r="T124" s="24" t="inlineStr">
        <is>
          <t>soccer-poisson-dc-v1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2</v>
      </c>
      <c r="Y124" s="25" t="n"/>
      <c r="Z124" s="26" t="n"/>
      <c r="AA124" s="28" t="n"/>
      <c r="AB124" s="28" t="n"/>
      <c r="AC124" s="30" t="n">
        <v>1.04</v>
      </c>
      <c r="AD124" s="24" t="inlineStr">
        <is>
          <t>2026-08-09T23:30:09.272826Z</t>
        </is>
      </c>
      <c r="AE124" s="31" t="inlineStr">
        <is>
          <t>Poisson-DC rates 1.64 (home) / 1.24 (away) from EWMA attack/defense strengths. Executable ask 0.4900 (atc-lpa-def-new-2026-08-09-def).</t>
        </is>
      </c>
      <c r="AF124" s="31" t="inlineStr">
        <is>
          <t>Research-only soccer score model; draw-aware, but not yet locked-holdout qualified.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Newell's Old Boys</t>
        </is>
      </c>
      <c r="AQ124" s="24" t="inlineStr">
        <is>
          <t>Newell's Old Boys</t>
        </is>
      </c>
      <c r="AR124" s="24" t="inlineStr">
        <is>
          <t>Newell's Old Boys</t>
        </is>
      </c>
      <c r="AS124" s="24" t="inlineStr">
        <is>
          <t>Defensa y Justicia</t>
        </is>
      </c>
      <c r="AT124" s="24" t="inlineStr">
        <is>
          <t>Defensa y Justicia</t>
        </is>
      </c>
      <c r="AU124" s="24" t="inlineStr">
        <is>
          <t>Defensa y Justicia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c95ec2023134439ab985cb4cdcc58243749b9deb564fca7a2d587c15c9875427</t>
        </is>
      </c>
      <c r="BB124" s="24" t="inlineStr">
        <is>
          <t>poisson_dixon_coles</t>
        </is>
      </c>
      <c r="BC124" s="24" t="inlineStr">
        <is>
          <t>soccer-poisson-dc-v1</t>
        </is>
      </c>
      <c r="BD124" s="24" t="inlineStr">
        <is>
          <t>c95ec2023134439ab985cb4cdcc58243749b9deb564fca7a2d587c15c9875427</t>
        </is>
      </c>
      <c r="BE124" s="24" t="inlineStr">
        <is>
          <t>soccer-poisson-dc-v1</t>
        </is>
      </c>
      <c r="BF124" s="24" t="inlineStr">
        <is>
          <t>1</t>
        </is>
      </c>
      <c r="BG124" s="24" t="inlineStr">
        <is>
          <t>c95ec2023134439ab985cb4cdcc58243749b9deb564fca7a2d587c15c9875427</t>
        </is>
      </c>
      <c r="BH124" s="24" t="inlineStr">
        <is>
          <t>2026-08-09T20:26:44.427542Z</t>
        </is>
      </c>
      <c r="BI124" s="24" t="inlineStr">
        <is>
          <t>["same_event","same_team_same_day","same_league_same_day"]</t>
        </is>
      </c>
      <c r="BJ124" s="25" t="n"/>
      <c r="BK124" s="26" t="n">
        <v>104</v>
      </c>
      <c r="BL124" s="27" t="n">
        <v>2.04</v>
      </c>
      <c r="BM124" s="28" t="n">
        <v>0.490196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12db96f44c404db8</t>
        </is>
      </c>
      <c r="B125" s="24" t="inlineStr">
        <is>
          <t>2026-08-09T20:27:41.663537Z</t>
        </is>
      </c>
      <c r="C125" s="24" t="inlineStr">
        <is>
          <t>2026-08-09T20:45Z</t>
        </is>
      </c>
      <c r="D125" s="24" t="inlineStr">
        <is>
          <t>401841479</t>
        </is>
      </c>
      <c r="E125" s="24" t="inlineStr">
        <is>
          <t>SOCCER</t>
        </is>
      </c>
      <c r="F125" s="24" t="inlineStr">
        <is>
          <t>Barracas Central</t>
        </is>
      </c>
      <c r="G125" s="24" t="inlineStr">
        <is>
          <t>Gimnasia La Plata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-108</v>
      </c>
      <c r="M125" s="27" t="n">
        <v>1.925926</v>
      </c>
      <c r="N125" s="28" t="n">
        <v>0.519231</v>
      </c>
      <c r="O125" s="28" t="n">
        <v>0.5359159999999999</v>
      </c>
      <c r="P125" s="28" t="n">
        <v>0.2</v>
      </c>
      <c r="Q125" s="28" t="n">
        <v>0.016685</v>
      </c>
      <c r="R125" s="26" t="n">
        <v>0</v>
      </c>
      <c r="S125" s="29" t="n">
        <v>1</v>
      </c>
      <c r="T125" s="24" t="inlineStr">
        <is>
          <t>soccer-poisson-dc-v1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2</v>
      </c>
      <c r="Y125" s="25" t="n"/>
      <c r="Z125" s="26" t="n"/>
      <c r="AA125" s="28" t="n"/>
      <c r="AB125" s="28" t="n"/>
      <c r="AC125" s="30" t="n">
        <v>0.9258999999999999</v>
      </c>
      <c r="AD125" s="24" t="inlineStr">
        <is>
          <t>2026-08-09T23:30:10.083077Z</t>
        </is>
      </c>
      <c r="AE125" s="31" t="inlineStr">
        <is>
          <t>Poisson-DC rates 1.84 (home) / 1.10 (away) from EWMA attack/defense strengths. Executable ask 0.5200 (atc-lpa-gim-bar-2026-08-09-gim).</t>
        </is>
      </c>
      <c r="AF125" s="31" t="inlineStr">
        <is>
          <t>Research-only soccer score model; draw-aware, but not yet locked-holdout qualified.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Barracas Central</t>
        </is>
      </c>
      <c r="AQ125" s="24" t="inlineStr">
        <is>
          <t>Barracas Central</t>
        </is>
      </c>
      <c r="AR125" s="24" t="inlineStr">
        <is>
          <t>Barracas Central</t>
        </is>
      </c>
      <c r="AS125" s="24" t="inlineStr">
        <is>
          <t>Gimnasia La Plata</t>
        </is>
      </c>
      <c r="AT125" s="24" t="inlineStr">
        <is>
          <t>Gimnasia La Plata</t>
        </is>
      </c>
      <c r="AU125" s="24" t="inlineStr">
        <is>
          <t>Gimnasia La Plata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c95ec2023134439ab985cb4cdcc58243749b9deb564fca7a2d587c15c9875427</t>
        </is>
      </c>
      <c r="BB125" s="24" t="inlineStr">
        <is>
          <t>poisson_dixon_coles</t>
        </is>
      </c>
      <c r="BC125" s="24" t="inlineStr">
        <is>
          <t>soccer-poisson-dc-v1</t>
        </is>
      </c>
      <c r="BD125" s="24" t="inlineStr">
        <is>
          <t>c95ec2023134439ab985cb4cdcc58243749b9deb564fca7a2d587c15c9875427</t>
        </is>
      </c>
      <c r="BE125" s="24" t="inlineStr">
        <is>
          <t>soccer-poisson-dc-v1</t>
        </is>
      </c>
      <c r="BF125" s="24" t="inlineStr">
        <is>
          <t>1</t>
        </is>
      </c>
      <c r="BG125" s="24" t="inlineStr">
        <is>
          <t>c95ec2023134439ab985cb4cdcc58243749b9deb564fca7a2d587c15c9875427</t>
        </is>
      </c>
      <c r="BH125" s="24" t="inlineStr">
        <is>
          <t>2026-08-09T20:26:44.412176Z</t>
        </is>
      </c>
      <c r="BI125" s="24" t="inlineStr">
        <is>
          <t>["same_event","same_team_same_day","same_league_same_day"]</t>
        </is>
      </c>
      <c r="BJ125" s="25" t="n"/>
      <c r="BK125" s="26" t="n">
        <v>-108</v>
      </c>
      <c r="BL125" s="27" t="n">
        <v>1.925926</v>
      </c>
      <c r="BM125" s="28" t="n">
        <v>0.519231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2ca2c4e7a56c42f6</t>
        </is>
      </c>
      <c r="B126" s="24" t="inlineStr">
        <is>
          <t>2026-08-09T20:27:41.663537Z</t>
        </is>
      </c>
      <c r="C126" s="24" t="inlineStr">
        <is>
          <t>2026-08-09T23:15Z</t>
        </is>
      </c>
      <c r="D126" s="24" t="inlineStr">
        <is>
          <t>401841485</t>
        </is>
      </c>
      <c r="E126" s="24" t="inlineStr">
        <is>
          <t>SOCCER</t>
        </is>
      </c>
      <c r="F126" s="24" t="inlineStr">
        <is>
          <t>Racing Club</t>
        </is>
      </c>
      <c r="G126" s="24" t="inlineStr">
        <is>
          <t>Argentinos Juniors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0.430486</v>
      </c>
      <c r="P126" s="28" t="n">
        <v>0.2</v>
      </c>
      <c r="Q126" s="28" t="n">
        <v>-0.019964</v>
      </c>
      <c r="R126" s="26" t="n">
        <v>0</v>
      </c>
      <c r="S126" s="29" t="n">
        <v>1</v>
      </c>
      <c r="T126" s="24" t="inlineStr">
        <is>
          <t>soccer-poisson-dc-v1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2</v>
      </c>
      <c r="Y126" s="25" t="n"/>
      <c r="Z126" s="26" t="n"/>
      <c r="AA126" s="28" t="n"/>
      <c r="AB126" s="28" t="n"/>
      <c r="AC126" s="30" t="n">
        <v>1.22</v>
      </c>
      <c r="AD126" s="24" t="inlineStr">
        <is>
          <t>2026-08-10T02:34:12.586148Z</t>
        </is>
      </c>
      <c r="AE126" s="31" t="inlineStr">
        <is>
          <t>Poisson-DC rates 1.59 (home) / 1.30 (away) from EWMA attack/defense strengths. Executable ask 0.4500 (atc-lpa-aaj-rac-2026-08-09-aaj).</t>
        </is>
      </c>
      <c r="AF126" s="31" t="inlineStr">
        <is>
          <t>Research-only soccer score model; draw-aware, but not yet locked-holdout qualified.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Racing Club</t>
        </is>
      </c>
      <c r="AQ126" s="24" t="inlineStr">
        <is>
          <t>Racing Club</t>
        </is>
      </c>
      <c r="AR126" s="24" t="inlineStr">
        <is>
          <t>Racing Club</t>
        </is>
      </c>
      <c r="AS126" s="24" t="inlineStr">
        <is>
          <t>Argentinos Juniors</t>
        </is>
      </c>
      <c r="AT126" s="24" t="inlineStr">
        <is>
          <t>Argentinos Juniors</t>
        </is>
      </c>
      <c r="AU126" s="24" t="inlineStr">
        <is>
          <t>Argentinos Juniors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c95ec2023134439ab985cb4cdcc58243749b9deb564fca7a2d587c15c9875427</t>
        </is>
      </c>
      <c r="BB126" s="24" t="inlineStr">
        <is>
          <t>poisson_dixon_coles</t>
        </is>
      </c>
      <c r="BC126" s="24" t="inlineStr">
        <is>
          <t>soccer-poisson-dc-v1</t>
        </is>
      </c>
      <c r="BD126" s="24" t="inlineStr">
        <is>
          <t>c95ec2023134439ab985cb4cdcc58243749b9deb564fca7a2d587c15c9875427</t>
        </is>
      </c>
      <c r="BE126" s="24" t="inlineStr">
        <is>
          <t>soccer-poisson-dc-v1</t>
        </is>
      </c>
      <c r="BF126" s="24" t="inlineStr">
        <is>
          <t>1</t>
        </is>
      </c>
      <c r="BG126" s="24" t="inlineStr">
        <is>
          <t>c95ec2023134439ab985cb4cdcc58243749b9deb564fca7a2d587c15c9875427</t>
        </is>
      </c>
      <c r="BH126" s="24" t="inlineStr">
        <is>
          <t>2026-08-09T20:26:44.651790Z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</row>
    <row r="127" ht="36" customHeight="1">
      <c r="A127" s="24" t="inlineStr">
        <is>
          <t>3a175074334f4562</t>
        </is>
      </c>
      <c r="B127" s="24" t="inlineStr">
        <is>
          <t>2026-08-09T20:27:41.663537Z</t>
        </is>
      </c>
      <c r="C127" s="24" t="inlineStr">
        <is>
          <t>2026-08-09T20:30Z</t>
        </is>
      </c>
      <c r="D127" s="24" t="inlineStr">
        <is>
          <t>401844030</t>
        </is>
      </c>
      <c r="E127" s="24" t="inlineStr">
        <is>
          <t>SOCCER</t>
        </is>
      </c>
      <c r="F127" s="24" t="inlineStr">
        <is>
          <t>Nueva Chicago</t>
        </is>
      </c>
      <c r="G127" s="24" t="inlineStr">
        <is>
          <t>Gimnasia y Tiro (Salta)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-127</v>
      </c>
      <c r="M127" s="27" t="n">
        <v>1.787402</v>
      </c>
      <c r="N127" s="28" t="n">
        <v>0.5594710000000001</v>
      </c>
      <c r="O127" s="28" t="n">
        <v>0.440521</v>
      </c>
      <c r="P127" s="28" t="n">
        <v>0.2</v>
      </c>
      <c r="Q127" s="28" t="n">
        <v>-0.11895</v>
      </c>
      <c r="R127" s="26" t="n">
        <v>0</v>
      </c>
      <c r="S127" s="29" t="n">
        <v>1</v>
      </c>
      <c r="T127" s="24" t="inlineStr">
        <is>
          <t>soccer-poisson-dc-v1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2</v>
      </c>
      <c r="Y127" s="25" t="n"/>
      <c r="Z127" s="26" t="n"/>
      <c r="AA127" s="28" t="n"/>
      <c r="AB127" s="28" t="n"/>
      <c r="AC127" s="30" t="n">
        <v>0.7874</v>
      </c>
      <c r="AD127" s="24" t="inlineStr">
        <is>
          <t>2026-08-10T02:34:13.361726Z</t>
        </is>
      </c>
      <c r="AE127" s="31" t="inlineStr">
        <is>
          <t>Poisson-DC rates 1.46 (home) / 1.10 (away) from EWMA attack/defense strengths. Executable ask 0.5600 (atc-arg2-gyt-chi-2026-08-08-gyt).</t>
        </is>
      </c>
      <c r="AF127" s="31" t="inlineStr">
        <is>
          <t>Research-only soccer score model; draw-aware, but not yet locked-holdout qualified.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Nueva Chicago</t>
        </is>
      </c>
      <c r="AQ127" s="24" t="inlineStr">
        <is>
          <t>Nueva Chicago</t>
        </is>
      </c>
      <c r="AR127" s="24" t="inlineStr">
        <is>
          <t>Nueva Chicago</t>
        </is>
      </c>
      <c r="AS127" s="24" t="inlineStr">
        <is>
          <t>Gimnasia y Tiro (Salta)</t>
        </is>
      </c>
      <c r="AT127" s="24" t="inlineStr">
        <is>
          <t>Gimnasia y Tiro (Salta)</t>
        </is>
      </c>
      <c r="AU127" s="24" t="inlineStr">
        <is>
          <t>Gimnasia y Tiro (Salta)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c95ec2023134439ab985cb4cdcc58243749b9deb564fca7a2d587c15c9875427</t>
        </is>
      </c>
      <c r="BB127" s="24" t="inlineStr">
        <is>
          <t>poisson_dixon_coles</t>
        </is>
      </c>
      <c r="BC127" s="24" t="inlineStr">
        <is>
          <t>soccer-poisson-dc-v1</t>
        </is>
      </c>
      <c r="BD127" s="24" t="inlineStr">
        <is>
          <t>c95ec2023134439ab985cb4cdcc58243749b9deb564fca7a2d587c15c9875427</t>
        </is>
      </c>
      <c r="BE127" s="24" t="inlineStr">
        <is>
          <t>soccer-poisson-dc-v1</t>
        </is>
      </c>
      <c r="BF127" s="24" t="inlineStr">
        <is>
          <t>1</t>
        </is>
      </c>
      <c r="BG127" s="24" t="inlineStr">
        <is>
          <t>c95ec2023134439ab985cb4cdcc58243749b9deb564fca7a2d587c15c9875427</t>
        </is>
      </c>
      <c r="BH127" s="24" t="inlineStr">
        <is>
          <t>2026-08-09T20:26:45.204260Z</t>
        </is>
      </c>
      <c r="BI127" s="24" t="inlineStr">
        <is>
          <t>["same_event","same_team_same_day","same_league_same_day"]</t>
        </is>
      </c>
      <c r="BJ127" s="25" t="n"/>
      <c r="BK127" s="26" t="n">
        <v>-127</v>
      </c>
      <c r="BL127" s="27" t="n">
        <v>1.787402</v>
      </c>
      <c r="BM127" s="28" t="n">
        <v>0.5594710000000001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</row>
    <row r="128" ht="36" customHeight="1">
      <c r="A128" s="24" t="inlineStr">
        <is>
          <t>b8243052705d4baa</t>
        </is>
      </c>
      <c r="B128" s="24" t="inlineStr">
        <is>
          <t>2026-08-09T20:27:41.663537Z</t>
        </is>
      </c>
      <c r="C128" s="24" t="inlineStr">
        <is>
          <t>2026-08-09T21:30Z</t>
        </is>
      </c>
      <c r="D128" s="24" t="inlineStr">
        <is>
          <t>401905176</t>
        </is>
      </c>
      <c r="E128" s="24" t="inlineStr">
        <is>
          <t>SOCCER</t>
        </is>
      </c>
      <c r="F128" s="24" t="inlineStr">
        <is>
          <t>Boston River</t>
        </is>
      </c>
      <c r="G128" s="24" t="inlineStr">
        <is>
          <t>Nacional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0.5359159999999999</v>
      </c>
      <c r="P128" s="28" t="n">
        <v>0.2</v>
      </c>
      <c r="Q128" s="28" t="n">
        <v>-0.114434</v>
      </c>
      <c r="R128" s="26" t="n">
        <v>0</v>
      </c>
      <c r="S128" s="29" t="n">
        <v>1</v>
      </c>
      <c r="T128" s="24" t="inlineStr">
        <is>
          <t>soccer-poisson-dc-v1</t>
        </is>
      </c>
      <c r="U128" s="24" t="inlineStr">
        <is>
          <t>settled</t>
        </is>
      </c>
      <c r="V128" s="24" t="inlineStr">
        <is>
          <t>loss</t>
        </is>
      </c>
      <c r="W128" s="26" t="n">
        <v>2</v>
      </c>
      <c r="X128" s="26" t="n">
        <v>1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2026-08-09T23:30:10.879404Z</t>
        </is>
      </c>
      <c r="AE128" s="31" t="inlineStr">
        <is>
          <t>Poisson-DC rates 1.84 (home) / 1.10 (away) from EWMA attack/defense strengths. Executable ask 0.6500 (atc-uru1-nac-bri-2026-08-09-nac).</t>
        </is>
      </c>
      <c r="AF128" s="31" t="inlineStr">
        <is>
          <t>Research-only soccer score model; draw-aware, but not yet locked-holdout qualified.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Boston River</t>
        </is>
      </c>
      <c r="AQ128" s="24" t="inlineStr">
        <is>
          <t>Boston River</t>
        </is>
      </c>
      <c r="AR128" s="24" t="inlineStr">
        <is>
          <t>Boston River</t>
        </is>
      </c>
      <c r="AS128" s="24" t="inlineStr">
        <is>
          <t>Nacional</t>
        </is>
      </c>
      <c r="AT128" s="24" t="inlineStr">
        <is>
          <t>Nacional</t>
        </is>
      </c>
      <c r="AU128" s="24" t="inlineStr">
        <is>
          <t>Nacional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c95ec2023134439ab985cb4cdcc58243749b9deb564fca7a2d587c15c9875427</t>
        </is>
      </c>
      <c r="BB128" s="24" t="inlineStr">
        <is>
          <t>poisson_dixon_coles</t>
        </is>
      </c>
      <c r="BC128" s="24" t="inlineStr">
        <is>
          <t>soccer-poisson-dc-v1</t>
        </is>
      </c>
      <c r="BD128" s="24" t="inlineStr">
        <is>
          <t>c95ec2023134439ab985cb4cdcc58243749b9deb564fca7a2d587c15c9875427</t>
        </is>
      </c>
      <c r="BE128" s="24" t="inlineStr">
        <is>
          <t>soccer-poisson-dc-v1</t>
        </is>
      </c>
      <c r="BF128" s="24" t="inlineStr">
        <is>
          <t>1</t>
        </is>
      </c>
      <c r="BG128" s="24" t="inlineStr">
        <is>
          <t>c95ec2023134439ab985cb4cdcc58243749b9deb564fca7a2d587c15c9875427</t>
        </is>
      </c>
      <c r="BH128" s="24" t="inlineStr">
        <is>
          <t>2026-08-09T20:26:46.029236Z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b33982c52540465a</t>
        </is>
      </c>
      <c r="B129" s="24" t="inlineStr">
        <is>
          <t>2026-08-09T20:27:41.663537Z</t>
        </is>
      </c>
      <c r="C129" s="24" t="inlineStr">
        <is>
          <t>2026-08-09T20:30Z</t>
        </is>
      </c>
      <c r="D129" s="24" t="inlineStr">
        <is>
          <t>401886114</t>
        </is>
      </c>
      <c r="E129" s="24" t="inlineStr">
        <is>
          <t>SOCCER</t>
        </is>
      </c>
      <c r="F129" s="24" t="inlineStr">
        <is>
          <t>FC Cajamarca</t>
        </is>
      </c>
      <c r="G129" s="24" t="inlineStr">
        <is>
          <t>Melgar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-376</v>
      </c>
      <c r="M129" s="27" t="n">
        <v>1.265957</v>
      </c>
      <c r="N129" s="28" t="n">
        <v>0.789916</v>
      </c>
      <c r="O129" s="28" t="n">
        <v>0.456135</v>
      </c>
      <c r="P129" s="28" t="n">
        <v>0.2</v>
      </c>
      <c r="Q129" s="28" t="n">
        <v>-0.333781</v>
      </c>
      <c r="R129" s="26" t="n">
        <v>0</v>
      </c>
      <c r="S129" s="29" t="n">
        <v>1</v>
      </c>
      <c r="T129" s="24" t="inlineStr">
        <is>
          <t>soccer-poisson-dc-v1</t>
        </is>
      </c>
      <c r="U129" s="24" t="inlineStr">
        <is>
          <t>settled</t>
        </is>
      </c>
      <c r="V129" s="24" t="inlineStr">
        <is>
          <t>loss</t>
        </is>
      </c>
      <c r="W129" s="26" t="n">
        <v>4</v>
      </c>
      <c r="X129" s="26" t="n">
        <v>2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2026-08-09T23:30:11.724544Z</t>
        </is>
      </c>
      <c r="AE129" s="31" t="inlineStr">
        <is>
          <t>Poisson-DC rates 1.64 (home) / 1.24 (away) from EWMA attack/defense strengths. Executable ask 0.7900 (atc-pl1-mel-caj-2026-08-09-mel).</t>
        </is>
      </c>
      <c r="AF129" s="31" t="inlineStr">
        <is>
          <t>Research-only soccer score model; draw-aware, but not yet locked-holdout qualified.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FC Cajamarca</t>
        </is>
      </c>
      <c r="AQ129" s="24" t="inlineStr">
        <is>
          <t>FC Cajamarca</t>
        </is>
      </c>
      <c r="AR129" s="24" t="inlineStr">
        <is>
          <t>FC Cajamarca</t>
        </is>
      </c>
      <c r="AS129" s="24" t="inlineStr">
        <is>
          <t>Melgar</t>
        </is>
      </c>
      <c r="AT129" s="24" t="inlineStr">
        <is>
          <t>Melgar</t>
        </is>
      </c>
      <c r="AU129" s="24" t="inlineStr">
        <is>
          <t>Melgar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c95ec2023134439ab985cb4cdcc58243749b9deb564fca7a2d587c15c9875427</t>
        </is>
      </c>
      <c r="BB129" s="24" t="inlineStr">
        <is>
          <t>poisson_dixon_coles</t>
        </is>
      </c>
      <c r="BC129" s="24" t="inlineStr">
        <is>
          <t>soccer-poisson-dc-v1</t>
        </is>
      </c>
      <c r="BD129" s="24" t="inlineStr">
        <is>
          <t>c95ec2023134439ab985cb4cdcc58243749b9deb564fca7a2d587c15c9875427</t>
        </is>
      </c>
      <c r="BE129" s="24" t="inlineStr">
        <is>
          <t>soccer-poisson-dc-v1</t>
        </is>
      </c>
      <c r="BF129" s="24" t="inlineStr">
        <is>
          <t>1</t>
        </is>
      </c>
      <c r="BG129" s="24" t="inlineStr">
        <is>
          <t>c95ec2023134439ab985cb4cdcc58243749b9deb564fca7a2d587c15c9875427</t>
        </is>
      </c>
      <c r="BH129" s="24" t="inlineStr">
        <is>
          <t>2026-08-09T20:26:46.345403Z</t>
        </is>
      </c>
      <c r="BI129" s="24" t="inlineStr">
        <is>
          <t>["same_event","same_team_same_day","same_league_same_day"]</t>
        </is>
      </c>
      <c r="BJ129" s="25" t="n"/>
      <c r="BK129" s="26" t="n">
        <v>-376</v>
      </c>
      <c r="BL129" s="27" t="n">
        <v>1.265957</v>
      </c>
      <c r="BM129" s="28" t="n">
        <v>0.789916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</row>
    <row r="130" ht="36" customHeight="1">
      <c r="A130" s="24" t="inlineStr">
        <is>
          <t>fa70dae0e6ff42dd</t>
        </is>
      </c>
      <c r="B130" s="24" t="inlineStr">
        <is>
          <t>2026-08-09T23:32:22.221451Z</t>
        </is>
      </c>
      <c r="C130" s="24" t="inlineStr">
        <is>
          <t>2026-08-10T00:00Z</t>
        </is>
      </c>
      <c r="D130" s="24" t="inlineStr">
        <is>
          <t>401850613</t>
        </is>
      </c>
      <c r="E130" s="24" t="inlineStr">
        <is>
          <t>SOCCER</t>
        </is>
      </c>
      <c r="F130" s="24" t="inlineStr">
        <is>
          <t>Palestino</t>
        </is>
      </c>
      <c r="G130" s="24" t="inlineStr">
        <is>
          <t>Universidad de Chile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-150</v>
      </c>
      <c r="M130" s="27" t="n">
        <v>1.666667</v>
      </c>
      <c r="N130" s="28" t="n">
        <v>0.6</v>
      </c>
      <c r="O130" s="28" t="n">
        <v>0.394509</v>
      </c>
      <c r="P130" s="28" t="n">
        <v>0.19</v>
      </c>
      <c r="Q130" s="28" t="n">
        <v>-0.205491</v>
      </c>
      <c r="R130" s="26" t="n">
        <v>0</v>
      </c>
      <c r="S130" s="29" t="n">
        <v>1</v>
      </c>
      <c r="T130" s="24" t="inlineStr">
        <is>
          <t>soccer-poisson-dc-v1</t>
        </is>
      </c>
      <c r="U130" s="24" t="inlineStr">
        <is>
          <t>settled</t>
        </is>
      </c>
      <c r="V130" s="24" t="inlineStr">
        <is>
          <t>win</t>
        </is>
      </c>
      <c r="W130" s="26" t="n">
        <v>1</v>
      </c>
      <c r="X130" s="26" t="n">
        <v>2</v>
      </c>
      <c r="Y130" s="25" t="n"/>
      <c r="Z130" s="26" t="n"/>
      <c r="AA130" s="28" t="n"/>
      <c r="AB130" s="28" t="n"/>
      <c r="AC130" s="30" t="n">
        <v>0.6667</v>
      </c>
      <c r="AD130" s="24" t="inlineStr">
        <is>
          <t>2026-08-10T02:34:17.311144Z</t>
        </is>
      </c>
      <c r="AE130" s="31" t="inlineStr">
        <is>
          <t>Poisson-DC rates 1.41 (home) / 1.25 (away) from EWMA attack/defense strengths. Executable ask 0.6000 (atc-pdc-unc-pal-2026-08-09-unc).</t>
        </is>
      </c>
      <c r="AF130" s="31" t="inlineStr">
        <is>
          <t>Research-only soccer score model; draw-aware, but not yet locked-holdout qualified.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Palestino</t>
        </is>
      </c>
      <c r="AQ130" s="24" t="inlineStr">
        <is>
          <t>Palestino</t>
        </is>
      </c>
      <c r="AR130" s="24" t="inlineStr">
        <is>
          <t>Palestino</t>
        </is>
      </c>
      <c r="AS130" s="24" t="inlineStr">
        <is>
          <t>Universidad de Chile</t>
        </is>
      </c>
      <c r="AT130" s="24" t="inlineStr">
        <is>
          <t>Universidad de Chile</t>
        </is>
      </c>
      <c r="AU130" s="24" t="inlineStr">
        <is>
          <t>Universidad de Chile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c95ec2023134439ab985cb4cdcc58243749b9deb564fca7a2d587c15c9875427</t>
        </is>
      </c>
      <c r="BB130" s="24" t="inlineStr">
        <is>
          <t>poisson_dixon_coles</t>
        </is>
      </c>
      <c r="BC130" s="24" t="inlineStr">
        <is>
          <t>soccer-poisson-dc-v1</t>
        </is>
      </c>
      <c r="BD130" s="24" t="inlineStr">
        <is>
          <t>c95ec2023134439ab985cb4cdcc58243749b9deb564fca7a2d587c15c9875427</t>
        </is>
      </c>
      <c r="BE130" s="24" t="inlineStr">
        <is>
          <t>soccer-poisson-dc-v1</t>
        </is>
      </c>
      <c r="BF130" s="24" t="inlineStr">
        <is>
          <t>1</t>
        </is>
      </c>
      <c r="BG130" s="24" t="inlineStr">
        <is>
          <t>c95ec2023134439ab985cb4cdcc58243749b9deb564fca7a2d587c15c9875427</t>
        </is>
      </c>
      <c r="BH130" s="24" t="inlineStr">
        <is>
          <t>2026-08-09T23:31:34.043692Z</t>
        </is>
      </c>
      <c r="BI130" s="24" t="inlineStr">
        <is>
          <t>["same_event","same_team_same_day","same_league_same_day"]</t>
        </is>
      </c>
      <c r="BJ130" s="25" t="n"/>
      <c r="BK130" s="26" t="n">
        <v>-150</v>
      </c>
      <c r="BL130" s="27" t="n">
        <v>1.666667</v>
      </c>
      <c r="BM130" s="28" t="n">
        <v>0.6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</row>
    <row r="131" ht="36" customHeight="1">
      <c r="A131" s="24" t="inlineStr">
        <is>
          <t>26595c7ac6b5414f</t>
        </is>
      </c>
      <c r="B131" s="24" t="inlineStr">
        <is>
          <t>2026-08-09T23:32:22.221451Z</t>
        </is>
      </c>
      <c r="C131" s="24" t="inlineStr">
        <is>
          <t>2026-08-10T00:00Z</t>
        </is>
      </c>
      <c r="D131" s="24" t="inlineStr">
        <is>
          <t>401859649</t>
        </is>
      </c>
      <c r="E131" s="24" t="inlineStr">
        <is>
          <t>SOCCER</t>
        </is>
      </c>
      <c r="F131" s="24" t="inlineStr">
        <is>
          <t>Emelec</t>
        </is>
      </c>
      <c r="G131" s="24" t="inlineStr">
        <is>
          <t>Guayaquil City FC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203</v>
      </c>
      <c r="M131" s="27" t="n">
        <v>3.03</v>
      </c>
      <c r="N131" s="28" t="n">
        <v>0.330033</v>
      </c>
      <c r="O131" s="28" t="n">
        <v>0.456135</v>
      </c>
      <c r="P131" s="28" t="n">
        <v>0.2</v>
      </c>
      <c r="Q131" s="28" t="n">
        <v>0.126102</v>
      </c>
      <c r="R131" s="26" t="n">
        <v>0</v>
      </c>
      <c r="S131" s="29" t="n">
        <v>1</v>
      </c>
      <c r="T131" s="24" t="inlineStr">
        <is>
          <t>soccer-poisson-dc-v1</t>
        </is>
      </c>
      <c r="U131" s="24" t="inlineStr">
        <is>
          <t>settled</t>
        </is>
      </c>
      <c r="V131" s="24" t="inlineStr">
        <is>
          <t>loss</t>
        </is>
      </c>
      <c r="W131" s="26" t="n">
        <v>0</v>
      </c>
      <c r="X131" s="26" t="n">
        <v>0</v>
      </c>
      <c r="Y131" s="25" t="n"/>
      <c r="Z131" s="26" t="n"/>
      <c r="AA131" s="28" t="n"/>
      <c r="AB131" s="28" t="n"/>
      <c r="AC131" s="30" t="n">
        <v>-1</v>
      </c>
      <c r="AD131" s="24" t="inlineStr">
        <is>
          <t>2026-08-10T02:34:18.686986Z</t>
        </is>
      </c>
      <c r="AE131" s="31" t="inlineStr">
        <is>
          <t>Poisson-DC rates 1.64 (home) / 1.24 (away) from EWMA attack/defense strengths. Executable ask 0.3300 (atc-ecu1-gua-cse-2026-08-09-gua).</t>
        </is>
      </c>
      <c r="AF131" s="31" t="inlineStr">
        <is>
          <t>Research-only soccer score model; draw-aware, but not yet locked-holdout qualified.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Emelec</t>
        </is>
      </c>
      <c r="AQ131" s="24" t="inlineStr">
        <is>
          <t>Emelec</t>
        </is>
      </c>
      <c r="AR131" s="24" t="inlineStr">
        <is>
          <t>Emelec</t>
        </is>
      </c>
      <c r="AS131" s="24" t="inlineStr">
        <is>
          <t>Guayaquil City FC</t>
        </is>
      </c>
      <c r="AT131" s="24" t="inlineStr">
        <is>
          <t>Guayaquil City FC</t>
        </is>
      </c>
      <c r="AU131" s="24" t="inlineStr">
        <is>
          <t>Guayaquil City FC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c95ec2023134439ab985cb4cdcc58243749b9deb564fca7a2d587c15c9875427</t>
        </is>
      </c>
      <c r="BB131" s="24" t="inlineStr">
        <is>
          <t>poisson_dixon_coles</t>
        </is>
      </c>
      <c r="BC131" s="24" t="inlineStr">
        <is>
          <t>soccer-poisson-dc-v1</t>
        </is>
      </c>
      <c r="BD131" s="24" t="inlineStr">
        <is>
          <t>c95ec2023134439ab985cb4cdcc58243749b9deb564fca7a2d587c15c9875427</t>
        </is>
      </c>
      <c r="BE131" s="24" t="inlineStr">
        <is>
          <t>soccer-poisson-dc-v1</t>
        </is>
      </c>
      <c r="BF131" s="24" t="inlineStr">
        <is>
          <t>1</t>
        </is>
      </c>
      <c r="BG131" s="24" t="inlineStr">
        <is>
          <t>c95ec2023134439ab985cb4cdcc58243749b9deb564fca7a2d587c15c9875427</t>
        </is>
      </c>
      <c r="BH131" s="24" t="inlineStr">
        <is>
          <t>2026-08-09T23:31:34.338314Z</t>
        </is>
      </c>
      <c r="BI131" s="24" t="inlineStr">
        <is>
          <t>["same_event","same_team_same_day","same_league_same_day"]</t>
        </is>
      </c>
      <c r="BJ131" s="25" t="n"/>
      <c r="BK131" s="26" t="n">
        <v>203</v>
      </c>
      <c r="BL131" s="27" t="n">
        <v>3.03</v>
      </c>
      <c r="BM131" s="28" t="n">
        <v>0.330033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9772a262379042a6</t>
        </is>
      </c>
      <c r="B132" s="24" t="inlineStr">
        <is>
          <t>2026-08-10T16:35:20.124872Z</t>
        </is>
      </c>
      <c r="C132" s="24" t="inlineStr">
        <is>
          <t>2026-08-10T21:00Z</t>
        </is>
      </c>
      <c r="D132" s="24" t="inlineStr">
        <is>
          <t>401877954</t>
        </is>
      </c>
      <c r="E132" s="24" t="inlineStr">
        <is>
          <t>SOCCER</t>
        </is>
      </c>
      <c r="F132" s="24" t="inlineStr">
        <is>
          <t>Llaneros FC</t>
        </is>
      </c>
      <c r="G132" s="24" t="inlineStr">
        <is>
          <t>Águilas Doradas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-104</v>
      </c>
      <c r="M132" s="27" t="n">
        <v>1.961538</v>
      </c>
      <c r="N132" s="28" t="n">
        <v>0.509804</v>
      </c>
      <c r="O132" s="28" t="n">
        <v>0.418807</v>
      </c>
      <c r="P132" s="28" t="n">
        <v>0.2</v>
      </c>
      <c r="Q132" s="28" t="n">
        <v>-0.09099699999999999</v>
      </c>
      <c r="R132" s="26" t="n">
        <v>0</v>
      </c>
      <c r="S132" s="29" t="n">
        <v>1</v>
      </c>
      <c r="T132" s="24" t="inlineStr">
        <is>
          <t>soccer-poisson-dc-v1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Poisson-DC rates 1.46 (home) / 1.20 (away) from EWMA attack/defense strengths. Executable ask 0.5100 (atc-lco-agu-lla-2026-08-10-agu).</t>
        </is>
      </c>
      <c r="AF132" s="31" t="inlineStr">
        <is>
          <t>Research-only soccer score model; draw-aware, but not yet locked-holdout qualified.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Llaneros FC</t>
        </is>
      </c>
      <c r="AQ132" s="24" t="inlineStr">
        <is>
          <t>Llaneros FC</t>
        </is>
      </c>
      <c r="AR132" s="24" t="inlineStr">
        <is>
          <t>Llaneros FC</t>
        </is>
      </c>
      <c r="AS132" s="24" t="inlineStr">
        <is>
          <t>Águilas Doradas</t>
        </is>
      </c>
      <c r="AT132" s="24" t="inlineStr">
        <is>
          <t>Águilas Doradas</t>
        </is>
      </c>
      <c r="AU132" s="24" t="inlineStr">
        <is>
          <t>Águilas Doradas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c95ec2023134439ab985cb4cdcc58243749b9deb564fca7a2d587c15c9875427</t>
        </is>
      </c>
      <c r="BB132" s="24" t="inlineStr">
        <is>
          <t>poisson_dixon_coles</t>
        </is>
      </c>
      <c r="BC132" s="24" t="inlineStr">
        <is>
          <t>soccer-poisson-dc-v1</t>
        </is>
      </c>
      <c r="BD132" s="24" t="inlineStr">
        <is>
          <t>c95ec2023134439ab985cb4cdcc58243749b9deb564fca7a2d587c15c9875427</t>
        </is>
      </c>
      <c r="BE132" s="24" t="inlineStr">
        <is>
          <t>soccer-poisson-dc-v1</t>
        </is>
      </c>
      <c r="BF132" s="24" t="inlineStr">
        <is>
          <t>1</t>
        </is>
      </c>
      <c r="BG132" s="24" t="inlineStr">
        <is>
          <t>c95ec2023134439ab985cb4cdcc58243749b9deb564fca7a2d587c15c9875427</t>
        </is>
      </c>
      <c r="BH132" s="24" t="inlineStr">
        <is>
          <t>2026-08-10T16:34:16.858542Z</t>
        </is>
      </c>
      <c r="BI132" s="24" t="inlineStr">
        <is>
          <t>["same_event","same_team_same_day","same_league_same_day"]</t>
        </is>
      </c>
      <c r="BJ132" s="25" t="n"/>
      <c r="BK132" s="26" t="n">
        <v>-104</v>
      </c>
      <c r="BL132" s="27" t="n">
        <v>1.961538</v>
      </c>
      <c r="BM132" s="28" t="n">
        <v>0.509804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</row>
    <row r="133" ht="36" customHeight="1">
      <c r="A133" s="24" t="inlineStr">
        <is>
          <t>c2a9fbe9b26145b7</t>
        </is>
      </c>
      <c r="B133" s="24" t="inlineStr">
        <is>
          <t>2026-08-10T16:35:20.124872Z</t>
        </is>
      </c>
      <c r="C133" s="24" t="inlineStr">
        <is>
          <t>2026-08-11T00:00Z</t>
        </is>
      </c>
      <c r="D133" s="24" t="inlineStr">
        <is>
          <t>401850612</t>
        </is>
      </c>
      <c r="E133" s="24" t="inlineStr">
        <is>
          <t>SOCCER</t>
        </is>
      </c>
      <c r="F133" s="24" t="inlineStr">
        <is>
          <t>Ñublense</t>
        </is>
      </c>
      <c r="G133" s="24" t="inlineStr">
        <is>
          <t>Audax Italiano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144</v>
      </c>
      <c r="M133" s="27" t="n">
        <v>2.44</v>
      </c>
      <c r="N133" s="28" t="n">
        <v>0.409836</v>
      </c>
      <c r="O133" s="28" t="n">
        <v>0.416467</v>
      </c>
      <c r="P133" s="28" t="n">
        <v>0.19</v>
      </c>
      <c r="Q133" s="28" t="n">
        <v>0.006631</v>
      </c>
      <c r="R133" s="26" t="n">
        <v>0</v>
      </c>
      <c r="S133" s="29" t="n">
        <v>1</v>
      </c>
      <c r="T133" s="24" t="inlineStr">
        <is>
          <t>soccer-poisson-dc-v1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2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2026-08-11T13:07:14.498541Z</t>
        </is>
      </c>
      <c r="AE133" s="31" t="inlineStr">
        <is>
          <t>Poisson-DC rates 1.41 (home) / 1.15 (away) from EWMA attack/defense strengths. Executable ask 0.4100 (atc-pdc-aud-nub-2026-08-10-aud).</t>
        </is>
      </c>
      <c r="AF133" s="31" t="inlineStr">
        <is>
          <t>Research-only soccer score model; draw-aware, but not yet locked-holdout qualified.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Ñublense</t>
        </is>
      </c>
      <c r="AQ133" s="24" t="inlineStr">
        <is>
          <t>Ñublense</t>
        </is>
      </c>
      <c r="AR133" s="24" t="inlineStr">
        <is>
          <t>Ñublense</t>
        </is>
      </c>
      <c r="AS133" s="24" t="inlineStr">
        <is>
          <t>Audax Italiano</t>
        </is>
      </c>
      <c r="AT133" s="24" t="inlineStr">
        <is>
          <t>Audax Italiano</t>
        </is>
      </c>
      <c r="AU133" s="24" t="inlineStr">
        <is>
          <t>Audax Italiano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c95ec2023134439ab985cb4cdcc58243749b9deb564fca7a2d587c15c9875427</t>
        </is>
      </c>
      <c r="BB133" s="24" t="inlineStr">
        <is>
          <t>poisson_dixon_coles</t>
        </is>
      </c>
      <c r="BC133" s="24" t="inlineStr">
        <is>
          <t>soccer-poisson-dc-v1</t>
        </is>
      </c>
      <c r="BD133" s="24" t="inlineStr">
        <is>
          <t>c95ec2023134439ab985cb4cdcc58243749b9deb564fca7a2d587c15c9875427</t>
        </is>
      </c>
      <c r="BE133" s="24" t="inlineStr">
        <is>
          <t>soccer-poisson-dc-v1</t>
        </is>
      </c>
      <c r="BF133" s="24" t="inlineStr">
        <is>
          <t>1</t>
        </is>
      </c>
      <c r="BG133" s="24" t="inlineStr">
        <is>
          <t>c95ec2023134439ab985cb4cdcc58243749b9deb564fca7a2d587c15c9875427</t>
        </is>
      </c>
      <c r="BH133" s="24" t="inlineStr">
        <is>
          <t>2026-08-10T16:34:16.617464Z</t>
        </is>
      </c>
      <c r="BI133" s="24" t="inlineStr">
        <is>
          <t>["same_event","same_team_same_day","same_league_same_day"]</t>
        </is>
      </c>
      <c r="BJ133" s="25" t="n"/>
      <c r="BK133" s="26" t="n">
        <v>144</v>
      </c>
      <c r="BL133" s="27" t="n">
        <v>2.44</v>
      </c>
      <c r="BM133" s="28" t="n">
        <v>0.409836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</row>
    <row r="134" ht="36" customHeight="1">
      <c r="A134" s="24" t="inlineStr">
        <is>
          <t>4418c8b2bda14fc7</t>
        </is>
      </c>
      <c r="B134" s="24" t="inlineStr">
        <is>
          <t>2026-08-10T16:35:20.124872Z</t>
        </is>
      </c>
      <c r="C134" s="24" t="inlineStr">
        <is>
          <t>2026-08-10T22:00Z</t>
        </is>
      </c>
      <c r="D134" s="24" t="inlineStr">
        <is>
          <t>401905175</t>
        </is>
      </c>
      <c r="E134" s="24" t="inlineStr">
        <is>
          <t>SOCCER</t>
        </is>
      </c>
      <c r="F134" s="24" t="inlineStr">
        <is>
          <t>Racing (Montevideo)</t>
        </is>
      </c>
      <c r="G134" s="24" t="inlineStr">
        <is>
          <t>Deportivo Maldonado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178</v>
      </c>
      <c r="M134" s="27" t="n">
        <v>2.78</v>
      </c>
      <c r="N134" s="28" t="n">
        <v>0.359712</v>
      </c>
      <c r="O134" s="28" t="n">
        <v>0.418807</v>
      </c>
      <c r="P134" s="28" t="n">
        <v>0.2</v>
      </c>
      <c r="Q134" s="28" t="n">
        <v>0.059095</v>
      </c>
      <c r="R134" s="26" t="n">
        <v>0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2</v>
      </c>
      <c r="X134" s="26" t="n">
        <v>2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2026-08-11T13:07:15.329814Z</t>
        </is>
      </c>
      <c r="AE134" s="31" t="inlineStr">
        <is>
          <t>Poisson-DC rates 1.46 (home) / 1.20 (away) from EWMA attack/defense strengths. Executable ask 0.3600 (atc-uru1-mal-rcm-2026-08-10-mal).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Racing (Montevideo)</t>
        </is>
      </c>
      <c r="AQ134" s="24" t="inlineStr">
        <is>
          <t>Racing (Montevideo)</t>
        </is>
      </c>
      <c r="AR134" s="24" t="inlineStr">
        <is>
          <t>Racing (Montevideo)</t>
        </is>
      </c>
      <c r="AS134" s="24" t="inlineStr">
        <is>
          <t>Deportivo Maldonado</t>
        </is>
      </c>
      <c r="AT134" s="24" t="inlineStr">
        <is>
          <t>Deportivo Maldonado</t>
        </is>
      </c>
      <c r="AU134" s="24" t="inlineStr">
        <is>
          <t>Deportivo Maldonado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c95ec2023134439ab985cb4cdcc58243749b9deb564fca7a2d587c15c9875427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c95ec2023134439ab985cb4cdcc58243749b9deb564fca7a2d587c15c9875427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c95ec2023134439ab985cb4cdcc58243749b9deb564fca7a2d587c15c9875427</t>
        </is>
      </c>
      <c r="BH134" s="24" t="inlineStr">
        <is>
          <t>2026-08-10T16:34:18.047174Z</t>
        </is>
      </c>
      <c r="BI134" s="24" t="inlineStr">
        <is>
          <t>["same_event","same_team_same_day","same_league_same_day"]</t>
        </is>
      </c>
      <c r="BJ134" s="25" t="n"/>
      <c r="BK134" s="26" t="n">
        <v>178</v>
      </c>
      <c r="BL134" s="27" t="n">
        <v>2.78</v>
      </c>
      <c r="BM134" s="28" t="n">
        <v>0.359712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</row>
    <row r="135" ht="36" customHeight="1">
      <c r="A135" s="24" t="inlineStr">
        <is>
          <t>8769d69447524052</t>
        </is>
      </c>
      <c r="B135" s="24" t="inlineStr">
        <is>
          <t>2026-08-12T14:36:23.068398Z</t>
        </is>
      </c>
      <c r="C135" s="24" t="inlineStr">
        <is>
          <t>2026-08-12T16:15Z</t>
        </is>
      </c>
      <c r="D135" s="24" t="inlineStr">
        <is>
          <t>401905959</t>
        </is>
      </c>
      <c r="E135" s="24" t="inlineStr">
        <is>
          <t>SOCCER</t>
        </is>
      </c>
      <c r="F135" s="24" t="inlineStr">
        <is>
          <t>Everton</t>
        </is>
      </c>
      <c r="G135" s="24" t="inlineStr">
        <is>
          <t>Newcastle United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122</v>
      </c>
      <c r="M135" s="27" t="n">
        <v>2.22</v>
      </c>
      <c r="N135" s="28" t="n">
        <v>0.45045</v>
      </c>
      <c r="O135" s="28" t="n">
        <v>0.498576</v>
      </c>
      <c r="P135" s="28" t="n">
        <v>0.04</v>
      </c>
      <c r="Q135" s="28" t="n">
        <v>0.048126</v>
      </c>
      <c r="R135" s="26" t="n">
        <v>50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1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2026-08-12T21:14:07.780173Z</t>
        </is>
      </c>
      <c r="AE135" s="31" t="inlineStr">
        <is>
          <t>Poisson-DC rates 1.90 (home) / 1.33 (away) from EWMA attack/defense strengths. Executable ask 0.4500 (atc-clbf-efv-new-2026-08-12-new).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Everton</t>
        </is>
      </c>
      <c r="AQ135" s="24" t="inlineStr">
        <is>
          <t>Everton</t>
        </is>
      </c>
      <c r="AR135" s="24" t="inlineStr">
        <is>
          <t>Everton</t>
        </is>
      </c>
      <c r="AS135" s="24" t="inlineStr">
        <is>
          <t>Newcastle United</t>
        </is>
      </c>
      <c r="AT135" s="24" t="inlineStr">
        <is>
          <t>Newcastle United</t>
        </is>
      </c>
      <c r="AU135" s="24" t="inlineStr">
        <is>
          <t>Newcastle United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c95ec2023134439ab985cb4cdcc58243749b9deb564fca7a2d587c15c9875427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c95ec2023134439ab985cb4cdcc58243749b9deb564fca7a2d587c15c9875427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c95ec2023134439ab985cb4cdcc58243749b9deb564fca7a2d587c15c9875427</t>
        </is>
      </c>
      <c r="BH135" s="24" t="inlineStr">
        <is>
          <t>2026-08-12T14:34:14.668127Z</t>
        </is>
      </c>
      <c r="BI135" s="24" t="inlineStr">
        <is>
          <t>["same_event","same_team_same_day","same_league_same_day"]</t>
        </is>
      </c>
      <c r="BJ135" s="25" t="n"/>
      <c r="BK135" s="26" t="n">
        <v>122</v>
      </c>
      <c r="BL135" s="27" t="n">
        <v>2.22</v>
      </c>
      <c r="BM135" s="28" t="n">
        <v>0.45045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843c5d8ab85c48ab</t>
        </is>
      </c>
      <c r="B136" s="24" t="inlineStr">
        <is>
          <t>2026-08-12T17:43:17.410674Z</t>
        </is>
      </c>
      <c r="C136" s="24" t="inlineStr">
        <is>
          <t>2026-08-12T18:30Z</t>
        </is>
      </c>
      <c r="D136" s="24" t="inlineStr">
        <is>
          <t>401886555</t>
        </is>
      </c>
      <c r="E136" s="24" t="inlineStr">
        <is>
          <t>SOCCER</t>
        </is>
      </c>
      <c r="F136" s="24" t="inlineStr">
        <is>
          <t>Como</t>
        </is>
      </c>
      <c r="G136" s="24" t="inlineStr">
        <is>
          <t>Arsenal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-186</v>
      </c>
      <c r="M136" s="27" t="n">
        <v>1.537634</v>
      </c>
      <c r="N136" s="28" t="n">
        <v>0.65035</v>
      </c>
      <c r="O136" s="28" t="n">
        <v>0.417429</v>
      </c>
      <c r="P136" s="28" t="n">
        <v>0.04</v>
      </c>
      <c r="Q136" s="28" t="n">
        <v>-0.232921</v>
      </c>
      <c r="R136" s="26" t="n">
        <v>0</v>
      </c>
      <c r="S136" s="29" t="n">
        <v>1.25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1</v>
      </c>
      <c r="Y136" s="25" t="n"/>
      <c r="Z136" s="26" t="n"/>
      <c r="AA136" s="28" t="n"/>
      <c r="AB136" s="28" t="n"/>
      <c r="AC136" s="30" t="n">
        <v>-1.25</v>
      </c>
      <c r="AD136" s="24" t="inlineStr">
        <is>
          <t>2026-08-12T21:14:20.486952Z</t>
        </is>
      </c>
      <c r="AE136" s="31" t="inlineStr">
        <is>
          <t>Poisson-DC rates 1.08 (home) / 0.75 (away) from EWMA attack/defense strengths. Executable ask 0.6500 (atc-clbf-afr-com-2026-08-12-afr).</t>
        </is>
      </c>
      <c r="AF136" s="31" t="inlineStr">
        <is>
          <t>Research-only soccer score model; draw-aware, but not yet locked-holdout qualified.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Como</t>
        </is>
      </c>
      <c r="AQ136" s="24" t="inlineStr">
        <is>
          <t>Como</t>
        </is>
      </c>
      <c r="AR136" s="24" t="inlineStr">
        <is>
          <t>Como</t>
        </is>
      </c>
      <c r="AS136" s="24" t="inlineStr">
        <is>
          <t>Arsenal</t>
        </is>
      </c>
      <c r="AT136" s="24" t="inlineStr">
        <is>
          <t>Arsenal</t>
        </is>
      </c>
      <c r="AU136" s="24" t="inlineStr">
        <is>
          <t>Arsenal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c95ec2023134439ab985cb4cdcc58243749b9deb564fca7a2d587c15c9875427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c95ec2023134439ab985cb4cdcc58243749b9deb564fca7a2d587c15c9875427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c95ec2023134439ab985cb4cdcc58243749b9deb564fca7a2d587c15c9875427</t>
        </is>
      </c>
      <c r="BH136" s="24" t="inlineStr">
        <is>
          <t>2026-08-12T17:41:32.473435Z</t>
        </is>
      </c>
      <c r="BI136" s="24" t="inlineStr">
        <is>
          <t>["same_event","same_team_same_day","same_league_same_day"]</t>
        </is>
      </c>
      <c r="BJ136" s="25" t="n"/>
      <c r="BK136" s="26" t="n">
        <v>-186</v>
      </c>
      <c r="BL136" s="27" t="n">
        <v>1.537634</v>
      </c>
      <c r="BM136" s="28" t="n">
        <v>0.65035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ce25c2f24a924c0f</t>
        </is>
      </c>
      <c r="B137" s="24" t="inlineStr">
        <is>
          <t>2026-08-12T17:43:17.410674Z</t>
        </is>
      </c>
      <c r="C137" s="24" t="inlineStr">
        <is>
          <t>2026-08-12T18:30Z</t>
        </is>
      </c>
      <c r="D137" s="24" t="inlineStr">
        <is>
          <t>401867394</t>
        </is>
      </c>
      <c r="E137" s="24" t="inlineStr">
        <is>
          <t>SOCCER</t>
        </is>
      </c>
      <c r="F137" s="24" t="inlineStr">
        <is>
          <t>Leeds United</t>
        </is>
      </c>
      <c r="G137" s="24" t="inlineStr">
        <is>
          <t>Manchester United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0.5307269999999999</v>
      </c>
      <c r="P137" s="28" t="n">
        <v>0.04</v>
      </c>
      <c r="Q137" s="28" t="n">
        <v>0.000211</v>
      </c>
      <c r="R137" s="26" t="n">
        <v>26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2026-08-12T21:14:21.484779Z</t>
        </is>
      </c>
      <c r="AE137" s="31" t="inlineStr">
        <is>
          <t>Poisson-DC rates 1.71 (home) / 0.99 (away) from EWMA attack/defense strengths. Executable ask 0.5300 (atc-clbf-mun-lee-2026-08-12-mun).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Leeds United</t>
        </is>
      </c>
      <c r="AQ137" s="24" t="inlineStr">
        <is>
          <t>Leeds United</t>
        </is>
      </c>
      <c r="AR137" s="24" t="inlineStr">
        <is>
          <t>Leeds United</t>
        </is>
      </c>
      <c r="AS137" s="24" t="inlineStr">
        <is>
          <t>Manchester United</t>
        </is>
      </c>
      <c r="AT137" s="24" t="inlineStr">
        <is>
          <t>Manchester United</t>
        </is>
      </c>
      <c r="AU137" s="24" t="inlineStr">
        <is>
          <t>Manchester United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c95ec2023134439ab985cb4cdcc58243749b9deb564fca7a2d587c15c9875427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c95ec2023134439ab985cb4cdcc58243749b9deb564fca7a2d587c15c9875427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c95ec2023134439ab985cb4cdcc58243749b9deb564fca7a2d587c15c9875427</t>
        </is>
      </c>
      <c r="BH137" s="24" t="inlineStr">
        <is>
          <t>2026-08-12T17:41:32.336635Z</t>
        </is>
      </c>
      <c r="BI137" s="24" t="inlineStr">
        <is>
          <t>["same_event","same_team_same_day","same_league_same_day"]</t>
        </is>
      </c>
      <c r="BJ137" s="25" t="n"/>
      <c r="BK137" s="26" t="n">
        <v>-113</v>
      </c>
      <c r="BL137" s="27" t="n">
        <v>1.884956</v>
      </c>
      <c r="BM137" s="28" t="n">
        <v>0.530516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7441bf945d0c4b67</t>
        </is>
      </c>
      <c r="B138" s="24" t="inlineStr">
        <is>
          <t>2026-08-12T17:43:17.410674Z</t>
        </is>
      </c>
      <c r="C138" s="24" t="inlineStr">
        <is>
          <t>2026-08-12T18:45Z</t>
        </is>
      </c>
      <c r="D138" s="24" t="inlineStr">
        <is>
          <t>401906432</t>
        </is>
      </c>
      <c r="E138" s="24" t="inlineStr">
        <is>
          <t>SOCCER</t>
        </is>
      </c>
      <c r="F138" s="24" t="inlineStr">
        <is>
          <t>Bayer Leverkusen</t>
        </is>
      </c>
      <c r="G138" s="24" t="inlineStr">
        <is>
          <t>Nottingham Forest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0.465639</v>
      </c>
      <c r="P138" s="28" t="n">
        <v>0.04</v>
      </c>
      <c r="Q138" s="28" t="n">
        <v>0.055803</v>
      </c>
      <c r="R138" s="26" t="n">
        <v>54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loss</t>
        </is>
      </c>
      <c r="W138" s="26" t="n">
        <v>0</v>
      </c>
      <c r="X138" s="26" t="n">
        <v>0</v>
      </c>
      <c r="Y138" s="25" t="n"/>
      <c r="Z138" s="26" t="n"/>
      <c r="AA138" s="28" t="n"/>
      <c r="AB138" s="28" t="n"/>
      <c r="AC138" s="30" t="n">
        <v>-1</v>
      </c>
      <c r="AD138" s="24" t="inlineStr">
        <is>
          <t>2026-08-12T21:14:22.485912Z</t>
        </is>
      </c>
      <c r="AE138" s="31" t="inlineStr">
        <is>
          <t>Poisson-DC rates 1.76 (home) / 1.33 (away) from EWMA attack/defense strengths. Executable ask 0.4100 (atc-clbf-nfo-lev-2026-08-12-nfo).</t>
        </is>
      </c>
      <c r="AF138" s="31" t="inlineStr">
        <is>
          <t>Research-only soccer score model; draw-aware, but not yet locked-holdout qualified.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Bayer Leverkusen</t>
        </is>
      </c>
      <c r="AQ138" s="24" t="inlineStr">
        <is>
          <t>Bayer Leverkusen</t>
        </is>
      </c>
      <c r="AR138" s="24" t="inlineStr">
        <is>
          <t>Bayer Leverkusen</t>
        </is>
      </c>
      <c r="AS138" s="24" t="inlineStr">
        <is>
          <t>Nottingham Forest</t>
        </is>
      </c>
      <c r="AT138" s="24" t="inlineStr">
        <is>
          <t>Nottingham Forest</t>
        </is>
      </c>
      <c r="AU138" s="24" t="inlineStr">
        <is>
          <t>Nottingham Forest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c95ec2023134439ab985cb4cdcc58243749b9deb564fca7a2d587c15c9875427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c95ec2023134439ab985cb4cdcc58243749b9deb564fca7a2d587c15c9875427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c95ec2023134439ab985cb4cdcc58243749b9deb564fca7a2d587c15c9875427</t>
        </is>
      </c>
      <c r="BH138" s="24" t="inlineStr">
        <is>
          <t>2026-08-12T17:41:32.663481Z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</row>
    <row r="139" ht="36" customHeight="1">
      <c r="A139" s="24" t="inlineStr">
        <is>
          <t>93356bd1ded542d7</t>
        </is>
      </c>
      <c r="B139" s="24" t="inlineStr">
        <is>
          <t>2026-08-12T17:43:17.410674Z</t>
        </is>
      </c>
      <c r="C139" s="24" t="inlineStr">
        <is>
          <t>2026-08-12T19:00Z</t>
        </is>
      </c>
      <c r="D139" s="24" t="inlineStr">
        <is>
          <t>401887955</t>
        </is>
      </c>
      <c r="E139" s="24" t="inlineStr">
        <is>
          <t>SOCCER</t>
        </is>
      </c>
      <c r="F139" s="24" t="inlineStr">
        <is>
          <t>Real Madrid</t>
        </is>
      </c>
      <c r="G139" s="24" t="inlineStr">
        <is>
          <t>Deportivo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-270</v>
      </c>
      <c r="M139" s="27" t="n">
        <v>1.37037</v>
      </c>
      <c r="N139" s="28" t="n">
        <v>0.72973</v>
      </c>
      <c r="O139" s="28" t="n">
        <v>0.444718</v>
      </c>
      <c r="P139" s="28" t="n">
        <v>0.2</v>
      </c>
      <c r="Q139" s="28" t="n">
        <v>-0.285012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/>
      <c r="AA139" s="28" t="n"/>
      <c r="AB139" s="28" t="n"/>
      <c r="AC139" s="30" t="n">
        <v>0.3704</v>
      </c>
      <c r="AD139" s="24" t="inlineStr">
        <is>
          <t>2026-08-12T21:14:23.558698Z</t>
        </is>
      </c>
      <c r="AE139" s="31" t="inlineStr">
        <is>
          <t>Poisson-DC rates 1.35 (home) / 1.69 (away) from EWMA attack/defense strengths. Executable ask 0.7300 (atc-clbf-dep-rme-2026-08-12-rme).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Real Madrid</t>
        </is>
      </c>
      <c r="AQ139" s="24" t="inlineStr">
        <is>
          <t>Real Madrid</t>
        </is>
      </c>
      <c r="AR139" s="24" t="inlineStr">
        <is>
          <t>Real Madrid</t>
        </is>
      </c>
      <c r="AS139" s="24" t="inlineStr">
        <is>
          <t>Deportivo</t>
        </is>
      </c>
      <c r="AT139" s="24" t="inlineStr">
        <is>
          <t>Deportivo</t>
        </is>
      </c>
      <c r="AU139" s="24" t="inlineStr">
        <is>
          <t>Deportivo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c95ec2023134439ab985cb4cdcc58243749b9deb564fca7a2d587c15c9875427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c95ec2023134439ab985cb4cdcc58243749b9deb564fca7a2d587c15c9875427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c95ec2023134439ab985cb4cdcc58243749b9deb564fca7a2d587c15c9875427</t>
        </is>
      </c>
      <c r="BH139" s="24" t="inlineStr">
        <is>
          <t>2026-08-12T17:41:32.802271Z</t>
        </is>
      </c>
      <c r="BI139" s="24" t="inlineStr">
        <is>
          <t>["same_event","same_team_same_day","same_league_same_day"]</t>
        </is>
      </c>
      <c r="BJ139" s="25" t="n"/>
      <c r="BK139" s="26" t="n">
        <v>-270</v>
      </c>
      <c r="BL139" s="27" t="n">
        <v>1.37037</v>
      </c>
      <c r="BM139" s="28" t="n">
        <v>0.72973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1f6f7effab0b4f7e</t>
        </is>
      </c>
      <c r="B140" s="24" t="inlineStr">
        <is>
          <t>2026-08-12T17:43:17.410674Z</t>
        </is>
      </c>
      <c r="C140" s="24" t="inlineStr">
        <is>
          <t>2026-08-12T19:00Z</t>
        </is>
      </c>
      <c r="D140" s="24" t="inlineStr">
        <is>
          <t>401906428</t>
        </is>
      </c>
      <c r="E140" s="24" t="inlineStr">
        <is>
          <t>SOCCER</t>
        </is>
      </c>
      <c r="F140" s="24" t="inlineStr">
        <is>
          <t>Aris</t>
        </is>
      </c>
      <c r="G140" s="24" t="inlineStr">
        <is>
          <t>Napoli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-257</v>
      </c>
      <c r="M140" s="27" t="n">
        <v>1.389105</v>
      </c>
      <c r="N140" s="28" t="n">
        <v>0.719888</v>
      </c>
      <c r="O140" s="28" t="n">
        <v>0.565923</v>
      </c>
      <c r="P140" s="28" t="n">
        <v>0.2</v>
      </c>
      <c r="Q140" s="28" t="n">
        <v>-0.153965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win</t>
        </is>
      </c>
      <c r="W140" s="26" t="n">
        <v>2</v>
      </c>
      <c r="X140" s="26" t="n">
        <v>6</v>
      </c>
      <c r="Y140" s="25" t="n"/>
      <c r="Z140" s="26" t="n"/>
      <c r="AA140" s="28" t="n"/>
      <c r="AB140" s="28" t="n"/>
      <c r="AC140" s="30" t="n">
        <v>0.3891</v>
      </c>
      <c r="AD140" s="24" t="inlineStr">
        <is>
          <t>2026-08-13T05:32:15.478830Z</t>
        </is>
      </c>
      <c r="AE140" s="31" t="inlineStr">
        <is>
          <t>Poisson-DC rates 1.74 (home) / 0.88 (away) from EWMA attack/defense strengths. Executable ask 0.7200 (atc-clbf-nap-aris-2026-08-12-nap).</t>
        </is>
      </c>
      <c r="AF140" s="31" t="inlineStr">
        <is>
          <t>Research-only soccer score model; draw-aware, but not yet locked-holdout qualified.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Aris</t>
        </is>
      </c>
      <c r="AQ140" s="24" t="inlineStr">
        <is>
          <t>Aris</t>
        </is>
      </c>
      <c r="AR140" s="24" t="inlineStr">
        <is>
          <t>Aris</t>
        </is>
      </c>
      <c r="AS140" s="24" t="inlineStr">
        <is>
          <t>Napoli</t>
        </is>
      </c>
      <c r="AT140" s="24" t="inlineStr">
        <is>
          <t>Napoli</t>
        </is>
      </c>
      <c r="AU140" s="24" t="inlineStr">
        <is>
          <t>Napoli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c95ec2023134439ab985cb4cdcc58243749b9deb564fca7a2d587c15c9875427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c95ec2023134439ab985cb4cdcc58243749b9deb564fca7a2d587c15c9875427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c95ec2023134439ab985cb4cdcc58243749b9deb564fca7a2d587c15c9875427</t>
        </is>
      </c>
      <c r="BH140" s="24" t="inlineStr">
        <is>
          <t>2026-08-12T17:41:32.874312Z</t>
        </is>
      </c>
      <c r="BI140" s="24" t="inlineStr">
        <is>
          <t>["same_event","same_team_same_day","same_league_same_day"]</t>
        </is>
      </c>
      <c r="BJ140" s="25" t="n"/>
      <c r="BK140" s="26" t="n">
        <v>-257</v>
      </c>
      <c r="BL140" s="27" t="n">
        <v>1.389105</v>
      </c>
      <c r="BM140" s="28" t="n">
        <v>0.719888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</row>
    <row r="141" ht="36" customHeight="1">
      <c r="A141" s="24" t="inlineStr">
        <is>
          <t>297ea97baf454982</t>
        </is>
      </c>
      <c r="B141" s="24" t="inlineStr">
        <is>
          <t>2026-08-12T21:32:30.006308Z</t>
        </is>
      </c>
      <c r="C141" s="24" t="inlineStr">
        <is>
          <t>2026-08-12T22:00Z</t>
        </is>
      </c>
      <c r="D141" s="24" t="inlineStr">
        <is>
          <t>401902573</t>
        </is>
      </c>
      <c r="E141" s="24" t="inlineStr">
        <is>
          <t>SOCCER</t>
        </is>
      </c>
      <c r="F141" s="24" t="inlineStr">
        <is>
          <t>Montevideo City Torque</t>
        </is>
      </c>
      <c r="G141" s="24" t="inlineStr">
        <is>
          <t>Tigre</t>
        </is>
      </c>
      <c r="H141" s="24" t="inlineStr">
        <is>
          <t>total</t>
        </is>
      </c>
      <c r="I141" s="24" t="inlineStr">
        <is>
          <t>over</t>
        </is>
      </c>
      <c r="J141" s="25" t="n">
        <v>2.5</v>
      </c>
      <c r="K141" s="24" t="inlineStr">
        <is>
          <t>polymarket_us</t>
        </is>
      </c>
      <c r="L141" s="26" t="n">
        <v>203</v>
      </c>
      <c r="M141" s="27" t="n">
        <v>3.03</v>
      </c>
      <c r="N141" s="28" t="n">
        <v>0.330033</v>
      </c>
      <c r="O141" s="28" t="n">
        <v>0.550338</v>
      </c>
      <c r="P141" s="28" t="n">
        <v>0.2</v>
      </c>
      <c r="Q141" s="28" t="n">
        <v>0.220305</v>
      </c>
      <c r="R141" s="26" t="n">
        <v>40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/>
      <c r="AA141" s="28" t="n"/>
      <c r="AB141" s="28" t="n"/>
      <c r="AC141" s="30" t="n">
        <v>-1</v>
      </c>
      <c r="AD141" s="24" t="inlineStr">
        <is>
          <t>2026-08-13T05:32:45.267121Z</t>
        </is>
      </c>
      <c r="AE141" s="31" t="inlineStr">
        <is>
          <t>Poisson-DC rates 1.64 (home) / 1.24 (away) from EWMA attack/defense strengths. Executable ask 0.3300 (tsc-sud-tig-tor-2026-08-12-2pt5).</t>
        </is>
      </c>
      <c r="AF141" s="31" t="inlineStr">
        <is>
          <t>Research-only soccer score model; draw-aware, but not yet locked-holdout qualified.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Montevideo City Torque</t>
        </is>
      </c>
      <c r="AQ141" s="24" t="inlineStr">
        <is>
          <t>Montevideo City Torque</t>
        </is>
      </c>
      <c r="AR141" s="24" t="inlineStr">
        <is>
          <t>Montevideo City Torque</t>
        </is>
      </c>
      <c r="AS141" s="24" t="inlineStr">
        <is>
          <t>Tigre</t>
        </is>
      </c>
      <c r="AT141" s="24" t="inlineStr">
        <is>
          <t>Tigre</t>
        </is>
      </c>
      <c r="AU141" s="24" t="inlineStr">
        <is>
          <t>Tigre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c95ec2023134439ab985cb4cdcc58243749b9deb564fca7a2d587c15c9875427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c95ec2023134439ab985cb4cdcc58243749b9deb564fca7a2d587c15c9875427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c95ec2023134439ab985cb4cdcc58243749b9deb564fca7a2d587c15c9875427</t>
        </is>
      </c>
      <c r="BH141" s="24" t="inlineStr">
        <is>
          <t>2026-08-12T21:16:27.752629Z</t>
        </is>
      </c>
      <c r="BI141" s="24" t="inlineStr">
        <is>
          <t>["same_event","same_team_same_day","same_league_same_day"]</t>
        </is>
      </c>
      <c r="BJ141" s="25" t="n">
        <v>2.5</v>
      </c>
      <c r="BK141" s="26" t="n">
        <v>203</v>
      </c>
      <c r="BL141" s="27" t="n">
        <v>3.03</v>
      </c>
      <c r="BM141" s="28" t="n">
        <v>0.330033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6f4d17d72452439a</t>
        </is>
      </c>
      <c r="B142" s="24" t="inlineStr">
        <is>
          <t>2026-08-12T21:32:30.006308Z</t>
        </is>
      </c>
      <c r="C142" s="24" t="inlineStr">
        <is>
          <t>2026-08-12T22:00Z</t>
        </is>
      </c>
      <c r="D142" s="24" t="inlineStr">
        <is>
          <t>401902573</t>
        </is>
      </c>
      <c r="E142" s="24" t="inlineStr">
        <is>
          <t>SOCCER</t>
        </is>
      </c>
      <c r="F142" s="24" t="inlineStr">
        <is>
          <t>Montevideo City Torque</t>
        </is>
      </c>
      <c r="G142" s="24" t="inlineStr">
        <is>
          <t>Tigre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-108</v>
      </c>
      <c r="M142" s="27" t="n">
        <v>1.925926</v>
      </c>
      <c r="N142" s="28" t="n">
        <v>0.519231</v>
      </c>
      <c r="O142" s="28" t="n">
        <v>0.456135</v>
      </c>
      <c r="P142" s="28" t="n">
        <v>0.2</v>
      </c>
      <c r="Q142" s="28" t="n">
        <v>-0.063096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1</v>
      </c>
      <c r="X142" s="26" t="n">
        <v>0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2026-08-13T05:32:46.272104Z</t>
        </is>
      </c>
      <c r="AE142" s="31" t="inlineStr">
        <is>
          <t>Poisson-DC rates 1.64 (home) / 1.24 (away) from EWMA attack/defense strengths. Executable ask 0.5200 (atc-sud-tig-tor-2026-08-12-tig).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Montevideo City Torque</t>
        </is>
      </c>
      <c r="AQ142" s="24" t="inlineStr">
        <is>
          <t>Montevideo City Torque</t>
        </is>
      </c>
      <c r="AR142" s="24" t="inlineStr">
        <is>
          <t>Montevideo City Torque</t>
        </is>
      </c>
      <c r="AS142" s="24" t="inlineStr">
        <is>
          <t>Tigre</t>
        </is>
      </c>
      <c r="AT142" s="24" t="inlineStr">
        <is>
          <t>Tigre</t>
        </is>
      </c>
      <c r="AU142" s="24" t="inlineStr">
        <is>
          <t>Tigre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c95ec2023134439ab985cb4cdcc58243749b9deb564fca7a2d587c15c9875427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c95ec2023134439ab985cb4cdcc58243749b9deb564fca7a2d587c15c9875427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c95ec2023134439ab985cb4cdcc58243749b9deb564fca7a2d587c15c9875427</t>
        </is>
      </c>
      <c r="BH142" s="24" t="inlineStr">
        <is>
          <t>2026-08-12T21:16:27.579259Z</t>
        </is>
      </c>
      <c r="BI142" s="24" t="inlineStr">
        <is>
          <t>["same_event","same_team_same_day","same_league_same_day"]</t>
        </is>
      </c>
      <c r="BJ142" s="25" t="n"/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</row>
    <row r="143" ht="36" customHeight="1">
      <c r="A143" s="24" t="inlineStr">
        <is>
          <t>ca05d953249e4fb0</t>
        </is>
      </c>
      <c r="B143" s="24" t="inlineStr">
        <is>
          <t>2026-08-13T17:15:12.703088Z</t>
        </is>
      </c>
      <c r="C143" s="24" t="inlineStr">
        <is>
          <t>2026-08-13T22:00Z</t>
        </is>
      </c>
      <c r="D143" s="24" t="inlineStr">
        <is>
          <t>401902572</t>
        </is>
      </c>
      <c r="E143" s="24" t="inlineStr">
        <is>
          <t>SOCCER</t>
        </is>
      </c>
      <c r="F143" s="24" t="inlineStr">
        <is>
          <t>Macará</t>
        </is>
      </c>
      <c r="G143" s="24" t="inlineStr">
        <is>
          <t>Santos</t>
        </is>
      </c>
      <c r="H143" s="24" t="inlineStr">
        <is>
          <t>total</t>
        </is>
      </c>
      <c r="I143" s="24" t="inlineStr">
        <is>
          <t>over</t>
        </is>
      </c>
      <c r="J143" s="25" t="n">
        <v>2.5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0.550338</v>
      </c>
      <c r="P143" s="28" t="n">
        <v>0.2</v>
      </c>
      <c r="Q143" s="28" t="n">
        <v>0.031107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Poisson-DC rates 1.64 (home) / 1.24 (away) from EWMA attack/defense strengths. Executable ask 0.5200 (tsc-sud-sfa-mac-2026-08-13-2pt5).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Macará</t>
        </is>
      </c>
      <c r="AQ143" s="24" t="inlineStr">
        <is>
          <t>Macará</t>
        </is>
      </c>
      <c r="AR143" s="24" t="inlineStr">
        <is>
          <t>Macará</t>
        </is>
      </c>
      <c r="AS143" s="24" t="inlineStr">
        <is>
          <t>Santos</t>
        </is>
      </c>
      <c r="AT143" s="24" t="inlineStr">
        <is>
          <t>Santos</t>
        </is>
      </c>
      <c r="AU143" s="24" t="inlineStr">
        <is>
          <t>Santos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c95ec2023134439ab985cb4cdcc58243749b9deb564fca7a2d587c15c9875427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c95ec2023134439ab985cb4cdcc58243749b9deb564fca7a2d587c15c9875427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c95ec2023134439ab985cb4cdcc58243749b9deb564fca7a2d587c15c9875427</t>
        </is>
      </c>
      <c r="BH143" s="24" t="inlineStr">
        <is>
          <t>2026-08-13T17:13:47.780496Z</t>
        </is>
      </c>
      <c r="BI143" s="24" t="inlineStr">
        <is>
          <t>["same_event","same_team_same_day","same_league_same_day"]</t>
        </is>
      </c>
      <c r="BJ143" s="25" t="n">
        <v>2.5</v>
      </c>
      <c r="BK143" s="26" t="n">
        <v>-108</v>
      </c>
      <c r="BL143" s="27" t="n">
        <v>1.925926</v>
      </c>
      <c r="BM143" s="28" t="n">
        <v>0.519231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4a2ff3d9275f4850</t>
        </is>
      </c>
      <c r="B144" s="24" t="inlineStr">
        <is>
          <t>2026-08-13T17:15:12.703088Z</t>
        </is>
      </c>
      <c r="C144" s="24" t="inlineStr">
        <is>
          <t>2026-08-13T22:00Z</t>
        </is>
      </c>
      <c r="D144" s="24" t="inlineStr">
        <is>
          <t>401902742</t>
        </is>
      </c>
      <c r="E144" s="24" t="inlineStr">
        <is>
          <t>SOCCER</t>
        </is>
      </c>
      <c r="F144" s="24" t="inlineStr">
        <is>
          <t>Club Olimpia</t>
        </is>
      </c>
      <c r="G144" s="24" t="inlineStr">
        <is>
          <t>Vasco da Gama</t>
        </is>
      </c>
      <c r="H144" s="24" t="inlineStr">
        <is>
          <t>total</t>
        </is>
      </c>
      <c r="I144" s="24" t="inlineStr">
        <is>
          <t>over</t>
        </is>
      </c>
      <c r="J144" s="25" t="n">
        <v>2.5</v>
      </c>
      <c r="K144" s="24" t="inlineStr">
        <is>
          <t>polymarket_us</t>
        </is>
      </c>
      <c r="L144" s="26" t="n">
        <v>156</v>
      </c>
      <c r="M144" s="27" t="n">
        <v>2.56</v>
      </c>
      <c r="N144" s="28" t="n">
        <v>0.390625</v>
      </c>
      <c r="O144" s="28" t="n">
        <v>0.550338</v>
      </c>
      <c r="P144" s="28" t="n">
        <v>0.2</v>
      </c>
      <c r="Q144" s="28" t="n">
        <v>0.159713</v>
      </c>
      <c r="R144" s="26" t="n">
        <v>10</v>
      </c>
      <c r="S144" s="29" t="n">
        <v>1</v>
      </c>
      <c r="T144" s="24" t="inlineStr">
        <is>
          <t>soccer-poisson-dc-v1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Poisson-DC rates 1.64 (home) / 1.24 (away) from EWMA attack/defense strengths. Executable ask 0.3900 (tsc-sud-vas-clo-2026-08-13-2pt5).</t>
        </is>
      </c>
      <c r="AF144" s="31" t="inlineStr">
        <is>
          <t>Research-only soccer score model; draw-aware, but not yet locked-holdout qualified.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Club Olimpia</t>
        </is>
      </c>
      <c r="AQ144" s="24" t="inlineStr">
        <is>
          <t>Club Olimpia</t>
        </is>
      </c>
      <c r="AR144" s="24" t="inlineStr">
        <is>
          <t>Club Olimpia</t>
        </is>
      </c>
      <c r="AS144" s="24" t="inlineStr">
        <is>
          <t>Vasco da Gama</t>
        </is>
      </c>
      <c r="AT144" s="24" t="inlineStr">
        <is>
          <t>Vasco da Gama</t>
        </is>
      </c>
      <c r="AU144" s="24" t="inlineStr">
        <is>
          <t>Vasco da Gama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c95ec2023134439ab985cb4cdcc58243749b9deb564fca7a2d587c15c9875427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c95ec2023134439ab985cb4cdcc58243749b9deb564fca7a2d587c15c9875427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c95ec2023134439ab985cb4cdcc58243749b9deb564fca7a2d587c15c9875427</t>
        </is>
      </c>
      <c r="BH144" s="24" t="inlineStr">
        <is>
          <t>2026-08-13T17:13:47.118202Z</t>
        </is>
      </c>
      <c r="BI144" s="24" t="inlineStr">
        <is>
          <t>["same_event","same_team_same_day","same_league_same_day"]</t>
        </is>
      </c>
      <c r="BJ144" s="25" t="n">
        <v>2.5</v>
      </c>
      <c r="BK144" s="26" t="n">
        <v>156</v>
      </c>
      <c r="BL144" s="27" t="n">
        <v>2.56</v>
      </c>
      <c r="BM144" s="28" t="n">
        <v>0.390625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</row>
    <row r="145" ht="36" customHeight="1">
      <c r="A145" s="24" t="inlineStr">
        <is>
          <t>521ba8dc0554415b</t>
        </is>
      </c>
      <c r="B145" s="24" t="inlineStr">
        <is>
          <t>2026-08-13T17:15:12.703088Z</t>
        </is>
      </c>
      <c r="C145" s="24" t="inlineStr">
        <is>
          <t>2026-08-13T22:00Z</t>
        </is>
      </c>
      <c r="D145" s="24" t="inlineStr">
        <is>
          <t>401902572</t>
        </is>
      </c>
      <c r="E145" s="24" t="inlineStr">
        <is>
          <t>SOCCER</t>
        </is>
      </c>
      <c r="F145" s="24" t="inlineStr">
        <is>
          <t>Macará</t>
        </is>
      </c>
      <c r="G145" s="24" t="inlineStr">
        <is>
          <t>Santos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-245</v>
      </c>
      <c r="M145" s="27" t="n">
        <v>1.408163</v>
      </c>
      <c r="N145" s="28" t="n">
        <v>0.710145</v>
      </c>
      <c r="O145" s="28" t="n">
        <v>0.456135</v>
      </c>
      <c r="P145" s="28" t="n">
        <v>0.2</v>
      </c>
      <c r="Q145" s="28" t="n">
        <v>-0.25401</v>
      </c>
      <c r="R145" s="26" t="n">
        <v>0</v>
      </c>
      <c r="S145" s="29" t="n">
        <v>1</v>
      </c>
      <c r="T145" s="24" t="inlineStr">
        <is>
          <t>soccer-poisson-dc-v1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Poisson-DC rates 1.64 (home) / 1.24 (away) from EWMA attack/defense strengths. Executable ask 0.7100 (atc-sud-sfa-mac-2026-08-13-sfa).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Macará</t>
        </is>
      </c>
      <c r="AQ145" s="24" t="inlineStr">
        <is>
          <t>Macará</t>
        </is>
      </c>
      <c r="AR145" s="24" t="inlineStr">
        <is>
          <t>Macará</t>
        </is>
      </c>
      <c r="AS145" s="24" t="inlineStr">
        <is>
          <t>Santos</t>
        </is>
      </c>
      <c r="AT145" s="24" t="inlineStr">
        <is>
          <t>Santos</t>
        </is>
      </c>
      <c r="AU145" s="24" t="inlineStr">
        <is>
          <t>Santos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c95ec2023134439ab985cb4cdcc58243749b9deb564fca7a2d587c15c9875427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c95ec2023134439ab985cb4cdcc58243749b9deb564fca7a2d587c15c9875427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c95ec2023134439ab985cb4cdcc58243749b9deb564fca7a2d587c15c9875427</t>
        </is>
      </c>
      <c r="BH145" s="24" t="inlineStr">
        <is>
          <t>2026-08-13T17:13:47.664302Z</t>
        </is>
      </c>
      <c r="BI145" s="24" t="inlineStr">
        <is>
          <t>["same_event","same_team_same_day","same_league_same_day"]</t>
        </is>
      </c>
      <c r="BJ145" s="25" t="n"/>
      <c r="BK145" s="26" t="n">
        <v>-245</v>
      </c>
      <c r="BL145" s="27" t="n">
        <v>1.408163</v>
      </c>
      <c r="BM145" s="28" t="n">
        <v>0.710145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</row>
    <row r="146" ht="36" customHeight="1">
      <c r="A146" s="24" t="inlineStr">
        <is>
          <t>e47243ef18d1450c</t>
        </is>
      </c>
      <c r="B146" s="24" t="inlineStr">
        <is>
          <t>2026-08-13T17:15:12.703088Z</t>
        </is>
      </c>
      <c r="C146" s="24" t="inlineStr">
        <is>
          <t>2026-08-13T22:00Z</t>
        </is>
      </c>
      <c r="D146" s="24" t="inlineStr">
        <is>
          <t>401902742</t>
        </is>
      </c>
      <c r="E146" s="24" t="inlineStr">
        <is>
          <t>SOCCER</t>
        </is>
      </c>
      <c r="F146" s="24" t="inlineStr">
        <is>
          <t>Club Olimpia</t>
        </is>
      </c>
      <c r="G146" s="24" t="inlineStr">
        <is>
          <t>Vasco da Gama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-122</v>
      </c>
      <c r="M146" s="27" t="n">
        <v>1.819672</v>
      </c>
      <c r="N146" s="28" t="n">
        <v>0.54955</v>
      </c>
      <c r="O146" s="28" t="n">
        <v>0.456135</v>
      </c>
      <c r="P146" s="28" t="n">
        <v>0.2</v>
      </c>
      <c r="Q146" s="28" t="n">
        <v>-0.093415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Poisson-DC rates 1.64 (home) / 1.24 (away) from EWMA attack/defense strengths. Executable ask 0.5500 (atc-sud-vas-clo-2026-08-13-vas).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Club Olimpia</t>
        </is>
      </c>
      <c r="AQ146" s="24" t="inlineStr">
        <is>
          <t>Club Olimpia</t>
        </is>
      </c>
      <c r="AR146" s="24" t="inlineStr">
        <is>
          <t>Club Olimpia</t>
        </is>
      </c>
      <c r="AS146" s="24" t="inlineStr">
        <is>
          <t>Vasco da Gama</t>
        </is>
      </c>
      <c r="AT146" s="24" t="inlineStr">
        <is>
          <t>Vasco da Gama</t>
        </is>
      </c>
      <c r="AU146" s="24" t="inlineStr">
        <is>
          <t>Vasco da Gama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c95ec2023134439ab985cb4cdcc58243749b9deb564fca7a2d587c15c9875427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c95ec2023134439ab985cb4cdcc58243749b9deb564fca7a2d587c15c9875427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c95ec2023134439ab985cb4cdcc58243749b9deb564fca7a2d587c15c9875427</t>
        </is>
      </c>
      <c r="BH146" s="24" t="inlineStr">
        <is>
          <t>2026-08-13T17:13:47.108429Z</t>
        </is>
      </c>
      <c r="BI146" s="24" t="inlineStr">
        <is>
          <t>["same_event","same_team_same_day","same_league_same_day"]</t>
        </is>
      </c>
      <c r="BJ146" s="25" t="n"/>
      <c r="BK146" s="26" t="n">
        <v>-122</v>
      </c>
      <c r="BL146" s="27" t="n">
        <v>1.819672</v>
      </c>
      <c r="BM146" s="28" t="n">
        <v>0.54955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2026-08-13T17:15:15Z</dcterms:created>
  <dcterms:modified xmlns:dcterms="http://purl.org/dc/terms/" xmlns:xsi="http://www.w3.org/2001/XMLSchema-instance" xsi:type="dcterms:W3CDTF">2026-08-13T17:15:15Z</dcterms:modified>
</cp:coreProperties>
</file>