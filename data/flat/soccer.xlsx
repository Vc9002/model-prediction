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42" headerRowCount="1">
  <autoFilter ref="A1:CS14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COUNTA('Picks'!$A$2:$A$142)</f>
        <v/>
      </c>
      <c r="C4" s="6">
        <f>COUNTIF('Picks'!$U$2:$U$142,"open")</f>
        <v/>
      </c>
      <c r="E4" s="6">
        <f>COUNTIF('Picks'!$U$2:$U$142,"settled")</f>
        <v/>
      </c>
      <c r="G4" s="6">
        <f>IF(COUNTIFS('Picks'!$U$2:$U$142,"settled",'Picks'!$V$2:$V$142,"win")+COUNTIFS('Picks'!$U$2:$U$142,"settled",'Picks'!$V$2:$V$142,"loss")&gt;=$L$2,"Ready","Insufficient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COUNTIF('Picks'!$BX$2:$BX$142,"&gt;0")</f>
        <v/>
      </c>
      <c r="C7" s="6">
        <f>COUNTIFS('Picks'!$BX$2:$BX$142,"&gt;0",'Picks'!$V$2:$V$142,"win")&amp;"-"&amp;COUNTIFS('Picks'!$BX$2:$BX$142,"&gt;0",'Picks'!$V$2:$V$142,"loss")</f>
        <v/>
      </c>
      <c r="E7" s="7">
        <f>IFERROR(COUNTIFS('Picks'!$BX$2:$BX$142,"&gt;0",'Picks'!$V$2:$V$142,"win")/(COUNTIFS('Picks'!$BX$2:$BX$142,"&gt;0",'Picks'!$V$2:$V$142,"win")+COUNTIFS('Picks'!$BX$2:$BX$142,"&gt;0",'Picks'!$V$2:$V$142,"loss")),0)</f>
        <v/>
      </c>
      <c r="G7" s="7">
        <f>IFERROR(SUM('Picks'!$BY$2:$BY$142)/SUM('Picks'!$BX$2:$BX$142),0)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SUM('Picks'!$BY$2:$BY$142)</f>
        <v/>
      </c>
      <c r="C10" s="9">
        <f>IFERROR(AVERAGEIF('Picks'!$AB$2:$AB$142,"&lt;&gt;",'Picks'!$AB$2:$AB$142),0)</f>
        <v/>
      </c>
      <c r="E10" s="6">
        <f>COUNTIFS('Picks'!$AM$2:$AM$142,"QUALIFIED_SHADOW_CALL",'Picks'!$U$2:$U$142,"settled")</f>
        <v/>
      </c>
      <c r="G10" s="8">
        <f>SUMIFS('Picks'!$AC$2:$AC$142,'Picks'!$AM$2:$AM$142,"QUALIFIED_SHADOW_CALL")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COUNTIFS('Picks'!$H$2:$H$142,$A14,'Picks'!$U$2:$U$142,"settled")</f>
        <v/>
      </c>
      <c r="C14" s="13">
        <f>COUNTIFS('Picks'!$H$2:$H$142,$A14,'Picks'!$U$2:$U$142,"settled",'Picks'!$V$2:$V$142,"win")</f>
        <v/>
      </c>
      <c r="D14" s="13">
        <f>COUNTIFS('Picks'!$H$2:$H$142,$A14,'Picks'!$U$2:$U$142,"settled",'Picks'!$V$2:$V$142,"loss")</f>
        <v/>
      </c>
      <c r="E14" s="14">
        <f>IFERROR(C14/(C14+D14),0)</f>
        <v/>
      </c>
      <c r="F14" s="15">
        <f>SUMIFS('Picks'!$BY$2:$BY$142,'Picks'!$H$2:$H$142,$A14)</f>
        <v/>
      </c>
      <c r="G14" s="16">
        <f>IFERROR(AVERAGEIFS('Picks'!$AB$2:$AB$142,'Picks'!$H$2:$H$142,$A14,'Picks'!$U$2:$U$142,"settled"),0)</f>
        <v/>
      </c>
    </row>
    <row r="15">
      <c r="A15" s="17" t="inlineStr">
        <is>
          <t>spread</t>
        </is>
      </c>
      <c r="B15" s="18">
        <f>COUNTIFS('Picks'!$H$2:$H$142,$A15,'Picks'!$U$2:$U$142,"settled")</f>
        <v/>
      </c>
      <c r="C15" s="18">
        <f>COUNTIFS('Picks'!$H$2:$H$142,$A15,'Picks'!$U$2:$U$142,"settled",'Picks'!$V$2:$V$142,"win")</f>
        <v/>
      </c>
      <c r="D15" s="18">
        <f>COUNTIFS('Picks'!$H$2:$H$142,$A15,'Picks'!$U$2:$U$142,"settled",'Picks'!$V$2:$V$142,"loss")</f>
        <v/>
      </c>
      <c r="E15" s="19">
        <f>IFERROR(C15/(C15+D15),0)</f>
        <v/>
      </c>
      <c r="F15" s="20">
        <f>SUMIFS('Picks'!$BY$2:$BY$142,'Picks'!$H$2:$H$142,$A15)</f>
        <v/>
      </c>
      <c r="G15" s="21">
        <f>IFERROR(AVERAGEIFS('Picks'!$AB$2:$AB$142,'Picks'!$H$2:$H$142,$A15,'Picks'!$U$2:$U$142,"settled"),0)</f>
        <v/>
      </c>
    </row>
    <row r="16">
      <c r="A16" s="12" t="inlineStr">
        <is>
          <t>total</t>
        </is>
      </c>
      <c r="B16" s="13">
        <f>COUNTIFS('Picks'!$H$2:$H$142,$A16,'Picks'!$U$2:$U$142,"settled")</f>
        <v/>
      </c>
      <c r="C16" s="13">
        <f>COUNTIFS('Picks'!$H$2:$H$142,$A16,'Picks'!$U$2:$U$142,"settled",'Picks'!$V$2:$V$142,"win")</f>
        <v/>
      </c>
      <c r="D16" s="13">
        <f>COUNTIFS('Picks'!$H$2:$H$142,$A16,'Picks'!$U$2:$U$142,"settled",'Picks'!$V$2:$V$142,"loss")</f>
        <v/>
      </c>
      <c r="E16" s="14">
        <f>IFERROR(C16/(C16+D16),0)</f>
        <v/>
      </c>
      <c r="F16" s="15">
        <f>SUMIFS('Picks'!$BY$2:$BY$142,'Picks'!$H$2:$H$142,$A16)</f>
        <v/>
      </c>
      <c r="G16" s="16">
        <f>IFERROR(AVERAGEIFS('Picks'!$AB$2:$AB$142,'Picks'!$H$2:$H$142,$A16,'Picks'!$U$2:$U$142,"settled"),0)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0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0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0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0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0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0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0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0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0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ec9fbb53d3bd434e</t>
        </is>
      </c>
      <c r="B91" s="24" t="inlineStr">
        <is>
          <t>2026-08-07T18:30:33.836209Z</t>
        </is>
      </c>
      <c r="C91" s="24" t="inlineStr">
        <is>
          <t>2026-08-07T20:15Z</t>
        </is>
      </c>
      <c r="D91" s="24" t="inlineStr">
        <is>
          <t>401886111</t>
        </is>
      </c>
      <c r="E91" s="24" t="inlineStr">
        <is>
          <t>SOCCER</t>
        </is>
      </c>
      <c r="F91" s="24" t="inlineStr">
        <is>
          <t>Cusco FC</t>
        </is>
      </c>
      <c r="G91" s="24" t="inlineStr">
        <is>
          <t>Comerciantes Unidos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163</v>
      </c>
      <c r="M91" s="27" t="n">
        <v>2.63</v>
      </c>
      <c r="N91" s="28" t="n">
        <v>0.380228</v>
      </c>
      <c r="O91" s="28" t="n">
        <v>0.394611</v>
      </c>
      <c r="P91" s="28" t="n">
        <v>0.19</v>
      </c>
      <c r="Q91" s="28" t="n">
        <v>0.014383</v>
      </c>
      <c r="R91" s="26" t="n">
        <v>0</v>
      </c>
      <c r="S91" s="29" t="n">
        <v>0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3</v>
      </c>
      <c r="Y91" s="25" t="n"/>
      <c r="Z91" s="26" t="n"/>
      <c r="AA91" s="28" t="n"/>
      <c r="AB91" s="28" t="n"/>
      <c r="AC91" s="30" t="n">
        <v>0</v>
      </c>
      <c r="AD91" s="24" t="inlineStr">
        <is>
          <t>2026-08-08T00:59:17.322513Z</t>
        </is>
      </c>
      <c r="AE91" s="31" t="inlineStr">
        <is>
          <t>Poisson-DC rates 1.66 (home) / 1.56 (away) from EWMA attack/defense strengths. Executable ask 0.3800 (atc-pl1-cou-gar-2026-08-07-cou).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Cusco FC</t>
        </is>
      </c>
      <c r="AQ91" s="24" t="inlineStr">
        <is>
          <t>Cusco FC</t>
        </is>
      </c>
      <c r="AR91" s="24" t="inlineStr">
        <is>
          <t>Cusco FC</t>
        </is>
      </c>
      <c r="AS91" s="24" t="inlineStr">
        <is>
          <t>Comerciantes Unidos</t>
        </is>
      </c>
      <c r="AT91" s="24" t="inlineStr">
        <is>
          <t>Comerciantes Unidos</t>
        </is>
      </c>
      <c r="AU91" s="24" t="inlineStr">
        <is>
          <t>Comerciantes Unidos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2026-08-07T18:28:05.240611Z</t>
        </is>
      </c>
      <c r="BI91" s="24" t="inlineStr">
        <is>
          <t>["same_event","same_team_same_day","same_league_same_day"]</t>
        </is>
      </c>
      <c r="BJ91" s="25" t="n"/>
      <c r="BK91" s="26" t="n">
        <v>163</v>
      </c>
      <c r="BL91" s="27" t="n">
        <v>2.63</v>
      </c>
      <c r="BM91" s="28" t="n">
        <v>0.380228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</row>
    <row r="92" ht="36" customHeight="1">
      <c r="A92" s="24" t="inlineStr">
        <is>
          <t>65cbf0fd53194669</t>
        </is>
      </c>
      <c r="B92" s="24" t="inlineStr">
        <is>
          <t>2026-08-07T18:30:33.836209Z</t>
        </is>
      </c>
      <c r="C92" s="24" t="inlineStr">
        <is>
          <t>2026-08-07T18:45Z</t>
        </is>
      </c>
      <c r="D92" s="24" t="inlineStr">
        <is>
          <t>401906279</t>
        </is>
      </c>
      <c r="E92" s="24" t="inlineStr">
        <is>
          <t>SOCCER</t>
        </is>
      </c>
      <c r="F92" s="24" t="inlineStr">
        <is>
          <t>Padova</t>
        </is>
      </c>
      <c r="G92" s="24" t="inlineStr">
        <is>
          <t>Monza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426</v>
      </c>
      <c r="M92" s="27" t="n">
        <v>5.26</v>
      </c>
      <c r="N92" s="28" t="n">
        <v>0.190114</v>
      </c>
      <c r="O92" s="28" t="n">
        <v>0.5644479999999999</v>
      </c>
      <c r="P92" s="28" t="n">
        <v>0.2</v>
      </c>
      <c r="Q92" s="28" t="n">
        <v>0.374334</v>
      </c>
      <c r="R92" s="26" t="n">
        <v>100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3</v>
      </c>
      <c r="X92" s="26" t="n">
        <v>3</v>
      </c>
      <c r="Y92" s="25" t="n"/>
      <c r="Z92" s="26" t="n"/>
      <c r="AA92" s="28" t="n"/>
      <c r="AB92" s="28" t="n"/>
      <c r="AC92" s="30" t="n">
        <v>-1</v>
      </c>
      <c r="AD92" s="24" t="inlineStr">
        <is>
          <t>2026-08-08T00:59:18.895318Z</t>
        </is>
      </c>
      <c r="AE92" s="31" t="inlineStr">
        <is>
          <t>Poisson-DC rates 0.86 (home) / 1.71 (away) from EWMA attack/defense strengths. Executable ask 0.1900 (atc-clbf-mon-pad-2026-08-07-pad).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Padova</t>
        </is>
      </c>
      <c r="AQ92" s="24" t="inlineStr">
        <is>
          <t>Padova</t>
        </is>
      </c>
      <c r="AR92" s="24" t="inlineStr">
        <is>
          <t>Padova</t>
        </is>
      </c>
      <c r="AS92" s="24" t="inlineStr">
        <is>
          <t>Monza</t>
        </is>
      </c>
      <c r="AT92" s="24" t="inlineStr">
        <is>
          <t>Monza</t>
        </is>
      </c>
      <c r="AU92" s="24" t="inlineStr">
        <is>
          <t>Monza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2026-08-07T18:28:05.312057Z</t>
        </is>
      </c>
      <c r="BI92" s="24" t="inlineStr">
        <is>
          <t>["same_event","same_team_same_day","same_league_same_day"]</t>
        </is>
      </c>
      <c r="BJ92" s="25" t="n"/>
      <c r="BK92" s="26" t="n">
        <v>426</v>
      </c>
      <c r="BL92" s="27" t="n">
        <v>5.26</v>
      </c>
      <c r="BM92" s="28" t="n">
        <v>0.190114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afd9334bbea54991</t>
        </is>
      </c>
      <c r="B93" s="24" t="inlineStr">
        <is>
          <t>2026-08-07T21:57:06.967476Z</t>
        </is>
      </c>
      <c r="C93" s="24" t="inlineStr">
        <is>
          <t>2026-08-07T23:30Z</t>
        </is>
      </c>
      <c r="D93" s="24" t="inlineStr">
        <is>
          <t>401860269</t>
        </is>
      </c>
      <c r="E93" s="24" t="inlineStr">
        <is>
          <t>SOCCER</t>
        </is>
      </c>
      <c r="F93" s="24" t="inlineStr">
        <is>
          <t>Ponte Preta</t>
        </is>
      </c>
      <c r="G93" s="24" t="inlineStr">
        <is>
          <t>Ceará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-213</v>
      </c>
      <c r="M93" s="27" t="n">
        <v>1.469484</v>
      </c>
      <c r="N93" s="28" t="n">
        <v>0.680511</v>
      </c>
      <c r="O93" s="28" t="n">
        <v>0.483295</v>
      </c>
      <c r="P93" s="28" t="n">
        <v>0.2</v>
      </c>
      <c r="Q93" s="28" t="n">
        <v>-0.197216</v>
      </c>
      <c r="R93" s="26" t="n">
        <v>0</v>
      </c>
      <c r="S93" s="29" t="n">
        <v>0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2</v>
      </c>
      <c r="Y93" s="25" t="n"/>
      <c r="Z93" s="26" t="n"/>
      <c r="AA93" s="28" t="n"/>
      <c r="AB93" s="28" t="n"/>
      <c r="AC93" s="30" t="n">
        <v>0</v>
      </c>
      <c r="AD93" s="24" t="inlineStr">
        <is>
          <t>2026-08-08T04:03:55.725680Z</t>
        </is>
      </c>
      <c r="AE93" s="31" t="inlineStr">
        <is>
          <t>Poisson-DC rates 1.72 (home) / 1.20 (away) from EWMA attack/defense strengths. Executable ask 0.6800 (atc-brb-csc-pop-2026-08-07-csc).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Ponte Preta</t>
        </is>
      </c>
      <c r="AQ93" s="24" t="inlineStr">
        <is>
          <t>Ponte Preta</t>
        </is>
      </c>
      <c r="AR93" s="24" t="inlineStr">
        <is>
          <t>Ponte Preta</t>
        </is>
      </c>
      <c r="AS93" s="24" t="inlineStr">
        <is>
          <t>Ceará</t>
        </is>
      </c>
      <c r="AT93" s="24" t="inlineStr">
        <is>
          <t>Ceará</t>
        </is>
      </c>
      <c r="AU93" s="24" t="inlineStr">
        <is>
          <t>Ceará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2026-08-07T21:56:01.183000Z</t>
        </is>
      </c>
      <c r="BI93" s="24" t="inlineStr">
        <is>
          <t>["same_event","same_team_same_day","same_league_same_day"]</t>
        </is>
      </c>
      <c r="BJ93" s="25" t="n"/>
      <c r="BK93" s="26" t="n">
        <v>-213</v>
      </c>
      <c r="BL93" s="27" t="n">
        <v>1.469484</v>
      </c>
      <c r="BM93" s="28" t="n">
        <v>0.680511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</row>
    <row r="94" ht="36" customHeight="1">
      <c r="A94" s="24" t="inlineStr">
        <is>
          <t>a8f858cba7cb4501</t>
        </is>
      </c>
      <c r="B94" s="24" t="inlineStr">
        <is>
          <t>2026-08-07T21:57:06.967476Z</t>
        </is>
      </c>
      <c r="C94" s="24" t="inlineStr">
        <is>
          <t>2026-08-07T22:30Z</t>
        </is>
      </c>
      <c r="D94" s="24" t="inlineStr">
        <is>
          <t>401841491</t>
        </is>
      </c>
      <c r="E94" s="24" t="inlineStr">
        <is>
          <t>SOCCER</t>
        </is>
      </c>
      <c r="F94" s="24" t="inlineStr">
        <is>
          <t>Aldosivi</t>
        </is>
      </c>
      <c r="G94" s="24" t="inlineStr">
        <is>
          <t>Rosario Central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0.456135</v>
      </c>
      <c r="P94" s="28" t="n">
        <v>0.2</v>
      </c>
      <c r="Q94" s="28" t="n">
        <v>-0.173495</v>
      </c>
      <c r="R94" s="26" t="n">
        <v>0</v>
      </c>
      <c r="S94" s="29" t="n">
        <v>0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</v>
      </c>
      <c r="AD94" s="24" t="inlineStr">
        <is>
          <t>2026-08-08T00:59:22.760236Z</t>
        </is>
      </c>
      <c r="AE94" s="31" t="inlineStr">
        <is>
          <t>Poisson-DC rates 1.64 (home) / 1.24 (away) from EWMA attack/defense strengths. Executable ask 0.6300 (atc-lpa-ros-ald-2026-08-07-ros).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NO_CALL_WINNER_OVERVALUED</t>
        </is>
      </c>
      <c r="AP94" s="24" t="inlineStr">
        <is>
          <t>Aldosivi</t>
        </is>
      </c>
      <c r="AQ94" s="24" t="inlineStr">
        <is>
          <t>Aldosivi</t>
        </is>
      </c>
      <c r="AR94" s="24" t="inlineStr">
        <is>
          <t>Aldosivi</t>
        </is>
      </c>
      <c r="AS94" s="24" t="inlineStr">
        <is>
          <t>Rosario Central</t>
        </is>
      </c>
      <c r="AT94" s="24" t="inlineStr">
        <is>
          <t>Rosario Central</t>
        </is>
      </c>
      <c r="AU94" s="24" t="inlineStr">
        <is>
          <t>Rosario Central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2026-08-07T21:56:01.197015Z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</row>
    <row r="95" ht="36" customHeight="1">
      <c r="A95" s="24" t="inlineStr">
        <is>
          <t>01e015683cc44227</t>
        </is>
      </c>
      <c r="B95" s="24" t="inlineStr">
        <is>
          <t>2026-08-07T21:57:06.967476Z</t>
        </is>
      </c>
      <c r="C95" s="24" t="inlineStr">
        <is>
          <t>2026-08-07T22:00Z</t>
        </is>
      </c>
      <c r="D95" s="24" t="inlineStr">
        <is>
          <t>401905201</t>
        </is>
      </c>
      <c r="E95" s="24" t="inlineStr">
        <is>
          <t>SOCCER</t>
        </is>
      </c>
      <c r="F95" s="24" t="inlineStr">
        <is>
          <t>Juventud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203</v>
      </c>
      <c r="M95" s="27" t="n">
        <v>3.03</v>
      </c>
      <c r="N95" s="28" t="n">
        <v>0.330033</v>
      </c>
      <c r="O95" s="28" t="n">
        <v>0.456135</v>
      </c>
      <c r="P95" s="28" t="n">
        <v>0.2</v>
      </c>
      <c r="Q95" s="28" t="n">
        <v>0.126102</v>
      </c>
      <c r="R95" s="26" t="n">
        <v>0</v>
      </c>
      <c r="S95" s="29" t="n">
        <v>0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/>
      <c r="AA95" s="28" t="n"/>
      <c r="AB95" s="28" t="n"/>
      <c r="AC95" s="30" t="n">
        <v>0</v>
      </c>
      <c r="AD95" s="24" t="inlineStr">
        <is>
          <t>2026-08-08T00:59:23.350192Z</t>
        </is>
      </c>
      <c r="AE95" s="31" t="inlineStr">
        <is>
          <t>Poisson-DC rates 1.64 (home) / 1.24 (away) from EWMA attack/defense strengths. Executable ask 0.3300 (atc-uru1-cla-juv-2026-08-07-cla).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NO_CALL_WINNER_OVERVALUED</t>
        </is>
      </c>
      <c r="AP95" s="24" t="inlineStr">
        <is>
          <t>Juventud</t>
        </is>
      </c>
      <c r="AQ95" s="24" t="inlineStr">
        <is>
          <t>Juventud</t>
        </is>
      </c>
      <c r="AR95" s="24" t="inlineStr">
        <is>
          <t>Juventud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2026-08-07T21:56:01.741896Z</t>
        </is>
      </c>
      <c r="BI95" s="24" t="inlineStr">
        <is>
          <t>["same_event","same_team_same_day","same_league_same_day"]</t>
        </is>
      </c>
      <c r="BJ95" s="25" t="n"/>
      <c r="BK95" s="26" t="n">
        <v>203</v>
      </c>
      <c r="BL95" s="27" t="n">
        <v>3.03</v>
      </c>
      <c r="BM95" s="28" t="n">
        <v>0.330033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850960253aab4352</t>
        </is>
      </c>
      <c r="B96" s="24" t="inlineStr">
        <is>
          <t>2026-08-08T04:06:48.430272Z</t>
        </is>
      </c>
      <c r="C96" s="24" t="inlineStr">
        <is>
          <t>2026-08-08T12:00Z</t>
        </is>
      </c>
      <c r="D96" s="24" t="inlineStr">
        <is>
          <t>401871495</t>
        </is>
      </c>
      <c r="E96" s="24" t="inlineStr">
        <is>
          <t>SOCCER</t>
        </is>
      </c>
      <c r="F96" s="24" t="inlineStr">
        <is>
          <t>AC Milan</t>
        </is>
      </c>
      <c r="G96" s="24" t="inlineStr">
        <is>
          <t>Chelsea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223</v>
      </c>
      <c r="M96" s="27" t="n">
        <v>3.23</v>
      </c>
      <c r="N96" s="28" t="n">
        <v>0.309598</v>
      </c>
      <c r="O96" s="28" t="n">
        <v>0.38707</v>
      </c>
      <c r="P96" s="28" t="n">
        <v>0.04</v>
      </c>
      <c r="Q96" s="28" t="n">
        <v>0.077472</v>
      </c>
      <c r="R96" s="26" t="n">
        <v>65</v>
      </c>
      <c r="S96" s="29" t="n">
        <v>1.5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3</v>
      </c>
      <c r="Y96" s="25" t="n"/>
      <c r="Z96" s="26" t="n"/>
      <c r="AA96" s="28" t="n"/>
      <c r="AB96" s="28" t="n"/>
      <c r="AC96" s="30" t="n">
        <v>-1.5</v>
      </c>
      <c r="AD96" s="24" t="inlineStr">
        <is>
          <t>2026-08-08T18:33:30.065799Z</t>
        </is>
      </c>
      <c r="AE96" s="31" t="inlineStr">
        <is>
          <t>Poisson-DC rates 1.20 (home) / 1.34 (away) from EWMA attack/defense strengths. Executable ask 0.3100 (atc-clbf-cfc-acm-2026-08-08-acm).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AC Milan</t>
        </is>
      </c>
      <c r="AQ96" s="24" t="inlineStr">
        <is>
          <t>AC Milan</t>
        </is>
      </c>
      <c r="AR96" s="24" t="inlineStr">
        <is>
          <t>AC Milan</t>
        </is>
      </c>
      <c r="AS96" s="24" t="inlineStr">
        <is>
          <t>Chelsea</t>
        </is>
      </c>
      <c r="AT96" s="24" t="inlineStr">
        <is>
          <t>Chelsea</t>
        </is>
      </c>
      <c r="AU96" s="24" t="inlineStr">
        <is>
          <t>Chelsea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c95ec2023134439ab985cb4cdcc58243749b9deb564fca7a2d587c15c9875427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c95ec2023134439ab985cb4cdcc58243749b9deb564fca7a2d587c15c9875427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c95ec2023134439ab985cb4cdcc58243749b9deb564fca7a2d587c15c9875427</t>
        </is>
      </c>
      <c r="BH96" s="24" t="inlineStr">
        <is>
          <t>2026-08-08T04:05:26.078272Z</t>
        </is>
      </c>
      <c r="BI96" s="24" t="inlineStr">
        <is>
          <t>["same_event","same_team_same_day","same_league_same_day"]</t>
        </is>
      </c>
      <c r="BJ96" s="25" t="n"/>
      <c r="BK96" s="26" t="n">
        <v>223</v>
      </c>
      <c r="BL96" s="27" t="n">
        <v>3.23</v>
      </c>
      <c r="BM96" s="28" t="n">
        <v>0.309598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</row>
    <row r="97" ht="36" customHeight="1">
      <c r="A97" s="24" t="inlineStr">
        <is>
          <t>720c129b5d7a4477</t>
        </is>
      </c>
      <c r="B97" s="24" t="inlineStr">
        <is>
          <t>2026-08-08T18:36:33.205564Z</t>
        </is>
      </c>
      <c r="C97" s="24" t="inlineStr">
        <is>
          <t>2026-08-08T23:30Z</t>
        </is>
      </c>
      <c r="D97" s="24" t="inlineStr">
        <is>
          <t>401841184</t>
        </is>
      </c>
      <c r="E97" s="24" t="inlineStr">
        <is>
          <t>SOCCER</t>
        </is>
      </c>
      <c r="F97" s="24" t="inlineStr">
        <is>
          <t>Chapecoense</t>
        </is>
      </c>
      <c r="G97" s="24" t="inlineStr">
        <is>
          <t>Coritiba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0.451659</v>
      </c>
      <c r="P97" s="28" t="n">
        <v>0.2</v>
      </c>
      <c r="Q97" s="28" t="n">
        <v>-0.138505</v>
      </c>
      <c r="R97" s="26" t="n">
        <v>0</v>
      </c>
      <c r="S97" s="29" t="n">
        <v>0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/>
      <c r="AA97" s="28" t="n"/>
      <c r="AB97" s="28" t="n"/>
      <c r="AC97" s="30" t="n">
        <v>0</v>
      </c>
      <c r="AD97" s="24" t="inlineStr">
        <is>
          <t>2026-08-09T05:13:11.862105Z</t>
        </is>
      </c>
      <c r="AE97" s="31" t="inlineStr">
        <is>
          <t>Poisson-DC rates 1.59 (home) / 1.20 (away) from EWMA attack/defense strengths. Executable ask 0.5900 (atc-bra-cor-cha-2026-08-08-cor).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Chapecoense</t>
        </is>
      </c>
      <c r="AQ97" s="24" t="inlineStr">
        <is>
          <t>Chapecoense</t>
        </is>
      </c>
      <c r="AR97" s="24" t="inlineStr">
        <is>
          <t>Chapecoense</t>
        </is>
      </c>
      <c r="AS97" s="24" t="inlineStr">
        <is>
          <t>Coritiba</t>
        </is>
      </c>
      <c r="AT97" s="24" t="inlineStr">
        <is>
          <t>Coritiba</t>
        </is>
      </c>
      <c r="AU97" s="24" t="inlineStr">
        <is>
          <t>Coritiba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c95ec2023134439ab985cb4cdcc58243749b9deb564fca7a2d587c15c9875427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c95ec2023134439ab985cb4cdcc58243749b9deb564fca7a2d587c15c9875427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c95ec2023134439ab985cb4cdcc58243749b9deb564fca7a2d587c15c9875427</t>
        </is>
      </c>
      <c r="BH97" s="24" t="inlineStr">
        <is>
          <t>2026-08-08T18:35:42.695025Z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1e3c78a3ea604069</t>
        </is>
      </c>
      <c r="B98" s="24" t="inlineStr">
        <is>
          <t>2026-08-08T18:36:33.205564Z</t>
        </is>
      </c>
      <c r="C98" s="24" t="inlineStr">
        <is>
          <t>2026-08-09T00:00Z</t>
        </is>
      </c>
      <c r="D98" s="24" t="inlineStr">
        <is>
          <t>401841185</t>
        </is>
      </c>
      <c r="E98" s="24" t="inlineStr">
        <is>
          <t>SOCCER</t>
        </is>
      </c>
      <c r="F98" s="24" t="inlineStr">
        <is>
          <t>Fluminense</t>
        </is>
      </c>
      <c r="G98" s="24" t="inlineStr">
        <is>
          <t>Botafogo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133</v>
      </c>
      <c r="M98" s="27" t="n">
        <v>2.33</v>
      </c>
      <c r="N98" s="28" t="n">
        <v>0.429185</v>
      </c>
      <c r="O98" s="28" t="n">
        <v>0.456135</v>
      </c>
      <c r="P98" s="28" t="n">
        <v>0.2</v>
      </c>
      <c r="Q98" s="28" t="n">
        <v>0.02695</v>
      </c>
      <c r="R98" s="26" t="n">
        <v>0</v>
      </c>
      <c r="S98" s="29" t="n">
        <v>0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1</v>
      </c>
      <c r="Y98" s="25" t="n"/>
      <c r="Z98" s="26" t="n"/>
      <c r="AA98" s="28" t="n"/>
      <c r="AB98" s="28" t="n"/>
      <c r="AC98" s="30" t="n">
        <v>0</v>
      </c>
      <c r="AD98" s="24" t="inlineStr">
        <is>
          <t>2026-08-09T05:13:13.233873Z</t>
        </is>
      </c>
      <c r="AE98" s="31" t="inlineStr">
        <is>
          <t>Poisson-DC rates 1.64 (home) / 1.24 (away) from EWMA attack/defense strengths. Executable ask 0.4300 (atc-bra-bot-flu-2026-08-08-bot).</t>
        </is>
      </c>
      <c r="AF98" s="31" t="inlineStr">
        <is>
          <t>Research-only soccer score model; draw-aware, but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NO_CALL_WINNER_OVERVALUED</t>
        </is>
      </c>
      <c r="AP98" s="24" t="inlineStr">
        <is>
          <t>Fluminense</t>
        </is>
      </c>
      <c r="AQ98" s="24" t="inlineStr">
        <is>
          <t>Fluminense</t>
        </is>
      </c>
      <c r="AR98" s="24" t="inlineStr">
        <is>
          <t>Fluminense</t>
        </is>
      </c>
      <c r="AS98" s="24" t="inlineStr">
        <is>
          <t>Botafogo</t>
        </is>
      </c>
      <c r="AT98" s="24" t="inlineStr">
        <is>
          <t>Botafogo</t>
        </is>
      </c>
      <c r="AU98" s="24" t="inlineStr">
        <is>
          <t>Botafogo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c95ec2023134439ab985cb4cdcc58243749b9deb564fca7a2d587c15c9875427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c95ec2023134439ab985cb4cdcc58243749b9deb564fca7a2d587c15c9875427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c95ec2023134439ab985cb4cdcc58243749b9deb564fca7a2d587c15c9875427</t>
        </is>
      </c>
      <c r="BH98" s="24" t="inlineStr">
        <is>
          <t>2026-08-08T18:35:42.924313Z</t>
        </is>
      </c>
      <c r="BI98" s="24" t="inlineStr">
        <is>
          <t>["same_event","same_team_same_day","same_league_same_day"]</t>
        </is>
      </c>
      <c r="BJ98" s="25" t="n"/>
      <c r="BK98" s="26" t="n">
        <v>133</v>
      </c>
      <c r="BL98" s="27" t="n">
        <v>2.33</v>
      </c>
      <c r="BM98" s="28" t="n">
        <v>0.429185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9a46107b2e294898</t>
        </is>
      </c>
      <c r="B99" s="24" t="inlineStr">
        <is>
          <t>2026-08-08T18:36:33.205564Z</t>
        </is>
      </c>
      <c r="C99" s="24" t="inlineStr">
        <is>
          <t>2026-08-08T20:00Z</t>
        </is>
      </c>
      <c r="D99" s="24" t="inlineStr">
        <is>
          <t>401841488</t>
        </is>
      </c>
      <c r="E99" s="24" t="inlineStr">
        <is>
          <t>SOCCER</t>
        </is>
      </c>
      <c r="F99" s="24" t="inlineStr">
        <is>
          <t>River Plate</t>
        </is>
      </c>
      <c r="G99" s="24" t="inlineStr">
        <is>
          <t>Tigre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270</v>
      </c>
      <c r="M99" s="27" t="n">
        <v>3.7</v>
      </c>
      <c r="N99" s="28" t="n">
        <v>0.27027</v>
      </c>
      <c r="O99" s="28" t="n">
        <v>0.378182</v>
      </c>
      <c r="P99" s="28" t="n">
        <v>0.2</v>
      </c>
      <c r="Q99" s="28" t="n">
        <v>0.107912</v>
      </c>
      <c r="R99" s="26" t="n">
        <v>0</v>
      </c>
      <c r="S99" s="29" t="n">
        <v>0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</v>
      </c>
      <c r="AD99" s="24" t="inlineStr">
        <is>
          <t>2026-08-09T05:13:15.462045Z</t>
        </is>
      </c>
      <c r="AE99" s="31" t="inlineStr">
        <is>
          <t>Poisson-DC rates 1.46 (home) / 1.39 (away) from EWMA attack/defense strengths. Executable ask 0.2700 (atc-lpa-tig-riv-2026-08-08-tig).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River Plate</t>
        </is>
      </c>
      <c r="AQ99" s="24" t="inlineStr">
        <is>
          <t>River Plate</t>
        </is>
      </c>
      <c r="AR99" s="24" t="inlineStr">
        <is>
          <t>River Plate</t>
        </is>
      </c>
      <c r="AS99" s="24" t="inlineStr">
        <is>
          <t>Tigre</t>
        </is>
      </c>
      <c r="AT99" s="24" t="inlineStr">
        <is>
          <t>Tigre</t>
        </is>
      </c>
      <c r="AU99" s="24" t="inlineStr">
        <is>
          <t>Tigre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c95ec2023134439ab985cb4cdcc58243749b9deb564fca7a2d587c15c9875427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c95ec2023134439ab985cb4cdcc58243749b9deb564fca7a2d587c15c9875427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c95ec2023134439ab985cb4cdcc58243749b9deb564fca7a2d587c15c9875427</t>
        </is>
      </c>
      <c r="BH99" s="24" t="inlineStr">
        <is>
          <t>2026-08-08T18:35:43.449488Z</t>
        </is>
      </c>
      <c r="BI99" s="24" t="inlineStr">
        <is>
          <t>["same_event","same_team_same_day","same_league_same_day"]</t>
        </is>
      </c>
      <c r="BJ99" s="25" t="n"/>
      <c r="BK99" s="26" t="n">
        <v>270</v>
      </c>
      <c r="BL99" s="27" t="n">
        <v>3.7</v>
      </c>
      <c r="BM99" s="28" t="n">
        <v>0.27027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66c9f4dd7dde449c</t>
        </is>
      </c>
      <c r="B100" s="24" t="inlineStr">
        <is>
          <t>2026-08-08T18:36:33.205564Z</t>
        </is>
      </c>
      <c r="C100" s="24" t="inlineStr">
        <is>
          <t>2026-08-09T00:30Z</t>
        </is>
      </c>
      <c r="D100" s="24" t="inlineStr">
        <is>
          <t>401841486</t>
        </is>
      </c>
      <c r="E100" s="24" t="inlineStr">
        <is>
          <t>SOCCER</t>
        </is>
      </c>
      <c r="F100" s="24" t="inlineStr">
        <is>
          <t>Platense</t>
        </is>
      </c>
      <c r="G100" s="24" t="inlineStr">
        <is>
          <t>Independiente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-113</v>
      </c>
      <c r="M100" s="27" t="n">
        <v>1.884956</v>
      </c>
      <c r="N100" s="28" t="n">
        <v>0.530516</v>
      </c>
      <c r="O100" s="28" t="n">
        <v>0.456135</v>
      </c>
      <c r="P100" s="28" t="n">
        <v>0.2</v>
      </c>
      <c r="Q100" s="28" t="n">
        <v>-0.074381</v>
      </c>
      <c r="R100" s="26" t="n">
        <v>0</v>
      </c>
      <c r="S100" s="29" t="n">
        <v>0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0</v>
      </c>
      <c r="AD100" s="24" t="inlineStr">
        <is>
          <t>2026-08-09T05:13:17.044847Z</t>
        </is>
      </c>
      <c r="AE100" s="31" t="inlineStr">
        <is>
          <t>Poisson-DC rates 1.64 (home) / 1.24 (away) from EWMA attack/defense strengths. Executable ask 0.5300 (atc-lpa-ind-pla-2026-08-08-ind).</t>
        </is>
      </c>
      <c r="AF100" s="31" t="inlineStr">
        <is>
          <t>Research-only soccer score model; draw-aware, but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NO_CALL_WINNER_OVERVALUED</t>
        </is>
      </c>
      <c r="AP100" s="24" t="inlineStr">
        <is>
          <t>Platense</t>
        </is>
      </c>
      <c r="AQ100" s="24" t="inlineStr">
        <is>
          <t>Platense</t>
        </is>
      </c>
      <c r="AR100" s="24" t="inlineStr">
        <is>
          <t>Platense</t>
        </is>
      </c>
      <c r="AS100" s="24" t="inlineStr">
        <is>
          <t>Independiente</t>
        </is>
      </c>
      <c r="AT100" s="24" t="inlineStr">
        <is>
          <t>Independiente</t>
        </is>
      </c>
      <c r="AU100" s="24" t="inlineStr">
        <is>
          <t>Independiente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c95ec2023134439ab985cb4cdcc58243749b9deb564fca7a2d587c15c9875427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c95ec2023134439ab985cb4cdcc58243749b9deb564fca7a2d587c15c9875427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c95ec2023134439ab985cb4cdcc58243749b9deb564fca7a2d587c15c9875427</t>
        </is>
      </c>
      <c r="BH100" s="24" t="inlineStr">
        <is>
          <t>2026-08-08T18:35:43.668850Z</t>
        </is>
      </c>
      <c r="BI100" s="24" t="inlineStr">
        <is>
          <t>["same_event","same_team_same_day","same_league_same_day"]</t>
        </is>
      </c>
      <c r="BJ100" s="25" t="n"/>
      <c r="BK100" s="26" t="n">
        <v>-113</v>
      </c>
      <c r="BL100" s="27" t="n">
        <v>1.884956</v>
      </c>
      <c r="BM100" s="28" t="n">
        <v>0.530516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da9a3a117c814575</t>
        </is>
      </c>
      <c r="B101" s="24" t="inlineStr">
        <is>
          <t>2026-08-08T18:36:33.205564Z</t>
        </is>
      </c>
      <c r="C101" s="24" t="inlineStr">
        <is>
          <t>2026-08-08T19:00Z</t>
        </is>
      </c>
      <c r="D101" s="24" t="inlineStr">
        <is>
          <t>401844041</t>
        </is>
      </c>
      <c r="E101" s="24" t="inlineStr">
        <is>
          <t>SOCCER</t>
        </is>
      </c>
      <c r="F101" s="24" t="inlineStr">
        <is>
          <t>Chacarita Juniors</t>
        </is>
      </c>
      <c r="G101" s="24" t="inlineStr">
        <is>
          <t>Atletico Rafaela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144</v>
      </c>
      <c r="M101" s="27" t="n">
        <v>2.44</v>
      </c>
      <c r="N101" s="28" t="n">
        <v>0.409836</v>
      </c>
      <c r="O101" s="28" t="n">
        <v>0.456135</v>
      </c>
      <c r="P101" s="28" t="n">
        <v>0.2</v>
      </c>
      <c r="Q101" s="28" t="n">
        <v>0.046299</v>
      </c>
      <c r="R101" s="26" t="n">
        <v>0</v>
      </c>
      <c r="S101" s="29" t="n">
        <v>0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0</v>
      </c>
      <c r="AD101" s="24" t="inlineStr">
        <is>
          <t>2026-08-09T05:13:18.773319Z</t>
        </is>
      </c>
      <c r="AE101" s="31" t="inlineStr">
        <is>
          <t>Poisson-DC rates 1.64 (home) / 1.24 (away) from EWMA attack/defense strengths. Executable ask 0.4100 (atc-arg2-ar-cjh-2026-08-08-ar).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Chacarita Juniors</t>
        </is>
      </c>
      <c r="AQ101" s="24" t="inlineStr">
        <is>
          <t>Chacarita Juniors</t>
        </is>
      </c>
      <c r="AR101" s="24" t="inlineStr">
        <is>
          <t>Chacarita Juniors</t>
        </is>
      </c>
      <c r="AS101" s="24" t="inlineStr">
        <is>
          <t>Atletico Rafaela</t>
        </is>
      </c>
      <c r="AT101" s="24" t="inlineStr">
        <is>
          <t>Atletico Rafaela</t>
        </is>
      </c>
      <c r="AU101" s="24" t="inlineStr">
        <is>
          <t>Atletico Rafaela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c95ec2023134439ab985cb4cdcc58243749b9deb564fca7a2d587c15c9875427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c95ec2023134439ab985cb4cdcc58243749b9deb564fca7a2d587c15c9875427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c95ec2023134439ab985cb4cdcc58243749b9deb564fca7a2d587c15c9875427</t>
        </is>
      </c>
      <c r="BH101" s="24" t="inlineStr">
        <is>
          <t>2026-08-08T18:35:44.262304Z</t>
        </is>
      </c>
      <c r="BI101" s="24" t="inlineStr">
        <is>
          <t>["same_event","same_team_same_day","same_league_same_day"]</t>
        </is>
      </c>
      <c r="BJ101" s="25" t="n"/>
      <c r="BK101" s="26" t="n">
        <v>144</v>
      </c>
      <c r="BL101" s="27" t="n">
        <v>2.44</v>
      </c>
      <c r="BM101" s="28" t="n">
        <v>0.409836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2357169c6c404e94</t>
        </is>
      </c>
      <c r="B102" s="24" t="inlineStr">
        <is>
          <t>2026-08-08T18:36:33.205564Z</t>
        </is>
      </c>
      <c r="C102" s="24" t="inlineStr">
        <is>
          <t>2026-08-08T19:00Z</t>
        </is>
      </c>
      <c r="D102" s="24" t="inlineStr">
        <is>
          <t>401850616</t>
        </is>
      </c>
      <c r="E102" s="24" t="inlineStr">
        <is>
          <t>SOCCER</t>
        </is>
      </c>
      <c r="F102" s="24" t="inlineStr">
        <is>
          <t>Everton CD</t>
        </is>
      </c>
      <c r="G102" s="24" t="inlineStr">
        <is>
          <t>Huachipato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212</v>
      </c>
      <c r="M102" s="27" t="n">
        <v>3.12</v>
      </c>
      <c r="N102" s="28" t="n">
        <v>0.320513</v>
      </c>
      <c r="O102" s="28" t="n">
        <v>0.468722</v>
      </c>
      <c r="P102" s="28" t="n">
        <v>0.19</v>
      </c>
      <c r="Q102" s="28" t="n">
        <v>0.148209</v>
      </c>
      <c r="R102" s="26" t="n">
        <v>10</v>
      </c>
      <c r="S102" s="29" t="n">
        <v>0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loss</t>
        </is>
      </c>
      <c r="W102" s="26" t="n">
        <v>4</v>
      </c>
      <c r="X102" s="26" t="n">
        <v>1</v>
      </c>
      <c r="Y102" s="25" t="n"/>
      <c r="Z102" s="26" t="n"/>
      <c r="AA102" s="28" t="n"/>
      <c r="AB102" s="28" t="n"/>
      <c r="AC102" s="30" t="n">
        <v>0</v>
      </c>
      <c r="AD102" s="24" t="inlineStr">
        <is>
          <t>2026-08-09T05:13:20.714473Z</t>
        </is>
      </c>
      <c r="AE102" s="31" t="inlineStr">
        <is>
          <t>Poisson-DC rates 1.53 (home) / 1.07 (away) from EWMA attack/defense strengths. Executable ask 0.3200 (atc-pdc-hua-eve-2026-08-08-hua).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NO_CALL_WINNER_OVERVALUED</t>
        </is>
      </c>
      <c r="AP102" s="24" t="inlineStr">
        <is>
          <t>Everton CD</t>
        </is>
      </c>
      <c r="AQ102" s="24" t="inlineStr">
        <is>
          <t>Everton CD</t>
        </is>
      </c>
      <c r="AR102" s="24" t="inlineStr">
        <is>
          <t>Everton CD</t>
        </is>
      </c>
      <c r="AS102" s="24" t="inlineStr">
        <is>
          <t>Huachipato</t>
        </is>
      </c>
      <c r="AT102" s="24" t="inlineStr">
        <is>
          <t>Huachipato</t>
        </is>
      </c>
      <c r="AU102" s="24" t="inlineStr">
        <is>
          <t>Huachipato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c95ec2023134439ab985cb4cdcc58243749b9deb564fca7a2d587c15c9875427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c95ec2023134439ab985cb4cdcc58243749b9deb564fca7a2d587c15c9875427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c95ec2023134439ab985cb4cdcc58243749b9deb564fca7a2d587c15c9875427</t>
        </is>
      </c>
      <c r="BH102" s="24" t="inlineStr">
        <is>
          <t>2026-08-08T18:35:44.660930Z</t>
        </is>
      </c>
      <c r="BI102" s="24" t="inlineStr">
        <is>
          <t>["same_event","same_team_same_day","same_league_same_day"]</t>
        </is>
      </c>
      <c r="BJ102" s="25" t="n"/>
      <c r="BK102" s="26" t="n">
        <v>212</v>
      </c>
      <c r="BL102" s="27" t="n">
        <v>3.12</v>
      </c>
      <c r="BM102" s="28" t="n">
        <v>0.320513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01440401ec2847a1</t>
        </is>
      </c>
      <c r="B103" s="24" t="inlineStr">
        <is>
          <t>2026-08-08T18:36:33.205564Z</t>
        </is>
      </c>
      <c r="C103" s="24" t="inlineStr">
        <is>
          <t>2026-08-08T21:30Z</t>
        </is>
      </c>
      <c r="D103" s="24" t="inlineStr">
        <is>
          <t>401850618</t>
        </is>
      </c>
      <c r="E103" s="24" t="inlineStr">
        <is>
          <t>SOCCER</t>
        </is>
      </c>
      <c r="F103" s="24" t="inlineStr">
        <is>
          <t>La Serena</t>
        </is>
      </c>
      <c r="G103" s="24" t="inlineStr">
        <is>
          <t>Coquimbo Unido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0.456135</v>
      </c>
      <c r="P103" s="28" t="n">
        <v>0.2</v>
      </c>
      <c r="Q103" s="28" t="n">
        <v>-0.15324</v>
      </c>
      <c r="R103" s="26" t="n">
        <v>0</v>
      </c>
      <c r="S103" s="29" t="n">
        <v>0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1</v>
      </c>
      <c r="Y103" s="25" t="n"/>
      <c r="Z103" s="26" t="n"/>
      <c r="AA103" s="28" t="n"/>
      <c r="AB103" s="28" t="n"/>
      <c r="AC103" s="30" t="n">
        <v>0</v>
      </c>
      <c r="AD103" s="24" t="inlineStr">
        <is>
          <t>2026-08-09T05:13:22.294978Z</t>
        </is>
      </c>
      <c r="AE103" s="31" t="inlineStr">
        <is>
          <t>Poisson-DC rates 1.64 (home) / 1.24 (away) from EWMA attack/defense strengths. Executable ask 0.6100 (atc-pdc-coq-ser-2026-08-08-coq).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La Serena</t>
        </is>
      </c>
      <c r="AQ103" s="24" t="inlineStr">
        <is>
          <t>La Serena</t>
        </is>
      </c>
      <c r="AR103" s="24" t="inlineStr">
        <is>
          <t>La Serena</t>
        </is>
      </c>
      <c r="AS103" s="24" t="inlineStr">
        <is>
          <t>Coquimbo Unido</t>
        </is>
      </c>
      <c r="AT103" s="24" t="inlineStr">
        <is>
          <t>Coquimbo Unido</t>
        </is>
      </c>
      <c r="AU103" s="24" t="inlineStr">
        <is>
          <t>Coquimbo Unido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c95ec2023134439ab985cb4cdcc58243749b9deb564fca7a2d587c15c9875427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c95ec2023134439ab985cb4cdcc58243749b9deb564fca7a2d587c15c9875427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c95ec2023134439ab985cb4cdcc58243749b9deb564fca7a2d587c15c9875427</t>
        </is>
      </c>
      <c r="BH103" s="24" t="inlineStr">
        <is>
          <t>2026-08-08T18:35:44.820477Z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bc2dba08f8934343</t>
        </is>
      </c>
      <c r="B104" s="24" t="inlineStr">
        <is>
          <t>2026-08-08T18:36:33.205564Z</t>
        </is>
      </c>
      <c r="C104" s="24" t="inlineStr">
        <is>
          <t>2026-08-08T21:30Z</t>
        </is>
      </c>
      <c r="D104" s="24" t="inlineStr">
        <is>
          <t>401859719</t>
        </is>
      </c>
      <c r="E104" s="24" t="inlineStr">
        <is>
          <t>SOCCER</t>
        </is>
      </c>
      <c r="F104" s="24" t="inlineStr">
        <is>
          <t>Leones</t>
        </is>
      </c>
      <c r="G104" s="24" t="inlineStr">
        <is>
          <t>Aucas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0.418807</v>
      </c>
      <c r="P104" s="28" t="n">
        <v>0.2</v>
      </c>
      <c r="Q104" s="28" t="n">
        <v>-0.130743</v>
      </c>
      <c r="R104" s="26" t="n">
        <v>0</v>
      </c>
      <c r="S104" s="29" t="n">
        <v>0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3</v>
      </c>
      <c r="Y104" s="25" t="n"/>
      <c r="Z104" s="26" t="n"/>
      <c r="AA104" s="28" t="n"/>
      <c r="AB104" s="28" t="n"/>
      <c r="AC104" s="30" t="n">
        <v>0</v>
      </c>
      <c r="AD104" s="24" t="inlineStr">
        <is>
          <t>2026-08-09T05:13:24.792766Z</t>
        </is>
      </c>
      <c r="AE104" s="31" t="inlineStr">
        <is>
          <t>Poisson-DC rates 1.46 (home) / 1.20 (away) from EWMA attack/defense strengths. Executable ask 0.5500 (atc-ecu1-sda-leo-2026-08-08-sda).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NO_CALL_WINNER_OVERVALUED</t>
        </is>
      </c>
      <c r="AP104" s="24" t="inlineStr">
        <is>
          <t>Leones</t>
        </is>
      </c>
      <c r="AQ104" s="24" t="inlineStr">
        <is>
          <t>Leones</t>
        </is>
      </c>
      <c r="AR104" s="24" t="inlineStr">
        <is>
          <t>Leones</t>
        </is>
      </c>
      <c r="AS104" s="24" t="inlineStr">
        <is>
          <t>Aucas</t>
        </is>
      </c>
      <c r="AT104" s="24" t="inlineStr">
        <is>
          <t>Aucas</t>
        </is>
      </c>
      <c r="AU104" s="24" t="inlineStr">
        <is>
          <t>Aucas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c95ec2023134439ab985cb4cdcc58243749b9deb564fca7a2d587c15c9875427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c95ec2023134439ab985cb4cdcc58243749b9deb564fca7a2d587c15c9875427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c95ec2023134439ab985cb4cdcc58243749b9deb564fca7a2d587c15c9875427</t>
        </is>
      </c>
      <c r="BH104" s="24" t="inlineStr">
        <is>
          <t>2026-08-08T18:35:45.141525Z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1170a686f31f4a8a</t>
        </is>
      </c>
      <c r="B105" s="24" t="inlineStr">
        <is>
          <t>2026-08-08T18:36:33.205564Z</t>
        </is>
      </c>
      <c r="C105" s="24" t="inlineStr">
        <is>
          <t>2026-08-09T00:00Z</t>
        </is>
      </c>
      <c r="D105" s="24" t="inlineStr">
        <is>
          <t>401859652</t>
        </is>
      </c>
      <c r="E105" s="24" t="inlineStr">
        <is>
          <t>SOCCER</t>
        </is>
      </c>
      <c r="F105" s="24" t="inlineStr">
        <is>
          <t>Macará</t>
        </is>
      </c>
      <c r="G105" s="24" t="inlineStr">
        <is>
          <t>Barcelona SC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0.643159</v>
      </c>
      <c r="P105" s="28" t="n">
        <v>0.2</v>
      </c>
      <c r="Q105" s="28" t="n">
        <v>0.06332699999999999</v>
      </c>
      <c r="R105" s="26" t="n">
        <v>0</v>
      </c>
      <c r="S105" s="29" t="n">
        <v>0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1</v>
      </c>
      <c r="Y105" s="25" t="n"/>
      <c r="Z105" s="26" t="n"/>
      <c r="AA105" s="28" t="n"/>
      <c r="AB105" s="28" t="n"/>
      <c r="AC105" s="30" t="n">
        <v>0</v>
      </c>
      <c r="AD105" s="24" t="inlineStr">
        <is>
          <t>2026-08-09T05:13:26.168921Z</t>
        </is>
      </c>
      <c r="AE105" s="31" t="inlineStr">
        <is>
          <t>Poisson-DC rates 2.32 (home) / 1.08 (away) from EWMA attack/defense strengths. Executable ask 0.5800 (atc-ecu1-bsc-mac-2026-08-08-bsc).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Macará</t>
        </is>
      </c>
      <c r="AQ105" s="24" t="inlineStr">
        <is>
          <t>Macará</t>
        </is>
      </c>
      <c r="AR105" s="24" t="inlineStr">
        <is>
          <t>Macará</t>
        </is>
      </c>
      <c r="AS105" s="24" t="inlineStr">
        <is>
          <t>Barcelona SC</t>
        </is>
      </c>
      <c r="AT105" s="24" t="inlineStr">
        <is>
          <t>Barcelona SC</t>
        </is>
      </c>
      <c r="AU105" s="24" t="inlineStr">
        <is>
          <t>Barcelona SC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c95ec2023134439ab985cb4cdcc58243749b9deb564fca7a2d587c15c9875427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c95ec2023134439ab985cb4cdcc58243749b9deb564fca7a2d587c15c9875427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c95ec2023134439ab985cb4cdcc58243749b9deb564fca7a2d587c15c9875427</t>
        </is>
      </c>
      <c r="BH105" s="24" t="inlineStr">
        <is>
          <t>2026-08-08T18:35:45.231100Z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1581e7658fc84bc3</t>
        </is>
      </c>
      <c r="B106" s="24" t="inlineStr">
        <is>
          <t>2026-08-08T18:36:33.205564Z</t>
        </is>
      </c>
      <c r="C106" s="24" t="inlineStr">
        <is>
          <t>2026-08-09T01:00Z</t>
        </is>
      </c>
      <c r="D106" s="24" t="inlineStr">
        <is>
          <t>401886115</t>
        </is>
      </c>
      <c r="E106" s="24" t="inlineStr">
        <is>
          <t>SOCCER</t>
        </is>
      </c>
      <c r="F106" s="24" t="inlineStr">
        <is>
          <t>Alianza Lima</t>
        </is>
      </c>
      <c r="G106" s="24" t="inlineStr">
        <is>
          <t>Sport Boys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317</v>
      </c>
      <c r="M106" s="27" t="n">
        <v>4.17</v>
      </c>
      <c r="N106" s="28" t="n">
        <v>0.239808</v>
      </c>
      <c r="O106" s="28" t="n">
        <v>0.456135</v>
      </c>
      <c r="P106" s="28" t="n">
        <v>0.2</v>
      </c>
      <c r="Q106" s="28" t="n">
        <v>0.216327</v>
      </c>
      <c r="R106" s="26" t="n">
        <v>38</v>
      </c>
      <c r="S106" s="29" t="n">
        <v>0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1</v>
      </c>
      <c r="Y106" s="25" t="n"/>
      <c r="Z106" s="26" t="n"/>
      <c r="AA106" s="28" t="n"/>
      <c r="AB106" s="28" t="n"/>
      <c r="AC106" s="30" t="n">
        <v>0</v>
      </c>
      <c r="AD106" s="24" t="inlineStr">
        <is>
          <t>2026-08-09T05:13:27.966768Z</t>
        </is>
      </c>
      <c r="AE106" s="31" t="inlineStr">
        <is>
          <t>Poisson-DC rates 1.64 (home) / 1.24 (away) from EWMA attack/defense strengths. Executable ask 0.2400 (atc-pl1-sba-ali-2026-08-08-sba).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Alianza Lima</t>
        </is>
      </c>
      <c r="AQ106" s="24" t="inlineStr">
        <is>
          <t>Alianza Lima</t>
        </is>
      </c>
      <c r="AR106" s="24" t="inlineStr">
        <is>
          <t>Alianza Lima</t>
        </is>
      </c>
      <c r="AS106" s="24" t="inlineStr">
        <is>
          <t>Sport Boys</t>
        </is>
      </c>
      <c r="AT106" s="24" t="inlineStr">
        <is>
          <t>Sport Boys</t>
        </is>
      </c>
      <c r="AU106" s="24" t="inlineStr">
        <is>
          <t>Sport Boys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c95ec2023134439ab985cb4cdcc58243749b9deb564fca7a2d587c15c9875427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c95ec2023134439ab985cb4cdcc58243749b9deb564fca7a2d587c15c9875427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c95ec2023134439ab985cb4cdcc58243749b9deb564fca7a2d587c15c9875427</t>
        </is>
      </c>
      <c r="BH106" s="24" t="inlineStr">
        <is>
          <t>2026-08-08T18:35:45.582063Z</t>
        </is>
      </c>
      <c r="BI106" s="24" t="inlineStr">
        <is>
          <t>["same_event","same_team_same_day","same_league_same_day"]</t>
        </is>
      </c>
      <c r="BJ106" s="25" t="n"/>
      <c r="BK106" s="26" t="n">
        <v>317</v>
      </c>
      <c r="BL106" s="27" t="n">
        <v>4.17</v>
      </c>
      <c r="BM106" s="28" t="n">
        <v>0.239808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</row>
    <row r="107" ht="36" customHeight="1">
      <c r="A107" s="24" t="inlineStr">
        <is>
          <t>278048158f944a91</t>
        </is>
      </c>
      <c r="B107" s="24" t="inlineStr">
        <is>
          <t>2026-08-08T18:36:33.205564Z</t>
        </is>
      </c>
      <c r="C107" s="24" t="inlineStr">
        <is>
          <t>2026-08-08T19:00Z</t>
        </is>
      </c>
      <c r="D107" s="24" t="inlineStr">
        <is>
          <t>401906390</t>
        </is>
      </c>
      <c r="E107" s="24" t="inlineStr">
        <is>
          <t>SOCCER</t>
        </is>
      </c>
      <c r="F107" s="24" t="inlineStr">
        <is>
          <t>Celta Vigo</t>
        </is>
      </c>
      <c r="G107" s="24" t="inlineStr">
        <is>
          <t>Napoli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0.537819</v>
      </c>
      <c r="P107" s="28" t="n">
        <v>0.04</v>
      </c>
      <c r="Q107" s="28" t="n">
        <v>0.028015</v>
      </c>
      <c r="R107" s="26" t="n">
        <v>40</v>
      </c>
      <c r="S107" s="29" t="n">
        <v>0</v>
      </c>
      <c r="T107" s="24" t="inlineStr">
        <is>
          <t>soccer-poisson-dc-v1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Poisson-DC rates 1.64 (home) / 0.90 (away) from EWMA attack/defense strengths. Executable ask 0.5100 (atc-clbf-nap-rcc-2026-08-08-nap).</t>
        </is>
      </c>
      <c r="AF107" s="31" t="inlineStr">
        <is>
          <t>Research-only soccer score model; draw-aware, but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NO_CALL_WINNER_OVERVALUED</t>
        </is>
      </c>
      <c r="AP107" s="24" t="inlineStr">
        <is>
          <t>Celta Vigo</t>
        </is>
      </c>
      <c r="AQ107" s="24" t="inlineStr">
        <is>
          <t>Celta Vigo</t>
        </is>
      </c>
      <c r="AR107" s="24" t="inlineStr">
        <is>
          <t>Celta Vigo</t>
        </is>
      </c>
      <c r="AS107" s="24" t="inlineStr">
        <is>
          <t>Napoli</t>
        </is>
      </c>
      <c r="AT107" s="24" t="inlineStr">
        <is>
          <t>Napoli</t>
        </is>
      </c>
      <c r="AU107" s="24" t="inlineStr">
        <is>
          <t>Napoli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c95ec2023134439ab985cb4cdcc58243749b9deb564fca7a2d587c15c9875427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c95ec2023134439ab985cb4cdcc58243749b9deb564fca7a2d587c15c9875427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c95ec2023134439ab985cb4cdcc58243749b9deb564fca7a2d587c15c9875427</t>
        </is>
      </c>
      <c r="BH107" s="24" t="inlineStr">
        <is>
          <t>2026-08-08T18:35:46.451248Z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c44cee7417a24a76</t>
        </is>
      </c>
      <c r="B108" s="24" t="inlineStr">
        <is>
          <t>2026-08-08T18:36:33.205564Z</t>
        </is>
      </c>
      <c r="C108" s="24" t="inlineStr">
        <is>
          <t>2026-08-08T19:00Z</t>
        </is>
      </c>
      <c r="D108" s="24" t="inlineStr">
        <is>
          <t>401905968</t>
        </is>
      </c>
      <c r="E108" s="24" t="inlineStr">
        <is>
          <t>SOCCER</t>
        </is>
      </c>
      <c r="F108" s="24" t="inlineStr">
        <is>
          <t>Newcastle United</t>
        </is>
      </c>
      <c r="G108" s="24" t="inlineStr">
        <is>
          <t>Valencia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194</v>
      </c>
      <c r="M108" s="27" t="n">
        <v>2.94</v>
      </c>
      <c r="N108" s="28" t="n">
        <v>0.340136</v>
      </c>
      <c r="O108" s="28" t="n">
        <v>0.495811</v>
      </c>
      <c r="P108" s="28" t="n">
        <v>0.04</v>
      </c>
      <c r="Q108" s="28" t="n">
        <v>0.155675</v>
      </c>
      <c r="R108" s="26" t="n">
        <v>100</v>
      </c>
      <c r="S108" s="29" t="n">
        <v>1</v>
      </c>
      <c r="T108" s="24" t="inlineStr">
        <is>
          <t>soccer-poisson-dc-v1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Poisson-DC rates 1.88 (home) / 1.32 (away) from EWMA attack/defense strengths. Executable ask 0.3400 (atc-clbf-vcf-new-2026-08-08-vcf).</t>
        </is>
      </c>
      <c r="AF108" s="31" t="inlineStr">
        <is>
          <t>Research-only soccer score model; draw-aware, but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Newcastle United</t>
        </is>
      </c>
      <c r="AQ108" s="24" t="inlineStr">
        <is>
          <t>Newcastle United</t>
        </is>
      </c>
      <c r="AR108" s="24" t="inlineStr">
        <is>
          <t>Newcastle United</t>
        </is>
      </c>
      <c r="AS108" s="24" t="inlineStr">
        <is>
          <t>Valencia</t>
        </is>
      </c>
      <c r="AT108" s="24" t="inlineStr">
        <is>
          <t>Valencia</t>
        </is>
      </c>
      <c r="AU108" s="24" t="inlineStr">
        <is>
          <t>Valencia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c95ec2023134439ab985cb4cdcc58243749b9deb564fca7a2d587c15c9875427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c95ec2023134439ab985cb4cdcc58243749b9deb564fca7a2d587c15c9875427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c95ec2023134439ab985cb4cdcc58243749b9deb564fca7a2d587c15c9875427</t>
        </is>
      </c>
      <c r="BH108" s="24" t="inlineStr">
        <is>
          <t>2026-08-08T18:35:46.298113Z</t>
        </is>
      </c>
      <c r="BI108" s="24" t="inlineStr">
        <is>
          <t>["same_event","same_team_same_day","same_league_same_day"]</t>
        </is>
      </c>
      <c r="BJ108" s="25" t="n"/>
      <c r="BK108" s="26" t="n">
        <v>194</v>
      </c>
      <c r="BL108" s="27" t="n">
        <v>2.94</v>
      </c>
      <c r="BM108" s="28" t="n">
        <v>0.340136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4b36994d157b4f6c</t>
        </is>
      </c>
      <c r="B109" s="24" t="inlineStr">
        <is>
          <t>2026-08-09T05:17:56.951687Z</t>
        </is>
      </c>
      <c r="C109" s="24" t="inlineStr">
        <is>
          <t>2026-08-09T12:00Z</t>
        </is>
      </c>
      <c r="D109" s="24" t="inlineStr">
        <is>
          <t>401886559</t>
        </is>
      </c>
      <c r="E109" s="24" t="inlineStr">
        <is>
          <t>SOCCER</t>
        </is>
      </c>
      <c r="F109" s="24" t="inlineStr">
        <is>
          <t>Chelsea</t>
        </is>
      </c>
      <c r="G109" s="24" t="inlineStr">
        <is>
          <t>Johor Darul Ta'zim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400</v>
      </c>
      <c r="M109" s="27" t="n">
        <v>5</v>
      </c>
      <c r="N109" s="28" t="n">
        <v>0.2</v>
      </c>
      <c r="O109" s="28" t="n">
        <v>0.569527</v>
      </c>
      <c r="P109" s="28" t="n">
        <v>0.2</v>
      </c>
      <c r="Q109" s="28" t="n">
        <v>0.369527</v>
      </c>
      <c r="R109" s="26" t="n">
        <v>100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</v>
      </c>
      <c r="X109" s="26" t="n">
        <v>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2026-08-09T17:03:54.566081Z</t>
        </is>
      </c>
      <c r="AE109" s="31" t="inlineStr">
        <is>
          <t>Poisson-DC rates 2.01 (home) / 1.12 (away) from EWMA attack/defense strengths. Executable ask 0.2000 (atc-clbf-joh-cfc-2026-08-09-joh).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Chelsea</t>
        </is>
      </c>
      <c r="AQ109" s="24" t="inlineStr">
        <is>
          <t>Chelsea</t>
        </is>
      </c>
      <c r="AR109" s="24" t="inlineStr">
        <is>
          <t>Chelsea</t>
        </is>
      </c>
      <c r="AS109" s="24" t="inlineStr">
        <is>
          <t>Johor Darul Ta'zim</t>
        </is>
      </c>
      <c r="AT109" s="24" t="inlineStr">
        <is>
          <t>Johor Darul Ta'zim</t>
        </is>
      </c>
      <c r="AU109" s="24" t="inlineStr">
        <is>
          <t>Johor Darul Ta'zim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c95ec2023134439ab985cb4cdcc58243749b9deb564fca7a2d587c15c9875427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c95ec2023134439ab985cb4cdcc58243749b9deb564fca7a2d587c15c9875427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c95ec2023134439ab985cb4cdcc58243749b9deb564fca7a2d587c15c9875427</t>
        </is>
      </c>
      <c r="BH109" s="24" t="inlineStr">
        <is>
          <t>2026-08-09T05:15:21.422169Z</t>
        </is>
      </c>
      <c r="BI109" s="24" t="inlineStr">
        <is>
          <t>["same_event","same_team_same_day","same_league_same_day"]</t>
        </is>
      </c>
      <c r="BJ109" s="25" t="n"/>
      <c r="BK109" s="26" t="n">
        <v>400</v>
      </c>
      <c r="BL109" s="27" t="n">
        <v>5</v>
      </c>
      <c r="BM109" s="28" t="n">
        <v>0.2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2a3f47ffd5cc4a91</t>
        </is>
      </c>
      <c r="B110" s="24" t="inlineStr">
        <is>
          <t>2026-08-09T05:17:56.951687Z</t>
        </is>
      </c>
      <c r="C110" s="24" t="inlineStr">
        <is>
          <t>2026-08-09T13:30Z</t>
        </is>
      </c>
      <c r="D110" s="24" t="inlineStr">
        <is>
          <t>401886533</t>
        </is>
      </c>
      <c r="E110" s="24" t="inlineStr">
        <is>
          <t>SOCCER</t>
        </is>
      </c>
      <c r="F110" s="24" t="inlineStr">
        <is>
          <t>AS Monaco</t>
        </is>
      </c>
      <c r="G110" s="24" t="inlineStr">
        <is>
          <t>Liverpool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-178</v>
      </c>
      <c r="M110" s="27" t="n">
        <v>1.561798</v>
      </c>
      <c r="N110" s="28" t="n">
        <v>0.640288</v>
      </c>
      <c r="O110" s="28" t="n">
        <v>0.547186</v>
      </c>
      <c r="P110" s="28" t="n">
        <v>0.04</v>
      </c>
      <c r="Q110" s="28" t="n">
        <v>-0.093102</v>
      </c>
      <c r="R110" s="26" t="n">
        <v>0</v>
      </c>
      <c r="S110" s="29" t="n">
        <v>0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2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2026-08-09T17:03:55.372556Z</t>
        </is>
      </c>
      <c r="AE110" s="31" t="inlineStr">
        <is>
          <t>Poisson-DC rates 2.31 (home) / 1.51 (away) from EWMA attack/defense strengths. Executable ask 0.6400 (atc-clbf-lfc-asm-2026-08-09-lfc).</t>
        </is>
      </c>
      <c r="AF110" s="31" t="inlineStr">
        <is>
          <t>Research-only soccer score model; draw-aware, but not yet locked-holdout qualified.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AS Monaco</t>
        </is>
      </c>
      <c r="AQ110" s="24" t="inlineStr">
        <is>
          <t>AS Monaco</t>
        </is>
      </c>
      <c r="AR110" s="24" t="inlineStr">
        <is>
          <t>AS Monaco</t>
        </is>
      </c>
      <c r="AS110" s="24" t="inlineStr">
        <is>
          <t>Liverpool</t>
        </is>
      </c>
      <c r="AT110" s="24" t="inlineStr">
        <is>
          <t>Liverpool</t>
        </is>
      </c>
      <c r="AU110" s="24" t="inlineStr">
        <is>
          <t>Liverpool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c95ec2023134439ab985cb4cdcc58243749b9deb564fca7a2d587c15c9875427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c95ec2023134439ab985cb4cdcc58243749b9deb564fca7a2d587c15c9875427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c95ec2023134439ab985cb4cdcc58243749b9deb564fca7a2d587c15c9875427</t>
        </is>
      </c>
      <c r="BH110" s="24" t="inlineStr">
        <is>
          <t>2026-08-09T05:15:21.440984Z</t>
        </is>
      </c>
      <c r="BI110" s="24" t="inlineStr">
        <is>
          <t>["same_event","same_team_same_day","same_league_same_day"]</t>
        </is>
      </c>
      <c r="BJ110" s="25" t="n"/>
      <c r="BK110" s="26" t="n">
        <v>-178</v>
      </c>
      <c r="BL110" s="27" t="n">
        <v>1.561798</v>
      </c>
      <c r="BM110" s="28" t="n">
        <v>0.640288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</row>
    <row r="111" ht="36" customHeight="1">
      <c r="A111" s="24" t="inlineStr">
        <is>
          <t>02d7e290c3604e1d</t>
        </is>
      </c>
      <c r="B111" s="24" t="inlineStr">
        <is>
          <t>2026-08-09T14:01:10.760642Z</t>
        </is>
      </c>
      <c r="C111" s="24" t="inlineStr">
        <is>
          <t>2026-08-09T17:00Z</t>
        </is>
      </c>
      <c r="D111" s="24" t="inlineStr">
        <is>
          <t>401844040</t>
        </is>
      </c>
      <c r="E111" s="24" t="inlineStr">
        <is>
          <t>SOCCER</t>
        </is>
      </c>
      <c r="F111" s="24" t="inlineStr">
        <is>
          <t>Temperley</t>
        </is>
      </c>
      <c r="G111" s="24" t="inlineStr">
        <is>
          <t>Atlanta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113</v>
      </c>
      <c r="M111" s="27" t="n">
        <v>2.13</v>
      </c>
      <c r="N111" s="28" t="n">
        <v>0.469484</v>
      </c>
      <c r="O111" s="28" t="n">
        <v>0.456135</v>
      </c>
      <c r="P111" s="28" t="n">
        <v>0.2</v>
      </c>
      <c r="Q111" s="28" t="n">
        <v>-0.013349</v>
      </c>
      <c r="R111" s="26" t="n">
        <v>0</v>
      </c>
      <c r="S111" s="29" t="n">
        <v>0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0</v>
      </c>
      <c r="AD111" s="24" t="inlineStr">
        <is>
          <t>2026-08-09T23:29:11.211957Z</t>
        </is>
      </c>
      <c r="AE111" s="31" t="inlineStr">
        <is>
          <t>Poisson-DC rates 1.64 (home) / 1.24 (away) from EWMA attack/defense strengths. Executable ask 0.4700 (atc-arg2-atl-cat-2026-08-08-atl).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Temperley</t>
        </is>
      </c>
      <c r="AQ111" s="24" t="inlineStr">
        <is>
          <t>Temperley</t>
        </is>
      </c>
      <c r="AR111" s="24" t="inlineStr">
        <is>
          <t>Temperley</t>
        </is>
      </c>
      <c r="AS111" s="24" t="inlineStr">
        <is>
          <t>Atlanta</t>
        </is>
      </c>
      <c r="AT111" s="24" t="inlineStr">
        <is>
          <t>Atlanta</t>
        </is>
      </c>
      <c r="AU111" s="24" t="inlineStr">
        <is>
          <t>Atlanta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c95ec2023134439ab985cb4cdcc58243749b9deb564fca7a2d587c15c9875427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c95ec2023134439ab985cb4cdcc58243749b9deb564fca7a2d587c15c9875427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c95ec2023134439ab985cb4cdcc58243749b9deb564fca7a2d587c15c9875427</t>
        </is>
      </c>
      <c r="BH111" s="24" t="inlineStr">
        <is>
          <t>2026-08-09T13:58:17.449388Z</t>
        </is>
      </c>
      <c r="BI111" s="24" t="inlineStr">
        <is>
          <t>["same_event","same_team_same_day","same_league_same_day"]</t>
        </is>
      </c>
      <c r="BJ111" s="25" t="n"/>
      <c r="BK111" s="26" t="n">
        <v>113</v>
      </c>
      <c r="BL111" s="27" t="n">
        <v>2.13</v>
      </c>
      <c r="BM111" s="28" t="n">
        <v>0.469484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153e6299134847e8</t>
        </is>
      </c>
      <c r="B112" s="24" t="inlineStr">
        <is>
          <t>2026-08-09T14:01:10.760642Z</t>
        </is>
      </c>
      <c r="C112" s="24" t="inlineStr">
        <is>
          <t>2026-08-09T15:30Z</t>
        </is>
      </c>
      <c r="D112" s="24" t="inlineStr">
        <is>
          <t>401906389</t>
        </is>
      </c>
      <c r="E112" s="24" t="inlineStr">
        <is>
          <t>SOCCER</t>
        </is>
      </c>
      <c r="F112" s="24" t="inlineStr">
        <is>
          <t>Athletic Club</t>
        </is>
      </c>
      <c r="G112" s="24" t="inlineStr">
        <is>
          <t>Marseille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178</v>
      </c>
      <c r="M112" s="27" t="n">
        <v>2.78</v>
      </c>
      <c r="N112" s="28" t="n">
        <v>0.359712</v>
      </c>
      <c r="O112" s="28" t="n">
        <v>0.568607</v>
      </c>
      <c r="P112" s="28" t="n">
        <v>0.04</v>
      </c>
      <c r="Q112" s="28" t="n">
        <v>0.208895</v>
      </c>
      <c r="R112" s="26" t="n">
        <v>100</v>
      </c>
      <c r="S112" s="29" t="n">
        <v>1.25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3</v>
      </c>
      <c r="Y112" s="25" t="n"/>
      <c r="Z112" s="26" t="n"/>
      <c r="AA112" s="28" t="n"/>
      <c r="AB112" s="28" t="n"/>
      <c r="AC112" s="30" t="n">
        <v>2.225</v>
      </c>
      <c r="AD112" s="24" t="inlineStr">
        <is>
          <t>2026-08-09T20:24:50.983986Z</t>
        </is>
      </c>
      <c r="AE112" s="31" t="inlineStr">
        <is>
          <t>Poisson-DC rates 2.04 (home) / 1.15 (away) from EWMA attack/defense strengths. Executable ask 0.3600 (atc-clbf-olm-ath-2026-08-09-olm).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Athletic Club</t>
        </is>
      </c>
      <c r="AQ112" s="24" t="inlineStr">
        <is>
          <t>Athletic Club</t>
        </is>
      </c>
      <c r="AR112" s="24" t="inlineStr">
        <is>
          <t>Athletic Club</t>
        </is>
      </c>
      <c r="AS112" s="24" t="inlineStr">
        <is>
          <t>Marseille</t>
        </is>
      </c>
      <c r="AT112" s="24" t="inlineStr">
        <is>
          <t>Marseille</t>
        </is>
      </c>
      <c r="AU112" s="24" t="inlineStr">
        <is>
          <t>Marseille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c95ec2023134439ab985cb4cdcc58243749b9deb564fca7a2d587c15c9875427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c95ec2023134439ab985cb4cdcc58243749b9deb564fca7a2d587c15c9875427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c95ec2023134439ab985cb4cdcc58243749b9deb564fca7a2d587c15c9875427</t>
        </is>
      </c>
      <c r="BH112" s="24" t="inlineStr">
        <is>
          <t>2026-08-09T13:58:20.170765Z</t>
        </is>
      </c>
      <c r="BI112" s="24" t="inlineStr">
        <is>
          <t>["same_event","same_team_same_day","same_league_same_day"]</t>
        </is>
      </c>
      <c r="BJ112" s="25" t="n"/>
      <c r="BK112" s="26" t="n">
        <v>178</v>
      </c>
      <c r="BL112" s="27" t="n">
        <v>2.78</v>
      </c>
      <c r="BM112" s="28" t="n">
        <v>0.359712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</row>
    <row r="113" ht="36" customHeight="1">
      <c r="A113" s="24" t="inlineStr">
        <is>
          <t>44f244a02f344744</t>
        </is>
      </c>
      <c r="B113" s="24" t="inlineStr">
        <is>
          <t>2026-08-09T17:07:17.181830Z</t>
        </is>
      </c>
      <c r="C113" s="24" t="inlineStr">
        <is>
          <t>2026-08-09T19:00Z</t>
        </is>
      </c>
      <c r="D113" s="24" t="inlineStr">
        <is>
          <t>401841186</t>
        </is>
      </c>
      <c r="E113" s="24" t="inlineStr">
        <is>
          <t>SOCCER</t>
        </is>
      </c>
      <c r="F113" s="24" t="inlineStr">
        <is>
          <t>Vasco da Gama</t>
        </is>
      </c>
      <c r="G113" s="24" t="inlineStr">
        <is>
          <t>Bahia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104</v>
      </c>
      <c r="M113" s="27" t="n">
        <v>2.04</v>
      </c>
      <c r="N113" s="28" t="n">
        <v>0.490196</v>
      </c>
      <c r="O113" s="28" t="n">
        <v>0.456135</v>
      </c>
      <c r="P113" s="28" t="n">
        <v>0.2</v>
      </c>
      <c r="Q113" s="28" t="n">
        <v>-0.034061</v>
      </c>
      <c r="R113" s="26" t="n">
        <v>0</v>
      </c>
      <c r="S113" s="29" t="n">
        <v>0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0</v>
      </c>
      <c r="Y113" s="25" t="n"/>
      <c r="Z113" s="26" t="n"/>
      <c r="AA113" s="28" t="n"/>
      <c r="AB113" s="28" t="n"/>
      <c r="AC113" s="30" t="n">
        <v>0</v>
      </c>
      <c r="AD113" s="24" t="inlineStr">
        <is>
          <t>2026-08-09T23:29:59.353408Z</t>
        </is>
      </c>
      <c r="AE113" s="31" t="inlineStr">
        <is>
          <t>Poisson-DC rates 1.64 (home) / 1.24 (away) from EWMA attack/defense strengths. Executable ask 0.4900 (atc-bra-bah-vas-2026-08-09-bah).</t>
        </is>
      </c>
      <c r="AF113" s="31" t="inlineStr">
        <is>
          <t>Research-only soccer score model; draw-aware, but not yet locked-holdout qualified.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Vasco da Gama</t>
        </is>
      </c>
      <c r="AQ113" s="24" t="inlineStr">
        <is>
          <t>Vasco da Gama</t>
        </is>
      </c>
      <c r="AR113" s="24" t="inlineStr">
        <is>
          <t>Vasco da Gama</t>
        </is>
      </c>
      <c r="AS113" s="24" t="inlineStr">
        <is>
          <t>Bahia</t>
        </is>
      </c>
      <c r="AT113" s="24" t="inlineStr">
        <is>
          <t>Bahia</t>
        </is>
      </c>
      <c r="AU113" s="24" t="inlineStr">
        <is>
          <t>Bahia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c95ec2023134439ab985cb4cdcc58243749b9deb564fca7a2d587c15c9875427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c95ec2023134439ab985cb4cdcc58243749b9deb564fca7a2d587c15c9875427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c95ec2023134439ab985cb4cdcc58243749b9deb564fca7a2d587c15c9875427</t>
        </is>
      </c>
      <c r="BH113" s="24" t="inlineStr">
        <is>
          <t>2026-08-09T17:05:43.237837Z</t>
        </is>
      </c>
      <c r="BI113" s="24" t="inlineStr">
        <is>
          <t>["same_event","same_team_same_day","same_league_same_day"]</t>
        </is>
      </c>
      <c r="BJ113" s="25" t="n"/>
      <c r="BK113" s="26" t="n">
        <v>104</v>
      </c>
      <c r="BL113" s="27" t="n">
        <v>2.04</v>
      </c>
      <c r="BM113" s="28" t="n">
        <v>0.490196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</row>
    <row r="114" ht="36" customHeight="1">
      <c r="A114" s="24" t="inlineStr">
        <is>
          <t>f7d2e8931ff24429</t>
        </is>
      </c>
      <c r="B114" s="24" t="inlineStr">
        <is>
          <t>2026-08-09T17:07:17.181830Z</t>
        </is>
      </c>
      <c r="C114" s="24" t="inlineStr">
        <is>
          <t>2026-08-09T19:00Z</t>
        </is>
      </c>
      <c r="D114" s="24" t="inlineStr">
        <is>
          <t>401841180</t>
        </is>
      </c>
      <c r="E114" s="24" t="inlineStr">
        <is>
          <t>SOCCER</t>
        </is>
      </c>
      <c r="F114" s="24" t="inlineStr">
        <is>
          <t>Internacional</t>
        </is>
      </c>
      <c r="G114" s="24" t="inlineStr">
        <is>
          <t>Palmeiras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0.456135</v>
      </c>
      <c r="P114" s="28" t="n">
        <v>0.2</v>
      </c>
      <c r="Q114" s="28" t="n">
        <v>-0.173495</v>
      </c>
      <c r="R114" s="26" t="n">
        <v>0</v>
      </c>
      <c r="S114" s="29" t="n">
        <v>0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0</v>
      </c>
      <c r="Y114" s="25" t="n"/>
      <c r="Z114" s="26" t="n"/>
      <c r="AA114" s="28" t="n"/>
      <c r="AB114" s="28" t="n"/>
      <c r="AC114" s="30" t="n">
        <v>0</v>
      </c>
      <c r="AD114" s="24" t="inlineStr">
        <is>
          <t>2026-08-09T23:30:00.191545Z</t>
        </is>
      </c>
      <c r="AE114" s="31" t="inlineStr">
        <is>
          <t>Poisson-DC rates 1.64 (home) / 1.24 (away) from EWMA attack/defense strengths. Executable ask 0.6300 (atc-bra-pal-int-2026-08-09-pal).</t>
        </is>
      </c>
      <c r="AF114" s="31" t="inlineStr">
        <is>
          <t>Research-only soccer score model; draw-aware, but not yet locked-holdout qualified.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NO_CALL_WINNER_OVERVALUED</t>
        </is>
      </c>
      <c r="AP114" s="24" t="inlineStr">
        <is>
          <t>Internacional</t>
        </is>
      </c>
      <c r="AQ114" s="24" t="inlineStr">
        <is>
          <t>Internacional</t>
        </is>
      </c>
      <c r="AR114" s="24" t="inlineStr">
        <is>
          <t>Internacional</t>
        </is>
      </c>
      <c r="AS114" s="24" t="inlineStr">
        <is>
          <t>Palmeiras</t>
        </is>
      </c>
      <c r="AT114" s="24" t="inlineStr">
        <is>
          <t>Palmeiras</t>
        </is>
      </c>
      <c r="AU114" s="24" t="inlineStr">
        <is>
          <t>Palmeiras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c95ec2023134439ab985cb4cdcc58243749b9deb564fca7a2d587c15c9875427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c95ec2023134439ab985cb4cdcc58243749b9deb564fca7a2d587c15c9875427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c95ec2023134439ab985cb4cdcc58243749b9deb564fca7a2d587c15c9875427</t>
        </is>
      </c>
      <c r="BH114" s="24" t="inlineStr">
        <is>
          <t>2026-08-09T17:05:43.426223Z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5f21b3c5f8b24a7c</t>
        </is>
      </c>
      <c r="B115" s="24" t="inlineStr">
        <is>
          <t>2026-08-09T17:07:17.181830Z</t>
        </is>
      </c>
      <c r="C115" s="24" t="inlineStr">
        <is>
          <t>2026-08-09T19:00Z</t>
        </is>
      </c>
      <c r="D115" s="24" t="inlineStr">
        <is>
          <t>401860271</t>
        </is>
      </c>
      <c r="E115" s="24" t="inlineStr">
        <is>
          <t>SOCCER</t>
        </is>
      </c>
      <c r="F115" s="24" t="inlineStr">
        <is>
          <t>Juventude</t>
        </is>
      </c>
      <c r="G115" s="24" t="inlineStr">
        <is>
          <t>Novorizontino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113</v>
      </c>
      <c r="M115" s="27" t="n">
        <v>2.13</v>
      </c>
      <c r="N115" s="28" t="n">
        <v>0.469484</v>
      </c>
      <c r="O115" s="28" t="n">
        <v>0.456135</v>
      </c>
      <c r="P115" s="28" t="n">
        <v>0.2</v>
      </c>
      <c r="Q115" s="28" t="n">
        <v>-0.013349</v>
      </c>
      <c r="R115" s="26" t="n">
        <v>0</v>
      </c>
      <c r="S115" s="29" t="n">
        <v>0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0</v>
      </c>
      <c r="AD115" s="24" t="inlineStr">
        <is>
          <t>2026-08-09T23:30:00.992007Z</t>
        </is>
      </c>
      <c r="AE115" s="31" t="inlineStr">
        <is>
          <t>Poisson-DC rates 1.64 (home) / 1.24 (away) from EWMA attack/defense strengths. Executable ask 0.4700 (atc-brb-nov-juv-2026-08-09-nov).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NO_CALL_WINNER_OVERVALUED</t>
        </is>
      </c>
      <c r="AP115" s="24" t="inlineStr">
        <is>
          <t>Juventude</t>
        </is>
      </c>
      <c r="AQ115" s="24" t="inlineStr">
        <is>
          <t>Juventude</t>
        </is>
      </c>
      <c r="AR115" s="24" t="inlineStr">
        <is>
          <t>Juventude</t>
        </is>
      </c>
      <c r="AS115" s="24" t="inlineStr">
        <is>
          <t>Novorizontino</t>
        </is>
      </c>
      <c r="AT115" s="24" t="inlineStr">
        <is>
          <t>Novorizontino</t>
        </is>
      </c>
      <c r="AU115" s="24" t="inlineStr">
        <is>
          <t>Novorizontino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c95ec2023134439ab985cb4cdcc58243749b9deb564fca7a2d587c15c9875427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c95ec2023134439ab985cb4cdcc58243749b9deb564fca7a2d587c15c9875427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c95ec2023134439ab985cb4cdcc58243749b9deb564fca7a2d587c15c9875427</t>
        </is>
      </c>
      <c r="BH115" s="24" t="inlineStr">
        <is>
          <t>2026-08-09T17:05:43.950668Z</t>
        </is>
      </c>
      <c r="BI115" s="24" t="inlineStr">
        <is>
          <t>["same_event","same_team_same_day","same_league_same_day"]</t>
        </is>
      </c>
      <c r="BJ115" s="25" t="n"/>
      <c r="BK115" s="26" t="n">
        <v>113</v>
      </c>
      <c r="BL115" s="27" t="n">
        <v>2.13</v>
      </c>
      <c r="BM115" s="28" t="n">
        <v>0.469484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2d1fa41a590440d8</t>
        </is>
      </c>
      <c r="B116" s="24" t="inlineStr">
        <is>
          <t>2026-08-09T17:07:17.181830Z</t>
        </is>
      </c>
      <c r="C116" s="24" t="inlineStr">
        <is>
          <t>2026-08-09T17:30Z</t>
        </is>
      </c>
      <c r="D116" s="24" t="inlineStr">
        <is>
          <t>401844032</t>
        </is>
      </c>
      <c r="E116" s="24" t="inlineStr">
        <is>
          <t>SOCCER</t>
        </is>
      </c>
      <c r="F116" s="24" t="inlineStr">
        <is>
          <t>Ferro Carril Oeste</t>
        </is>
      </c>
      <c r="G116" s="24" t="inlineStr">
        <is>
          <t>Los Andes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178</v>
      </c>
      <c r="M116" s="27" t="n">
        <v>2.78</v>
      </c>
      <c r="N116" s="28" t="n">
        <v>0.359712</v>
      </c>
      <c r="O116" s="28" t="n">
        <v>0.456135</v>
      </c>
      <c r="P116" s="28" t="n">
        <v>0.2</v>
      </c>
      <c r="Q116" s="28" t="n">
        <v>0.09642299999999999</v>
      </c>
      <c r="R116" s="26" t="n">
        <v>0</v>
      </c>
      <c r="S116" s="29" t="n">
        <v>0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1</v>
      </c>
      <c r="Y116" s="25" t="n"/>
      <c r="Z116" s="26" t="n"/>
      <c r="AA116" s="28" t="n"/>
      <c r="AB116" s="28" t="n"/>
      <c r="AC116" s="30" t="n">
        <v>0</v>
      </c>
      <c r="AD116" s="24" t="inlineStr">
        <is>
          <t>2026-08-09T23:30:01.792009Z</t>
        </is>
      </c>
      <c r="AE116" s="31" t="inlineStr">
        <is>
          <t>Poisson-DC rates 1.64 (home) / 1.24 (away) from EWMA attack/defense strengths. Executable ask 0.3600 (atc-arg2-ala-fco-2026-08-08-ala).</t>
        </is>
      </c>
      <c r="AF116" s="31" t="inlineStr">
        <is>
          <t>Research-only soccer score model; draw-aware, but not yet locked-holdout qualified.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Ferro Carril Oeste</t>
        </is>
      </c>
      <c r="AQ116" s="24" t="inlineStr">
        <is>
          <t>Ferro Carril Oeste</t>
        </is>
      </c>
      <c r="AR116" s="24" t="inlineStr">
        <is>
          <t>Ferro Carril Oeste</t>
        </is>
      </c>
      <c r="AS116" s="24" t="inlineStr">
        <is>
          <t>Los Andes</t>
        </is>
      </c>
      <c r="AT116" s="24" t="inlineStr">
        <is>
          <t>Los Andes</t>
        </is>
      </c>
      <c r="AU116" s="24" t="inlineStr">
        <is>
          <t>Los Andes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c95ec2023134439ab985cb4cdcc58243749b9deb564fca7a2d587c15c9875427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c95ec2023134439ab985cb4cdcc58243749b9deb564fca7a2d587c15c9875427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c95ec2023134439ab985cb4cdcc58243749b9deb564fca7a2d587c15c9875427</t>
        </is>
      </c>
      <c r="BH116" s="24" t="inlineStr">
        <is>
          <t>2026-08-09T17:05:44.777099Z</t>
        </is>
      </c>
      <c r="BI116" s="24" t="inlineStr">
        <is>
          <t>["same_event","same_team_same_day","same_league_same_day"]</t>
        </is>
      </c>
      <c r="BJ116" s="25" t="n"/>
      <c r="BK116" s="26" t="n">
        <v>178</v>
      </c>
      <c r="BL116" s="27" t="n">
        <v>2.78</v>
      </c>
      <c r="BM116" s="28" t="n">
        <v>0.359712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</row>
    <row r="117" ht="36" customHeight="1">
      <c r="A117" s="24" t="inlineStr">
        <is>
          <t>5bba191e45ae466d</t>
        </is>
      </c>
      <c r="B117" s="24" t="inlineStr">
        <is>
          <t>2026-08-09T17:07:17.181830Z</t>
        </is>
      </c>
      <c r="C117" s="24" t="inlineStr">
        <is>
          <t>2026-08-09T18:00Z</t>
        </is>
      </c>
      <c r="D117" s="24" t="inlineStr">
        <is>
          <t>401844042</t>
        </is>
      </c>
      <c r="E117" s="24" t="inlineStr">
        <is>
          <t>SOCCER</t>
        </is>
      </c>
      <c r="F117" s="24" t="inlineStr">
        <is>
          <t>Patronato</t>
        </is>
      </c>
      <c r="G117" s="24" t="inlineStr">
        <is>
          <t>Colegiales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108</v>
      </c>
      <c r="M117" s="27" t="n">
        <v>2.08</v>
      </c>
      <c r="N117" s="28" t="n">
        <v>0.480769</v>
      </c>
      <c r="O117" s="28" t="n">
        <v>0.456135</v>
      </c>
      <c r="P117" s="28" t="n">
        <v>0.2</v>
      </c>
      <c r="Q117" s="28" t="n">
        <v>-0.024634</v>
      </c>
      <c r="R117" s="26" t="n">
        <v>0</v>
      </c>
      <c r="S117" s="29" t="n">
        <v>0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2</v>
      </c>
      <c r="Y117" s="25" t="n"/>
      <c r="Z117" s="26" t="n"/>
      <c r="AA117" s="28" t="n"/>
      <c r="AB117" s="28" t="n"/>
      <c r="AC117" s="30" t="n">
        <v>0</v>
      </c>
      <c r="AD117" s="24" t="inlineStr">
        <is>
          <t>2026-08-09T23:30:02.628000Z</t>
        </is>
      </c>
      <c r="AE117" s="31" t="inlineStr">
        <is>
          <t>Poisson-DC rates 1.64 (home) / 1.24 (away) from EWMA attack/defense strengths. Executable ask 0.4800 (atc-arg2-cac-cap-2026-08-08-cac).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Patronato</t>
        </is>
      </c>
      <c r="AQ117" s="24" t="inlineStr">
        <is>
          <t>Patronato</t>
        </is>
      </c>
      <c r="AR117" s="24" t="inlineStr">
        <is>
          <t>Patronato</t>
        </is>
      </c>
      <c r="AS117" s="24" t="inlineStr">
        <is>
          <t>Colegiales</t>
        </is>
      </c>
      <c r="AT117" s="24" t="inlineStr">
        <is>
          <t>Colegiales</t>
        </is>
      </c>
      <c r="AU117" s="24" t="inlineStr">
        <is>
          <t>Colegiales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c95ec2023134439ab985cb4cdcc58243749b9deb564fca7a2d587c15c9875427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c95ec2023134439ab985cb4cdcc58243749b9deb564fca7a2d587c15c9875427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c95ec2023134439ab985cb4cdcc58243749b9deb564fca7a2d587c15c9875427</t>
        </is>
      </c>
      <c r="BH117" s="24" t="inlineStr">
        <is>
          <t>2026-08-09T17:05:44.745762Z</t>
        </is>
      </c>
      <c r="BI117" s="24" t="inlineStr">
        <is>
          <t>["same_event","same_team_same_day","same_league_same_day"]</t>
        </is>
      </c>
      <c r="BJ117" s="25" t="n"/>
      <c r="BK117" s="26" t="n">
        <v>108</v>
      </c>
      <c r="BL117" s="27" t="n">
        <v>2.08</v>
      </c>
      <c r="BM117" s="28" t="n">
        <v>0.480769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e12d19b332d24984</t>
        </is>
      </c>
      <c r="B118" s="24" t="inlineStr">
        <is>
          <t>2026-08-09T17:07:17.181830Z</t>
        </is>
      </c>
      <c r="C118" s="24" t="inlineStr">
        <is>
          <t>2026-08-09T19:00Z</t>
        </is>
      </c>
      <c r="D118" s="24" t="inlineStr">
        <is>
          <t>401844033</t>
        </is>
      </c>
      <c r="E118" s="24" t="inlineStr">
        <is>
          <t>SOCCER</t>
        </is>
      </c>
      <c r="F118" s="24" t="inlineStr">
        <is>
          <t>Defensores de Belgrano</t>
        </is>
      </c>
      <c r="G118" s="24" t="inlineStr">
        <is>
          <t>Mitre (Santiago del Estero)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150</v>
      </c>
      <c r="M118" s="27" t="n">
        <v>2.5</v>
      </c>
      <c r="N118" s="28" t="n">
        <v>0.4</v>
      </c>
      <c r="O118" s="28" t="n">
        <v>0.456135</v>
      </c>
      <c r="P118" s="28" t="n">
        <v>0.2</v>
      </c>
      <c r="Q118" s="28" t="n">
        <v>0.056135</v>
      </c>
      <c r="R118" s="26" t="n">
        <v>0</v>
      </c>
      <c r="S118" s="29" t="n">
        <v>0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2</v>
      </c>
      <c r="Y118" s="25" t="n"/>
      <c r="Z118" s="26" t="n"/>
      <c r="AA118" s="28" t="n"/>
      <c r="AB118" s="28" t="n"/>
      <c r="AC118" s="30" t="n">
        <v>0</v>
      </c>
      <c r="AD118" s="24" t="inlineStr">
        <is>
          <t>2026-08-10T02:34:05.570382Z</t>
        </is>
      </c>
      <c r="AE118" s="31" t="inlineStr">
        <is>
          <t>Poisson-DC rates 1.64 (home) / 1.24 (away) from EWMA attack/defense strengths. Executable ask 0.4000 (atc-arg2-cam-ddb-2026-08-08-cam).</t>
        </is>
      </c>
      <c r="AF118" s="31" t="inlineStr">
        <is>
          <t>Research-only soccer score model; draw-aware, but not yet locked-holdout qualified.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Defensores de Belgrano</t>
        </is>
      </c>
      <c r="AQ118" s="24" t="inlineStr">
        <is>
          <t>Defensores de Belgrano</t>
        </is>
      </c>
      <c r="AR118" s="24" t="inlineStr">
        <is>
          <t>Defensores de Belgrano</t>
        </is>
      </c>
      <c r="AS118" s="24" t="inlineStr">
        <is>
          <t>Mitre (Santiago del Estero)</t>
        </is>
      </c>
      <c r="AT118" s="24" t="inlineStr">
        <is>
          <t>Mitre (Santiago del Estero)</t>
        </is>
      </c>
      <c r="AU118" s="24" t="inlineStr">
        <is>
          <t>Mitre (Santiago del Estero)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c95ec2023134439ab985cb4cdcc58243749b9deb564fca7a2d587c15c9875427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c95ec2023134439ab985cb4cdcc58243749b9deb564fca7a2d587c15c9875427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c95ec2023134439ab985cb4cdcc58243749b9deb564fca7a2d587c15c9875427</t>
        </is>
      </c>
      <c r="BH118" s="24" t="inlineStr">
        <is>
          <t>2026-08-09T17:05:45.178866Z</t>
        </is>
      </c>
      <c r="BI118" s="24" t="inlineStr">
        <is>
          <t>["same_event","same_team_same_day","same_league_same_day"]</t>
        </is>
      </c>
      <c r="BJ118" s="25" t="n"/>
      <c r="BK118" s="26" t="n">
        <v>150</v>
      </c>
      <c r="BL118" s="27" t="n">
        <v>2.5</v>
      </c>
      <c r="BM118" s="28" t="n">
        <v>0.4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be4880370c874e51</t>
        </is>
      </c>
      <c r="B119" s="24" t="inlineStr">
        <is>
          <t>2026-08-09T17:07:17.181830Z</t>
        </is>
      </c>
      <c r="C119" s="24" t="inlineStr">
        <is>
          <t>2026-08-09T20:00Z</t>
        </is>
      </c>
      <c r="D119" s="24" t="inlineStr">
        <is>
          <t>401844034</t>
        </is>
      </c>
      <c r="E119" s="24" t="inlineStr">
        <is>
          <t>SOCCER</t>
        </is>
      </c>
      <c r="F119" s="24" t="inlineStr">
        <is>
          <t>Almagro</t>
        </is>
      </c>
      <c r="G119" s="24" t="inlineStr">
        <is>
          <t>Quilmes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0.440521</v>
      </c>
      <c r="P119" s="28" t="n">
        <v>0.2</v>
      </c>
      <c r="Q119" s="28" t="n">
        <v>-0.189109</v>
      </c>
      <c r="R119" s="26" t="n">
        <v>0</v>
      </c>
      <c r="S119" s="29" t="n">
        <v>0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1</v>
      </c>
      <c r="Y119" s="25" t="n"/>
      <c r="Z119" s="26" t="n"/>
      <c r="AA119" s="28" t="n"/>
      <c r="AB119" s="28" t="n"/>
      <c r="AC119" s="30" t="n">
        <v>0</v>
      </c>
      <c r="AD119" s="24" t="inlineStr">
        <is>
          <t>2026-08-10T02:34:06.350793Z</t>
        </is>
      </c>
      <c r="AE119" s="31" t="inlineStr">
        <is>
          <t>Poisson-DC rates 1.46 (home) / 1.10 (away) from EWMA attack/defense strengths. Executable ask 0.6300 (atc-arg2-qui-alm-2026-08-08-qui).</t>
        </is>
      </c>
      <c r="AF119" s="31" t="inlineStr">
        <is>
          <t>Research-only soccer score model; draw-aware, but not yet locked-holdout qualified.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Almagro</t>
        </is>
      </c>
      <c r="AQ119" s="24" t="inlineStr">
        <is>
          <t>Almagro</t>
        </is>
      </c>
      <c r="AR119" s="24" t="inlineStr">
        <is>
          <t>Almagro</t>
        </is>
      </c>
      <c r="AS119" s="24" t="inlineStr">
        <is>
          <t>Quilmes</t>
        </is>
      </c>
      <c r="AT119" s="24" t="inlineStr">
        <is>
          <t>Quilmes</t>
        </is>
      </c>
      <c r="AU119" s="24" t="inlineStr">
        <is>
          <t>Quilmes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c95ec2023134439ab985cb4cdcc58243749b9deb564fca7a2d587c15c9875427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c95ec2023134439ab985cb4cdcc58243749b9deb564fca7a2d587c15c9875427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c95ec2023134439ab985cb4cdcc58243749b9deb564fca7a2d587c15c9875427</t>
        </is>
      </c>
      <c r="BH119" s="24" t="inlineStr">
        <is>
          <t>2026-08-09T17:05:45.373359Z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95b699d9fb2f473d</t>
        </is>
      </c>
      <c r="B120" s="24" t="inlineStr">
        <is>
          <t>2026-08-09T17:07:17.181830Z</t>
        </is>
      </c>
      <c r="C120" s="24" t="inlineStr">
        <is>
          <t>2026-08-09T18:00Z</t>
        </is>
      </c>
      <c r="D120" s="24" t="inlineStr">
        <is>
          <t>401905197</t>
        </is>
      </c>
      <c r="E120" s="24" t="inlineStr">
        <is>
          <t>SOCCER</t>
        </is>
      </c>
      <c r="F120" s="24" t="inlineStr">
        <is>
          <t>Montevideo Wanderers</t>
        </is>
      </c>
      <c r="G120" s="24" t="inlineStr">
        <is>
          <t>Defensor Sporting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127</v>
      </c>
      <c r="M120" s="27" t="n">
        <v>2.27</v>
      </c>
      <c r="N120" s="28" t="n">
        <v>0.440529</v>
      </c>
      <c r="O120" s="28" t="n">
        <v>0.456347</v>
      </c>
      <c r="P120" s="28" t="n">
        <v>0.19</v>
      </c>
      <c r="Q120" s="28" t="n">
        <v>0.015818</v>
      </c>
      <c r="R120" s="26" t="n">
        <v>0</v>
      </c>
      <c r="S120" s="29" t="n">
        <v>0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0</v>
      </c>
      <c r="AD120" s="24" t="inlineStr">
        <is>
          <t>2026-08-09T20:25:05.861348Z</t>
        </is>
      </c>
      <c r="AE120" s="31" t="inlineStr">
        <is>
          <t>Poisson-DC rates 1.41 (home) / 0.98 (away) from EWMA attack/defense strengths. Executable ask 0.4400 (atc-uru1-def-wan-2026-08-09-def).</t>
        </is>
      </c>
      <c r="AF120" s="31" t="inlineStr">
        <is>
          <t>Research-only soccer score model; draw-aware, but not yet locked-holdout qualified.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Montevideo Wanderers</t>
        </is>
      </c>
      <c r="AQ120" s="24" t="inlineStr">
        <is>
          <t>Montevideo Wanderers</t>
        </is>
      </c>
      <c r="AR120" s="24" t="inlineStr">
        <is>
          <t>Montevideo Wanderers</t>
        </is>
      </c>
      <c r="AS120" s="24" t="inlineStr">
        <is>
          <t>Defensor Sporting</t>
        </is>
      </c>
      <c r="AT120" s="24" t="inlineStr">
        <is>
          <t>Defensor Sporting</t>
        </is>
      </c>
      <c r="AU120" s="24" t="inlineStr">
        <is>
          <t>Defensor Sporting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c95ec2023134439ab985cb4cdcc58243749b9deb564fca7a2d587c15c9875427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c95ec2023134439ab985cb4cdcc58243749b9deb564fca7a2d587c15c9875427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c95ec2023134439ab985cb4cdcc58243749b9deb564fca7a2d587c15c9875427</t>
        </is>
      </c>
      <c r="BH120" s="24" t="inlineStr">
        <is>
          <t>2026-08-09T17:05:46.624016Z</t>
        </is>
      </c>
      <c r="BI120" s="24" t="inlineStr">
        <is>
          <t>["same_event","same_team_same_day","same_league_same_day"]</t>
        </is>
      </c>
      <c r="BJ120" s="25" t="n"/>
      <c r="BK120" s="26" t="n">
        <v>127</v>
      </c>
      <c r="BL120" s="27" t="n">
        <v>2.27</v>
      </c>
      <c r="BM120" s="28" t="n">
        <v>0.440529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fe38f070f2ee44a6</t>
        </is>
      </c>
      <c r="B121" s="24" t="inlineStr">
        <is>
          <t>2026-08-09T17:07:17.181830Z</t>
        </is>
      </c>
      <c r="C121" s="24" t="inlineStr">
        <is>
          <t>2026-08-09T18:45Z</t>
        </is>
      </c>
      <c r="D121" s="24" t="inlineStr">
        <is>
          <t>401906454</t>
        </is>
      </c>
      <c r="E121" s="24" t="inlineStr">
        <is>
          <t>SOCCER</t>
        </is>
      </c>
      <c r="F121" s="24" t="inlineStr">
        <is>
          <t>Lazio</t>
        </is>
      </c>
      <c r="G121" s="24" t="inlineStr">
        <is>
          <t>Frosinone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0.349881</v>
      </c>
      <c r="P121" s="28" t="n">
        <v>0.04</v>
      </c>
      <c r="Q121" s="28" t="n">
        <v>-0.119603</v>
      </c>
      <c r="R121" s="26" t="n">
        <v>0</v>
      </c>
      <c r="S121" s="29" t="n">
        <v>0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1</v>
      </c>
      <c r="Y121" s="25" t="n"/>
      <c r="Z121" s="26" t="n"/>
      <c r="AA121" s="28" t="n"/>
      <c r="AB121" s="28" t="n"/>
      <c r="AC121" s="30" t="n">
        <v>0</v>
      </c>
      <c r="AD121" s="24" t="inlineStr">
        <is>
          <t>2026-08-09T23:30:06.839430Z</t>
        </is>
      </c>
      <c r="AE121" s="31" t="inlineStr">
        <is>
          <t>Poisson-DC rates 1.07 (home) / 1.11 (away) from EWMA attack/defense strengths. Executable ask 0.4700 (atc-clbf-fro-laz-2026-08-09-laz).</t>
        </is>
      </c>
      <c r="AF121" s="31" t="inlineStr">
        <is>
          <t>Research-only soccer score model; draw-aware, but not yet locked-holdout qualified.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Lazio</t>
        </is>
      </c>
      <c r="AQ121" s="24" t="inlineStr">
        <is>
          <t>Lazio</t>
        </is>
      </c>
      <c r="AR121" s="24" t="inlineStr">
        <is>
          <t>Lazio</t>
        </is>
      </c>
      <c r="AS121" s="24" t="inlineStr">
        <is>
          <t>Frosinone</t>
        </is>
      </c>
      <c r="AT121" s="24" t="inlineStr">
        <is>
          <t>Frosinone</t>
        </is>
      </c>
      <c r="AU121" s="24" t="inlineStr">
        <is>
          <t>Frosinone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c95ec2023134439ab985cb4cdcc58243749b9deb564fca7a2d587c15c9875427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c95ec2023134439ab985cb4cdcc58243749b9deb564fca7a2d587c15c9875427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c95ec2023134439ab985cb4cdcc58243749b9deb564fca7a2d587c15c9875427</t>
        </is>
      </c>
      <c r="BH121" s="24" t="inlineStr">
        <is>
          <t>2026-08-09T17:05:47.155497Z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93cfc81fc4e94d70</t>
        </is>
      </c>
      <c r="B122" s="24" t="inlineStr">
        <is>
          <t>2026-08-09T20:27:41.663537Z</t>
        </is>
      </c>
      <c r="C122" s="24" t="inlineStr">
        <is>
          <t>2026-08-09T21:30Z</t>
        </is>
      </c>
      <c r="D122" s="24" t="inlineStr">
        <is>
          <t>401841179</t>
        </is>
      </c>
      <c r="E122" s="24" t="inlineStr">
        <is>
          <t>SOCCER</t>
        </is>
      </c>
      <c r="F122" s="24" t="inlineStr">
        <is>
          <t>Corinthians</t>
        </is>
      </c>
      <c r="G122" s="24" t="inlineStr">
        <is>
          <t>Red Bull Bragantino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133</v>
      </c>
      <c r="M122" s="27" t="n">
        <v>2.33</v>
      </c>
      <c r="N122" s="28" t="n">
        <v>0.429185</v>
      </c>
      <c r="O122" s="28" t="n">
        <v>0.456135</v>
      </c>
      <c r="P122" s="28" t="n">
        <v>0.2</v>
      </c>
      <c r="Q122" s="28" t="n">
        <v>0.02695</v>
      </c>
      <c r="R122" s="26" t="n">
        <v>0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2026-08-09T23:30:07.637002Z</t>
        </is>
      </c>
      <c r="AE122" s="31" t="inlineStr">
        <is>
          <t>Poisson-DC rates 1.64 (home) / 1.24 (away) from EWMA attack/defense strengths. Executable ask 0.4300 (atc-bra-bra-scp-2026-08-09-bra).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Corinthians</t>
        </is>
      </c>
      <c r="AQ122" s="24" t="inlineStr">
        <is>
          <t>Corinthians</t>
        </is>
      </c>
      <c r="AR122" s="24" t="inlineStr">
        <is>
          <t>Corinthians</t>
        </is>
      </c>
      <c r="AS122" s="24" t="inlineStr">
        <is>
          <t>Red Bull Bragantino</t>
        </is>
      </c>
      <c r="AT122" s="24" t="inlineStr">
        <is>
          <t>Red Bull Bragantino</t>
        </is>
      </c>
      <c r="AU122" s="24" t="inlineStr">
        <is>
          <t>Red Bull Bragantino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c95ec2023134439ab985cb4cdcc58243749b9deb564fca7a2d587c15c9875427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c95ec2023134439ab985cb4cdcc58243749b9deb564fca7a2d587c15c9875427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c95ec2023134439ab985cb4cdcc58243749b9deb564fca7a2d587c15c9875427</t>
        </is>
      </c>
      <c r="BH122" s="24" t="inlineStr">
        <is>
          <t>2026-08-09T20:26:43.607886Z</t>
        </is>
      </c>
      <c r="BI122" s="24" t="inlineStr">
        <is>
          <t>["same_event","same_team_same_day","same_league_same_day"]</t>
        </is>
      </c>
      <c r="BJ122" s="25" t="n"/>
      <c r="BK122" s="26" t="n">
        <v>133</v>
      </c>
      <c r="BL122" s="27" t="n">
        <v>2.33</v>
      </c>
      <c r="BM122" s="28" t="n">
        <v>0.429185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9e180722f6194899</t>
        </is>
      </c>
      <c r="B123" s="24" t="inlineStr">
        <is>
          <t>2026-08-09T20:27:41.663537Z</t>
        </is>
      </c>
      <c r="C123" s="24" t="inlineStr">
        <is>
          <t>2026-08-09T21:00Z</t>
        </is>
      </c>
      <c r="D123" s="24" t="inlineStr">
        <is>
          <t>401860268</t>
        </is>
      </c>
      <c r="E123" s="24" t="inlineStr">
        <is>
          <t>SOCCER</t>
        </is>
      </c>
      <c r="F123" s="24" t="inlineStr">
        <is>
          <t>Fortaleza</t>
        </is>
      </c>
      <c r="G123" s="24" t="inlineStr">
        <is>
          <t>Cuiabá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203</v>
      </c>
      <c r="M123" s="27" t="n">
        <v>3.03</v>
      </c>
      <c r="N123" s="28" t="n">
        <v>0.330033</v>
      </c>
      <c r="O123" s="28" t="n">
        <v>0.456135</v>
      </c>
      <c r="P123" s="28" t="n">
        <v>0.2</v>
      </c>
      <c r="Q123" s="28" t="n">
        <v>0.126102</v>
      </c>
      <c r="R123" s="26" t="n">
        <v>0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1</v>
      </c>
      <c r="Y123" s="25" t="n"/>
      <c r="Z123" s="26" t="n"/>
      <c r="AA123" s="28" t="n"/>
      <c r="AB123" s="28" t="n"/>
      <c r="AC123" s="30" t="n">
        <v>-1</v>
      </c>
      <c r="AD123" s="24" t="inlineStr">
        <is>
          <t>2026-08-09T23:30:08.480184Z</t>
        </is>
      </c>
      <c r="AE123" s="31" t="inlineStr">
        <is>
          <t>Poisson-DC rates 1.64 (home) / 1.24 (away) from EWMA attack/defense strengths. Executable ask 0.3300 (atc-brb-cui-fec-2026-08-09-cui).</t>
        </is>
      </c>
      <c r="AF123" s="31" t="inlineStr">
        <is>
          <t>Research-only soccer score model; draw-aware, but not yet locked-holdout qualified.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Fortaleza</t>
        </is>
      </c>
      <c r="AQ123" s="24" t="inlineStr">
        <is>
          <t>Fortaleza</t>
        </is>
      </c>
      <c r="AR123" s="24" t="inlineStr">
        <is>
          <t>Fortaleza</t>
        </is>
      </c>
      <c r="AS123" s="24" t="inlineStr">
        <is>
          <t>Cuiabá</t>
        </is>
      </c>
      <c r="AT123" s="24" t="inlineStr">
        <is>
          <t>Cuiabá</t>
        </is>
      </c>
      <c r="AU123" s="24" t="inlineStr">
        <is>
          <t>Cuiabá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c95ec2023134439ab985cb4cdcc58243749b9deb564fca7a2d587c15c9875427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c95ec2023134439ab985cb4cdcc58243749b9deb564fca7a2d587c15c9875427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c95ec2023134439ab985cb4cdcc58243749b9deb564fca7a2d587c15c9875427</t>
        </is>
      </c>
      <c r="BH123" s="24" t="inlineStr">
        <is>
          <t>2026-08-09T20:26:44.239332Z</t>
        </is>
      </c>
      <c r="BI123" s="24" t="inlineStr">
        <is>
          <t>["same_event","same_team_same_day","same_league_same_day"]</t>
        </is>
      </c>
      <c r="BJ123" s="25" t="n"/>
      <c r="BK123" s="26" t="n">
        <v>203</v>
      </c>
      <c r="BL123" s="27" t="n">
        <v>3.03</v>
      </c>
      <c r="BM123" s="28" t="n">
        <v>0.330033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2ccd48b1847f4c8b</t>
        </is>
      </c>
      <c r="B124" s="24" t="inlineStr">
        <is>
          <t>2026-08-09T20:27:41.663537Z</t>
        </is>
      </c>
      <c r="C124" s="24" t="inlineStr">
        <is>
          <t>2026-08-09T20:45Z</t>
        </is>
      </c>
      <c r="D124" s="24" t="inlineStr">
        <is>
          <t>401841481</t>
        </is>
      </c>
      <c r="E124" s="24" t="inlineStr">
        <is>
          <t>SOCCER</t>
        </is>
      </c>
      <c r="F124" s="24" t="inlineStr">
        <is>
          <t>Newell's Old Boys</t>
        </is>
      </c>
      <c r="G124" s="24" t="inlineStr">
        <is>
          <t>Defensa y Justicia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104</v>
      </c>
      <c r="M124" s="27" t="n">
        <v>2.04</v>
      </c>
      <c r="N124" s="28" t="n">
        <v>0.490196</v>
      </c>
      <c r="O124" s="28" t="n">
        <v>0.456135</v>
      </c>
      <c r="P124" s="28" t="n">
        <v>0.2</v>
      </c>
      <c r="Q124" s="28" t="n">
        <v>-0.034061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2</v>
      </c>
      <c r="Y124" s="25" t="n"/>
      <c r="Z124" s="26" t="n"/>
      <c r="AA124" s="28" t="n"/>
      <c r="AB124" s="28" t="n"/>
      <c r="AC124" s="30" t="n">
        <v>1.04</v>
      </c>
      <c r="AD124" s="24" t="inlineStr">
        <is>
          <t>2026-08-09T23:30:09.272826Z</t>
        </is>
      </c>
      <c r="AE124" s="31" t="inlineStr">
        <is>
          <t>Poisson-DC rates 1.64 (home) / 1.24 (away) from EWMA attack/defense strengths. Executable ask 0.4900 (atc-lpa-def-new-2026-08-09-def).</t>
        </is>
      </c>
      <c r="AF124" s="31" t="inlineStr">
        <is>
          <t>Research-only soccer score model; draw-aware, but not yet locked-holdout qualified.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Newell's Old Boys</t>
        </is>
      </c>
      <c r="AQ124" s="24" t="inlineStr">
        <is>
          <t>Newell's Old Boys</t>
        </is>
      </c>
      <c r="AR124" s="24" t="inlineStr">
        <is>
          <t>Newell's Old Boys</t>
        </is>
      </c>
      <c r="AS124" s="24" t="inlineStr">
        <is>
          <t>Defensa y Justicia</t>
        </is>
      </c>
      <c r="AT124" s="24" t="inlineStr">
        <is>
          <t>Defensa y Justicia</t>
        </is>
      </c>
      <c r="AU124" s="24" t="inlineStr">
        <is>
          <t>Defensa y Justicia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c95ec2023134439ab985cb4cdcc58243749b9deb564fca7a2d587c15c9875427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c95ec2023134439ab985cb4cdcc58243749b9deb564fca7a2d587c15c9875427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c95ec2023134439ab985cb4cdcc58243749b9deb564fca7a2d587c15c9875427</t>
        </is>
      </c>
      <c r="BH124" s="24" t="inlineStr">
        <is>
          <t>2026-08-09T20:26:44.427542Z</t>
        </is>
      </c>
      <c r="BI124" s="24" t="inlineStr">
        <is>
          <t>["same_event","same_team_same_day","same_league_same_day"]</t>
        </is>
      </c>
      <c r="BJ124" s="25" t="n"/>
      <c r="BK124" s="26" t="n">
        <v>104</v>
      </c>
      <c r="BL124" s="27" t="n">
        <v>2.04</v>
      </c>
      <c r="BM124" s="28" t="n">
        <v>0.490196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12db96f44c404db8</t>
        </is>
      </c>
      <c r="B125" s="24" t="inlineStr">
        <is>
          <t>2026-08-09T20:27:41.663537Z</t>
        </is>
      </c>
      <c r="C125" s="24" t="inlineStr">
        <is>
          <t>2026-08-09T20:45Z</t>
        </is>
      </c>
      <c r="D125" s="24" t="inlineStr">
        <is>
          <t>401841479</t>
        </is>
      </c>
      <c r="E125" s="24" t="inlineStr">
        <is>
          <t>SOCCER</t>
        </is>
      </c>
      <c r="F125" s="24" t="inlineStr">
        <is>
          <t>Barracas Central</t>
        </is>
      </c>
      <c r="G125" s="24" t="inlineStr">
        <is>
          <t>Gimnasia La Plata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-108</v>
      </c>
      <c r="M125" s="27" t="n">
        <v>1.925926</v>
      </c>
      <c r="N125" s="28" t="n">
        <v>0.519231</v>
      </c>
      <c r="O125" s="28" t="n">
        <v>0.5359159999999999</v>
      </c>
      <c r="P125" s="28" t="n">
        <v>0.2</v>
      </c>
      <c r="Q125" s="28" t="n">
        <v>0.016685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2</v>
      </c>
      <c r="Y125" s="25" t="n"/>
      <c r="Z125" s="26" t="n"/>
      <c r="AA125" s="28" t="n"/>
      <c r="AB125" s="28" t="n"/>
      <c r="AC125" s="30" t="n">
        <v>0.9258999999999999</v>
      </c>
      <c r="AD125" s="24" t="inlineStr">
        <is>
          <t>2026-08-09T23:30:10.083077Z</t>
        </is>
      </c>
      <c r="AE125" s="31" t="inlineStr">
        <is>
          <t>Poisson-DC rates 1.84 (home) / 1.10 (away) from EWMA attack/defense strengths. Executable ask 0.5200 (atc-lpa-gim-bar-2026-08-09-gim).</t>
        </is>
      </c>
      <c r="AF125" s="31" t="inlineStr">
        <is>
          <t>Research-only soccer score model; draw-aware, but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Barracas Central</t>
        </is>
      </c>
      <c r="AQ125" s="24" t="inlineStr">
        <is>
          <t>Barracas Central</t>
        </is>
      </c>
      <c r="AR125" s="24" t="inlineStr">
        <is>
          <t>Barracas Central</t>
        </is>
      </c>
      <c r="AS125" s="24" t="inlineStr">
        <is>
          <t>Gimnasia La Plata</t>
        </is>
      </c>
      <c r="AT125" s="24" t="inlineStr">
        <is>
          <t>Gimnasia La Plata</t>
        </is>
      </c>
      <c r="AU125" s="24" t="inlineStr">
        <is>
          <t>Gimnasia La Plata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c95ec2023134439ab985cb4cdcc58243749b9deb564fca7a2d587c15c9875427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c95ec2023134439ab985cb4cdcc58243749b9deb564fca7a2d587c15c9875427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c95ec2023134439ab985cb4cdcc58243749b9deb564fca7a2d587c15c9875427</t>
        </is>
      </c>
      <c r="BH125" s="24" t="inlineStr">
        <is>
          <t>2026-08-09T20:26:44.412176Z</t>
        </is>
      </c>
      <c r="BI125" s="24" t="inlineStr">
        <is>
          <t>["same_event","same_team_same_day","same_league_same_day"]</t>
        </is>
      </c>
      <c r="BJ125" s="25" t="n"/>
      <c r="BK125" s="26" t="n">
        <v>-108</v>
      </c>
      <c r="BL125" s="27" t="n">
        <v>1.925926</v>
      </c>
      <c r="BM125" s="28" t="n">
        <v>0.519231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2ca2c4e7a56c42f6</t>
        </is>
      </c>
      <c r="B126" s="24" t="inlineStr">
        <is>
          <t>2026-08-09T20:27:41.663537Z</t>
        </is>
      </c>
      <c r="C126" s="24" t="inlineStr">
        <is>
          <t>2026-08-09T23:15Z</t>
        </is>
      </c>
      <c r="D126" s="24" t="inlineStr">
        <is>
          <t>401841485</t>
        </is>
      </c>
      <c r="E126" s="24" t="inlineStr">
        <is>
          <t>SOCCER</t>
        </is>
      </c>
      <c r="F126" s="24" t="inlineStr">
        <is>
          <t>Racing Club</t>
        </is>
      </c>
      <c r="G126" s="24" t="inlineStr">
        <is>
          <t>Argentinos Juniors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0.430486</v>
      </c>
      <c r="P126" s="28" t="n">
        <v>0.2</v>
      </c>
      <c r="Q126" s="28" t="n">
        <v>-0.019964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2</v>
      </c>
      <c r="Y126" s="25" t="n"/>
      <c r="Z126" s="26" t="n"/>
      <c r="AA126" s="28" t="n"/>
      <c r="AB126" s="28" t="n"/>
      <c r="AC126" s="30" t="n">
        <v>1.22</v>
      </c>
      <c r="AD126" s="24" t="inlineStr">
        <is>
          <t>2026-08-10T02:34:12.586148Z</t>
        </is>
      </c>
      <c r="AE126" s="31" t="inlineStr">
        <is>
          <t>Poisson-DC rates 1.59 (home) / 1.30 (away) from EWMA attack/defense strengths. Executable ask 0.4500 (atc-lpa-aaj-rac-2026-08-09-aaj).</t>
        </is>
      </c>
      <c r="AF126" s="31" t="inlineStr">
        <is>
          <t>Research-only soccer score model; draw-aware, but not yet locked-holdout qualified.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Racing Club</t>
        </is>
      </c>
      <c r="AQ126" s="24" t="inlineStr">
        <is>
          <t>Racing Club</t>
        </is>
      </c>
      <c r="AR126" s="24" t="inlineStr">
        <is>
          <t>Racing Club</t>
        </is>
      </c>
      <c r="AS126" s="24" t="inlineStr">
        <is>
          <t>Argentinos Juniors</t>
        </is>
      </c>
      <c r="AT126" s="24" t="inlineStr">
        <is>
          <t>Argentinos Juniors</t>
        </is>
      </c>
      <c r="AU126" s="24" t="inlineStr">
        <is>
          <t>Argentinos Juniors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c95ec2023134439ab985cb4cdcc58243749b9deb564fca7a2d587c15c9875427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c95ec2023134439ab985cb4cdcc58243749b9deb564fca7a2d587c15c9875427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c95ec2023134439ab985cb4cdcc58243749b9deb564fca7a2d587c15c9875427</t>
        </is>
      </c>
      <c r="BH126" s="24" t="inlineStr">
        <is>
          <t>2026-08-09T20:26:44.651790Z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3a175074334f4562</t>
        </is>
      </c>
      <c r="B127" s="24" t="inlineStr">
        <is>
          <t>2026-08-09T20:27:41.663537Z</t>
        </is>
      </c>
      <c r="C127" s="24" t="inlineStr">
        <is>
          <t>2026-08-09T20:30Z</t>
        </is>
      </c>
      <c r="D127" s="24" t="inlineStr">
        <is>
          <t>401844030</t>
        </is>
      </c>
      <c r="E127" s="24" t="inlineStr">
        <is>
          <t>SOCCER</t>
        </is>
      </c>
      <c r="F127" s="24" t="inlineStr">
        <is>
          <t>Nueva Chicago</t>
        </is>
      </c>
      <c r="G127" s="24" t="inlineStr">
        <is>
          <t>Gimnasia y Tiro (Salta)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0.440521</v>
      </c>
      <c r="P127" s="28" t="n">
        <v>0.2</v>
      </c>
      <c r="Q127" s="28" t="n">
        <v>-0.11895</v>
      </c>
      <c r="R127" s="26" t="n">
        <v>0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2</v>
      </c>
      <c r="Y127" s="25" t="n"/>
      <c r="Z127" s="26" t="n"/>
      <c r="AA127" s="28" t="n"/>
      <c r="AB127" s="28" t="n"/>
      <c r="AC127" s="30" t="n">
        <v>0.7874</v>
      </c>
      <c r="AD127" s="24" t="inlineStr">
        <is>
          <t>2026-08-10T02:34:13.361726Z</t>
        </is>
      </c>
      <c r="AE127" s="31" t="inlineStr">
        <is>
          <t>Poisson-DC rates 1.46 (home) / 1.10 (away) from EWMA attack/defense strengths. Executable ask 0.5600 (atc-arg2-gyt-chi-2026-08-08-gyt).</t>
        </is>
      </c>
      <c r="AF127" s="31" t="inlineStr">
        <is>
          <t>Research-only soccer score model; draw-aware, but not yet locked-holdout qualified.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Nueva Chicago</t>
        </is>
      </c>
      <c r="AQ127" s="24" t="inlineStr">
        <is>
          <t>Nueva Chicago</t>
        </is>
      </c>
      <c r="AR127" s="24" t="inlineStr">
        <is>
          <t>Nueva Chicago</t>
        </is>
      </c>
      <c r="AS127" s="24" t="inlineStr">
        <is>
          <t>Gimnasia y Tiro (Salta)</t>
        </is>
      </c>
      <c r="AT127" s="24" t="inlineStr">
        <is>
          <t>Gimnasia y Tiro (Salta)</t>
        </is>
      </c>
      <c r="AU127" s="24" t="inlineStr">
        <is>
          <t>Gimnasia y Tiro (Salta)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c95ec2023134439ab985cb4cdcc58243749b9deb564fca7a2d587c15c9875427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c95ec2023134439ab985cb4cdcc58243749b9deb564fca7a2d587c15c9875427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c95ec2023134439ab985cb4cdcc58243749b9deb564fca7a2d587c15c9875427</t>
        </is>
      </c>
      <c r="BH127" s="24" t="inlineStr">
        <is>
          <t>2026-08-09T20:26:45.204260Z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</row>
    <row r="128" ht="36" customHeight="1">
      <c r="A128" s="24" t="inlineStr">
        <is>
          <t>b8243052705d4baa</t>
        </is>
      </c>
      <c r="B128" s="24" t="inlineStr">
        <is>
          <t>2026-08-09T20:27:41.663537Z</t>
        </is>
      </c>
      <c r="C128" s="24" t="inlineStr">
        <is>
          <t>2026-08-09T21:30Z</t>
        </is>
      </c>
      <c r="D128" s="24" t="inlineStr">
        <is>
          <t>401905176</t>
        </is>
      </c>
      <c r="E128" s="24" t="inlineStr">
        <is>
          <t>SOCCER</t>
        </is>
      </c>
      <c r="F128" s="24" t="inlineStr">
        <is>
          <t>Boston River</t>
        </is>
      </c>
      <c r="G128" s="24" t="inlineStr">
        <is>
          <t>Nacional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0.5359159999999999</v>
      </c>
      <c r="P128" s="28" t="n">
        <v>0.2</v>
      </c>
      <c r="Q128" s="28" t="n">
        <v>-0.114434</v>
      </c>
      <c r="R128" s="26" t="n">
        <v>0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2</v>
      </c>
      <c r="X128" s="26" t="n">
        <v>1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2026-08-09T23:30:10.879404Z</t>
        </is>
      </c>
      <c r="AE128" s="31" t="inlineStr">
        <is>
          <t>Poisson-DC rates 1.84 (home) / 1.10 (away) from EWMA attack/defense strengths. Executable ask 0.6500 (atc-uru1-nac-bri-2026-08-09-nac).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Boston River</t>
        </is>
      </c>
      <c r="AQ128" s="24" t="inlineStr">
        <is>
          <t>Boston River</t>
        </is>
      </c>
      <c r="AR128" s="24" t="inlineStr">
        <is>
          <t>Boston River</t>
        </is>
      </c>
      <c r="AS128" s="24" t="inlineStr">
        <is>
          <t>Nacional</t>
        </is>
      </c>
      <c r="AT128" s="24" t="inlineStr">
        <is>
          <t>Nacional</t>
        </is>
      </c>
      <c r="AU128" s="24" t="inlineStr">
        <is>
          <t>Nacional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c95ec2023134439ab985cb4cdcc58243749b9deb564fca7a2d587c15c9875427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c95ec2023134439ab985cb4cdcc58243749b9deb564fca7a2d587c15c9875427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c95ec2023134439ab985cb4cdcc58243749b9deb564fca7a2d587c15c9875427</t>
        </is>
      </c>
      <c r="BH128" s="24" t="inlineStr">
        <is>
          <t>2026-08-09T20:26:46.029236Z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b33982c52540465a</t>
        </is>
      </c>
      <c r="B129" s="24" t="inlineStr">
        <is>
          <t>2026-08-09T20:27:41.663537Z</t>
        </is>
      </c>
      <c r="C129" s="24" t="inlineStr">
        <is>
          <t>2026-08-09T20:30Z</t>
        </is>
      </c>
      <c r="D129" s="24" t="inlineStr">
        <is>
          <t>401886114</t>
        </is>
      </c>
      <c r="E129" s="24" t="inlineStr">
        <is>
          <t>SOCCER</t>
        </is>
      </c>
      <c r="F129" s="24" t="inlineStr">
        <is>
          <t>FC Cajamarca</t>
        </is>
      </c>
      <c r="G129" s="24" t="inlineStr">
        <is>
          <t>Melgar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-376</v>
      </c>
      <c r="M129" s="27" t="n">
        <v>1.265957</v>
      </c>
      <c r="N129" s="28" t="n">
        <v>0.789916</v>
      </c>
      <c r="O129" s="28" t="n">
        <v>0.456135</v>
      </c>
      <c r="P129" s="28" t="n">
        <v>0.2</v>
      </c>
      <c r="Q129" s="28" t="n">
        <v>-0.333781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loss</t>
        </is>
      </c>
      <c r="W129" s="26" t="n">
        <v>4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2026-08-09T23:30:11.724544Z</t>
        </is>
      </c>
      <c r="AE129" s="31" t="inlineStr">
        <is>
          <t>Poisson-DC rates 1.64 (home) / 1.24 (away) from EWMA attack/defense strengths. Executable ask 0.7900 (atc-pl1-mel-caj-2026-08-09-mel).</t>
        </is>
      </c>
      <c r="AF129" s="31" t="inlineStr">
        <is>
          <t>Research-only soccer score model; draw-aware, but not yet locked-holdout qualified.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FC Cajamarca</t>
        </is>
      </c>
      <c r="AQ129" s="24" t="inlineStr">
        <is>
          <t>FC Cajamarca</t>
        </is>
      </c>
      <c r="AR129" s="24" t="inlineStr">
        <is>
          <t>FC Cajamarca</t>
        </is>
      </c>
      <c r="AS129" s="24" t="inlineStr">
        <is>
          <t>Melgar</t>
        </is>
      </c>
      <c r="AT129" s="24" t="inlineStr">
        <is>
          <t>Melgar</t>
        </is>
      </c>
      <c r="AU129" s="24" t="inlineStr">
        <is>
          <t>Melgar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c95ec2023134439ab985cb4cdcc58243749b9deb564fca7a2d587c15c9875427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c95ec2023134439ab985cb4cdcc58243749b9deb564fca7a2d587c15c9875427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c95ec2023134439ab985cb4cdcc58243749b9deb564fca7a2d587c15c9875427</t>
        </is>
      </c>
      <c r="BH129" s="24" t="inlineStr">
        <is>
          <t>2026-08-09T20:26:46.345403Z</t>
        </is>
      </c>
      <c r="BI129" s="24" t="inlineStr">
        <is>
          <t>["same_event","same_team_same_day","same_league_same_day"]</t>
        </is>
      </c>
      <c r="BJ129" s="25" t="n"/>
      <c r="BK129" s="26" t="n">
        <v>-376</v>
      </c>
      <c r="BL129" s="27" t="n">
        <v>1.265957</v>
      </c>
      <c r="BM129" s="28" t="n">
        <v>0.789916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fa70dae0e6ff42dd</t>
        </is>
      </c>
      <c r="B130" s="24" t="inlineStr">
        <is>
          <t>2026-08-09T23:32:22.221451Z</t>
        </is>
      </c>
      <c r="C130" s="24" t="inlineStr">
        <is>
          <t>2026-08-10T00:00Z</t>
        </is>
      </c>
      <c r="D130" s="24" t="inlineStr">
        <is>
          <t>401850613</t>
        </is>
      </c>
      <c r="E130" s="24" t="inlineStr">
        <is>
          <t>SOCCER</t>
        </is>
      </c>
      <c r="F130" s="24" t="inlineStr">
        <is>
          <t>Palestino</t>
        </is>
      </c>
      <c r="G130" s="24" t="inlineStr">
        <is>
          <t>Universidad de Chile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-150</v>
      </c>
      <c r="M130" s="27" t="n">
        <v>1.666667</v>
      </c>
      <c r="N130" s="28" t="n">
        <v>0.6</v>
      </c>
      <c r="O130" s="28" t="n">
        <v>0.394509</v>
      </c>
      <c r="P130" s="28" t="n">
        <v>0.19</v>
      </c>
      <c r="Q130" s="28" t="n">
        <v>-0.205491</v>
      </c>
      <c r="R130" s="26" t="n">
        <v>0</v>
      </c>
      <c r="S130" s="29" t="n">
        <v>1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2</v>
      </c>
      <c r="Y130" s="25" t="n"/>
      <c r="Z130" s="26" t="n"/>
      <c r="AA130" s="28" t="n"/>
      <c r="AB130" s="28" t="n"/>
      <c r="AC130" s="30" t="n">
        <v>0.6667</v>
      </c>
      <c r="AD130" s="24" t="inlineStr">
        <is>
          <t>2026-08-10T02:34:17.311144Z</t>
        </is>
      </c>
      <c r="AE130" s="31" t="inlineStr">
        <is>
          <t>Poisson-DC rates 1.41 (home) / 1.25 (away) from EWMA attack/defense strengths. Executable ask 0.6000 (atc-pdc-unc-pal-2026-08-09-unc).</t>
        </is>
      </c>
      <c r="AF130" s="31" t="inlineStr">
        <is>
          <t>Research-only soccer score model; draw-aware, but not yet locked-holdout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Palestino</t>
        </is>
      </c>
      <c r="AQ130" s="24" t="inlineStr">
        <is>
          <t>Palestino</t>
        </is>
      </c>
      <c r="AR130" s="24" t="inlineStr">
        <is>
          <t>Palestino</t>
        </is>
      </c>
      <c r="AS130" s="24" t="inlineStr">
        <is>
          <t>Universidad de Chile</t>
        </is>
      </c>
      <c r="AT130" s="24" t="inlineStr">
        <is>
          <t>Universidad de Chile</t>
        </is>
      </c>
      <c r="AU130" s="24" t="inlineStr">
        <is>
          <t>Universidad de Chile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c95ec2023134439ab985cb4cdcc58243749b9deb564fca7a2d587c15c9875427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c95ec2023134439ab985cb4cdcc58243749b9deb564fca7a2d587c15c9875427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c95ec2023134439ab985cb4cdcc58243749b9deb564fca7a2d587c15c9875427</t>
        </is>
      </c>
      <c r="BH130" s="24" t="inlineStr">
        <is>
          <t>2026-08-09T23:31:34.043692Z</t>
        </is>
      </c>
      <c r="BI130" s="24" t="inlineStr">
        <is>
          <t>["same_event","same_team_same_day","same_league_same_day"]</t>
        </is>
      </c>
      <c r="BJ130" s="25" t="n"/>
      <c r="BK130" s="26" t="n">
        <v>-150</v>
      </c>
      <c r="BL130" s="27" t="n">
        <v>1.666667</v>
      </c>
      <c r="BM130" s="28" t="n">
        <v>0.6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26595c7ac6b5414f</t>
        </is>
      </c>
      <c r="B131" s="24" t="inlineStr">
        <is>
          <t>2026-08-09T23:32:22.221451Z</t>
        </is>
      </c>
      <c r="C131" s="24" t="inlineStr">
        <is>
          <t>2026-08-10T00:00Z</t>
        </is>
      </c>
      <c r="D131" s="24" t="inlineStr">
        <is>
          <t>401859649</t>
        </is>
      </c>
      <c r="E131" s="24" t="inlineStr">
        <is>
          <t>SOCCER</t>
        </is>
      </c>
      <c r="F131" s="24" t="inlineStr">
        <is>
          <t>Emelec</t>
        </is>
      </c>
      <c r="G131" s="24" t="inlineStr">
        <is>
          <t>Guayaquil City FC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203</v>
      </c>
      <c r="M131" s="27" t="n">
        <v>3.03</v>
      </c>
      <c r="N131" s="28" t="n">
        <v>0.330033</v>
      </c>
      <c r="O131" s="28" t="n">
        <v>0.456135</v>
      </c>
      <c r="P131" s="28" t="n">
        <v>0.2</v>
      </c>
      <c r="Q131" s="28" t="n">
        <v>0.126102</v>
      </c>
      <c r="R131" s="26" t="n">
        <v>0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0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2026-08-10T02:34:18.686986Z</t>
        </is>
      </c>
      <c r="AE131" s="31" t="inlineStr">
        <is>
          <t>Poisson-DC rates 1.64 (home) / 1.24 (away) from EWMA attack/defense strengths. Executable ask 0.3300 (atc-ecu1-gua-cse-2026-08-09-gua).</t>
        </is>
      </c>
      <c r="AF131" s="31" t="inlineStr">
        <is>
          <t>Research-only soccer score model; draw-aware, but not yet locked-holdout qualified.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Emelec</t>
        </is>
      </c>
      <c r="AQ131" s="24" t="inlineStr">
        <is>
          <t>Emelec</t>
        </is>
      </c>
      <c r="AR131" s="24" t="inlineStr">
        <is>
          <t>Emelec</t>
        </is>
      </c>
      <c r="AS131" s="24" t="inlineStr">
        <is>
          <t>Guayaquil City FC</t>
        </is>
      </c>
      <c r="AT131" s="24" t="inlineStr">
        <is>
          <t>Guayaquil City FC</t>
        </is>
      </c>
      <c r="AU131" s="24" t="inlineStr">
        <is>
          <t>Guayaquil City FC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c95ec2023134439ab985cb4cdcc58243749b9deb564fca7a2d587c15c9875427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c95ec2023134439ab985cb4cdcc58243749b9deb564fca7a2d587c15c9875427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c95ec2023134439ab985cb4cdcc58243749b9deb564fca7a2d587c15c9875427</t>
        </is>
      </c>
      <c r="BH131" s="24" t="inlineStr">
        <is>
          <t>2026-08-09T23:31:34.338314Z</t>
        </is>
      </c>
      <c r="BI131" s="24" t="inlineStr">
        <is>
          <t>["same_event","same_team_same_day","same_league_same_day"]</t>
        </is>
      </c>
      <c r="BJ131" s="25" t="n"/>
      <c r="BK131" s="26" t="n">
        <v>203</v>
      </c>
      <c r="BL131" s="27" t="n">
        <v>3.03</v>
      </c>
      <c r="BM131" s="28" t="n">
        <v>0.330033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9772a262379042a6</t>
        </is>
      </c>
      <c r="B132" s="24" t="inlineStr">
        <is>
          <t>2026-08-10T16:35:20.124872Z</t>
        </is>
      </c>
      <c r="C132" s="24" t="inlineStr">
        <is>
          <t>2026-08-10T21:00Z</t>
        </is>
      </c>
      <c r="D132" s="24" t="inlineStr">
        <is>
          <t>401877954</t>
        </is>
      </c>
      <c r="E132" s="24" t="inlineStr">
        <is>
          <t>SOCCER</t>
        </is>
      </c>
      <c r="F132" s="24" t="inlineStr">
        <is>
          <t>Llaneros FC</t>
        </is>
      </c>
      <c r="G132" s="24" t="inlineStr">
        <is>
          <t>Águilas Doradas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-104</v>
      </c>
      <c r="M132" s="27" t="n">
        <v>1.961538</v>
      </c>
      <c r="N132" s="28" t="n">
        <v>0.509804</v>
      </c>
      <c r="O132" s="28" t="n">
        <v>0.418807</v>
      </c>
      <c r="P132" s="28" t="n">
        <v>0.2</v>
      </c>
      <c r="Q132" s="28" t="n">
        <v>-0.09099699999999999</v>
      </c>
      <c r="R132" s="26" t="n">
        <v>0</v>
      </c>
      <c r="S132" s="29" t="n">
        <v>1</v>
      </c>
      <c r="T132" s="24" t="inlineStr">
        <is>
          <t>soccer-poisson-dc-v1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Poisson-DC rates 1.46 (home) / 1.20 (away) from EWMA attack/defense strengths. Executable ask 0.5100 (atc-lco-agu-lla-2026-08-10-agu).</t>
        </is>
      </c>
      <c r="AF132" s="31" t="inlineStr">
        <is>
          <t>Research-only soccer score model; draw-aware, but not yet locked-holdout qualified.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Llaneros FC</t>
        </is>
      </c>
      <c r="AQ132" s="24" t="inlineStr">
        <is>
          <t>Llaneros FC</t>
        </is>
      </c>
      <c r="AR132" s="24" t="inlineStr">
        <is>
          <t>Llaneros FC</t>
        </is>
      </c>
      <c r="AS132" s="24" t="inlineStr">
        <is>
          <t>Águilas Doradas</t>
        </is>
      </c>
      <c r="AT132" s="24" t="inlineStr">
        <is>
          <t>Águilas Doradas</t>
        </is>
      </c>
      <c r="AU132" s="24" t="inlineStr">
        <is>
          <t>Águilas Doradas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c95ec2023134439ab985cb4cdcc58243749b9deb564fca7a2d587c15c9875427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c95ec2023134439ab985cb4cdcc58243749b9deb564fca7a2d587c15c9875427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c95ec2023134439ab985cb4cdcc58243749b9deb564fca7a2d587c15c9875427</t>
        </is>
      </c>
      <c r="BH132" s="24" t="inlineStr">
        <is>
          <t>2026-08-10T16:34:16.858542Z</t>
        </is>
      </c>
      <c r="BI132" s="24" t="inlineStr">
        <is>
          <t>["same_event","same_team_same_day","same_league_same_day"]</t>
        </is>
      </c>
      <c r="BJ132" s="25" t="n"/>
      <c r="BK132" s="26" t="n">
        <v>-104</v>
      </c>
      <c r="BL132" s="27" t="n">
        <v>1.961538</v>
      </c>
      <c r="BM132" s="28" t="n">
        <v>0.509804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c2a9fbe9b26145b7</t>
        </is>
      </c>
      <c r="B133" s="24" t="inlineStr">
        <is>
          <t>2026-08-10T16:35:20.124872Z</t>
        </is>
      </c>
      <c r="C133" s="24" t="inlineStr">
        <is>
          <t>2026-08-11T00:00Z</t>
        </is>
      </c>
      <c r="D133" s="24" t="inlineStr">
        <is>
          <t>401850612</t>
        </is>
      </c>
      <c r="E133" s="24" t="inlineStr">
        <is>
          <t>SOCCER</t>
        </is>
      </c>
      <c r="F133" s="24" t="inlineStr">
        <is>
          <t>Ñublense</t>
        </is>
      </c>
      <c r="G133" s="24" t="inlineStr">
        <is>
          <t>Audax Italiano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144</v>
      </c>
      <c r="M133" s="27" t="n">
        <v>2.44</v>
      </c>
      <c r="N133" s="28" t="n">
        <v>0.409836</v>
      </c>
      <c r="O133" s="28" t="n">
        <v>0.416467</v>
      </c>
      <c r="P133" s="28" t="n">
        <v>0.19</v>
      </c>
      <c r="Q133" s="28" t="n">
        <v>0.006631</v>
      </c>
      <c r="R133" s="26" t="n">
        <v>0</v>
      </c>
      <c r="S133" s="29" t="n">
        <v>1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2026-08-11T13:07:14.498541Z</t>
        </is>
      </c>
      <c r="AE133" s="31" t="inlineStr">
        <is>
          <t>Poisson-DC rates 1.41 (home) / 1.15 (away) from EWMA attack/defense strengths. Executable ask 0.4100 (atc-pdc-aud-nub-2026-08-10-aud).</t>
        </is>
      </c>
      <c r="AF133" s="31" t="inlineStr">
        <is>
          <t>Research-only soccer score model; draw-aware, but not yet locked-holdout qualified.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Ñublense</t>
        </is>
      </c>
      <c r="AQ133" s="24" t="inlineStr">
        <is>
          <t>Ñublense</t>
        </is>
      </c>
      <c r="AR133" s="24" t="inlineStr">
        <is>
          <t>Ñublense</t>
        </is>
      </c>
      <c r="AS133" s="24" t="inlineStr">
        <is>
          <t>Audax Italiano</t>
        </is>
      </c>
      <c r="AT133" s="24" t="inlineStr">
        <is>
          <t>Audax Italiano</t>
        </is>
      </c>
      <c r="AU133" s="24" t="inlineStr">
        <is>
          <t>Audax Italiano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c95ec2023134439ab985cb4cdcc58243749b9deb564fca7a2d587c15c9875427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c95ec2023134439ab985cb4cdcc58243749b9deb564fca7a2d587c15c9875427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c95ec2023134439ab985cb4cdcc58243749b9deb564fca7a2d587c15c9875427</t>
        </is>
      </c>
      <c r="BH133" s="24" t="inlineStr">
        <is>
          <t>2026-08-10T16:34:16.617464Z</t>
        </is>
      </c>
      <c r="BI133" s="24" t="inlineStr">
        <is>
          <t>["same_event","same_team_same_day","same_league_same_day"]</t>
        </is>
      </c>
      <c r="BJ133" s="25" t="n"/>
      <c r="BK133" s="26" t="n">
        <v>144</v>
      </c>
      <c r="BL133" s="27" t="n">
        <v>2.44</v>
      </c>
      <c r="BM133" s="28" t="n">
        <v>0.409836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</row>
    <row r="134" ht="36" customHeight="1">
      <c r="A134" s="24" t="inlineStr">
        <is>
          <t>4418c8b2bda14fc7</t>
        </is>
      </c>
      <c r="B134" s="24" t="inlineStr">
        <is>
          <t>2026-08-10T16:35:20.124872Z</t>
        </is>
      </c>
      <c r="C134" s="24" t="inlineStr">
        <is>
          <t>2026-08-10T22:00Z</t>
        </is>
      </c>
      <c r="D134" s="24" t="inlineStr">
        <is>
          <t>401905175</t>
        </is>
      </c>
      <c r="E134" s="24" t="inlineStr">
        <is>
          <t>SOCCER</t>
        </is>
      </c>
      <c r="F134" s="24" t="inlineStr">
        <is>
          <t>Racing (Montevideo)</t>
        </is>
      </c>
      <c r="G134" s="24" t="inlineStr">
        <is>
          <t>Deportivo Maldonado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0.418807</v>
      </c>
      <c r="P134" s="28" t="n">
        <v>0.2</v>
      </c>
      <c r="Q134" s="28" t="n">
        <v>0.059095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2</v>
      </c>
      <c r="X134" s="26" t="n">
        <v>2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2026-08-11T13:07:15.329814Z</t>
        </is>
      </c>
      <c r="AE134" s="31" t="inlineStr">
        <is>
          <t>Poisson-DC rates 1.46 (home) / 1.20 (away) from EWMA attack/defense strengths. Executable ask 0.3600 (atc-uru1-mal-rcm-2026-08-10-mal).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Racing (Montevideo)</t>
        </is>
      </c>
      <c r="AQ134" s="24" t="inlineStr">
        <is>
          <t>Racing (Montevideo)</t>
        </is>
      </c>
      <c r="AR134" s="24" t="inlineStr">
        <is>
          <t>Racing (Montevideo)</t>
        </is>
      </c>
      <c r="AS134" s="24" t="inlineStr">
        <is>
          <t>Deportivo Maldonado</t>
        </is>
      </c>
      <c r="AT134" s="24" t="inlineStr">
        <is>
          <t>Deportivo Maldonado</t>
        </is>
      </c>
      <c r="AU134" s="24" t="inlineStr">
        <is>
          <t>Deportivo Maldonado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c95ec2023134439ab985cb4cdcc58243749b9deb564fca7a2d587c15c9875427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c95ec2023134439ab985cb4cdcc58243749b9deb564fca7a2d587c15c9875427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c95ec2023134439ab985cb4cdcc58243749b9deb564fca7a2d587c15c9875427</t>
        </is>
      </c>
      <c r="BH134" s="24" t="inlineStr">
        <is>
          <t>2026-08-10T16:34:18.047174Z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</row>
    <row r="135" ht="36" customHeight="1">
      <c r="A135" s="24" t="inlineStr">
        <is>
          <t>8769d69447524052</t>
        </is>
      </c>
      <c r="B135" s="24" t="inlineStr">
        <is>
          <t>2026-08-12T14:36:23.068398Z</t>
        </is>
      </c>
      <c r="C135" s="24" t="inlineStr">
        <is>
          <t>2026-08-12T16:15Z</t>
        </is>
      </c>
      <c r="D135" s="24" t="inlineStr">
        <is>
          <t>401905959</t>
        </is>
      </c>
      <c r="E135" s="24" t="inlineStr">
        <is>
          <t>SOCCER</t>
        </is>
      </c>
      <c r="F135" s="24" t="inlineStr">
        <is>
          <t>Everton</t>
        </is>
      </c>
      <c r="G135" s="24" t="inlineStr">
        <is>
          <t>Newcastle United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122</v>
      </c>
      <c r="M135" s="27" t="n">
        <v>2.22</v>
      </c>
      <c r="N135" s="28" t="n">
        <v>0.45045</v>
      </c>
      <c r="O135" s="28" t="n">
        <v>0.498576</v>
      </c>
      <c r="P135" s="28" t="n">
        <v>0.04</v>
      </c>
      <c r="Q135" s="28" t="n">
        <v>0.048126</v>
      </c>
      <c r="R135" s="26" t="n">
        <v>50</v>
      </c>
      <c r="S135" s="29" t="n">
        <v>1</v>
      </c>
      <c r="T135" s="24" t="inlineStr">
        <is>
          <t>soccer-poisson-dc-v1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Poisson-DC rates 1.90 (home) / 1.33 (away) from EWMA attack/defense strengths. Executable ask 0.4500 (atc-clbf-efv-new-2026-08-12-new).</t>
        </is>
      </c>
      <c r="AF135" s="31" t="inlineStr">
        <is>
          <t>Research-only soccer score model; draw-aware, but not yet locked-holdout qualified.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Everton</t>
        </is>
      </c>
      <c r="AQ135" s="24" t="inlineStr">
        <is>
          <t>Everton</t>
        </is>
      </c>
      <c r="AR135" s="24" t="inlineStr">
        <is>
          <t>Everton</t>
        </is>
      </c>
      <c r="AS135" s="24" t="inlineStr">
        <is>
          <t>Newcastle United</t>
        </is>
      </c>
      <c r="AT135" s="24" t="inlineStr">
        <is>
          <t>Newcastle United</t>
        </is>
      </c>
      <c r="AU135" s="24" t="inlineStr">
        <is>
          <t>Newcastle United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c95ec2023134439ab985cb4cdcc58243749b9deb564fca7a2d587c15c9875427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c95ec2023134439ab985cb4cdcc58243749b9deb564fca7a2d587c15c9875427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c95ec2023134439ab985cb4cdcc58243749b9deb564fca7a2d587c15c9875427</t>
        </is>
      </c>
      <c r="BH135" s="24" t="inlineStr">
        <is>
          <t>2026-08-12T14:34:14.668127Z</t>
        </is>
      </c>
      <c r="BI135" s="24" t="inlineStr">
        <is>
          <t>["same_event","same_team_same_day","same_league_same_day"]</t>
        </is>
      </c>
      <c r="BJ135" s="25" t="n"/>
      <c r="BK135" s="26" t="n">
        <v>122</v>
      </c>
      <c r="BL135" s="27" t="n">
        <v>2.22</v>
      </c>
      <c r="BM135" s="28" t="n">
        <v>0.45045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ba31351503b5497e</t>
        </is>
      </c>
      <c r="B136" s="24" t="inlineStr">
        <is>
          <t>2026-08-12T17:43:17.410674Z</t>
        </is>
      </c>
      <c r="C136" s="24" t="inlineStr">
        <is>
          <t>2026-08-12T22:00Z</t>
        </is>
      </c>
      <c r="D136" s="24" t="inlineStr">
        <is>
          <t>401902573</t>
        </is>
      </c>
      <c r="E136" s="24" t="inlineStr">
        <is>
          <t>SOCCER</t>
        </is>
      </c>
      <c r="F136" s="24" t="inlineStr">
        <is>
          <t>Montevideo City Torque</t>
        </is>
      </c>
      <c r="G136" s="24" t="inlineStr">
        <is>
          <t>Tigre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194</v>
      </c>
      <c r="M136" s="27" t="n">
        <v>2.94</v>
      </c>
      <c r="N136" s="28" t="n">
        <v>0.340136</v>
      </c>
      <c r="O136" s="28" t="n">
        <v>0.550338</v>
      </c>
      <c r="P136" s="28" t="n">
        <v>0.2</v>
      </c>
      <c r="Q136" s="28" t="n">
        <v>0.210202</v>
      </c>
      <c r="R136" s="26" t="n">
        <v>35</v>
      </c>
      <c r="S136" s="29" t="n">
        <v>1</v>
      </c>
      <c r="T136" s="24" t="inlineStr">
        <is>
          <t>soccer-poisson-dc-v1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Poisson-DC rates 1.64 (home) / 1.24 (away) from EWMA attack/defense strengths. Executable ask 0.3400 (tsc-sud-tig-tor-2026-08-12-2pt5).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Montevideo City Torque</t>
        </is>
      </c>
      <c r="AQ136" s="24" t="inlineStr">
        <is>
          <t>Montevideo City Torque</t>
        </is>
      </c>
      <c r="AR136" s="24" t="inlineStr">
        <is>
          <t>Montevideo City Torque</t>
        </is>
      </c>
      <c r="AS136" s="24" t="inlineStr">
        <is>
          <t>Tigre</t>
        </is>
      </c>
      <c r="AT136" s="24" t="inlineStr">
        <is>
          <t>Tigre</t>
        </is>
      </c>
      <c r="AU136" s="24" t="inlineStr">
        <is>
          <t>Tigre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c95ec2023134439ab985cb4cdcc58243749b9deb564fca7a2d587c15c9875427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c95ec2023134439ab985cb4cdcc58243749b9deb564fca7a2d587c15c9875427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c95ec2023134439ab985cb4cdcc58243749b9deb564fca7a2d587c15c9875427</t>
        </is>
      </c>
      <c r="BH136" s="24" t="inlineStr">
        <is>
          <t>2026-08-12T17:41:31.711259Z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194</v>
      </c>
      <c r="BL136" s="27" t="n">
        <v>2.94</v>
      </c>
      <c r="BM136" s="28" t="n">
        <v>0.340136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</row>
    <row r="137" ht="36" customHeight="1">
      <c r="A137" s="24" t="inlineStr">
        <is>
          <t>b1f9c8be77ad4880</t>
        </is>
      </c>
      <c r="B137" s="24" t="inlineStr">
        <is>
          <t>2026-08-12T17:43:17.410674Z</t>
        </is>
      </c>
      <c r="C137" s="24" t="inlineStr">
        <is>
          <t>2026-08-12T22:00Z</t>
        </is>
      </c>
      <c r="D137" s="24" t="inlineStr">
        <is>
          <t>401902573</t>
        </is>
      </c>
      <c r="E137" s="24" t="inlineStr">
        <is>
          <t>SOCCER</t>
        </is>
      </c>
      <c r="F137" s="24" t="inlineStr">
        <is>
          <t>Montevideo City Torque</t>
        </is>
      </c>
      <c r="G137" s="24" t="inlineStr">
        <is>
          <t>Tigre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0.456135</v>
      </c>
      <c r="P137" s="28" t="n">
        <v>0.2</v>
      </c>
      <c r="Q137" s="28" t="n">
        <v>-0.074381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Poisson-DC rates 1.64 (home) / 1.24 (away) from EWMA attack/defense strengths. Executable ask 0.5300 (atc-sud-tig-tor-2026-08-12-tig).</t>
        </is>
      </c>
      <c r="AF137" s="31" t="inlineStr">
        <is>
          <t>Research-only soccer score model; draw-aware, but not yet locked-holdout qualified.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Montevideo City Torque</t>
        </is>
      </c>
      <c r="AQ137" s="24" t="inlineStr">
        <is>
          <t>Montevideo City Torque</t>
        </is>
      </c>
      <c r="AR137" s="24" t="inlineStr">
        <is>
          <t>Montevideo City Torque</t>
        </is>
      </c>
      <c r="AS137" s="24" t="inlineStr">
        <is>
          <t>Tigre</t>
        </is>
      </c>
      <c r="AT137" s="24" t="inlineStr">
        <is>
          <t>Tigre</t>
        </is>
      </c>
      <c r="AU137" s="24" t="inlineStr">
        <is>
          <t>Tigre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c95ec2023134439ab985cb4cdcc58243749b9deb564fca7a2d587c15c9875427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c95ec2023134439ab985cb4cdcc58243749b9deb564fca7a2d587c15c9875427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c95ec2023134439ab985cb4cdcc58243749b9deb564fca7a2d587c15c9875427</t>
        </is>
      </c>
      <c r="BH137" s="24" t="inlineStr">
        <is>
          <t>2026-08-12T17:41:31.490640Z</t>
        </is>
      </c>
      <c r="BI137" s="24" t="inlineStr">
        <is>
          <t>["same_event","same_team_same_day","same_league_same_day"]</t>
        </is>
      </c>
      <c r="BJ137" s="25" t="n"/>
      <c r="BK137" s="26" t="n">
        <v>-113</v>
      </c>
      <c r="BL137" s="27" t="n">
        <v>1.884956</v>
      </c>
      <c r="BM137" s="28" t="n">
        <v>0.530516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843c5d8ab85c48ab</t>
        </is>
      </c>
      <c r="B138" s="24" t="inlineStr">
        <is>
          <t>2026-08-12T17:43:17.410674Z</t>
        </is>
      </c>
      <c r="C138" s="24" t="inlineStr">
        <is>
          <t>2026-08-12T18:30Z</t>
        </is>
      </c>
      <c r="D138" s="24" t="inlineStr">
        <is>
          <t>401886555</t>
        </is>
      </c>
      <c r="E138" s="24" t="inlineStr">
        <is>
          <t>SOCCER</t>
        </is>
      </c>
      <c r="F138" s="24" t="inlineStr">
        <is>
          <t>Como</t>
        </is>
      </c>
      <c r="G138" s="24" t="inlineStr">
        <is>
          <t>Arsenal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-186</v>
      </c>
      <c r="M138" s="27" t="n">
        <v>1.537634</v>
      </c>
      <c r="N138" s="28" t="n">
        <v>0.65035</v>
      </c>
      <c r="O138" s="28" t="n">
        <v>0.417429</v>
      </c>
      <c r="P138" s="28" t="n">
        <v>0.04</v>
      </c>
      <c r="Q138" s="28" t="n">
        <v>-0.232921</v>
      </c>
      <c r="R138" s="26" t="n">
        <v>0</v>
      </c>
      <c r="S138" s="29" t="n">
        <v>1.25</v>
      </c>
      <c r="T138" s="24" t="inlineStr">
        <is>
          <t>soccer-poisson-dc-v1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Poisson-DC rates 1.08 (home) / 0.75 (away) from EWMA attack/defense strengths. Executable ask 0.6500 (atc-clbf-afr-com-2026-08-12-afr).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Como</t>
        </is>
      </c>
      <c r="AQ138" s="24" t="inlineStr">
        <is>
          <t>Como</t>
        </is>
      </c>
      <c r="AR138" s="24" t="inlineStr">
        <is>
          <t>Como</t>
        </is>
      </c>
      <c r="AS138" s="24" t="inlineStr">
        <is>
          <t>Arsenal</t>
        </is>
      </c>
      <c r="AT138" s="24" t="inlineStr">
        <is>
          <t>Arsenal</t>
        </is>
      </c>
      <c r="AU138" s="24" t="inlineStr">
        <is>
          <t>Arsenal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c95ec2023134439ab985cb4cdcc58243749b9deb564fca7a2d587c15c9875427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c95ec2023134439ab985cb4cdcc58243749b9deb564fca7a2d587c15c9875427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c95ec2023134439ab985cb4cdcc58243749b9deb564fca7a2d587c15c9875427</t>
        </is>
      </c>
      <c r="BH138" s="24" t="inlineStr">
        <is>
          <t>2026-08-12T17:41:32.473435Z</t>
        </is>
      </c>
      <c r="BI138" s="24" t="inlineStr">
        <is>
          <t>["same_event","same_team_same_day","same_league_same_day"]</t>
        </is>
      </c>
      <c r="BJ138" s="25" t="n"/>
      <c r="BK138" s="26" t="n">
        <v>-186</v>
      </c>
      <c r="BL138" s="27" t="n">
        <v>1.537634</v>
      </c>
      <c r="BM138" s="28" t="n">
        <v>0.65035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</row>
    <row r="139" ht="36" customHeight="1">
      <c r="A139" s="24" t="inlineStr">
        <is>
          <t>ce25c2f24a924c0f</t>
        </is>
      </c>
      <c r="B139" s="24" t="inlineStr">
        <is>
          <t>2026-08-12T17:43:17.410674Z</t>
        </is>
      </c>
      <c r="C139" s="24" t="inlineStr">
        <is>
          <t>2026-08-12T18:30Z</t>
        </is>
      </c>
      <c r="D139" s="24" t="inlineStr">
        <is>
          <t>401867394</t>
        </is>
      </c>
      <c r="E139" s="24" t="inlineStr">
        <is>
          <t>SOCCER</t>
        </is>
      </c>
      <c r="F139" s="24" t="inlineStr">
        <is>
          <t>Leeds United</t>
        </is>
      </c>
      <c r="G139" s="24" t="inlineStr">
        <is>
          <t>Manchester United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0.5307269999999999</v>
      </c>
      <c r="P139" s="28" t="n">
        <v>0.04</v>
      </c>
      <c r="Q139" s="28" t="n">
        <v>0.000211</v>
      </c>
      <c r="R139" s="26" t="n">
        <v>26</v>
      </c>
      <c r="S139" s="29" t="n">
        <v>1</v>
      </c>
      <c r="T139" s="24" t="inlineStr">
        <is>
          <t>soccer-poisson-dc-v1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Poisson-DC rates 1.71 (home) / 0.99 (away) from EWMA attack/defense strengths. Executable ask 0.5300 (atc-clbf-mun-lee-2026-08-12-mun).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Leeds United</t>
        </is>
      </c>
      <c r="AQ139" s="24" t="inlineStr">
        <is>
          <t>Leeds United</t>
        </is>
      </c>
      <c r="AR139" s="24" t="inlineStr">
        <is>
          <t>Leeds United</t>
        </is>
      </c>
      <c r="AS139" s="24" t="inlineStr">
        <is>
          <t>Manchester United</t>
        </is>
      </c>
      <c r="AT139" s="24" t="inlineStr">
        <is>
          <t>Manchester United</t>
        </is>
      </c>
      <c r="AU139" s="24" t="inlineStr">
        <is>
          <t>Manchester United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c95ec2023134439ab985cb4cdcc58243749b9deb564fca7a2d587c15c9875427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c95ec2023134439ab985cb4cdcc58243749b9deb564fca7a2d587c15c9875427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c95ec2023134439ab985cb4cdcc58243749b9deb564fca7a2d587c15c9875427</t>
        </is>
      </c>
      <c r="BH139" s="24" t="inlineStr">
        <is>
          <t>2026-08-12T17:41:32.336635Z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</row>
    <row r="140" ht="36" customHeight="1">
      <c r="A140" s="24" t="inlineStr">
        <is>
          <t>7441bf945d0c4b67</t>
        </is>
      </c>
      <c r="B140" s="24" t="inlineStr">
        <is>
          <t>2026-08-12T17:43:17.410674Z</t>
        </is>
      </c>
      <c r="C140" s="24" t="inlineStr">
        <is>
          <t>2026-08-12T18:45Z</t>
        </is>
      </c>
      <c r="D140" s="24" t="inlineStr">
        <is>
          <t>401906432</t>
        </is>
      </c>
      <c r="E140" s="24" t="inlineStr">
        <is>
          <t>SOCCER</t>
        </is>
      </c>
      <c r="F140" s="24" t="inlineStr">
        <is>
          <t>Bayer Leverkusen</t>
        </is>
      </c>
      <c r="G140" s="24" t="inlineStr">
        <is>
          <t>Nottingham Forest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144</v>
      </c>
      <c r="M140" s="27" t="n">
        <v>2.44</v>
      </c>
      <c r="N140" s="28" t="n">
        <v>0.409836</v>
      </c>
      <c r="O140" s="28" t="n">
        <v>0.465639</v>
      </c>
      <c r="P140" s="28" t="n">
        <v>0.04</v>
      </c>
      <c r="Q140" s="28" t="n">
        <v>0.055803</v>
      </c>
      <c r="R140" s="26" t="n">
        <v>54</v>
      </c>
      <c r="S140" s="29" t="n">
        <v>1</v>
      </c>
      <c r="T140" s="24" t="inlineStr">
        <is>
          <t>soccer-poisson-dc-v1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Poisson-DC rates 1.76 (home) / 1.33 (away) from EWMA attack/defense strengths. Executable ask 0.4100 (atc-clbf-nfo-lev-2026-08-12-nfo).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Bayer Leverkusen</t>
        </is>
      </c>
      <c r="AQ140" s="24" t="inlineStr">
        <is>
          <t>Bayer Leverkusen</t>
        </is>
      </c>
      <c r="AR140" s="24" t="inlineStr">
        <is>
          <t>Bayer Leverkusen</t>
        </is>
      </c>
      <c r="AS140" s="24" t="inlineStr">
        <is>
          <t>Nottingham Forest</t>
        </is>
      </c>
      <c r="AT140" s="24" t="inlineStr">
        <is>
          <t>Nottingham Forest</t>
        </is>
      </c>
      <c r="AU140" s="24" t="inlineStr">
        <is>
          <t>Nottingham Forest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c95ec2023134439ab985cb4cdcc58243749b9deb564fca7a2d587c15c9875427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c95ec2023134439ab985cb4cdcc58243749b9deb564fca7a2d587c15c9875427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c95ec2023134439ab985cb4cdcc58243749b9deb564fca7a2d587c15c9875427</t>
        </is>
      </c>
      <c r="BH140" s="24" t="inlineStr">
        <is>
          <t>2026-08-12T17:41:32.663481Z</t>
        </is>
      </c>
      <c r="BI140" s="24" t="inlineStr">
        <is>
          <t>["same_event","same_team_same_day","same_league_same_day"]</t>
        </is>
      </c>
      <c r="BJ140" s="25" t="n"/>
      <c r="BK140" s="26" t="n">
        <v>144</v>
      </c>
      <c r="BL140" s="27" t="n">
        <v>2.44</v>
      </c>
      <c r="BM140" s="28" t="n">
        <v>0.409836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93356bd1ded542d7</t>
        </is>
      </c>
      <c r="B141" s="24" t="inlineStr">
        <is>
          <t>2026-08-12T17:43:17.410674Z</t>
        </is>
      </c>
      <c r="C141" s="24" t="inlineStr">
        <is>
          <t>2026-08-12T19:00Z</t>
        </is>
      </c>
      <c r="D141" s="24" t="inlineStr">
        <is>
          <t>401887955</t>
        </is>
      </c>
      <c r="E141" s="24" t="inlineStr">
        <is>
          <t>SOCCER</t>
        </is>
      </c>
      <c r="F141" s="24" t="inlineStr">
        <is>
          <t>Real Madrid</t>
        </is>
      </c>
      <c r="G141" s="24" t="inlineStr">
        <is>
          <t>Deportivo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-270</v>
      </c>
      <c r="M141" s="27" t="n">
        <v>1.37037</v>
      </c>
      <c r="N141" s="28" t="n">
        <v>0.72973</v>
      </c>
      <c r="O141" s="28" t="n">
        <v>0.444718</v>
      </c>
      <c r="P141" s="28" t="n">
        <v>0.2</v>
      </c>
      <c r="Q141" s="28" t="n">
        <v>-0.285012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Poisson-DC rates 1.35 (home) / 1.69 (away) from EWMA attack/defense strengths. Executable ask 0.7300 (atc-clbf-dep-rme-2026-08-12-rme).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Real Madrid</t>
        </is>
      </c>
      <c r="AQ141" s="24" t="inlineStr">
        <is>
          <t>Real Madrid</t>
        </is>
      </c>
      <c r="AR141" s="24" t="inlineStr">
        <is>
          <t>Real Madrid</t>
        </is>
      </c>
      <c r="AS141" s="24" t="inlineStr">
        <is>
          <t>Deportivo</t>
        </is>
      </c>
      <c r="AT141" s="24" t="inlineStr">
        <is>
          <t>Deportivo</t>
        </is>
      </c>
      <c r="AU141" s="24" t="inlineStr">
        <is>
          <t>Deportivo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c95ec2023134439ab985cb4cdcc58243749b9deb564fca7a2d587c15c9875427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c95ec2023134439ab985cb4cdcc58243749b9deb564fca7a2d587c15c9875427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c95ec2023134439ab985cb4cdcc58243749b9deb564fca7a2d587c15c9875427</t>
        </is>
      </c>
      <c r="BH141" s="24" t="inlineStr">
        <is>
          <t>2026-08-12T17:41:32.802271Z</t>
        </is>
      </c>
      <c r="BI141" s="24" t="inlineStr">
        <is>
          <t>["same_event","same_team_same_day","same_league_same_day"]</t>
        </is>
      </c>
      <c r="BJ141" s="25" t="n"/>
      <c r="BK141" s="26" t="n">
        <v>-270</v>
      </c>
      <c r="BL141" s="27" t="n">
        <v>1.37037</v>
      </c>
      <c r="BM141" s="28" t="n">
        <v>0.72973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1f6f7effab0b4f7e</t>
        </is>
      </c>
      <c r="B142" s="24" t="inlineStr">
        <is>
          <t>2026-08-12T17:43:17.410674Z</t>
        </is>
      </c>
      <c r="C142" s="24" t="inlineStr">
        <is>
          <t>2026-08-12T19:00Z</t>
        </is>
      </c>
      <c r="D142" s="24" t="inlineStr">
        <is>
          <t>401906428</t>
        </is>
      </c>
      <c r="E142" s="24" t="inlineStr">
        <is>
          <t>SOCCER</t>
        </is>
      </c>
      <c r="F142" s="24" t="inlineStr">
        <is>
          <t>Aris</t>
        </is>
      </c>
      <c r="G142" s="24" t="inlineStr">
        <is>
          <t>Napoli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-257</v>
      </c>
      <c r="M142" s="27" t="n">
        <v>1.389105</v>
      </c>
      <c r="N142" s="28" t="n">
        <v>0.719888</v>
      </c>
      <c r="O142" s="28" t="n">
        <v>0.565923</v>
      </c>
      <c r="P142" s="28" t="n">
        <v>0.2</v>
      </c>
      <c r="Q142" s="28" t="n">
        <v>-0.153965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Poisson-DC rates 1.74 (home) / 0.88 (away) from EWMA attack/defense strengths. Executable ask 0.7200 (atc-clbf-nap-aris-2026-08-12-nap).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Aris</t>
        </is>
      </c>
      <c r="AQ142" s="24" t="inlineStr">
        <is>
          <t>Aris</t>
        </is>
      </c>
      <c r="AR142" s="24" t="inlineStr">
        <is>
          <t>Aris</t>
        </is>
      </c>
      <c r="AS142" s="24" t="inlineStr">
        <is>
          <t>Napoli</t>
        </is>
      </c>
      <c r="AT142" s="24" t="inlineStr">
        <is>
          <t>Napoli</t>
        </is>
      </c>
      <c r="AU142" s="24" t="inlineStr">
        <is>
          <t>Napoli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c95ec2023134439ab985cb4cdcc58243749b9deb564fca7a2d587c15c9875427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c95ec2023134439ab985cb4cdcc58243749b9deb564fca7a2d587c15c9875427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c95ec2023134439ab985cb4cdcc58243749b9deb564fca7a2d587c15c9875427</t>
        </is>
      </c>
      <c r="BH142" s="24" t="inlineStr">
        <is>
          <t>2026-08-12T17:41:32.874312Z</t>
        </is>
      </c>
      <c r="BI142" s="24" t="inlineStr">
        <is>
          <t>["same_event","same_team_same_day","same_league_same_day"]</t>
        </is>
      </c>
      <c r="BJ142" s="25" t="n"/>
      <c r="BK142" s="26" t="n">
        <v>-257</v>
      </c>
      <c r="BL142" s="27" t="n">
        <v>1.389105</v>
      </c>
      <c r="BM142" s="28" t="n">
        <v>0.719888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2026-08-12T17:43:40Z</dcterms:created>
  <dcterms:modified xmlns:dcterms="http://purl.org/dc/terms/" xmlns:xsi="http://www.w3.org/2001/XMLSchema-instance" xsi:type="dcterms:W3CDTF">2026-08-12T17:43:40Z</dcterms:modified>
</cp:coreProperties>
</file>