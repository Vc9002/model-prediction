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56" headerRowCount="1">
  <autoFilter ref="A1:CS256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COUNTA('Picks'!$A$2:$A$256)</f>
        <v/>
      </c>
      <c r="C4" s="6">
        <f>COUNTIF('Picks'!$U$2:$U$256,"open")</f>
        <v/>
      </c>
      <c r="E4" s="6">
        <f>COUNTIF('Picks'!$U$2:$U$256,"settled")</f>
        <v/>
      </c>
      <c r="G4" s="6">
        <f>IF(COUNTIFS('Picks'!$U$2:$U$256,"settled",'Picks'!$V$2:$V$256,"win")+COUNTIFS('Picks'!$U$2:$U$256,"settled",'Picks'!$V$2:$V$256,"loss")&gt;=$L$2,"Ready","Insufficient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COUNTIF('Picks'!$BX$2:$BX$256,"&gt;0")</f>
        <v/>
      </c>
      <c r="C7" s="6">
        <f>COUNTIFS('Picks'!$BX$2:$BX$256,"&gt;0",'Picks'!$V$2:$V$256,"win")&amp;"-"&amp;COUNTIFS('Picks'!$BX$2:$BX$256,"&gt;0",'Picks'!$V$2:$V$256,"loss")</f>
        <v/>
      </c>
      <c r="E7" s="7">
        <f>IFERROR(COUNTIFS('Picks'!$BX$2:$BX$256,"&gt;0",'Picks'!$V$2:$V$256,"win")/(COUNTIFS('Picks'!$BX$2:$BX$256,"&gt;0",'Picks'!$V$2:$V$256,"win")+COUNTIFS('Picks'!$BX$2:$BX$256,"&gt;0",'Picks'!$V$2:$V$256,"loss")),0)</f>
        <v/>
      </c>
      <c r="G7" s="7">
        <f>IFERROR(SUM('Picks'!$BY$2:$BY$256)/SUM('Picks'!$BX$2:$BX$256),0)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SUM('Picks'!$BY$2:$BY$256)</f>
        <v/>
      </c>
      <c r="C10" s="9">
        <f>IFERROR(AVERAGEIF('Picks'!$AB$2:$AB$256,"&lt;&gt;",'Picks'!$AB$2:$AB$256),0)</f>
        <v/>
      </c>
      <c r="E10" s="6">
        <f>COUNTIFS('Picks'!$AM$2:$AM$256,"QUALIFIED_SHADOW_CALL",'Picks'!$U$2:$U$256,"settled")</f>
        <v/>
      </c>
      <c r="G10" s="8">
        <f>SUMIFS('Picks'!$AC$2:$AC$256,'Picks'!$AM$2:$AM$256,"QUALIFIED_SHADOW_CALL")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COUNTIFS('Picks'!$H$2:$H$256,$A14,'Picks'!$U$2:$U$256,"settled")</f>
        <v/>
      </c>
      <c r="C14" s="13">
        <f>COUNTIFS('Picks'!$H$2:$H$256,$A14,'Picks'!$U$2:$U$256,"settled",'Picks'!$V$2:$V$256,"win")</f>
        <v/>
      </c>
      <c r="D14" s="13">
        <f>COUNTIFS('Picks'!$H$2:$H$256,$A14,'Picks'!$U$2:$U$256,"settled",'Picks'!$V$2:$V$256,"loss")</f>
        <v/>
      </c>
      <c r="E14" s="14">
        <f>IFERROR(C14/(C14+D14),0)</f>
        <v/>
      </c>
      <c r="F14" s="15">
        <f>SUMIFS('Picks'!$BY$2:$BY$256,'Picks'!$H$2:$H$256,$A14)</f>
        <v/>
      </c>
      <c r="G14" s="16">
        <f>IFERROR(AVERAGEIFS('Picks'!$AB$2:$AB$256,'Picks'!$H$2:$H$256,$A14,'Picks'!$U$2:$U$256,"settled"),0)</f>
        <v/>
      </c>
    </row>
    <row r="15">
      <c r="A15" s="17" t="inlineStr">
        <is>
          <t>spread</t>
        </is>
      </c>
      <c r="B15" s="18">
        <f>COUNTIFS('Picks'!$H$2:$H$256,$A15,'Picks'!$U$2:$U$256,"settled")</f>
        <v/>
      </c>
      <c r="C15" s="18">
        <f>COUNTIFS('Picks'!$H$2:$H$256,$A15,'Picks'!$U$2:$U$256,"settled",'Picks'!$V$2:$V$256,"win")</f>
        <v/>
      </c>
      <c r="D15" s="18">
        <f>COUNTIFS('Picks'!$H$2:$H$256,$A15,'Picks'!$U$2:$U$256,"settled",'Picks'!$V$2:$V$256,"loss")</f>
        <v/>
      </c>
      <c r="E15" s="19">
        <f>IFERROR(C15/(C15+D15),0)</f>
        <v/>
      </c>
      <c r="F15" s="20">
        <f>SUMIFS('Picks'!$BY$2:$BY$256,'Picks'!$H$2:$H$256,$A15)</f>
        <v/>
      </c>
      <c r="G15" s="21">
        <f>IFERROR(AVERAGEIFS('Picks'!$AB$2:$AB$256,'Picks'!$H$2:$H$256,$A15,'Picks'!$U$2:$U$256,"settled"),0)</f>
        <v/>
      </c>
    </row>
    <row r="16">
      <c r="A16" s="12" t="inlineStr">
        <is>
          <t>total</t>
        </is>
      </c>
      <c r="B16" s="13">
        <f>COUNTIFS('Picks'!$H$2:$H$256,$A16,'Picks'!$U$2:$U$256,"settled")</f>
        <v/>
      </c>
      <c r="C16" s="13">
        <f>COUNTIFS('Picks'!$H$2:$H$256,$A16,'Picks'!$U$2:$U$256,"settled",'Picks'!$V$2:$V$256,"win")</f>
        <v/>
      </c>
      <c r="D16" s="13">
        <f>COUNTIFS('Picks'!$H$2:$H$256,$A16,'Picks'!$U$2:$U$256,"settled",'Picks'!$V$2:$V$256,"loss")</f>
        <v/>
      </c>
      <c r="E16" s="14">
        <f>IFERROR(C16/(C16+D16),0)</f>
        <v/>
      </c>
      <c r="F16" s="15">
        <f>SUMIFS('Picks'!$BY$2:$BY$256,'Picks'!$H$2:$H$256,$A16)</f>
        <v/>
      </c>
      <c r="G16" s="16">
        <f>IFERROR(AVERAGEIFS('Picks'!$AB$2:$AB$256,'Picks'!$H$2:$H$256,$A16,'Picks'!$U$2:$U$256,"settled"),0)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</row>
    <row r="188" ht="36" customHeight="1">
      <c r="A188" s="24" t="inlineStr">
        <is>
          <t>639381b79e134a1a</t>
        </is>
      </c>
      <c r="B188" s="24" t="inlineStr">
        <is>
          <t>2026-08-05T04:36:19.625619Z</t>
        </is>
      </c>
      <c r="C188" s="24" t="inlineStr">
        <is>
          <t>2026-08-05T09:00Z</t>
        </is>
      </c>
      <c r="D188" s="24" t="inlineStr">
        <is>
          <t>961-2026:182103</t>
        </is>
      </c>
      <c r="E188" s="24" t="inlineStr">
        <is>
          <t>TENNIS</t>
        </is>
      </c>
      <c r="F188" s="24" t="inlineStr">
        <is>
          <t>Justina Mikulskyte</t>
        </is>
      </c>
      <c r="G188" s="24" t="inlineStr">
        <is>
          <t>Katarzyna Kawa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-317</v>
      </c>
      <c r="M188" s="27" t="n">
        <v>1.315457</v>
      </c>
      <c r="N188" s="28" t="n">
        <v>0.760192</v>
      </c>
      <c r="O188" s="28" t="n">
        <v>0.782547</v>
      </c>
      <c r="P188" s="28" t="n">
        <v>0.05</v>
      </c>
      <c r="Q188" s="28" t="n">
        <v>0.022355</v>
      </c>
      <c r="R188" s="26" t="n">
        <v>31</v>
      </c>
      <c r="S188" s="29" t="n">
        <v>2</v>
      </c>
      <c r="T188" s="24" t="inlineStr">
        <is>
          <t>tennis-surface-elo-v1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</v>
      </c>
      <c r="X188" s="26" t="n">
        <v>0</v>
      </c>
      <c r="Y188" s="25" t="n"/>
      <c r="Z188" s="26" t="n">
        <v>-317</v>
      </c>
      <c r="AA188" s="28" t="n">
        <v>0.76</v>
      </c>
      <c r="AB188" s="28" t="n">
        <v>-0.000192</v>
      </c>
      <c r="AC188" s="30" t="n">
        <v>-2</v>
      </c>
      <c r="AD188" s="24" t="inlineStr">
        <is>
          <t>2026-08-05T13:50:01.101421Z</t>
        </is>
      </c>
      <c r="AE188" s="31" t="inlineStr">
        <is>
          <t>Surface-blended Elo on Hard: Justina Mikulskyte p=0.217 vs Katarzyna Kawa. Executable ask 0.7600 (aec-wta-katkaw-jusmik-2026-08-05).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>Justina Mikulskyte</t>
        </is>
      </c>
      <c r="AQ188" s="24" t="inlineStr">
        <is>
          <t>Justina Mikulskyte</t>
        </is>
      </c>
      <c r="AR188" s="24" t="inlineStr">
        <is>
          <t>Justina Mikulskyte</t>
        </is>
      </c>
      <c r="AS188" s="24" t="inlineStr">
        <is>
          <t>Katarzyna Kawa</t>
        </is>
      </c>
      <c r="AT188" s="24" t="inlineStr">
        <is>
          <t>Katarzyna Kawa</t>
        </is>
      </c>
      <c r="AU188" s="24" t="inlineStr">
        <is>
          <t>Katarzyna Kawa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2026-08-05T04:34:10.082069Z</t>
        </is>
      </c>
      <c r="BI188" s="24" t="inlineStr">
        <is>
          <t>["same_event","same_team_same_day","same_league_same_day"]</t>
        </is>
      </c>
      <c r="BJ188" s="25" t="n"/>
      <c r="BK188" s="26" t="n">
        <v>-317</v>
      </c>
      <c r="BL188" s="27" t="n">
        <v>1.315457</v>
      </c>
      <c r="BM188" s="28" t="n">
        <v>0.760192</v>
      </c>
      <c r="BN188" s="28" t="n"/>
      <c r="BO188" s="28" t="n"/>
      <c r="BP188" s="25" t="n"/>
      <c r="BQ188" s="27" t="n">
        <v>1.315457</v>
      </c>
      <c r="BR188" s="28" t="n">
        <v>0.76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</row>
    <row r="189" ht="36" customHeight="1">
      <c r="A189" s="24" t="inlineStr">
        <is>
          <t>0428483b2fae4598</t>
        </is>
      </c>
      <c r="B189" s="24" t="inlineStr">
        <is>
          <t>2026-08-05T04:36:19.625619Z</t>
        </is>
      </c>
      <c r="C189" s="24" t="inlineStr">
        <is>
          <t>2026-08-05T09:00Z</t>
        </is>
      </c>
      <c r="D189" s="24" t="inlineStr">
        <is>
          <t>961-2026:182104</t>
        </is>
      </c>
      <c r="E189" s="24" t="inlineStr">
        <is>
          <t>TENNIS</t>
        </is>
      </c>
      <c r="F189" s="24" t="inlineStr">
        <is>
          <t>Aliona Falei</t>
        </is>
      </c>
      <c r="G189" s="24" t="inlineStr">
        <is>
          <t>Carol Young Suh Lee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-156</v>
      </c>
      <c r="M189" s="27" t="n">
        <v>1.641026</v>
      </c>
      <c r="N189" s="28" t="n">
        <v>0.609375</v>
      </c>
      <c r="O189" s="28" t="n">
        <v>0.589246</v>
      </c>
      <c r="P189" s="28" t="n">
        <v>0.05</v>
      </c>
      <c r="Q189" s="28" t="n">
        <v>-0.020129</v>
      </c>
      <c r="R189" s="26" t="n">
        <v>10</v>
      </c>
      <c r="S189" s="29" t="n">
        <v>1.25</v>
      </c>
      <c r="T189" s="24" t="inlineStr">
        <is>
          <t>tennis-surface-elo-v1</t>
        </is>
      </c>
      <c r="U189" s="24" t="inlineStr">
        <is>
          <t>settled</t>
        </is>
      </c>
      <c r="V189" s="24" t="inlineStr">
        <is>
          <t>win</t>
        </is>
      </c>
      <c r="W189" s="26" t="n">
        <v>0</v>
      </c>
      <c r="X189" s="26" t="n">
        <v>1</v>
      </c>
      <c r="Y189" s="25" t="n"/>
      <c r="Z189" s="26" t="n">
        <v>-156</v>
      </c>
      <c r="AA189" s="28" t="n">
        <v>0.61</v>
      </c>
      <c r="AB189" s="28" t="n">
        <v>0.000625</v>
      </c>
      <c r="AC189" s="30" t="n">
        <v>0.8013</v>
      </c>
      <c r="AD189" s="24" t="inlineStr">
        <is>
          <t>2026-08-05T13:50:03.420509Z</t>
        </is>
      </c>
      <c r="AE189" s="31" t="inlineStr">
        <is>
          <t>Surface-blended Elo on Hard: Aliona Falei p=0.411 vs Carol Young Suh Lee. Executable ask 0.6100 (aec-wta-carlee-alifal-2026-08-05).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NO_CALL_LOW_EDGE</t>
        </is>
      </c>
      <c r="AP189" s="24" t="inlineStr">
        <is>
          <t>Aliona Falei</t>
        </is>
      </c>
      <c r="AQ189" s="24" t="inlineStr">
        <is>
          <t>Aliona Falei</t>
        </is>
      </c>
      <c r="AR189" s="24" t="inlineStr">
        <is>
          <t>Aliona Falei</t>
        </is>
      </c>
      <c r="AS189" s="24" t="inlineStr">
        <is>
          <t>Carol Young Suh Lee</t>
        </is>
      </c>
      <c r="AT189" s="24" t="inlineStr">
        <is>
          <t>Carol Young Suh Lee</t>
        </is>
      </c>
      <c r="AU189" s="24" t="inlineStr">
        <is>
          <t>Carol Young Suh Lee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2026-08-05T04:34:10.066030Z</t>
        </is>
      </c>
      <c r="BI189" s="24" t="inlineStr">
        <is>
          <t>["same_event","same_team_same_day","same_league_same_day"]</t>
        </is>
      </c>
      <c r="BJ189" s="25" t="n"/>
      <c r="BK189" s="26" t="n">
        <v>-156</v>
      </c>
      <c r="BL189" s="27" t="n">
        <v>1.641026</v>
      </c>
      <c r="BM189" s="28" t="n">
        <v>0.609375</v>
      </c>
      <c r="BN189" s="28" t="n"/>
      <c r="BO189" s="28" t="n"/>
      <c r="BP189" s="25" t="n"/>
      <c r="BQ189" s="27" t="n">
        <v>1.641026</v>
      </c>
      <c r="BR189" s="28" t="n">
        <v>0.61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</row>
    <row r="190" ht="36" customHeight="1">
      <c r="A190" s="24" t="inlineStr">
        <is>
          <t>bc559a134fa74fa9</t>
        </is>
      </c>
      <c r="B190" s="24" t="inlineStr">
        <is>
          <t>2026-08-05T10:21:33.669433Z</t>
        </is>
      </c>
      <c r="C190" s="24" t="inlineStr">
        <is>
          <t>2026-08-05T10:30Z</t>
        </is>
      </c>
      <c r="D190" s="24" t="inlineStr">
        <is>
          <t>961-2026:182101</t>
        </is>
      </c>
      <c r="E190" s="24" t="inlineStr">
        <is>
          <t>TENNIS</t>
        </is>
      </c>
      <c r="F190" s="24" t="inlineStr">
        <is>
          <t>Ella Seidel</t>
        </is>
      </c>
      <c r="G190" s="24" t="inlineStr">
        <is>
          <t>Gabriela Knutson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178</v>
      </c>
      <c r="M190" s="27" t="n">
        <v>2.78</v>
      </c>
      <c r="N190" s="28" t="n">
        <v>0.359712</v>
      </c>
      <c r="O190" s="28" t="n">
        <v>0.518196</v>
      </c>
      <c r="P190" s="28" t="n">
        <v>0.05</v>
      </c>
      <c r="Q190" s="28" t="n">
        <v>0.158484</v>
      </c>
      <c r="R190" s="26" t="n">
        <v>99</v>
      </c>
      <c r="S190" s="29" t="n">
        <v>1</v>
      </c>
      <c r="T190" s="24" t="inlineStr">
        <is>
          <t>tennis-surface-elo-v1</t>
        </is>
      </c>
      <c r="U190" s="24" t="inlineStr">
        <is>
          <t>settled</t>
        </is>
      </c>
      <c r="V190" s="24" t="inlineStr">
        <is>
          <t>win</t>
        </is>
      </c>
      <c r="W190" s="26" t="n">
        <v>0</v>
      </c>
      <c r="X190" s="26" t="n">
        <v>1</v>
      </c>
      <c r="Y190" s="25" t="n"/>
      <c r="Z190" s="26" t="n">
        <v>178</v>
      </c>
      <c r="AA190" s="28" t="n">
        <v>0.36</v>
      </c>
      <c r="AB190" s="28" t="n">
        <v>0.000288</v>
      </c>
      <c r="AC190" s="30" t="n">
        <v>1.78</v>
      </c>
      <c r="AD190" s="24" t="inlineStr">
        <is>
          <t>2026-08-05T13:50:05.648156Z</t>
        </is>
      </c>
      <c r="AE190" s="31" t="inlineStr">
        <is>
          <t>Surface-blended Elo on Hard: Ella Seidel p=0.482 vs Gabriela Knutson. Executable ask 0.3600 (aec-wta-gabknu-ellsei-2026-08-05).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Ella Seidel</t>
        </is>
      </c>
      <c r="AQ190" s="24" t="inlineStr">
        <is>
          <t>Ella Seidel</t>
        </is>
      </c>
      <c r="AR190" s="24" t="inlineStr">
        <is>
          <t>Ella Seidel</t>
        </is>
      </c>
      <c r="AS190" s="24" t="inlineStr">
        <is>
          <t>Gabriela Knutson</t>
        </is>
      </c>
      <c r="AT190" s="24" t="inlineStr">
        <is>
          <t>Gabriela Knutson</t>
        </is>
      </c>
      <c r="AU190" s="24" t="inlineStr">
        <is>
          <t>Gabriela Knutson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2026-08-05T10:19:06.147146Z</t>
        </is>
      </c>
      <c r="BI190" s="24" t="inlineStr">
        <is>
          <t>["same_event","same_team_same_day","same_league_same_day"]</t>
        </is>
      </c>
      <c r="BJ190" s="25" t="n"/>
      <c r="BK190" s="26" t="n">
        <v>178</v>
      </c>
      <c r="BL190" s="27" t="n">
        <v>2.78</v>
      </c>
      <c r="BM190" s="28" t="n">
        <v>0.359712</v>
      </c>
      <c r="BN190" s="28" t="n"/>
      <c r="BO190" s="28" t="n"/>
      <c r="BP190" s="25" t="n"/>
      <c r="BQ190" s="27" t="n">
        <v>2.78</v>
      </c>
      <c r="BR190" s="28" t="n">
        <v>0.36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d3c5b1d1eaf54153</t>
        </is>
      </c>
      <c r="B191" s="24" t="inlineStr">
        <is>
          <t>2026-08-05T10:21:33.669433Z</t>
        </is>
      </c>
      <c r="C191" s="24" t="inlineStr">
        <is>
          <t>2026-08-05T10:30Z</t>
        </is>
      </c>
      <c r="D191" s="24" t="inlineStr">
        <is>
          <t>961-2026:182098</t>
        </is>
      </c>
      <c r="E191" s="24" t="inlineStr">
        <is>
          <t>TENNIS</t>
        </is>
      </c>
      <c r="F191" s="24" t="inlineStr">
        <is>
          <t>Mona Barthel</t>
        </is>
      </c>
      <c r="G191" s="24" t="inlineStr">
        <is>
          <t>Martyna Kubka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156</v>
      </c>
      <c r="M191" s="27" t="n">
        <v>2.56</v>
      </c>
      <c r="N191" s="28" t="n">
        <v>0.390625</v>
      </c>
      <c r="O191" s="28" t="n">
        <v>0.5849800000000001</v>
      </c>
      <c r="P191" s="28" t="n">
        <v>0.05</v>
      </c>
      <c r="Q191" s="28" t="n">
        <v>0.194355</v>
      </c>
      <c r="R191" s="26" t="n">
        <v>100</v>
      </c>
      <c r="S191" s="29" t="n">
        <v>1.25</v>
      </c>
      <c r="T191" s="24" t="inlineStr">
        <is>
          <t>tennis-surface-elo-v1</t>
        </is>
      </c>
      <c r="U191" s="24" t="inlineStr">
        <is>
          <t>settled</t>
        </is>
      </c>
      <c r="V191" s="24" t="inlineStr">
        <is>
          <t>win</t>
        </is>
      </c>
      <c r="W191" s="26" t="n">
        <v>1</v>
      </c>
      <c r="X191" s="26" t="n">
        <v>0</v>
      </c>
      <c r="Y191" s="25" t="n"/>
      <c r="Z191" s="26" t="n">
        <v>156</v>
      </c>
      <c r="AA191" s="28" t="n">
        <v>0.39</v>
      </c>
      <c r="AB191" s="28" t="n">
        <v>-0.000625</v>
      </c>
      <c r="AC191" s="30" t="n">
        <v>1.95</v>
      </c>
      <c r="AD191" s="24" t="inlineStr">
        <is>
          <t>2026-08-05T13:50:07.965679Z</t>
        </is>
      </c>
      <c r="AE191" s="31" t="inlineStr">
        <is>
          <t>Surface-blended Elo on Hard: Mona Barthel p=0.585 vs Martyna Kubka. Executable ask 0.3900 (aec-wta-markub-monbar-2026-08-05).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3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Mona Barthel</t>
        </is>
      </c>
      <c r="AQ191" s="24" t="inlineStr">
        <is>
          <t>Mona Barthel</t>
        </is>
      </c>
      <c r="AR191" s="24" t="inlineStr">
        <is>
          <t>Mona Barthel</t>
        </is>
      </c>
      <c r="AS191" s="24" t="inlineStr">
        <is>
          <t>Martyna Kubka</t>
        </is>
      </c>
      <c r="AT191" s="24" t="inlineStr">
        <is>
          <t>Martyna Kubka</t>
        </is>
      </c>
      <c r="AU191" s="24" t="inlineStr">
        <is>
          <t>Martyna Kubka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2026-08-05T10:19:06.246493Z</t>
        </is>
      </c>
      <c r="BI191" s="24" t="inlineStr">
        <is>
          <t>["same_event","same_team_same_day","same_league_same_day"]</t>
        </is>
      </c>
      <c r="BJ191" s="25" t="n"/>
      <c r="BK191" s="26" t="n">
        <v>156</v>
      </c>
      <c r="BL191" s="27" t="n">
        <v>2.56</v>
      </c>
      <c r="BM191" s="28" t="n">
        <v>0.390625</v>
      </c>
      <c r="BN191" s="28" t="n"/>
      <c r="BO191" s="28" t="n"/>
      <c r="BP191" s="25" t="n"/>
      <c r="BQ191" s="27" t="n">
        <v>2.56</v>
      </c>
      <c r="BR191" s="28" t="n">
        <v>0.39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27f1b617c765418f</t>
        </is>
      </c>
      <c r="B192" s="24" t="inlineStr">
        <is>
          <t>2026-08-05T10:21:33.669433Z</t>
        </is>
      </c>
      <c r="C192" s="24" t="inlineStr">
        <is>
          <t>2026-08-05T10:30Z</t>
        </is>
      </c>
      <c r="D192" s="24" t="inlineStr">
        <is>
          <t>961-2026:182102</t>
        </is>
      </c>
      <c r="E192" s="24" t="inlineStr">
        <is>
          <t>TENNIS</t>
        </is>
      </c>
      <c r="F192" s="24" t="inlineStr">
        <is>
          <t>Yuan Yue</t>
        </is>
      </c>
      <c r="G192" s="24" t="inlineStr">
        <is>
          <t>Elizara Yaneva</t>
        </is>
      </c>
      <c r="H192" s="24" t="inlineStr">
        <is>
          <t>moneyline</t>
        </is>
      </c>
      <c r="I192" s="24" t="inlineStr">
        <is>
          <t>away</t>
        </is>
      </c>
      <c r="J192" s="25" t="n"/>
      <c r="K192" s="24" t="inlineStr">
        <is>
          <t>polymarket_us</t>
        </is>
      </c>
      <c r="L192" s="26" t="n">
        <v>-150</v>
      </c>
      <c r="M192" s="27" t="n">
        <v>1.666667</v>
      </c>
      <c r="N192" s="28" t="n">
        <v>0.6</v>
      </c>
      <c r="O192" s="28" t="n">
        <v>0.549241</v>
      </c>
      <c r="P192" s="28" t="n">
        <v>0.05</v>
      </c>
      <c r="Q192" s="28" t="n">
        <v>-0.050759</v>
      </c>
      <c r="R192" s="26" t="n">
        <v>0</v>
      </c>
      <c r="S192" s="29" t="n">
        <v>1</v>
      </c>
      <c r="T192" s="24" t="inlineStr">
        <is>
          <t>tennis-surface-elo-v1</t>
        </is>
      </c>
      <c r="U192" s="24" t="inlineStr">
        <is>
          <t>settled</t>
        </is>
      </c>
      <c r="V192" s="24" t="inlineStr">
        <is>
          <t>loss</t>
        </is>
      </c>
      <c r="W192" s="26" t="n">
        <v>0</v>
      </c>
      <c r="X192" s="26" t="n">
        <v>1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2026-08-05T16:59:40.046286Z</t>
        </is>
      </c>
      <c r="AE192" s="31" t="inlineStr">
        <is>
          <t>Surface-blended Elo on Hard: Yuan Yue p=0.549 vs Elizara Yaneva. Executable ask 0.6000 (aec-wta-eliyan-yueyua-2026-08-05).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NO_CALL_LOW_EDGE</t>
        </is>
      </c>
      <c r="AP192" s="24" t="inlineStr">
        <is>
          <t>Yuan Yue</t>
        </is>
      </c>
      <c r="AQ192" s="24" t="inlineStr">
        <is>
          <t>Yuan Yue</t>
        </is>
      </c>
      <c r="AR192" s="24" t="inlineStr">
        <is>
          <t>Yuan Yue</t>
        </is>
      </c>
      <c r="AS192" s="24" t="inlineStr">
        <is>
          <t>Elizara Yaneva</t>
        </is>
      </c>
      <c r="AT192" s="24" t="inlineStr">
        <is>
          <t>Elizara Yaneva</t>
        </is>
      </c>
      <c r="AU192" s="24" t="inlineStr">
        <is>
          <t>Elizara Yaneva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2026-08-05T10:19:06.257511Z</t>
        </is>
      </c>
      <c r="BI192" s="24" t="inlineStr">
        <is>
          <t>["same_event","same_team_same_day","same_league_same_day"]</t>
        </is>
      </c>
      <c r="BJ192" s="25" t="n"/>
      <c r="BK192" s="26" t="n">
        <v>-150</v>
      </c>
      <c r="BL192" s="27" t="n">
        <v>1.666667</v>
      </c>
      <c r="BM192" s="28" t="n">
        <v>0.6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</row>
    <row r="193" ht="36" customHeight="1">
      <c r="A193" s="24" t="inlineStr">
        <is>
          <t>9527e5d3364349b3</t>
        </is>
      </c>
      <c r="B193" s="24" t="inlineStr">
        <is>
          <t>2026-08-05T10:44:49.997481Z</t>
        </is>
      </c>
      <c r="C193" s="24" t="inlineStr">
        <is>
          <t>2026-08-05T12:00Z</t>
        </is>
      </c>
      <c r="D193" s="24" t="inlineStr">
        <is>
          <t>961-2026:182099</t>
        </is>
      </c>
      <c r="E193" s="24" t="inlineStr">
        <is>
          <t>TENNIS</t>
        </is>
      </c>
      <c r="F193" s="24" t="inlineStr">
        <is>
          <t>Noma Noha Akugue</t>
        </is>
      </c>
      <c r="G193" s="24" t="inlineStr">
        <is>
          <t>Weronika Falkowska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150</v>
      </c>
      <c r="M193" s="27" t="n">
        <v>2.5</v>
      </c>
      <c r="N193" s="28" t="n">
        <v>0.4</v>
      </c>
      <c r="O193" s="28" t="n">
        <v>0.513857</v>
      </c>
      <c r="P193" s="28" t="n">
        <v>0.05</v>
      </c>
      <c r="Q193" s="28" t="n">
        <v>0.113857</v>
      </c>
      <c r="R193" s="26" t="n">
        <v>77</v>
      </c>
      <c r="S193" s="29" t="n">
        <v>1</v>
      </c>
      <c r="T193" s="24" t="inlineStr">
        <is>
          <t>tennis-surface-elo-v1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150</v>
      </c>
      <c r="AA193" s="28" t="n">
        <v>0.4</v>
      </c>
      <c r="AB193" s="28" t="n">
        <v>0</v>
      </c>
      <c r="AC193" s="30" t="n">
        <v>1.5</v>
      </c>
      <c r="AD193" s="24" t="inlineStr">
        <is>
          <t>2026-08-05T16:59:41.306763Z</t>
        </is>
      </c>
      <c r="AE193" s="31" t="inlineStr">
        <is>
          <t>Surface-blended Elo on Hard: Noma Noha Akugue p=0.486 vs Weronika Falkowska. Executable ask 0.4000 (aec-wta-werfal-nomaku-2026-08-05).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Noma Noha Akugue</t>
        </is>
      </c>
      <c r="AQ193" s="24" t="inlineStr">
        <is>
          <t>Noma Noha Akugue</t>
        </is>
      </c>
      <c r="AR193" s="24" t="inlineStr">
        <is>
          <t>Noma Noha Akugue</t>
        </is>
      </c>
      <c r="AS193" s="24" t="inlineStr">
        <is>
          <t>Weronika Falkowska</t>
        </is>
      </c>
      <c r="AT193" s="24" t="inlineStr">
        <is>
          <t>Weronika Falkowska</t>
        </is>
      </c>
      <c r="AU193" s="24" t="inlineStr">
        <is>
          <t>Weronika Falkowska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2026-08-05T10:42:35.362081Z</t>
        </is>
      </c>
      <c r="BI193" s="24" t="inlineStr">
        <is>
          <t>["same_event","same_team_same_day","same_league_same_day"]</t>
        </is>
      </c>
      <c r="BJ193" s="25" t="n"/>
      <c r="BK193" s="26" t="n">
        <v>150</v>
      </c>
      <c r="BL193" s="27" t="n">
        <v>2.5</v>
      </c>
      <c r="BM193" s="28" t="n">
        <v>0.4</v>
      </c>
      <c r="BN193" s="28" t="n"/>
      <c r="BO193" s="28" t="n"/>
      <c r="BP193" s="25" t="n"/>
      <c r="BQ193" s="27" t="n">
        <v>2.5</v>
      </c>
      <c r="BR193" s="28" t="n">
        <v>0.4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9bf1639f6c1a421e</t>
        </is>
      </c>
      <c r="B194" s="24" t="inlineStr">
        <is>
          <t>2026-08-05T10:44:49.997481Z</t>
        </is>
      </c>
      <c r="C194" s="24" t="inlineStr">
        <is>
          <t>2026-08-05T12:00Z</t>
        </is>
      </c>
      <c r="D194" s="24" t="inlineStr">
        <is>
          <t>961-2026:182097</t>
        </is>
      </c>
      <c r="E194" s="24" t="inlineStr">
        <is>
          <t>TENNIS</t>
        </is>
      </c>
      <c r="F194" s="24" t="inlineStr">
        <is>
          <t>Veronika Podrez</t>
        </is>
      </c>
      <c r="G194" s="24" t="inlineStr">
        <is>
          <t>Susan Bandecchi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polymarket_us</t>
        </is>
      </c>
      <c r="L194" s="26" t="n">
        <v>-113</v>
      </c>
      <c r="M194" s="27" t="n">
        <v>1.884956</v>
      </c>
      <c r="N194" s="28" t="n">
        <v>0.530516</v>
      </c>
      <c r="O194" s="28" t="n">
        <v>0.684504</v>
      </c>
      <c r="P194" s="28" t="n">
        <v>0.05</v>
      </c>
      <c r="Q194" s="28" t="n">
        <v>0.153988</v>
      </c>
      <c r="R194" s="26" t="n">
        <v>97</v>
      </c>
      <c r="S194" s="29" t="n">
        <v>2</v>
      </c>
      <c r="T194" s="24" t="inlineStr">
        <is>
          <t>tennis-surface-elo-v1</t>
        </is>
      </c>
      <c r="U194" s="24" t="inlineStr">
        <is>
          <t>settled</t>
        </is>
      </c>
      <c r="V194" s="24" t="inlineStr">
        <is>
          <t>loss</t>
        </is>
      </c>
      <c r="W194" s="26" t="n">
        <v>0</v>
      </c>
      <c r="X194" s="26" t="n">
        <v>1</v>
      </c>
      <c r="Y194" s="25" t="n"/>
      <c r="Z194" s="26" t="n">
        <v>-113</v>
      </c>
      <c r="AA194" s="28" t="n">
        <v>0.53</v>
      </c>
      <c r="AB194" s="28" t="n">
        <v>-0.000516</v>
      </c>
      <c r="AC194" s="30" t="n">
        <v>-2</v>
      </c>
      <c r="AD194" s="24" t="inlineStr">
        <is>
          <t>2026-08-05T16:59:42.507417Z</t>
        </is>
      </c>
      <c r="AE194" s="31" t="inlineStr">
        <is>
          <t>Surface-blended Elo on Hard: Veronika Podrez p=0.685 vs Susan Bandecchi. Executable ask 0.5300 (aec-wta-susban-verpod-2026-08-05).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Veronika Podrez</t>
        </is>
      </c>
      <c r="AQ194" s="24" t="inlineStr">
        <is>
          <t>Veronika Podrez</t>
        </is>
      </c>
      <c r="AR194" s="24" t="inlineStr">
        <is>
          <t>Veronika Podrez</t>
        </is>
      </c>
      <c r="AS194" s="24" t="inlineStr">
        <is>
          <t>Susan Bandecchi</t>
        </is>
      </c>
      <c r="AT194" s="24" t="inlineStr">
        <is>
          <t>Susan Bandecchi</t>
        </is>
      </c>
      <c r="AU194" s="24" t="inlineStr">
        <is>
          <t>Susan Bandecchi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2026-08-05T10:42:35.161195Z</t>
        </is>
      </c>
      <c r="BI194" s="24" t="inlineStr">
        <is>
          <t>["same_event","same_team_same_day","same_league_same_day"]</t>
        </is>
      </c>
      <c r="BJ194" s="25" t="n"/>
      <c r="BK194" s="26" t="n">
        <v>-113</v>
      </c>
      <c r="BL194" s="27" t="n">
        <v>1.884956</v>
      </c>
      <c r="BM194" s="28" t="n">
        <v>0.530516</v>
      </c>
      <c r="BN194" s="28" t="n"/>
      <c r="BO194" s="28" t="n"/>
      <c r="BP194" s="25" t="n"/>
      <c r="BQ194" s="27" t="n">
        <v>1.884956</v>
      </c>
      <c r="BR194" s="28" t="n">
        <v>0.53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a16c7bca38f7476f</t>
        </is>
      </c>
      <c r="B195" s="24" t="inlineStr">
        <is>
          <t>2026-08-05T13:54:48.712587Z</t>
        </is>
      </c>
      <c r="C195" s="24" t="inlineStr">
        <is>
          <t>2026-08-05T15:00Z</t>
        </is>
      </c>
      <c r="D195" s="24" t="inlineStr">
        <is>
          <t>421-2026:182220</t>
        </is>
      </c>
      <c r="E195" s="24" t="inlineStr">
        <is>
          <t>TENNIS</t>
        </is>
      </c>
      <c r="F195" s="24" t="inlineStr">
        <is>
          <t>Kayla Cross</t>
        </is>
      </c>
      <c r="G195" s="24" t="inlineStr">
        <is>
          <t>Ann Li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0.795002</v>
      </c>
      <c r="P195" s="28" t="n">
        <v>0.05</v>
      </c>
      <c r="Q195" s="28" t="n">
        <v>0.024887</v>
      </c>
      <c r="R195" s="26" t="n">
        <v>32</v>
      </c>
      <c r="S195" s="29" t="n">
        <v>2</v>
      </c>
      <c r="T195" s="24" t="inlineStr">
        <is>
          <t>tennis-surface-elo-v1</t>
        </is>
      </c>
      <c r="U195" s="24" t="inlineStr">
        <is>
          <t>settled</t>
        </is>
      </c>
      <c r="V195" s="24" t="inlineStr">
        <is>
          <t>win</t>
        </is>
      </c>
      <c r="W195" s="26" t="n">
        <v>0</v>
      </c>
      <c r="X195" s="26" t="n">
        <v>1</v>
      </c>
      <c r="Y195" s="25" t="n"/>
      <c r="Z195" s="26" t="n">
        <v>-335</v>
      </c>
      <c r="AA195" s="28" t="n">
        <v>0.77</v>
      </c>
      <c r="AB195" s="28" t="n">
        <v>-0.000115</v>
      </c>
      <c r="AC195" s="30" t="n">
        <v>0.597</v>
      </c>
      <c r="AD195" s="24" t="inlineStr">
        <is>
          <t>2026-08-05T16:59:43.760127Z</t>
        </is>
      </c>
      <c r="AE195" s="31" t="inlineStr">
        <is>
          <t>Surface-blended Elo on Hard: Kayla Cross p=0.205 vs Ann Li. Executable ask 0.7700 (aec-wta-annli-kaycro-2026-08-04).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NO_CALL_LOW_EDGE</t>
        </is>
      </c>
      <c r="AP195" s="24" t="inlineStr">
        <is>
          <t>Kayla Cross</t>
        </is>
      </c>
      <c r="AQ195" s="24" t="inlineStr">
        <is>
          <t>Kayla Cross</t>
        </is>
      </c>
      <c r="AR195" s="24" t="inlineStr">
        <is>
          <t>Kayla Cross</t>
        </is>
      </c>
      <c r="AS195" s="24" t="inlineStr">
        <is>
          <t>Ann Li</t>
        </is>
      </c>
      <c r="AT195" s="24" t="inlineStr">
        <is>
          <t>Ann Li</t>
        </is>
      </c>
      <c r="AU195" s="24" t="inlineStr">
        <is>
          <t>Ann Li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2026-08-05T13:52:38.380096Z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>
        <v>1.298507</v>
      </c>
      <c r="BR195" s="28" t="n">
        <v>0.77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6ddd668cdefb4366</t>
        </is>
      </c>
      <c r="B196" s="24" t="inlineStr">
        <is>
          <t>2026-08-05T13:54:48.712587Z</t>
        </is>
      </c>
      <c r="C196" s="24" t="inlineStr">
        <is>
          <t>2026-08-05T16:30Z</t>
        </is>
      </c>
      <c r="D196" s="24" t="inlineStr">
        <is>
          <t>421-2026:182196</t>
        </is>
      </c>
      <c r="E196" s="24" t="inlineStr">
        <is>
          <t>TENNIS</t>
        </is>
      </c>
      <c r="F196" s="24" t="inlineStr">
        <is>
          <t>Magdalena Frech</t>
        </is>
      </c>
      <c r="G196" s="24" t="inlineStr">
        <is>
          <t>Jessica Pegula</t>
        </is>
      </c>
      <c r="H196" s="24" t="inlineStr">
        <is>
          <t>moneyline</t>
        </is>
      </c>
      <c r="I196" s="24" t="inlineStr">
        <is>
          <t>home</t>
        </is>
      </c>
      <c r="J196" s="25" t="n"/>
      <c r="K196" s="24" t="inlineStr">
        <is>
          <t>polymarket_us</t>
        </is>
      </c>
      <c r="L196" s="26" t="n">
        <v>-900</v>
      </c>
      <c r="M196" s="27" t="n">
        <v>1.111111</v>
      </c>
      <c r="N196" s="28" t="n">
        <v>0.9</v>
      </c>
      <c r="O196" s="28" t="n">
        <v>0.9137729999999999</v>
      </c>
      <c r="P196" s="28" t="n">
        <v>0.05</v>
      </c>
      <c r="Q196" s="28" t="n">
        <v>0.013773</v>
      </c>
      <c r="R196" s="26" t="n">
        <v>27</v>
      </c>
      <c r="S196" s="29" t="n">
        <v>2</v>
      </c>
      <c r="T196" s="24" t="inlineStr">
        <is>
          <t>tennis-surface-elo-v1</t>
        </is>
      </c>
      <c r="U196" s="24" t="inlineStr">
        <is>
          <t>settled</t>
        </is>
      </c>
      <c r="V196" s="24" t="inlineStr">
        <is>
          <t>win</t>
        </is>
      </c>
      <c r="W196" s="26" t="n">
        <v>0</v>
      </c>
      <c r="X196" s="26" t="n">
        <v>1</v>
      </c>
      <c r="Y196" s="25" t="n"/>
      <c r="Z196" s="26" t="n">
        <v>-900</v>
      </c>
      <c r="AA196" s="28" t="n">
        <v>0.9</v>
      </c>
      <c r="AB196" s="28" t="n">
        <v>0</v>
      </c>
      <c r="AC196" s="30" t="n">
        <v>0.2222</v>
      </c>
      <c r="AD196" s="24" t="inlineStr">
        <is>
          <t>2026-08-05T20:58:01.229413Z</t>
        </is>
      </c>
      <c r="AE196" s="31" t="inlineStr">
        <is>
          <t>Surface-blended Elo on Hard: Magdalena Frech p=0.086 vs Jessica Pegula. Executable ask 0.9000 (aec-wta-jespeg-magfre-2026-08-04).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Magdalena Frech</t>
        </is>
      </c>
      <c r="AQ196" s="24" t="inlineStr">
        <is>
          <t>Magdalena Frech</t>
        </is>
      </c>
      <c r="AR196" s="24" t="inlineStr">
        <is>
          <t>Magdalena Frech</t>
        </is>
      </c>
      <c r="AS196" s="24" t="inlineStr">
        <is>
          <t>Jessica Pegula</t>
        </is>
      </c>
      <c r="AT196" s="24" t="inlineStr">
        <is>
          <t>Jessica Pegula</t>
        </is>
      </c>
      <c r="AU196" s="24" t="inlineStr">
        <is>
          <t>Jessica Pegula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2026-08-05T13:52:39.841560Z</t>
        </is>
      </c>
      <c r="BI196" s="24" t="inlineStr">
        <is>
          <t>["same_event","same_team_same_day","same_league_same_day"]</t>
        </is>
      </c>
      <c r="BJ196" s="25" t="n"/>
      <c r="BK196" s="26" t="n">
        <v>-900</v>
      </c>
      <c r="BL196" s="27" t="n">
        <v>1.111111</v>
      </c>
      <c r="BM196" s="28" t="n">
        <v>0.9</v>
      </c>
      <c r="BN196" s="28" t="n"/>
      <c r="BO196" s="28" t="n"/>
      <c r="BP196" s="25" t="n"/>
      <c r="BQ196" s="27" t="n">
        <v>1.111111</v>
      </c>
      <c r="BR196" s="28" t="n">
        <v>0.9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</row>
    <row r="197" ht="36" customHeight="1">
      <c r="A197" s="24" t="inlineStr">
        <is>
          <t>39ddf50ddbbd4653</t>
        </is>
      </c>
      <c r="B197" s="24" t="inlineStr">
        <is>
          <t>2026-08-05T13:54:48.712587Z</t>
        </is>
      </c>
      <c r="C197" s="24" t="inlineStr">
        <is>
          <t>2026-08-05T16:30Z</t>
        </is>
      </c>
      <c r="D197" s="24" t="inlineStr">
        <is>
          <t>421-2026:182201</t>
        </is>
      </c>
      <c r="E197" s="24" t="inlineStr">
        <is>
          <t>TENNIS</t>
        </is>
      </c>
      <c r="F197" s="24" t="inlineStr">
        <is>
          <t>Belinda Bencic</t>
        </is>
      </c>
      <c r="G197" s="24" t="inlineStr">
        <is>
          <t>Sloane Stephens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polymarket_us</t>
        </is>
      </c>
      <c r="L197" s="26" t="n">
        <v>-733</v>
      </c>
      <c r="M197" s="27" t="n">
        <v>1.136426</v>
      </c>
      <c r="N197" s="28" t="n">
        <v>0.879952</v>
      </c>
      <c r="O197" s="28" t="n">
        <v>0.887489</v>
      </c>
      <c r="P197" s="28" t="n">
        <v>0.05</v>
      </c>
      <c r="Q197" s="28" t="n">
        <v>0.007537</v>
      </c>
      <c r="R197" s="26" t="n">
        <v>24</v>
      </c>
      <c r="S197" s="29" t="n">
        <v>2</v>
      </c>
      <c r="T197" s="24" t="inlineStr">
        <is>
          <t>tennis-surface-elo-v1</t>
        </is>
      </c>
      <c r="U197" s="24" t="inlineStr">
        <is>
          <t>settled</t>
        </is>
      </c>
      <c r="V197" s="24" t="inlineStr">
        <is>
          <t>win</t>
        </is>
      </c>
      <c r="W197" s="26" t="n">
        <v>1</v>
      </c>
      <c r="X197" s="26" t="n">
        <v>0</v>
      </c>
      <c r="Y197" s="25" t="n"/>
      <c r="Z197" s="26" t="n">
        <v>-733</v>
      </c>
      <c r="AA197" s="28" t="n">
        <v>0.88</v>
      </c>
      <c r="AB197" s="28" t="n">
        <v>4.8e-05</v>
      </c>
      <c r="AC197" s="30" t="n">
        <v>0.2729</v>
      </c>
      <c r="AD197" s="24" t="inlineStr">
        <is>
          <t>2026-08-05T20:58:02.341123Z</t>
        </is>
      </c>
      <c r="AE197" s="31" t="inlineStr">
        <is>
          <t>Surface-blended Elo on Hard: Belinda Bencic p=0.887 vs Sloane Stephens. Executable ask 0.8800 (aec-wta-sloste-belben-2026-08-06).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NO_CALL_LOW_EDGE</t>
        </is>
      </c>
      <c r="AP197" s="24" t="inlineStr">
        <is>
          <t>Belinda Bencic</t>
        </is>
      </c>
      <c r="AQ197" s="24" t="inlineStr">
        <is>
          <t>Belinda Bencic</t>
        </is>
      </c>
      <c r="AR197" s="24" t="inlineStr">
        <is>
          <t>Belinda Bencic</t>
        </is>
      </c>
      <c r="AS197" s="24" t="inlineStr">
        <is>
          <t>Sloane Stephens</t>
        </is>
      </c>
      <c r="AT197" s="24" t="inlineStr">
        <is>
          <t>Sloane Stephens</t>
        </is>
      </c>
      <c r="AU197" s="24" t="inlineStr">
        <is>
          <t>Sloane Stephens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2026-08-05T13:52:41.012065Z</t>
        </is>
      </c>
      <c r="BI197" s="24" t="inlineStr">
        <is>
          <t>["same_event","same_team_same_day","same_league_same_day"]</t>
        </is>
      </c>
      <c r="BJ197" s="25" t="n"/>
      <c r="BK197" s="26" t="n">
        <v>-733</v>
      </c>
      <c r="BL197" s="27" t="n">
        <v>1.136426</v>
      </c>
      <c r="BM197" s="28" t="n">
        <v>0.879952</v>
      </c>
      <c r="BN197" s="28" t="n"/>
      <c r="BO197" s="28" t="n"/>
      <c r="BP197" s="25" t="n"/>
      <c r="BQ197" s="27" t="n">
        <v>1.136426</v>
      </c>
      <c r="BR197" s="28" t="n">
        <v>0.88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f465d39b412e4847</t>
        </is>
      </c>
      <c r="B198" s="24" t="inlineStr">
        <is>
          <t>2026-08-05T13:54:48.712587Z</t>
        </is>
      </c>
      <c r="C198" s="24" t="inlineStr">
        <is>
          <t>2026-08-05T16:30Z</t>
        </is>
      </c>
      <c r="D198" s="24" t="inlineStr">
        <is>
          <t>421-2026:182218</t>
        </is>
      </c>
      <c r="E198" s="24" t="inlineStr">
        <is>
          <t>TENNIS</t>
        </is>
      </c>
      <c r="F198" s="24" t="inlineStr">
        <is>
          <t>Elena Rybakina</t>
        </is>
      </c>
      <c r="G198" s="24" t="inlineStr">
        <is>
          <t>Daria Kasatkina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-669</v>
      </c>
      <c r="M198" s="27" t="n">
        <v>1.149477</v>
      </c>
      <c r="N198" s="28" t="n">
        <v>0.869961</v>
      </c>
      <c r="O198" s="28" t="n">
        <v>0.8561839999999999</v>
      </c>
      <c r="P198" s="28" t="n">
        <v>0.05</v>
      </c>
      <c r="Q198" s="28" t="n">
        <v>-0.013777</v>
      </c>
      <c r="R198" s="26" t="n">
        <v>13</v>
      </c>
      <c r="S198" s="29" t="n">
        <v>2</v>
      </c>
      <c r="T198" s="24" t="inlineStr">
        <is>
          <t>tennis-surface-elo-v1</t>
        </is>
      </c>
      <c r="U198" s="24" t="inlineStr">
        <is>
          <t>settled</t>
        </is>
      </c>
      <c r="V198" s="24" t="inlineStr">
        <is>
          <t>win</t>
        </is>
      </c>
      <c r="W198" s="26" t="n">
        <v>1</v>
      </c>
      <c r="X198" s="26" t="n">
        <v>0</v>
      </c>
      <c r="Y198" s="25" t="n"/>
      <c r="Z198" s="26" t="n">
        <v>-669</v>
      </c>
      <c r="AA198" s="28" t="n">
        <v>0.87</v>
      </c>
      <c r="AB198" s="28" t="n">
        <v>3.9e-05</v>
      </c>
      <c r="AC198" s="30" t="n">
        <v>0.299</v>
      </c>
      <c r="AD198" s="24" t="inlineStr">
        <is>
          <t>2026-08-05T20:58:03.504667Z</t>
        </is>
      </c>
      <c r="AE198" s="31" t="inlineStr">
        <is>
          <t>Surface-blended Elo on Hard: Elena Rybakina p=0.856 vs Daria Kasatkina. Executable ask 0.8700 (aec-wta-darkas-eleryb-2026-08-06).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Elena Rybakina</t>
        </is>
      </c>
      <c r="AQ198" s="24" t="inlineStr">
        <is>
          <t>Elena Rybakina</t>
        </is>
      </c>
      <c r="AR198" s="24" t="inlineStr">
        <is>
          <t>Elena Rybakina</t>
        </is>
      </c>
      <c r="AS198" s="24" t="inlineStr">
        <is>
          <t>Daria Kasatkina</t>
        </is>
      </c>
      <c r="AT198" s="24" t="inlineStr">
        <is>
          <t>Daria Kasatkina</t>
        </is>
      </c>
      <c r="AU198" s="24" t="inlineStr">
        <is>
          <t>Daria Kasatkina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2026-08-05T13:52:41.872950Z</t>
        </is>
      </c>
      <c r="BI198" s="24" t="inlineStr">
        <is>
          <t>["same_event","same_team_same_day","same_league_same_day"]</t>
        </is>
      </c>
      <c r="BJ198" s="25" t="n"/>
      <c r="BK198" s="26" t="n">
        <v>-669</v>
      </c>
      <c r="BL198" s="27" t="n">
        <v>1.149477</v>
      </c>
      <c r="BM198" s="28" t="n">
        <v>0.869961</v>
      </c>
      <c r="BN198" s="28" t="n"/>
      <c r="BO198" s="28" t="n"/>
      <c r="BP198" s="25" t="n"/>
      <c r="BQ198" s="27" t="n">
        <v>1.149477</v>
      </c>
      <c r="BR198" s="28" t="n">
        <v>0.87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</row>
    <row r="199" ht="36" customHeight="1">
      <c r="A199" s="24" t="inlineStr">
        <is>
          <t>c01d22a58c78482c</t>
        </is>
      </c>
      <c r="B199" s="24" t="inlineStr">
        <is>
          <t>2026-08-05T13:54:48.712587Z</t>
        </is>
      </c>
      <c r="C199" s="24" t="inlineStr">
        <is>
          <t>2026-08-05T16:30Z</t>
        </is>
      </c>
      <c r="D199" s="24" t="inlineStr">
        <is>
          <t>421-2026:182225</t>
        </is>
      </c>
      <c r="E199" s="24" t="inlineStr">
        <is>
          <t>TENNIS</t>
        </is>
      </c>
      <c r="F199" s="24" t="inlineStr">
        <is>
          <t>Taylor Townsend</t>
        </is>
      </c>
      <c r="G199" s="24" t="inlineStr">
        <is>
          <t>Marie Bouzkova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0.56035</v>
      </c>
      <c r="P199" s="28" t="n">
        <v>0.05</v>
      </c>
      <c r="Q199" s="28" t="n">
        <v>-0.010465</v>
      </c>
      <c r="R199" s="26" t="n">
        <v>15</v>
      </c>
      <c r="S199" s="29" t="n">
        <v>1</v>
      </c>
      <c r="T199" s="24" t="inlineStr">
        <is>
          <t>tennis-surface-elo-v1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-133</v>
      </c>
      <c r="AA199" s="28" t="n">
        <v>0.57</v>
      </c>
      <c r="AB199" s="28" t="n">
        <v>-0.000815</v>
      </c>
      <c r="AC199" s="30" t="n">
        <v>-1</v>
      </c>
      <c r="AD199" s="24" t="inlineStr">
        <is>
          <t>2026-08-05T20:58:04.618067Z</t>
        </is>
      </c>
      <c r="AE199" s="31" t="inlineStr">
        <is>
          <t>Surface-blended Elo on Hard: Taylor Townsend p=0.440 vs Marie Bouzkova. Executable ask 0.5700 (aec-wta-marbou-taytow-2026-08-06).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NO_CALL_LOW_EDGE</t>
        </is>
      </c>
      <c r="AP199" s="24" t="inlineStr">
        <is>
          <t>Taylor Townsend</t>
        </is>
      </c>
      <c r="AQ199" s="24" t="inlineStr">
        <is>
          <t>Taylor Townsend</t>
        </is>
      </c>
      <c r="AR199" s="24" t="inlineStr">
        <is>
          <t>Taylor Townsend</t>
        </is>
      </c>
      <c r="AS199" s="24" t="inlineStr">
        <is>
          <t>Marie Bouzkova</t>
        </is>
      </c>
      <c r="AT199" s="24" t="inlineStr">
        <is>
          <t>Marie Bouzkova</t>
        </is>
      </c>
      <c r="AU199" s="24" t="inlineStr">
        <is>
          <t>Marie Bouzkova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2026-08-05T13:52:39.163501Z</t>
        </is>
      </c>
      <c r="BI199" s="24" t="inlineStr">
        <is>
          <t>["same_event","same_team_same_day","same_league_same_day"]</t>
        </is>
      </c>
      <c r="BJ199" s="25" t="n"/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>
        <v>1.75188</v>
      </c>
      <c r="BR199" s="28" t="n">
        <v>0.57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</row>
    <row r="200" ht="36" customHeight="1">
      <c r="A200" s="24" t="inlineStr">
        <is>
          <t>2811cb0a91b94e15</t>
        </is>
      </c>
      <c r="B200" s="24" t="inlineStr">
        <is>
          <t>2026-08-05T13:54:48.712587Z</t>
        </is>
      </c>
      <c r="C200" s="24" t="inlineStr">
        <is>
          <t>2026-08-05T15:00Z</t>
        </is>
      </c>
      <c r="D200" s="24" t="inlineStr">
        <is>
          <t>421-2026:181726</t>
        </is>
      </c>
      <c r="E200" s="24" t="inlineStr">
        <is>
          <t>TENNIS</t>
        </is>
      </c>
      <c r="F200" s="24" t="inlineStr">
        <is>
          <t>Sebastian Baez</t>
        </is>
      </c>
      <c r="G200" s="24" t="inlineStr">
        <is>
          <t>Zizou Bergs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-144</v>
      </c>
      <c r="M200" s="27" t="n">
        <v>1.694444</v>
      </c>
      <c r="N200" s="28" t="n">
        <v>0.590164</v>
      </c>
      <c r="O200" s="28" t="n">
        <v>0.52297</v>
      </c>
      <c r="P200" s="28" t="n">
        <v>0.05</v>
      </c>
      <c r="Q200" s="28" t="n">
        <v>-0.067194</v>
      </c>
      <c r="R200" s="26" t="n">
        <v>0</v>
      </c>
      <c r="S200" s="29" t="n">
        <v>1</v>
      </c>
      <c r="T200" s="24" t="inlineStr">
        <is>
          <t>tennis-surface-elo-v1</t>
        </is>
      </c>
      <c r="U200" s="24" t="inlineStr">
        <is>
          <t>settled</t>
        </is>
      </c>
      <c r="V200" s="24" t="inlineStr">
        <is>
          <t>win</t>
        </is>
      </c>
      <c r="W200" s="26" t="n">
        <v>0</v>
      </c>
      <c r="X200" s="26" t="n">
        <v>1</v>
      </c>
      <c r="Y200" s="25" t="n"/>
      <c r="Z200" s="26" t="n">
        <v>-144</v>
      </c>
      <c r="AA200" s="28" t="n">
        <v>0.59</v>
      </c>
      <c r="AB200" s="28" t="n">
        <v>-0.000164</v>
      </c>
      <c r="AC200" s="30" t="n">
        <v>0.6944</v>
      </c>
      <c r="AD200" s="24" t="inlineStr">
        <is>
          <t>2026-08-05T20:58:05.784696Z</t>
        </is>
      </c>
      <c r="AE200" s="31" t="inlineStr">
        <is>
          <t>Surface-blended Elo on Hard: Sebastian Baez p=0.477 vs Zizou Bergs. Executable ask 0.5900 (aec-atp-zizber-sebbae-2026-08-06).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NO_CALL_LOW_EDGE</t>
        </is>
      </c>
      <c r="AP200" s="24" t="inlineStr">
        <is>
          <t>Sebastian Baez</t>
        </is>
      </c>
      <c r="AQ200" s="24" t="inlineStr">
        <is>
          <t>Sebastian Baez</t>
        </is>
      </c>
      <c r="AR200" s="24" t="inlineStr">
        <is>
          <t>Sebastian Baez</t>
        </is>
      </c>
      <c r="AS200" s="24" t="inlineStr">
        <is>
          <t>Zizou Bergs</t>
        </is>
      </c>
      <c r="AT200" s="24" t="inlineStr">
        <is>
          <t>Zizou Bergs</t>
        </is>
      </c>
      <c r="AU200" s="24" t="inlineStr">
        <is>
          <t>Zizou Bergs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2026-08-05T13:52:51.067876Z</t>
        </is>
      </c>
      <c r="BI200" s="24" t="inlineStr">
        <is>
          <t>["same_event","same_team_same_day","same_league_same_day"]</t>
        </is>
      </c>
      <c r="BJ200" s="25" t="n"/>
      <c r="BK200" s="26" t="n">
        <v>-144</v>
      </c>
      <c r="BL200" s="27" t="n">
        <v>1.694444</v>
      </c>
      <c r="BM200" s="28" t="n">
        <v>0.590164</v>
      </c>
      <c r="BN200" s="28" t="n"/>
      <c r="BO200" s="28" t="n"/>
      <c r="BP200" s="25" t="n"/>
      <c r="BQ200" s="27" t="n">
        <v>1.694444</v>
      </c>
      <c r="BR200" s="28" t="n">
        <v>0.59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</row>
    <row r="201" ht="36" customHeight="1">
      <c r="A201" s="24" t="inlineStr">
        <is>
          <t>06ce4b5381084b0a</t>
        </is>
      </c>
      <c r="B201" s="24" t="inlineStr">
        <is>
          <t>2026-08-05T13:54:48.712587Z</t>
        </is>
      </c>
      <c r="C201" s="24" t="inlineStr">
        <is>
          <t>2026-08-05T15:00Z</t>
        </is>
      </c>
      <c r="D201" s="24" t="inlineStr">
        <is>
          <t>421-2026:181727</t>
        </is>
      </c>
      <c r="E201" s="24" t="inlineStr">
        <is>
          <t>TENNIS</t>
        </is>
      </c>
      <c r="F201" s="24" t="inlineStr">
        <is>
          <t>Joao Fonseca</t>
        </is>
      </c>
      <c r="G201" s="24" t="inlineStr">
        <is>
          <t>Stefanos Tsitsipas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-150</v>
      </c>
      <c r="M201" s="27" t="n">
        <v>1.666667</v>
      </c>
      <c r="N201" s="28" t="n">
        <v>0.6</v>
      </c>
      <c r="O201" s="28" t="n">
        <v>0.629315</v>
      </c>
      <c r="P201" s="28" t="n">
        <v>0.05</v>
      </c>
      <c r="Q201" s="28" t="n">
        <v>0.029315</v>
      </c>
      <c r="R201" s="26" t="n">
        <v>35</v>
      </c>
      <c r="S201" s="29" t="n">
        <v>1.5</v>
      </c>
      <c r="T201" s="24" t="inlineStr">
        <is>
          <t>tennis-surface-elo-v1</t>
        </is>
      </c>
      <c r="U201" s="24" t="inlineStr">
        <is>
          <t>settled</t>
        </is>
      </c>
      <c r="V201" s="24" t="inlineStr">
        <is>
          <t>win</t>
        </is>
      </c>
      <c r="W201" s="26" t="n">
        <v>1</v>
      </c>
      <c r="X201" s="26" t="n">
        <v>0</v>
      </c>
      <c r="Y201" s="25" t="n"/>
      <c r="Z201" s="26" t="n">
        <v>-150</v>
      </c>
      <c r="AA201" s="28" t="n">
        <v>0.6</v>
      </c>
      <c r="AB201" s="28" t="n">
        <v>0</v>
      </c>
      <c r="AC201" s="30" t="n">
        <v>1</v>
      </c>
      <c r="AD201" s="24" t="inlineStr">
        <is>
          <t>2026-08-05T20:58:06.956089Z</t>
        </is>
      </c>
      <c r="AE201" s="31" t="inlineStr">
        <is>
          <t>Surface-blended Elo on Hard: Joao Fonseca p=0.629 vs Stefanos Tsitsipas. Executable ask 0.6000 (aec-atp-stetsi-joafon-2026-08-05).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NO_CALL_LOW_EDGE</t>
        </is>
      </c>
      <c r="AP201" s="24" t="inlineStr">
        <is>
          <t>Joao Fonseca</t>
        </is>
      </c>
      <c r="AQ201" s="24" t="inlineStr">
        <is>
          <t>Joao Fonseca</t>
        </is>
      </c>
      <c r="AR201" s="24" t="inlineStr">
        <is>
          <t>Joao Fonseca</t>
        </is>
      </c>
      <c r="AS201" s="24" t="inlineStr">
        <is>
          <t>Stefanos Tsitsipas</t>
        </is>
      </c>
      <c r="AT201" s="24" t="inlineStr">
        <is>
          <t>Stefanos Tsitsipas</t>
        </is>
      </c>
      <c r="AU201" s="24" t="inlineStr">
        <is>
          <t>Stefanos Tsitsipas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2026-08-05T13:52:53.241498Z</t>
        </is>
      </c>
      <c r="BI201" s="24" t="inlineStr">
        <is>
          <t>["same_event","same_team_same_day","same_league_same_day"]</t>
        </is>
      </c>
      <c r="BJ201" s="25" t="n"/>
      <c r="BK201" s="26" t="n">
        <v>-150</v>
      </c>
      <c r="BL201" s="27" t="n">
        <v>1.666667</v>
      </c>
      <c r="BM201" s="28" t="n">
        <v>0.6</v>
      </c>
      <c r="BN201" s="28" t="n"/>
      <c r="BO201" s="28" t="n"/>
      <c r="BP201" s="25" t="n"/>
      <c r="BQ201" s="27" t="n">
        <v>1.666667</v>
      </c>
      <c r="BR201" s="28" t="n">
        <v>0.6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a4438889fb85473c</t>
        </is>
      </c>
      <c r="B202" s="24" t="inlineStr">
        <is>
          <t>2026-08-05T13:54:48.712587Z</t>
        </is>
      </c>
      <c r="C202" s="24" t="inlineStr">
        <is>
          <t>2026-08-05T15:00Z</t>
        </is>
      </c>
      <c r="D202" s="24" t="inlineStr">
        <is>
          <t>421-2026:181747</t>
        </is>
      </c>
      <c r="E202" s="24" t="inlineStr">
        <is>
          <t>TENNIS</t>
        </is>
      </c>
      <c r="F202" s="24" t="inlineStr">
        <is>
          <t>Lorenzo Musetti</t>
        </is>
      </c>
      <c r="G202" s="24" t="inlineStr">
        <is>
          <t>Nicolas Mejia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-669</v>
      </c>
      <c r="M202" s="27" t="n">
        <v>1.149477</v>
      </c>
      <c r="N202" s="28" t="n">
        <v>0.869961</v>
      </c>
      <c r="O202" s="28" t="n">
        <v>0.855919</v>
      </c>
      <c r="P202" s="28" t="n">
        <v>0.05</v>
      </c>
      <c r="Q202" s="28" t="n">
        <v>-0.014042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settled</t>
        </is>
      </c>
      <c r="V202" s="24" t="inlineStr">
        <is>
          <t>win</t>
        </is>
      </c>
      <c r="W202" s="26" t="n">
        <v>1</v>
      </c>
      <c r="X202" s="26" t="n">
        <v>0</v>
      </c>
      <c r="Y202" s="25" t="n"/>
      <c r="Z202" s="26" t="n">
        <v>-669</v>
      </c>
      <c r="AA202" s="28" t="n">
        <v>0.87</v>
      </c>
      <c r="AB202" s="28" t="n">
        <v>3.9e-05</v>
      </c>
      <c r="AC202" s="30" t="n">
        <v>0.299</v>
      </c>
      <c r="AD202" s="24" t="inlineStr">
        <is>
          <t>2026-08-05T20:58:08.071881Z</t>
        </is>
      </c>
      <c r="AE202" s="31" t="inlineStr">
        <is>
          <t>Surface-blended Elo on Hard: Lorenzo Musetti p=0.856 vs Nicolas Mejia. Executable ask 0.8700 (aec-atp-nicmej-lormus-2026-08-04).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Lorenzo Musetti</t>
        </is>
      </c>
      <c r="AQ202" s="24" t="inlineStr">
        <is>
          <t>Lorenzo Musetti</t>
        </is>
      </c>
      <c r="AR202" s="24" t="inlineStr">
        <is>
          <t>Lorenzo Musetti</t>
        </is>
      </c>
      <c r="AS202" s="24" t="inlineStr">
        <is>
          <t>Nicolas Mejia</t>
        </is>
      </c>
      <c r="AT202" s="24" t="inlineStr">
        <is>
          <t>Nicolas Mejia</t>
        </is>
      </c>
      <c r="AU202" s="24" t="inlineStr">
        <is>
          <t>Nicolas Mejia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2026-08-05T13:52:49.651695Z</t>
        </is>
      </c>
      <c r="BI202" s="24" t="inlineStr">
        <is>
          <t>["same_event","same_team_same_day","same_league_same_day"]</t>
        </is>
      </c>
      <c r="BJ202" s="25" t="n"/>
      <c r="BK202" s="26" t="n">
        <v>-669</v>
      </c>
      <c r="BL202" s="27" t="n">
        <v>1.149477</v>
      </c>
      <c r="BM202" s="28" t="n">
        <v>0.869961</v>
      </c>
      <c r="BN202" s="28" t="n"/>
      <c r="BO202" s="28" t="n"/>
      <c r="BP202" s="25" t="n"/>
      <c r="BQ202" s="27" t="n">
        <v>1.149477</v>
      </c>
      <c r="BR202" s="28" t="n">
        <v>0.87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</row>
    <row r="203" ht="36" customHeight="1">
      <c r="A203" s="24" t="inlineStr">
        <is>
          <t>6f49f42d5b724416</t>
        </is>
      </c>
      <c r="B203" s="24" t="inlineStr">
        <is>
          <t>2026-08-05T13:54:48.712587Z</t>
        </is>
      </c>
      <c r="C203" s="24" t="inlineStr">
        <is>
          <t>2026-08-05T15:00Z</t>
        </is>
      </c>
      <c r="D203" s="24" t="inlineStr">
        <is>
          <t>421-2026:181760</t>
        </is>
      </c>
      <c r="E203" s="24" t="inlineStr">
        <is>
          <t>TENNIS</t>
        </is>
      </c>
      <c r="F203" s="24" t="inlineStr">
        <is>
          <t>Mariano Navone</t>
        </is>
      </c>
      <c r="G203" s="24" t="inlineStr">
        <is>
          <t>Valentin Vacherot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-156</v>
      </c>
      <c r="M203" s="27" t="n">
        <v>1.641026</v>
      </c>
      <c r="N203" s="28" t="n">
        <v>0.609375</v>
      </c>
      <c r="O203" s="28" t="n">
        <v>0.642108</v>
      </c>
      <c r="P203" s="28" t="n">
        <v>0.05</v>
      </c>
      <c r="Q203" s="28" t="n">
        <v>0.032733</v>
      </c>
      <c r="R203" s="26" t="n">
        <v>36</v>
      </c>
      <c r="S203" s="29" t="n">
        <v>1.5</v>
      </c>
      <c r="T203" s="24" t="inlineStr">
        <is>
          <t>tennis-surface-elo-v1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0</v>
      </c>
      <c r="Y203" s="25" t="n"/>
      <c r="Z203" s="26" t="n">
        <v>-156</v>
      </c>
      <c r="AA203" s="28" t="n">
        <v>0.61</v>
      </c>
      <c r="AB203" s="28" t="n">
        <v>0.000625</v>
      </c>
      <c r="AC203" s="30" t="n">
        <v>-1.5</v>
      </c>
      <c r="AD203" s="24" t="inlineStr">
        <is>
          <t>2026-08-05T20:58:09.240641Z</t>
        </is>
      </c>
      <c r="AE203" s="31" t="inlineStr">
        <is>
          <t>Surface-blended Elo on Hard: Mariano Navone p=0.358 vs Valentin Vacherot. Executable ask 0.6100 (aec-atp-valvac-marnav-2026-08-04).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NO_CALL_LOW_EDGE</t>
        </is>
      </c>
      <c r="AP203" s="24" t="inlineStr">
        <is>
          <t>Mariano Navone</t>
        </is>
      </c>
      <c r="AQ203" s="24" t="inlineStr">
        <is>
          <t>Mariano Navone</t>
        </is>
      </c>
      <c r="AR203" s="24" t="inlineStr">
        <is>
          <t>Mariano Navone</t>
        </is>
      </c>
      <c r="AS203" s="24" t="inlineStr">
        <is>
          <t>Valentin Vacherot</t>
        </is>
      </c>
      <c r="AT203" s="24" t="inlineStr">
        <is>
          <t>Valentin Vacherot</t>
        </is>
      </c>
      <c r="AU203" s="24" t="inlineStr">
        <is>
          <t>Valentin Vacherot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2026-08-05T13:52:50.187567Z</t>
        </is>
      </c>
      <c r="BI203" s="24" t="inlineStr">
        <is>
          <t>["same_event","same_team_same_day","same_league_same_day"]</t>
        </is>
      </c>
      <c r="BJ203" s="25" t="n"/>
      <c r="BK203" s="26" t="n">
        <v>-156</v>
      </c>
      <c r="BL203" s="27" t="n">
        <v>1.641026</v>
      </c>
      <c r="BM203" s="28" t="n">
        <v>0.609375</v>
      </c>
      <c r="BN203" s="28" t="n"/>
      <c r="BO203" s="28" t="n"/>
      <c r="BP203" s="25" t="n"/>
      <c r="BQ203" s="27" t="n">
        <v>1.641026</v>
      </c>
      <c r="BR203" s="28" t="n">
        <v>0.61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6fbba5bf31bc4f32</t>
        </is>
      </c>
      <c r="B204" s="24" t="inlineStr">
        <is>
          <t>2026-08-05T13:54:48.712587Z</t>
        </is>
      </c>
      <c r="C204" s="24" t="inlineStr">
        <is>
          <t>2026-08-05T16:30Z</t>
        </is>
      </c>
      <c r="D204" s="24" t="inlineStr">
        <is>
          <t>421-2026:181724</t>
        </is>
      </c>
      <c r="E204" s="24" t="inlineStr">
        <is>
          <t>TENNIS</t>
        </is>
      </c>
      <c r="F204" s="24" t="inlineStr">
        <is>
          <t>Juan Manuel Cerundolo</t>
        </is>
      </c>
      <c r="G204" s="24" t="inlineStr">
        <is>
          <t>Casper Ruud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-245</v>
      </c>
      <c r="M204" s="27" t="n">
        <v>1.408163</v>
      </c>
      <c r="N204" s="28" t="n">
        <v>0.710145</v>
      </c>
      <c r="O204" s="28" t="n">
        <v>0.735828</v>
      </c>
      <c r="P204" s="28" t="n">
        <v>0.05</v>
      </c>
      <c r="Q204" s="28" t="n">
        <v>0.025683</v>
      </c>
      <c r="R204" s="26" t="n">
        <v>33</v>
      </c>
      <c r="S204" s="29" t="n">
        <v>2</v>
      </c>
      <c r="T204" s="24" t="inlineStr">
        <is>
          <t>tennis-surface-elo-v1</t>
        </is>
      </c>
      <c r="U204" s="24" t="inlineStr">
        <is>
          <t>settled</t>
        </is>
      </c>
      <c r="V204" s="24" t="inlineStr">
        <is>
          <t>win</t>
        </is>
      </c>
      <c r="W204" s="26" t="n">
        <v>0</v>
      </c>
      <c r="X204" s="26" t="n">
        <v>1</v>
      </c>
      <c r="Y204" s="25" t="n"/>
      <c r="Z204" s="26" t="n">
        <v>-245</v>
      </c>
      <c r="AA204" s="28" t="n">
        <v>0.71</v>
      </c>
      <c r="AB204" s="28" t="n">
        <v>-0.000145</v>
      </c>
      <c r="AC204" s="30" t="n">
        <v>0.8163</v>
      </c>
      <c r="AD204" s="24" t="inlineStr">
        <is>
          <t>2026-08-05T20:58:10.365727Z</t>
        </is>
      </c>
      <c r="AE204" s="31" t="inlineStr">
        <is>
          <t>Surface-blended Elo on Hard: Juan Manuel Cerundolo p=0.264 vs Casper Ruud. Executable ask 0.7100 (aec-atp-casruu-juacer-2026-08-06).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Juan Manuel Cerundolo</t>
        </is>
      </c>
      <c r="AQ204" s="24" t="inlineStr">
        <is>
          <t>Juan Manuel Cerundolo</t>
        </is>
      </c>
      <c r="AR204" s="24" t="inlineStr">
        <is>
          <t>Juan Manuel Cerundolo</t>
        </is>
      </c>
      <c r="AS204" s="24" t="inlineStr">
        <is>
          <t>Casper Ruud</t>
        </is>
      </c>
      <c r="AT204" s="24" t="inlineStr">
        <is>
          <t>Casper Ruud</t>
        </is>
      </c>
      <c r="AU204" s="24" t="inlineStr">
        <is>
          <t>Casper Ruud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2026-08-05T13:52:53.800312Z</t>
        </is>
      </c>
      <c r="BI204" s="24" t="inlineStr">
        <is>
          <t>["same_event","same_team_same_day","same_league_same_day"]</t>
        </is>
      </c>
      <c r="BJ204" s="25" t="n"/>
      <c r="BK204" s="26" t="n">
        <v>-245</v>
      </c>
      <c r="BL204" s="27" t="n">
        <v>1.408163</v>
      </c>
      <c r="BM204" s="28" t="n">
        <v>0.710145</v>
      </c>
      <c r="BN204" s="28" t="n"/>
      <c r="BO204" s="28" t="n"/>
      <c r="BP204" s="25" t="n"/>
      <c r="BQ204" s="27" t="n">
        <v>1.408163</v>
      </c>
      <c r="BR204" s="28" t="n">
        <v>0.71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df1b39de672f43dc</t>
        </is>
      </c>
      <c r="B205" s="24" t="inlineStr">
        <is>
          <t>2026-08-05T13:54:48.712587Z</t>
        </is>
      </c>
      <c r="C205" s="24" t="inlineStr">
        <is>
          <t>2026-08-05T16:30Z</t>
        </is>
      </c>
      <c r="D205" s="24" t="inlineStr">
        <is>
          <t>421-2026:181732</t>
        </is>
      </c>
      <c r="E205" s="24" t="inlineStr">
        <is>
          <t>TENNIS</t>
        </is>
      </c>
      <c r="F205" s="24" t="inlineStr">
        <is>
          <t>Cameron Norrie</t>
        </is>
      </c>
      <c r="G205" s="24" t="inlineStr">
        <is>
          <t>Ignacio Buse</t>
        </is>
      </c>
      <c r="H205" s="24" t="inlineStr">
        <is>
          <t>moneyline</t>
        </is>
      </c>
      <c r="I205" s="24" t="inlineStr">
        <is>
          <t>away</t>
        </is>
      </c>
      <c r="J205" s="25" t="n"/>
      <c r="K205" s="24" t="inlineStr">
        <is>
          <t>polymarket_us</t>
        </is>
      </c>
      <c r="L205" s="26" t="n">
        <v>-223</v>
      </c>
      <c r="M205" s="27" t="n">
        <v>1.44843</v>
      </c>
      <c r="N205" s="28" t="n">
        <v>0.690402</v>
      </c>
      <c r="O205" s="28" t="n">
        <v>0.555985</v>
      </c>
      <c r="P205" s="28" t="n">
        <v>0.05</v>
      </c>
      <c r="Q205" s="28" t="n">
        <v>-0.134417</v>
      </c>
      <c r="R205" s="26" t="n">
        <v>0</v>
      </c>
      <c r="S205" s="29" t="n">
        <v>1</v>
      </c>
      <c r="T205" s="24" t="inlineStr">
        <is>
          <t>tennis-surface-elo-v1</t>
        </is>
      </c>
      <c r="U205" s="24" t="inlineStr">
        <is>
          <t>settled</t>
        </is>
      </c>
      <c r="V205" s="24" t="inlineStr">
        <is>
          <t>win</t>
        </is>
      </c>
      <c r="W205" s="26" t="n">
        <v>1</v>
      </c>
      <c r="X205" s="26" t="n">
        <v>0</v>
      </c>
      <c r="Y205" s="25" t="n"/>
      <c r="Z205" s="26" t="n">
        <v>-223</v>
      </c>
      <c r="AA205" s="28" t="n">
        <v>0.6899999999999999</v>
      </c>
      <c r="AB205" s="28" t="n">
        <v>-0.000402</v>
      </c>
      <c r="AC205" s="30" t="n">
        <v>0.4484</v>
      </c>
      <c r="AD205" s="24" t="inlineStr">
        <is>
          <t>2026-08-05T20:58:11.549364Z</t>
        </is>
      </c>
      <c r="AE205" s="31" t="inlineStr">
        <is>
          <t>Surface-blended Elo on Hard: Cameron Norrie p=0.556 vs Ignacio Buse. Executable ask 0.6900 (aec-atp-ignbus-camnor-2026-08-05).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Cameron Norrie</t>
        </is>
      </c>
      <c r="AQ205" s="24" t="inlineStr">
        <is>
          <t>Cameron Norrie</t>
        </is>
      </c>
      <c r="AR205" s="24" t="inlineStr">
        <is>
          <t>Cameron Norrie</t>
        </is>
      </c>
      <c r="AS205" s="24" t="inlineStr">
        <is>
          <t>Ignacio Buse</t>
        </is>
      </c>
      <c r="AT205" s="24" t="inlineStr">
        <is>
          <t>Ignacio Buse</t>
        </is>
      </c>
      <c r="AU205" s="24" t="inlineStr">
        <is>
          <t>Ignacio Buse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2026-08-05T13:52:55.689355Z</t>
        </is>
      </c>
      <c r="BI205" s="24" t="inlineStr">
        <is>
          <t>["same_event","same_team_same_day","same_league_same_day"]</t>
        </is>
      </c>
      <c r="BJ205" s="25" t="n"/>
      <c r="BK205" s="26" t="n">
        <v>-223</v>
      </c>
      <c r="BL205" s="27" t="n">
        <v>1.44843</v>
      </c>
      <c r="BM205" s="28" t="n">
        <v>0.690402</v>
      </c>
      <c r="BN205" s="28" t="n"/>
      <c r="BO205" s="28" t="n"/>
      <c r="BP205" s="25" t="n"/>
      <c r="BQ205" s="27" t="n">
        <v>1.44843</v>
      </c>
      <c r="BR205" s="28" t="n">
        <v>0.6899999999999999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</row>
    <row r="206" ht="36" customHeight="1">
      <c r="A206" s="24" t="inlineStr">
        <is>
          <t>8f935c82cbf44be9</t>
        </is>
      </c>
      <c r="B206" s="24" t="inlineStr">
        <is>
          <t>2026-08-05T13:54:48.712587Z</t>
        </is>
      </c>
      <c r="C206" s="24" t="inlineStr">
        <is>
          <t>2026-08-05T16:30Z</t>
        </is>
      </c>
      <c r="D206" s="24" t="inlineStr">
        <is>
          <t>421-2026:181752</t>
        </is>
      </c>
      <c r="E206" s="24" t="inlineStr">
        <is>
          <t>TENNIS</t>
        </is>
      </c>
      <c r="F206" s="24" t="inlineStr">
        <is>
          <t>Arthur Rinderknech</t>
        </is>
      </c>
      <c r="G206" s="24" t="inlineStr">
        <is>
          <t>Miomir Kecmanovic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polymarket_us</t>
        </is>
      </c>
      <c r="L206" s="26" t="n">
        <v>104</v>
      </c>
      <c r="M206" s="27" t="n">
        <v>2.04</v>
      </c>
      <c r="N206" s="28" t="n">
        <v>0.490196</v>
      </c>
      <c r="O206" s="28" t="n">
        <v>0.5960220000000001</v>
      </c>
      <c r="P206" s="28" t="n">
        <v>0.05</v>
      </c>
      <c r="Q206" s="28" t="n">
        <v>0.105826</v>
      </c>
      <c r="R206" s="26" t="n">
        <v>73</v>
      </c>
      <c r="S206" s="29" t="n">
        <v>1.25</v>
      </c>
      <c r="T206" s="24" t="inlineStr">
        <is>
          <t>tennis-surface-elo-v1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0</v>
      </c>
      <c r="Y206" s="25" t="n"/>
      <c r="Z206" s="26" t="n">
        <v>104</v>
      </c>
      <c r="AA206" s="28" t="n">
        <v>0.49</v>
      </c>
      <c r="AB206" s="28" t="n">
        <v>-0.000196</v>
      </c>
      <c r="AC206" s="30" t="n">
        <v>1.3</v>
      </c>
      <c r="AD206" s="24" t="inlineStr">
        <is>
          <t>2026-08-05T20:58:12.723358Z</t>
        </is>
      </c>
      <c r="AE206" s="31" t="inlineStr">
        <is>
          <t>Surface-blended Elo on Hard: Arthur Rinderknech p=0.596 vs Miomir Kecmanovic. Executable ask 0.4900 (aec-atp-miokec-artrin-2026-08-05).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Arthur Rinderknech</t>
        </is>
      </c>
      <c r="AQ206" s="24" t="inlineStr">
        <is>
          <t>Arthur Rinderknech</t>
        </is>
      </c>
      <c r="AR206" s="24" t="inlineStr">
        <is>
          <t>Arthur Rinderknech</t>
        </is>
      </c>
      <c r="AS206" s="24" t="inlineStr">
        <is>
          <t>Miomir Kecmanovic</t>
        </is>
      </c>
      <c r="AT206" s="24" t="inlineStr">
        <is>
          <t>Miomir Kecmanovic</t>
        </is>
      </c>
      <c r="AU206" s="24" t="inlineStr">
        <is>
          <t>Miomir Kecmanovic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2026-08-05T13:52:54.747914Z</t>
        </is>
      </c>
      <c r="BI206" s="24" t="inlineStr">
        <is>
          <t>["same_event","same_team_same_day","same_league_same_day"]</t>
        </is>
      </c>
      <c r="BJ206" s="25" t="n"/>
      <c r="BK206" s="26" t="n">
        <v>104</v>
      </c>
      <c r="BL206" s="27" t="n">
        <v>2.04</v>
      </c>
      <c r="BM206" s="28" t="n">
        <v>0.490196</v>
      </c>
      <c r="BN206" s="28" t="n"/>
      <c r="BO206" s="28" t="n"/>
      <c r="BP206" s="25" t="n"/>
      <c r="BQ206" s="27" t="n">
        <v>2.04</v>
      </c>
      <c r="BR206" s="28" t="n">
        <v>0.49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65d319e932d34bc7</t>
        </is>
      </c>
      <c r="B207" s="24" t="inlineStr">
        <is>
          <t>2026-08-05T13:54:48.712587Z</t>
        </is>
      </c>
      <c r="C207" s="24" t="inlineStr">
        <is>
          <t>2026-08-05T16:30Z</t>
        </is>
      </c>
      <c r="D207" s="24" t="inlineStr">
        <is>
          <t>421-2026:181762</t>
        </is>
      </c>
      <c r="E207" s="24" t="inlineStr">
        <is>
          <t>TENNIS</t>
        </is>
      </c>
      <c r="F207" s="24" t="inlineStr">
        <is>
          <t>Arthur Fils</t>
        </is>
      </c>
      <c r="G207" s="24" t="inlineStr">
        <is>
          <t>Zachary Svajda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-300</v>
      </c>
      <c r="M207" s="27" t="n">
        <v>1.333333</v>
      </c>
      <c r="N207" s="28" t="n">
        <v>0.75</v>
      </c>
      <c r="O207" s="28" t="n">
        <v>0.781423</v>
      </c>
      <c r="P207" s="28" t="n">
        <v>0.05</v>
      </c>
      <c r="Q207" s="28" t="n">
        <v>0.031423</v>
      </c>
      <c r="R207" s="26" t="n">
        <v>36</v>
      </c>
      <c r="S207" s="29" t="n">
        <v>2</v>
      </c>
      <c r="T207" s="24" t="inlineStr">
        <is>
          <t>tennis-surface-elo-v1</t>
        </is>
      </c>
      <c r="U207" s="24" t="inlineStr">
        <is>
          <t>settled</t>
        </is>
      </c>
      <c r="V207" s="24" t="inlineStr">
        <is>
          <t>win</t>
        </is>
      </c>
      <c r="W207" s="26" t="n">
        <v>1</v>
      </c>
      <c r="X207" s="26" t="n">
        <v>0</v>
      </c>
      <c r="Y207" s="25" t="n"/>
      <c r="Z207" s="26" t="n">
        <v>-300</v>
      </c>
      <c r="AA207" s="28" t="n">
        <v>0.75</v>
      </c>
      <c r="AB207" s="28" t="n">
        <v>0</v>
      </c>
      <c r="AC207" s="30" t="n">
        <v>0.6667</v>
      </c>
      <c r="AD207" s="24" t="inlineStr">
        <is>
          <t>2026-08-05T20:58:13.850320Z</t>
        </is>
      </c>
      <c r="AE207" s="31" t="inlineStr">
        <is>
          <t>Surface-blended Elo on Hard: Arthur Fils p=0.781 vs Zachary Svajda. Executable ask 0.7500 (aec-atp-zacsva-artfil-2026-08-06).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NO_CALL_LOW_EDGE</t>
        </is>
      </c>
      <c r="AP207" s="24" t="inlineStr">
        <is>
          <t>Arthur Fils</t>
        </is>
      </c>
      <c r="AQ207" s="24" t="inlineStr">
        <is>
          <t>Arthur Fils</t>
        </is>
      </c>
      <c r="AR207" s="24" t="inlineStr">
        <is>
          <t>Arthur Fils</t>
        </is>
      </c>
      <c r="AS207" s="24" t="inlineStr">
        <is>
          <t>Zachary Svajda</t>
        </is>
      </c>
      <c r="AT207" s="24" t="inlineStr">
        <is>
          <t>Zachary Svajda</t>
        </is>
      </c>
      <c r="AU207" s="24" t="inlineStr">
        <is>
          <t>Zachary Svajda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2026-08-05T13:52:56.392048Z</t>
        </is>
      </c>
      <c r="BI207" s="24" t="inlineStr">
        <is>
          <t>["same_event","same_team_same_day","same_league_same_day"]</t>
        </is>
      </c>
      <c r="BJ207" s="25" t="n"/>
      <c r="BK207" s="26" t="n">
        <v>-300</v>
      </c>
      <c r="BL207" s="27" t="n">
        <v>1.333333</v>
      </c>
      <c r="BM207" s="28" t="n">
        <v>0.75</v>
      </c>
      <c r="BN207" s="28" t="n"/>
      <c r="BO207" s="28" t="n"/>
      <c r="BP207" s="25" t="n"/>
      <c r="BQ207" s="27" t="n">
        <v>1.333333</v>
      </c>
      <c r="BR207" s="28" t="n">
        <v>0.75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d1a68a02d83f47ba</t>
        </is>
      </c>
      <c r="B208" s="24" t="inlineStr">
        <is>
          <t>2026-08-05T13:54:48.712587Z</t>
        </is>
      </c>
      <c r="C208" s="24" t="inlineStr">
        <is>
          <t>2026-08-05T16:30Z</t>
        </is>
      </c>
      <c r="D208" s="24" t="inlineStr">
        <is>
          <t>421-2026:181765</t>
        </is>
      </c>
      <c r="E208" s="24" t="inlineStr">
        <is>
          <t>TENNIS</t>
        </is>
      </c>
      <c r="F208" s="24" t="inlineStr">
        <is>
          <t>Ben Shelton</t>
        </is>
      </c>
      <c r="G208" s="24" t="inlineStr">
        <is>
          <t>Jenson Brooksby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-300</v>
      </c>
      <c r="M208" s="27" t="n">
        <v>1.333333</v>
      </c>
      <c r="N208" s="28" t="n">
        <v>0.75</v>
      </c>
      <c r="O208" s="28" t="n">
        <v>0.814392</v>
      </c>
      <c r="P208" s="28" t="n">
        <v>0.05</v>
      </c>
      <c r="Q208" s="28" t="n">
        <v>0.064392</v>
      </c>
      <c r="R208" s="26" t="n">
        <v>52</v>
      </c>
      <c r="S208" s="29" t="n">
        <v>2</v>
      </c>
      <c r="T208" s="24" t="inlineStr">
        <is>
          <t>tennis-surface-elo-v1</t>
        </is>
      </c>
      <c r="U208" s="24" t="inlineStr">
        <is>
          <t>settled</t>
        </is>
      </c>
      <c r="V208" s="24" t="inlineStr">
        <is>
          <t>win</t>
        </is>
      </c>
      <c r="W208" s="26" t="n">
        <v>1</v>
      </c>
      <c r="X208" s="26" t="n">
        <v>0</v>
      </c>
      <c r="Y208" s="25" t="n"/>
      <c r="Z208" s="26" t="n">
        <v>-300</v>
      </c>
      <c r="AA208" s="28" t="n">
        <v>0.75</v>
      </c>
      <c r="AB208" s="28" t="n">
        <v>0</v>
      </c>
      <c r="AC208" s="30" t="n">
        <v>0.6667</v>
      </c>
      <c r="AD208" s="24" t="inlineStr">
        <is>
          <t>2026-08-05T20:58:15.031461Z</t>
        </is>
      </c>
      <c r="AE208" s="31" t="inlineStr">
        <is>
          <t>Surface-blended Elo on Hard: Ben Shelton p=0.814 vs Jenson Brooksby. Executable ask 0.7500 (aec-atp-jenbro-benshe-2026-08-06).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Ben Shelton</t>
        </is>
      </c>
      <c r="AQ208" s="24" t="inlineStr">
        <is>
          <t>Ben Shelton</t>
        </is>
      </c>
      <c r="AR208" s="24" t="inlineStr">
        <is>
          <t>Ben Shelton</t>
        </is>
      </c>
      <c r="AS208" s="24" t="inlineStr">
        <is>
          <t>Jenson Brooksby</t>
        </is>
      </c>
      <c r="AT208" s="24" t="inlineStr">
        <is>
          <t>Jenson Brooksby</t>
        </is>
      </c>
      <c r="AU208" s="24" t="inlineStr">
        <is>
          <t>Jenson Brooksby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2026-08-05T13:52:57.128543Z</t>
        </is>
      </c>
      <c r="BI208" s="24" t="inlineStr">
        <is>
          <t>["same_event","same_team_same_day","same_league_same_day"]</t>
        </is>
      </c>
      <c r="BJ208" s="25" t="n"/>
      <c r="BK208" s="26" t="n">
        <v>-300</v>
      </c>
      <c r="BL208" s="27" t="n">
        <v>1.333333</v>
      </c>
      <c r="BM208" s="28" t="n">
        <v>0.75</v>
      </c>
      <c r="BN208" s="28" t="n"/>
      <c r="BO208" s="28" t="n"/>
      <c r="BP208" s="25" t="n"/>
      <c r="BQ208" s="27" t="n">
        <v>1.333333</v>
      </c>
      <c r="BR208" s="28" t="n">
        <v>0.75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5c84c712c851463e</t>
        </is>
      </c>
      <c r="B209" s="24" t="inlineStr">
        <is>
          <t>2026-08-05T17:03:22.897552Z</t>
        </is>
      </c>
      <c r="C209" s="24" t="inlineStr">
        <is>
          <t>2026-08-05T18:00Z</t>
        </is>
      </c>
      <c r="D209" s="24" t="inlineStr">
        <is>
          <t>421-2026:182190</t>
        </is>
      </c>
      <c r="E209" s="24" t="inlineStr">
        <is>
          <t>TENNIS</t>
        </is>
      </c>
      <c r="F209" s="24" t="inlineStr">
        <is>
          <t>Coco Gauff</t>
        </is>
      </c>
      <c r="G209" s="24" t="inlineStr">
        <is>
          <t>Kayla Day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-1011</v>
      </c>
      <c r="M209" s="27" t="n">
        <v>1.098912</v>
      </c>
      <c r="N209" s="28" t="n">
        <v>0.909991</v>
      </c>
      <c r="O209" s="28" t="n">
        <v>0.914779</v>
      </c>
      <c r="P209" s="28" t="n">
        <v>0.05</v>
      </c>
      <c r="Q209" s="28" t="n">
        <v>0.004788</v>
      </c>
      <c r="R209" s="26" t="n">
        <v>22</v>
      </c>
      <c r="S209" s="29" t="n">
        <v>0</v>
      </c>
      <c r="T209" s="24" t="inlineStr">
        <is>
          <t>tennis-surface-elo-v1</t>
        </is>
      </c>
      <c r="U209" s="24" t="inlineStr">
        <is>
          <t>settled</t>
        </is>
      </c>
      <c r="V209" s="24" t="inlineStr">
        <is>
          <t>win</t>
        </is>
      </c>
      <c r="W209" s="26" t="n">
        <v>1</v>
      </c>
      <c r="X209" s="26" t="n">
        <v>0</v>
      </c>
      <c r="Y209" s="25" t="n"/>
      <c r="Z209" s="26" t="n">
        <v>-1011</v>
      </c>
      <c r="AA209" s="28" t="n">
        <v>0.91</v>
      </c>
      <c r="AB209" s="28" t="n">
        <v>9e-06</v>
      </c>
      <c r="AC209" s="30" t="n">
        <v>0</v>
      </c>
      <c r="AD209" s="24" t="inlineStr">
        <is>
          <t>2026-08-06T00:20:31.732729Z</t>
        </is>
      </c>
      <c r="AE209" s="31" t="inlineStr">
        <is>
          <t>Surface-blended Elo on Hard: Coco Gauff p=0.915 vs Kayla Day. Executable ask 0.9100 (aec-wta-kayday-cocgau-2026-08-04).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NO_CALL_WINNER_OVERVALUED</t>
        </is>
      </c>
      <c r="AP209" s="24" t="inlineStr">
        <is>
          <t>Coco Gauff</t>
        </is>
      </c>
      <c r="AQ209" s="24" t="inlineStr">
        <is>
          <t>Coco Gauff</t>
        </is>
      </c>
      <c r="AR209" s="24" t="inlineStr">
        <is>
          <t>Coco Gauff</t>
        </is>
      </c>
      <c r="AS209" s="24" t="inlineStr">
        <is>
          <t>Kayla Day</t>
        </is>
      </c>
      <c r="AT209" s="24" t="inlineStr">
        <is>
          <t>Kayla Day</t>
        </is>
      </c>
      <c r="AU209" s="24" t="inlineStr">
        <is>
          <t>Kayla Day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2026-08-05T17:02:01.226700Z</t>
        </is>
      </c>
      <c r="BI209" s="24" t="inlineStr">
        <is>
          <t>["same_event","same_team_same_day","same_league_same_day"]</t>
        </is>
      </c>
      <c r="BJ209" s="25" t="n"/>
      <c r="BK209" s="26" t="n">
        <v>-1011</v>
      </c>
      <c r="BL209" s="27" t="n">
        <v>1.098912</v>
      </c>
      <c r="BM209" s="28" t="n">
        <v>0.909991</v>
      </c>
      <c r="BN209" s="28" t="n"/>
      <c r="BO209" s="28" t="n"/>
      <c r="BP209" s="25" t="n"/>
      <c r="BQ209" s="27" t="n">
        <v>1.098912</v>
      </c>
      <c r="BR209" s="28" t="n">
        <v>0.91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</row>
    <row r="210" ht="36" customHeight="1">
      <c r="A210" s="24" t="inlineStr">
        <is>
          <t>5c9912c759bf4acd</t>
        </is>
      </c>
      <c r="B210" s="24" t="inlineStr">
        <is>
          <t>2026-08-05T17:03:22.897552Z</t>
        </is>
      </c>
      <c r="C210" s="24" t="inlineStr">
        <is>
          <t>2026-08-05T18:00Z</t>
        </is>
      </c>
      <c r="D210" s="24" t="inlineStr">
        <is>
          <t>421-2026:182192</t>
        </is>
      </c>
      <c r="E210" s="24" t="inlineStr">
        <is>
          <t>TENNIS</t>
        </is>
      </c>
      <c r="F210" s="24" t="inlineStr">
        <is>
          <t>Karolina Pliskova</t>
        </is>
      </c>
      <c r="G210" s="24" t="inlineStr">
        <is>
          <t>Mirra Andreeva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-426</v>
      </c>
      <c r="M210" s="27" t="n">
        <v>1.234742</v>
      </c>
      <c r="N210" s="28" t="n">
        <v>0.809886</v>
      </c>
      <c r="O210" s="28" t="n">
        <v>0.753053</v>
      </c>
      <c r="P210" s="28" t="n">
        <v>0.05</v>
      </c>
      <c r="Q210" s="28" t="n">
        <v>-0.056833</v>
      </c>
      <c r="R210" s="26" t="n">
        <v>0</v>
      </c>
      <c r="S210" s="29" t="n">
        <v>0</v>
      </c>
      <c r="T210" s="24" t="inlineStr">
        <is>
          <t>tennis-surface-elo-v1</t>
        </is>
      </c>
      <c r="U210" s="24" t="inlineStr">
        <is>
          <t>settled</t>
        </is>
      </c>
      <c r="V210" s="24" t="inlineStr">
        <is>
          <t>win</t>
        </is>
      </c>
      <c r="W210" s="26" t="n">
        <v>0</v>
      </c>
      <c r="X210" s="26" t="n">
        <v>1</v>
      </c>
      <c r="Y210" s="25" t="n"/>
      <c r="Z210" s="26" t="n">
        <v>-426</v>
      </c>
      <c r="AA210" s="28" t="n">
        <v>0.8100000000000001</v>
      </c>
      <c r="AB210" s="28" t="n">
        <v>0.000114</v>
      </c>
      <c r="AC210" s="30" t="n">
        <v>0</v>
      </c>
      <c r="AD210" s="24" t="inlineStr">
        <is>
          <t>2026-08-05T20:58:17.243055Z</t>
        </is>
      </c>
      <c r="AE210" s="31" t="inlineStr">
        <is>
          <t>Surface-blended Elo on Hard: Karolina Pliskova p=0.247 vs Mirra Andreeva. Executable ask 0.8100 (aec-wta-mirand-karpli-2026-08-04).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NO_CALL_WINNER_OVERVALUED</t>
        </is>
      </c>
      <c r="AP210" s="24" t="inlineStr">
        <is>
          <t>Karolina Pliskova</t>
        </is>
      </c>
      <c r="AQ210" s="24" t="inlineStr">
        <is>
          <t>Karolina Pliskova</t>
        </is>
      </c>
      <c r="AR210" s="24" t="inlineStr">
        <is>
          <t>Karolina Pliskova</t>
        </is>
      </c>
      <c r="AS210" s="24" t="inlineStr">
        <is>
          <t>Mirra Andreeva</t>
        </is>
      </c>
      <c r="AT210" s="24" t="inlineStr">
        <is>
          <t>Mirra Andreeva</t>
        </is>
      </c>
      <c r="AU210" s="24" t="inlineStr">
        <is>
          <t>Mirra Andreeva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2026-08-05T17:02:00.605938Z</t>
        </is>
      </c>
      <c r="BI210" s="24" t="inlineStr">
        <is>
          <t>["same_event","same_team_same_day","same_league_same_day"]</t>
        </is>
      </c>
      <c r="BJ210" s="25" t="n"/>
      <c r="BK210" s="26" t="n">
        <v>-426</v>
      </c>
      <c r="BL210" s="27" t="n">
        <v>1.234742</v>
      </c>
      <c r="BM210" s="28" t="n">
        <v>0.809886</v>
      </c>
      <c r="BN210" s="28" t="n"/>
      <c r="BO210" s="28" t="n"/>
      <c r="BP210" s="25" t="n"/>
      <c r="BQ210" s="27" t="n">
        <v>1.234742</v>
      </c>
      <c r="BR210" s="28" t="n">
        <v>0.8100000000000001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f90a0045a7fa4b02</t>
        </is>
      </c>
      <c r="B211" s="24" t="inlineStr">
        <is>
          <t>2026-08-05T17:03:22.897552Z</t>
        </is>
      </c>
      <c r="C211" s="24" t="inlineStr">
        <is>
          <t>2026-08-05T18:00Z</t>
        </is>
      </c>
      <c r="D211" s="24" t="inlineStr">
        <is>
          <t>421-2026:182204</t>
        </is>
      </c>
      <c r="E211" s="24" t="inlineStr">
        <is>
          <t>TENNIS</t>
        </is>
      </c>
      <c r="F211" s="24" t="inlineStr">
        <is>
          <t>Magda Linette</t>
        </is>
      </c>
      <c r="G211" s="24" t="inlineStr">
        <is>
          <t>Iva Jovic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-376</v>
      </c>
      <c r="M211" s="27" t="n">
        <v>1.265957</v>
      </c>
      <c r="N211" s="28" t="n">
        <v>0.789916</v>
      </c>
      <c r="O211" s="28" t="n">
        <v>0.661686</v>
      </c>
      <c r="P211" s="28" t="n">
        <v>0.05</v>
      </c>
      <c r="Q211" s="28" t="n">
        <v>-0.12823</v>
      </c>
      <c r="R211" s="26" t="n">
        <v>0</v>
      </c>
      <c r="S211" s="29" t="n">
        <v>0</v>
      </c>
      <c r="T211" s="24" t="inlineStr">
        <is>
          <t>tennis-surface-elo-v1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-376</v>
      </c>
      <c r="AA211" s="28" t="n">
        <v>0.79</v>
      </c>
      <c r="AB211" s="28" t="n">
        <v>8.4e-05</v>
      </c>
      <c r="AC211" s="30" t="n">
        <v>0</v>
      </c>
      <c r="AD211" s="24" t="inlineStr">
        <is>
          <t>2026-08-05T20:58:18.431486Z</t>
        </is>
      </c>
      <c r="AE211" s="31" t="inlineStr">
        <is>
          <t>Surface-blended Elo on Hard: Magda Linette p=0.338 vs Iva Jovic. Executable ask 0.7900 (aec-wta-ivajov-maglin-2026-08-04).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NO_CALL_WINNER_OVERVALUED</t>
        </is>
      </c>
      <c r="AP211" s="24" t="inlineStr">
        <is>
          <t>Magda Linette</t>
        </is>
      </c>
      <c r="AQ211" s="24" t="inlineStr">
        <is>
          <t>Magda Linette</t>
        </is>
      </c>
      <c r="AR211" s="24" t="inlineStr">
        <is>
          <t>Magda Linette</t>
        </is>
      </c>
      <c r="AS211" s="24" t="inlineStr">
        <is>
          <t>Iva Jovic</t>
        </is>
      </c>
      <c r="AT211" s="24" t="inlineStr">
        <is>
          <t>Iva Jovic</t>
        </is>
      </c>
      <c r="AU211" s="24" t="inlineStr">
        <is>
          <t>Iva Jovic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2026-08-05T17:02:01.679276Z</t>
        </is>
      </c>
      <c r="BI211" s="24" t="inlineStr">
        <is>
          <t>["same_event","same_team_same_day","same_league_same_day"]</t>
        </is>
      </c>
      <c r="BJ211" s="25" t="n"/>
      <c r="BK211" s="26" t="n">
        <v>-376</v>
      </c>
      <c r="BL211" s="27" t="n">
        <v>1.265957</v>
      </c>
      <c r="BM211" s="28" t="n">
        <v>0.789916</v>
      </c>
      <c r="BN211" s="28" t="n"/>
      <c r="BO211" s="28" t="n"/>
      <c r="BP211" s="25" t="n"/>
      <c r="BQ211" s="27" t="n">
        <v>1.265957</v>
      </c>
      <c r="BR211" s="28" t="n">
        <v>0.79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</row>
    <row r="212" ht="36" customHeight="1">
      <c r="A212" s="24" t="inlineStr">
        <is>
          <t>89626f4145754f4f</t>
        </is>
      </c>
      <c r="B212" s="24" t="inlineStr">
        <is>
          <t>2026-08-05T17:03:22.897552Z</t>
        </is>
      </c>
      <c r="C212" s="24" t="inlineStr">
        <is>
          <t>2026-08-05T18:00Z</t>
        </is>
      </c>
      <c r="D212" s="24" t="inlineStr">
        <is>
          <t>421-2026:182208</t>
        </is>
      </c>
      <c r="E212" s="24" t="inlineStr">
        <is>
          <t>TENNIS</t>
        </is>
      </c>
      <c r="F212" s="24" t="inlineStr">
        <is>
          <t>Emma Navarro</t>
        </is>
      </c>
      <c r="G212" s="24" t="inlineStr">
        <is>
          <t>Alina Korneeva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-113</v>
      </c>
      <c r="M212" s="27" t="n">
        <v>1.884956</v>
      </c>
      <c r="N212" s="28" t="n">
        <v>0.530516</v>
      </c>
      <c r="O212" s="28" t="n">
        <v>0.646211</v>
      </c>
      <c r="P212" s="28" t="n">
        <v>0.05</v>
      </c>
      <c r="Q212" s="28" t="n">
        <v>0.115695</v>
      </c>
      <c r="R212" s="26" t="n">
        <v>78</v>
      </c>
      <c r="S212" s="29" t="n">
        <v>1.75</v>
      </c>
      <c r="T212" s="24" t="inlineStr">
        <is>
          <t>tennis-surface-elo-v1</t>
        </is>
      </c>
      <c r="U212" s="24" t="inlineStr">
        <is>
          <t>settled</t>
        </is>
      </c>
      <c r="V212" s="24" t="inlineStr">
        <is>
          <t>loss</t>
        </is>
      </c>
      <c r="W212" s="26" t="n">
        <v>0</v>
      </c>
      <c r="X212" s="26" t="n">
        <v>1</v>
      </c>
      <c r="Y212" s="25" t="n"/>
      <c r="Z212" s="26" t="n">
        <v>-113</v>
      </c>
      <c r="AA212" s="28" t="n">
        <v>0.53</v>
      </c>
      <c r="AB212" s="28" t="n">
        <v>-0.000516</v>
      </c>
      <c r="AC212" s="30" t="n">
        <v>-1.75</v>
      </c>
      <c r="AD212" s="24" t="inlineStr">
        <is>
          <t>2026-08-05T20:58:19.638573Z</t>
        </is>
      </c>
      <c r="AE212" s="31" t="inlineStr">
        <is>
          <t>Surface-blended Elo on Hard: Emma Navarro p=0.646 vs Alina Korneeva. Executable ask 0.5300 (aec-wta-alikor-emmnav-2026-08-04).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3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Emma Navarro</t>
        </is>
      </c>
      <c r="AQ212" s="24" t="inlineStr">
        <is>
          <t>Emma Navarro</t>
        </is>
      </c>
      <c r="AR212" s="24" t="inlineStr">
        <is>
          <t>Emma Navarro</t>
        </is>
      </c>
      <c r="AS212" s="24" t="inlineStr">
        <is>
          <t>Alina Korneeva</t>
        </is>
      </c>
      <c r="AT212" s="24" t="inlineStr">
        <is>
          <t>Alina Korneeva</t>
        </is>
      </c>
      <c r="AU212" s="24" t="inlineStr">
        <is>
          <t>Alina Korneeva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2026-08-05T17:01:59.688625Z</t>
        </is>
      </c>
      <c r="BI212" s="24" t="inlineStr">
        <is>
          <t>["same_event","same_team_same_day","same_league_same_day"]</t>
        </is>
      </c>
      <c r="BJ212" s="25" t="n"/>
      <c r="BK212" s="26" t="n">
        <v>-113</v>
      </c>
      <c r="BL212" s="27" t="n">
        <v>1.884956</v>
      </c>
      <c r="BM212" s="28" t="n">
        <v>0.530516</v>
      </c>
      <c r="BN212" s="28" t="n"/>
      <c r="BO212" s="28" t="n"/>
      <c r="BP212" s="25" t="n"/>
      <c r="BQ212" s="27" t="n">
        <v>1.884956</v>
      </c>
      <c r="BR212" s="28" t="n">
        <v>0.53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eb19a3d135374f11</t>
        </is>
      </c>
      <c r="B213" s="24" t="inlineStr">
        <is>
          <t>2026-08-05T17:03:22.897552Z</t>
        </is>
      </c>
      <c r="C213" s="24" t="inlineStr">
        <is>
          <t>2026-08-05T19:30Z</t>
        </is>
      </c>
      <c r="D213" s="24" t="inlineStr">
        <is>
          <t>421-2026:182178</t>
        </is>
      </c>
      <c r="E213" s="24" t="inlineStr">
        <is>
          <t>TENNIS</t>
        </is>
      </c>
      <c r="F213" s="24" t="inlineStr">
        <is>
          <t>Anna Bondar</t>
        </is>
      </c>
      <c r="G213" s="24" t="inlineStr">
        <is>
          <t>Elise Mertens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polymarket_us</t>
        </is>
      </c>
      <c r="L213" s="26" t="n">
        <v>-270</v>
      </c>
      <c r="M213" s="27" t="n">
        <v>1.37037</v>
      </c>
      <c r="N213" s="28" t="n">
        <v>0.72973</v>
      </c>
      <c r="O213" s="28" t="n">
        <v>0.61543</v>
      </c>
      <c r="P213" s="28" t="n">
        <v>0.05</v>
      </c>
      <c r="Q213" s="28" t="n">
        <v>-0.1143</v>
      </c>
      <c r="R213" s="26" t="n">
        <v>0</v>
      </c>
      <c r="S213" s="29" t="n">
        <v>0</v>
      </c>
      <c r="T213" s="24" t="inlineStr">
        <is>
          <t>tennis-surface-elo-v1</t>
        </is>
      </c>
      <c r="U213" s="24" t="inlineStr">
        <is>
          <t>settled</t>
        </is>
      </c>
      <c r="V213" s="24" t="inlineStr">
        <is>
          <t>win</t>
        </is>
      </c>
      <c r="W213" s="26" t="n">
        <v>0</v>
      </c>
      <c r="X213" s="26" t="n">
        <v>1</v>
      </c>
      <c r="Y213" s="25" t="n"/>
      <c r="Z213" s="26" t="n">
        <v>-270</v>
      </c>
      <c r="AA213" s="28" t="n">
        <v>0.73</v>
      </c>
      <c r="AB213" s="28" t="n">
        <v>0.00027</v>
      </c>
      <c r="AC213" s="30" t="n">
        <v>0</v>
      </c>
      <c r="AD213" s="24" t="inlineStr">
        <is>
          <t>2026-08-06T00:20:32.940906Z</t>
        </is>
      </c>
      <c r="AE213" s="31" t="inlineStr">
        <is>
          <t>Surface-blended Elo on Hard: Anna Bondar p=0.385 vs Elise Mertens. Executable ask 0.7300 (aec-wta-elimer-annbon-2026-08-04).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NO_CALL_WINNER_OVERVALUED</t>
        </is>
      </c>
      <c r="AP213" s="24" t="inlineStr">
        <is>
          <t>Anna Bondar</t>
        </is>
      </c>
      <c r="AQ213" s="24" t="inlineStr">
        <is>
          <t>Anna Bondar</t>
        </is>
      </c>
      <c r="AR213" s="24" t="inlineStr">
        <is>
          <t>Anna Bondar</t>
        </is>
      </c>
      <c r="AS213" s="24" t="inlineStr">
        <is>
          <t>Elise Mertens</t>
        </is>
      </c>
      <c r="AT213" s="24" t="inlineStr">
        <is>
          <t>Elise Mertens</t>
        </is>
      </c>
      <c r="AU213" s="24" t="inlineStr">
        <is>
          <t>Elise Mertens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2026-08-05T17:02:02.673243Z</t>
        </is>
      </c>
      <c r="BI213" s="24" t="inlineStr">
        <is>
          <t>["same_event","same_team_same_day","same_league_same_day"]</t>
        </is>
      </c>
      <c r="BJ213" s="25" t="n"/>
      <c r="BK213" s="26" t="n">
        <v>-270</v>
      </c>
      <c r="BL213" s="27" t="n">
        <v>1.37037</v>
      </c>
      <c r="BM213" s="28" t="n">
        <v>0.72973</v>
      </c>
      <c r="BN213" s="28" t="n"/>
      <c r="BO213" s="28" t="n"/>
      <c r="BP213" s="25" t="n"/>
      <c r="BQ213" s="27" t="n">
        <v>1.37037</v>
      </c>
      <c r="BR213" s="28" t="n">
        <v>0.73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2c6c243fd0cf4dbb</t>
        </is>
      </c>
      <c r="B214" s="24" t="inlineStr">
        <is>
          <t>2026-08-05T17:03:22.897552Z</t>
        </is>
      </c>
      <c r="C214" s="24" t="inlineStr">
        <is>
          <t>2026-08-05T19:30Z</t>
        </is>
      </c>
      <c r="D214" s="24" t="inlineStr">
        <is>
          <t>421-2026:182191</t>
        </is>
      </c>
      <c r="E214" s="24" t="inlineStr">
        <is>
          <t>TENNIS</t>
        </is>
      </c>
      <c r="F214" s="24" t="inlineStr">
        <is>
          <t>Zeynep Sonmez</t>
        </is>
      </c>
      <c r="G214" s="24" t="inlineStr">
        <is>
          <t>Maria Sakkari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156</v>
      </c>
      <c r="M214" s="27" t="n">
        <v>2.56</v>
      </c>
      <c r="N214" s="28" t="n">
        <v>0.390625</v>
      </c>
      <c r="O214" s="28" t="n">
        <v>0.529381</v>
      </c>
      <c r="P214" s="28" t="n">
        <v>0.05</v>
      </c>
      <c r="Q214" s="28" t="n">
        <v>0.138756</v>
      </c>
      <c r="R214" s="26" t="n">
        <v>89</v>
      </c>
      <c r="S214" s="29" t="n">
        <v>1</v>
      </c>
      <c r="T214" s="24" t="inlineStr">
        <is>
          <t>tennis-surface-elo-v1</t>
        </is>
      </c>
      <c r="U214" s="24" t="inlineStr">
        <is>
          <t>settled</t>
        </is>
      </c>
      <c r="V214" s="24" t="inlineStr">
        <is>
          <t>loss</t>
        </is>
      </c>
      <c r="W214" s="26" t="n">
        <v>0</v>
      </c>
      <c r="X214" s="26" t="n">
        <v>1</v>
      </c>
      <c r="Y214" s="25" t="n"/>
      <c r="Z214" s="26" t="n">
        <v>156</v>
      </c>
      <c r="AA214" s="28" t="n">
        <v>0.39</v>
      </c>
      <c r="AB214" s="28" t="n">
        <v>-0.000625</v>
      </c>
      <c r="AC214" s="30" t="n">
        <v>-1</v>
      </c>
      <c r="AD214" s="24" t="inlineStr">
        <is>
          <t>2026-08-06T00:20:34.119638Z</t>
        </is>
      </c>
      <c r="AE214" s="31" t="inlineStr">
        <is>
          <t>Surface-blended Elo on Hard: Zeynep Sonmez p=0.529 vs Maria Sakkari. Executable ask 0.3900 (aec-wta-marsak-zeyson-2026-08-06).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NO_CALL_LOW_EDGE</t>
        </is>
      </c>
      <c r="AP214" s="24" t="inlineStr">
        <is>
          <t>Zeynep Sonmez</t>
        </is>
      </c>
      <c r="AQ214" s="24" t="inlineStr">
        <is>
          <t>Zeynep Sonmez</t>
        </is>
      </c>
      <c r="AR214" s="24" t="inlineStr">
        <is>
          <t>Zeynep Sonmez</t>
        </is>
      </c>
      <c r="AS214" s="24" t="inlineStr">
        <is>
          <t>Maria Sakkari</t>
        </is>
      </c>
      <c r="AT214" s="24" t="inlineStr">
        <is>
          <t>Maria Sakkari</t>
        </is>
      </c>
      <c r="AU214" s="24" t="inlineStr">
        <is>
          <t>Maria Sakkari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2026-08-05T17:02:02.173972Z</t>
        </is>
      </c>
      <c r="BI214" s="24" t="inlineStr">
        <is>
          <t>["same_event","same_team_same_day","same_league_same_day"]</t>
        </is>
      </c>
      <c r="BJ214" s="25" t="n"/>
      <c r="BK214" s="26" t="n">
        <v>156</v>
      </c>
      <c r="BL214" s="27" t="n">
        <v>2.56</v>
      </c>
      <c r="BM214" s="28" t="n">
        <v>0.390625</v>
      </c>
      <c r="BN214" s="28" t="n"/>
      <c r="BO214" s="28" t="n"/>
      <c r="BP214" s="25" t="n"/>
      <c r="BQ214" s="27" t="n">
        <v>2.56</v>
      </c>
      <c r="BR214" s="28" t="n">
        <v>0.39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a156a39dfc43411d</t>
        </is>
      </c>
      <c r="B215" s="24" t="inlineStr">
        <is>
          <t>2026-08-05T17:03:22.897552Z</t>
        </is>
      </c>
      <c r="C215" s="24" t="inlineStr">
        <is>
          <t>2026-08-05T21:00Z</t>
        </is>
      </c>
      <c r="D215" s="24" t="inlineStr">
        <is>
          <t>421-2026:182176</t>
        </is>
      </c>
      <c r="E215" s="24" t="inlineStr">
        <is>
          <t>TENNIS</t>
        </is>
      </c>
      <c r="F215" s="24" t="inlineStr">
        <is>
          <t>Naomi Osaka</t>
        </is>
      </c>
      <c r="G215" s="24" t="inlineStr">
        <is>
          <t>Panna Udvardy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-1150</v>
      </c>
      <c r="M215" s="27" t="n">
        <v>1.086957</v>
      </c>
      <c r="N215" s="28" t="n">
        <v>0.92</v>
      </c>
      <c r="O215" s="28" t="n">
        <v>0.728504</v>
      </c>
      <c r="P215" s="28" t="n">
        <v>0.05</v>
      </c>
      <c r="Q215" s="28" t="n">
        <v>-0.191496</v>
      </c>
      <c r="R215" s="26" t="n">
        <v>0</v>
      </c>
      <c r="S215" s="29" t="n">
        <v>0</v>
      </c>
      <c r="T215" s="24" t="inlineStr">
        <is>
          <t>tennis-surface-elo-v1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-1150</v>
      </c>
      <c r="AA215" s="28" t="n">
        <v>0.92</v>
      </c>
      <c r="AB215" s="28" t="n">
        <v>0</v>
      </c>
      <c r="AC215" s="30" t="n">
        <v>0</v>
      </c>
      <c r="AD215" s="24" t="inlineStr">
        <is>
          <t>2026-08-06T00:20:35.293382Z</t>
        </is>
      </c>
      <c r="AE215" s="31" t="inlineStr">
        <is>
          <t>Surface-blended Elo on Hard: Naomi Osaka p=0.729 vs Panna Udvardy. Executable ask 0.9200 (aec-wta-panudv-naoosa-2026-08-06).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NO_CALL_WINNER_OVERVALUED</t>
        </is>
      </c>
      <c r="AP215" s="24" t="inlineStr">
        <is>
          <t>Naomi Osaka</t>
        </is>
      </c>
      <c r="AQ215" s="24" t="inlineStr">
        <is>
          <t>Naomi Osaka</t>
        </is>
      </c>
      <c r="AR215" s="24" t="inlineStr">
        <is>
          <t>Naomi Osaka</t>
        </is>
      </c>
      <c r="AS215" s="24" t="inlineStr">
        <is>
          <t>Panna Udvardy</t>
        </is>
      </c>
      <c r="AT215" s="24" t="inlineStr">
        <is>
          <t>Panna Udvardy</t>
        </is>
      </c>
      <c r="AU215" s="24" t="inlineStr">
        <is>
          <t>Panna Udvardy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2026-08-05T17:02:05.036007Z</t>
        </is>
      </c>
      <c r="BI215" s="24" t="inlineStr">
        <is>
          <t>["same_event","same_team_same_day","same_league_same_day"]</t>
        </is>
      </c>
      <c r="BJ215" s="25" t="n"/>
      <c r="BK215" s="26" t="n">
        <v>-1150</v>
      </c>
      <c r="BL215" s="27" t="n">
        <v>1.086957</v>
      </c>
      <c r="BM215" s="28" t="n">
        <v>0.92</v>
      </c>
      <c r="BN215" s="28" t="n"/>
      <c r="BO215" s="28" t="n"/>
      <c r="BP215" s="25" t="n"/>
      <c r="BQ215" s="27" t="n">
        <v>1.086957</v>
      </c>
      <c r="BR215" s="28" t="n">
        <v>0.92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</row>
    <row r="216" ht="36" customHeight="1">
      <c r="A216" s="24" t="inlineStr">
        <is>
          <t>f67df7871cb8414f</t>
        </is>
      </c>
      <c r="B216" s="24" t="inlineStr">
        <is>
          <t>2026-08-05T17:03:22.897552Z</t>
        </is>
      </c>
      <c r="C216" s="24" t="inlineStr">
        <is>
          <t>2026-08-05T21:00Z</t>
        </is>
      </c>
      <c r="D216" s="24" t="inlineStr">
        <is>
          <t>421-2026:182179</t>
        </is>
      </c>
      <c r="E216" s="24" t="inlineStr">
        <is>
          <t>TENNIS</t>
        </is>
      </c>
      <c r="F216" s="24" t="inlineStr">
        <is>
          <t>Maya Joint</t>
        </is>
      </c>
      <c r="G216" s="24" t="inlineStr">
        <is>
          <t>Sorana Cirstea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-270</v>
      </c>
      <c r="M216" s="27" t="n">
        <v>1.37037</v>
      </c>
      <c r="N216" s="28" t="n">
        <v>0.72973</v>
      </c>
      <c r="O216" s="28" t="n">
        <v>0.797746</v>
      </c>
      <c r="P216" s="28" t="n">
        <v>0.05</v>
      </c>
      <c r="Q216" s="28" t="n">
        <v>0.06801599999999999</v>
      </c>
      <c r="R216" s="26" t="n">
        <v>54</v>
      </c>
      <c r="S216" s="29" t="n">
        <v>0</v>
      </c>
      <c r="T216" s="24" t="inlineStr">
        <is>
          <t>tennis-surface-elo-v1</t>
        </is>
      </c>
      <c r="U216" s="24" t="inlineStr">
        <is>
          <t>settled</t>
        </is>
      </c>
      <c r="V216" s="24" t="inlineStr">
        <is>
          <t>loss</t>
        </is>
      </c>
      <c r="W216" s="26" t="n">
        <v>1</v>
      </c>
      <c r="X216" s="26" t="n">
        <v>0</v>
      </c>
      <c r="Y216" s="25" t="n"/>
      <c r="Z216" s="26" t="n">
        <v>-270</v>
      </c>
      <c r="AA216" s="28" t="n">
        <v>0.73</v>
      </c>
      <c r="AB216" s="28" t="n">
        <v>0.00027</v>
      </c>
      <c r="AC216" s="30" t="n">
        <v>0</v>
      </c>
      <c r="AD216" s="24" t="inlineStr">
        <is>
          <t>2026-08-06T03:25:29.468196Z</t>
        </is>
      </c>
      <c r="AE216" s="31" t="inlineStr">
        <is>
          <t>Surface-blended Elo on Hard: Maya Joint p=0.202 vs Sorana Cirstea. Executable ask 0.7300 (aec-wta-sorcir-mayjoi-2026-08-04).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NO_CALL_WINNER_OVERVALUED</t>
        </is>
      </c>
      <c r="AP216" s="24" t="inlineStr">
        <is>
          <t>Maya Joint</t>
        </is>
      </c>
      <c r="AQ216" s="24" t="inlineStr">
        <is>
          <t>Maya Joint</t>
        </is>
      </c>
      <c r="AR216" s="24" t="inlineStr">
        <is>
          <t>Maya Joint</t>
        </is>
      </c>
      <c r="AS216" s="24" t="inlineStr">
        <is>
          <t>Sorana Cirstea</t>
        </is>
      </c>
      <c r="AT216" s="24" t="inlineStr">
        <is>
          <t>Sorana Cirstea</t>
        </is>
      </c>
      <c r="AU216" s="24" t="inlineStr">
        <is>
          <t>Sorana Cirstea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2026-08-05T17:02:03.456518Z</t>
        </is>
      </c>
      <c r="BI216" s="24" t="inlineStr">
        <is>
          <t>["same_event","same_team_same_day","same_league_same_day"]</t>
        </is>
      </c>
      <c r="BJ216" s="25" t="n"/>
      <c r="BK216" s="26" t="n">
        <v>-270</v>
      </c>
      <c r="BL216" s="27" t="n">
        <v>1.37037</v>
      </c>
      <c r="BM216" s="28" t="n">
        <v>0.72973</v>
      </c>
      <c r="BN216" s="28" t="n"/>
      <c r="BO216" s="28" t="n"/>
      <c r="BP216" s="25" t="n"/>
      <c r="BQ216" s="27" t="n">
        <v>1.37037</v>
      </c>
      <c r="BR216" s="28" t="n">
        <v>0.73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631adf3b5f484806</t>
        </is>
      </c>
      <c r="B217" s="24" t="inlineStr">
        <is>
          <t>2026-08-05T17:03:22.897552Z</t>
        </is>
      </c>
      <c r="C217" s="24" t="inlineStr">
        <is>
          <t>2026-08-05T21:00Z</t>
        </is>
      </c>
      <c r="D217" s="24" t="inlineStr">
        <is>
          <t>421-2026:182214</t>
        </is>
      </c>
      <c r="E217" s="24" t="inlineStr">
        <is>
          <t>TENNIS</t>
        </is>
      </c>
      <c r="F217" s="24" t="inlineStr">
        <is>
          <t>Barbora Krejcikova</t>
        </is>
      </c>
      <c r="G217" s="24" t="inlineStr">
        <is>
          <t>Liudmila Samsonova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-144</v>
      </c>
      <c r="M217" s="27" t="n">
        <v>1.694444</v>
      </c>
      <c r="N217" s="28" t="n">
        <v>0.590164</v>
      </c>
      <c r="O217" s="28" t="n">
        <v>0.733479</v>
      </c>
      <c r="P217" s="28" t="n">
        <v>0.05</v>
      </c>
      <c r="Q217" s="28" t="n">
        <v>0.143315</v>
      </c>
      <c r="R217" s="26" t="n">
        <v>92</v>
      </c>
      <c r="S217" s="29" t="n">
        <v>2</v>
      </c>
      <c r="T217" s="24" t="inlineStr">
        <is>
          <t>tennis-surface-elo-v1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1</v>
      </c>
      <c r="Y217" s="25" t="n"/>
      <c r="Z217" s="26" t="n">
        <v>-144</v>
      </c>
      <c r="AA217" s="28" t="n">
        <v>0.59</v>
      </c>
      <c r="AB217" s="28" t="n">
        <v>-0.000164</v>
      </c>
      <c r="AC217" s="30" t="n">
        <v>-2</v>
      </c>
      <c r="AD217" s="24" t="inlineStr">
        <is>
          <t>2026-08-06T00:20:36.468350Z</t>
        </is>
      </c>
      <c r="AE217" s="31" t="inlineStr">
        <is>
          <t>Surface-blended Elo on Hard: Barbora Krejcikova p=0.733 vs Liudmila Samsonova. Executable ask 0.5900 (aec-wta-liusam-barkre-2026-08-06).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3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Barbora Krejcikova</t>
        </is>
      </c>
      <c r="AQ217" s="24" t="inlineStr">
        <is>
          <t>Barbora Krejcikova</t>
        </is>
      </c>
      <c r="AR217" s="24" t="inlineStr">
        <is>
          <t>Barbora Krejcikova</t>
        </is>
      </c>
      <c r="AS217" s="24" t="inlineStr">
        <is>
          <t>Liudmila Samsonova</t>
        </is>
      </c>
      <c r="AT217" s="24" t="inlineStr">
        <is>
          <t>Liudmila Samsonova</t>
        </is>
      </c>
      <c r="AU217" s="24" t="inlineStr">
        <is>
          <t>Liudmila Samsonova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2026-08-05T17:02:04.621209Z</t>
        </is>
      </c>
      <c r="BI217" s="24" t="inlineStr">
        <is>
          <t>["same_event","same_team_same_day","same_league_same_day"]</t>
        </is>
      </c>
      <c r="BJ217" s="25" t="n"/>
      <c r="BK217" s="26" t="n">
        <v>-144</v>
      </c>
      <c r="BL217" s="27" t="n">
        <v>1.694444</v>
      </c>
      <c r="BM217" s="28" t="n">
        <v>0.590164</v>
      </c>
      <c r="BN217" s="28" t="n"/>
      <c r="BO217" s="28" t="n"/>
      <c r="BP217" s="25" t="n"/>
      <c r="BQ217" s="27" t="n">
        <v>1.694444</v>
      </c>
      <c r="BR217" s="28" t="n">
        <v>0.59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e958adc6a61346a3</t>
        </is>
      </c>
      <c r="B218" s="24" t="inlineStr">
        <is>
          <t>2026-08-05T17:03:22.897552Z</t>
        </is>
      </c>
      <c r="C218" s="24" t="inlineStr">
        <is>
          <t>2026-08-05T18:00Z</t>
        </is>
      </c>
      <c r="D218" s="24" t="inlineStr">
        <is>
          <t>421-2026:181729</t>
        </is>
      </c>
      <c r="E218" s="24" t="inlineStr">
        <is>
          <t>TENNIS</t>
        </is>
      </c>
      <c r="F218" s="24" t="inlineStr">
        <is>
          <t>Alexei Popyrin</t>
        </is>
      </c>
      <c r="G218" s="24" t="inlineStr">
        <is>
          <t>Raphael Collignon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-156</v>
      </c>
      <c r="M218" s="27" t="n">
        <v>1.641026</v>
      </c>
      <c r="N218" s="28" t="n">
        <v>0.609375</v>
      </c>
      <c r="O218" s="28" t="n">
        <v>0.57423</v>
      </c>
      <c r="P218" s="28" t="n">
        <v>0.05</v>
      </c>
      <c r="Q218" s="28" t="n">
        <v>-0.035145</v>
      </c>
      <c r="R218" s="26" t="n">
        <v>2</v>
      </c>
      <c r="S218" s="29" t="n">
        <v>0</v>
      </c>
      <c r="T218" s="24" t="inlineStr">
        <is>
          <t>tennis-surface-elo-v1</t>
        </is>
      </c>
      <c r="U218" s="24" t="inlineStr">
        <is>
          <t>settled</t>
        </is>
      </c>
      <c r="V218" s="24" t="inlineStr">
        <is>
          <t>loss</t>
        </is>
      </c>
      <c r="W218" s="26" t="n">
        <v>1</v>
      </c>
      <c r="X218" s="26" t="n">
        <v>0</v>
      </c>
      <c r="Y218" s="25" t="n"/>
      <c r="Z218" s="26" t="n">
        <v>-156</v>
      </c>
      <c r="AA218" s="28" t="n">
        <v>0.61</v>
      </c>
      <c r="AB218" s="28" t="n">
        <v>0.000625</v>
      </c>
      <c r="AC218" s="30" t="n">
        <v>0</v>
      </c>
      <c r="AD218" s="24" t="inlineStr">
        <is>
          <t>2026-08-06T00:20:37.606905Z</t>
        </is>
      </c>
      <c r="AE218" s="31" t="inlineStr">
        <is>
          <t>Surface-blended Elo on Hard: Alexei Popyrin p=0.426 vs Raphael Collignon. Executable ask 0.6100 (aec-atp-rapcol-alepop-2026-08-05).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NO_CALL_WINNER_OVERVALUED</t>
        </is>
      </c>
      <c r="AP218" s="24" t="inlineStr">
        <is>
          <t>Alexei Popyrin</t>
        </is>
      </c>
      <c r="AQ218" s="24" t="inlineStr">
        <is>
          <t>Alexei Popyrin</t>
        </is>
      </c>
      <c r="AR218" s="24" t="inlineStr">
        <is>
          <t>Alexei Popyrin</t>
        </is>
      </c>
      <c r="AS218" s="24" t="inlineStr">
        <is>
          <t>Raphael Collignon</t>
        </is>
      </c>
      <c r="AT218" s="24" t="inlineStr">
        <is>
          <t>Raphael Collignon</t>
        </is>
      </c>
      <c r="AU218" s="24" t="inlineStr">
        <is>
          <t>Raphael Collignon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2026-08-05T17:02:13.525353Z</t>
        </is>
      </c>
      <c r="BI218" s="24" t="inlineStr">
        <is>
          <t>["same_event","same_team_same_day","same_league_same_day"]</t>
        </is>
      </c>
      <c r="BJ218" s="25" t="n"/>
      <c r="BK218" s="26" t="n">
        <v>-156</v>
      </c>
      <c r="BL218" s="27" t="n">
        <v>1.641026</v>
      </c>
      <c r="BM218" s="28" t="n">
        <v>0.609375</v>
      </c>
      <c r="BN218" s="28" t="n"/>
      <c r="BO218" s="28" t="n"/>
      <c r="BP218" s="25" t="n"/>
      <c r="BQ218" s="27" t="n">
        <v>1.641026</v>
      </c>
      <c r="BR218" s="28" t="n">
        <v>0.61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b7c8aa4268c84246</t>
        </is>
      </c>
      <c r="B219" s="24" t="inlineStr">
        <is>
          <t>2026-08-05T17:03:22.897552Z</t>
        </is>
      </c>
      <c r="C219" s="24" t="inlineStr">
        <is>
          <t>2026-08-05T18:00Z</t>
        </is>
      </c>
      <c r="D219" s="24" t="inlineStr">
        <is>
          <t>421-2026:181743</t>
        </is>
      </c>
      <c r="E219" s="24" t="inlineStr">
        <is>
          <t>TENNIS</t>
        </is>
      </c>
      <c r="F219" s="24" t="inlineStr">
        <is>
          <t>Alejandro Tabilo</t>
        </is>
      </c>
      <c r="G219" s="24" t="inlineStr">
        <is>
          <t>Hubert Hurkacz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138</v>
      </c>
      <c r="M219" s="27" t="n">
        <v>2.38</v>
      </c>
      <c r="N219" s="28" t="n">
        <v>0.420168</v>
      </c>
      <c r="O219" s="28" t="n">
        <v>0.584869</v>
      </c>
      <c r="P219" s="28" t="n">
        <v>0.05</v>
      </c>
      <c r="Q219" s="28" t="n">
        <v>0.164701</v>
      </c>
      <c r="R219" s="26" t="n">
        <v>100</v>
      </c>
      <c r="S219" s="29" t="n">
        <v>1.25</v>
      </c>
      <c r="T219" s="24" t="inlineStr">
        <is>
          <t>tennis-surface-elo-v1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138</v>
      </c>
      <c r="AA219" s="28" t="n">
        <v>0.42</v>
      </c>
      <c r="AB219" s="28" t="n">
        <v>-0.000168</v>
      </c>
      <c r="AC219" s="30" t="n">
        <v>-1.25</v>
      </c>
      <c r="AD219" s="24" t="inlineStr">
        <is>
          <t>2026-08-05T20:58:20.783418Z</t>
        </is>
      </c>
      <c r="AE219" s="31" t="inlineStr">
        <is>
          <t>Surface-blended Elo on Hard: Alejandro Tabilo p=0.585 vs Hubert Hurkacz. Executable ask 0.4200 (aec-atp-hubhur-aletab-2026-08-06).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Alejandro Tabilo</t>
        </is>
      </c>
      <c r="AQ219" s="24" t="inlineStr">
        <is>
          <t>Alejandro Tabilo</t>
        </is>
      </c>
      <c r="AR219" s="24" t="inlineStr">
        <is>
          <t>Alejandro Tabilo</t>
        </is>
      </c>
      <c r="AS219" s="24" t="inlineStr">
        <is>
          <t>Hubert Hurkacz</t>
        </is>
      </c>
      <c r="AT219" s="24" t="inlineStr">
        <is>
          <t>Hubert Hurkacz</t>
        </is>
      </c>
      <c r="AU219" s="24" t="inlineStr">
        <is>
          <t>Hubert Hurkacz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2026-08-05T17:02:15.869129Z</t>
        </is>
      </c>
      <c r="BI219" s="24" t="inlineStr">
        <is>
          <t>["same_event","same_team_same_day","same_league_same_day"]</t>
        </is>
      </c>
      <c r="BJ219" s="25" t="n"/>
      <c r="BK219" s="26" t="n">
        <v>138</v>
      </c>
      <c r="BL219" s="27" t="n">
        <v>2.38</v>
      </c>
      <c r="BM219" s="28" t="n">
        <v>0.420168</v>
      </c>
      <c r="BN219" s="28" t="n"/>
      <c r="BO219" s="28" t="n"/>
      <c r="BP219" s="25" t="n"/>
      <c r="BQ219" s="27" t="n">
        <v>2.38</v>
      </c>
      <c r="BR219" s="28" t="n">
        <v>0.42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10b586b4f7604def</t>
        </is>
      </c>
      <c r="B220" s="24" t="inlineStr">
        <is>
          <t>2026-08-05T17:03:22.897552Z</t>
        </is>
      </c>
      <c r="C220" s="24" t="inlineStr">
        <is>
          <t>2026-08-05T18:20Z</t>
        </is>
      </c>
      <c r="D220" s="24" t="inlineStr">
        <is>
          <t>421-2026:181735</t>
        </is>
      </c>
      <c r="E220" s="24" t="inlineStr">
        <is>
          <t>TENNIS</t>
        </is>
      </c>
      <c r="F220" s="24" t="inlineStr">
        <is>
          <t>Taylor Fritz</t>
        </is>
      </c>
      <c r="G220" s="24" t="inlineStr">
        <is>
          <t>Thiago Agustin Tirante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0.744005</v>
      </c>
      <c r="P220" s="28" t="n">
        <v>0.05</v>
      </c>
      <c r="Q220" s="28" t="n">
        <v>-0.095995</v>
      </c>
      <c r="R220" s="26" t="n">
        <v>0</v>
      </c>
      <c r="S220" s="29" t="n">
        <v>0</v>
      </c>
      <c r="T220" s="24" t="inlineStr">
        <is>
          <t>tennis-surface-elo-v1</t>
        </is>
      </c>
      <c r="U220" s="24" t="inlineStr">
        <is>
          <t>settled</t>
        </is>
      </c>
      <c r="V220" s="24" t="inlineStr">
        <is>
          <t>loss</t>
        </is>
      </c>
      <c r="W220" s="26" t="n">
        <v>0</v>
      </c>
      <c r="X220" s="26" t="n">
        <v>1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0</v>
      </c>
      <c r="AD220" s="24" t="inlineStr">
        <is>
          <t>2026-08-05T20:58:21.965953Z</t>
        </is>
      </c>
      <c r="AE220" s="31" t="inlineStr">
        <is>
          <t>Surface-blended Elo on Hard: Taylor Fritz p=0.744 vs Thiago Agustin Tirante. Executable ask 0.8400 (aec-atp-thitir-tayfri-2026-08-05).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NO_CALL_WINNER_OVERVALUED</t>
        </is>
      </c>
      <c r="AP220" s="24" t="inlineStr">
        <is>
          <t>Taylor Fritz</t>
        </is>
      </c>
      <c r="AQ220" s="24" t="inlineStr">
        <is>
          <t>Taylor Fritz</t>
        </is>
      </c>
      <c r="AR220" s="24" t="inlineStr">
        <is>
          <t>Taylor Fritz</t>
        </is>
      </c>
      <c r="AS220" s="24" t="inlineStr">
        <is>
          <t>Thiago Agustin Tirante</t>
        </is>
      </c>
      <c r="AT220" s="24" t="inlineStr">
        <is>
          <t>Thiago Agustin Tirante</t>
        </is>
      </c>
      <c r="AU220" s="24" t="inlineStr">
        <is>
          <t>Thiago Agustin Tirante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2026-08-05T17:02:15.611692Z</t>
        </is>
      </c>
      <c r="BI220" s="24" t="inlineStr">
        <is>
          <t>["same_event","same_team_same_day","same_league_same_day"]</t>
        </is>
      </c>
      <c r="BJ220" s="25" t="n"/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a5177a98bbdc4a4e</t>
        </is>
      </c>
      <c r="B221" s="24" t="inlineStr">
        <is>
          <t>2026-08-05T17:03:22.897552Z</t>
        </is>
      </c>
      <c r="C221" s="24" t="inlineStr">
        <is>
          <t>2026-08-05T18:20Z</t>
        </is>
      </c>
      <c r="D221" s="24" t="inlineStr">
        <is>
          <t>421-2026:181749</t>
        </is>
      </c>
      <c r="E221" s="24" t="inlineStr">
        <is>
          <t>TENNIS</t>
        </is>
      </c>
      <c r="F221" s="24" t="inlineStr">
        <is>
          <t>Corentin Moutet</t>
        </is>
      </c>
      <c r="G221" s="24" t="inlineStr">
        <is>
          <t>Rafael Jodar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-285</v>
      </c>
      <c r="M221" s="27" t="n">
        <v>1.350877</v>
      </c>
      <c r="N221" s="28" t="n">
        <v>0.74026</v>
      </c>
      <c r="O221" s="28" t="n">
        <v>0.707792</v>
      </c>
      <c r="P221" s="28" t="n">
        <v>0.05</v>
      </c>
      <c r="Q221" s="28" t="n">
        <v>-0.032468</v>
      </c>
      <c r="R221" s="26" t="n">
        <v>4</v>
      </c>
      <c r="S221" s="29" t="n">
        <v>0</v>
      </c>
      <c r="T221" s="24" t="inlineStr">
        <is>
          <t>tennis-surface-elo-v1</t>
        </is>
      </c>
      <c r="U221" s="24" t="inlineStr">
        <is>
          <t>settled</t>
        </is>
      </c>
      <c r="V221" s="24" t="inlineStr">
        <is>
          <t>win</t>
        </is>
      </c>
      <c r="W221" s="26" t="n">
        <v>0</v>
      </c>
      <c r="X221" s="26" t="n">
        <v>1</v>
      </c>
      <c r="Y221" s="25" t="n"/>
      <c r="Z221" s="26" t="n">
        <v>-285</v>
      </c>
      <c r="AA221" s="28" t="n">
        <v>0.74</v>
      </c>
      <c r="AB221" s="28" t="n">
        <v>-0.00026</v>
      </c>
      <c r="AC221" s="30" t="n">
        <v>0</v>
      </c>
      <c r="AD221" s="24" t="inlineStr">
        <is>
          <t>2026-08-06T00:20:38.789745Z</t>
        </is>
      </c>
      <c r="AE221" s="31" t="inlineStr">
        <is>
          <t>Surface-blended Elo on Hard: Corentin Moutet p=0.292 vs Rafael Jodar. Executable ask 0.7400 (aec-atp-rafjod-cormou-2026-08-06).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NO_CALL_WINNER_OVERVALUED</t>
        </is>
      </c>
      <c r="AP221" s="24" t="inlineStr">
        <is>
          <t>Corentin Moutet</t>
        </is>
      </c>
      <c r="AQ221" s="24" t="inlineStr">
        <is>
          <t>Corentin Moutet</t>
        </is>
      </c>
      <c r="AR221" s="24" t="inlineStr">
        <is>
          <t>Corentin Moutet</t>
        </is>
      </c>
      <c r="AS221" s="24" t="inlineStr">
        <is>
          <t>Rafael Jodar</t>
        </is>
      </c>
      <c r="AT221" s="24" t="inlineStr">
        <is>
          <t>Rafael Jodar</t>
        </is>
      </c>
      <c r="AU221" s="24" t="inlineStr">
        <is>
          <t>Rafael Jodar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2026-08-05T17:02:14.722373Z</t>
        </is>
      </c>
      <c r="BI221" s="24" t="inlineStr">
        <is>
          <t>["same_event","same_team_same_day","same_league_same_day"]</t>
        </is>
      </c>
      <c r="BJ221" s="25" t="n"/>
      <c r="BK221" s="26" t="n">
        <v>-285</v>
      </c>
      <c r="BL221" s="27" t="n">
        <v>1.350877</v>
      </c>
      <c r="BM221" s="28" t="n">
        <v>0.74026</v>
      </c>
      <c r="BN221" s="28" t="n"/>
      <c r="BO221" s="28" t="n"/>
      <c r="BP221" s="25" t="n"/>
      <c r="BQ221" s="27" t="n">
        <v>1.350877</v>
      </c>
      <c r="BR221" s="28" t="n">
        <v>0.74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</row>
    <row r="222" ht="36" customHeight="1">
      <c r="A222" s="24" t="inlineStr">
        <is>
          <t>0d05ddb6e8224d92</t>
        </is>
      </c>
      <c r="B222" s="24" t="inlineStr">
        <is>
          <t>2026-08-05T17:03:22.897552Z</t>
        </is>
      </c>
      <c r="C222" s="24" t="inlineStr">
        <is>
          <t>2026-08-05T18:20Z</t>
        </is>
      </c>
      <c r="D222" s="24" t="inlineStr">
        <is>
          <t>421-2026:181750</t>
        </is>
      </c>
      <c r="E222" s="24" t="inlineStr">
        <is>
          <t>TENNIS</t>
        </is>
      </c>
      <c r="F222" s="24" t="inlineStr">
        <is>
          <t>Tallon Griekspoor</t>
        </is>
      </c>
      <c r="G222" s="24" t="inlineStr">
        <is>
          <t>Alexander Zverev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0.873265</v>
      </c>
      <c r="P222" s="28" t="n">
        <v>0.05</v>
      </c>
      <c r="Q222" s="28" t="n">
        <v>0.013321</v>
      </c>
      <c r="R222" s="26" t="n">
        <v>27</v>
      </c>
      <c r="S222" s="29" t="n">
        <v>0</v>
      </c>
      <c r="T222" s="24" t="inlineStr">
        <is>
          <t>tennis-surface-elo-v1</t>
        </is>
      </c>
      <c r="U222" s="24" t="inlineStr">
        <is>
          <t>settled</t>
        </is>
      </c>
      <c r="V222" s="24" t="inlineStr">
        <is>
          <t>loss</t>
        </is>
      </c>
      <c r="W222" s="26" t="n">
        <v>1</v>
      </c>
      <c r="X222" s="26" t="n">
        <v>0</v>
      </c>
      <c r="Y222" s="25" t="n"/>
      <c r="Z222" s="26" t="n">
        <v>-614</v>
      </c>
      <c r="AA222" s="28" t="n">
        <v>0.86</v>
      </c>
      <c r="AB222" s="28" t="n">
        <v>5.6e-05</v>
      </c>
      <c r="AC222" s="30" t="n">
        <v>0</v>
      </c>
      <c r="AD222" s="24" t="inlineStr">
        <is>
          <t>2026-08-06T00:20:39.928474Z</t>
        </is>
      </c>
      <c r="AE222" s="31" t="inlineStr">
        <is>
          <t>Surface-blended Elo on Hard: Tallon Griekspoor p=0.127 vs Alexander Zverev. Executable ask 0.8600 (aec-atp-alezve-talgri-2026-08-06).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NO_CALL_WINNER_OVERVALUED</t>
        </is>
      </c>
      <c r="AP222" s="24" t="inlineStr">
        <is>
          <t>Tallon Griekspoor</t>
        </is>
      </c>
      <c r="AQ222" s="24" t="inlineStr">
        <is>
          <t>Tallon Griekspoor</t>
        </is>
      </c>
      <c r="AR222" s="24" t="inlineStr">
        <is>
          <t>Tallon Griekspoor</t>
        </is>
      </c>
      <c r="AS222" s="24" t="inlineStr">
        <is>
          <t>Alexander Zverev</t>
        </is>
      </c>
      <c r="AT222" s="24" t="inlineStr">
        <is>
          <t>Alexander Zverev</t>
        </is>
      </c>
      <c r="AU222" s="24" t="inlineStr">
        <is>
          <t>Alexander Zverev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2026-08-05T17:02:14.134986Z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>
        <v>1.162866</v>
      </c>
      <c r="BR222" s="28" t="n">
        <v>0.86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15c3f1792e824244</t>
        </is>
      </c>
      <c r="B223" s="24" t="inlineStr">
        <is>
          <t>2026-08-05T17:03:22.897552Z</t>
        </is>
      </c>
      <c r="C223" s="24" t="inlineStr">
        <is>
          <t>2026-08-05T19:30Z</t>
        </is>
      </c>
      <c r="D223" s="24" t="inlineStr">
        <is>
          <t>421-2026:181741</t>
        </is>
      </c>
      <c r="E223" s="24" t="inlineStr">
        <is>
          <t>TENNIS</t>
        </is>
      </c>
      <c r="F223" s="24" t="inlineStr">
        <is>
          <t>Terence Atmane</t>
        </is>
      </c>
      <c r="G223" s="24" t="inlineStr">
        <is>
          <t>Karen Khachanov</t>
        </is>
      </c>
      <c r="H223" s="24" t="inlineStr">
        <is>
          <t>moneyline</t>
        </is>
      </c>
      <c r="I223" s="24" t="inlineStr">
        <is>
          <t>home</t>
        </is>
      </c>
      <c r="J223" s="25" t="n"/>
      <c r="K223" s="24" t="inlineStr">
        <is>
          <t>polymarket_us</t>
        </is>
      </c>
      <c r="L223" s="26" t="n">
        <v>-127</v>
      </c>
      <c r="M223" s="27" t="n">
        <v>1.787402</v>
      </c>
      <c r="N223" s="28" t="n">
        <v>0.5594710000000001</v>
      </c>
      <c r="O223" s="28" t="n">
        <v>0.596987</v>
      </c>
      <c r="P223" s="28" t="n">
        <v>0.05</v>
      </c>
      <c r="Q223" s="28" t="n">
        <v>0.037516</v>
      </c>
      <c r="R223" s="26" t="n">
        <v>39</v>
      </c>
      <c r="S223" s="29" t="n">
        <v>0</v>
      </c>
      <c r="T223" s="24" t="inlineStr">
        <is>
          <t>tennis-surface-elo-v1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</v>
      </c>
      <c r="X223" s="26" t="n">
        <v>0</v>
      </c>
      <c r="Y223" s="25" t="n"/>
      <c r="Z223" s="26" t="n">
        <v>-127</v>
      </c>
      <c r="AA223" s="28" t="n">
        <v>0.5600000000000001</v>
      </c>
      <c r="AB223" s="28" t="n">
        <v>0.000529</v>
      </c>
      <c r="AC223" s="30" t="n">
        <v>0</v>
      </c>
      <c r="AD223" s="24" t="inlineStr">
        <is>
          <t>2026-08-06T00:20:41.113176Z</t>
        </is>
      </c>
      <c r="AE223" s="31" t="inlineStr">
        <is>
          <t>Surface-blended Elo on Hard: Terence Atmane p=0.403 vs Karen Khachanov. Executable ask 0.5600 (aec-atp-karkha-teratm-2026-08-06).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NO_CALL_WINNER_OVERVALUED</t>
        </is>
      </c>
      <c r="AP223" s="24" t="inlineStr">
        <is>
          <t>Terence Atmane</t>
        </is>
      </c>
      <c r="AQ223" s="24" t="inlineStr">
        <is>
          <t>Terence Atmane</t>
        </is>
      </c>
      <c r="AR223" s="24" t="inlineStr">
        <is>
          <t>Terence Atmane</t>
        </is>
      </c>
      <c r="AS223" s="24" t="inlineStr">
        <is>
          <t>Karen Khachanov</t>
        </is>
      </c>
      <c r="AT223" s="24" t="inlineStr">
        <is>
          <t>Karen Khachanov</t>
        </is>
      </c>
      <c r="AU223" s="24" t="inlineStr">
        <is>
          <t>Karen Khachanov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2026-08-05T17:02:17.116696Z</t>
        </is>
      </c>
      <c r="BI223" s="24" t="inlineStr">
        <is>
          <t>["same_event","same_team_same_day","same_league_same_day"]</t>
        </is>
      </c>
      <c r="BJ223" s="25" t="n"/>
      <c r="BK223" s="26" t="n">
        <v>-127</v>
      </c>
      <c r="BL223" s="27" t="n">
        <v>1.787402</v>
      </c>
      <c r="BM223" s="28" t="n">
        <v>0.5594710000000001</v>
      </c>
      <c r="BN223" s="28" t="n"/>
      <c r="BO223" s="28" t="n"/>
      <c r="BP223" s="25" t="n"/>
      <c r="BQ223" s="27" t="n">
        <v>1.787402</v>
      </c>
      <c r="BR223" s="28" t="n">
        <v>0.5600000000000001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ab1e7c5cd3fd4173</t>
        </is>
      </c>
      <c r="B224" s="24" t="inlineStr">
        <is>
          <t>2026-08-05T17:03:22.897552Z</t>
        </is>
      </c>
      <c r="C224" s="24" t="inlineStr">
        <is>
          <t>2026-08-05T19:30Z</t>
        </is>
      </c>
      <c r="D224" s="24" t="inlineStr">
        <is>
          <t>421-2026:181746</t>
        </is>
      </c>
      <c r="E224" s="24" t="inlineStr">
        <is>
          <t>TENNIS</t>
        </is>
      </c>
      <c r="F224" s="24" t="inlineStr">
        <is>
          <t>Matteo Arnaldi</t>
        </is>
      </c>
      <c r="G224" s="24" t="inlineStr">
        <is>
          <t>Fabian Marozsan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-138</v>
      </c>
      <c r="M224" s="27" t="n">
        <v>1.724638</v>
      </c>
      <c r="N224" s="28" t="n">
        <v>0.579832</v>
      </c>
      <c r="O224" s="28" t="n">
        <v>0.605216</v>
      </c>
      <c r="P224" s="28" t="n">
        <v>0.05</v>
      </c>
      <c r="Q224" s="28" t="n">
        <v>0.025384</v>
      </c>
      <c r="R224" s="26" t="n">
        <v>33</v>
      </c>
      <c r="S224" s="29" t="n">
        <v>0</v>
      </c>
      <c r="T224" s="24" t="inlineStr">
        <is>
          <t>tennis-surface-elo-v1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0</v>
      </c>
      <c r="Y224" s="25" t="n"/>
      <c r="Z224" s="26" t="n">
        <v>-138</v>
      </c>
      <c r="AA224" s="28" t="n">
        <v>0.58</v>
      </c>
      <c r="AB224" s="28" t="n">
        <v>0.000168</v>
      </c>
      <c r="AC224" s="30" t="n">
        <v>0</v>
      </c>
      <c r="AD224" s="24" t="inlineStr">
        <is>
          <t>2026-08-06T00:20:42.297410Z</t>
        </is>
      </c>
      <c r="AE224" s="31" t="inlineStr">
        <is>
          <t>Surface-blended Elo on Hard: Matteo Arnaldi p=0.395 vs Fabian Marozsan. Executable ask 0.5800 (aec-atp-fabmar-matarn-2026-08-05).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NO_CALL_WINNER_OVERVALUED</t>
        </is>
      </c>
      <c r="AP224" s="24" t="inlineStr">
        <is>
          <t>Matteo Arnaldi</t>
        </is>
      </c>
      <c r="AQ224" s="24" t="inlineStr">
        <is>
          <t>Matteo Arnaldi</t>
        </is>
      </c>
      <c r="AR224" s="24" t="inlineStr">
        <is>
          <t>Matteo Arnaldi</t>
        </is>
      </c>
      <c r="AS224" s="24" t="inlineStr">
        <is>
          <t>Fabian Marozsan</t>
        </is>
      </c>
      <c r="AT224" s="24" t="inlineStr">
        <is>
          <t>Fabian Marozsan</t>
        </is>
      </c>
      <c r="AU224" s="24" t="inlineStr">
        <is>
          <t>Fabian Marozsan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2026-08-05T17:02:17.875522Z</t>
        </is>
      </c>
      <c r="BI224" s="24" t="inlineStr">
        <is>
          <t>["same_event","same_team_same_day","same_league_same_day"]</t>
        </is>
      </c>
      <c r="BJ224" s="25" t="n"/>
      <c r="BK224" s="26" t="n">
        <v>-138</v>
      </c>
      <c r="BL224" s="27" t="n">
        <v>1.724638</v>
      </c>
      <c r="BM224" s="28" t="n">
        <v>0.579832</v>
      </c>
      <c r="BN224" s="28" t="n"/>
      <c r="BO224" s="28" t="n"/>
      <c r="BP224" s="25" t="n"/>
      <c r="BQ224" s="27" t="n">
        <v>1.724638</v>
      </c>
      <c r="BR224" s="28" t="n">
        <v>0.58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</row>
    <row r="225" ht="36" customHeight="1">
      <c r="A225" s="24" t="inlineStr">
        <is>
          <t>69588baf875143c8</t>
        </is>
      </c>
      <c r="B225" s="24" t="inlineStr">
        <is>
          <t>2026-08-05T17:03:22.897552Z</t>
        </is>
      </c>
      <c r="C225" s="24" t="inlineStr">
        <is>
          <t>2026-08-05T19:30Z</t>
        </is>
      </c>
      <c r="D225" s="24" t="inlineStr">
        <is>
          <t>421-2026:181753</t>
        </is>
      </c>
      <c r="E225" s="24" t="inlineStr">
        <is>
          <t>TENNIS</t>
        </is>
      </c>
      <c r="F225" s="24" t="inlineStr">
        <is>
          <t>Francisco Cerundolo</t>
        </is>
      </c>
      <c r="G225" s="24" t="inlineStr">
        <is>
          <t>Alex Michelsen</t>
        </is>
      </c>
      <c r="H225" s="24" t="inlineStr">
        <is>
          <t>moneyline</t>
        </is>
      </c>
      <c r="I225" s="24" t="inlineStr">
        <is>
          <t>away</t>
        </is>
      </c>
      <c r="J225" s="25" t="n"/>
      <c r="K225" s="24" t="inlineStr">
        <is>
          <t>polymarket_us</t>
        </is>
      </c>
      <c r="L225" s="26" t="n">
        <v>144</v>
      </c>
      <c r="M225" s="27" t="n">
        <v>2.44</v>
      </c>
      <c r="N225" s="28" t="n">
        <v>0.409836</v>
      </c>
      <c r="O225" s="28" t="n">
        <v>0.657899</v>
      </c>
      <c r="P225" s="28" t="n">
        <v>0.05</v>
      </c>
      <c r="Q225" s="28" t="n">
        <v>0.248063</v>
      </c>
      <c r="R225" s="26" t="n">
        <v>100</v>
      </c>
      <c r="S225" s="29" t="n">
        <v>1.75</v>
      </c>
      <c r="T225" s="24" t="inlineStr">
        <is>
          <t>tennis-surface-elo-v1</t>
        </is>
      </c>
      <c r="U225" s="24" t="inlineStr">
        <is>
          <t>settled</t>
        </is>
      </c>
      <c r="V225" s="24" t="inlineStr">
        <is>
          <t>loss</t>
        </is>
      </c>
      <c r="W225" s="26" t="n">
        <v>0</v>
      </c>
      <c r="X225" s="26" t="n">
        <v>1</v>
      </c>
      <c r="Y225" s="25" t="n"/>
      <c r="Z225" s="26" t="n">
        <v>144</v>
      </c>
      <c r="AA225" s="28" t="n">
        <v>0.41</v>
      </c>
      <c r="AB225" s="28" t="n">
        <v>0.000164</v>
      </c>
      <c r="AC225" s="30" t="n">
        <v>-1.75</v>
      </c>
      <c r="AD225" s="24" t="inlineStr">
        <is>
          <t>2026-08-06T00:20:43.459804Z</t>
        </is>
      </c>
      <c r="AE225" s="31" t="inlineStr">
        <is>
          <t>Surface-blended Elo on Hard: Francisco Cerundolo p=0.658 vs Alex Michelsen. Executable ask 0.4100 (aec-atp-alemic-fracer-2026-08-06).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Francisco Cerundolo</t>
        </is>
      </c>
      <c r="AQ225" s="24" t="inlineStr">
        <is>
          <t>Francisco Cerundolo</t>
        </is>
      </c>
      <c r="AR225" s="24" t="inlineStr">
        <is>
          <t>Francisco Cerundolo</t>
        </is>
      </c>
      <c r="AS225" s="24" t="inlineStr">
        <is>
          <t>Alex Michelsen</t>
        </is>
      </c>
      <c r="AT225" s="24" t="inlineStr">
        <is>
          <t>Alex Michelsen</t>
        </is>
      </c>
      <c r="AU225" s="24" t="inlineStr">
        <is>
          <t>Alex Michelsen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2026-08-05T17:02:18.609359Z</t>
        </is>
      </c>
      <c r="BI225" s="24" t="inlineStr">
        <is>
          <t>["same_event","same_team_same_day","same_league_same_day"]</t>
        </is>
      </c>
      <c r="BJ225" s="25" t="n"/>
      <c r="BK225" s="26" t="n">
        <v>144</v>
      </c>
      <c r="BL225" s="27" t="n">
        <v>2.44</v>
      </c>
      <c r="BM225" s="28" t="n">
        <v>0.409836</v>
      </c>
      <c r="BN225" s="28" t="n"/>
      <c r="BO225" s="28" t="n"/>
      <c r="BP225" s="25" t="n"/>
      <c r="BQ225" s="27" t="n">
        <v>2.44</v>
      </c>
      <c r="BR225" s="28" t="n">
        <v>0.41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15511601267f4ed3</t>
        </is>
      </c>
      <c r="B226" s="24" t="inlineStr">
        <is>
          <t>2026-08-05T17:03:22.897552Z</t>
        </is>
      </c>
      <c r="C226" s="24" t="inlineStr">
        <is>
          <t>2026-08-05T21:00Z</t>
        </is>
      </c>
      <c r="D226" s="24" t="inlineStr">
        <is>
          <t>421-2026:181719</t>
        </is>
      </c>
      <c r="E226" s="24" t="inlineStr">
        <is>
          <t>TENNIS</t>
        </is>
      </c>
      <c r="F226" s="24" t="inlineStr">
        <is>
          <t>Jakub Mensik</t>
        </is>
      </c>
      <c r="G226" s="24" t="inlineStr">
        <is>
          <t>Jacob Fearnley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0.742792</v>
      </c>
      <c r="P226" s="28" t="n">
        <v>0.05</v>
      </c>
      <c r="Q226" s="28" t="n">
        <v>0.05239</v>
      </c>
      <c r="R226" s="26" t="n">
        <v>46</v>
      </c>
      <c r="S226" s="29" t="n">
        <v>0</v>
      </c>
      <c r="T226" s="24" t="inlineStr">
        <is>
          <t>tennis-surface-elo-v1</t>
        </is>
      </c>
      <c r="U226" s="24" t="inlineStr">
        <is>
          <t>settled</t>
        </is>
      </c>
      <c r="V226" s="24" t="inlineStr">
        <is>
          <t>win</t>
        </is>
      </c>
      <c r="W226" s="26" t="n">
        <v>1</v>
      </c>
      <c r="X226" s="26" t="n">
        <v>0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</v>
      </c>
      <c r="AD226" s="24" t="inlineStr">
        <is>
          <t>2026-08-06T03:25:31.997124Z</t>
        </is>
      </c>
      <c r="AE226" s="31" t="inlineStr">
        <is>
          <t>Surface-blended Elo on Hard: Jakub Mensik p=0.743 vs Jacob Fearnley. Executable ask 0.6900 (aec-atp-jacfea-jakmen-2026-08-05).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NO_CALL_WINNER_OVERVALUED</t>
        </is>
      </c>
      <c r="AP226" s="24" t="inlineStr">
        <is>
          <t>Jakub Mensik</t>
        </is>
      </c>
      <c r="AQ226" s="24" t="inlineStr">
        <is>
          <t>Jakub Mensik</t>
        </is>
      </c>
      <c r="AR226" s="24" t="inlineStr">
        <is>
          <t>Jakub Mensik</t>
        </is>
      </c>
      <c r="AS226" s="24" t="inlineStr">
        <is>
          <t>Jacob Fearnley</t>
        </is>
      </c>
      <c r="AT226" s="24" t="inlineStr">
        <is>
          <t>Jacob Fearnley</t>
        </is>
      </c>
      <c r="AU226" s="24" t="inlineStr">
        <is>
          <t>Jacob Fearnley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2026-08-05T17:02:20.858798Z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</row>
    <row r="227" ht="36" customHeight="1">
      <c r="A227" s="24" t="inlineStr">
        <is>
          <t>46d5ecc1949b4c49</t>
        </is>
      </c>
      <c r="B227" s="24" t="inlineStr">
        <is>
          <t>2026-08-05T17:03:22.897552Z</t>
        </is>
      </c>
      <c r="C227" s="24" t="inlineStr">
        <is>
          <t>2026-08-05T21:00Z</t>
        </is>
      </c>
      <c r="D227" s="24" t="inlineStr">
        <is>
          <t>421-2026:181755</t>
        </is>
      </c>
      <c r="E227" s="24" t="inlineStr">
        <is>
          <t>TENNIS</t>
        </is>
      </c>
      <c r="F227" s="24" t="inlineStr">
        <is>
          <t>Daniel Merida</t>
        </is>
      </c>
      <c r="G227" s="24" t="inlineStr">
        <is>
          <t>Ugo Humbert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-223</v>
      </c>
      <c r="M227" s="27" t="n">
        <v>1.44843</v>
      </c>
      <c r="N227" s="28" t="n">
        <v>0.690402</v>
      </c>
      <c r="O227" s="28" t="n">
        <v>0.601922</v>
      </c>
      <c r="P227" s="28" t="n">
        <v>0.05</v>
      </c>
      <c r="Q227" s="28" t="n">
        <v>-0.08848</v>
      </c>
      <c r="R227" s="26" t="n">
        <v>0</v>
      </c>
      <c r="S227" s="29" t="n">
        <v>0</v>
      </c>
      <c r="T227" s="24" t="inlineStr">
        <is>
          <t>tennis-surface-elo-v1</t>
        </is>
      </c>
      <c r="U227" s="24" t="inlineStr">
        <is>
          <t>settled</t>
        </is>
      </c>
      <c r="V227" s="24" t="inlineStr">
        <is>
          <t>loss</t>
        </is>
      </c>
      <c r="W227" s="26" t="n">
        <v>1</v>
      </c>
      <c r="X227" s="26" t="n">
        <v>0</v>
      </c>
      <c r="Y227" s="25" t="n"/>
      <c r="Z227" s="26" t="n">
        <v>-223</v>
      </c>
      <c r="AA227" s="28" t="n">
        <v>0.6899999999999999</v>
      </c>
      <c r="AB227" s="28" t="n">
        <v>-0.000402</v>
      </c>
      <c r="AC227" s="30" t="n">
        <v>0</v>
      </c>
      <c r="AD227" s="24" t="inlineStr">
        <is>
          <t>2026-08-06T03:25:34.372934Z</t>
        </is>
      </c>
      <c r="AE227" s="31" t="inlineStr">
        <is>
          <t>Surface-blended Elo on Hard: Daniel Merida p=0.398 vs Ugo Humbert. Executable ask 0.6900 (aec-atp-ugohum-danagu-2026-08-06).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NO_CALL_WINNER_OVERVALUED</t>
        </is>
      </c>
      <c r="AP227" s="24" t="inlineStr">
        <is>
          <t>Daniel Merida</t>
        </is>
      </c>
      <c r="AQ227" s="24" t="inlineStr">
        <is>
          <t>Daniel Merida</t>
        </is>
      </c>
      <c r="AR227" s="24" t="inlineStr">
        <is>
          <t>Daniel Merida</t>
        </is>
      </c>
      <c r="AS227" s="24" t="inlineStr">
        <is>
          <t>Ugo Humbert</t>
        </is>
      </c>
      <c r="AT227" s="24" t="inlineStr">
        <is>
          <t>Ugo Humbert</t>
        </is>
      </c>
      <c r="AU227" s="24" t="inlineStr">
        <is>
          <t>Ugo Humbert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2026-08-05T17:02:19.486831Z</t>
        </is>
      </c>
      <c r="BI227" s="24" t="inlineStr">
        <is>
          <t>["same_event","same_team_same_day","same_league_same_day"]</t>
        </is>
      </c>
      <c r="BJ227" s="25" t="n"/>
      <c r="BK227" s="26" t="n">
        <v>-223</v>
      </c>
      <c r="BL227" s="27" t="n">
        <v>1.44843</v>
      </c>
      <c r="BM227" s="28" t="n">
        <v>0.690402</v>
      </c>
      <c r="BN227" s="28" t="n"/>
      <c r="BO227" s="28" t="n"/>
      <c r="BP227" s="25" t="n"/>
      <c r="BQ227" s="27" t="n">
        <v>1.44843</v>
      </c>
      <c r="BR227" s="28" t="n">
        <v>0.6899999999999999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</row>
    <row r="228" ht="36" customHeight="1">
      <c r="A228" s="24" t="inlineStr">
        <is>
          <t>90adba31b9bd4423</t>
        </is>
      </c>
      <c r="B228" s="24" t="inlineStr">
        <is>
          <t>2026-08-05T21:01:38.332565Z</t>
        </is>
      </c>
      <c r="C228" s="24" t="inlineStr">
        <is>
          <t>2026-08-05T23:00Z</t>
        </is>
      </c>
      <c r="D228" s="24" t="inlineStr">
        <is>
          <t>421-2026:182170</t>
        </is>
      </c>
      <c r="E228" s="24" t="inlineStr">
        <is>
          <t>TENNIS</t>
        </is>
      </c>
      <c r="F228" s="24" t="inlineStr">
        <is>
          <t>Leylah Fernandez</t>
        </is>
      </c>
      <c r="G228" s="24" t="inlineStr">
        <is>
          <t>Renata Zarazua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-285</v>
      </c>
      <c r="M228" s="27" t="n">
        <v>1.350877</v>
      </c>
      <c r="N228" s="28" t="n">
        <v>0.74026</v>
      </c>
      <c r="O228" s="28" t="n">
        <v>0.686095</v>
      </c>
      <c r="P228" s="28" t="n">
        <v>0.05</v>
      </c>
      <c r="Q228" s="28" t="n">
        <v>-0.054165</v>
      </c>
      <c r="R228" s="26" t="n">
        <v>0</v>
      </c>
      <c r="S228" s="29" t="n">
        <v>0</v>
      </c>
      <c r="T228" s="24" t="inlineStr">
        <is>
          <t>tennis-surface-elo-v1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-285</v>
      </c>
      <c r="AA228" s="28" t="n">
        <v>0.74</v>
      </c>
      <c r="AB228" s="28" t="n">
        <v>-0.00026</v>
      </c>
      <c r="AC228" s="30" t="n">
        <v>0</v>
      </c>
      <c r="AD228" s="24" t="inlineStr">
        <is>
          <t>2026-08-06T03:26:28.167261Z</t>
        </is>
      </c>
      <c r="AE228" s="31" t="inlineStr">
        <is>
          <t>Surface-blended Elo on Hard: Leylah Fernandez p=0.686 vs Renata Zarazua. Executable ask 0.7400 (aec-wta-renzar-leyfer-2026-08-05).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NO_CALL_WINNER_OVERVALUED</t>
        </is>
      </c>
      <c r="AP228" s="24" t="inlineStr">
        <is>
          <t>Leylah Fernandez</t>
        </is>
      </c>
      <c r="AQ228" s="24" t="inlineStr">
        <is>
          <t>Leylah Fernandez</t>
        </is>
      </c>
      <c r="AR228" s="24" t="inlineStr">
        <is>
          <t>Leylah Fernandez</t>
        </is>
      </c>
      <c r="AS228" s="24" t="inlineStr">
        <is>
          <t>Renata Zarazua</t>
        </is>
      </c>
      <c r="AT228" s="24" t="inlineStr">
        <is>
          <t>Renata Zarazua</t>
        </is>
      </c>
      <c r="AU228" s="24" t="inlineStr">
        <is>
          <t>Renata Zarazua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2026-08-05T21:00:58.717236Z</t>
        </is>
      </c>
      <c r="BI228" s="24" t="inlineStr">
        <is>
          <t>["same_event","same_team_same_day","same_league_same_day"]</t>
        </is>
      </c>
      <c r="BJ228" s="25" t="n"/>
      <c r="BK228" s="26" t="n">
        <v>-285</v>
      </c>
      <c r="BL228" s="27" t="n">
        <v>1.350877</v>
      </c>
      <c r="BM228" s="28" t="n">
        <v>0.74026</v>
      </c>
      <c r="BN228" s="28" t="n"/>
      <c r="BO228" s="28" t="n"/>
      <c r="BP228" s="25" t="n"/>
      <c r="BQ228" s="27" t="n">
        <v>1.350877</v>
      </c>
      <c r="BR228" s="28" t="n">
        <v>0.74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</row>
    <row r="229" ht="36" customHeight="1">
      <c r="A229" s="24" t="inlineStr">
        <is>
          <t>a1729e6fe43041fd</t>
        </is>
      </c>
      <c r="B229" s="24" t="inlineStr">
        <is>
          <t>2026-08-05T21:01:38.332565Z</t>
        </is>
      </c>
      <c r="C229" s="24" t="inlineStr">
        <is>
          <t>2026-08-05T22:00Z</t>
        </is>
      </c>
      <c r="D229" s="24" t="inlineStr">
        <is>
          <t>421-2026:181733</t>
        </is>
      </c>
      <c r="E229" s="24" t="inlineStr">
        <is>
          <t>TENNIS</t>
        </is>
      </c>
      <c r="F229" s="24" t="inlineStr">
        <is>
          <t>Botic Van De Zandschulp</t>
        </is>
      </c>
      <c r="G229" s="24" t="inlineStr">
        <is>
          <t>Daniil Medvedev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-317</v>
      </c>
      <c r="M229" s="27" t="n">
        <v>1.315457</v>
      </c>
      <c r="N229" s="28" t="n">
        <v>0.760192</v>
      </c>
      <c r="O229" s="28" t="n">
        <v>0.8122509999999999</v>
      </c>
      <c r="P229" s="28" t="n">
        <v>0.05</v>
      </c>
      <c r="Q229" s="28" t="n">
        <v>0.052059</v>
      </c>
      <c r="R229" s="26" t="n">
        <v>46</v>
      </c>
      <c r="S229" s="29" t="n">
        <v>0</v>
      </c>
      <c r="T229" s="24" t="inlineStr">
        <is>
          <t>tennis-surface-elo-v1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-317</v>
      </c>
      <c r="AA229" s="28" t="n">
        <v>0.76</v>
      </c>
      <c r="AB229" s="28" t="n">
        <v>-0.000192</v>
      </c>
      <c r="AC229" s="30" t="n">
        <v>0</v>
      </c>
      <c r="AD229" s="24" t="inlineStr">
        <is>
          <t>2026-08-06T03:26:30.588476Z</t>
        </is>
      </c>
      <c r="AE229" s="31" t="inlineStr">
        <is>
          <t>Surface-blended Elo on Hard: Botic Van De Zandschulp p=0.188 vs Daniil Medvedev. Executable ask 0.7600 (aec-atp-danmed-botzan-2026-08-06).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NO_CALL_WINNER_OVERVALUED</t>
        </is>
      </c>
      <c r="AP229" s="24" t="inlineStr">
        <is>
          <t>Botic Van De Zandschulp</t>
        </is>
      </c>
      <c r="AQ229" s="24" t="inlineStr">
        <is>
          <t>Botic Van De Zandschulp</t>
        </is>
      </c>
      <c r="AR229" s="24" t="inlineStr">
        <is>
          <t>Botic Van De Zandschulp</t>
        </is>
      </c>
      <c r="AS229" s="24" t="inlineStr">
        <is>
          <t>Daniil Medvedev</t>
        </is>
      </c>
      <c r="AT229" s="24" t="inlineStr">
        <is>
          <t>Daniil Medvedev</t>
        </is>
      </c>
      <c r="AU229" s="24" t="inlineStr">
        <is>
          <t>Daniil Medvedev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2026-08-05T21:01:04.249126Z</t>
        </is>
      </c>
      <c r="BI229" s="24" t="inlineStr">
        <is>
          <t>["same_event","same_team_same_day","same_league_same_day"]</t>
        </is>
      </c>
      <c r="BJ229" s="25" t="n"/>
      <c r="BK229" s="26" t="n">
        <v>-317</v>
      </c>
      <c r="BL229" s="27" t="n">
        <v>1.315457</v>
      </c>
      <c r="BM229" s="28" t="n">
        <v>0.760192</v>
      </c>
      <c r="BN229" s="28" t="n"/>
      <c r="BO229" s="28" t="n"/>
      <c r="BP229" s="25" t="n"/>
      <c r="BQ229" s="27" t="n">
        <v>1.315457</v>
      </c>
      <c r="BR229" s="28" t="n">
        <v>0.76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</row>
    <row r="230" ht="36" customHeight="1">
      <c r="A230" s="24" t="inlineStr">
        <is>
          <t>e7e6ac6b905c4caf</t>
        </is>
      </c>
      <c r="B230" s="24" t="inlineStr">
        <is>
          <t>2026-08-05T21:01:38.332565Z</t>
        </is>
      </c>
      <c r="C230" s="24" t="inlineStr">
        <is>
          <t>2026-08-05T23:30Z</t>
        </is>
      </c>
      <c r="D230" s="24" t="inlineStr">
        <is>
          <t>421-2026:181731</t>
        </is>
      </c>
      <c r="E230" s="24" t="inlineStr">
        <is>
          <t>TENNIS</t>
        </is>
      </c>
      <c r="F230" s="24" t="inlineStr">
        <is>
          <t>Tommy Paul</t>
        </is>
      </c>
      <c r="G230" s="24" t="inlineStr">
        <is>
          <t>Valentin Royer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polymarket_us</t>
        </is>
      </c>
      <c r="L230" s="26" t="n">
        <v>-456</v>
      </c>
      <c r="M230" s="27" t="n">
        <v>1.219298</v>
      </c>
      <c r="N230" s="28" t="n">
        <v>0.820144</v>
      </c>
      <c r="O230" s="28" t="n">
        <v>0.855695</v>
      </c>
      <c r="P230" s="28" t="n">
        <v>0.05</v>
      </c>
      <c r="Q230" s="28" t="n">
        <v>0.035551</v>
      </c>
      <c r="R230" s="26" t="n">
        <v>38</v>
      </c>
      <c r="S230" s="29" t="n">
        <v>0</v>
      </c>
      <c r="T230" s="24" t="inlineStr">
        <is>
          <t>tennis-surface-elo-v1</t>
        </is>
      </c>
      <c r="U230" s="24" t="inlineStr">
        <is>
          <t>settled</t>
        </is>
      </c>
      <c r="V230" s="24" t="inlineStr">
        <is>
          <t>win</t>
        </is>
      </c>
      <c r="W230" s="26" t="n">
        <v>1</v>
      </c>
      <c r="X230" s="26" t="n">
        <v>0</v>
      </c>
      <c r="Y230" s="25" t="n"/>
      <c r="Z230" s="26" t="n">
        <v>-456</v>
      </c>
      <c r="AA230" s="28" t="n">
        <v>0.82</v>
      </c>
      <c r="AB230" s="28" t="n">
        <v>-0.000144</v>
      </c>
      <c r="AC230" s="30" t="n">
        <v>0</v>
      </c>
      <c r="AD230" s="24" t="inlineStr">
        <is>
          <t>2026-08-06T03:26:32.942899Z</t>
        </is>
      </c>
      <c r="AE230" s="31" t="inlineStr">
        <is>
          <t>Surface-blended Elo on Hard: Tommy Paul p=0.856 vs Valentin Royer. Executable ask 0.8200 (aec-atp-valroy-tompau-2026-08-05).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NO_CALL_WINNER_OVERVALUED</t>
        </is>
      </c>
      <c r="AP230" s="24" t="inlineStr">
        <is>
          <t>Tommy Paul</t>
        </is>
      </c>
      <c r="AQ230" s="24" t="inlineStr">
        <is>
          <t>Tommy Paul</t>
        </is>
      </c>
      <c r="AR230" s="24" t="inlineStr">
        <is>
          <t>Tommy Paul</t>
        </is>
      </c>
      <c r="AS230" s="24" t="inlineStr">
        <is>
          <t>Valentin Royer</t>
        </is>
      </c>
      <c r="AT230" s="24" t="inlineStr">
        <is>
          <t>Valentin Royer</t>
        </is>
      </c>
      <c r="AU230" s="24" t="inlineStr">
        <is>
          <t>Valentin Royer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2026-08-05T21:01:07.355972Z</t>
        </is>
      </c>
      <c r="BI230" s="24" t="inlineStr">
        <is>
          <t>["same_event","same_team_same_day","same_league_same_day"]</t>
        </is>
      </c>
      <c r="BJ230" s="25" t="n"/>
      <c r="BK230" s="26" t="n">
        <v>-456</v>
      </c>
      <c r="BL230" s="27" t="n">
        <v>1.219298</v>
      </c>
      <c r="BM230" s="28" t="n">
        <v>0.820144</v>
      </c>
      <c r="BN230" s="28" t="n"/>
      <c r="BO230" s="28" t="n"/>
      <c r="BP230" s="25" t="n"/>
      <c r="BQ230" s="27" t="n">
        <v>1.219298</v>
      </c>
      <c r="BR230" s="28" t="n">
        <v>0.82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e8a128b1957c488f</t>
        </is>
      </c>
      <c r="B231" s="24" t="inlineStr">
        <is>
          <t>2026-08-06T00:23:20.957652Z</t>
        </is>
      </c>
      <c r="C231" s="24" t="inlineStr">
        <is>
          <t>2026-08-06T00:30Z</t>
        </is>
      </c>
      <c r="D231" s="24" t="inlineStr">
        <is>
          <t>421-2026:182216</t>
        </is>
      </c>
      <c r="E231" s="24" t="inlineStr">
        <is>
          <t>TENNIS</t>
        </is>
      </c>
      <c r="F231" s="24" t="inlineStr">
        <is>
          <t>Alexandra Eala</t>
        </is>
      </c>
      <c r="G231" s="24" t="inlineStr">
        <is>
          <t>Alycia Parks</t>
        </is>
      </c>
      <c r="H231" s="24" t="inlineStr">
        <is>
          <t>moneyline</t>
        </is>
      </c>
      <c r="I231" s="24" t="inlineStr">
        <is>
          <t>away</t>
        </is>
      </c>
      <c r="J231" s="25" t="n"/>
      <c r="K231" s="24" t="inlineStr">
        <is>
          <t>polymarket_us</t>
        </is>
      </c>
      <c r="L231" s="26" t="n">
        <v>-456</v>
      </c>
      <c r="M231" s="27" t="n">
        <v>1.219298</v>
      </c>
      <c r="N231" s="28" t="n">
        <v>0.820144</v>
      </c>
      <c r="O231" s="28" t="n">
        <v>0.699863</v>
      </c>
      <c r="P231" s="28" t="n">
        <v>0.05</v>
      </c>
      <c r="Q231" s="28" t="n">
        <v>-0.120281</v>
      </c>
      <c r="R231" s="26" t="n">
        <v>0</v>
      </c>
      <c r="S231" s="29" t="n">
        <v>0</v>
      </c>
      <c r="T231" s="24" t="inlineStr">
        <is>
          <t>tennis-surface-elo-v1</t>
        </is>
      </c>
      <c r="U231" s="24" t="inlineStr">
        <is>
          <t>settled</t>
        </is>
      </c>
      <c r="V231" s="24" t="inlineStr">
        <is>
          <t>win</t>
        </is>
      </c>
      <c r="W231" s="26" t="n">
        <v>1</v>
      </c>
      <c r="X231" s="26" t="n">
        <v>0</v>
      </c>
      <c r="Y231" s="25" t="n"/>
      <c r="Z231" s="26" t="n">
        <v>-456</v>
      </c>
      <c r="AA231" s="28" t="n">
        <v>0.82</v>
      </c>
      <c r="AB231" s="28" t="n">
        <v>-0.000144</v>
      </c>
      <c r="AC231" s="30" t="n">
        <v>0</v>
      </c>
      <c r="AD231" s="24" t="inlineStr">
        <is>
          <t>2026-08-06T03:26:40.903938Z</t>
        </is>
      </c>
      <c r="AE231" s="31" t="inlineStr">
        <is>
          <t>Surface-blended Elo on Hard: Alexandra Eala p=0.700 vs Alycia Parks. Executable ask 0.8200 (aec-wta-alypar-aleeal-2026-08-04).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NO_CALL_WINNER_OVERVALUED</t>
        </is>
      </c>
      <c r="AP231" s="24" t="inlineStr">
        <is>
          <t>Alexandra Eala</t>
        </is>
      </c>
      <c r="AQ231" s="24" t="inlineStr">
        <is>
          <t>Alexandra Eala</t>
        </is>
      </c>
      <c r="AR231" s="24" t="inlineStr">
        <is>
          <t>Alexandra Eala</t>
        </is>
      </c>
      <c r="AS231" s="24" t="inlineStr">
        <is>
          <t>Alycia Parks</t>
        </is>
      </c>
      <c r="AT231" s="24" t="inlineStr">
        <is>
          <t>Alycia Parks</t>
        </is>
      </c>
      <c r="AU231" s="24" t="inlineStr">
        <is>
          <t>Alycia Parks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2026-08-06T00:23:02.086603Z</t>
        </is>
      </c>
      <c r="BI231" s="24" t="inlineStr">
        <is>
          <t>["same_event","same_team_same_day","same_league_same_day"]</t>
        </is>
      </c>
      <c r="BJ231" s="25" t="n"/>
      <c r="BK231" s="26" t="n">
        <v>-456</v>
      </c>
      <c r="BL231" s="27" t="n">
        <v>1.219298</v>
      </c>
      <c r="BM231" s="28" t="n">
        <v>0.820144</v>
      </c>
      <c r="BN231" s="28" t="n"/>
      <c r="BO231" s="28" t="n"/>
      <c r="BP231" s="25" t="n"/>
      <c r="BQ231" s="27" t="n">
        <v>1.219298</v>
      </c>
      <c r="BR231" s="28" t="n">
        <v>0.82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</row>
    <row r="232" ht="36" customHeight="1">
      <c r="A232" s="24" t="inlineStr">
        <is>
          <t>87a9d15227f84167</t>
        </is>
      </c>
      <c r="B232" s="24" t="inlineStr">
        <is>
          <t>2026-08-06T00:23:20.957652Z</t>
        </is>
      </c>
      <c r="C232" s="24" t="inlineStr">
        <is>
          <t>2026-08-06T00:30Z</t>
        </is>
      </c>
      <c r="D232" s="24" t="inlineStr">
        <is>
          <t>421-2026:181761</t>
        </is>
      </c>
      <c r="E232" s="24" t="inlineStr">
        <is>
          <t>TENNIS</t>
        </is>
      </c>
      <c r="F232" s="24" t="inlineStr">
        <is>
          <t>Gael Monfils</t>
        </is>
      </c>
      <c r="G232" s="24" t="inlineStr">
        <is>
          <t>Learner Tien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-270</v>
      </c>
      <c r="M232" s="27" t="n">
        <v>1.37037</v>
      </c>
      <c r="N232" s="28" t="n">
        <v>0.72973</v>
      </c>
      <c r="O232" s="28" t="n">
        <v>0.768099</v>
      </c>
      <c r="P232" s="28" t="n">
        <v>0.05</v>
      </c>
      <c r="Q232" s="28" t="n">
        <v>0.038369</v>
      </c>
      <c r="R232" s="26" t="n">
        <v>39</v>
      </c>
      <c r="S232" s="29" t="n">
        <v>0</v>
      </c>
      <c r="T232" s="24" t="inlineStr">
        <is>
          <t>tennis-surface-elo-v1</t>
        </is>
      </c>
      <c r="U232" s="24" t="inlineStr">
        <is>
          <t>settled</t>
        </is>
      </c>
      <c r="V232" s="24" t="inlineStr">
        <is>
          <t>win</t>
        </is>
      </c>
      <c r="W232" s="26" t="n">
        <v>0</v>
      </c>
      <c r="X232" s="26" t="n">
        <v>1</v>
      </c>
      <c r="Y232" s="25" t="n"/>
      <c r="Z232" s="26" t="n">
        <v>-270</v>
      </c>
      <c r="AA232" s="28" t="n">
        <v>0.73</v>
      </c>
      <c r="AB232" s="28" t="n">
        <v>0.00027</v>
      </c>
      <c r="AC232" s="30" t="n">
        <v>0</v>
      </c>
      <c r="AD232" s="24" t="inlineStr">
        <is>
          <t>2026-08-06T03:26:43.319026Z</t>
        </is>
      </c>
      <c r="AE232" s="31" t="inlineStr">
        <is>
          <t>Surface-blended Elo on Hard: Gael Monfils p=0.232 vs Learner Tien. Executable ask 0.7300 (aec-atp-leatie-gaemon-2026-08-05).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NO_CALL_WINNER_OVERVALUED</t>
        </is>
      </c>
      <c r="AP232" s="24" t="inlineStr">
        <is>
          <t>Gael Monfils</t>
        </is>
      </c>
      <c r="AQ232" s="24" t="inlineStr">
        <is>
          <t>Gael Monfils</t>
        </is>
      </c>
      <c r="AR232" s="24" t="inlineStr">
        <is>
          <t>Gael Monfils</t>
        </is>
      </c>
      <c r="AS232" s="24" t="inlineStr">
        <is>
          <t>Learner Tien</t>
        </is>
      </c>
      <c r="AT232" s="24" t="inlineStr">
        <is>
          <t>Learner Tien</t>
        </is>
      </c>
      <c r="AU232" s="24" t="inlineStr">
        <is>
          <t>Learner Tien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2026-08-06T00:23:04.666471Z</t>
        </is>
      </c>
      <c r="BI232" s="24" t="inlineStr">
        <is>
          <t>["same_event","same_team_same_day","same_league_same_day"]</t>
        </is>
      </c>
      <c r="BJ232" s="25" t="n"/>
      <c r="BK232" s="26" t="n">
        <v>-270</v>
      </c>
      <c r="BL232" s="27" t="n">
        <v>1.37037</v>
      </c>
      <c r="BM232" s="28" t="n">
        <v>0.72973</v>
      </c>
      <c r="BN232" s="28" t="n"/>
      <c r="BO232" s="28" t="n"/>
      <c r="BP232" s="25" t="n"/>
      <c r="BQ232" s="27" t="n">
        <v>1.37037</v>
      </c>
      <c r="BR232" s="28" t="n">
        <v>0.73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</row>
    <row r="233" ht="36" customHeight="1">
      <c r="A233" s="24" t="inlineStr">
        <is>
          <t>13b5e50bc6bb44af</t>
        </is>
      </c>
      <c r="B233" s="24" t="inlineStr">
        <is>
          <t>2026-08-06T18:58:42.068094Z</t>
        </is>
      </c>
      <c r="C233" s="24" t="inlineStr">
        <is>
          <t>2026-08-06T19:00Z</t>
        </is>
      </c>
      <c r="D233" s="24" t="inlineStr">
        <is>
          <t>421-2026:182181</t>
        </is>
      </c>
      <c r="E233" s="24" t="inlineStr">
        <is>
          <t>TENNIS</t>
        </is>
      </c>
      <c r="F233" s="24" t="inlineStr">
        <is>
          <t>Madison Keys</t>
        </is>
      </c>
      <c r="G233" s="24" t="inlineStr">
        <is>
          <t>Marta Kostyuk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-127</v>
      </c>
      <c r="M233" s="27" t="n">
        <v>1.787402</v>
      </c>
      <c r="N233" s="28" t="n">
        <v>0.5594710000000001</v>
      </c>
      <c r="O233" s="28" t="n">
        <v>0.5615599999999999</v>
      </c>
      <c r="P233" s="28" t="n">
        <v>0.05</v>
      </c>
      <c r="Q233" s="28" t="n">
        <v>0.002089</v>
      </c>
      <c r="R233" s="26" t="n">
        <v>21</v>
      </c>
      <c r="S233" s="29" t="n">
        <v>0</v>
      </c>
      <c r="T233" s="24" t="inlineStr">
        <is>
          <t>tennis-surface-elo-v1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-127</v>
      </c>
      <c r="AA233" s="28" t="n">
        <v>0.5600000000000001</v>
      </c>
      <c r="AB233" s="28" t="n">
        <v>0.000529</v>
      </c>
      <c r="AC233" s="30" t="n">
        <v>0</v>
      </c>
      <c r="AD233" s="24" t="inlineStr">
        <is>
          <t>2026-08-07T09:06:49.084880Z</t>
        </is>
      </c>
      <c r="AE233" s="31" t="inlineStr">
        <is>
          <t>Surface-blended Elo on Hard: Madison Keys p=0.438 vs Marta Kostyuk. Executable ask 0.5600 (aec-wta-markos-madkey-2026-08-05).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NO_CALL_WINNER_OVERVALUED</t>
        </is>
      </c>
      <c r="AP233" s="24" t="inlineStr">
        <is>
          <t>Madison Keys</t>
        </is>
      </c>
      <c r="AQ233" s="24" t="inlineStr">
        <is>
          <t>Madison Keys</t>
        </is>
      </c>
      <c r="AR233" s="24" t="inlineStr">
        <is>
          <t>Madison Keys</t>
        </is>
      </c>
      <c r="AS233" s="24" t="inlineStr">
        <is>
          <t>Marta Kostyuk</t>
        </is>
      </c>
      <c r="AT233" s="24" t="inlineStr">
        <is>
          <t>Marta Kostyuk</t>
        </is>
      </c>
      <c r="AU233" s="24" t="inlineStr">
        <is>
          <t>Marta Kostyuk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2026-08-06T18:58:01.782347Z</t>
        </is>
      </c>
      <c r="BI233" s="24" t="inlineStr">
        <is>
          <t>["same_event","same_team_same_day","same_league_same_day"]</t>
        </is>
      </c>
      <c r="BJ233" s="25" t="n"/>
      <c r="BK233" s="26" t="n">
        <v>-127</v>
      </c>
      <c r="BL233" s="27" t="n">
        <v>1.787402</v>
      </c>
      <c r="BM233" s="28" t="n">
        <v>0.5594710000000001</v>
      </c>
      <c r="BN233" s="28" t="n"/>
      <c r="BO233" s="28" t="n"/>
      <c r="BP233" s="25" t="n"/>
      <c r="BQ233" s="27" t="n">
        <v>1.787402</v>
      </c>
      <c r="BR233" s="28" t="n">
        <v>0.5600000000000001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</row>
    <row r="234" ht="36" customHeight="1">
      <c r="A234" s="24" t="inlineStr">
        <is>
          <t>c7c8c930f27c4ef5</t>
        </is>
      </c>
      <c r="B234" s="24" t="inlineStr">
        <is>
          <t>2026-08-06T18:58:42.068094Z</t>
        </is>
      </c>
      <c r="C234" s="24" t="inlineStr">
        <is>
          <t>2026-08-06T21:00Z</t>
        </is>
      </c>
      <c r="D234" s="24" t="inlineStr">
        <is>
          <t>421-2026:182193</t>
        </is>
      </c>
      <c r="E234" s="24" t="inlineStr">
        <is>
          <t>TENNIS</t>
        </is>
      </c>
      <c r="F234" s="24" t="inlineStr">
        <is>
          <t>Amanda Anisimova</t>
        </is>
      </c>
      <c r="G234" s="24" t="inlineStr">
        <is>
          <t>Nikola Bartunkova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-194</v>
      </c>
      <c r="M234" s="27" t="n">
        <v>1.515464</v>
      </c>
      <c r="N234" s="28" t="n">
        <v>0.659864</v>
      </c>
      <c r="O234" s="28" t="n">
        <v>0.7591</v>
      </c>
      <c r="P234" s="28" t="n">
        <v>0.05</v>
      </c>
      <c r="Q234" s="28" t="n">
        <v>0.099236</v>
      </c>
      <c r="R234" s="26" t="n">
        <v>70</v>
      </c>
      <c r="S234" s="29" t="n">
        <v>2</v>
      </c>
      <c r="T234" s="24" t="inlineStr">
        <is>
          <t>tennis-surface-elo-v1</t>
        </is>
      </c>
      <c r="U234" s="24" t="inlineStr">
        <is>
          <t>settled</t>
        </is>
      </c>
      <c r="V234" s="24" t="inlineStr">
        <is>
          <t>win</t>
        </is>
      </c>
      <c r="W234" s="26" t="n">
        <v>1</v>
      </c>
      <c r="X234" s="26" t="n">
        <v>0</v>
      </c>
      <c r="Y234" s="25" t="n"/>
      <c r="Z234" s="26" t="n">
        <v>-194</v>
      </c>
      <c r="AA234" s="28" t="n">
        <v>0.66</v>
      </c>
      <c r="AB234" s="28" t="n">
        <v>0.000136</v>
      </c>
      <c r="AC234" s="30" t="n">
        <v>1.0309</v>
      </c>
      <c r="AD234" s="24" t="inlineStr">
        <is>
          <t>2026-08-07T09:06:50.450161Z</t>
        </is>
      </c>
      <c r="AE234" s="31" t="inlineStr">
        <is>
          <t>Surface-blended Elo on Hard: Amanda Anisimova p=0.759 vs Nikola Bartunkova. Executable ask 0.6600 (aec-wta-nikbar-amaani-2026-08-06).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3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Amanda Anisimova</t>
        </is>
      </c>
      <c r="AQ234" s="24" t="inlineStr">
        <is>
          <t>Amanda Anisimova</t>
        </is>
      </c>
      <c r="AR234" s="24" t="inlineStr">
        <is>
          <t>Amanda Anisimova</t>
        </is>
      </c>
      <c r="AS234" s="24" t="inlineStr">
        <is>
          <t>Nikola Bartunkova</t>
        </is>
      </c>
      <c r="AT234" s="24" t="inlineStr">
        <is>
          <t>Nikola Bartunkova</t>
        </is>
      </c>
      <c r="AU234" s="24" t="inlineStr">
        <is>
          <t>Nikola Bartunkova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2026-08-06T18:58:03.210799Z</t>
        </is>
      </c>
      <c r="BI234" s="24" t="inlineStr">
        <is>
          <t>["same_event","same_team_same_day","same_league_same_day"]</t>
        </is>
      </c>
      <c r="BJ234" s="25" t="n"/>
      <c r="BK234" s="26" t="n">
        <v>-194</v>
      </c>
      <c r="BL234" s="27" t="n">
        <v>1.515464</v>
      </c>
      <c r="BM234" s="28" t="n">
        <v>0.659864</v>
      </c>
      <c r="BN234" s="28" t="n"/>
      <c r="BO234" s="28" t="n"/>
      <c r="BP234" s="25" t="n"/>
      <c r="BQ234" s="27" t="n">
        <v>1.515464</v>
      </c>
      <c r="BR234" s="28" t="n">
        <v>0.66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</row>
    <row r="235" ht="36" customHeight="1">
      <c r="A235" s="24" t="inlineStr">
        <is>
          <t>f53f053100944461</t>
        </is>
      </c>
      <c r="B235" s="24" t="inlineStr">
        <is>
          <t>2026-08-06T18:58:42.068094Z</t>
        </is>
      </c>
      <c r="C235" s="24" t="inlineStr">
        <is>
          <t>2026-08-06T23:00Z</t>
        </is>
      </c>
      <c r="D235" s="24" t="inlineStr">
        <is>
          <t>421-2026:182171</t>
        </is>
      </c>
      <c r="E235" s="24" t="inlineStr">
        <is>
          <t>TENNIS</t>
        </is>
      </c>
      <c r="F235" s="24" t="inlineStr">
        <is>
          <t>Zhang Shuai</t>
        </is>
      </c>
      <c r="G235" s="24" t="inlineStr">
        <is>
          <t>Aryna Sabalenka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-1329</v>
      </c>
      <c r="M235" s="27" t="n">
        <v>1.075245</v>
      </c>
      <c r="N235" s="28" t="n">
        <v>0.930021</v>
      </c>
      <c r="O235" s="28" t="n">
        <v>0.944807</v>
      </c>
      <c r="P235" s="28" t="n">
        <v>0.05</v>
      </c>
      <c r="Q235" s="28" t="n">
        <v>0.014786</v>
      </c>
      <c r="R235" s="26" t="n">
        <v>27</v>
      </c>
      <c r="S235" s="29" t="n">
        <v>0</v>
      </c>
      <c r="T235" s="24" t="inlineStr">
        <is>
          <t>tennis-surface-elo-v1</t>
        </is>
      </c>
      <c r="U235" s="24" t="inlineStr">
        <is>
          <t>settled</t>
        </is>
      </c>
      <c r="V235" s="24" t="inlineStr">
        <is>
          <t>win</t>
        </is>
      </c>
      <c r="W235" s="26" t="n">
        <v>0</v>
      </c>
      <c r="X235" s="26" t="n">
        <v>1</v>
      </c>
      <c r="Y235" s="25" t="n"/>
      <c r="Z235" s="26" t="n">
        <v>-1329</v>
      </c>
      <c r="AA235" s="28" t="n">
        <v>0.93</v>
      </c>
      <c r="AB235" s="28" t="n">
        <v>-2.1e-05</v>
      </c>
      <c r="AC235" s="30" t="n">
        <v>0</v>
      </c>
      <c r="AD235" s="24" t="inlineStr">
        <is>
          <t>2026-08-07T09:06:51.823785Z</t>
        </is>
      </c>
      <c r="AE235" s="31" t="inlineStr">
        <is>
          <t>Surface-blended Elo on Hard: Zhang Shuai p=0.055 vs Aryna Sabalenka. Executable ask 0.9300 (aec-wta-arysab-shuzha-2026-08-06).</t>
        </is>
      </c>
      <c r="AF235" s="31" t="inlineStr">
        <is>
          <t>Surface-blended Elo model; singles only, WTA+ATP market coverage, not yet locked-holdout qualified -- promoted by explicit operator directive, not genuine walk-forward validation.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NO_CALL_WINNER_OVERVALUED</t>
        </is>
      </c>
      <c r="AP235" s="24" t="inlineStr">
        <is>
          <t>Zhang Shuai</t>
        </is>
      </c>
      <c r="AQ235" s="24" t="inlineStr">
        <is>
          <t>Zhang Shuai</t>
        </is>
      </c>
      <c r="AR235" s="24" t="inlineStr">
        <is>
          <t>Zhang Shuai</t>
        </is>
      </c>
      <c r="AS235" s="24" t="inlineStr">
        <is>
          <t>Aryna Sabalenka</t>
        </is>
      </c>
      <c r="AT235" s="24" t="inlineStr">
        <is>
          <t>Aryna Sabalenka</t>
        </is>
      </c>
      <c r="AU235" s="24" t="inlineStr">
        <is>
          <t>Aryna Sabalenka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3ab056fefe04713e3c294da76c8adb2866b0dc46556ed32322a0426dd344a0e4</t>
        </is>
      </c>
      <c r="BB235" s="24" t="inlineStr">
        <is>
          <t>surface_blended_elo</t>
        </is>
      </c>
      <c r="BC235" s="24" t="inlineStr">
        <is>
          <t>tennis-surface-elo-v1</t>
        </is>
      </c>
      <c r="BD235" s="24" t="inlineStr">
        <is>
          <t>3ab056fefe04713e3c294da76c8adb2866b0dc46556ed32322a0426dd344a0e4</t>
        </is>
      </c>
      <c r="BE235" s="24" t="inlineStr">
        <is>
          <t>tennis-surface-elo-v1</t>
        </is>
      </c>
      <c r="BF235" s="24" t="inlineStr">
        <is>
          <t>1</t>
        </is>
      </c>
      <c r="BG235" s="24" t="inlineStr">
        <is>
          <t>3ab056fefe04713e3c294da76c8adb2866b0dc46556ed32322a0426dd344a0e4</t>
        </is>
      </c>
      <c r="BH235" s="24" t="inlineStr">
        <is>
          <t>2026-08-06T18:58:03.889736Z</t>
        </is>
      </c>
      <c r="BI235" s="24" t="inlineStr">
        <is>
          <t>["same_event","same_team_same_day","same_league_same_day"]</t>
        </is>
      </c>
      <c r="BJ235" s="25" t="n"/>
      <c r="BK235" s="26" t="n">
        <v>-1329</v>
      </c>
      <c r="BL235" s="27" t="n">
        <v>1.075245</v>
      </c>
      <c r="BM235" s="28" t="n">
        <v>0.930021</v>
      </c>
      <c r="BN235" s="28" t="n"/>
      <c r="BO235" s="28" t="n"/>
      <c r="BP235" s="25" t="n"/>
      <c r="BQ235" s="27" t="n">
        <v>1.075245</v>
      </c>
      <c r="BR235" s="28" t="n">
        <v>0.93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</row>
    <row r="236" ht="36" customHeight="1">
      <c r="A236" s="24" t="inlineStr">
        <is>
          <t>3c5b3b4dbb9c40dc</t>
        </is>
      </c>
      <c r="B236" s="24" t="inlineStr">
        <is>
          <t>2026-08-06T18:58:42.068094Z</t>
        </is>
      </c>
      <c r="C236" s="24" t="inlineStr">
        <is>
          <t>2026-08-06T22:00Z</t>
        </is>
      </c>
      <c r="D236" s="24" t="inlineStr">
        <is>
          <t>421-2026:181764</t>
        </is>
      </c>
      <c r="E236" s="24" t="inlineStr">
        <is>
          <t>TENNIS</t>
        </is>
      </c>
      <c r="F236" s="24" t="inlineStr">
        <is>
          <t>Alexander Blockx</t>
        </is>
      </c>
      <c r="G236" s="24" t="inlineStr">
        <is>
          <t>Jiri Lehecka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-194</v>
      </c>
      <c r="M236" s="27" t="n">
        <v>1.515464</v>
      </c>
      <c r="N236" s="28" t="n">
        <v>0.659864</v>
      </c>
      <c r="O236" s="28" t="n">
        <v>0.699884</v>
      </c>
      <c r="P236" s="28" t="n">
        <v>0.05</v>
      </c>
      <c r="Q236" s="28" t="n">
        <v>0.04002</v>
      </c>
      <c r="R236" s="26" t="n">
        <v>40</v>
      </c>
      <c r="S236" s="29" t="n">
        <v>0</v>
      </c>
      <c r="T236" s="24" t="inlineStr">
        <is>
          <t>tennis-surface-elo-v1</t>
        </is>
      </c>
      <c r="U236" s="24" t="inlineStr">
        <is>
          <t>settled</t>
        </is>
      </c>
      <c r="V236" s="24" t="inlineStr">
        <is>
          <t>win</t>
        </is>
      </c>
      <c r="W236" s="26" t="n">
        <v>0</v>
      </c>
      <c r="X236" s="26" t="n">
        <v>1</v>
      </c>
      <c r="Y236" s="25" t="n"/>
      <c r="Z236" s="26" t="n">
        <v>-194</v>
      </c>
      <c r="AA236" s="28" t="n">
        <v>0.66</v>
      </c>
      <c r="AB236" s="28" t="n">
        <v>0.000136</v>
      </c>
      <c r="AC236" s="30" t="n">
        <v>0</v>
      </c>
      <c r="AD236" s="24" t="inlineStr">
        <is>
          <t>2026-08-07T09:06:53.201796Z</t>
        </is>
      </c>
      <c r="AE236" s="31" t="inlineStr">
        <is>
          <t>Surface-blended Elo on Hard: Alexander Blockx p=0.300 vs Jiri Lehecka. Executable ask 0.6600 (aec-atp-jirleh-aleblo-2026-08-06).</t>
        </is>
      </c>
      <c r="AF236" s="31" t="inlineStr">
        <is>
          <t>Surface-blended Elo model; singles only, WTA+ATP market coverage, not yet locked-holdout qualified -- promoted by explicit operator directive, not genuine walk-forward validation.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NO_CALL_WINNER_OVERVALUED</t>
        </is>
      </c>
      <c r="AP236" s="24" t="inlineStr">
        <is>
          <t>Alexander Blockx</t>
        </is>
      </c>
      <c r="AQ236" s="24" t="inlineStr">
        <is>
          <t>Alexander Blockx</t>
        </is>
      </c>
      <c r="AR236" s="24" t="inlineStr">
        <is>
          <t>Alexander Blockx</t>
        </is>
      </c>
      <c r="AS236" s="24" t="inlineStr">
        <is>
          <t>Jiri Lehecka</t>
        </is>
      </c>
      <c r="AT236" s="24" t="inlineStr">
        <is>
          <t>Jiri Lehecka</t>
        </is>
      </c>
      <c r="AU236" s="24" t="inlineStr">
        <is>
          <t>Jiri Lehecka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3ab056fefe04713e3c294da76c8adb2866b0dc46556ed32322a0426dd344a0e4</t>
        </is>
      </c>
      <c r="BB236" s="24" t="inlineStr">
        <is>
          <t>surface_blended_elo</t>
        </is>
      </c>
      <c r="BC236" s="24" t="inlineStr">
        <is>
          <t>tennis-surface-elo-v1</t>
        </is>
      </c>
      <c r="BD236" s="24" t="inlineStr">
        <is>
          <t>3ab056fefe04713e3c294da76c8adb2866b0dc46556ed32322a0426dd344a0e4</t>
        </is>
      </c>
      <c r="BE236" s="24" t="inlineStr">
        <is>
          <t>tennis-surface-elo-v1</t>
        </is>
      </c>
      <c r="BF236" s="24" t="inlineStr">
        <is>
          <t>1</t>
        </is>
      </c>
      <c r="BG236" s="24" t="inlineStr">
        <is>
          <t>3ab056fefe04713e3c294da76c8adb2866b0dc46556ed32322a0426dd344a0e4</t>
        </is>
      </c>
      <c r="BH236" s="24" t="inlineStr">
        <is>
          <t>2026-08-06T18:58:08.954179Z</t>
        </is>
      </c>
      <c r="BI236" s="24" t="inlineStr">
        <is>
          <t>["same_event","same_team_same_day","same_league_same_day"]</t>
        </is>
      </c>
      <c r="BJ236" s="25" t="n"/>
      <c r="BK236" s="26" t="n">
        <v>-194</v>
      </c>
      <c r="BL236" s="27" t="n">
        <v>1.515464</v>
      </c>
      <c r="BM236" s="28" t="n">
        <v>0.659864</v>
      </c>
      <c r="BN236" s="28" t="n"/>
      <c r="BO236" s="28" t="n"/>
      <c r="BP236" s="25" t="n"/>
      <c r="BQ236" s="27" t="n">
        <v>1.515464</v>
      </c>
      <c r="BR236" s="28" t="n">
        <v>0.66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</row>
    <row r="237" ht="36" customHeight="1">
      <c r="A237" s="24" t="inlineStr">
        <is>
          <t>279ea3676ddb437d</t>
        </is>
      </c>
      <c r="B237" s="24" t="inlineStr">
        <is>
          <t>2026-08-06T18:58:42.068094Z</t>
        </is>
      </c>
      <c r="C237" s="24" t="inlineStr">
        <is>
          <t>2026-08-06T23:00Z</t>
        </is>
      </c>
      <c r="D237" s="24" t="inlineStr">
        <is>
          <t>421-2026:181763</t>
        </is>
      </c>
      <c r="E237" s="24" t="inlineStr">
        <is>
          <t>TENNIS</t>
        </is>
      </c>
      <c r="F237" s="24" t="inlineStr">
        <is>
          <t>Lorenzo Musetti</t>
        </is>
      </c>
      <c r="G237" s="24" t="inlineStr">
        <is>
          <t>Rafael Jodar</t>
        </is>
      </c>
      <c r="H237" s="24" t="inlineStr">
        <is>
          <t>moneyline</t>
        </is>
      </c>
      <c r="I237" s="24" t="inlineStr">
        <is>
          <t>away</t>
        </is>
      </c>
      <c r="J237" s="25" t="n"/>
      <c r="K237" s="24" t="inlineStr">
        <is>
          <t>polymarket_us</t>
        </is>
      </c>
      <c r="L237" s="26" t="n">
        <v>127</v>
      </c>
      <c r="M237" s="27" t="n">
        <v>2.27</v>
      </c>
      <c r="N237" s="28" t="n">
        <v>0.440529</v>
      </c>
      <c r="O237" s="28" t="n">
        <v>0.544019</v>
      </c>
      <c r="P237" s="28" t="n">
        <v>0.05</v>
      </c>
      <c r="Q237" s="28" t="n">
        <v>0.10349</v>
      </c>
      <c r="R237" s="26" t="n">
        <v>72</v>
      </c>
      <c r="S237" s="29" t="n">
        <v>1</v>
      </c>
      <c r="T237" s="24" t="inlineStr">
        <is>
          <t>tennis-surface-elo-v1</t>
        </is>
      </c>
      <c r="U237" s="24" t="inlineStr">
        <is>
          <t>settled</t>
        </is>
      </c>
      <c r="V237" s="24" t="inlineStr">
        <is>
          <t>loss</t>
        </is>
      </c>
      <c r="W237" s="26" t="n">
        <v>0</v>
      </c>
      <c r="X237" s="26" t="n">
        <v>1</v>
      </c>
      <c r="Y237" s="25" t="n"/>
      <c r="Z237" s="26" t="n">
        <v>127</v>
      </c>
      <c r="AA237" s="28" t="n">
        <v>0.44</v>
      </c>
      <c r="AB237" s="28" t="n">
        <v>-0.000529</v>
      </c>
      <c r="AC237" s="30" t="n">
        <v>-1</v>
      </c>
      <c r="AD237" s="24" t="inlineStr">
        <is>
          <t>2026-08-07T09:06:54.536791Z</t>
        </is>
      </c>
      <c r="AE237" s="31" t="inlineStr">
        <is>
          <t>Surface-blended Elo on Hard: Lorenzo Musetti p=0.544 vs Rafael Jodar. Executable ask 0.4400 (aec-atp-rafjod-lormus-2026-08-06).</t>
        </is>
      </c>
      <c r="AF237" s="31" t="inlineStr">
        <is>
          <t>Surface-blended Elo model; singles only, WTA+ATP market coverage, not yet locked-holdout qualified -- promoted by explicit operator directive, not genuine walk-forward validation.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Lorenzo Musetti</t>
        </is>
      </c>
      <c r="AQ237" s="24" t="inlineStr">
        <is>
          <t>Lorenzo Musetti</t>
        </is>
      </c>
      <c r="AR237" s="24" t="inlineStr">
        <is>
          <t>Lorenzo Musetti</t>
        </is>
      </c>
      <c r="AS237" s="24" t="inlineStr">
        <is>
          <t>Rafael Jodar</t>
        </is>
      </c>
      <c r="AT237" s="24" t="inlineStr">
        <is>
          <t>Rafael Jodar</t>
        </is>
      </c>
      <c r="AU237" s="24" t="inlineStr">
        <is>
          <t>Rafael Jodar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3ab056fefe04713e3c294da76c8adb2866b0dc46556ed32322a0426dd344a0e4</t>
        </is>
      </c>
      <c r="BB237" s="24" t="inlineStr">
        <is>
          <t>surface_blended_elo</t>
        </is>
      </c>
      <c r="BC237" s="24" t="inlineStr">
        <is>
          <t>tennis-surface-elo-v1</t>
        </is>
      </c>
      <c r="BD237" s="24" t="inlineStr">
        <is>
          <t>3ab056fefe04713e3c294da76c8adb2866b0dc46556ed32322a0426dd344a0e4</t>
        </is>
      </c>
      <c r="BE237" s="24" t="inlineStr">
        <is>
          <t>tennis-surface-elo-v1</t>
        </is>
      </c>
      <c r="BF237" s="24" t="inlineStr">
        <is>
          <t>1</t>
        </is>
      </c>
      <c r="BG237" s="24" t="inlineStr">
        <is>
          <t>3ab056fefe04713e3c294da76c8adb2866b0dc46556ed32322a0426dd344a0e4</t>
        </is>
      </c>
      <c r="BH237" s="24" t="inlineStr">
        <is>
          <t>2026-08-06T18:58:10.033097Z</t>
        </is>
      </c>
      <c r="BI237" s="24" t="inlineStr">
        <is>
          <t>["same_event","same_team_same_day","same_league_same_day"]</t>
        </is>
      </c>
      <c r="BJ237" s="25" t="n"/>
      <c r="BK237" s="26" t="n">
        <v>127</v>
      </c>
      <c r="BL237" s="27" t="n">
        <v>2.27</v>
      </c>
      <c r="BM237" s="28" t="n">
        <v>0.440529</v>
      </c>
      <c r="BN237" s="28" t="n"/>
      <c r="BO237" s="28" t="n"/>
      <c r="BP237" s="25" t="n"/>
      <c r="BQ237" s="27" t="n">
        <v>2.27</v>
      </c>
      <c r="BR237" s="28" t="n">
        <v>0.44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4770cc9265da4c0c</t>
        </is>
      </c>
      <c r="B238" s="24" t="inlineStr">
        <is>
          <t>2026-08-06T18:58:42.068094Z</t>
        </is>
      </c>
      <c r="C238" s="24" t="inlineStr">
        <is>
          <t>2026-08-06T23:30Z</t>
        </is>
      </c>
      <c r="D238" s="24" t="inlineStr">
        <is>
          <t>421-2026:181774</t>
        </is>
      </c>
      <c r="E238" s="24" t="inlineStr">
        <is>
          <t>TENNIS</t>
        </is>
      </c>
      <c r="F238" s="24" t="inlineStr">
        <is>
          <t>Titouan Droguet</t>
        </is>
      </c>
      <c r="G238" s="24" t="inlineStr">
        <is>
          <t>Brandon Nakashima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-317</v>
      </c>
      <c r="M238" s="27" t="n">
        <v>1.315457</v>
      </c>
      <c r="N238" s="28" t="n">
        <v>0.760192</v>
      </c>
      <c r="O238" s="28" t="n">
        <v>0.625237</v>
      </c>
      <c r="P238" s="28" t="n">
        <v>0.05</v>
      </c>
      <c r="Q238" s="28" t="n">
        <v>-0.134955</v>
      </c>
      <c r="R238" s="26" t="n">
        <v>0</v>
      </c>
      <c r="S238" s="29" t="n">
        <v>0</v>
      </c>
      <c r="T238" s="24" t="inlineStr">
        <is>
          <t>tennis-surface-elo-v1</t>
        </is>
      </c>
      <c r="U238" s="24" t="inlineStr">
        <is>
          <t>settled</t>
        </is>
      </c>
      <c r="V238" s="24" t="inlineStr">
        <is>
          <t>win</t>
        </is>
      </c>
      <c r="W238" s="26" t="n">
        <v>0</v>
      </c>
      <c r="X238" s="26" t="n">
        <v>1</v>
      </c>
      <c r="Y238" s="25" t="n"/>
      <c r="Z238" s="26" t="n">
        <v>-317</v>
      </c>
      <c r="AA238" s="28" t="n">
        <v>0.76</v>
      </c>
      <c r="AB238" s="28" t="n">
        <v>-0.000192</v>
      </c>
      <c r="AC238" s="30" t="n">
        <v>0</v>
      </c>
      <c r="AD238" s="24" t="inlineStr">
        <is>
          <t>2026-08-07T09:06:55.925627Z</t>
        </is>
      </c>
      <c r="AE238" s="31" t="inlineStr">
        <is>
          <t>Surface-blended Elo on Hard: Titouan Droguet p=0.375 vs Brandon Nakashima. Executable ask 0.7600 (aec-atp-branak-titdro-2026-08-06).</t>
        </is>
      </c>
      <c r="AF238" s="31" t="inlineStr">
        <is>
          <t>Surface-blended Elo model; singles only, WTA+ATP market coverage, not yet locked-holdout qualified -- promoted by explicit operator directive, not genuine walk-forward validation.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NO_CALL_WINNER_OVERVALUED</t>
        </is>
      </c>
      <c r="AP238" s="24" t="inlineStr">
        <is>
          <t>Titouan Droguet</t>
        </is>
      </c>
      <c r="AQ238" s="24" t="inlineStr">
        <is>
          <t>Titouan Droguet</t>
        </is>
      </c>
      <c r="AR238" s="24" t="inlineStr">
        <is>
          <t>Titouan Droguet</t>
        </is>
      </c>
      <c r="AS238" s="24" t="inlineStr">
        <is>
          <t>Brandon Nakashima</t>
        </is>
      </c>
      <c r="AT238" s="24" t="inlineStr">
        <is>
          <t>Brandon Nakashima</t>
        </is>
      </c>
      <c r="AU238" s="24" t="inlineStr">
        <is>
          <t>Brandon Nakashima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3ab056fefe04713e3c294da76c8adb2866b0dc46556ed32322a0426dd344a0e4</t>
        </is>
      </c>
      <c r="BB238" s="24" t="inlineStr">
        <is>
          <t>surface_blended_elo</t>
        </is>
      </c>
      <c r="BC238" s="24" t="inlineStr">
        <is>
          <t>tennis-surface-elo-v1</t>
        </is>
      </c>
      <c r="BD238" s="24" t="inlineStr">
        <is>
          <t>3ab056fefe04713e3c294da76c8adb2866b0dc46556ed32322a0426dd344a0e4</t>
        </is>
      </c>
      <c r="BE238" s="24" t="inlineStr">
        <is>
          <t>tennis-surface-elo-v1</t>
        </is>
      </c>
      <c r="BF238" s="24" t="inlineStr">
        <is>
          <t>1</t>
        </is>
      </c>
      <c r="BG238" s="24" t="inlineStr">
        <is>
          <t>3ab056fefe04713e3c294da76c8adb2866b0dc46556ed32322a0426dd344a0e4</t>
        </is>
      </c>
      <c r="BH238" s="24" t="inlineStr">
        <is>
          <t>2026-08-06T18:58:11.112366Z</t>
        </is>
      </c>
      <c r="BI238" s="24" t="inlineStr">
        <is>
          <t>["same_event","same_team_same_day","same_league_same_day"]</t>
        </is>
      </c>
      <c r="BJ238" s="25" t="n"/>
      <c r="BK238" s="26" t="n">
        <v>-317</v>
      </c>
      <c r="BL238" s="27" t="n">
        <v>1.315457</v>
      </c>
      <c r="BM238" s="28" t="n">
        <v>0.760192</v>
      </c>
      <c r="BN238" s="28" t="n"/>
      <c r="BO238" s="28" t="n"/>
      <c r="BP238" s="25" t="n"/>
      <c r="BQ238" s="27" t="n">
        <v>1.315457</v>
      </c>
      <c r="BR238" s="28" t="n">
        <v>0.76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</row>
    <row r="239" ht="36" customHeight="1">
      <c r="A239" s="24" t="inlineStr">
        <is>
          <t>d89010184df24a44</t>
        </is>
      </c>
      <c r="B239" s="24" t="inlineStr">
        <is>
          <t>2026-08-06T18:58:42.068094Z</t>
        </is>
      </c>
      <c r="C239" s="24" t="inlineStr">
        <is>
          <t>2026-08-07T00:30Z</t>
        </is>
      </c>
      <c r="D239" s="24" t="inlineStr">
        <is>
          <t>421-2026:181770</t>
        </is>
      </c>
      <c r="E239" s="24" t="inlineStr">
        <is>
          <t>TENNIS</t>
        </is>
      </c>
      <c r="F239" s="24" t="inlineStr">
        <is>
          <t>Arthur Rinderknech</t>
        </is>
      </c>
      <c r="G239" s="24" t="inlineStr">
        <is>
          <t>Frances Tiafoe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-178</v>
      </c>
      <c r="M239" s="27" t="n">
        <v>1.561798</v>
      </c>
      <c r="N239" s="28" t="n">
        <v>0.640288</v>
      </c>
      <c r="O239" s="28" t="n">
        <v>0.708466</v>
      </c>
      <c r="P239" s="28" t="n">
        <v>0.05</v>
      </c>
      <c r="Q239" s="28" t="n">
        <v>0.068178</v>
      </c>
      <c r="R239" s="26" t="n">
        <v>54</v>
      </c>
      <c r="S239" s="29" t="n">
        <v>0</v>
      </c>
      <c r="T239" s="24" t="inlineStr">
        <is>
          <t>tennis-surface-elo-v1</t>
        </is>
      </c>
      <c r="U239" s="24" t="inlineStr">
        <is>
          <t>settled</t>
        </is>
      </c>
      <c r="V239" s="24" t="inlineStr">
        <is>
          <t>loss</t>
        </is>
      </c>
      <c r="W239" s="26" t="n">
        <v>1</v>
      </c>
      <c r="X239" s="26" t="n">
        <v>0</v>
      </c>
      <c r="Y239" s="25" t="n"/>
      <c r="Z239" s="26" t="n">
        <v>-178</v>
      </c>
      <c r="AA239" s="28" t="n">
        <v>0.64</v>
      </c>
      <c r="AB239" s="28" t="n">
        <v>-0.000288</v>
      </c>
      <c r="AC239" s="30" t="n">
        <v>0</v>
      </c>
      <c r="AD239" s="24" t="inlineStr">
        <is>
          <t>2026-08-07T09:06:57.292388Z</t>
        </is>
      </c>
      <c r="AE239" s="31" t="inlineStr">
        <is>
          <t>Surface-blended Elo on Hard: Arthur Rinderknech p=0.292 vs Frances Tiafoe. Executable ask 0.6400 (aec-atp-fratia-artrin-2026-08-06).</t>
        </is>
      </c>
      <c r="AF239" s="31" t="inlineStr">
        <is>
          <t>Surface-blended Elo model; singles only, WTA+ATP market coverage, not yet locked-holdout qualified -- promoted by explicit operator directive, not genuine walk-forward validation.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NO_CALL_WINNER_OVERVALUED</t>
        </is>
      </c>
      <c r="AP239" s="24" t="inlineStr">
        <is>
          <t>Arthur Rinderknech</t>
        </is>
      </c>
      <c r="AQ239" s="24" t="inlineStr">
        <is>
          <t>Arthur Rinderknech</t>
        </is>
      </c>
      <c r="AR239" s="24" t="inlineStr">
        <is>
          <t>Arthur Rinderknech</t>
        </is>
      </c>
      <c r="AS239" s="24" t="inlineStr">
        <is>
          <t>Frances Tiafoe</t>
        </is>
      </c>
      <c r="AT239" s="24" t="inlineStr">
        <is>
          <t>Frances Tiafoe</t>
        </is>
      </c>
      <c r="AU239" s="24" t="inlineStr">
        <is>
          <t>Frances Tiafoe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3ab056fefe04713e3c294da76c8adb2866b0dc46556ed32322a0426dd344a0e4</t>
        </is>
      </c>
      <c r="BB239" s="24" t="inlineStr">
        <is>
          <t>surface_blended_elo</t>
        </is>
      </c>
      <c r="BC239" s="24" t="inlineStr">
        <is>
          <t>tennis-surface-elo-v1</t>
        </is>
      </c>
      <c r="BD239" s="24" t="inlineStr">
        <is>
          <t>3ab056fefe04713e3c294da76c8adb2866b0dc46556ed32322a0426dd344a0e4</t>
        </is>
      </c>
      <c r="BE239" s="24" t="inlineStr">
        <is>
          <t>tennis-surface-elo-v1</t>
        </is>
      </c>
      <c r="BF239" s="24" t="inlineStr">
        <is>
          <t>1</t>
        </is>
      </c>
      <c r="BG239" s="24" t="inlineStr">
        <is>
          <t>3ab056fefe04713e3c294da76c8adb2866b0dc46556ed32322a0426dd344a0e4</t>
        </is>
      </c>
      <c r="BH239" s="24" t="inlineStr">
        <is>
          <t>2026-08-06T18:58:11.682726Z</t>
        </is>
      </c>
      <c r="BI239" s="24" t="inlineStr">
        <is>
          <t>["same_event","same_team_same_day","same_league_same_day"]</t>
        </is>
      </c>
      <c r="BJ239" s="25" t="n"/>
      <c r="BK239" s="26" t="n">
        <v>-178</v>
      </c>
      <c r="BL239" s="27" t="n">
        <v>1.561798</v>
      </c>
      <c r="BM239" s="28" t="n">
        <v>0.640288</v>
      </c>
      <c r="BN239" s="28" t="n"/>
      <c r="BO239" s="28" t="n"/>
      <c r="BP239" s="25" t="n"/>
      <c r="BQ239" s="27" t="n">
        <v>1.561798</v>
      </c>
      <c r="BR239" s="28" t="n">
        <v>0.64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</row>
    <row r="240" ht="36" customHeight="1">
      <c r="A240" s="24" t="inlineStr">
        <is>
          <t>98f044d320824c7b</t>
        </is>
      </c>
      <c r="B240" s="24" t="inlineStr">
        <is>
          <t>2026-08-07T09:10:09.393141Z</t>
        </is>
      </c>
      <c r="C240" s="24" t="inlineStr">
        <is>
          <t>2026-08-07T10:00Z</t>
        </is>
      </c>
      <c r="D240" s="24" t="inlineStr">
        <is>
          <t>961-2026:182110</t>
        </is>
      </c>
      <c r="E240" s="24" t="inlineStr">
        <is>
          <t>TENNIS</t>
        </is>
      </c>
      <c r="F240" s="24" t="inlineStr">
        <is>
          <t>Gabriela Knutson</t>
        </is>
      </c>
      <c r="G240" s="24" t="inlineStr">
        <is>
          <t>Elizara Yaneva</t>
        </is>
      </c>
      <c r="H240" s="24" t="inlineStr">
        <is>
          <t>moneyline</t>
        </is>
      </c>
      <c r="I240" s="24" t="inlineStr">
        <is>
          <t>away</t>
        </is>
      </c>
      <c r="J240" s="25" t="n"/>
      <c r="K240" s="24" t="inlineStr">
        <is>
          <t>polymarket_us</t>
        </is>
      </c>
      <c r="L240" s="26" t="n">
        <v>138</v>
      </c>
      <c r="M240" s="27" t="n">
        <v>2.38</v>
      </c>
      <c r="N240" s="28" t="n">
        <v>0.420168</v>
      </c>
      <c r="O240" s="28" t="n">
        <v>0.551853</v>
      </c>
      <c r="P240" s="28" t="n">
        <v>0.05</v>
      </c>
      <c r="Q240" s="28" t="n">
        <v>0.131685</v>
      </c>
      <c r="R240" s="26" t="n">
        <v>86</v>
      </c>
      <c r="S240" s="29" t="n">
        <v>1</v>
      </c>
      <c r="T240" s="24" t="inlineStr">
        <is>
          <t>tennis-surface-elo-v1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0</v>
      </c>
      <c r="Y240" s="25" t="n"/>
      <c r="Z240" s="26" t="n">
        <v>138</v>
      </c>
      <c r="AA240" s="28" t="n">
        <v>0.42</v>
      </c>
      <c r="AB240" s="28" t="n">
        <v>-0.000168</v>
      </c>
      <c r="AC240" s="30" t="n">
        <v>1.38</v>
      </c>
      <c r="AD240" s="24" t="inlineStr">
        <is>
          <t>2026-08-07T12:12:40.604668Z</t>
        </is>
      </c>
      <c r="AE240" s="31" t="inlineStr">
        <is>
          <t>Surface-blended Elo on Hard: Gabriela Knutson p=0.552 vs Elizara Yaneva. Executable ask 0.4200 (aec-wta-eliyan-gabknu-2026-08-07).</t>
        </is>
      </c>
      <c r="AF240" s="31" t="inlineStr">
        <is>
          <t>Surface-blended Elo model; singles only, WTA+ATP market coverage, not yet locked-holdout qualified -- promoted by explicit operator directive, not genuine walk-forward validation.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3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Gabriela Knutson</t>
        </is>
      </c>
      <c r="AQ240" s="24" t="inlineStr">
        <is>
          <t>Gabriela Knutson</t>
        </is>
      </c>
      <c r="AR240" s="24" t="inlineStr">
        <is>
          <t>Gabriela Knutson</t>
        </is>
      </c>
      <c r="AS240" s="24" t="inlineStr">
        <is>
          <t>Elizara Yaneva</t>
        </is>
      </c>
      <c r="AT240" s="24" t="inlineStr">
        <is>
          <t>Elizara Yaneva</t>
        </is>
      </c>
      <c r="AU240" s="24" t="inlineStr">
        <is>
          <t>Elizara Yaneva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3ab056fefe04713e3c294da76c8adb2866b0dc46556ed32322a0426dd344a0e4</t>
        </is>
      </c>
      <c r="BB240" s="24" t="inlineStr">
        <is>
          <t>surface_blended_elo</t>
        </is>
      </c>
      <c r="BC240" s="24" t="inlineStr">
        <is>
          <t>tennis-surface-elo-v1</t>
        </is>
      </c>
      <c r="BD240" s="24" t="inlineStr">
        <is>
          <t>3ab056fefe04713e3c294da76c8adb2866b0dc46556ed32322a0426dd344a0e4</t>
        </is>
      </c>
      <c r="BE240" s="24" t="inlineStr">
        <is>
          <t>tennis-surface-elo-v1</t>
        </is>
      </c>
      <c r="BF240" s="24" t="inlineStr">
        <is>
          <t>1</t>
        </is>
      </c>
      <c r="BG240" s="24" t="inlineStr">
        <is>
          <t>3ab056fefe04713e3c294da76c8adb2866b0dc46556ed32322a0426dd344a0e4</t>
        </is>
      </c>
      <c r="BH240" s="24" t="inlineStr">
        <is>
          <t>2026-08-07T09:08:50.003635Z</t>
        </is>
      </c>
      <c r="BI240" s="24" t="inlineStr">
        <is>
          <t>["same_event","same_team_same_day","same_league_same_day"]</t>
        </is>
      </c>
      <c r="BJ240" s="25" t="n"/>
      <c r="BK240" s="26" t="n">
        <v>138</v>
      </c>
      <c r="BL240" s="27" t="n">
        <v>2.38</v>
      </c>
      <c r="BM240" s="28" t="n">
        <v>0.420168</v>
      </c>
      <c r="BN240" s="28" t="n"/>
      <c r="BO240" s="28" t="n"/>
      <c r="BP240" s="25" t="n"/>
      <c r="BQ240" s="27" t="n">
        <v>2.38</v>
      </c>
      <c r="BR240" s="28" t="n">
        <v>0.42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</row>
    <row r="241" ht="36" customHeight="1">
      <c r="A241" s="24" t="inlineStr">
        <is>
          <t>8378c56a2abb4aa3</t>
        </is>
      </c>
      <c r="B241" s="24" t="inlineStr">
        <is>
          <t>2026-08-07T09:10:09.393141Z</t>
        </is>
      </c>
      <c r="C241" s="24" t="inlineStr">
        <is>
          <t>2026-08-07T11:30Z</t>
        </is>
      </c>
      <c r="D241" s="24" t="inlineStr">
        <is>
          <t>961-2026:182109</t>
        </is>
      </c>
      <c r="E241" s="24" t="inlineStr">
        <is>
          <t>TENNIS</t>
        </is>
      </c>
      <c r="F241" s="24" t="inlineStr">
        <is>
          <t>Vendula Valdmannova</t>
        </is>
      </c>
      <c r="G241" s="24" t="inlineStr">
        <is>
          <t>Carol Young Suh Lee</t>
        </is>
      </c>
      <c r="H241" s="24" t="inlineStr">
        <is>
          <t>moneyline</t>
        </is>
      </c>
      <c r="I241" s="24" t="inlineStr">
        <is>
          <t>away</t>
        </is>
      </c>
      <c r="J241" s="25" t="n"/>
      <c r="K241" s="24" t="inlineStr">
        <is>
          <t>polymarket_us</t>
        </is>
      </c>
      <c r="L241" s="26" t="n">
        <v>138</v>
      </c>
      <c r="M241" s="27" t="n">
        <v>2.38</v>
      </c>
      <c r="N241" s="28" t="n">
        <v>0.420168</v>
      </c>
      <c r="O241" s="28" t="n">
        <v>0.506705</v>
      </c>
      <c r="P241" s="28" t="n">
        <v>0.05</v>
      </c>
      <c r="Q241" s="28" t="n">
        <v>0.086537</v>
      </c>
      <c r="R241" s="26" t="n">
        <v>63</v>
      </c>
      <c r="S241" s="29" t="n">
        <v>1</v>
      </c>
      <c r="T241" s="24" t="inlineStr">
        <is>
          <t>tennis-surface-elo-v1</t>
        </is>
      </c>
      <c r="U241" s="24" t="inlineStr">
        <is>
          <t>settled</t>
        </is>
      </c>
      <c r="V241" s="24" t="inlineStr">
        <is>
          <t>loss</t>
        </is>
      </c>
      <c r="W241" s="26" t="n">
        <v>0</v>
      </c>
      <c r="X241" s="26" t="n">
        <v>1</v>
      </c>
      <c r="Y241" s="25" t="n"/>
      <c r="Z241" s="26" t="n">
        <v>138</v>
      </c>
      <c r="AA241" s="28" t="n">
        <v>0.42</v>
      </c>
      <c r="AB241" s="28" t="n">
        <v>-0.000168</v>
      </c>
      <c r="AC241" s="30" t="n">
        <v>-1</v>
      </c>
      <c r="AD241" s="24" t="inlineStr">
        <is>
          <t>2026-08-07T15:18:18.340623Z</t>
        </is>
      </c>
      <c r="AE241" s="31" t="inlineStr">
        <is>
          <t>Surface-blended Elo on Hard: Vendula Valdmannova p=0.507 vs Carol Young Suh Lee. Executable ask 0.4200 (aec-wta-carlee-venval-2026-08-07).</t>
        </is>
      </c>
      <c r="AF241" s="31" t="inlineStr">
        <is>
          <t>Surface-blended Elo model; singles only, WTA+ATP market coverage, not yet locked-holdout qualified -- promoted by explicit operator directive, not genuine walk-forward validation.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NO_CALL_LOW_EDGE</t>
        </is>
      </c>
      <c r="AP241" s="24" t="inlineStr">
        <is>
          <t>Vendula Valdmannova</t>
        </is>
      </c>
      <c r="AQ241" s="24" t="inlineStr">
        <is>
          <t>Vendula Valdmannova</t>
        </is>
      </c>
      <c r="AR241" s="24" t="inlineStr">
        <is>
          <t>Vendula Valdmannova</t>
        </is>
      </c>
      <c r="AS241" s="24" t="inlineStr">
        <is>
          <t>Carol Young Suh Lee</t>
        </is>
      </c>
      <c r="AT241" s="24" t="inlineStr">
        <is>
          <t>Carol Young Suh Lee</t>
        </is>
      </c>
      <c r="AU241" s="24" t="inlineStr">
        <is>
          <t>Carol Young Suh Lee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3ab056fefe04713e3c294da76c8adb2866b0dc46556ed32322a0426dd344a0e4</t>
        </is>
      </c>
      <c r="BB241" s="24" t="inlineStr">
        <is>
          <t>surface_blended_elo</t>
        </is>
      </c>
      <c r="BC241" s="24" t="inlineStr">
        <is>
          <t>tennis-surface-elo-v1</t>
        </is>
      </c>
      <c r="BD241" s="24" t="inlineStr">
        <is>
          <t>3ab056fefe04713e3c294da76c8adb2866b0dc46556ed32322a0426dd344a0e4</t>
        </is>
      </c>
      <c r="BE241" s="24" t="inlineStr">
        <is>
          <t>tennis-surface-elo-v1</t>
        </is>
      </c>
      <c r="BF241" s="24" t="inlineStr">
        <is>
          <t>1</t>
        </is>
      </c>
      <c r="BG241" s="24" t="inlineStr">
        <is>
          <t>3ab056fefe04713e3c294da76c8adb2866b0dc46556ed32322a0426dd344a0e4</t>
        </is>
      </c>
      <c r="BH241" s="24" t="inlineStr">
        <is>
          <t>2026-08-07T09:08:47.909222Z</t>
        </is>
      </c>
      <c r="BI241" s="24" t="inlineStr">
        <is>
          <t>["same_event","same_team_same_day","same_league_same_day"]</t>
        </is>
      </c>
      <c r="BJ241" s="25" t="n"/>
      <c r="BK241" s="26" t="n">
        <v>138</v>
      </c>
      <c r="BL241" s="27" t="n">
        <v>2.38</v>
      </c>
      <c r="BM241" s="28" t="n">
        <v>0.420168</v>
      </c>
      <c r="BN241" s="28" t="n"/>
      <c r="BO241" s="28" t="n"/>
      <c r="BP241" s="25" t="n"/>
      <c r="BQ241" s="27" t="n">
        <v>2.38</v>
      </c>
      <c r="BR241" s="28" t="n">
        <v>0.42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</row>
    <row r="242" ht="36" customHeight="1">
      <c r="A242" s="24" t="inlineStr">
        <is>
          <t>13d6ff5bab7c4187</t>
        </is>
      </c>
      <c r="B242" s="24" t="inlineStr">
        <is>
          <t>2026-08-07T12:15:56.643858Z</t>
        </is>
      </c>
      <c r="C242" s="24" t="inlineStr">
        <is>
          <t>2026-08-07T15:00Z</t>
        </is>
      </c>
      <c r="D242" s="24" t="inlineStr">
        <is>
          <t>421-2026:182219</t>
        </is>
      </c>
      <c r="E242" s="24" t="inlineStr">
        <is>
          <t>TENNIS</t>
        </is>
      </c>
      <c r="F242" s="24" t="inlineStr">
        <is>
          <t>Alina Korneeva</t>
        </is>
      </c>
      <c r="G242" s="24" t="inlineStr">
        <is>
          <t>Iva Jovic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-194</v>
      </c>
      <c r="M242" s="27" t="n">
        <v>1.515464</v>
      </c>
      <c r="N242" s="28" t="n">
        <v>0.659864</v>
      </c>
      <c r="O242" s="28" t="n">
        <v>0.735589</v>
      </c>
      <c r="P242" s="28" t="n">
        <v>0.05</v>
      </c>
      <c r="Q242" s="28" t="n">
        <v>0.075725</v>
      </c>
      <c r="R242" s="26" t="n">
        <v>58</v>
      </c>
      <c r="S242" s="29" t="n">
        <v>0</v>
      </c>
      <c r="T242" s="24" t="inlineStr">
        <is>
          <t>tennis-surface-elo-v1</t>
        </is>
      </c>
      <c r="U242" s="24" t="inlineStr">
        <is>
          <t>settled</t>
        </is>
      </c>
      <c r="V242" s="24" t="inlineStr">
        <is>
          <t>loss</t>
        </is>
      </c>
      <c r="W242" s="26" t="n">
        <v>1</v>
      </c>
      <c r="X242" s="26" t="n">
        <v>0</v>
      </c>
      <c r="Y242" s="25" t="n"/>
      <c r="Z242" s="26" t="n">
        <v>-194</v>
      </c>
      <c r="AA242" s="28" t="n">
        <v>0.66</v>
      </c>
      <c r="AB242" s="28" t="n">
        <v>0.000136</v>
      </c>
      <c r="AC242" s="30" t="n">
        <v>0</v>
      </c>
      <c r="AD242" s="24" t="inlineStr">
        <is>
          <t>2026-08-07T18:25:54.678627Z</t>
        </is>
      </c>
      <c r="AE242" s="31" t="inlineStr">
        <is>
          <t>Surface-blended Elo on Hard: Alina Korneeva p=0.264 vs Iva Jovic. Executable ask 0.6600 (aec-wta-ivajov-alikor-2026-08-08).</t>
        </is>
      </c>
      <c r="AF242" s="31" t="inlineStr">
        <is>
          <t>Surface-blended Elo model; singles only, WTA+ATP market coverage, not yet locked-holdout qualified -- promoted by explicit operator directive, not genuine walk-forward validation.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NO_CALL_WINNER_OVERVALUED</t>
        </is>
      </c>
      <c r="AP242" s="24" t="inlineStr">
        <is>
          <t>Alina Korneeva</t>
        </is>
      </c>
      <c r="AQ242" s="24" t="inlineStr">
        <is>
          <t>Alina Korneeva</t>
        </is>
      </c>
      <c r="AR242" s="24" t="inlineStr">
        <is>
          <t>Alina Korneeva</t>
        </is>
      </c>
      <c r="AS242" s="24" t="inlineStr">
        <is>
          <t>Iva Jovic</t>
        </is>
      </c>
      <c r="AT242" s="24" t="inlineStr">
        <is>
          <t>Iva Jovic</t>
        </is>
      </c>
      <c r="AU242" s="24" t="inlineStr">
        <is>
          <t>Iva Jovic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3ab056fefe04713e3c294da76c8adb2866b0dc46556ed32322a0426dd344a0e4</t>
        </is>
      </c>
      <c r="BB242" s="24" t="inlineStr">
        <is>
          <t>surface_blended_elo</t>
        </is>
      </c>
      <c r="BC242" s="24" t="inlineStr">
        <is>
          <t>tennis-surface-elo-v1</t>
        </is>
      </c>
      <c r="BD242" s="24" t="inlineStr">
        <is>
          <t>3ab056fefe04713e3c294da76c8adb2866b0dc46556ed32322a0426dd344a0e4</t>
        </is>
      </c>
      <c r="BE242" s="24" t="inlineStr">
        <is>
          <t>tennis-surface-elo-v1</t>
        </is>
      </c>
      <c r="BF242" s="24" t="inlineStr">
        <is>
          <t>1</t>
        </is>
      </c>
      <c r="BG242" s="24" t="inlineStr">
        <is>
          <t>3ab056fefe04713e3c294da76c8adb2866b0dc46556ed32322a0426dd344a0e4</t>
        </is>
      </c>
      <c r="BH242" s="24" t="inlineStr">
        <is>
          <t>2026-08-07T12:14:49.574708Z</t>
        </is>
      </c>
      <c r="BI242" s="24" t="inlineStr">
        <is>
          <t>["same_event","same_team_same_day","same_league_same_day"]</t>
        </is>
      </c>
      <c r="BJ242" s="25" t="n"/>
      <c r="BK242" s="26" t="n">
        <v>-194</v>
      </c>
      <c r="BL242" s="27" t="n">
        <v>1.515464</v>
      </c>
      <c r="BM242" s="28" t="n">
        <v>0.659864</v>
      </c>
      <c r="BN242" s="28" t="n"/>
      <c r="BO242" s="28" t="n"/>
      <c r="BP242" s="25" t="n"/>
      <c r="BQ242" s="27" t="n">
        <v>1.515464</v>
      </c>
      <c r="BR242" s="28" t="n">
        <v>0.66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</row>
    <row r="243" ht="36" customHeight="1">
      <c r="A243" s="24" t="inlineStr">
        <is>
          <t>174ea6893d0a4c75</t>
        </is>
      </c>
      <c r="B243" s="24" t="inlineStr">
        <is>
          <t>2026-08-07T15:22:21.644116Z</t>
        </is>
      </c>
      <c r="C243" s="24" t="inlineStr">
        <is>
          <t>2026-08-07T16:30Z</t>
        </is>
      </c>
      <c r="D243" s="24" t="inlineStr">
        <is>
          <t>421-2026:182184</t>
        </is>
      </c>
      <c r="E243" s="24" t="inlineStr">
        <is>
          <t>TENNIS</t>
        </is>
      </c>
      <c r="F243" s="24" t="inlineStr">
        <is>
          <t>Elena Rybakina</t>
        </is>
      </c>
      <c r="G243" s="24" t="inlineStr">
        <is>
          <t>Ann Li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-525</v>
      </c>
      <c r="M243" s="27" t="n">
        <v>1.190476</v>
      </c>
      <c r="N243" s="28" t="n">
        <v>0.84</v>
      </c>
      <c r="O243" s="28" t="n">
        <v>0.871383</v>
      </c>
      <c r="P243" s="28" t="n">
        <v>0.05</v>
      </c>
      <c r="Q243" s="28" t="n">
        <v>0.031383</v>
      </c>
      <c r="R243" s="26" t="n">
        <v>36</v>
      </c>
      <c r="S243" s="29" t="n">
        <v>0</v>
      </c>
      <c r="T243" s="24" t="inlineStr">
        <is>
          <t>tennis-surface-elo-v1</t>
        </is>
      </c>
      <c r="U243" s="24" t="inlineStr">
        <is>
          <t>settled</t>
        </is>
      </c>
      <c r="V243" s="24" t="inlineStr">
        <is>
          <t>win</t>
        </is>
      </c>
      <c r="W243" s="26" t="n">
        <v>1</v>
      </c>
      <c r="X243" s="26" t="n">
        <v>0</v>
      </c>
      <c r="Y243" s="25" t="n"/>
      <c r="Z243" s="26" t="n">
        <v>-525</v>
      </c>
      <c r="AA243" s="28" t="n">
        <v>0.84</v>
      </c>
      <c r="AB243" s="28" t="n">
        <v>0</v>
      </c>
      <c r="AC243" s="30" t="n">
        <v>0</v>
      </c>
      <c r="AD243" s="24" t="inlineStr">
        <is>
          <t>2026-08-07T18:25:57.376319Z</t>
        </is>
      </c>
      <c r="AE243" s="31" t="inlineStr">
        <is>
          <t>Surface-blended Elo on Hard: Elena Rybakina p=0.871 vs Ann Li. Executable ask 0.8400 (aec-wta-annli-eleryb-2026-08-06).</t>
        </is>
      </c>
      <c r="AF243" s="31" t="inlineStr">
        <is>
          <t>Surface-blended Elo model; singles only, WTA+ATP market coverage, not yet locked-holdout qualified -- promoted by explicit operator directive, not genuine walk-forward validation.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NO_CALL_WINNER_OVERVALUED</t>
        </is>
      </c>
      <c r="AP243" s="24" t="inlineStr">
        <is>
          <t>Elena Rybakina</t>
        </is>
      </c>
      <c r="AQ243" s="24" t="inlineStr">
        <is>
          <t>Elena Rybakina</t>
        </is>
      </c>
      <c r="AR243" s="24" t="inlineStr">
        <is>
          <t>Elena Rybakina</t>
        </is>
      </c>
      <c r="AS243" s="24" t="inlineStr">
        <is>
          <t>Ann Li</t>
        </is>
      </c>
      <c r="AT243" s="24" t="inlineStr">
        <is>
          <t>Ann Li</t>
        </is>
      </c>
      <c r="AU243" s="24" t="inlineStr">
        <is>
          <t>Ann Li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3ab056fefe04713e3c294da76c8adb2866b0dc46556ed32322a0426dd344a0e4</t>
        </is>
      </c>
      <c r="BB243" s="24" t="inlineStr">
        <is>
          <t>surface_blended_elo</t>
        </is>
      </c>
      <c r="BC243" s="24" t="inlineStr">
        <is>
          <t>tennis-surface-elo-v1</t>
        </is>
      </c>
      <c r="BD243" s="24" t="inlineStr">
        <is>
          <t>3ab056fefe04713e3c294da76c8adb2866b0dc46556ed32322a0426dd344a0e4</t>
        </is>
      </c>
      <c r="BE243" s="24" t="inlineStr">
        <is>
          <t>tennis-surface-elo-v1</t>
        </is>
      </c>
      <c r="BF243" s="24" t="inlineStr">
        <is>
          <t>1</t>
        </is>
      </c>
      <c r="BG243" s="24" t="inlineStr">
        <is>
          <t>3ab056fefe04713e3c294da76c8adb2866b0dc46556ed32322a0426dd344a0e4</t>
        </is>
      </c>
      <c r="BH243" s="24" t="inlineStr">
        <is>
          <t>2026-08-07T15:20:44.712108Z</t>
        </is>
      </c>
      <c r="BI243" s="24" t="inlineStr">
        <is>
          <t>["same_event","same_team_same_day","same_league_same_day"]</t>
        </is>
      </c>
      <c r="BJ243" s="25" t="n"/>
      <c r="BK243" s="26" t="n">
        <v>-525</v>
      </c>
      <c r="BL243" s="27" t="n">
        <v>1.190476</v>
      </c>
      <c r="BM243" s="28" t="n">
        <v>0.84</v>
      </c>
      <c r="BN243" s="28" t="n"/>
      <c r="BO243" s="28" t="n"/>
      <c r="BP243" s="25" t="n"/>
      <c r="BQ243" s="27" t="n">
        <v>1.190476</v>
      </c>
      <c r="BR243" s="28" t="n">
        <v>0.84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</row>
    <row r="244" ht="36" customHeight="1">
      <c r="A244" s="24" t="inlineStr">
        <is>
          <t>44ab552493904555</t>
        </is>
      </c>
      <c r="B244" s="24" t="inlineStr">
        <is>
          <t>2026-08-07T15:22:21.644116Z</t>
        </is>
      </c>
      <c r="C244" s="24" t="inlineStr">
        <is>
          <t>2026-08-07T17:30Z</t>
        </is>
      </c>
      <c r="D244" s="24" t="inlineStr">
        <is>
          <t>421-2026:182198</t>
        </is>
      </c>
      <c r="E244" s="24" t="inlineStr">
        <is>
          <t>TENNIS</t>
        </is>
      </c>
      <c r="F244" s="24" t="inlineStr">
        <is>
          <t>Leylah Fernandez</t>
        </is>
      </c>
      <c r="G244" s="24" t="inlineStr">
        <is>
          <t>Mirra Andreeva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polymarket_us</t>
        </is>
      </c>
      <c r="L244" s="26" t="n">
        <v>-376</v>
      </c>
      <c r="M244" s="27" t="n">
        <v>1.265957</v>
      </c>
      <c r="N244" s="28" t="n">
        <v>0.789916</v>
      </c>
      <c r="O244" s="28" t="n">
        <v>0.775234</v>
      </c>
      <c r="P244" s="28" t="n">
        <v>0.05</v>
      </c>
      <c r="Q244" s="28" t="n">
        <v>-0.014682</v>
      </c>
      <c r="R244" s="26" t="n">
        <v>13</v>
      </c>
      <c r="S244" s="29" t="n">
        <v>0</v>
      </c>
      <c r="T244" s="24" t="inlineStr">
        <is>
          <t>tennis-surface-elo-v1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Surface-blended Elo on Hard: Leylah Fernandez p=0.225 vs Mirra Andreeva. Executable ask 0.7900 (aec-wta-mirand-leyfer-2026-08-08).</t>
        </is>
      </c>
      <c r="AF244" s="31" t="inlineStr">
        <is>
          <t>Surface-blended Elo model; singles only, WTA+ATP market coverage, not yet locked-holdout qualified -- promoted by explicit operator directive, not genuine walk-forward validation.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NO_CALL_WINNER_OVERVALUED</t>
        </is>
      </c>
      <c r="AP244" s="24" t="inlineStr">
        <is>
          <t>Leylah Fernandez</t>
        </is>
      </c>
      <c r="AQ244" s="24" t="inlineStr">
        <is>
          <t>Leylah Fernandez</t>
        </is>
      </c>
      <c r="AR244" s="24" t="inlineStr">
        <is>
          <t>Leylah Fernandez</t>
        </is>
      </c>
      <c r="AS244" s="24" t="inlineStr">
        <is>
          <t>Mirra Andreeva</t>
        </is>
      </c>
      <c r="AT244" s="24" t="inlineStr">
        <is>
          <t>Mirra Andreeva</t>
        </is>
      </c>
      <c r="AU244" s="24" t="inlineStr">
        <is>
          <t>Mirra Andreeva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3ab056fefe04713e3c294da76c8adb2866b0dc46556ed32322a0426dd344a0e4</t>
        </is>
      </c>
      <c r="BB244" s="24" t="inlineStr">
        <is>
          <t>surface_blended_elo</t>
        </is>
      </c>
      <c r="BC244" s="24" t="inlineStr">
        <is>
          <t>tennis-surface-elo-v1</t>
        </is>
      </c>
      <c r="BD244" s="24" t="inlineStr">
        <is>
          <t>3ab056fefe04713e3c294da76c8adb2866b0dc46556ed32322a0426dd344a0e4</t>
        </is>
      </c>
      <c r="BE244" s="24" t="inlineStr">
        <is>
          <t>tennis-surface-elo-v1</t>
        </is>
      </c>
      <c r="BF244" s="24" t="inlineStr">
        <is>
          <t>1</t>
        </is>
      </c>
      <c r="BG244" s="24" t="inlineStr">
        <is>
          <t>3ab056fefe04713e3c294da76c8adb2866b0dc46556ed32322a0426dd344a0e4</t>
        </is>
      </c>
      <c r="BH244" s="24" t="inlineStr">
        <is>
          <t>2026-08-07T15:20:45.190634Z</t>
        </is>
      </c>
      <c r="BI244" s="24" t="inlineStr">
        <is>
          <t>["same_event","same_team_same_day","same_league_same_day"]</t>
        </is>
      </c>
      <c r="BJ244" s="25" t="n"/>
      <c r="BK244" s="26" t="n">
        <v>-376</v>
      </c>
      <c r="BL244" s="27" t="n">
        <v>1.265957</v>
      </c>
      <c r="BM244" s="28" t="n">
        <v>0.789916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d775004207ca4eb4</t>
        </is>
      </c>
      <c r="B245" s="24" t="inlineStr">
        <is>
          <t>2026-08-07T15:22:21.644116Z</t>
        </is>
      </c>
      <c r="C245" s="24" t="inlineStr">
        <is>
          <t>2026-08-07T16:30Z</t>
        </is>
      </c>
      <c r="D245" s="24" t="inlineStr">
        <is>
          <t>421-2026:181725</t>
        </is>
      </c>
      <c r="E245" s="24" t="inlineStr">
        <is>
          <t>TENNIS</t>
        </is>
      </c>
      <c r="F245" s="24" t="inlineStr">
        <is>
          <t>Matteo Arnaldi</t>
        </is>
      </c>
      <c r="G245" s="24" t="inlineStr">
        <is>
          <t>Tallon Griekspoor</t>
        </is>
      </c>
      <c r="H245" s="24" t="inlineStr">
        <is>
          <t>moneyline</t>
        </is>
      </c>
      <c r="I245" s="24" t="inlineStr">
        <is>
          <t>home</t>
        </is>
      </c>
      <c r="J245" s="25" t="n"/>
      <c r="K245" s="24" t="inlineStr">
        <is>
          <t>polymarket_us</t>
        </is>
      </c>
      <c r="L245" s="26" t="n">
        <v>-194</v>
      </c>
      <c r="M245" s="27" t="n">
        <v>1.515464</v>
      </c>
      <c r="N245" s="28" t="n">
        <v>0.659864</v>
      </c>
      <c r="O245" s="28" t="n">
        <v>0.577767</v>
      </c>
      <c r="P245" s="28" t="n">
        <v>0.05</v>
      </c>
      <c r="Q245" s="28" t="n">
        <v>-0.082097</v>
      </c>
      <c r="R245" s="26" t="n">
        <v>0</v>
      </c>
      <c r="S245" s="29" t="n">
        <v>0</v>
      </c>
      <c r="T245" s="24" t="inlineStr">
        <is>
          <t>tennis-surface-elo-v1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Surface-blended Elo on Hard: Matteo Arnaldi p=0.422 vs Tallon Griekspoor. Executable ask 0.6600 (aec-atp-talgri-matarn-2026-08-06).</t>
        </is>
      </c>
      <c r="AF245" s="31" t="inlineStr">
        <is>
          <t>Surface-blended Elo model; singles only, WTA+ATP market coverage, not yet locked-holdout qualified -- promoted by explicit operator directive, not genuine walk-forward validation.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NO_CALL_WINNER_OVERVALUED</t>
        </is>
      </c>
      <c r="AP245" s="24" t="inlineStr">
        <is>
          <t>Matteo Arnaldi</t>
        </is>
      </c>
      <c r="AQ245" s="24" t="inlineStr">
        <is>
          <t>Matteo Arnaldi</t>
        </is>
      </c>
      <c r="AR245" s="24" t="inlineStr">
        <is>
          <t>Matteo Arnaldi</t>
        </is>
      </c>
      <c r="AS245" s="24" t="inlineStr">
        <is>
          <t>Tallon Griekspoor</t>
        </is>
      </c>
      <c r="AT245" s="24" t="inlineStr">
        <is>
          <t>Tallon Griekspoor</t>
        </is>
      </c>
      <c r="AU245" s="24" t="inlineStr">
        <is>
          <t>Tallon Griekspoor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3ab056fefe04713e3c294da76c8adb2866b0dc46556ed32322a0426dd344a0e4</t>
        </is>
      </c>
      <c r="BB245" s="24" t="inlineStr">
        <is>
          <t>surface_blended_elo</t>
        </is>
      </c>
      <c r="BC245" s="24" t="inlineStr">
        <is>
          <t>tennis-surface-elo-v1</t>
        </is>
      </c>
      <c r="BD245" s="24" t="inlineStr">
        <is>
          <t>3ab056fefe04713e3c294da76c8adb2866b0dc46556ed32322a0426dd344a0e4</t>
        </is>
      </c>
      <c r="BE245" s="24" t="inlineStr">
        <is>
          <t>tennis-surface-elo-v1</t>
        </is>
      </c>
      <c r="BF245" s="24" t="inlineStr">
        <is>
          <t>1</t>
        </is>
      </c>
      <c r="BG245" s="24" t="inlineStr">
        <is>
          <t>3ab056fefe04713e3c294da76c8adb2866b0dc46556ed32322a0426dd344a0e4</t>
        </is>
      </c>
      <c r="BH245" s="24" t="inlineStr">
        <is>
          <t>2026-08-07T15:20:50.125037Z</t>
        </is>
      </c>
      <c r="BI245" s="24" t="inlineStr">
        <is>
          <t>["same_event","same_team_same_day","same_league_same_day"]</t>
        </is>
      </c>
      <c r="BJ245" s="25" t="n"/>
      <c r="BK245" s="26" t="n">
        <v>-194</v>
      </c>
      <c r="BL245" s="27" t="n">
        <v>1.515464</v>
      </c>
      <c r="BM245" s="28" t="n">
        <v>0.659864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</row>
    <row r="246" ht="36" customHeight="1">
      <c r="A246" s="24" t="inlineStr">
        <is>
          <t>b21dcf0589eb4d96</t>
        </is>
      </c>
      <c r="B246" s="24" t="inlineStr">
        <is>
          <t>2026-08-07T15:22:21.644116Z</t>
        </is>
      </c>
      <c r="C246" s="24" t="inlineStr">
        <is>
          <t>2026-08-07T16:30Z</t>
        </is>
      </c>
      <c r="D246" s="24" t="inlineStr">
        <is>
          <t>421-2026:181728</t>
        </is>
      </c>
      <c r="E246" s="24" t="inlineStr">
        <is>
          <t>TENNIS</t>
        </is>
      </c>
      <c r="F246" s="24" t="inlineStr">
        <is>
          <t>Alex Michelsen</t>
        </is>
      </c>
      <c r="G246" s="24" t="inlineStr">
        <is>
          <t>Daniel Merida</t>
        </is>
      </c>
      <c r="H246" s="24" t="inlineStr">
        <is>
          <t>moneyline</t>
        </is>
      </c>
      <c r="I246" s="24" t="inlineStr">
        <is>
          <t>away</t>
        </is>
      </c>
      <c r="J246" s="25" t="n"/>
      <c r="K246" s="24" t="inlineStr">
        <is>
          <t>polymarket_us</t>
        </is>
      </c>
      <c r="L246" s="26" t="n">
        <v>-257</v>
      </c>
      <c r="M246" s="27" t="n">
        <v>1.389105</v>
      </c>
      <c r="N246" s="28" t="n">
        <v>0.719888</v>
      </c>
      <c r="O246" s="28" t="n">
        <v>0.555003</v>
      </c>
      <c r="P246" s="28" t="n">
        <v>0.05</v>
      </c>
      <c r="Q246" s="28" t="n">
        <v>-0.164885</v>
      </c>
      <c r="R246" s="26" t="n">
        <v>0</v>
      </c>
      <c r="S246" s="29" t="n">
        <v>0</v>
      </c>
      <c r="T246" s="24" t="inlineStr">
        <is>
          <t>tennis-surface-elo-v1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Surface-blended Elo on Hard: Alex Michelsen p=0.555 vs Daniel Merida. Executable ask 0.7200 (aec-atp-danagu-alemic-2026-08-07).</t>
        </is>
      </c>
      <c r="AF246" s="31" t="inlineStr">
        <is>
          <t>Surface-blended Elo model; singles only, WTA+ATP market coverage, not yet locked-holdout qualified -- promoted by explicit operator directive, not genuine walk-forward validation.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NO_CALL_WINNER_OVERVALUED</t>
        </is>
      </c>
      <c r="AP246" s="24" t="inlineStr">
        <is>
          <t>Alex Michelsen</t>
        </is>
      </c>
      <c r="AQ246" s="24" t="inlineStr">
        <is>
          <t>Alex Michelsen</t>
        </is>
      </c>
      <c r="AR246" s="24" t="inlineStr">
        <is>
          <t>Alex Michelsen</t>
        </is>
      </c>
      <c r="AS246" s="24" t="inlineStr">
        <is>
          <t>Daniel Merida</t>
        </is>
      </c>
      <c r="AT246" s="24" t="inlineStr">
        <is>
          <t>Daniel Merida</t>
        </is>
      </c>
      <c r="AU246" s="24" t="inlineStr">
        <is>
          <t>Daniel Merida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3ab056fefe04713e3c294da76c8adb2866b0dc46556ed32322a0426dd344a0e4</t>
        </is>
      </c>
      <c r="BB246" s="24" t="inlineStr">
        <is>
          <t>surface_blended_elo</t>
        </is>
      </c>
      <c r="BC246" s="24" t="inlineStr">
        <is>
          <t>tennis-surface-elo-v1</t>
        </is>
      </c>
      <c r="BD246" s="24" t="inlineStr">
        <is>
          <t>3ab056fefe04713e3c294da76c8adb2866b0dc46556ed32322a0426dd344a0e4</t>
        </is>
      </c>
      <c r="BE246" s="24" t="inlineStr">
        <is>
          <t>tennis-surface-elo-v1</t>
        </is>
      </c>
      <c r="BF246" s="24" t="inlineStr">
        <is>
          <t>1</t>
        </is>
      </c>
      <c r="BG246" s="24" t="inlineStr">
        <is>
          <t>3ab056fefe04713e3c294da76c8adb2866b0dc46556ed32322a0426dd344a0e4</t>
        </is>
      </c>
      <c r="BH246" s="24" t="inlineStr">
        <is>
          <t>2026-08-07T15:20:51.879770Z</t>
        </is>
      </c>
      <c r="BI246" s="24" t="inlineStr">
        <is>
          <t>["same_event","same_team_same_day","same_league_same_day"]</t>
        </is>
      </c>
      <c r="BJ246" s="25" t="n"/>
      <c r="BK246" s="26" t="n">
        <v>-257</v>
      </c>
      <c r="BL246" s="27" t="n">
        <v>1.389105</v>
      </c>
      <c r="BM246" s="28" t="n">
        <v>0.719888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</row>
    <row r="247" ht="36" customHeight="1">
      <c r="A247" s="24" t="inlineStr">
        <is>
          <t>41de4fbbaf384439</t>
        </is>
      </c>
      <c r="B247" s="24" t="inlineStr">
        <is>
          <t>2026-08-07T15:22:21.644116Z</t>
        </is>
      </c>
      <c r="C247" s="24" t="inlineStr">
        <is>
          <t>2026-08-07T18:00Z</t>
        </is>
      </c>
      <c r="D247" s="24" t="inlineStr">
        <is>
          <t>421-2026:181754</t>
        </is>
      </c>
      <c r="E247" s="24" t="inlineStr">
        <is>
          <t>TENNIS</t>
        </is>
      </c>
      <c r="F247" s="24" t="inlineStr">
        <is>
          <t>Ben Shelton</t>
        </is>
      </c>
      <c r="G247" s="24" t="inlineStr">
        <is>
          <t>Zizou Bergs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-270</v>
      </c>
      <c r="M247" s="27" t="n">
        <v>1.37037</v>
      </c>
      <c r="N247" s="28" t="n">
        <v>0.72973</v>
      </c>
      <c r="O247" s="28" t="n">
        <v>0.76591</v>
      </c>
      <c r="P247" s="28" t="n">
        <v>0.05</v>
      </c>
      <c r="Q247" s="28" t="n">
        <v>0.03618</v>
      </c>
      <c r="R247" s="26" t="n">
        <v>38</v>
      </c>
      <c r="S247" s="29" t="n">
        <v>0</v>
      </c>
      <c r="T247" s="24" t="inlineStr">
        <is>
          <t>tennis-surface-elo-v1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Surface-blended Elo on Hard: Ben Shelton p=0.766 vs Zizou Bergs. Executable ask 0.7300 (aec-atp-zizber-benshe-2026-08-07).</t>
        </is>
      </c>
      <c r="AF247" s="31" t="inlineStr">
        <is>
          <t>Surface-blended Elo model; singles only, WTA+ATP market coverage, not yet locked-holdout qualified -- promoted by explicit operator directive, not genuine walk-forward validation.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NO_CALL_WINNER_OVERVALUED</t>
        </is>
      </c>
      <c r="AP247" s="24" t="inlineStr">
        <is>
          <t>Ben Shelton</t>
        </is>
      </c>
      <c r="AQ247" s="24" t="inlineStr">
        <is>
          <t>Ben Shelton</t>
        </is>
      </c>
      <c r="AR247" s="24" t="inlineStr">
        <is>
          <t>Ben Shelton</t>
        </is>
      </c>
      <c r="AS247" s="24" t="inlineStr">
        <is>
          <t>Zizou Bergs</t>
        </is>
      </c>
      <c r="AT247" s="24" t="inlineStr">
        <is>
          <t>Zizou Bergs</t>
        </is>
      </c>
      <c r="AU247" s="24" t="inlineStr">
        <is>
          <t>Zizou Bergs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3ab056fefe04713e3c294da76c8adb2866b0dc46556ed32322a0426dd344a0e4</t>
        </is>
      </c>
      <c r="BB247" s="24" t="inlineStr">
        <is>
          <t>surface_blended_elo</t>
        </is>
      </c>
      <c r="BC247" s="24" t="inlineStr">
        <is>
          <t>tennis-surface-elo-v1</t>
        </is>
      </c>
      <c r="BD247" s="24" t="inlineStr">
        <is>
          <t>3ab056fefe04713e3c294da76c8adb2866b0dc46556ed32322a0426dd344a0e4</t>
        </is>
      </c>
      <c r="BE247" s="24" t="inlineStr">
        <is>
          <t>tennis-surface-elo-v1</t>
        </is>
      </c>
      <c r="BF247" s="24" t="inlineStr">
        <is>
          <t>1</t>
        </is>
      </c>
      <c r="BG247" s="24" t="inlineStr">
        <is>
          <t>3ab056fefe04713e3c294da76c8adb2866b0dc46556ed32322a0426dd344a0e4</t>
        </is>
      </c>
      <c r="BH247" s="24" t="inlineStr">
        <is>
          <t>2026-08-07T15:20:53.852912Z</t>
        </is>
      </c>
      <c r="BI247" s="24" t="inlineStr">
        <is>
          <t>["same_event","same_team_same_day","same_league_same_day"]</t>
        </is>
      </c>
      <c r="BJ247" s="25" t="n"/>
      <c r="BK247" s="26" t="n">
        <v>-270</v>
      </c>
      <c r="BL247" s="27" t="n">
        <v>1.37037</v>
      </c>
      <c r="BM247" s="28" t="n">
        <v>0.72973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</row>
    <row r="248" ht="36" customHeight="1">
      <c r="A248" s="24" t="inlineStr">
        <is>
          <t>050eb285078c4188</t>
        </is>
      </c>
      <c r="B248" s="24" t="inlineStr">
        <is>
          <t>2026-08-07T15:22:21.644116Z</t>
        </is>
      </c>
      <c r="C248" s="24" t="inlineStr">
        <is>
          <t>2026-08-07T18:00Z</t>
        </is>
      </c>
      <c r="D248" s="24" t="inlineStr">
        <is>
          <t>421-2026:181771</t>
        </is>
      </c>
      <c r="E248" s="24" t="inlineStr">
        <is>
          <t>TENNIS</t>
        </is>
      </c>
      <c r="F248" s="24" t="inlineStr">
        <is>
          <t>Hubert Hurkacz</t>
        </is>
      </c>
      <c r="G248" s="24" t="inlineStr">
        <is>
          <t>Botic Van De Zandschulp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186</v>
      </c>
      <c r="M248" s="27" t="n">
        <v>2.86</v>
      </c>
      <c r="N248" s="28" t="n">
        <v>0.34965</v>
      </c>
      <c r="O248" s="28" t="n">
        <v>0.505166</v>
      </c>
      <c r="P248" s="28" t="n">
        <v>0.05</v>
      </c>
      <c r="Q248" s="28" t="n">
        <v>0.155516</v>
      </c>
      <c r="R248" s="26" t="n">
        <v>98</v>
      </c>
      <c r="S248" s="29" t="n">
        <v>1</v>
      </c>
      <c r="T248" s="24" t="inlineStr">
        <is>
          <t>tennis-surface-elo-v1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Surface-blended Elo on Hard: Hubert Hurkacz p=0.495 vs Botic Van De Zandschulp. Executable ask 0.3500 (aec-atp-botzan-hubhur-2026-08-07).</t>
        </is>
      </c>
      <c r="AF248" s="31" t="inlineStr">
        <is>
          <t>Surface-blended Elo model; singles only, WTA+ATP market coverage, not yet locked-holdout qualified -- promoted by explicit operator directive, not genuine walk-forward validation.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NO_CALL_LOW_EDGE</t>
        </is>
      </c>
      <c r="AP248" s="24" t="inlineStr">
        <is>
          <t>Hubert Hurkacz</t>
        </is>
      </c>
      <c r="AQ248" s="24" t="inlineStr">
        <is>
          <t>Hubert Hurkacz</t>
        </is>
      </c>
      <c r="AR248" s="24" t="inlineStr">
        <is>
          <t>Hubert Hurkacz</t>
        </is>
      </c>
      <c r="AS248" s="24" t="inlineStr">
        <is>
          <t>Botic Van De Zandschulp</t>
        </is>
      </c>
      <c r="AT248" s="24" t="inlineStr">
        <is>
          <t>Botic Van De Zandschulp</t>
        </is>
      </c>
      <c r="AU248" s="24" t="inlineStr">
        <is>
          <t>Botic Van De Zandschulp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3ab056fefe04713e3c294da76c8adb2866b0dc46556ed32322a0426dd344a0e4</t>
        </is>
      </c>
      <c r="BB248" s="24" t="inlineStr">
        <is>
          <t>surface_blended_elo</t>
        </is>
      </c>
      <c r="BC248" s="24" t="inlineStr">
        <is>
          <t>tennis-surface-elo-v1</t>
        </is>
      </c>
      <c r="BD248" s="24" t="inlineStr">
        <is>
          <t>3ab056fefe04713e3c294da76c8adb2866b0dc46556ed32322a0426dd344a0e4</t>
        </is>
      </c>
      <c r="BE248" s="24" t="inlineStr">
        <is>
          <t>tennis-surface-elo-v1</t>
        </is>
      </c>
      <c r="BF248" s="24" t="inlineStr">
        <is>
          <t>1</t>
        </is>
      </c>
      <c r="BG248" s="24" t="inlineStr">
        <is>
          <t>3ab056fefe04713e3c294da76c8adb2866b0dc46556ed32322a0426dd344a0e4</t>
        </is>
      </c>
      <c r="BH248" s="24" t="inlineStr">
        <is>
          <t>2026-08-07T15:20:52.687497Z</t>
        </is>
      </c>
      <c r="BI248" s="24" t="inlineStr">
        <is>
          <t>["same_event","same_team_same_day","same_league_same_day"]</t>
        </is>
      </c>
      <c r="BJ248" s="25" t="n"/>
      <c r="BK248" s="26" t="n">
        <v>186</v>
      </c>
      <c r="BL248" s="27" t="n">
        <v>2.86</v>
      </c>
      <c r="BM248" s="28" t="n">
        <v>0.34965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49ecba67b09a4c9c</t>
        </is>
      </c>
      <c r="B249" s="24" t="inlineStr">
        <is>
          <t>2026-08-07T18:29:30.567007Z</t>
        </is>
      </c>
      <c r="C249" s="24" t="inlineStr">
        <is>
          <t>2026-08-07T19:00Z</t>
        </is>
      </c>
      <c r="D249" s="24" t="inlineStr">
        <is>
          <t>421-2026:182209</t>
        </is>
      </c>
      <c r="E249" s="24" t="inlineStr">
        <is>
          <t>TENNIS</t>
        </is>
      </c>
      <c r="F249" s="24" t="inlineStr">
        <is>
          <t>Liudmila Samsonova</t>
        </is>
      </c>
      <c r="G249" s="24" t="inlineStr">
        <is>
          <t>Maya Joint</t>
        </is>
      </c>
      <c r="H249" s="24" t="inlineStr">
        <is>
          <t>moneyline</t>
        </is>
      </c>
      <c r="I249" s="24" t="inlineStr">
        <is>
          <t>away</t>
        </is>
      </c>
      <c r="J249" s="25" t="n"/>
      <c r="K249" s="24" t="inlineStr">
        <is>
          <t>polymarket_us</t>
        </is>
      </c>
      <c r="L249" s="26" t="n">
        <v>-257</v>
      </c>
      <c r="M249" s="27" t="n">
        <v>1.389105</v>
      </c>
      <c r="N249" s="28" t="n">
        <v>0.719888</v>
      </c>
      <c r="O249" s="28" t="n">
        <v>0.502257</v>
      </c>
      <c r="P249" s="28" t="n">
        <v>0.05</v>
      </c>
      <c r="Q249" s="28" t="n">
        <v>-0.217631</v>
      </c>
      <c r="R249" s="26" t="n">
        <v>0</v>
      </c>
      <c r="S249" s="29" t="n">
        <v>0</v>
      </c>
      <c r="T249" s="24" t="inlineStr">
        <is>
          <t>tennis-surface-elo-v1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Surface-blended Elo on Hard: Liudmila Samsonova p=0.502 vs Maya Joint. Executable ask 0.7200 (aec-wta-mayjoi-liusam-2026-08-07).</t>
        </is>
      </c>
      <c r="AF249" s="31" t="inlineStr">
        <is>
          <t>Surface-blended Elo model; singles only, WTA+ATP market coverage, not yet locked-holdout qualified -- promoted by explicit operator directive, not genuine walk-forward validation.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NO_CALL_WINNER_OVERVALUED</t>
        </is>
      </c>
      <c r="AP249" s="24" t="inlineStr">
        <is>
          <t>Liudmila Samsonova</t>
        </is>
      </c>
      <c r="AQ249" s="24" t="inlineStr">
        <is>
          <t>Liudmila Samsonova</t>
        </is>
      </c>
      <c r="AR249" s="24" t="inlineStr">
        <is>
          <t>Liudmila Samsonova</t>
        </is>
      </c>
      <c r="AS249" s="24" t="inlineStr">
        <is>
          <t>Maya Joint</t>
        </is>
      </c>
      <c r="AT249" s="24" t="inlineStr">
        <is>
          <t>Maya Joint</t>
        </is>
      </c>
      <c r="AU249" s="24" t="inlineStr">
        <is>
          <t>Maya Joint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3ab056fefe04713e3c294da76c8adb2866b0dc46556ed32322a0426dd344a0e4</t>
        </is>
      </c>
      <c r="BB249" s="24" t="inlineStr">
        <is>
          <t>surface_blended_elo</t>
        </is>
      </c>
      <c r="BC249" s="24" t="inlineStr">
        <is>
          <t>tennis-surface-elo-v1</t>
        </is>
      </c>
      <c r="BD249" s="24" t="inlineStr">
        <is>
          <t>3ab056fefe04713e3c294da76c8adb2866b0dc46556ed32322a0426dd344a0e4</t>
        </is>
      </c>
      <c r="BE249" s="24" t="inlineStr">
        <is>
          <t>tennis-surface-elo-v1</t>
        </is>
      </c>
      <c r="BF249" s="24" t="inlineStr">
        <is>
          <t>1</t>
        </is>
      </c>
      <c r="BG249" s="24" t="inlineStr">
        <is>
          <t>3ab056fefe04713e3c294da76c8adb2866b0dc46556ed32322a0426dd344a0e4</t>
        </is>
      </c>
      <c r="BH249" s="24" t="inlineStr">
        <is>
          <t>2026-08-07T18:28:08.001910Z</t>
        </is>
      </c>
      <c r="BI249" s="24" t="inlineStr">
        <is>
          <t>["same_event","same_team_same_day","same_league_same_day"]</t>
        </is>
      </c>
      <c r="BJ249" s="25" t="n"/>
      <c r="BK249" s="26" t="n">
        <v>-257</v>
      </c>
      <c r="BL249" s="27" t="n">
        <v>1.389105</v>
      </c>
      <c r="BM249" s="28" t="n">
        <v>0.719888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</row>
    <row r="250" ht="36" customHeight="1">
      <c r="A250" s="24" t="inlineStr">
        <is>
          <t>6e962dd1d9bb499f</t>
        </is>
      </c>
      <c r="B250" s="24" t="inlineStr">
        <is>
          <t>2026-08-07T18:29:30.567007Z</t>
        </is>
      </c>
      <c r="C250" s="24" t="inlineStr">
        <is>
          <t>2026-08-07T21:00Z</t>
        </is>
      </c>
      <c r="D250" s="24" t="inlineStr">
        <is>
          <t>421-2026:182205</t>
        </is>
      </c>
      <c r="E250" s="24" t="inlineStr">
        <is>
          <t>TENNIS</t>
        </is>
      </c>
      <c r="F250" s="24" t="inlineStr">
        <is>
          <t>Naomi Osaka</t>
        </is>
      </c>
      <c r="G250" s="24" t="inlineStr">
        <is>
          <t>Elise Mertens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polymarket_us</t>
        </is>
      </c>
      <c r="L250" s="26" t="n">
        <v>-223</v>
      </c>
      <c r="M250" s="27" t="n">
        <v>1.44843</v>
      </c>
      <c r="N250" s="28" t="n">
        <v>0.690402</v>
      </c>
      <c r="O250" s="28" t="n">
        <v>0.633161</v>
      </c>
      <c r="P250" s="28" t="n">
        <v>0.05</v>
      </c>
      <c r="Q250" s="28" t="n">
        <v>-0.057241</v>
      </c>
      <c r="R250" s="26" t="n">
        <v>0</v>
      </c>
      <c r="S250" s="29" t="n">
        <v>0</v>
      </c>
      <c r="T250" s="24" t="inlineStr">
        <is>
          <t>tennis-surface-elo-v1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Surface-blended Elo on Hard: Naomi Osaka p=0.633 vs Elise Mertens. Executable ask 0.6900 (aec-wta-elimer-naoosa-2026-08-06).</t>
        </is>
      </c>
      <c r="AF250" s="31" t="inlineStr">
        <is>
          <t>Surface-blended Elo model; singles only, WTA+ATP market coverage, not yet locked-holdout qualified -- promoted by explicit operator directive, not genuine walk-forward validation.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NO_CALL_WINNER_OVERVALUED</t>
        </is>
      </c>
      <c r="AP250" s="24" t="inlineStr">
        <is>
          <t>Naomi Osaka</t>
        </is>
      </c>
      <c r="AQ250" s="24" t="inlineStr">
        <is>
          <t>Naomi Osaka</t>
        </is>
      </c>
      <c r="AR250" s="24" t="inlineStr">
        <is>
          <t>Naomi Osaka</t>
        </is>
      </c>
      <c r="AS250" s="24" t="inlineStr">
        <is>
          <t>Elise Mertens</t>
        </is>
      </c>
      <c r="AT250" s="24" t="inlineStr">
        <is>
          <t>Elise Mertens</t>
        </is>
      </c>
      <c r="AU250" s="24" t="inlineStr">
        <is>
          <t>Elise Mertens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3ab056fefe04713e3c294da76c8adb2866b0dc46556ed32322a0426dd344a0e4</t>
        </is>
      </c>
      <c r="BB250" s="24" t="inlineStr">
        <is>
          <t>surface_blended_elo</t>
        </is>
      </c>
      <c r="BC250" s="24" t="inlineStr">
        <is>
          <t>tennis-surface-elo-v1</t>
        </is>
      </c>
      <c r="BD250" s="24" t="inlineStr">
        <is>
          <t>3ab056fefe04713e3c294da76c8adb2866b0dc46556ed32322a0426dd344a0e4</t>
        </is>
      </c>
      <c r="BE250" s="24" t="inlineStr">
        <is>
          <t>tennis-surface-elo-v1</t>
        </is>
      </c>
      <c r="BF250" s="24" t="inlineStr">
        <is>
          <t>1</t>
        </is>
      </c>
      <c r="BG250" s="24" t="inlineStr">
        <is>
          <t>3ab056fefe04713e3c294da76c8adb2866b0dc46556ed32322a0426dd344a0e4</t>
        </is>
      </c>
      <c r="BH250" s="24" t="inlineStr">
        <is>
          <t>2026-08-07T18:28:08.316689Z</t>
        </is>
      </c>
      <c r="BI250" s="24" t="inlineStr">
        <is>
          <t>["same_event","same_team_same_day","same_league_same_day"]</t>
        </is>
      </c>
      <c r="BJ250" s="25" t="n"/>
      <c r="BK250" s="26" t="n">
        <v>-223</v>
      </c>
      <c r="BL250" s="27" t="n">
        <v>1.44843</v>
      </c>
      <c r="BM250" s="28" t="n">
        <v>0.690402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</row>
    <row r="251" ht="36" customHeight="1">
      <c r="A251" s="24" t="inlineStr">
        <is>
          <t>8be0b8ae7507407a</t>
        </is>
      </c>
      <c r="B251" s="24" t="inlineStr">
        <is>
          <t>2026-08-07T18:29:30.567007Z</t>
        </is>
      </c>
      <c r="C251" s="24" t="inlineStr">
        <is>
          <t>2026-08-07T22:30Z</t>
        </is>
      </c>
      <c r="D251" s="24" t="inlineStr">
        <is>
          <t>421-2026:182212</t>
        </is>
      </c>
      <c r="E251" s="24" t="inlineStr">
        <is>
          <t>TENNIS</t>
        </is>
      </c>
      <c r="F251" s="24" t="inlineStr">
        <is>
          <t>Belinda Bencic</t>
        </is>
      </c>
      <c r="G251" s="24" t="inlineStr">
        <is>
          <t>Taylor Townsend</t>
        </is>
      </c>
      <c r="H251" s="24" t="inlineStr">
        <is>
          <t>moneyline</t>
        </is>
      </c>
      <c r="I251" s="24" t="inlineStr">
        <is>
          <t>away</t>
        </is>
      </c>
      <c r="J251" s="25" t="n"/>
      <c r="K251" s="24" t="inlineStr">
        <is>
          <t>polymarket_us</t>
        </is>
      </c>
      <c r="L251" s="26" t="n">
        <v>-270</v>
      </c>
      <c r="M251" s="27" t="n">
        <v>1.37037</v>
      </c>
      <c r="N251" s="28" t="n">
        <v>0.72973</v>
      </c>
      <c r="O251" s="28" t="n">
        <v>0.67718</v>
      </c>
      <c r="P251" s="28" t="n">
        <v>0.05</v>
      </c>
      <c r="Q251" s="28" t="n">
        <v>-0.05255</v>
      </c>
      <c r="R251" s="26" t="n">
        <v>0</v>
      </c>
      <c r="S251" s="29" t="n">
        <v>0</v>
      </c>
      <c r="T251" s="24" t="inlineStr">
        <is>
          <t>tennis-surface-elo-v1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Surface-blended Elo on Hard: Belinda Bencic p=0.677 vs Taylor Townsend. Executable ask 0.7300 (aec-wta-taytow-belben-2026-08-06).</t>
        </is>
      </c>
      <c r="AF251" s="31" t="inlineStr">
        <is>
          <t>Surface-blended Elo model; singles only, WTA+ATP market coverage, not yet locked-holdout qualified -- promoted by explicit operator directive, not genuine walk-forward validation.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NO_CALL_WINNER_OVERVALUED</t>
        </is>
      </c>
      <c r="AP251" s="24" t="inlineStr">
        <is>
          <t>Belinda Bencic</t>
        </is>
      </c>
      <c r="AQ251" s="24" t="inlineStr">
        <is>
          <t>Belinda Bencic</t>
        </is>
      </c>
      <c r="AR251" s="24" t="inlineStr">
        <is>
          <t>Belinda Bencic</t>
        </is>
      </c>
      <c r="AS251" s="24" t="inlineStr">
        <is>
          <t>Taylor Townsend</t>
        </is>
      </c>
      <c r="AT251" s="24" t="inlineStr">
        <is>
          <t>Taylor Townsend</t>
        </is>
      </c>
      <c r="AU251" s="24" t="inlineStr">
        <is>
          <t>Taylor Townsend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3ab056fefe04713e3c294da76c8adb2866b0dc46556ed32322a0426dd344a0e4</t>
        </is>
      </c>
      <c r="BB251" s="24" t="inlineStr">
        <is>
          <t>surface_blended_elo</t>
        </is>
      </c>
      <c r="BC251" s="24" t="inlineStr">
        <is>
          <t>tennis-surface-elo-v1</t>
        </is>
      </c>
      <c r="BD251" s="24" t="inlineStr">
        <is>
          <t>3ab056fefe04713e3c294da76c8adb2866b0dc46556ed32322a0426dd344a0e4</t>
        </is>
      </c>
      <c r="BE251" s="24" t="inlineStr">
        <is>
          <t>tennis-surface-elo-v1</t>
        </is>
      </c>
      <c r="BF251" s="24" t="inlineStr">
        <is>
          <t>1</t>
        </is>
      </c>
      <c r="BG251" s="24" t="inlineStr">
        <is>
          <t>3ab056fefe04713e3c294da76c8adb2866b0dc46556ed32322a0426dd344a0e4</t>
        </is>
      </c>
      <c r="BH251" s="24" t="inlineStr">
        <is>
          <t>2026-08-07T18:28:06.394719Z</t>
        </is>
      </c>
      <c r="BI251" s="24" t="inlineStr">
        <is>
          <t>["same_event","same_team_same_day","same_league_same_day"]</t>
        </is>
      </c>
      <c r="BJ251" s="25" t="n"/>
      <c r="BK251" s="26" t="n">
        <v>-270</v>
      </c>
      <c r="BL251" s="27" t="n">
        <v>1.37037</v>
      </c>
      <c r="BM251" s="28" t="n">
        <v>0.72973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</row>
    <row r="252" ht="36" customHeight="1">
      <c r="A252" s="24" t="inlineStr">
        <is>
          <t>2330d7c29a304b31</t>
        </is>
      </c>
      <c r="B252" s="24" t="inlineStr">
        <is>
          <t>2026-08-07T18:29:30.567007Z</t>
        </is>
      </c>
      <c r="C252" s="24" t="inlineStr">
        <is>
          <t>2026-08-07T23:00Z</t>
        </is>
      </c>
      <c r="D252" s="24" t="inlineStr">
        <is>
          <t>421-2026:182222</t>
        </is>
      </c>
      <c r="E252" s="24" t="inlineStr">
        <is>
          <t>TENNIS</t>
        </is>
      </c>
      <c r="F252" s="24" t="inlineStr">
        <is>
          <t>Coco Gauff</t>
        </is>
      </c>
      <c r="G252" s="24" t="inlineStr">
        <is>
          <t>Maria Sakkari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-355</v>
      </c>
      <c r="M252" s="27" t="n">
        <v>1.28169</v>
      </c>
      <c r="N252" s="28" t="n">
        <v>0.78022</v>
      </c>
      <c r="O252" s="28" t="n">
        <v>0.801053</v>
      </c>
      <c r="P252" s="28" t="n">
        <v>0.05</v>
      </c>
      <c r="Q252" s="28" t="n">
        <v>0.020833</v>
      </c>
      <c r="R252" s="26" t="n">
        <v>30</v>
      </c>
      <c r="S252" s="29" t="n">
        <v>0</v>
      </c>
      <c r="T252" s="24" t="inlineStr">
        <is>
          <t>tennis-surface-elo-v1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Surface-blended Elo on Hard: Coco Gauff p=0.801 vs Maria Sakkari. Executable ask 0.7800 (aec-wta-marsak-cocgau-2026-08-06).</t>
        </is>
      </c>
      <c r="AF252" s="31" t="inlineStr">
        <is>
          <t>Surface-blended Elo model; singles only, WTA+ATP market coverage, not yet locked-holdout qualified -- promoted by explicit operator directive, not genuine walk-forward validation.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NO_CALL_WINNER_OVERVALUED</t>
        </is>
      </c>
      <c r="AP252" s="24" t="inlineStr">
        <is>
          <t>Coco Gauff</t>
        </is>
      </c>
      <c r="AQ252" s="24" t="inlineStr">
        <is>
          <t>Coco Gauff</t>
        </is>
      </c>
      <c r="AR252" s="24" t="inlineStr">
        <is>
          <t>Coco Gauff</t>
        </is>
      </c>
      <c r="AS252" s="24" t="inlineStr">
        <is>
          <t>Maria Sakkari</t>
        </is>
      </c>
      <c r="AT252" s="24" t="inlineStr">
        <is>
          <t>Maria Sakkari</t>
        </is>
      </c>
      <c r="AU252" s="24" t="inlineStr">
        <is>
          <t>Maria Sakkari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3ab056fefe04713e3c294da76c8adb2866b0dc46556ed32322a0426dd344a0e4</t>
        </is>
      </c>
      <c r="BB252" s="24" t="inlineStr">
        <is>
          <t>surface_blended_elo</t>
        </is>
      </c>
      <c r="BC252" s="24" t="inlineStr">
        <is>
          <t>tennis-surface-elo-v1</t>
        </is>
      </c>
      <c r="BD252" s="24" t="inlineStr">
        <is>
          <t>3ab056fefe04713e3c294da76c8adb2866b0dc46556ed32322a0426dd344a0e4</t>
        </is>
      </c>
      <c r="BE252" s="24" t="inlineStr">
        <is>
          <t>tennis-surface-elo-v1</t>
        </is>
      </c>
      <c r="BF252" s="24" t="inlineStr">
        <is>
          <t>1</t>
        </is>
      </c>
      <c r="BG252" s="24" t="inlineStr">
        <is>
          <t>3ab056fefe04713e3c294da76c8adb2866b0dc46556ed32322a0426dd344a0e4</t>
        </is>
      </c>
      <c r="BH252" s="24" t="inlineStr">
        <is>
          <t>2026-08-07T18:28:09.476094Z</t>
        </is>
      </c>
      <c r="BI252" s="24" t="inlineStr">
        <is>
          <t>["same_event","same_team_same_day","same_league_same_day"]</t>
        </is>
      </c>
      <c r="BJ252" s="25" t="n"/>
      <c r="BK252" s="26" t="n">
        <v>-355</v>
      </c>
      <c r="BL252" s="27" t="n">
        <v>1.28169</v>
      </c>
      <c r="BM252" s="28" t="n">
        <v>0.78022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</row>
    <row r="253" ht="36" customHeight="1">
      <c r="A253" s="24" t="inlineStr">
        <is>
          <t>dde470785f644644</t>
        </is>
      </c>
      <c r="B253" s="24" t="inlineStr">
        <is>
          <t>2026-08-07T18:29:30.567007Z</t>
        </is>
      </c>
      <c r="C253" s="24" t="inlineStr">
        <is>
          <t>2026-08-07T22:00Z</t>
        </is>
      </c>
      <c r="D253" s="24" t="inlineStr">
        <is>
          <t>421-2026:181777</t>
        </is>
      </c>
      <c r="E253" s="24" t="inlineStr">
        <is>
          <t>TENNIS</t>
        </is>
      </c>
      <c r="F253" s="24" t="inlineStr">
        <is>
          <t>Jakub Mensik</t>
        </is>
      </c>
      <c r="G253" s="24" t="inlineStr">
        <is>
          <t>Terence Atmane</t>
        </is>
      </c>
      <c r="H253" s="24" t="inlineStr">
        <is>
          <t>moneyline</t>
        </is>
      </c>
      <c r="I253" s="24" t="inlineStr">
        <is>
          <t>away</t>
        </is>
      </c>
      <c r="J253" s="25" t="n"/>
      <c r="K253" s="24" t="inlineStr">
        <is>
          <t>polymarket_us</t>
        </is>
      </c>
      <c r="L253" s="26" t="n">
        <v>-203</v>
      </c>
      <c r="M253" s="27" t="n">
        <v>1.492611</v>
      </c>
      <c r="N253" s="28" t="n">
        <v>0.669967</v>
      </c>
      <c r="O253" s="28" t="n">
        <v>0.706207</v>
      </c>
      <c r="P253" s="28" t="n">
        <v>0.05</v>
      </c>
      <c r="Q253" s="28" t="n">
        <v>0.03624</v>
      </c>
      <c r="R253" s="26" t="n">
        <v>38</v>
      </c>
      <c r="S253" s="29" t="n">
        <v>0</v>
      </c>
      <c r="T253" s="24" t="inlineStr">
        <is>
          <t>tennis-surface-elo-v1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Surface-blended Elo on Hard: Jakub Mensik p=0.706 vs Terence Atmane. Executable ask 0.6700 (aec-atp-teratm-jakmen-2026-08-07).</t>
        </is>
      </c>
      <c r="AF253" s="31" t="inlineStr">
        <is>
          <t>Surface-blended Elo model; singles only, WTA+ATP market coverage, not yet locked-holdout qualified -- promoted by explicit operator directive, not genuine walk-forward validation.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NO_CALL_WINNER_OVERVALUED</t>
        </is>
      </c>
      <c r="AP253" s="24" t="inlineStr">
        <is>
          <t>Jakub Mensik</t>
        </is>
      </c>
      <c r="AQ253" s="24" t="inlineStr">
        <is>
          <t>Jakub Mensik</t>
        </is>
      </c>
      <c r="AR253" s="24" t="inlineStr">
        <is>
          <t>Jakub Mensik</t>
        </is>
      </c>
      <c r="AS253" s="24" t="inlineStr">
        <is>
          <t>Terence Atmane</t>
        </is>
      </c>
      <c r="AT253" s="24" t="inlineStr">
        <is>
          <t>Terence Atmane</t>
        </is>
      </c>
      <c r="AU253" s="24" t="inlineStr">
        <is>
          <t>Terence Atmane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3ab056fefe04713e3c294da76c8adb2866b0dc46556ed32322a0426dd344a0e4</t>
        </is>
      </c>
      <c r="BB253" s="24" t="inlineStr">
        <is>
          <t>surface_blended_elo</t>
        </is>
      </c>
      <c r="BC253" s="24" t="inlineStr">
        <is>
          <t>tennis-surface-elo-v1</t>
        </is>
      </c>
      <c r="BD253" s="24" t="inlineStr">
        <is>
          <t>3ab056fefe04713e3c294da76c8adb2866b0dc46556ed32322a0426dd344a0e4</t>
        </is>
      </c>
      <c r="BE253" s="24" t="inlineStr">
        <is>
          <t>tennis-surface-elo-v1</t>
        </is>
      </c>
      <c r="BF253" s="24" t="inlineStr">
        <is>
          <t>1</t>
        </is>
      </c>
      <c r="BG253" s="24" t="inlineStr">
        <is>
          <t>3ab056fefe04713e3c294da76c8adb2866b0dc46556ed32322a0426dd344a0e4</t>
        </is>
      </c>
      <c r="BH253" s="24" t="inlineStr">
        <is>
          <t>2026-08-07T18:28:14.931621Z</t>
        </is>
      </c>
      <c r="BI253" s="24" t="inlineStr">
        <is>
          <t>["same_event","same_team_same_day","same_league_same_day"]</t>
        </is>
      </c>
      <c r="BJ253" s="25" t="n"/>
      <c r="BK253" s="26" t="n">
        <v>-203</v>
      </c>
      <c r="BL253" s="27" t="n">
        <v>1.492611</v>
      </c>
      <c r="BM253" s="28" t="n">
        <v>0.669967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</row>
    <row r="254" ht="36" customHeight="1">
      <c r="A254" s="24" t="inlineStr">
        <is>
          <t>75b5cd42d7314e23</t>
        </is>
      </c>
      <c r="B254" s="24" t="inlineStr">
        <is>
          <t>2026-08-07T18:29:30.567007Z</t>
        </is>
      </c>
      <c r="C254" s="24" t="inlineStr">
        <is>
          <t>2026-08-07T23:00Z</t>
        </is>
      </c>
      <c r="D254" s="24" t="inlineStr">
        <is>
          <t>421-2026:181751</t>
        </is>
      </c>
      <c r="E254" s="24" t="inlineStr">
        <is>
          <t>TENNIS</t>
        </is>
      </c>
      <c r="F254" s="24" t="inlineStr">
        <is>
          <t>Joao Fonseca</t>
        </is>
      </c>
      <c r="G254" s="24" t="inlineStr">
        <is>
          <t>Casper Ruud</t>
        </is>
      </c>
      <c r="H254" s="24" t="inlineStr">
        <is>
          <t>moneyline</t>
        </is>
      </c>
      <c r="I254" s="24" t="inlineStr">
        <is>
          <t>away</t>
        </is>
      </c>
      <c r="J254" s="25" t="n"/>
      <c r="K254" s="24" t="inlineStr">
        <is>
          <t>polymarket_us</t>
        </is>
      </c>
      <c r="L254" s="26" t="n">
        <v>-122</v>
      </c>
      <c r="M254" s="27" t="n">
        <v>1.819672</v>
      </c>
      <c r="N254" s="28" t="n">
        <v>0.54955</v>
      </c>
      <c r="O254" s="28" t="n">
        <v>0.544096</v>
      </c>
      <c r="P254" s="28" t="n">
        <v>0.05</v>
      </c>
      <c r="Q254" s="28" t="n">
        <v>-0.005454</v>
      </c>
      <c r="R254" s="26" t="n">
        <v>17</v>
      </c>
      <c r="S254" s="29" t="n">
        <v>0</v>
      </c>
      <c r="T254" s="24" t="inlineStr">
        <is>
          <t>tennis-surface-elo-v1</t>
        </is>
      </c>
      <c r="U254" s="24" t="inlineStr">
        <is>
          <t>open</t>
        </is>
      </c>
      <c r="V254" s="24" t="n"/>
      <c r="W254" s="26" t="n"/>
      <c r="X254" s="26" t="n"/>
      <c r="Y254" s="25" t="n"/>
      <c r="Z254" s="26" t="n"/>
      <c r="AA254" s="28" t="n"/>
      <c r="AB254" s="28" t="n"/>
      <c r="AC254" s="30" t="n"/>
      <c r="AD254" s="24" t="n"/>
      <c r="AE254" s="31" t="inlineStr">
        <is>
          <t>Surface-blended Elo on Hard: Joao Fonseca p=0.544 vs Casper Ruud. Executable ask 0.5500 (aec-atp-casruu-joafon-2026-08-06).</t>
        </is>
      </c>
      <c r="AF254" s="31" t="inlineStr">
        <is>
          <t>Surface-blended Elo model; singles only, WTA+ATP market coverage, not yet locked-holdout qualified -- promoted by explicit operator directive, not genuine walk-forward validation.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NO_CALL_WINNER_OVERVALUED</t>
        </is>
      </c>
      <c r="AP254" s="24" t="inlineStr">
        <is>
          <t>Joao Fonseca</t>
        </is>
      </c>
      <c r="AQ254" s="24" t="inlineStr">
        <is>
          <t>Joao Fonseca</t>
        </is>
      </c>
      <c r="AR254" s="24" t="inlineStr">
        <is>
          <t>Joao Fonseca</t>
        </is>
      </c>
      <c r="AS254" s="24" t="inlineStr">
        <is>
          <t>Casper Ruud</t>
        </is>
      </c>
      <c r="AT254" s="24" t="inlineStr">
        <is>
          <t>Casper Ruud</t>
        </is>
      </c>
      <c r="AU254" s="24" t="inlineStr">
        <is>
          <t>Casper Ruud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3ab056fefe04713e3c294da76c8adb2866b0dc46556ed32322a0426dd344a0e4</t>
        </is>
      </c>
      <c r="BB254" s="24" t="inlineStr">
        <is>
          <t>surface_blended_elo</t>
        </is>
      </c>
      <c r="BC254" s="24" t="inlineStr">
        <is>
          <t>tennis-surface-elo-v1</t>
        </is>
      </c>
      <c r="BD254" s="24" t="inlineStr">
        <is>
          <t>3ab056fefe04713e3c294da76c8adb2866b0dc46556ed32322a0426dd344a0e4</t>
        </is>
      </c>
      <c r="BE254" s="24" t="inlineStr">
        <is>
          <t>tennis-surface-elo-v1</t>
        </is>
      </c>
      <c r="BF254" s="24" t="inlineStr">
        <is>
          <t>1</t>
        </is>
      </c>
      <c r="BG254" s="24" t="inlineStr">
        <is>
          <t>3ab056fefe04713e3c294da76c8adb2866b0dc46556ed32322a0426dd344a0e4</t>
        </is>
      </c>
      <c r="BH254" s="24" t="inlineStr">
        <is>
          <t>2026-08-07T18:28:10.393455Z</t>
        </is>
      </c>
      <c r="BI254" s="24" t="inlineStr">
        <is>
          <t>["same_event","same_team_same_day","same_league_same_day"]</t>
        </is>
      </c>
      <c r="BJ254" s="25" t="n"/>
      <c r="BK254" s="26" t="n">
        <v>-122</v>
      </c>
      <c r="BL254" s="27" t="n">
        <v>1.819672</v>
      </c>
      <c r="BM254" s="28" t="n">
        <v>0.54955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False</t>
        </is>
      </c>
    </row>
    <row r="255" ht="36" customHeight="1">
      <c r="A255" s="24" t="inlineStr">
        <is>
          <t>bb17fe4986614071</t>
        </is>
      </c>
      <c r="B255" s="24" t="inlineStr">
        <is>
          <t>2026-08-07T18:29:30.567007Z</t>
        </is>
      </c>
      <c r="C255" s="24" t="inlineStr">
        <is>
          <t>2026-08-07T23:30Z</t>
        </is>
      </c>
      <c r="D255" s="24" t="inlineStr">
        <is>
          <t>421-2026:181766</t>
        </is>
      </c>
      <c r="E255" s="24" t="inlineStr">
        <is>
          <t>TENNIS</t>
        </is>
      </c>
      <c r="F255" s="24" t="inlineStr">
        <is>
          <t>Thiago Agustin Tirante</t>
        </is>
      </c>
      <c r="G255" s="24" t="inlineStr">
        <is>
          <t>Alexei Popyrin</t>
        </is>
      </c>
      <c r="H255" s="24" t="inlineStr">
        <is>
          <t>moneyline</t>
        </is>
      </c>
      <c r="I255" s="24" t="inlineStr">
        <is>
          <t>away</t>
        </is>
      </c>
      <c r="J255" s="25" t="n"/>
      <c r="K255" s="24" t="inlineStr">
        <is>
          <t>polymarket_us</t>
        </is>
      </c>
      <c r="L255" s="26" t="n">
        <v>117</v>
      </c>
      <c r="M255" s="27" t="n">
        <v>2.17</v>
      </c>
      <c r="N255" s="28" t="n">
        <v>0.460829</v>
      </c>
      <c r="O255" s="28" t="n">
        <v>0.592411</v>
      </c>
      <c r="P255" s="28" t="n">
        <v>0.05</v>
      </c>
      <c r="Q255" s="28" t="n">
        <v>0.131582</v>
      </c>
      <c r="R255" s="26" t="n">
        <v>86</v>
      </c>
      <c r="S255" s="29" t="n">
        <v>1.25</v>
      </c>
      <c r="T255" s="24" t="inlineStr">
        <is>
          <t>tennis-surface-elo-v1</t>
        </is>
      </c>
      <c r="U255" s="24" t="inlineStr">
        <is>
          <t>open</t>
        </is>
      </c>
      <c r="V255" s="24" t="n"/>
      <c r="W255" s="26" t="n"/>
      <c r="X255" s="26" t="n"/>
      <c r="Y255" s="25" t="n"/>
      <c r="Z255" s="26" t="n"/>
      <c r="AA255" s="28" t="n"/>
      <c r="AB255" s="28" t="n"/>
      <c r="AC255" s="30" t="n"/>
      <c r="AD255" s="24" t="n"/>
      <c r="AE255" s="31" t="inlineStr">
        <is>
          <t>Surface-blended Elo on Hard: Thiago Agustin Tirante p=0.592 vs Alexei Popyrin. Executable ask 0.4600 (aec-atp-alepop-thitir-2026-08-06).</t>
        </is>
      </c>
      <c r="AF255" s="31" t="inlineStr">
        <is>
          <t>Surface-blended Elo model; singles only, WTA+ATP market coverage, not yet locked-holdout qualified -- promoted by explicit operator directive, not genuine walk-forward validation.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model_qualified</t>
        </is>
      </c>
      <c r="AL255" s="26" t="n">
        <v>3</v>
      </c>
      <c r="AM255" s="24" t="inlineStr">
        <is>
          <t>QUALIFIED_SHADOW_CALL</t>
        </is>
      </c>
      <c r="AN255" s="24" t="inlineStr">
        <is>
          <t>CALL</t>
        </is>
      </c>
      <c r="AO255" s="24" t="inlineStr">
        <is>
          <t>QUALIFIED</t>
        </is>
      </c>
      <c r="AP255" s="24" t="inlineStr">
        <is>
          <t>Thiago Agustin Tirante</t>
        </is>
      </c>
      <c r="AQ255" s="24" t="inlineStr">
        <is>
          <t>Thiago Agustin Tirante</t>
        </is>
      </c>
      <c r="AR255" s="24" t="inlineStr">
        <is>
          <t>Thiago Agustin Tirante</t>
        </is>
      </c>
      <c r="AS255" s="24" t="inlineStr">
        <is>
          <t>Alexei Popyrin</t>
        </is>
      </c>
      <c r="AT255" s="24" t="inlineStr">
        <is>
          <t>Alexei Popyrin</t>
        </is>
      </c>
      <c r="AU255" s="24" t="inlineStr">
        <is>
          <t>Alexei Popyrin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3ab056fefe04713e3c294da76c8adb2866b0dc46556ed32322a0426dd344a0e4</t>
        </is>
      </c>
      <c r="BB255" s="24" t="inlineStr">
        <is>
          <t>surface_blended_elo</t>
        </is>
      </c>
      <c r="BC255" s="24" t="inlineStr">
        <is>
          <t>tennis-surface-elo-v1</t>
        </is>
      </c>
      <c r="BD255" s="24" t="inlineStr">
        <is>
          <t>3ab056fefe04713e3c294da76c8adb2866b0dc46556ed32322a0426dd344a0e4</t>
        </is>
      </c>
      <c r="BE255" s="24" t="inlineStr">
        <is>
          <t>tennis-surface-elo-v1</t>
        </is>
      </c>
      <c r="BF255" s="24" t="inlineStr">
        <is>
          <t>1</t>
        </is>
      </c>
      <c r="BG255" s="24" t="inlineStr">
        <is>
          <t>3ab056fefe04713e3c294da76c8adb2866b0dc46556ed32322a0426dd344a0e4</t>
        </is>
      </c>
      <c r="BH255" s="24" t="inlineStr">
        <is>
          <t>2026-08-07T18:28:15.652471Z</t>
        </is>
      </c>
      <c r="BI255" s="24" t="inlineStr">
        <is>
          <t>["same_event","same_team_same_day","same_league_same_day"]</t>
        </is>
      </c>
      <c r="BJ255" s="25" t="n"/>
      <c r="BK255" s="26" t="n">
        <v>117</v>
      </c>
      <c r="BL255" s="27" t="n">
        <v>2.17</v>
      </c>
      <c r="BM255" s="28" t="n">
        <v>0.460829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True</t>
        </is>
      </c>
    </row>
    <row r="256" ht="36" customHeight="1">
      <c r="A256" s="24" t="inlineStr">
        <is>
          <t>6af2174549ee4eee</t>
        </is>
      </c>
      <c r="B256" s="24" t="inlineStr">
        <is>
          <t>2026-08-07T18:29:30.567007Z</t>
        </is>
      </c>
      <c r="C256" s="24" t="inlineStr">
        <is>
          <t>2026-08-08T00:30Z</t>
        </is>
      </c>
      <c r="D256" s="24" t="inlineStr">
        <is>
          <t>421-2026:181768</t>
        </is>
      </c>
      <c r="E256" s="24" t="inlineStr">
        <is>
          <t>TENNIS</t>
        </is>
      </c>
      <c r="F256" s="24" t="inlineStr">
        <is>
          <t>Tommy Paul</t>
        </is>
      </c>
      <c r="G256" s="24" t="inlineStr">
        <is>
          <t>Learner Tien</t>
        </is>
      </c>
      <c r="H256" s="24" t="inlineStr">
        <is>
          <t>moneyline</t>
        </is>
      </c>
      <c r="I256" s="24" t="inlineStr">
        <is>
          <t>away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0.573609</v>
      </c>
      <c r="P256" s="28" t="n">
        <v>0.05</v>
      </c>
      <c r="Q256" s="28" t="n">
        <v>-0.046163</v>
      </c>
      <c r="R256" s="26" t="n">
        <v>0</v>
      </c>
      <c r="S256" s="29" t="n">
        <v>0</v>
      </c>
      <c r="T256" s="24" t="inlineStr">
        <is>
          <t>tennis-surface-elo-v1</t>
        </is>
      </c>
      <c r="U256" s="24" t="inlineStr">
        <is>
          <t>open</t>
        </is>
      </c>
      <c r="V256" s="24" t="n"/>
      <c r="W256" s="26" t="n"/>
      <c r="X256" s="26" t="n"/>
      <c r="Y256" s="25" t="n"/>
      <c r="Z256" s="26" t="n"/>
      <c r="AA256" s="28" t="n"/>
      <c r="AB256" s="28" t="n"/>
      <c r="AC256" s="30" t="n"/>
      <c r="AD256" s="24" t="n"/>
      <c r="AE256" s="31" t="inlineStr">
        <is>
          <t>Surface-blended Elo on Hard: Tommy Paul p=0.574 vs Learner Tien. Executable ask 0.6200 (aec-atp-leatie-tompau-2026-08-07).</t>
        </is>
      </c>
      <c r="AF256" s="31" t="inlineStr">
        <is>
          <t>Surface-blended Elo model; singles only, WTA+ATP market coverage, not yet locked-holdout qualified -- promoted by explicit operator directive, not genuine walk-forward validation.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NO_CALL_WINNER_OVERVALUED</t>
        </is>
      </c>
      <c r="AP256" s="24" t="inlineStr">
        <is>
          <t>Tommy Paul</t>
        </is>
      </c>
      <c r="AQ256" s="24" t="inlineStr">
        <is>
          <t>Tommy Paul</t>
        </is>
      </c>
      <c r="AR256" s="24" t="inlineStr">
        <is>
          <t>Tommy Paul</t>
        </is>
      </c>
      <c r="AS256" s="24" t="inlineStr">
        <is>
          <t>Learner Tien</t>
        </is>
      </c>
      <c r="AT256" s="24" t="inlineStr">
        <is>
          <t>Learner Tien</t>
        </is>
      </c>
      <c r="AU256" s="24" t="inlineStr">
        <is>
          <t>Learner Tien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3ab056fefe04713e3c294da76c8adb2866b0dc46556ed32322a0426dd344a0e4</t>
        </is>
      </c>
      <c r="BB256" s="24" t="inlineStr">
        <is>
          <t>surface_blended_elo</t>
        </is>
      </c>
      <c r="BC256" s="24" t="inlineStr">
        <is>
          <t>tennis-surface-elo-v1</t>
        </is>
      </c>
      <c r="BD256" s="24" t="inlineStr">
        <is>
          <t>3ab056fefe04713e3c294da76c8adb2866b0dc46556ed32322a0426dd344a0e4</t>
        </is>
      </c>
      <c r="BE256" s="24" t="inlineStr">
        <is>
          <t>tennis-surface-elo-v1</t>
        </is>
      </c>
      <c r="BF256" s="24" t="inlineStr">
        <is>
          <t>1</t>
        </is>
      </c>
      <c r="BG256" s="24" t="inlineStr">
        <is>
          <t>3ab056fefe04713e3c294da76c8adb2866b0dc46556ed32322a0426dd344a0e4</t>
        </is>
      </c>
      <c r="BH256" s="24" t="inlineStr">
        <is>
          <t>2026-08-07T18:28:16.728202Z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2026-08-07T18:30:29Z</dcterms:created>
  <dcterms:modified xmlns:dcterms="http://purl.org/dc/terms/" xmlns:xsi="http://www.w3.org/2001/XMLSchema-instance" xsi:type="dcterms:W3CDTF">2026-08-07T18:30:30Z</dcterms:modified>
</cp:coreProperties>
</file>