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234" headerRowCount="1">
  <autoFilter ref="A1:CS234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COUNTA('Picks'!$A$2:$A$234)</f>
        <v/>
      </c>
      <c r="C4" s="6">
        <f>COUNTIF('Picks'!$U$2:$U$234,"open")</f>
        <v/>
      </c>
      <c r="E4" s="6">
        <f>COUNTIF('Picks'!$U$2:$U$234,"settled")</f>
        <v/>
      </c>
      <c r="G4" s="6">
        <f>IF(COUNTIFS('Picks'!$U$2:$U$234,"settled",'Picks'!$V$2:$V$234,"win")+COUNTIFS('Picks'!$U$2:$U$234,"settled",'Picks'!$V$2:$V$234,"loss")&gt;=$L$2,"Ready","Insufficient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COUNTIF('Picks'!$BX$2:$BX$234,"&gt;0")</f>
        <v/>
      </c>
      <c r="C7" s="6">
        <f>COUNTIFS('Picks'!$BX$2:$BX$234,"&gt;0",'Picks'!$V$2:$V$234,"win")&amp;"-"&amp;COUNTIFS('Picks'!$BX$2:$BX$234,"&gt;0",'Picks'!$V$2:$V$234,"loss")</f>
        <v/>
      </c>
      <c r="E7" s="7">
        <f>IFERROR(COUNTIFS('Picks'!$BX$2:$BX$234,"&gt;0",'Picks'!$V$2:$V$234,"win")/(COUNTIFS('Picks'!$BX$2:$BX$234,"&gt;0",'Picks'!$V$2:$V$234,"win")+COUNTIFS('Picks'!$BX$2:$BX$234,"&gt;0",'Picks'!$V$2:$V$234,"loss")),0)</f>
        <v/>
      </c>
      <c r="G7" s="7">
        <f>IFERROR(SUM('Picks'!$BY$2:$BY$234)/SUM('Picks'!$BX$2:$BX$234),0)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SUM('Picks'!$BY$2:$BY$234)</f>
        <v/>
      </c>
      <c r="C10" s="9">
        <f>IFERROR(AVERAGEIF('Picks'!$AB$2:$AB$234,"&lt;&gt;",'Picks'!$AB$2:$AB$234),0)</f>
        <v/>
      </c>
      <c r="E10" s="6">
        <f>COUNTIFS('Picks'!$AM$2:$AM$234,"QUALIFIED_SHADOW_CALL",'Picks'!$U$2:$U$234,"settled")</f>
        <v/>
      </c>
      <c r="G10" s="8">
        <f>SUMIFS('Picks'!$AC$2:$AC$234,'Picks'!$AM$2:$AM$234,"QUALIFIED_SHADOW_CALL")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COUNTIFS('Picks'!$H$2:$H$234,$A14,'Picks'!$U$2:$U$234,"settled")</f>
        <v/>
      </c>
      <c r="C14" s="13">
        <f>COUNTIFS('Picks'!$H$2:$H$234,$A14,'Picks'!$U$2:$U$234,"settled",'Picks'!$V$2:$V$234,"win")</f>
        <v/>
      </c>
      <c r="D14" s="13">
        <f>COUNTIFS('Picks'!$H$2:$H$234,$A14,'Picks'!$U$2:$U$234,"settled",'Picks'!$V$2:$V$234,"loss")</f>
        <v/>
      </c>
      <c r="E14" s="14">
        <f>IFERROR(C14/(C14+D14),0)</f>
        <v/>
      </c>
      <c r="F14" s="15">
        <f>SUMIFS('Picks'!$BY$2:$BY$234,'Picks'!$H$2:$H$234,$A14)</f>
        <v/>
      </c>
      <c r="G14" s="16">
        <f>IFERROR(AVERAGEIFS('Picks'!$AB$2:$AB$234,'Picks'!$H$2:$H$234,$A14,'Picks'!$U$2:$U$234,"settled"),0)</f>
        <v/>
      </c>
    </row>
    <row r="15">
      <c r="A15" s="17" t="inlineStr">
        <is>
          <t>spread</t>
        </is>
      </c>
      <c r="B15" s="18">
        <f>COUNTIFS('Picks'!$H$2:$H$234,$A15,'Picks'!$U$2:$U$234,"settled")</f>
        <v/>
      </c>
      <c r="C15" s="18">
        <f>COUNTIFS('Picks'!$H$2:$H$234,$A15,'Picks'!$U$2:$U$234,"settled",'Picks'!$V$2:$V$234,"win")</f>
        <v/>
      </c>
      <c r="D15" s="18">
        <f>COUNTIFS('Picks'!$H$2:$H$234,$A15,'Picks'!$U$2:$U$234,"settled",'Picks'!$V$2:$V$234,"loss")</f>
        <v/>
      </c>
      <c r="E15" s="19">
        <f>IFERROR(C15/(C15+D15),0)</f>
        <v/>
      </c>
      <c r="F15" s="20">
        <f>SUMIFS('Picks'!$BY$2:$BY$234,'Picks'!$H$2:$H$234,$A15)</f>
        <v/>
      </c>
      <c r="G15" s="21">
        <f>IFERROR(AVERAGEIFS('Picks'!$AB$2:$AB$234,'Picks'!$H$2:$H$234,$A15,'Picks'!$U$2:$U$234,"settled"),0)</f>
        <v/>
      </c>
    </row>
    <row r="16">
      <c r="A16" s="12" t="inlineStr">
        <is>
          <t>total</t>
        </is>
      </c>
      <c r="B16" s="13">
        <f>COUNTIFS('Picks'!$H$2:$H$234,$A16,'Picks'!$U$2:$U$234,"settled")</f>
        <v/>
      </c>
      <c r="C16" s="13">
        <f>COUNTIFS('Picks'!$H$2:$H$234,$A16,'Picks'!$U$2:$U$234,"settled",'Picks'!$V$2:$V$234,"win")</f>
        <v/>
      </c>
      <c r="D16" s="13">
        <f>COUNTIFS('Picks'!$H$2:$H$234,$A16,'Picks'!$U$2:$U$234,"settled",'Picks'!$V$2:$V$234,"loss")</f>
        <v/>
      </c>
      <c r="E16" s="14">
        <f>IFERROR(C16/(C16+D16),0)</f>
        <v/>
      </c>
      <c r="F16" s="15">
        <f>SUMIFS('Picks'!$BY$2:$BY$234,'Picks'!$H$2:$H$234,$A16)</f>
        <v/>
      </c>
      <c r="G16" s="16">
        <f>IFERROR(AVERAGEIFS('Picks'!$AB$2:$AB$234,'Picks'!$H$2:$H$234,$A16,'Picks'!$U$2:$U$234,"settled"),0)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7e2113a2b9104093</t>
        </is>
      </c>
      <c r="B2" s="24" t="inlineStr">
        <is>
          <t>2026-07-27T15:07:03.733108Z</t>
        </is>
      </c>
      <c r="C2" s="24" t="inlineStr">
        <is>
          <t>2026-07-27T16:30Z</t>
        </is>
      </c>
      <c r="D2" s="24" t="inlineStr">
        <is>
          <t>888-2026:179013</t>
        </is>
      </c>
      <c r="E2" s="24" t="inlineStr">
        <is>
          <t>TENNIS</t>
        </is>
      </c>
      <c r="F2" s="24" t="inlineStr">
        <is>
          <t>Sofia Kenin</t>
        </is>
      </c>
      <c r="G2" s="24" t="inlineStr">
        <is>
          <t>Emma Navarro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233</v>
      </c>
      <c r="M2" s="27" t="n">
        <v>3.33</v>
      </c>
      <c r="N2" s="28" t="n">
        <v>0.3003</v>
      </c>
      <c r="O2" s="28" t="n">
        <v>0.5</v>
      </c>
      <c r="P2" s="28" t="n">
        <v>0.2</v>
      </c>
      <c r="Q2" s="28" t="n">
        <v>0.1997</v>
      </c>
      <c r="R2" s="26" t="n">
        <v>30</v>
      </c>
      <c r="S2" s="29" t="n">
        <v>1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-1</v>
      </c>
      <c r="AD2" s="24" t="inlineStr">
        <is>
          <t>2026-07-27T19:47:31.199433Z</t>
        </is>
      </c>
      <c r="AE2" s="31" t="inlineStr">
        <is>
          <t>Surface-blended Elo on Hard: Sofia Kenin p=0.500 vs Emma Navarro. Executable ask 0.3000 (aec-wta-emmnav-sofken-2026-07-27).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Sofia Kenin</t>
        </is>
      </c>
      <c r="AQ2" s="24" t="inlineStr">
        <is>
          <t>Sofia Kenin</t>
        </is>
      </c>
      <c r="AR2" s="24" t="inlineStr">
        <is>
          <t>Sofia Kenin</t>
        </is>
      </c>
      <c r="AS2" s="24" t="inlineStr">
        <is>
          <t>Emma Navarro</t>
        </is>
      </c>
      <c r="AT2" s="24" t="inlineStr">
        <is>
          <t>Emma Navarro</t>
        </is>
      </c>
      <c r="AU2" s="24" t="inlineStr">
        <is>
          <t>Emma Navarro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73429bd71f12304106b9ffb751bd50617d5109d487f00de7ae2732f60e779590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73429bd71f12304106b9ffb751bd50617d5109d487f00de7ae2732f60e779590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73429bd71f12304106b9ffb751bd50617d5109d487f00de7ae2732f60e779590</t>
        </is>
      </c>
      <c r="BH2" s="24" t="inlineStr">
        <is>
          <t>2026-07-27T15:05:37.057253Z</t>
        </is>
      </c>
      <c r="BI2" s="24" t="inlineStr">
        <is>
          <t>["same_event","same_team_same_day","same_league_same_day"]</t>
        </is>
      </c>
      <c r="BJ2" s="25" t="n"/>
      <c r="BK2" s="26" t="n">
        <v>233</v>
      </c>
      <c r="BL2" s="27" t="n">
        <v>3.33</v>
      </c>
      <c r="BM2" s="28" t="n">
        <v>0.3003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3b5660f4c52642df</t>
        </is>
      </c>
      <c r="B3" s="24" t="inlineStr">
        <is>
          <t>2026-07-27T19:49:40.013851Z</t>
        </is>
      </c>
      <c r="C3" s="24" t="inlineStr">
        <is>
          <t>2026-07-27T22:00Z</t>
        </is>
      </c>
      <c r="D3" s="24" t="inlineStr">
        <is>
          <t>888-2026:179015</t>
        </is>
      </c>
      <c r="E3" s="24" t="inlineStr">
        <is>
          <t>TENNIS</t>
        </is>
      </c>
      <c r="F3" s="24" t="inlineStr">
        <is>
          <t>Madison Keys</t>
        </is>
      </c>
      <c r="G3" s="24" t="inlineStr">
        <is>
          <t>Liudmila Samsonova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-317</v>
      </c>
      <c r="M3" s="27" t="n">
        <v>1.315457</v>
      </c>
      <c r="N3" s="28" t="n">
        <v>0.760192</v>
      </c>
      <c r="O3" s="28" t="n">
        <v>0.79541</v>
      </c>
      <c r="P3" s="28" t="n">
        <v>0.05</v>
      </c>
      <c r="Q3" s="28" t="n">
        <v>0.035218</v>
      </c>
      <c r="R3" s="26" t="n">
        <v>38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-2</v>
      </c>
      <c r="AD3" s="24" t="inlineStr">
        <is>
          <t>2026-07-28T01:57:12.909303Z</t>
        </is>
      </c>
      <c r="AE3" s="31" t="inlineStr">
        <is>
          <t>Surface-blended Elo on Hard: Madison Keys p=0.795 vs Liudmila Samsonova. Executable ask 0.7600 (aec-wta-liusam-madkey-2026-07-27).</t>
        </is>
      </c>
      <c r="AF3" s="31" t="inlineStr">
        <is>
          <t>Research-only surface-blended Elo model; singles only, WTA-only market coverage,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Madison Keys</t>
        </is>
      </c>
      <c r="AQ3" s="24" t="inlineStr">
        <is>
          <t>Madison Keys</t>
        </is>
      </c>
      <c r="AR3" s="24" t="inlineStr">
        <is>
          <t>Madison Keys</t>
        </is>
      </c>
      <c r="AS3" s="24" t="inlineStr">
        <is>
          <t>Liudmila Samsonova</t>
        </is>
      </c>
      <c r="AT3" s="24" t="inlineStr">
        <is>
          <t>Liudmila Samsonova</t>
        </is>
      </c>
      <c r="AU3" s="24" t="inlineStr">
        <is>
          <t>Liudmila Samsonova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73429bd71f12304106b9ffb751bd50617d5109d487f00de7ae2732f60e779590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73429bd71f12304106b9ffb751bd50617d5109d487f00de7ae2732f60e779590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73429bd71f12304106b9ffb751bd50617d5109d487f00de7ae2732f60e779590</t>
        </is>
      </c>
      <c r="BH3" s="24" t="inlineStr">
        <is>
          <t>2026-07-27T19:48:24.043030Z</t>
        </is>
      </c>
      <c r="BI3" s="24" t="inlineStr">
        <is>
          <t>["same_event","same_team_same_day","same_league_same_day"]</t>
        </is>
      </c>
      <c r="BJ3" s="25" t="n"/>
      <c r="BK3" s="26" t="n">
        <v>-317</v>
      </c>
      <c r="BL3" s="27" t="n">
        <v>1.315457</v>
      </c>
      <c r="BM3" s="28" t="n">
        <v>0.760192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d89920db2b224bab</t>
        </is>
      </c>
      <c r="B4" s="24" t="inlineStr">
        <is>
          <t>2026-07-27T19:49:40.013851Z</t>
        </is>
      </c>
      <c r="C4" s="24" t="inlineStr">
        <is>
          <t>2026-07-27T22:30Z</t>
        </is>
      </c>
      <c r="D4" s="24" t="inlineStr">
        <is>
          <t>888-2026:179011</t>
        </is>
      </c>
      <c r="E4" s="24" t="inlineStr">
        <is>
          <t>TENNIS</t>
        </is>
      </c>
      <c r="F4" s="24" t="inlineStr">
        <is>
          <t>Katie Boulter</t>
        </is>
      </c>
      <c r="G4" s="24" t="inlineStr">
        <is>
          <t>Ashlyn Krueger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150</v>
      </c>
      <c r="M4" s="27" t="n">
        <v>2.5</v>
      </c>
      <c r="N4" s="28" t="n">
        <v>0.4</v>
      </c>
      <c r="O4" s="28" t="n">
        <v>0.5086039999999999</v>
      </c>
      <c r="P4" s="28" t="n">
        <v>0.05</v>
      </c>
      <c r="Q4" s="28" t="n">
        <v>0.108604</v>
      </c>
      <c r="R4" s="26" t="n">
        <v>74</v>
      </c>
      <c r="S4" s="29" t="n">
        <v>1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2026-07-28T01:57:12.964210Z</t>
        </is>
      </c>
      <c r="AE4" s="31" t="inlineStr">
        <is>
          <t>Surface-blended Elo on Hard: Katie Boulter p=0.509 vs Ashlyn Krueger. Executable ask 0.4000 (aec-wta-ashkru-katbou-2026-07-27).</t>
        </is>
      </c>
      <c r="AF4" s="31" t="inlineStr">
        <is>
          <t>Research-only surface-blended Elo model; singles only, WTA-only market coverage, not yet locked-holdout qualified.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Katie Boulter</t>
        </is>
      </c>
      <c r="AQ4" s="24" t="inlineStr">
        <is>
          <t>Katie Boulter</t>
        </is>
      </c>
      <c r="AR4" s="24" t="inlineStr">
        <is>
          <t>Katie Boulter</t>
        </is>
      </c>
      <c r="AS4" s="24" t="inlineStr">
        <is>
          <t>Ashlyn Krueger</t>
        </is>
      </c>
      <c r="AT4" s="24" t="inlineStr">
        <is>
          <t>Ashlyn Krueger</t>
        </is>
      </c>
      <c r="AU4" s="24" t="inlineStr">
        <is>
          <t>Ashlyn Krueger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73429bd71f12304106b9ffb751bd50617d5109d487f00de7ae2732f60e779590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73429bd71f12304106b9ffb751bd50617d5109d487f00de7ae2732f60e779590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73429bd71f12304106b9ffb751bd50617d5109d487f00de7ae2732f60e779590</t>
        </is>
      </c>
      <c r="BH4" s="24" t="inlineStr">
        <is>
          <t>2026-07-27T19:48:29.416107Z</t>
        </is>
      </c>
      <c r="BI4" s="24" t="inlineStr">
        <is>
          <t>["same_event","same_team_same_day","same_league_same_day"]</t>
        </is>
      </c>
      <c r="BJ4" s="25" t="n"/>
      <c r="BK4" s="26" t="n">
        <v>150</v>
      </c>
      <c r="BL4" s="27" t="n">
        <v>2.5</v>
      </c>
      <c r="BM4" s="28" t="n">
        <v>0.4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3a5d647692064eec</t>
        </is>
      </c>
      <c r="B5" s="24" t="inlineStr">
        <is>
          <t>2026-07-27T19:49:40.013851Z</t>
        </is>
      </c>
      <c r="C5" s="24" t="inlineStr">
        <is>
          <t>2026-07-27T22:00Z</t>
        </is>
      </c>
      <c r="D5" s="24" t="inlineStr">
        <is>
          <t>1067-2026:179458</t>
        </is>
      </c>
      <c r="E5" s="24" t="inlineStr">
        <is>
          <t>TENNIS</t>
        </is>
      </c>
      <c r="F5" s="24" t="inlineStr">
        <is>
          <t>Reese Brantmeier</t>
        </is>
      </c>
      <c r="G5" s="24" t="inlineStr">
        <is>
          <t>Iryna Shymanovich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0.586243</v>
      </c>
      <c r="P5" s="28" t="n">
        <v>0.05</v>
      </c>
      <c r="Q5" s="28" t="n">
        <v>0.047072</v>
      </c>
      <c r="R5" s="26" t="n">
        <v>44</v>
      </c>
      <c r="S5" s="29" t="n">
        <v>1.25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1.0684</v>
      </c>
      <c r="AD5" s="24" t="inlineStr">
        <is>
          <t>2026-07-28T01:57:13.013056Z</t>
        </is>
      </c>
      <c r="AE5" s="31" t="inlineStr">
        <is>
          <t>Surface-blended Elo on Hard: Reese Brantmeier p=0.414 vs Iryna Shymanovich. Executable ask 0.5400 (aec-wta-iryshy-reebra-2026-07-27).</t>
        </is>
      </c>
      <c r="AF5" s="31" t="inlineStr">
        <is>
          <t>Research-only surface-blended Elo model; singles only, WTA-only market coverage, not yet locked-holdout qualified.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Reese Brantmeier</t>
        </is>
      </c>
      <c r="AQ5" s="24" t="inlineStr">
        <is>
          <t>Reese Brantmeier</t>
        </is>
      </c>
      <c r="AR5" s="24" t="inlineStr">
        <is>
          <t>Reese Brantmeier</t>
        </is>
      </c>
      <c r="AS5" s="24" t="inlineStr">
        <is>
          <t>Iryna Shymanovich</t>
        </is>
      </c>
      <c r="AT5" s="24" t="inlineStr">
        <is>
          <t>Iryna Shymanovich</t>
        </is>
      </c>
      <c r="AU5" s="24" t="inlineStr">
        <is>
          <t>Iryna Shymanovich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73429bd71f12304106b9ffb751bd50617d5109d487f00de7ae2732f60e779590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73429bd71f12304106b9ffb751bd50617d5109d487f00de7ae2732f60e779590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73429bd71f12304106b9ffb751bd50617d5109d487f00de7ae2732f60e779590</t>
        </is>
      </c>
      <c r="BH5" s="24" t="inlineStr">
        <is>
          <t>2026-07-27T19:48:21.751615Z</t>
        </is>
      </c>
      <c r="BI5" s="24" t="inlineStr">
        <is>
          <t>["same_event","same_team_same_day","same_league_same_day"]</t>
        </is>
      </c>
      <c r="BJ5" s="25" t="n"/>
      <c r="BK5" s="26" t="n">
        <v>-117</v>
      </c>
      <c r="BL5" s="27" t="n">
        <v>1.854701</v>
      </c>
      <c r="BM5" s="28" t="n">
        <v>0.539171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dbf54110c6ac4140</t>
        </is>
      </c>
      <c r="B6" s="24" t="inlineStr">
        <is>
          <t>2026-07-27T19:49:40.013851Z</t>
        </is>
      </c>
      <c r="C6" s="24" t="inlineStr">
        <is>
          <t>2026-07-27T22:00Z</t>
        </is>
      </c>
      <c r="D6" s="24" t="inlineStr">
        <is>
          <t>1067-2026:179467</t>
        </is>
      </c>
      <c r="E6" s="24" t="inlineStr">
        <is>
          <t>TENNIS</t>
        </is>
      </c>
      <c r="F6" s="24" t="inlineStr">
        <is>
          <t>Tatjana Maria</t>
        </is>
      </c>
      <c r="G6" s="24" t="inlineStr">
        <is>
          <t>Talia Gibson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144</v>
      </c>
      <c r="M6" s="27" t="n">
        <v>2.44</v>
      </c>
      <c r="N6" s="28" t="n">
        <v>0.409836</v>
      </c>
      <c r="O6" s="28" t="n">
        <v>0.553067</v>
      </c>
      <c r="P6" s="28" t="n">
        <v>0.05</v>
      </c>
      <c r="Q6" s="28" t="n">
        <v>0.143231</v>
      </c>
      <c r="R6" s="26" t="n">
        <v>92</v>
      </c>
      <c r="S6" s="29" t="n">
        <v>1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1.44</v>
      </c>
      <c r="AD6" s="24" t="inlineStr">
        <is>
          <t>2026-07-28T01:57:13.062475Z</t>
        </is>
      </c>
      <c r="AE6" s="31" t="inlineStr">
        <is>
          <t>Surface-blended Elo on Hard: Tatjana Maria p=0.553 vs Talia Gibson. Executable ask 0.4100 (aec-wta-talgib-tatmar-2026-07-26).</t>
        </is>
      </c>
      <c r="AF6" s="31" t="inlineStr">
        <is>
          <t>Research-only surface-blended Elo model; singles only, WTA-only market coverage,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Tatjana Maria</t>
        </is>
      </c>
      <c r="AQ6" s="24" t="inlineStr">
        <is>
          <t>Tatjana Maria</t>
        </is>
      </c>
      <c r="AR6" s="24" t="inlineStr">
        <is>
          <t>Tatjana Maria</t>
        </is>
      </c>
      <c r="AS6" s="24" t="inlineStr">
        <is>
          <t>Talia Gibson</t>
        </is>
      </c>
      <c r="AT6" s="24" t="inlineStr">
        <is>
          <t>Talia Gibson</t>
        </is>
      </c>
      <c r="AU6" s="24" t="inlineStr">
        <is>
          <t>Talia Gibson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73429bd71f12304106b9ffb751bd50617d5109d487f00de7ae2732f60e779590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73429bd71f12304106b9ffb751bd50617d5109d487f00de7ae2732f60e779590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73429bd71f12304106b9ffb751bd50617d5109d487f00de7ae2732f60e779590</t>
        </is>
      </c>
      <c r="BH6" s="24" t="inlineStr">
        <is>
          <t>2026-07-27T19:48:25.266083Z</t>
        </is>
      </c>
      <c r="BI6" s="24" t="inlineStr">
        <is>
          <t>["same_event","same_team_same_day","same_league_same_day"]</t>
        </is>
      </c>
      <c r="BJ6" s="25" t="n"/>
      <c r="BK6" s="26" t="n">
        <v>144</v>
      </c>
      <c r="BL6" s="27" t="n">
        <v>2.44</v>
      </c>
      <c r="BM6" s="28" t="n">
        <v>0.409836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dcab0226e1494560</t>
        </is>
      </c>
      <c r="B7" s="24" t="inlineStr">
        <is>
          <t>2026-07-27T19:49:40.013851Z</t>
        </is>
      </c>
      <c r="C7" s="24" t="inlineStr">
        <is>
          <t>2026-07-27T22:00Z</t>
        </is>
      </c>
      <c r="D7" s="24" t="inlineStr">
        <is>
          <t>1067-2026:179448</t>
        </is>
      </c>
      <c r="E7" s="24" t="inlineStr">
        <is>
          <t>TENNIS</t>
        </is>
      </c>
      <c r="F7" s="24" t="inlineStr">
        <is>
          <t>Tatiana Prozorova</t>
        </is>
      </c>
      <c r="G7" s="24" t="inlineStr">
        <is>
          <t>Solana Sierra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0.5067430000000001</v>
      </c>
      <c r="P7" s="28" t="n">
        <v>0.05</v>
      </c>
      <c r="Q7" s="28" t="n">
        <v>-0.042807</v>
      </c>
      <c r="R7" s="26" t="n">
        <v>0</v>
      </c>
      <c r="S7" s="29" t="n">
        <v>1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0.8197</v>
      </c>
      <c r="AD7" s="24" t="inlineStr">
        <is>
          <t>2026-07-28T01:57:13.111845Z</t>
        </is>
      </c>
      <c r="AE7" s="31" t="inlineStr">
        <is>
          <t>Surface-blended Elo on Hard: Tatiana Prozorova p=0.507 vs Solana Sierra. Executable ask 0.5500 (aec-wta-solsie-tatpro-2026-07-27).</t>
        </is>
      </c>
      <c r="AF7" s="31" t="inlineStr">
        <is>
          <t>Research-only surface-blended Elo model; singles only, WTA-only market coverage,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Tatiana Prozorova</t>
        </is>
      </c>
      <c r="AQ7" s="24" t="inlineStr">
        <is>
          <t>Tatiana Prozorova</t>
        </is>
      </c>
      <c r="AR7" s="24" t="inlineStr">
        <is>
          <t>Tatiana Prozorova</t>
        </is>
      </c>
      <c r="AS7" s="24" t="inlineStr">
        <is>
          <t>Solana Sierra</t>
        </is>
      </c>
      <c r="AT7" s="24" t="inlineStr">
        <is>
          <t>Solana Sierra</t>
        </is>
      </c>
      <c r="AU7" s="24" t="inlineStr">
        <is>
          <t>Solana Sierra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73429bd71f12304106b9ffb751bd50617d5109d487f00de7ae2732f60e779590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73429bd71f12304106b9ffb751bd50617d5109d487f00de7ae2732f60e779590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73429bd71f12304106b9ffb751bd50617d5109d487f00de7ae2732f60e779590</t>
        </is>
      </c>
      <c r="BH7" s="24" t="inlineStr">
        <is>
          <t>2026-07-27T19:48:27.703444Z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c277e64f1cdc4fc0</t>
        </is>
      </c>
      <c r="B8" s="24" t="inlineStr">
        <is>
          <t>2026-07-27T22:53:48.234236Z</t>
        </is>
      </c>
      <c r="C8" s="24" t="inlineStr">
        <is>
          <t>2026-07-27T23:00Z</t>
        </is>
      </c>
      <c r="D8" s="24" t="inlineStr">
        <is>
          <t>888-2026:179005</t>
        </is>
      </c>
      <c r="E8" s="24" t="inlineStr">
        <is>
          <t>TENNIS</t>
        </is>
      </c>
      <c r="F8" s="24" t="inlineStr">
        <is>
          <t>Rebecca Sramkova</t>
        </is>
      </c>
      <c r="G8" s="24" t="inlineStr">
        <is>
          <t>Janice Tjen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0.5261749999999999</v>
      </c>
      <c r="P8" s="28" t="n">
        <v>0.05</v>
      </c>
      <c r="Q8" s="28" t="n">
        <v>-0.103455</v>
      </c>
      <c r="R8" s="26" t="n">
        <v>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2026-07-28T01:57:13.159775Z</t>
        </is>
      </c>
      <c r="AE8" s="31" t="inlineStr">
        <is>
          <t>Surface-blended Elo on Hard: Rebecca Sramkova p=0.474 vs Janice Tjen. Executable ask 0.6300 (aec-wta-jantje-rebsra-2026-07-27).</t>
        </is>
      </c>
      <c r="AF8" s="31" t="inlineStr">
        <is>
          <t>Research-only surface-blended Elo model; singles only, WTA-only market coverage,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Rebecca Sramkova</t>
        </is>
      </c>
      <c r="AQ8" s="24" t="inlineStr">
        <is>
          <t>Rebecca Sramkova</t>
        </is>
      </c>
      <c r="AR8" s="24" t="inlineStr">
        <is>
          <t>Rebecca Sramkova</t>
        </is>
      </c>
      <c r="AS8" s="24" t="inlineStr">
        <is>
          <t>Janice Tjen</t>
        </is>
      </c>
      <c r="AT8" s="24" t="inlineStr">
        <is>
          <t>Janice Tjen</t>
        </is>
      </c>
      <c r="AU8" s="24" t="inlineStr">
        <is>
          <t>Janice Tjen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73429bd71f12304106b9ffb751bd50617d5109d487f00de7ae2732f60e779590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73429bd71f12304106b9ffb751bd50617d5109d487f00de7ae2732f60e779590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73429bd71f12304106b9ffb751bd50617d5109d487f00de7ae2732f60e779590</t>
        </is>
      </c>
      <c r="BH8" s="24" t="inlineStr">
        <is>
          <t>2026-07-27T22:52:57.906473Z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56daff3298ea462f</t>
        </is>
      </c>
      <c r="B9" s="24" t="inlineStr">
        <is>
          <t>2026-07-27T22:53:48.234236Z</t>
        </is>
      </c>
      <c r="C9" s="24" t="inlineStr">
        <is>
          <t>2026-07-28T00:00Z</t>
        </is>
      </c>
      <c r="D9" s="24" t="inlineStr">
        <is>
          <t>1067-2026:179442</t>
        </is>
      </c>
      <c r="E9" s="24" t="inlineStr">
        <is>
          <t>TENNIS</t>
        </is>
      </c>
      <c r="F9" s="24" t="inlineStr">
        <is>
          <t>Storm Hunter</t>
        </is>
      </c>
      <c r="G9" s="24" t="inlineStr">
        <is>
          <t>Camila Osorio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-257</v>
      </c>
      <c r="M9" s="27" t="n">
        <v>1.389105</v>
      </c>
      <c r="N9" s="28" t="n">
        <v>0.719888</v>
      </c>
      <c r="O9" s="28" t="n">
        <v>0.649232</v>
      </c>
      <c r="P9" s="28" t="n">
        <v>0.05</v>
      </c>
      <c r="Q9" s="28" t="n">
        <v>-0.070656</v>
      </c>
      <c r="R9" s="26" t="n">
        <v>0</v>
      </c>
      <c r="S9" s="29" t="n">
        <v>1.75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0.6808999999999999</v>
      </c>
      <c r="AD9" s="24" t="inlineStr">
        <is>
          <t>2026-07-28T01:57:13.207099Z</t>
        </is>
      </c>
      <c r="AE9" s="31" t="inlineStr">
        <is>
          <t>Surface-blended Elo on Hard: Storm Hunter p=0.351 vs Camila Osorio. Executable ask 0.7200 (aec-wta-camoso-stohun-2026-07-27).</t>
        </is>
      </c>
      <c r="AF9" s="31" t="inlineStr">
        <is>
          <t>Research-only surface-blended Elo model; singles only, WTA-only market coverage,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Storm Hunter</t>
        </is>
      </c>
      <c r="AQ9" s="24" t="inlineStr">
        <is>
          <t>Storm Hunter</t>
        </is>
      </c>
      <c r="AR9" s="24" t="inlineStr">
        <is>
          <t>Storm Hunter</t>
        </is>
      </c>
      <c r="AS9" s="24" t="inlineStr">
        <is>
          <t>Camila Osorio</t>
        </is>
      </c>
      <c r="AT9" s="24" t="inlineStr">
        <is>
          <t>Camila Osorio</t>
        </is>
      </c>
      <c r="AU9" s="24" t="inlineStr">
        <is>
          <t>Camila Osorio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73429bd71f12304106b9ffb751bd50617d5109d487f00de7ae2732f60e779590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73429bd71f12304106b9ffb751bd50617d5109d487f00de7ae2732f60e779590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73429bd71f12304106b9ffb751bd50617d5109d487f00de7ae2732f60e779590</t>
        </is>
      </c>
      <c r="BH9" s="24" t="inlineStr">
        <is>
          <t>2026-07-27T22:52:59.384587Z</t>
        </is>
      </c>
      <c r="BI9" s="24" t="inlineStr">
        <is>
          <t>["same_event","same_team_same_day","same_league_same_day"]</t>
        </is>
      </c>
      <c r="BJ9" s="25" t="n"/>
      <c r="BK9" s="26" t="n">
        <v>-257</v>
      </c>
      <c r="BL9" s="27" t="n">
        <v>1.389105</v>
      </c>
      <c r="BM9" s="28" t="n">
        <v>0.719888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7346e54569e94c40</t>
        </is>
      </c>
      <c r="B10" s="24" t="inlineStr">
        <is>
          <t>2026-07-27T22:53:48.234236Z</t>
        </is>
      </c>
      <c r="C10" s="24" t="inlineStr">
        <is>
          <t>2026-07-28T00:00Z</t>
        </is>
      </c>
      <c r="D10" s="24" t="inlineStr">
        <is>
          <t>1067-2026:179449</t>
        </is>
      </c>
      <c r="E10" s="24" t="inlineStr">
        <is>
          <t>TENNIS</t>
        </is>
      </c>
      <c r="F10" s="24" t="inlineStr">
        <is>
          <t>Elvina Kalieva</t>
        </is>
      </c>
      <c r="G10" s="24" t="inlineStr">
        <is>
          <t>Katherine Sebov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-203</v>
      </c>
      <c r="M10" s="27" t="n">
        <v>1.492611</v>
      </c>
      <c r="N10" s="28" t="n">
        <v>0.669967</v>
      </c>
      <c r="O10" s="28" t="n">
        <v>0.574055</v>
      </c>
      <c r="P10" s="28" t="n">
        <v>0.05</v>
      </c>
      <c r="Q10" s="28" t="n">
        <v>-0.095912</v>
      </c>
      <c r="R10" s="26" t="n">
        <v>0</v>
      </c>
      <c r="S10" s="29" t="n">
        <v>1.25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0.6158</v>
      </c>
      <c r="AD10" s="24" t="inlineStr">
        <is>
          <t>2026-07-28T05:00:27.320959Z</t>
        </is>
      </c>
      <c r="AE10" s="31" t="inlineStr">
        <is>
          <t>Surface-blended Elo on Hard: Elvina Kalieva p=0.574 vs Katherine Sebov. Executable ask 0.6700 (aec-wta-katseb-elvkal-2026-07-27).</t>
        </is>
      </c>
      <c r="AF10" s="31" t="inlineStr">
        <is>
          <t>Research-only surface-blended Elo model; singles only, WTA-only market coverage,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Elvina Kalieva</t>
        </is>
      </c>
      <c r="AQ10" s="24" t="inlineStr">
        <is>
          <t>Elvina Kalieva</t>
        </is>
      </c>
      <c r="AR10" s="24" t="inlineStr">
        <is>
          <t>Elvina Kalieva</t>
        </is>
      </c>
      <c r="AS10" s="24" t="inlineStr">
        <is>
          <t>Katherine Sebov</t>
        </is>
      </c>
      <c r="AT10" s="24" t="inlineStr">
        <is>
          <t>Katherine Sebov</t>
        </is>
      </c>
      <c r="AU10" s="24" t="inlineStr">
        <is>
          <t>Katherine Sebov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73429bd71f12304106b9ffb751bd50617d5109d487f00de7ae2732f60e779590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73429bd71f12304106b9ffb751bd50617d5109d487f00de7ae2732f60e779590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73429bd71f12304106b9ffb751bd50617d5109d487f00de7ae2732f60e779590</t>
        </is>
      </c>
      <c r="BH10" s="24" t="inlineStr">
        <is>
          <t>2026-07-27T22:53:01.928572Z</t>
        </is>
      </c>
      <c r="BI10" s="24" t="inlineStr">
        <is>
          <t>["same_event","same_team_same_day","same_league_same_day"]</t>
        </is>
      </c>
      <c r="BJ10" s="25" t="n"/>
      <c r="BK10" s="26" t="n">
        <v>-203</v>
      </c>
      <c r="BL10" s="27" t="n">
        <v>1.492611</v>
      </c>
      <c r="BM10" s="28" t="n">
        <v>0.669967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ecdeea06b6a04baf</t>
        </is>
      </c>
      <c r="B11" s="24" t="inlineStr">
        <is>
          <t>2026-07-28T01:58:09.459721Z</t>
        </is>
      </c>
      <c r="C11" s="24" t="inlineStr">
        <is>
          <t>2026-07-28T04:00Z</t>
        </is>
      </c>
      <c r="D11" s="24" t="inlineStr">
        <is>
          <t>875-2026:179541</t>
        </is>
      </c>
      <c r="E11" s="24" t="inlineStr">
        <is>
          <t>TENNIS</t>
        </is>
      </c>
      <c r="F11" s="24" t="inlineStr">
        <is>
          <t>Mai Hontama</t>
        </is>
      </c>
      <c r="G11" s="24" t="inlineStr">
        <is>
          <t>Kayla Day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163</v>
      </c>
      <c r="M11" s="27" t="n">
        <v>2.63</v>
      </c>
      <c r="N11" s="28" t="n">
        <v>0.380228</v>
      </c>
      <c r="O11" s="28" t="n">
        <v>0.5315029999999999</v>
      </c>
      <c r="P11" s="28" t="n">
        <v>0.05</v>
      </c>
      <c r="Q11" s="28" t="n">
        <v>0.151275</v>
      </c>
      <c r="R11" s="26" t="n">
        <v>96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/>
      <c r="AA11" s="28" t="n"/>
      <c r="AB11" s="28" t="n"/>
      <c r="AC11" s="30" t="n">
        <v>1.63</v>
      </c>
      <c r="AD11" s="24" t="inlineStr">
        <is>
          <t>2026-07-28T23:37:08.880974Z</t>
        </is>
      </c>
      <c r="AE11" s="31" t="inlineStr">
        <is>
          <t>Surface-blended Elo on Hard: Mai Hontama p=0.532 vs Kayla Day. Executable ask 0.3800 (aec-wta-kayday-maihon-2026-07-27).</t>
        </is>
      </c>
      <c r="AF11" s="31" t="inlineStr">
        <is>
          <t>Research-only surface-blended Elo model; singles only, WTA-only market coverage,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Mai Hontama</t>
        </is>
      </c>
      <c r="AQ11" s="24" t="inlineStr">
        <is>
          <t>Mai Hontama</t>
        </is>
      </c>
      <c r="AR11" s="24" t="inlineStr">
        <is>
          <t>Mai Hontama</t>
        </is>
      </c>
      <c r="AS11" s="24" t="inlineStr">
        <is>
          <t>Kayla Day</t>
        </is>
      </c>
      <c r="AT11" s="24" t="inlineStr">
        <is>
          <t>Kayla Day</t>
        </is>
      </c>
      <c r="AU11" s="24" t="inlineStr">
        <is>
          <t>Kayla Day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73429bd71f12304106b9ffb751bd50617d5109d487f00de7ae2732f60e779590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73429bd71f12304106b9ffb751bd50617d5109d487f00de7ae2732f60e779590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73429bd71f12304106b9ffb751bd50617d5109d487f00de7ae2732f60e779590</t>
        </is>
      </c>
      <c r="BH11" s="24" t="inlineStr">
        <is>
          <t>2026-07-28T01:57:54.105196Z</t>
        </is>
      </c>
      <c r="BI11" s="24" t="inlineStr">
        <is>
          <t>["same_event","same_team_same_day","same_league_same_day"]</t>
        </is>
      </c>
      <c r="BJ11" s="25" t="n"/>
      <c r="BK11" s="26" t="n">
        <v>163</v>
      </c>
      <c r="BL11" s="27" t="n">
        <v>2.63</v>
      </c>
      <c r="BM11" s="28" t="n">
        <v>0.380228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8dda84772591491a</t>
        </is>
      </c>
      <c r="B12" s="24" t="inlineStr">
        <is>
          <t>2026-07-28T05:03:44.224309Z</t>
        </is>
      </c>
      <c r="C12" s="24" t="inlineStr">
        <is>
          <t>2026-07-28T08:00Z</t>
        </is>
      </c>
      <c r="D12" s="24" t="inlineStr">
        <is>
          <t>1073-2026:179584</t>
        </is>
      </c>
      <c r="E12" s="24" t="inlineStr">
        <is>
          <t>TENNIS</t>
        </is>
      </c>
      <c r="F12" s="24" t="inlineStr">
        <is>
          <t>Alesia Breaz</t>
        </is>
      </c>
      <c r="G12" s="24" t="inlineStr">
        <is>
          <t>Laura Samson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-1900</v>
      </c>
      <c r="M12" s="27" t="n">
        <v>1.052632</v>
      </c>
      <c r="N12" s="28" t="n">
        <v>0.95</v>
      </c>
      <c r="O12" s="28" t="n">
        <v>0.539316</v>
      </c>
      <c r="P12" s="28" t="n">
        <v>0.2</v>
      </c>
      <c r="Q12" s="28" t="n">
        <v>-0.410684</v>
      </c>
      <c r="R12" s="26" t="n">
        <v>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0.0526</v>
      </c>
      <c r="AD12" s="24" t="inlineStr">
        <is>
          <t>2026-07-28T11:12:39.258308Z</t>
        </is>
      </c>
      <c r="AE12" s="31" t="inlineStr">
        <is>
          <t>Surface-blended Elo on Hard: Alesia Breaz p=0.461 vs Laura Samson. Executable ask 0.9500 (aec-wta-lausam-alebre-2026-07-27).</t>
        </is>
      </c>
      <c r="AF12" s="31" t="inlineStr">
        <is>
          <t>Research-only surface-blended Elo model; singles only, WTA-only market coverage,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Alesia Breaz</t>
        </is>
      </c>
      <c r="AQ12" s="24" t="inlineStr">
        <is>
          <t>Alesia Breaz</t>
        </is>
      </c>
      <c r="AR12" s="24" t="inlineStr">
        <is>
          <t>Alesia Breaz</t>
        </is>
      </c>
      <c r="AS12" s="24" t="inlineStr">
        <is>
          <t>Laura Samson</t>
        </is>
      </c>
      <c r="AT12" s="24" t="inlineStr">
        <is>
          <t>Laura Samson</t>
        </is>
      </c>
      <c r="AU12" s="24" t="inlineStr">
        <is>
          <t>Laura Samson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73429bd71f12304106b9ffb751bd50617d5109d487f00de7ae2732f60e779590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73429bd71f12304106b9ffb751bd50617d5109d487f00de7ae2732f60e779590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73429bd71f12304106b9ffb751bd50617d5109d487f00de7ae2732f60e779590</t>
        </is>
      </c>
      <c r="BH12" s="24" t="inlineStr">
        <is>
          <t>2026-07-28T05:01:29.400703Z</t>
        </is>
      </c>
      <c r="BI12" s="24" t="inlineStr">
        <is>
          <t>["same_event","same_team_same_day","same_league_same_day"]</t>
        </is>
      </c>
      <c r="BJ12" s="25" t="n"/>
      <c r="BK12" s="26" t="n">
        <v>-1900</v>
      </c>
      <c r="BL12" s="27" t="n">
        <v>1.052632</v>
      </c>
      <c r="BM12" s="28" t="n">
        <v>0.95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30d29ce7fa0d4fdb</t>
        </is>
      </c>
      <c r="B13" s="24" t="inlineStr">
        <is>
          <t>2026-07-28T05:03:44.224309Z</t>
        </is>
      </c>
      <c r="C13" s="24" t="inlineStr">
        <is>
          <t>2026-07-28T08:00Z</t>
        </is>
      </c>
      <c r="D13" s="24" t="inlineStr">
        <is>
          <t>1073-2026:179580</t>
        </is>
      </c>
      <c r="E13" s="24" t="inlineStr">
        <is>
          <t>TENNIS</t>
        </is>
      </c>
      <c r="F13" s="24" t="inlineStr">
        <is>
          <t>Dalila Spiteri</t>
        </is>
      </c>
      <c r="G13" s="24" t="inlineStr">
        <is>
          <t>Yelyzaveta Kotliar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0.629597</v>
      </c>
      <c r="P13" s="28" t="n">
        <v>0.05</v>
      </c>
      <c r="Q13" s="28" t="n">
        <v>0.07012599999999999</v>
      </c>
      <c r="R13" s="26" t="n">
        <v>55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1.1811</v>
      </c>
      <c r="AD13" s="24" t="inlineStr">
        <is>
          <t>2026-07-28T11:12:39.363889Z</t>
        </is>
      </c>
      <c r="AE13" s="31" t="inlineStr">
        <is>
          <t>Surface-blended Elo on Hard: Dalila Spiteri p=0.370 vs Yelyzaveta Kotliar. Executable ask 0.5600 (aec-wta-yelkot-dalspi-2026-07-28).</t>
        </is>
      </c>
      <c r="AF13" s="31" t="inlineStr">
        <is>
          <t>Research-only surface-blended Elo model; singles only, WTA-only market coverage,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Dalila Spiteri</t>
        </is>
      </c>
      <c r="AQ13" s="24" t="inlineStr">
        <is>
          <t>Dalila Spiteri</t>
        </is>
      </c>
      <c r="AR13" s="24" t="inlineStr">
        <is>
          <t>Dalila Spiteri</t>
        </is>
      </c>
      <c r="AS13" s="24" t="inlineStr">
        <is>
          <t>Yelyzaveta Kotliar</t>
        </is>
      </c>
      <c r="AT13" s="24" t="inlineStr">
        <is>
          <t>Yelyzaveta Kotliar</t>
        </is>
      </c>
      <c r="AU13" s="24" t="inlineStr">
        <is>
          <t>Yelyzaveta Kotliar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73429bd71f12304106b9ffb751bd50617d5109d487f00de7ae2732f60e779590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73429bd71f12304106b9ffb751bd50617d5109d487f00de7ae2732f60e779590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73429bd71f12304106b9ffb751bd50617d5109d487f00de7ae2732f60e779590</t>
        </is>
      </c>
      <c r="BH13" s="24" t="inlineStr">
        <is>
          <t>2026-07-28T05:01:29.353293Z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cc74bd5c56de4e4f</t>
        </is>
      </c>
      <c r="B14" s="24" t="inlineStr">
        <is>
          <t>2026-07-28T05:03:44.224309Z</t>
        </is>
      </c>
      <c r="C14" s="24" t="inlineStr">
        <is>
          <t>2026-07-28T08:00Z</t>
        </is>
      </c>
      <c r="D14" s="24" t="inlineStr">
        <is>
          <t>1073-2026:183171</t>
        </is>
      </c>
      <c r="E14" s="24" t="inlineStr">
        <is>
          <t>TENNIS</t>
        </is>
      </c>
      <c r="F14" s="24" t="inlineStr">
        <is>
          <t>Darja Semenistaja</t>
        </is>
      </c>
      <c r="G14" s="24" t="inlineStr">
        <is>
          <t>Mia Ristic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-113</v>
      </c>
      <c r="M14" s="27" t="n">
        <v>1.884956</v>
      </c>
      <c r="N14" s="28" t="n">
        <v>0.530516</v>
      </c>
      <c r="O14" s="28" t="n">
        <v>0.553512</v>
      </c>
      <c r="P14" s="28" t="n">
        <v>0.05</v>
      </c>
      <c r="Q14" s="28" t="n">
        <v>0.022996</v>
      </c>
      <c r="R14" s="26" t="n">
        <v>31</v>
      </c>
      <c r="S14" s="29" t="n">
        <v>1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2026-07-28T11:12:39.467765Z</t>
        </is>
      </c>
      <c r="AE14" s="31" t="inlineStr">
        <is>
          <t>Surface-blended Elo on Hard: Darja Semenistaja p=0.554 vs Mia Ristic. Executable ask 0.5300 (aec-wta-miaris-darsem-2026-07-27).</t>
        </is>
      </c>
      <c r="AF14" s="31" t="inlineStr">
        <is>
          <t>Research-only surface-blended Elo model; singles only, WTA-only market coverage, not yet locked-holdout qualified.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Darja Semenistaja</t>
        </is>
      </c>
      <c r="AQ14" s="24" t="inlineStr">
        <is>
          <t>Darja Semenistaja</t>
        </is>
      </c>
      <c r="AR14" s="24" t="inlineStr">
        <is>
          <t>Darja Semenistaja</t>
        </is>
      </c>
      <c r="AS14" s="24" t="inlineStr">
        <is>
          <t>Mia Ristic</t>
        </is>
      </c>
      <c r="AT14" s="24" t="inlineStr">
        <is>
          <t>Mia Ristic</t>
        </is>
      </c>
      <c r="AU14" s="24" t="inlineStr">
        <is>
          <t>Mia Ristic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73429bd71f12304106b9ffb751bd50617d5109d487f00de7ae2732f60e779590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73429bd71f12304106b9ffb751bd50617d5109d487f00de7ae2732f60e779590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73429bd71f12304106b9ffb751bd50617d5109d487f00de7ae2732f60e779590</t>
        </is>
      </c>
      <c r="BH14" s="24" t="inlineStr">
        <is>
          <t>2026-07-28T05:01:29.436773Z</t>
        </is>
      </c>
      <c r="BI14" s="24" t="inlineStr">
        <is>
          <t>["same_event","same_team_same_day","same_league_same_day"]</t>
        </is>
      </c>
      <c r="BJ14" s="25" t="n"/>
      <c r="BK14" s="26" t="n">
        <v>-113</v>
      </c>
      <c r="BL14" s="27" t="n">
        <v>1.884956</v>
      </c>
      <c r="BM14" s="28" t="n">
        <v>0.530516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c468caf1f2da4603</t>
        </is>
      </c>
      <c r="B15" s="24" t="inlineStr">
        <is>
          <t>2026-07-28T08:09:48.374429Z</t>
        </is>
      </c>
      <c r="C15" s="24" t="inlineStr">
        <is>
          <t>2026-07-28T09:30Z</t>
        </is>
      </c>
      <c r="D15" s="24" t="inlineStr">
        <is>
          <t>1073-2026:183172</t>
        </is>
      </c>
      <c r="E15" s="24" t="inlineStr">
        <is>
          <t>TENNIS</t>
        </is>
      </c>
      <c r="F15" s="24" t="inlineStr">
        <is>
          <t>Lucia Bronzetti</t>
        </is>
      </c>
      <c r="G15" s="24" t="inlineStr">
        <is>
          <t>Miriana Tona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-1011</v>
      </c>
      <c r="M15" s="27" t="n">
        <v>1.098912</v>
      </c>
      <c r="N15" s="28" t="n">
        <v>0.909991</v>
      </c>
      <c r="O15" s="28" t="n">
        <v>0.671191</v>
      </c>
      <c r="P15" s="28" t="n">
        <v>0.05</v>
      </c>
      <c r="Q15" s="28" t="n">
        <v>-0.2388</v>
      </c>
      <c r="R15" s="26" t="n">
        <v>0</v>
      </c>
      <c r="S15" s="29" t="n">
        <v>1.75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0.1731</v>
      </c>
      <c r="AD15" s="24" t="inlineStr">
        <is>
          <t>2026-07-28T14:18:43.901317Z</t>
        </is>
      </c>
      <c r="AE15" s="31" t="inlineStr">
        <is>
          <t>Surface-blended Elo on Hard: Lucia Bronzetti p=0.671 vs Miriana Tona. Executable ask 0.9100 (aec-wta-mirton-lucbro-2026-07-28).</t>
        </is>
      </c>
      <c r="AF15" s="31" t="inlineStr">
        <is>
          <t>Research-only surface-blended Elo model; singles only, WTA-only market coverage,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Lucia Bronzetti</t>
        </is>
      </c>
      <c r="AQ15" s="24" t="inlineStr">
        <is>
          <t>Lucia Bronzetti</t>
        </is>
      </c>
      <c r="AR15" s="24" t="inlineStr">
        <is>
          <t>Lucia Bronzetti</t>
        </is>
      </c>
      <c r="AS15" s="24" t="inlineStr">
        <is>
          <t>Miriana Tona</t>
        </is>
      </c>
      <c r="AT15" s="24" t="inlineStr">
        <is>
          <t>Miriana Tona</t>
        </is>
      </c>
      <c r="AU15" s="24" t="inlineStr">
        <is>
          <t>Miriana Tona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73429bd71f12304106b9ffb751bd50617d5109d487f00de7ae2732f60e779590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73429bd71f12304106b9ffb751bd50617d5109d487f00de7ae2732f60e779590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73429bd71f12304106b9ffb751bd50617d5109d487f00de7ae2732f60e779590</t>
        </is>
      </c>
      <c r="BH15" s="24" t="inlineStr">
        <is>
          <t>2026-07-28T08:07:29.222890Z</t>
        </is>
      </c>
      <c r="BI15" s="24" t="inlineStr">
        <is>
          <t>["same_event","same_team_same_day","same_league_same_day"]</t>
        </is>
      </c>
      <c r="BJ15" s="25" t="n"/>
      <c r="BK15" s="26" t="n">
        <v>-1011</v>
      </c>
      <c r="BL15" s="27" t="n">
        <v>1.098912</v>
      </c>
      <c r="BM15" s="28" t="n">
        <v>0.909991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da48ac67863741c5</t>
        </is>
      </c>
      <c r="B16" s="24" t="inlineStr">
        <is>
          <t>2026-07-28T08:09:48.374429Z</t>
        </is>
      </c>
      <c r="C16" s="24" t="inlineStr">
        <is>
          <t>2026-07-28T10:00Z</t>
        </is>
      </c>
      <c r="D16" s="24" t="inlineStr">
        <is>
          <t>1073-2026:183177</t>
        </is>
      </c>
      <c r="E16" s="24" t="inlineStr">
        <is>
          <t>TENNIS</t>
        </is>
      </c>
      <c r="F16" s="24" t="inlineStr">
        <is>
          <t>Lola Radivojevic</t>
        </is>
      </c>
      <c r="G16" s="24" t="inlineStr">
        <is>
          <t>Margaux Rouvroy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400</v>
      </c>
      <c r="M16" s="27" t="n">
        <v>5</v>
      </c>
      <c r="N16" s="28" t="n">
        <v>0.2</v>
      </c>
      <c r="O16" s="28" t="n">
        <v>0.549053</v>
      </c>
      <c r="P16" s="28" t="n">
        <v>0.05</v>
      </c>
      <c r="Q16" s="28" t="n">
        <v>0.349053</v>
      </c>
      <c r="R16" s="26" t="n">
        <v>100</v>
      </c>
      <c r="S16" s="29" t="n">
        <v>1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4</v>
      </c>
      <c r="AD16" s="24" t="inlineStr">
        <is>
          <t>2026-07-28T14:18:44.017439Z</t>
        </is>
      </c>
      <c r="AE16" s="31" t="inlineStr">
        <is>
          <t>Surface-blended Elo on Hard: Lola Radivojevic p=0.451 vs Margaux Rouvroy. Executable ask 0.2000 (aec-wta-marrou-lolrad-2026-07-28).</t>
        </is>
      </c>
      <c r="AF16" s="31" t="inlineStr">
        <is>
          <t>Research-only surface-blended Elo model; singles only, WTA-only market coverage,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Lola Radivojevic</t>
        </is>
      </c>
      <c r="AQ16" s="24" t="inlineStr">
        <is>
          <t>Lola Radivojevic</t>
        </is>
      </c>
      <c r="AR16" s="24" t="inlineStr">
        <is>
          <t>Lola Radivojevic</t>
        </is>
      </c>
      <c r="AS16" s="24" t="inlineStr">
        <is>
          <t>Margaux Rouvroy</t>
        </is>
      </c>
      <c r="AT16" s="24" t="inlineStr">
        <is>
          <t>Margaux Rouvroy</t>
        </is>
      </c>
      <c r="AU16" s="24" t="inlineStr">
        <is>
          <t>Margaux Rouvroy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73429bd71f12304106b9ffb751bd50617d5109d487f00de7ae2732f60e779590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73429bd71f12304106b9ffb751bd50617d5109d487f00de7ae2732f60e779590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73429bd71f12304106b9ffb751bd50617d5109d487f00de7ae2732f60e779590</t>
        </is>
      </c>
      <c r="BH16" s="24" t="inlineStr">
        <is>
          <t>2026-07-28T08:07:29.251635Z</t>
        </is>
      </c>
      <c r="BI16" s="24" t="inlineStr">
        <is>
          <t>["same_event","same_team_same_day","same_league_same_day"]</t>
        </is>
      </c>
      <c r="BJ16" s="25" t="n"/>
      <c r="BK16" s="26" t="n">
        <v>400</v>
      </c>
      <c r="BL16" s="27" t="n">
        <v>5</v>
      </c>
      <c r="BM16" s="28" t="n">
        <v>0.2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fdfd679380374cf5</t>
        </is>
      </c>
      <c r="B17" s="24" t="inlineStr">
        <is>
          <t>2026-07-28T08:09:48.374429Z</t>
        </is>
      </c>
      <c r="C17" s="24" t="inlineStr">
        <is>
          <t>2026-07-28T11:00Z</t>
        </is>
      </c>
      <c r="D17" s="24" t="inlineStr">
        <is>
          <t>1073-2026:179593</t>
        </is>
      </c>
      <c r="E17" s="24" t="inlineStr">
        <is>
          <t>TENNIS</t>
        </is>
      </c>
      <c r="F17" s="24" t="inlineStr">
        <is>
          <t>Chloe Paquet</t>
        </is>
      </c>
      <c r="G17" s="24" t="inlineStr">
        <is>
          <t>Francesca Jones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-376</v>
      </c>
      <c r="M17" s="27" t="n">
        <v>1.265957</v>
      </c>
      <c r="N17" s="28" t="n">
        <v>0.789916</v>
      </c>
      <c r="O17" s="28" t="n">
        <v>0.742329</v>
      </c>
      <c r="P17" s="28" t="n">
        <v>0.05</v>
      </c>
      <c r="Q17" s="28" t="n">
        <v>-0.047587</v>
      </c>
      <c r="R17" s="26" t="n">
        <v>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0.5319</v>
      </c>
      <c r="AD17" s="24" t="inlineStr">
        <is>
          <t>2026-07-28T14:18:44.134104Z</t>
        </is>
      </c>
      <c r="AE17" s="31" t="inlineStr">
        <is>
          <t>Surface-blended Elo on Hard: Chloe Paquet p=0.258 vs Francesca Jones. Executable ask 0.7900 (aec-wta-frajon-chlpaq-2026-07-27).</t>
        </is>
      </c>
      <c r="AF17" s="31" t="inlineStr">
        <is>
          <t>Research-only surface-blended Elo model; singles only, WTA-only market coverage,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Chloe Paquet</t>
        </is>
      </c>
      <c r="AQ17" s="24" t="inlineStr">
        <is>
          <t>Chloe Paquet</t>
        </is>
      </c>
      <c r="AR17" s="24" t="inlineStr">
        <is>
          <t>Chloe Paquet</t>
        </is>
      </c>
      <c r="AS17" s="24" t="inlineStr">
        <is>
          <t>Francesca Jones</t>
        </is>
      </c>
      <c r="AT17" s="24" t="inlineStr">
        <is>
          <t>Francesca Jones</t>
        </is>
      </c>
      <c r="AU17" s="24" t="inlineStr">
        <is>
          <t>Francesca Jones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73429bd71f12304106b9ffb751bd50617d5109d487f00de7ae2732f60e779590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73429bd71f12304106b9ffb751bd50617d5109d487f00de7ae2732f60e779590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73429bd71f12304106b9ffb751bd50617d5109d487f00de7ae2732f60e779590</t>
        </is>
      </c>
      <c r="BH17" s="24" t="inlineStr">
        <is>
          <t>2026-07-28T08:07:29.757214Z</t>
        </is>
      </c>
      <c r="BI17" s="24" t="inlineStr">
        <is>
          <t>["same_event","same_team_same_day","same_league_same_day"]</t>
        </is>
      </c>
      <c r="BJ17" s="25" t="n"/>
      <c r="BK17" s="26" t="n">
        <v>-376</v>
      </c>
      <c r="BL17" s="27" t="n">
        <v>1.265957</v>
      </c>
      <c r="BM17" s="28" t="n">
        <v>0.789916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4ef8462ffb1f4f65</t>
        </is>
      </c>
      <c r="B18" s="24" t="inlineStr">
        <is>
          <t>2026-07-28T08:09:48.374429Z</t>
        </is>
      </c>
      <c r="C18" s="24" t="inlineStr">
        <is>
          <t>2026-07-28T11:00Z</t>
        </is>
      </c>
      <c r="D18" s="24" t="inlineStr">
        <is>
          <t>1073-2026:179585</t>
        </is>
      </c>
      <c r="E18" s="24" t="inlineStr">
        <is>
          <t>TENNIS</t>
        </is>
      </c>
      <c r="F18" s="24" t="inlineStr">
        <is>
          <t>Maia Ilinca Burcescu</t>
        </is>
      </c>
      <c r="G18" s="24" t="inlineStr">
        <is>
          <t>Alevtina Ibragimova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-456</v>
      </c>
      <c r="M18" s="27" t="n">
        <v>1.219298</v>
      </c>
      <c r="N18" s="28" t="n">
        <v>0.820144</v>
      </c>
      <c r="O18" s="28" t="n">
        <v>0.597506</v>
      </c>
      <c r="P18" s="28" t="n">
        <v>0.05</v>
      </c>
      <c r="Q18" s="28" t="n">
        <v>-0.222638</v>
      </c>
      <c r="R18" s="26" t="n">
        <v>0</v>
      </c>
      <c r="S18" s="29" t="n">
        <v>1.25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0.2741</v>
      </c>
      <c r="AD18" s="24" t="inlineStr">
        <is>
          <t>2026-07-28T14:59:03.420461Z</t>
        </is>
      </c>
      <c r="AE18" s="31" t="inlineStr">
        <is>
          <t>Surface-blended Elo on Hard: Maia Ilinca Burcescu p=0.402 vs Alevtina Ibragimova. Executable ask 0.8200 (aec-wta-aleibr-maibur-2026-07-27).</t>
        </is>
      </c>
      <c r="AF18" s="31" t="inlineStr">
        <is>
          <t>Research-only surface-blended Elo model; singles only, WTA-only market coverage,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Maia Ilinca Burcescu</t>
        </is>
      </c>
      <c r="AQ18" s="24" t="inlineStr">
        <is>
          <t>Maia Ilinca Burcescu</t>
        </is>
      </c>
      <c r="AR18" s="24" t="inlineStr">
        <is>
          <t>Maia Ilinca Burcescu</t>
        </is>
      </c>
      <c r="AS18" s="24" t="inlineStr">
        <is>
          <t>Alevtina Ibragimova</t>
        </is>
      </c>
      <c r="AT18" s="24" t="inlineStr">
        <is>
          <t>Alevtina Ibragimova</t>
        </is>
      </c>
      <c r="AU18" s="24" t="inlineStr">
        <is>
          <t>Alevtina Ibragimova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73429bd71f12304106b9ffb751bd50617d5109d487f00de7ae2732f60e779590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73429bd71f12304106b9ffb751bd50617d5109d487f00de7ae2732f60e779590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73429bd71f12304106b9ffb751bd50617d5109d487f00de7ae2732f60e779590</t>
        </is>
      </c>
      <c r="BH18" s="24" t="inlineStr">
        <is>
          <t>2026-07-28T08:07:29.244295Z</t>
        </is>
      </c>
      <c r="BI18" s="24" t="inlineStr">
        <is>
          <t>["same_event","same_team_same_day","same_league_same_day"]</t>
        </is>
      </c>
      <c r="BJ18" s="25" t="n"/>
      <c r="BK18" s="26" t="n">
        <v>-456</v>
      </c>
      <c r="BL18" s="27" t="n">
        <v>1.219298</v>
      </c>
      <c r="BM18" s="28" t="n">
        <v>0.820144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4892baa973e74093</t>
        </is>
      </c>
      <c r="B19" s="24" t="inlineStr">
        <is>
          <t>2026-07-28T08:09:48.374429Z</t>
        </is>
      </c>
      <c r="C19" s="24" t="inlineStr">
        <is>
          <t>2026-07-28T11:00Z</t>
        </is>
      </c>
      <c r="D19" s="24" t="inlineStr">
        <is>
          <t>1073-2026:179582</t>
        </is>
      </c>
      <c r="E19" s="24" t="inlineStr">
        <is>
          <t>TENNIS</t>
        </is>
      </c>
      <c r="F19" s="24" t="inlineStr">
        <is>
          <t>Anastasiia Sobolieva</t>
        </is>
      </c>
      <c r="G19" s="24" t="inlineStr">
        <is>
          <t>Selena Janicijevic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376</v>
      </c>
      <c r="M19" s="27" t="n">
        <v>4.76</v>
      </c>
      <c r="N19" s="28" t="n">
        <v>0.210084</v>
      </c>
      <c r="O19" s="28" t="n">
        <v>0.506887</v>
      </c>
      <c r="P19" s="28" t="n">
        <v>0.05</v>
      </c>
      <c r="Q19" s="28" t="n">
        <v>0.296803</v>
      </c>
      <c r="R19" s="26" t="n">
        <v>100</v>
      </c>
      <c r="S19" s="29" t="n">
        <v>1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2026-07-28T14:18:44.280191Z</t>
        </is>
      </c>
      <c r="AE19" s="31" t="inlineStr">
        <is>
          <t>Surface-blended Elo on Hard: Anastasiia Sobolieva p=0.493 vs Selena Janicijevic. Executable ask 0.2100 (aec-wta-seljan-anasob-2026-07-27).</t>
        </is>
      </c>
      <c r="AF19" s="31" t="inlineStr">
        <is>
          <t>Research-only surface-blended Elo model; singles only, WTA-only market coverage,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Anastasiia Sobolieva</t>
        </is>
      </c>
      <c r="AQ19" s="24" t="inlineStr">
        <is>
          <t>Anastasiia Sobolieva</t>
        </is>
      </c>
      <c r="AR19" s="24" t="inlineStr">
        <is>
          <t>Anastasiia Sobolieva</t>
        </is>
      </c>
      <c r="AS19" s="24" t="inlineStr">
        <is>
          <t>Selena Janicijevic</t>
        </is>
      </c>
      <c r="AT19" s="24" t="inlineStr">
        <is>
          <t>Selena Janicijevic</t>
        </is>
      </c>
      <c r="AU19" s="24" t="inlineStr">
        <is>
          <t>Selena Janicijevic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73429bd71f12304106b9ffb751bd50617d5109d487f00de7ae2732f60e779590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73429bd71f12304106b9ffb751bd50617d5109d487f00de7ae2732f60e779590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73429bd71f12304106b9ffb751bd50617d5109d487f00de7ae2732f60e779590</t>
        </is>
      </c>
      <c r="BH19" s="24" t="inlineStr">
        <is>
          <t>2026-07-28T08:07:29.943296Z</t>
        </is>
      </c>
      <c r="BI19" s="24" t="inlineStr">
        <is>
          <t>["same_event","same_team_same_day","same_league_same_day"]</t>
        </is>
      </c>
      <c r="BJ19" s="25" t="n"/>
      <c r="BK19" s="26" t="n">
        <v>376</v>
      </c>
      <c r="BL19" s="27" t="n">
        <v>4.76</v>
      </c>
      <c r="BM19" s="28" t="n">
        <v>0.210084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b348a92598374228</t>
        </is>
      </c>
      <c r="B20" s="24" t="inlineStr">
        <is>
          <t>2026-07-28T11:15:58.367390Z</t>
        </is>
      </c>
      <c r="C20" s="24" t="inlineStr">
        <is>
          <t>2026-07-28T14:00Z</t>
        </is>
      </c>
      <c r="D20" s="24" t="inlineStr">
        <is>
          <t>1073-2026:179597</t>
        </is>
      </c>
      <c r="E20" s="24" t="inlineStr">
        <is>
          <t>TENNIS</t>
        </is>
      </c>
      <c r="F20" s="24" t="inlineStr">
        <is>
          <t>Carole Monnet</t>
        </is>
      </c>
      <c r="G20" s="24" t="inlineStr">
        <is>
          <t>Miriam Bulgaru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0.604046</v>
      </c>
      <c r="P20" s="28" t="n">
        <v>0.05</v>
      </c>
      <c r="Q20" s="28" t="n">
        <v>0.033231</v>
      </c>
      <c r="R20" s="26" t="n">
        <v>37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/>
      <c r="AA20" s="28" t="n"/>
      <c r="AB20" s="28" t="n"/>
      <c r="AC20" s="30" t="n">
        <v>0.9399</v>
      </c>
      <c r="AD20" s="24" t="inlineStr">
        <is>
          <t>2026-07-28T16:02:14.284405Z</t>
        </is>
      </c>
      <c r="AE20" s="31" t="inlineStr">
        <is>
          <t>Surface-blended Elo on Hard: Carole Monnet p=0.604 vs Miriam Bulgaru. Executable ask 0.5700 (aec-wta-mirbul-carmon-2026-07-27).</t>
        </is>
      </c>
      <c r="AF20" s="31" t="inlineStr">
        <is>
          <t>Research-only surface-blended Elo model; singles only, WTA-only market coverage,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Carole Monnet</t>
        </is>
      </c>
      <c r="AQ20" s="24" t="inlineStr">
        <is>
          <t>Carole Monnet</t>
        </is>
      </c>
      <c r="AR20" s="24" t="inlineStr">
        <is>
          <t>Carole Monnet</t>
        </is>
      </c>
      <c r="AS20" s="24" t="inlineStr">
        <is>
          <t>Miriam Bulgaru</t>
        </is>
      </c>
      <c r="AT20" s="24" t="inlineStr">
        <is>
          <t>Miriam Bulgaru</t>
        </is>
      </c>
      <c r="AU20" s="24" t="inlineStr">
        <is>
          <t>Miriam Bulgaru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73429bd71f12304106b9ffb751bd50617d5109d487f00de7ae2732f60e779590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73429bd71f12304106b9ffb751bd50617d5109d487f00de7ae2732f60e779590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73429bd71f12304106b9ffb751bd50617d5109d487f00de7ae2732f60e779590</t>
        </is>
      </c>
      <c r="BH20" s="24" t="inlineStr">
        <is>
          <t>2026-07-28T11:13:41.297840Z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b6f4a3e099bb472a</t>
        </is>
      </c>
      <c r="B21" s="24" t="inlineStr">
        <is>
          <t>2026-07-28T14:22:03.423136Z</t>
        </is>
      </c>
      <c r="C21" s="24" t="inlineStr">
        <is>
          <t>2026-07-28T15:00Z</t>
        </is>
      </c>
      <c r="D21" s="24" t="inlineStr">
        <is>
          <t>888-2026:179000</t>
        </is>
      </c>
      <c r="E21" s="24" t="inlineStr">
        <is>
          <t>TENNIS</t>
        </is>
      </c>
      <c r="F21" s="24" t="inlineStr">
        <is>
          <t>Polina Kudermetova</t>
        </is>
      </c>
      <c r="G21" s="24" t="inlineStr">
        <is>
          <t>Cristina Bucsa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-133</v>
      </c>
      <c r="M21" s="27" t="n">
        <v>1.75188</v>
      </c>
      <c r="N21" s="28" t="n">
        <v>0.570815</v>
      </c>
      <c r="O21" s="28" t="n">
        <v>0.512221</v>
      </c>
      <c r="P21" s="28" t="n">
        <v>0.05</v>
      </c>
      <c r="Q21" s="28" t="n">
        <v>-0.058594</v>
      </c>
      <c r="R21" s="26" t="n">
        <v>0</v>
      </c>
      <c r="S21" s="29" t="n">
        <v>1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0.7519</v>
      </c>
      <c r="AD21" s="24" t="inlineStr">
        <is>
          <t>2026-07-28T20:31:20.529941Z</t>
        </is>
      </c>
      <c r="AE21" s="31" t="inlineStr">
        <is>
          <t>Surface-blended Elo on Hard: Polina Kudermetova p=0.512 vs Cristina Bucsa. Executable ask 0.5700 (aec-wta-cribuc-polkud-2026-07-27).</t>
        </is>
      </c>
      <c r="AF21" s="31" t="inlineStr">
        <is>
          <t>Research-only surface-blended Elo model; singles only, WTA-only market coverage,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Polina Kudermetova</t>
        </is>
      </c>
      <c r="AQ21" s="24" t="inlineStr">
        <is>
          <t>Polina Kudermetova</t>
        </is>
      </c>
      <c r="AR21" s="24" t="inlineStr">
        <is>
          <t>Polina Kudermetova</t>
        </is>
      </c>
      <c r="AS21" s="24" t="inlineStr">
        <is>
          <t>Cristina Bucsa</t>
        </is>
      </c>
      <c r="AT21" s="24" t="inlineStr">
        <is>
          <t>Cristina Bucsa</t>
        </is>
      </c>
      <c r="AU21" s="24" t="inlineStr">
        <is>
          <t>Cristina Bucsa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73429bd71f12304106b9ffb751bd50617d5109d487f00de7ae2732f60e779590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73429bd71f12304106b9ffb751bd50617d5109d487f00de7ae2732f60e779590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73429bd71f12304106b9ffb751bd50617d5109d487f00de7ae2732f60e779590</t>
        </is>
      </c>
      <c r="BH21" s="24" t="inlineStr">
        <is>
          <t>2026-07-28T14:19:47.442380Z</t>
        </is>
      </c>
      <c r="BI21" s="24" t="inlineStr">
        <is>
          <t>["same_event","same_team_same_day","same_league_same_day"]</t>
        </is>
      </c>
      <c r="BJ21" s="25" t="n"/>
      <c r="BK21" s="26" t="n">
        <v>-133</v>
      </c>
      <c r="BL21" s="27" t="n">
        <v>1.75188</v>
      </c>
      <c r="BM21" s="28" t="n">
        <v>0.570815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6a97ad946c334512</t>
        </is>
      </c>
      <c r="B22" s="24" t="inlineStr">
        <is>
          <t>2026-07-28T14:22:03.423136Z</t>
        </is>
      </c>
      <c r="C22" s="24" t="inlineStr">
        <is>
          <t>2026-07-28T15:00Z</t>
        </is>
      </c>
      <c r="D22" s="24" t="inlineStr">
        <is>
          <t>888-2026:179017</t>
        </is>
      </c>
      <c r="E22" s="24" t="inlineStr">
        <is>
          <t>TENNIS</t>
        </is>
      </c>
      <c r="F22" s="24" t="inlineStr">
        <is>
          <t>Wang Xinyu</t>
        </is>
      </c>
      <c r="G22" s="24" t="inlineStr">
        <is>
          <t>Julieta Pareja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0.624023</v>
      </c>
      <c r="P22" s="28" t="n">
        <v>0.05</v>
      </c>
      <c r="Q22" s="28" t="n">
        <v>0.044191</v>
      </c>
      <c r="R22" s="26" t="n">
        <v>42</v>
      </c>
      <c r="S22" s="29" t="n">
        <v>1.5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/>
      <c r="AA22" s="28" t="n"/>
      <c r="AB22" s="28" t="n"/>
      <c r="AC22" s="30" t="n">
        <v>1.087</v>
      </c>
      <c r="AD22" s="24" t="inlineStr">
        <is>
          <t>2026-07-28T17:24:52.772577Z</t>
        </is>
      </c>
      <c r="AE22" s="31" t="inlineStr">
        <is>
          <t>Surface-blended Elo on Hard: Wang Xinyu p=0.624 vs Julieta Pareja. Executable ask 0.5800 (aec-wta-julpar-xinwan-2026-07-27).</t>
        </is>
      </c>
      <c r="AF22" s="31" t="inlineStr">
        <is>
          <t>Research-only surface-blended Elo model; singles only, WTA-only market coverage, not yet locked-holdout qualified.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Wang Xinyu</t>
        </is>
      </c>
      <c r="AQ22" s="24" t="inlineStr">
        <is>
          <t>Wang Xinyu</t>
        </is>
      </c>
      <c r="AR22" s="24" t="inlineStr">
        <is>
          <t>Wang Xinyu</t>
        </is>
      </c>
      <c r="AS22" s="24" t="inlineStr">
        <is>
          <t>Julieta Pareja</t>
        </is>
      </c>
      <c r="AT22" s="24" t="inlineStr">
        <is>
          <t>Julieta Pareja</t>
        </is>
      </c>
      <c r="AU22" s="24" t="inlineStr">
        <is>
          <t>Julieta Pareja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73429bd71f12304106b9ffb751bd50617d5109d487f00de7ae2732f60e779590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73429bd71f12304106b9ffb751bd50617d5109d487f00de7ae2732f60e779590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73429bd71f12304106b9ffb751bd50617d5109d487f00de7ae2732f60e779590</t>
        </is>
      </c>
      <c r="BH22" s="24" t="inlineStr">
        <is>
          <t>2026-07-28T14:19:49.037022Z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ba633ac72b564928</t>
        </is>
      </c>
      <c r="B23" s="24" t="inlineStr">
        <is>
          <t>2026-07-28T14:22:03.423136Z</t>
        </is>
      </c>
      <c r="C23" s="24" t="inlineStr">
        <is>
          <t>2026-07-28T15:00Z</t>
        </is>
      </c>
      <c r="D23" s="24" t="inlineStr">
        <is>
          <t>1067-2026:179443</t>
        </is>
      </c>
      <c r="E23" s="24" t="inlineStr">
        <is>
          <t>TENNIS</t>
        </is>
      </c>
      <c r="F23" s="24" t="inlineStr">
        <is>
          <t>Kristina Liutova</t>
        </is>
      </c>
      <c r="G23" s="24" t="inlineStr">
        <is>
          <t>Ekaterina Alexandrova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-203</v>
      </c>
      <c r="M23" s="27" t="n">
        <v>1.492611</v>
      </c>
      <c r="N23" s="28" t="n">
        <v>0.669967</v>
      </c>
      <c r="O23" s="28" t="n">
        <v>0.695466</v>
      </c>
      <c r="P23" s="28" t="n">
        <v>0.05</v>
      </c>
      <c r="Q23" s="28" t="n">
        <v>0.025499</v>
      </c>
      <c r="R23" s="26" t="n">
        <v>33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-2</v>
      </c>
      <c r="AD23" s="24" t="inlineStr">
        <is>
          <t>2026-07-28T20:31:20.658235Z</t>
        </is>
      </c>
      <c r="AE23" s="31" t="inlineStr">
        <is>
          <t>Surface-blended Elo on Hard: Kristina Liutova p=0.305 vs Ekaterina Alexandrova. Executable ask 0.6700 (aec-wta-ekaale-kriliu-2026-07-28).</t>
        </is>
      </c>
      <c r="AF23" s="31" t="inlineStr">
        <is>
          <t>Research-only surface-blended Elo model; singles only, WTA-only market coverage,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Kristina Liutova</t>
        </is>
      </c>
      <c r="AQ23" s="24" t="inlineStr">
        <is>
          <t>Kristina Liutova</t>
        </is>
      </c>
      <c r="AR23" s="24" t="inlineStr">
        <is>
          <t>Kristina Liutova</t>
        </is>
      </c>
      <c r="AS23" s="24" t="inlineStr">
        <is>
          <t>Ekaterina Alexandrova</t>
        </is>
      </c>
      <c r="AT23" s="24" t="inlineStr">
        <is>
          <t>Ekaterina Alexandrova</t>
        </is>
      </c>
      <c r="AU23" s="24" t="inlineStr">
        <is>
          <t>Ekaterina Alexandrova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73429bd71f12304106b9ffb751bd50617d5109d487f00de7ae2732f60e779590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73429bd71f12304106b9ffb751bd50617d5109d487f00de7ae2732f60e779590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73429bd71f12304106b9ffb751bd50617d5109d487f00de7ae2732f60e779590</t>
        </is>
      </c>
      <c r="BH23" s="24" t="inlineStr">
        <is>
          <t>2026-07-28T14:19:54.883376Z</t>
        </is>
      </c>
      <c r="BI23" s="24" t="inlineStr">
        <is>
          <t>["same_event","same_team_same_day","same_league_same_day"]</t>
        </is>
      </c>
      <c r="BJ23" s="25" t="n"/>
      <c r="BK23" s="26" t="n">
        <v>-203</v>
      </c>
      <c r="BL23" s="27" t="n">
        <v>1.492611</v>
      </c>
      <c r="BM23" s="28" t="n">
        <v>0.669967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1bd4b44fe1704333</t>
        </is>
      </c>
      <c r="B24" s="24" t="inlineStr">
        <is>
          <t>2026-07-28T14:22:03.423136Z</t>
        </is>
      </c>
      <c r="C24" s="24" t="inlineStr">
        <is>
          <t>2026-07-28T15:00Z</t>
        </is>
      </c>
      <c r="D24" s="24" t="inlineStr">
        <is>
          <t>1067-2026:179450</t>
        </is>
      </c>
      <c r="E24" s="24" t="inlineStr">
        <is>
          <t>TENNIS</t>
        </is>
      </c>
      <c r="F24" s="24" t="inlineStr">
        <is>
          <t>Cadence Brace</t>
        </is>
      </c>
      <c r="G24" s="24" t="inlineStr">
        <is>
          <t>Zeynep Sonmez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0.772271</v>
      </c>
      <c r="P24" s="28" t="n">
        <v>0.05</v>
      </c>
      <c r="Q24" s="28" t="n">
        <v>-0.087673</v>
      </c>
      <c r="R24" s="26" t="n">
        <v>0</v>
      </c>
      <c r="S24" s="29" t="n">
        <v>2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2026-07-28T17:24:52.915624Z</t>
        </is>
      </c>
      <c r="AE24" s="31" t="inlineStr">
        <is>
          <t>Surface-blended Elo on Hard: Cadence Brace p=0.228 vs Zeynep Sonmez. Executable ask 0.8600 (aec-wta-zeyson-cadbra-2026-07-26).</t>
        </is>
      </c>
      <c r="AF24" s="31" t="inlineStr">
        <is>
          <t>Research-only surface-blended Elo model; singles only, WTA-only market coverage,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Cadence Brace</t>
        </is>
      </c>
      <c r="AQ24" s="24" t="inlineStr">
        <is>
          <t>Cadence Brace</t>
        </is>
      </c>
      <c r="AR24" s="24" t="inlineStr">
        <is>
          <t>Cadence Brace</t>
        </is>
      </c>
      <c r="AS24" s="24" t="inlineStr">
        <is>
          <t>Zeynep Sonmez</t>
        </is>
      </c>
      <c r="AT24" s="24" t="inlineStr">
        <is>
          <t>Zeynep Sonmez</t>
        </is>
      </c>
      <c r="AU24" s="24" t="inlineStr">
        <is>
          <t>Zeynep Sonmez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73429bd71f12304106b9ffb751bd50617d5109d487f00de7ae2732f60e779590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73429bd71f12304106b9ffb751bd50617d5109d487f00de7ae2732f60e779590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73429bd71f12304106b9ffb751bd50617d5109d487f00de7ae2732f60e779590</t>
        </is>
      </c>
      <c r="BH24" s="24" t="inlineStr">
        <is>
          <t>2026-07-28T14:19:52.688752Z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056d2c4664fc49e4</t>
        </is>
      </c>
      <c r="B25" s="24" t="inlineStr">
        <is>
          <t>2026-07-28T16:33:15.182462Z</t>
        </is>
      </c>
      <c r="C25" s="24" t="inlineStr">
        <is>
          <t>2026-07-28T17:00Z</t>
        </is>
      </c>
      <c r="D25" s="24" t="inlineStr">
        <is>
          <t>888-2026:179022</t>
        </is>
      </c>
      <c r="E25" s="24" t="inlineStr">
        <is>
          <t>TENNIS</t>
        </is>
      </c>
      <c r="F25" s="24" t="inlineStr">
        <is>
          <t>Zheng Qinwen</t>
        </is>
      </c>
      <c r="G25" s="24" t="inlineStr">
        <is>
          <t>Alexandra Eala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0.527043</v>
      </c>
      <c r="P25" s="28" t="n">
        <v>0.05</v>
      </c>
      <c r="Q25" s="28" t="n">
        <v>-0.043772</v>
      </c>
      <c r="R25" s="26" t="n">
        <v>0</v>
      </c>
      <c r="S25" s="29" t="n">
        <v>1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2026-07-28T20:31:20.789060Z</t>
        </is>
      </c>
      <c r="AE25" s="31" t="inlineStr">
        <is>
          <t>Surface-blended Elo on Hard: Zheng Qinwen p=0.527 vs Alexandra Eala. Executable ask 0.5700 (aec-wta-aleeal-qinzhe-2026-07-27).</t>
        </is>
      </c>
      <c r="AF25" s="31" t="inlineStr">
        <is>
          <t>Research-only surface-blended Elo model; singles only, WTA-only market coverage, not yet locked-holdout qualified.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Zheng Qinwen</t>
        </is>
      </c>
      <c r="AQ25" s="24" t="inlineStr">
        <is>
          <t>Zheng Qinwen</t>
        </is>
      </c>
      <c r="AR25" s="24" t="inlineStr">
        <is>
          <t>Zheng Qinwen</t>
        </is>
      </c>
      <c r="AS25" s="24" t="inlineStr">
        <is>
          <t>Alexandra Eala</t>
        </is>
      </c>
      <c r="AT25" s="24" t="inlineStr">
        <is>
          <t>Alexandra Eala</t>
        </is>
      </c>
      <c r="AU25" s="24" t="inlineStr">
        <is>
          <t>Alexandra Eala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73429bd71f12304106b9ffb751bd50617d5109d487f00de7ae2732f60e779590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73429bd71f12304106b9ffb751bd50617d5109d487f00de7ae2732f60e779590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73429bd71f12304106b9ffb751bd50617d5109d487f00de7ae2732f60e779590</t>
        </is>
      </c>
      <c r="BH25" s="24" t="inlineStr">
        <is>
          <t>2026-07-28T16:31:07.397161Z</t>
        </is>
      </c>
      <c r="BI25" s="24" t="inlineStr">
        <is>
          <t>["same_event","same_team_same_day","same_league_same_day"]</t>
        </is>
      </c>
      <c r="BJ25" s="25" t="n"/>
      <c r="BK25" s="26" t="n">
        <v>-133</v>
      </c>
      <c r="BL25" s="27" t="n">
        <v>1.75188</v>
      </c>
      <c r="BM25" s="28" t="n">
        <v>0.570815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6e2e3187c05a4d6a</t>
        </is>
      </c>
      <c r="B26" s="24" t="inlineStr">
        <is>
          <t>2026-07-28T17:28:10.769619Z</t>
        </is>
      </c>
      <c r="C26" s="24" t="inlineStr">
        <is>
          <t>2026-07-28T19:00Z</t>
        </is>
      </c>
      <c r="D26" s="24" t="inlineStr">
        <is>
          <t>875-2026:179553</t>
        </is>
      </c>
      <c r="E26" s="24" t="inlineStr">
        <is>
          <t>TENNIS</t>
        </is>
      </c>
      <c r="F26" s="24" t="inlineStr">
        <is>
          <t>Nao Hibino</t>
        </is>
      </c>
      <c r="G26" s="24" t="inlineStr">
        <is>
          <t>Teah Chavez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614</v>
      </c>
      <c r="M26" s="27" t="n">
        <v>7.14</v>
      </c>
      <c r="N26" s="28" t="n">
        <v>0.140056</v>
      </c>
      <c r="O26" s="28" t="n">
        <v>0.588365</v>
      </c>
      <c r="P26" s="28" t="n">
        <v>0.2</v>
      </c>
      <c r="Q26" s="28" t="n">
        <v>0.448309</v>
      </c>
      <c r="R26" s="26" t="n">
        <v>100</v>
      </c>
      <c r="S26" s="29" t="n">
        <v>1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/>
      <c r="AA26" s="28" t="n"/>
      <c r="AB26" s="28" t="n"/>
      <c r="AC26" s="30" t="n">
        <v>-1</v>
      </c>
      <c r="AD26" s="24" t="inlineStr">
        <is>
          <t>2026-07-28T23:37:09.013311Z</t>
        </is>
      </c>
      <c r="AE26" s="31" t="inlineStr">
        <is>
          <t>Surface-blended Elo on Hard: Nao Hibino p=0.412 vs Teah Chavez. Executable ask 0.1400 (aec-wta-teacha-naohib-2026-07-27).</t>
        </is>
      </c>
      <c r="AF26" s="31" t="inlineStr">
        <is>
          <t>Research-only surface-blended Elo model; singles only, WTA-only market coverage,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Nao Hibino</t>
        </is>
      </c>
      <c r="AQ26" s="24" t="inlineStr">
        <is>
          <t>Nao Hibino</t>
        </is>
      </c>
      <c r="AR26" s="24" t="inlineStr">
        <is>
          <t>Nao Hibino</t>
        </is>
      </c>
      <c r="AS26" s="24" t="inlineStr">
        <is>
          <t>Teah Chavez</t>
        </is>
      </c>
      <c r="AT26" s="24" t="inlineStr">
        <is>
          <t>Teah Chavez</t>
        </is>
      </c>
      <c r="AU26" s="24" t="inlineStr">
        <is>
          <t>Teah Chavez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73429bd71f12304106b9ffb751bd50617d5109d487f00de7ae2732f60e779590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73429bd71f12304106b9ffb751bd50617d5109d487f00de7ae2732f60e779590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73429bd71f12304106b9ffb751bd50617d5109d487f00de7ae2732f60e779590</t>
        </is>
      </c>
      <c r="BH26" s="24" t="inlineStr">
        <is>
          <t>2026-07-28T17:26:00.042296Z</t>
        </is>
      </c>
      <c r="BI26" s="24" t="inlineStr">
        <is>
          <t>["same_event","same_team_same_day","same_league_same_day"]</t>
        </is>
      </c>
      <c r="BJ26" s="25" t="n"/>
      <c r="BK26" s="26" t="n">
        <v>614</v>
      </c>
      <c r="BL26" s="27" t="n">
        <v>7.14</v>
      </c>
      <c r="BM26" s="28" t="n">
        <v>0.140056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7170400c15374484</t>
        </is>
      </c>
      <c r="B27" s="24" t="inlineStr">
        <is>
          <t>2026-07-28T17:28:10.769619Z</t>
        </is>
      </c>
      <c r="C27" s="24" t="inlineStr">
        <is>
          <t>2026-07-28T20:30Z</t>
        </is>
      </c>
      <c r="D27" s="24" t="inlineStr">
        <is>
          <t>875-2026:179534</t>
        </is>
      </c>
      <c r="E27" s="24" t="inlineStr">
        <is>
          <t>TENNIS</t>
        </is>
      </c>
      <c r="F27" s="24" t="inlineStr">
        <is>
          <t>Miho Kuramochi</t>
        </is>
      </c>
      <c r="G27" s="24" t="inlineStr">
        <is>
          <t>Moyuka Uchijima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-376</v>
      </c>
      <c r="M27" s="27" t="n">
        <v>1.265957</v>
      </c>
      <c r="N27" s="28" t="n">
        <v>0.789916</v>
      </c>
      <c r="O27" s="28" t="n">
        <v>0.629629</v>
      </c>
      <c r="P27" s="28" t="n">
        <v>0.05</v>
      </c>
      <c r="Q27" s="28" t="n">
        <v>-0.160287</v>
      </c>
      <c r="R27" s="26" t="n">
        <v>0</v>
      </c>
      <c r="S27" s="29" t="n">
        <v>1.5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0.3989</v>
      </c>
      <c r="AD27" s="24" t="inlineStr">
        <is>
          <t>2026-07-28T23:37:09.141329Z</t>
        </is>
      </c>
      <c r="AE27" s="31" t="inlineStr">
        <is>
          <t>Surface-blended Elo on Hard: Miho Kuramochi p=0.370 vs Moyuka Uchijima. Executable ask 0.7900 (aec-wta-moyuch-mihkur-2026-07-28).</t>
        </is>
      </c>
      <c r="AF27" s="31" t="inlineStr">
        <is>
          <t>Research-only surface-blended Elo model; singles only, WTA-only market coverage, not yet locked-holdout qualified.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Miho Kuramochi</t>
        </is>
      </c>
      <c r="AQ27" s="24" t="inlineStr">
        <is>
          <t>Miho Kuramochi</t>
        </is>
      </c>
      <c r="AR27" s="24" t="inlineStr">
        <is>
          <t>Miho Kuramochi</t>
        </is>
      </c>
      <c r="AS27" s="24" t="inlineStr">
        <is>
          <t>Moyuka Uchijima</t>
        </is>
      </c>
      <c r="AT27" s="24" t="inlineStr">
        <is>
          <t>Moyuka Uchijima</t>
        </is>
      </c>
      <c r="AU27" s="24" t="inlineStr">
        <is>
          <t>Moyuka Uchijima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73429bd71f12304106b9ffb751bd50617d5109d487f00de7ae2732f60e779590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73429bd71f12304106b9ffb751bd50617d5109d487f00de7ae2732f60e779590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73429bd71f12304106b9ffb751bd50617d5109d487f00de7ae2732f60e779590</t>
        </is>
      </c>
      <c r="BH27" s="24" t="inlineStr">
        <is>
          <t>2026-07-28T17:26:02.304685Z</t>
        </is>
      </c>
      <c r="BI27" s="24" t="inlineStr">
        <is>
          <t>["same_event","same_team_same_day","same_league_same_day"]</t>
        </is>
      </c>
      <c r="BJ27" s="25" t="n"/>
      <c r="BK27" s="26" t="n">
        <v>-376</v>
      </c>
      <c r="BL27" s="27" t="n">
        <v>1.265957</v>
      </c>
      <c r="BM27" s="28" t="n">
        <v>0.789916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ae93d371d4b04bd0</t>
        </is>
      </c>
      <c r="B28" s="24" t="inlineStr">
        <is>
          <t>2026-07-28T17:28:10.769619Z</t>
        </is>
      </c>
      <c r="C28" s="24" t="inlineStr">
        <is>
          <t>2026-07-28T19:00Z</t>
        </is>
      </c>
      <c r="D28" s="24" t="inlineStr">
        <is>
          <t>888-2026:179003</t>
        </is>
      </c>
      <c r="E28" s="24" t="inlineStr">
        <is>
          <t>TENNIS</t>
        </is>
      </c>
      <c r="F28" s="24" t="inlineStr">
        <is>
          <t>Anna Kalinskaya</t>
        </is>
      </c>
      <c r="G28" s="24" t="inlineStr">
        <is>
          <t>Daria Kasatkina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0.604672</v>
      </c>
      <c r="P28" s="28" t="n">
        <v>0.05</v>
      </c>
      <c r="Q28" s="28" t="n">
        <v>-0.035616</v>
      </c>
      <c r="R28" s="26" t="n">
        <v>2</v>
      </c>
      <c r="S28" s="29" t="n">
        <v>1.25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0.7022</v>
      </c>
      <c r="AD28" s="24" t="inlineStr">
        <is>
          <t>2026-07-28T23:37:09.272804Z</t>
        </is>
      </c>
      <c r="AE28" s="31" t="inlineStr">
        <is>
          <t>Surface-blended Elo on Hard: Anna Kalinskaya p=0.605 vs Daria Kasatkina. Executable ask 0.6400 (aec-wta-darkas-annkal-2026-07-27).</t>
        </is>
      </c>
      <c r="AF28" s="31" t="inlineStr">
        <is>
          <t>Research-only surface-blended Elo model; singles only, WTA-only market coverage,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Anna Kalinskaya</t>
        </is>
      </c>
      <c r="AQ28" s="24" t="inlineStr">
        <is>
          <t>Anna Kalinskaya</t>
        </is>
      </c>
      <c r="AR28" s="24" t="inlineStr">
        <is>
          <t>Anna Kalinskaya</t>
        </is>
      </c>
      <c r="AS28" s="24" t="inlineStr">
        <is>
          <t>Daria Kasatkina</t>
        </is>
      </c>
      <c r="AT28" s="24" t="inlineStr">
        <is>
          <t>Daria Kasatkina</t>
        </is>
      </c>
      <c r="AU28" s="24" t="inlineStr">
        <is>
          <t>Daria Kasatkina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73429bd71f12304106b9ffb751bd50617d5109d487f00de7ae2732f60e779590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73429bd71f12304106b9ffb751bd50617d5109d487f00de7ae2732f60e779590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73429bd71f12304106b9ffb751bd50617d5109d487f00de7ae2732f60e779590</t>
        </is>
      </c>
      <c r="BH28" s="24" t="inlineStr">
        <is>
          <t>2026-07-28T17:26:00.832341Z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00406ef261434c9c</t>
        </is>
      </c>
      <c r="B29" s="24" t="inlineStr">
        <is>
          <t>2026-07-28T17:28:10.769619Z</t>
        </is>
      </c>
      <c r="C29" s="24" t="inlineStr">
        <is>
          <t>2026-07-28T20:30Z</t>
        </is>
      </c>
      <c r="D29" s="24" t="inlineStr">
        <is>
          <t>888-2026:179007</t>
        </is>
      </c>
      <c r="E29" s="24" t="inlineStr">
        <is>
          <t>TENNIS</t>
        </is>
      </c>
      <c r="F29" s="24" t="inlineStr">
        <is>
          <t>Ann Li</t>
        </is>
      </c>
      <c r="G29" s="24" t="inlineStr">
        <is>
          <t>Magdalena Frech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-194</v>
      </c>
      <c r="M29" s="27" t="n">
        <v>1.515464</v>
      </c>
      <c r="N29" s="28" t="n">
        <v>0.659864</v>
      </c>
      <c r="O29" s="28" t="n">
        <v>0.617829</v>
      </c>
      <c r="P29" s="28" t="n">
        <v>0.05</v>
      </c>
      <c r="Q29" s="28" t="n">
        <v>-0.042035</v>
      </c>
      <c r="R29" s="26" t="n">
        <v>0</v>
      </c>
      <c r="S29" s="29" t="n">
        <v>1.5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2026-07-29T02:41:50.768016Z</t>
        </is>
      </c>
      <c r="AE29" s="31" t="inlineStr">
        <is>
          <t>Surface-blended Elo on Hard: Ann Li p=0.618 vs Magdalena Frech. Executable ask 0.6600 (aec-wta-magfre-annli-2026-07-27).</t>
        </is>
      </c>
      <c r="AF29" s="31" t="inlineStr">
        <is>
          <t>Research-only surface-blended Elo model; singles only, WTA-only market coverage, not yet locked-holdout qualified.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Ann Li</t>
        </is>
      </c>
      <c r="AQ29" s="24" t="inlineStr">
        <is>
          <t>Ann Li</t>
        </is>
      </c>
      <c r="AR29" s="24" t="inlineStr">
        <is>
          <t>Ann Li</t>
        </is>
      </c>
      <c r="AS29" s="24" t="inlineStr">
        <is>
          <t>Magdalena Frech</t>
        </is>
      </c>
      <c r="AT29" s="24" t="inlineStr">
        <is>
          <t>Magdalena Frech</t>
        </is>
      </c>
      <c r="AU29" s="24" t="inlineStr">
        <is>
          <t>Magdalena Frech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73429bd71f12304106b9ffb751bd50617d5109d487f00de7ae2732f60e779590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73429bd71f12304106b9ffb751bd50617d5109d487f00de7ae2732f60e779590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73429bd71f12304106b9ffb751bd50617d5109d487f00de7ae2732f60e779590</t>
        </is>
      </c>
      <c r="BH29" s="24" t="inlineStr">
        <is>
          <t>2026-07-28T17:26:03.054314Z</t>
        </is>
      </c>
      <c r="BI29" s="24" t="inlineStr">
        <is>
          <t>["same_event","same_team_same_day","same_league_same_day"]</t>
        </is>
      </c>
      <c r="BJ29" s="25" t="n"/>
      <c r="BK29" s="26" t="n">
        <v>-194</v>
      </c>
      <c r="BL29" s="27" t="n">
        <v>1.515464</v>
      </c>
      <c r="BM29" s="28" t="n">
        <v>0.659864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aab983093f964221</t>
        </is>
      </c>
      <c r="B30" s="24" t="inlineStr">
        <is>
          <t>2026-07-28T20:34:16.434936Z</t>
        </is>
      </c>
      <c r="C30" s="24" t="inlineStr">
        <is>
          <t>2026-07-28T22:00Z</t>
        </is>
      </c>
      <c r="D30" s="24" t="inlineStr">
        <is>
          <t>875-2026:179533</t>
        </is>
      </c>
      <c r="E30" s="24" t="inlineStr">
        <is>
          <t>TENNIS</t>
        </is>
      </c>
      <c r="F30" s="24" t="inlineStr">
        <is>
          <t>Kyoka Okamura</t>
        </is>
      </c>
      <c r="G30" s="24" t="inlineStr">
        <is>
          <t>Hayu Kinoshita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0.501925</v>
      </c>
      <c r="P30" s="28" t="n">
        <v>0.05</v>
      </c>
      <c r="Q30" s="28" t="n">
        <v>-0.138363</v>
      </c>
      <c r="R30" s="26" t="n">
        <v>0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/>
      <c r="AA30" s="28" t="n"/>
      <c r="AB30" s="28" t="n"/>
      <c r="AC30" s="30" t="n">
        <v>0.5618</v>
      </c>
      <c r="AD30" s="24" t="inlineStr">
        <is>
          <t>2026-07-28T23:37:09.407867Z</t>
        </is>
      </c>
      <c r="AE30" s="31" t="inlineStr">
        <is>
          <t>Surface-blended Elo on Hard: Kyoka Okamura p=0.498 vs Hayu Kinoshita. Executable ask 0.6400 (aec-wta-haykin-kyooka-2026-07-27).</t>
        </is>
      </c>
      <c r="AF30" s="31" t="inlineStr">
        <is>
          <t>Research-only surface-blended Elo model; singles only, WTA-only market coverage,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Kyoka Okamura</t>
        </is>
      </c>
      <c r="AQ30" s="24" t="inlineStr">
        <is>
          <t>Kyoka Okamura</t>
        </is>
      </c>
      <c r="AR30" s="24" t="inlineStr">
        <is>
          <t>Kyoka Okamura</t>
        </is>
      </c>
      <c r="AS30" s="24" t="inlineStr">
        <is>
          <t>Hayu Kinoshita</t>
        </is>
      </c>
      <c r="AT30" s="24" t="inlineStr">
        <is>
          <t>Hayu Kinoshita</t>
        </is>
      </c>
      <c r="AU30" s="24" t="inlineStr">
        <is>
          <t>Hayu Kinoshita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73429bd71f12304106b9ffb751bd50617d5109d487f00de7ae2732f60e779590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73429bd71f12304106b9ffb751bd50617d5109d487f00de7ae2732f60e779590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73429bd71f12304106b9ffb751bd50617d5109d487f00de7ae2732f60e779590</t>
        </is>
      </c>
      <c r="BH30" s="24" t="inlineStr">
        <is>
          <t>2026-07-28T20:32:32.394091Z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872389f9af7b4001</t>
        </is>
      </c>
      <c r="B31" s="24" t="inlineStr">
        <is>
          <t>2026-07-28T20:34:16.434936Z</t>
        </is>
      </c>
      <c r="C31" s="24" t="inlineStr">
        <is>
          <t>2026-07-28T23:30Z</t>
        </is>
      </c>
      <c r="D31" s="24" t="inlineStr">
        <is>
          <t>875-2026:179546</t>
        </is>
      </c>
      <c r="E31" s="24" t="inlineStr">
        <is>
          <t>TENNIS</t>
        </is>
      </c>
      <c r="F31" s="24" t="inlineStr">
        <is>
          <t>Ellie Schoppe</t>
        </is>
      </c>
      <c r="G31" s="24" t="inlineStr">
        <is>
          <t>Priscilla Hon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-335</v>
      </c>
      <c r="M31" s="27" t="n">
        <v>1.298507</v>
      </c>
      <c r="N31" s="28" t="n">
        <v>0.770115</v>
      </c>
      <c r="O31" s="28" t="n">
        <v>0.511706</v>
      </c>
      <c r="P31" s="28" t="n">
        <v>0.05</v>
      </c>
      <c r="Q31" s="28" t="n">
        <v>-0.258409</v>
      </c>
      <c r="R31" s="26" t="n">
        <v>0</v>
      </c>
      <c r="S31" s="29" t="n">
        <v>1</v>
      </c>
      <c r="T31" s="24" t="inlineStr">
        <is>
          <t>tennis-surface-elo-v1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0.2985</v>
      </c>
      <c r="AD31" s="24" t="inlineStr">
        <is>
          <t>2026-07-29T02:41:50.894577Z</t>
        </is>
      </c>
      <c r="AE31" s="31" t="inlineStr">
        <is>
          <t>Surface-blended Elo on Hard: Ellie Schoppe p=0.488 vs Priscilla Hon. Executable ask 0.7700 (aec-wta-prihon-ellsch-2026-07-28).</t>
        </is>
      </c>
      <c r="AF31" s="31" t="inlineStr">
        <is>
          <t>Research-only surface-blended Elo model; singles only, WTA-only market coverage,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Ellie Schoppe</t>
        </is>
      </c>
      <c r="AQ31" s="24" t="inlineStr">
        <is>
          <t>Ellie Schoppe</t>
        </is>
      </c>
      <c r="AR31" s="24" t="inlineStr">
        <is>
          <t>Ellie Schoppe</t>
        </is>
      </c>
      <c r="AS31" s="24" t="inlineStr">
        <is>
          <t>Priscilla Hon</t>
        </is>
      </c>
      <c r="AT31" s="24" t="inlineStr">
        <is>
          <t>Priscilla Hon</t>
        </is>
      </c>
      <c r="AU31" s="24" t="inlineStr">
        <is>
          <t>Priscilla Hon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73429bd71f12304106b9ffb751bd50617d5109d487f00de7ae2732f60e779590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73429bd71f12304106b9ffb751bd50617d5109d487f00de7ae2732f60e779590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73429bd71f12304106b9ffb751bd50617d5109d487f00de7ae2732f60e779590</t>
        </is>
      </c>
      <c r="BH31" s="24" t="inlineStr">
        <is>
          <t>2026-07-28T20:32:37.984067Z</t>
        </is>
      </c>
      <c r="BI31" s="24" t="inlineStr">
        <is>
          <t>["same_event","same_team_same_day","same_league_same_day"]</t>
        </is>
      </c>
      <c r="BJ31" s="25" t="n"/>
      <c r="BK31" s="26" t="n">
        <v>-335</v>
      </c>
      <c r="BL31" s="27" t="n">
        <v>1.298507</v>
      </c>
      <c r="BM31" s="28" t="n">
        <v>0.770115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e25f9dbf5bb146a7</t>
        </is>
      </c>
      <c r="B32" s="24" t="inlineStr">
        <is>
          <t>2026-07-28T20:34:16.434936Z</t>
        </is>
      </c>
      <c r="C32" s="24" t="inlineStr">
        <is>
          <t>2026-07-28T23:30Z</t>
        </is>
      </c>
      <c r="D32" s="24" t="inlineStr">
        <is>
          <t>888-2026:179001</t>
        </is>
      </c>
      <c r="E32" s="24" t="inlineStr">
        <is>
          <t>TENNIS</t>
        </is>
      </c>
      <c r="F32" s="24" t="inlineStr">
        <is>
          <t>Venus Williams</t>
        </is>
      </c>
      <c r="G32" s="24" t="inlineStr">
        <is>
          <t>Anastasia Potapova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-614</v>
      </c>
      <c r="M32" s="27" t="n">
        <v>1.162866</v>
      </c>
      <c r="N32" s="28" t="n">
        <v>0.859944</v>
      </c>
      <c r="O32" s="28" t="n">
        <v>0.842881</v>
      </c>
      <c r="P32" s="28" t="n">
        <v>0.05</v>
      </c>
      <c r="Q32" s="28" t="n">
        <v>-0.017063</v>
      </c>
      <c r="R32" s="26" t="n">
        <v>11</v>
      </c>
      <c r="S32" s="29" t="n">
        <v>2</v>
      </c>
      <c r="T32" s="24" t="inlineStr">
        <is>
          <t>tennis-surface-elo-v1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0.3257</v>
      </c>
      <c r="AD32" s="24" t="inlineStr">
        <is>
          <t>2026-07-29T02:41:51.026860Z</t>
        </is>
      </c>
      <c r="AE32" s="31" t="inlineStr">
        <is>
          <t>Surface-blended Elo on Hard: Venus Williams p=0.157 vs Anastasia Potapova. Executable ask 0.8600 (aec-wta-anapot-venwil-2026-07-27).</t>
        </is>
      </c>
      <c r="AF32" s="31" t="inlineStr">
        <is>
          <t>Research-only surface-blended Elo model; singles only, WTA-only market coverage,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Venus Williams</t>
        </is>
      </c>
      <c r="AQ32" s="24" t="inlineStr">
        <is>
          <t>Venus Williams</t>
        </is>
      </c>
      <c r="AR32" s="24" t="inlineStr">
        <is>
          <t>Venus Williams</t>
        </is>
      </c>
      <c r="AS32" s="24" t="inlineStr">
        <is>
          <t>Anastasia Potapova</t>
        </is>
      </c>
      <c r="AT32" s="24" t="inlineStr">
        <is>
          <t>Anastasia Potapova</t>
        </is>
      </c>
      <c r="AU32" s="24" t="inlineStr">
        <is>
          <t>Anastasia Potapova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73429bd71f12304106b9ffb751bd50617d5109d487f00de7ae2732f60e779590</t>
        </is>
      </c>
      <c r="BB32" s="24" t="inlineStr">
        <is>
          <t>surface_blended_elo</t>
        </is>
      </c>
      <c r="BC32" s="24" t="inlineStr">
        <is>
          <t>tennis-surface-elo-v1</t>
        </is>
      </c>
      <c r="BD32" s="24" t="inlineStr">
        <is>
          <t>73429bd71f12304106b9ffb751bd50617d5109d487f00de7ae2732f60e779590</t>
        </is>
      </c>
      <c r="BE32" s="24" t="inlineStr">
        <is>
          <t>tennis-surface-elo-v1</t>
        </is>
      </c>
      <c r="BF32" s="24" t="inlineStr">
        <is>
          <t>1</t>
        </is>
      </c>
      <c r="BG32" s="24" t="inlineStr">
        <is>
          <t>73429bd71f12304106b9ffb751bd50617d5109d487f00de7ae2732f60e779590</t>
        </is>
      </c>
      <c r="BH32" s="24" t="inlineStr">
        <is>
          <t>2026-07-28T20:32:42.963351Z</t>
        </is>
      </c>
      <c r="BI32" s="24" t="inlineStr">
        <is>
          <t>["same_event","same_team_same_day","same_league_same_day"]</t>
        </is>
      </c>
      <c r="BJ32" s="25" t="n"/>
      <c r="BK32" s="26" t="n">
        <v>-614</v>
      </c>
      <c r="BL32" s="27" t="n">
        <v>1.162866</v>
      </c>
      <c r="BM32" s="28" t="n">
        <v>0.859944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858c3d6a87ba4281</t>
        </is>
      </c>
      <c r="B33" s="24" t="inlineStr">
        <is>
          <t>2026-07-28T20:34:16.434936Z</t>
        </is>
      </c>
      <c r="C33" s="24" t="inlineStr">
        <is>
          <t>2026-07-28T22:00Z</t>
        </is>
      </c>
      <c r="D33" s="24" t="inlineStr">
        <is>
          <t>1067-2026:179461</t>
        </is>
      </c>
      <c r="E33" s="24" t="inlineStr">
        <is>
          <t>TENNIS</t>
        </is>
      </c>
      <c r="F33" s="24" t="inlineStr">
        <is>
          <t>Peyton Stearns</t>
        </is>
      </c>
      <c r="G33" s="24" t="inlineStr">
        <is>
          <t>Mary Stoiana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0.561639</v>
      </c>
      <c r="P33" s="28" t="n">
        <v>0.05</v>
      </c>
      <c r="Q33" s="28" t="n">
        <v>-0.047736</v>
      </c>
      <c r="R33" s="26" t="n">
        <v>0</v>
      </c>
      <c r="S33" s="29" t="n">
        <v>1</v>
      </c>
      <c r="T33" s="24" t="inlineStr">
        <is>
          <t>tennis-surface-elo-v1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0.641</v>
      </c>
      <c r="AD33" s="24" t="inlineStr">
        <is>
          <t>2026-07-29T02:41:51.185206Z</t>
        </is>
      </c>
      <c r="AE33" s="31" t="inlineStr">
        <is>
          <t>Surface-blended Elo on Hard: Peyton Stearns p=0.562 vs Mary Stoiana. Executable ask 0.6100 (aec-wta-marsto-peyste-2026-07-26).</t>
        </is>
      </c>
      <c r="AF33" s="31" t="inlineStr">
        <is>
          <t>Research-only surface-blended Elo model; singles only, WTA-only market coverage,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Peyton Stearns</t>
        </is>
      </c>
      <c r="AQ33" s="24" t="inlineStr">
        <is>
          <t>Peyton Stearns</t>
        </is>
      </c>
      <c r="AR33" s="24" t="inlineStr">
        <is>
          <t>Peyton Stearns</t>
        </is>
      </c>
      <c r="AS33" s="24" t="inlineStr">
        <is>
          <t>Mary Stoiana</t>
        </is>
      </c>
      <c r="AT33" s="24" t="inlineStr">
        <is>
          <t>Mary Stoiana</t>
        </is>
      </c>
      <c r="AU33" s="24" t="inlineStr">
        <is>
          <t>Mary Stoiana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73429bd71f12304106b9ffb751bd50617d5109d487f00de7ae2732f60e779590</t>
        </is>
      </c>
      <c r="BB33" s="24" t="inlineStr">
        <is>
          <t>surface_blended_elo</t>
        </is>
      </c>
      <c r="BC33" s="24" t="inlineStr">
        <is>
          <t>tennis-surface-elo-v1</t>
        </is>
      </c>
      <c r="BD33" s="24" t="inlineStr">
        <is>
          <t>73429bd71f12304106b9ffb751bd50617d5109d487f00de7ae2732f60e779590</t>
        </is>
      </c>
      <c r="BE33" s="24" t="inlineStr">
        <is>
          <t>tennis-surface-elo-v1</t>
        </is>
      </c>
      <c r="BF33" s="24" t="inlineStr">
        <is>
          <t>1</t>
        </is>
      </c>
      <c r="BG33" s="24" t="inlineStr">
        <is>
          <t>73429bd71f12304106b9ffb751bd50617d5109d487f00de7ae2732f60e779590</t>
        </is>
      </c>
      <c r="BH33" s="24" t="inlineStr">
        <is>
          <t>2026-07-28T20:32:36.629256Z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41c7c5044dee4ed6</t>
        </is>
      </c>
      <c r="B34" s="24" t="inlineStr">
        <is>
          <t>2026-07-28T20:34:16.434936Z</t>
        </is>
      </c>
      <c r="C34" s="24" t="inlineStr">
        <is>
          <t>2026-07-28T22:00Z</t>
        </is>
      </c>
      <c r="D34" s="24" t="inlineStr">
        <is>
          <t>1067-2026:179459</t>
        </is>
      </c>
      <c r="E34" s="24" t="inlineStr">
        <is>
          <t>TENNIS</t>
        </is>
      </c>
      <c r="F34" s="24" t="inlineStr">
        <is>
          <t>Marina Bassols Ribera</t>
        </is>
      </c>
      <c r="G34" s="24" t="inlineStr">
        <is>
          <t>Darja Vidmanova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-186</v>
      </c>
      <c r="M34" s="27" t="n">
        <v>1.537634</v>
      </c>
      <c r="N34" s="28" t="n">
        <v>0.65035</v>
      </c>
      <c r="O34" s="28" t="n">
        <v>0.578209</v>
      </c>
      <c r="P34" s="28" t="n">
        <v>0.05</v>
      </c>
      <c r="Q34" s="28" t="n">
        <v>-0.072141</v>
      </c>
      <c r="R34" s="26" t="n">
        <v>0</v>
      </c>
      <c r="S34" s="29" t="n">
        <v>1.25</v>
      </c>
      <c r="T34" s="24" t="inlineStr">
        <is>
          <t>tennis-surface-elo-v1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/>
      <c r="AA34" s="28" t="n"/>
      <c r="AB34" s="28" t="n"/>
      <c r="AC34" s="30" t="n">
        <v>0.672</v>
      </c>
      <c r="AD34" s="24" t="inlineStr">
        <is>
          <t>2026-07-29T02:41:51.312699Z</t>
        </is>
      </c>
      <c r="AE34" s="31" t="inlineStr">
        <is>
          <t>Surface-blended Elo on Hard: Marina Bassols Ribera p=0.422 vs Darja Vidmanova. Executable ask 0.6500 (aec-wta-darvid-marrib-2026-07-26).</t>
        </is>
      </c>
      <c r="AF34" s="31" t="inlineStr">
        <is>
          <t>Research-only surface-blended Elo model; singles only, WTA-only market coverage,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Marina Bassols Ribera</t>
        </is>
      </c>
      <c r="AQ34" s="24" t="inlineStr">
        <is>
          <t>Marina Bassols Ribera</t>
        </is>
      </c>
      <c r="AR34" s="24" t="inlineStr">
        <is>
          <t>Marina Bassols Ribera</t>
        </is>
      </c>
      <c r="AS34" s="24" t="inlineStr">
        <is>
          <t>Darja Vidmanova</t>
        </is>
      </c>
      <c r="AT34" s="24" t="inlineStr">
        <is>
          <t>Darja Vidmanova</t>
        </is>
      </c>
      <c r="AU34" s="24" t="inlineStr">
        <is>
          <t>Darja Vidmanova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73429bd71f12304106b9ffb751bd50617d5109d487f00de7ae2732f60e779590</t>
        </is>
      </c>
      <c r="BB34" s="24" t="inlineStr">
        <is>
          <t>surface_blended_elo</t>
        </is>
      </c>
      <c r="BC34" s="24" t="inlineStr">
        <is>
          <t>tennis-surface-elo-v1</t>
        </is>
      </c>
      <c r="BD34" s="24" t="inlineStr">
        <is>
          <t>73429bd71f12304106b9ffb751bd50617d5109d487f00de7ae2732f60e779590</t>
        </is>
      </c>
      <c r="BE34" s="24" t="inlineStr">
        <is>
          <t>tennis-surface-elo-v1</t>
        </is>
      </c>
      <c r="BF34" s="24" t="inlineStr">
        <is>
          <t>1</t>
        </is>
      </c>
      <c r="BG34" s="24" t="inlineStr">
        <is>
          <t>73429bd71f12304106b9ffb751bd50617d5109d487f00de7ae2732f60e779590</t>
        </is>
      </c>
      <c r="BH34" s="24" t="inlineStr">
        <is>
          <t>2026-07-28T20:32:34.889939Z</t>
        </is>
      </c>
      <c r="BI34" s="24" t="inlineStr">
        <is>
          <t>["same_event","same_team_same_day","same_league_same_day"]</t>
        </is>
      </c>
      <c r="BJ34" s="25" t="n"/>
      <c r="BK34" s="26" t="n">
        <v>-186</v>
      </c>
      <c r="BL34" s="27" t="n">
        <v>1.537634</v>
      </c>
      <c r="BM34" s="28" t="n">
        <v>0.65035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2db0d70eaf264ba1</t>
        </is>
      </c>
      <c r="B35" s="24" t="inlineStr">
        <is>
          <t>2026-07-28T20:34:16.434936Z</t>
        </is>
      </c>
      <c r="C35" s="24" t="inlineStr">
        <is>
          <t>2026-07-28T23:30Z</t>
        </is>
      </c>
      <c r="D35" s="24" t="inlineStr">
        <is>
          <t>1067-2026:179452</t>
        </is>
      </c>
      <c r="E35" s="24" t="inlineStr">
        <is>
          <t>TENNIS</t>
        </is>
      </c>
      <c r="F35" s="24" t="inlineStr">
        <is>
          <t>Kimberly Birrell</t>
        </is>
      </c>
      <c r="G35" s="24" t="inlineStr">
        <is>
          <t>Ma YeXin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-456</v>
      </c>
      <c r="M35" s="27" t="n">
        <v>1.219298</v>
      </c>
      <c r="N35" s="28" t="n">
        <v>0.820144</v>
      </c>
      <c r="O35" s="28" t="n">
        <v>0.719453</v>
      </c>
      <c r="P35" s="28" t="n">
        <v>0.05</v>
      </c>
      <c r="Q35" s="28" t="n">
        <v>-0.100691</v>
      </c>
      <c r="R35" s="26" t="n">
        <v>0</v>
      </c>
      <c r="S35" s="29" t="n">
        <v>2</v>
      </c>
      <c r="T35" s="24" t="inlineStr">
        <is>
          <t>tennis-surface-elo-v1</t>
        </is>
      </c>
      <c r="U35" s="24" t="inlineStr">
        <is>
          <t>settled</t>
        </is>
      </c>
      <c r="V35" s="24" t="inlineStr">
        <is>
          <t>loss</t>
        </is>
      </c>
      <c r="W35" s="26" t="n">
        <v>0</v>
      </c>
      <c r="X35" s="26" t="n">
        <v>1</v>
      </c>
      <c r="Y35" s="25" t="n"/>
      <c r="Z35" s="26" t="n"/>
      <c r="AA35" s="28" t="n"/>
      <c r="AB35" s="28" t="n"/>
      <c r="AC35" s="30" t="n">
        <v>-2</v>
      </c>
      <c r="AD35" s="24" t="inlineStr">
        <is>
          <t>2026-07-29T05:45:07.796021Z</t>
        </is>
      </c>
      <c r="AE35" s="31" t="inlineStr">
        <is>
          <t>Surface-blended Elo on Hard: Kimberly Birrell p=0.719 vs Ma YeXin. Executable ask 0.8200 (aec-wta-yexma-kimbir-2026-07-28).</t>
        </is>
      </c>
      <c r="AF35" s="31" t="inlineStr">
        <is>
          <t>Research-only surface-blended Elo model; singles only, WTA-only market coverage,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Kimberly Birrell</t>
        </is>
      </c>
      <c r="AQ35" s="24" t="inlineStr">
        <is>
          <t>Kimberly Birrell</t>
        </is>
      </c>
      <c r="AR35" s="24" t="inlineStr">
        <is>
          <t>Kimberly Birrell</t>
        </is>
      </c>
      <c r="AS35" s="24" t="inlineStr">
        <is>
          <t>Ma YeXin</t>
        </is>
      </c>
      <c r="AT35" s="24" t="inlineStr">
        <is>
          <t>Ma YeXin</t>
        </is>
      </c>
      <c r="AU35" s="24" t="inlineStr">
        <is>
          <t>Ma YeXin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73429bd71f12304106b9ffb751bd50617d5109d487f00de7ae2732f60e779590</t>
        </is>
      </c>
      <c r="BB35" s="24" t="inlineStr">
        <is>
          <t>surface_blended_elo</t>
        </is>
      </c>
      <c r="BC35" s="24" t="inlineStr">
        <is>
          <t>tennis-surface-elo-v1</t>
        </is>
      </c>
      <c r="BD35" s="24" t="inlineStr">
        <is>
          <t>73429bd71f12304106b9ffb751bd50617d5109d487f00de7ae2732f60e779590</t>
        </is>
      </c>
      <c r="BE35" s="24" t="inlineStr">
        <is>
          <t>tennis-surface-elo-v1</t>
        </is>
      </c>
      <c r="BF35" s="24" t="inlineStr">
        <is>
          <t>1</t>
        </is>
      </c>
      <c r="BG35" s="24" t="inlineStr">
        <is>
          <t>73429bd71f12304106b9ffb751bd50617d5109d487f00de7ae2732f60e779590</t>
        </is>
      </c>
      <c r="BH35" s="24" t="inlineStr">
        <is>
          <t>2026-07-28T20:32:41.504735Z</t>
        </is>
      </c>
      <c r="BI35" s="24" t="inlineStr">
        <is>
          <t>["same_event","same_team_same_day","same_league_same_day"]</t>
        </is>
      </c>
      <c r="BJ35" s="25" t="n"/>
      <c r="BK35" s="26" t="n">
        <v>-456</v>
      </c>
      <c r="BL35" s="27" t="n">
        <v>1.219298</v>
      </c>
      <c r="BM35" s="28" t="n">
        <v>0.820144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f481749e046c411d</t>
        </is>
      </c>
      <c r="B36" s="24" t="inlineStr">
        <is>
          <t>2026-07-28T20:34:16.434936Z</t>
        </is>
      </c>
      <c r="C36" s="24" t="inlineStr">
        <is>
          <t>2026-07-28T23:30Z</t>
        </is>
      </c>
      <c r="D36" s="24" t="inlineStr">
        <is>
          <t>1067-2026:179465</t>
        </is>
      </c>
      <c r="E36" s="24" t="inlineStr">
        <is>
          <t>TENNIS</t>
        </is>
      </c>
      <c r="F36" s="24" t="inlineStr">
        <is>
          <t>McCartney Kessler</t>
        </is>
      </c>
      <c r="G36" s="24" t="inlineStr">
        <is>
          <t>Renata Zarazua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-317</v>
      </c>
      <c r="M36" s="27" t="n">
        <v>1.315457</v>
      </c>
      <c r="N36" s="28" t="n">
        <v>0.760192</v>
      </c>
      <c r="O36" s="28" t="n">
        <v>0.710335</v>
      </c>
      <c r="P36" s="28" t="n">
        <v>0.05</v>
      </c>
      <c r="Q36" s="28" t="n">
        <v>-0.049857</v>
      </c>
      <c r="R36" s="26" t="n">
        <v>0</v>
      </c>
      <c r="S36" s="29" t="n">
        <v>2</v>
      </c>
      <c r="T36" s="24" t="inlineStr">
        <is>
          <t>tennis-surface-elo-v1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2026-07-29T05:45:07.959644Z</t>
        </is>
      </c>
      <c r="AE36" s="31" t="inlineStr">
        <is>
          <t>Surface-blended Elo on Hard: McCartney Kessler p=0.710 vs Renata Zarazua. Executable ask 0.7600 (aec-wta-renzar-mcckes-2026-07-26).</t>
        </is>
      </c>
      <c r="AF36" s="31" t="inlineStr">
        <is>
          <t>Research-only surface-blended Elo model; singles only, WTA-only market coverage,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McCartney Kessler</t>
        </is>
      </c>
      <c r="AQ36" s="24" t="inlineStr">
        <is>
          <t>McCartney Kessler</t>
        </is>
      </c>
      <c r="AR36" s="24" t="inlineStr">
        <is>
          <t>McCartney Kessler</t>
        </is>
      </c>
      <c r="AS36" s="24" t="inlineStr">
        <is>
          <t>Renata Zarazua</t>
        </is>
      </c>
      <c r="AT36" s="24" t="inlineStr">
        <is>
          <t>Renata Zarazua</t>
        </is>
      </c>
      <c r="AU36" s="24" t="inlineStr">
        <is>
          <t>Renata Zarazua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73429bd71f12304106b9ffb751bd50617d5109d487f00de7ae2732f60e779590</t>
        </is>
      </c>
      <c r="BB36" s="24" t="inlineStr">
        <is>
          <t>surface_blended_elo</t>
        </is>
      </c>
      <c r="BC36" s="24" t="inlineStr">
        <is>
          <t>tennis-surface-elo-v1</t>
        </is>
      </c>
      <c r="BD36" s="24" t="inlineStr">
        <is>
          <t>73429bd71f12304106b9ffb751bd50617d5109d487f00de7ae2732f60e779590</t>
        </is>
      </c>
      <c r="BE36" s="24" t="inlineStr">
        <is>
          <t>tennis-surface-elo-v1</t>
        </is>
      </c>
      <c r="BF36" s="24" t="inlineStr">
        <is>
          <t>1</t>
        </is>
      </c>
      <c r="BG36" s="24" t="inlineStr">
        <is>
          <t>73429bd71f12304106b9ffb751bd50617d5109d487f00de7ae2732f60e779590</t>
        </is>
      </c>
      <c r="BH36" s="24" t="inlineStr">
        <is>
          <t>2026-07-28T20:32:38.530130Z</t>
        </is>
      </c>
      <c r="BI36" s="24" t="inlineStr">
        <is>
          <t>["same_event","same_team_same_day","same_league_same_day"]</t>
        </is>
      </c>
      <c r="BJ36" s="25" t="n"/>
      <c r="BK36" s="26" t="n">
        <v>-317</v>
      </c>
      <c r="BL36" s="27" t="n">
        <v>1.315457</v>
      </c>
      <c r="BM36" s="28" t="n">
        <v>0.760192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db3fc8cba73b4168</t>
        </is>
      </c>
      <c r="B37" s="24" t="inlineStr">
        <is>
          <t>2026-07-28T23:39:18.069207Z</t>
        </is>
      </c>
      <c r="C37" s="24" t="inlineStr">
        <is>
          <t>2026-07-29T02:30Z</t>
        </is>
      </c>
      <c r="D37" s="24" t="inlineStr">
        <is>
          <t>875-2026:179531</t>
        </is>
      </c>
      <c r="E37" s="24" t="inlineStr">
        <is>
          <t>TENNIS</t>
        </is>
      </c>
      <c r="F37" s="24" t="inlineStr">
        <is>
          <t>Sofia Costoulas</t>
        </is>
      </c>
      <c r="G37" s="24" t="inlineStr">
        <is>
          <t>Lizette Cabrera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-270</v>
      </c>
      <c r="M37" s="27" t="n">
        <v>1.37037</v>
      </c>
      <c r="N37" s="28" t="n">
        <v>0.72973</v>
      </c>
      <c r="O37" s="28" t="n">
        <v>0.546068</v>
      </c>
      <c r="P37" s="28" t="n">
        <v>0.05</v>
      </c>
      <c r="Q37" s="28" t="n">
        <v>-0.183662</v>
      </c>
      <c r="R37" s="26" t="n">
        <v>0</v>
      </c>
      <c r="S37" s="29" t="n">
        <v>1</v>
      </c>
      <c r="T37" s="24" t="inlineStr">
        <is>
          <t>tennis-surface-elo-v1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0.3704</v>
      </c>
      <c r="AD37" s="24" t="inlineStr">
        <is>
          <t>2026-07-30T04:12:56.907188Z</t>
        </is>
      </c>
      <c r="AE37" s="31" t="inlineStr">
        <is>
          <t>Surface-blended Elo on Hard: Sofia Costoulas p=0.546 vs Lizette Cabrera. Executable ask 0.7300 (aec-wta-lizcab-sofcos-2026-07-27).</t>
        </is>
      </c>
      <c r="AF37" s="31" t="inlineStr">
        <is>
          <t>Research-only surface-blended Elo model; singles only, WTA-only market coverage,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Sofia Costoulas</t>
        </is>
      </c>
      <c r="AQ37" s="24" t="inlineStr">
        <is>
          <t>Sofia Costoulas</t>
        </is>
      </c>
      <c r="AR37" s="24" t="inlineStr">
        <is>
          <t>Sofia Costoulas</t>
        </is>
      </c>
      <c r="AS37" s="24" t="inlineStr">
        <is>
          <t>Lizette Cabrera</t>
        </is>
      </c>
      <c r="AT37" s="24" t="inlineStr">
        <is>
          <t>Lizette Cabrera</t>
        </is>
      </c>
      <c r="AU37" s="24" t="inlineStr">
        <is>
          <t>Lizette Cabrera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73429bd71f12304106b9ffb751bd50617d5109d487f00de7ae2732f60e779590</t>
        </is>
      </c>
      <c r="BB37" s="24" t="inlineStr">
        <is>
          <t>surface_blended_elo</t>
        </is>
      </c>
      <c r="BC37" s="24" t="inlineStr">
        <is>
          <t>tennis-surface-elo-v1</t>
        </is>
      </c>
      <c r="BD37" s="24" t="inlineStr">
        <is>
          <t>73429bd71f12304106b9ffb751bd50617d5109d487f00de7ae2732f60e779590</t>
        </is>
      </c>
      <c r="BE37" s="24" t="inlineStr">
        <is>
          <t>tennis-surface-elo-v1</t>
        </is>
      </c>
      <c r="BF37" s="24" t="inlineStr">
        <is>
          <t>1</t>
        </is>
      </c>
      <c r="BG37" s="24" t="inlineStr">
        <is>
          <t>73429bd71f12304106b9ffb751bd50617d5109d487f00de7ae2732f60e779590</t>
        </is>
      </c>
      <c r="BH37" s="24" t="inlineStr">
        <is>
          <t>2026-07-28T23:38:14.586715Z</t>
        </is>
      </c>
      <c r="BI37" s="24" t="inlineStr">
        <is>
          <t>["same_event","same_team_same_day","same_league_same_day"]</t>
        </is>
      </c>
      <c r="BJ37" s="25" t="n"/>
      <c r="BK37" s="26" t="n">
        <v>-270</v>
      </c>
      <c r="BL37" s="27" t="n">
        <v>1.37037</v>
      </c>
      <c r="BM37" s="28" t="n">
        <v>0.72973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06dda72ce98b4533</t>
        </is>
      </c>
      <c r="B38" s="24" t="inlineStr">
        <is>
          <t>2026-07-28T23:39:18.069207Z</t>
        </is>
      </c>
      <c r="C38" s="24" t="inlineStr">
        <is>
          <t>2026-07-29T02:30Z</t>
        </is>
      </c>
      <c r="D38" s="24" t="inlineStr">
        <is>
          <t>875-2026:179542</t>
        </is>
      </c>
      <c r="E38" s="24" t="inlineStr">
        <is>
          <t>TENNIS</t>
        </is>
      </c>
      <c r="F38" s="24" t="inlineStr">
        <is>
          <t>Maddison Inglis</t>
        </is>
      </c>
      <c r="G38" s="24" t="inlineStr">
        <is>
          <t>Greet Minnen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-285</v>
      </c>
      <c r="M38" s="27" t="n">
        <v>1.350877</v>
      </c>
      <c r="N38" s="28" t="n">
        <v>0.74026</v>
      </c>
      <c r="O38" s="28" t="n">
        <v>0.534422</v>
      </c>
      <c r="P38" s="28" t="n">
        <v>0.05</v>
      </c>
      <c r="Q38" s="28" t="n">
        <v>-0.205838</v>
      </c>
      <c r="R38" s="26" t="n">
        <v>0</v>
      </c>
      <c r="S38" s="29" t="n">
        <v>1</v>
      </c>
      <c r="T38" s="24" t="inlineStr">
        <is>
          <t>tennis-surface-elo-v1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2026-07-30T04:12:57.077131Z</t>
        </is>
      </c>
      <c r="AE38" s="31" t="inlineStr">
        <is>
          <t>Surface-blended Elo on Hard: Maddison Inglis p=0.466 vs Greet Minnen. Executable ask 0.7400 (aec-wta-gremin-mading-2026-07-27).</t>
        </is>
      </c>
      <c r="AF38" s="31" t="inlineStr">
        <is>
          <t>Research-only surface-blended Elo model; singles only, WTA-only market coverage,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Maddison Inglis</t>
        </is>
      </c>
      <c r="AQ38" s="24" t="inlineStr">
        <is>
          <t>Maddison Inglis</t>
        </is>
      </c>
      <c r="AR38" s="24" t="inlineStr">
        <is>
          <t>Maddison Inglis</t>
        </is>
      </c>
      <c r="AS38" s="24" t="inlineStr">
        <is>
          <t>Greet Minnen</t>
        </is>
      </c>
      <c r="AT38" s="24" t="inlineStr">
        <is>
          <t>Greet Minnen</t>
        </is>
      </c>
      <c r="AU38" s="24" t="inlineStr">
        <is>
          <t>Greet Minnen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73429bd71f12304106b9ffb751bd50617d5109d487f00de7ae2732f60e779590</t>
        </is>
      </c>
      <c r="BB38" s="24" t="inlineStr">
        <is>
          <t>surface_blended_elo</t>
        </is>
      </c>
      <c r="BC38" s="24" t="inlineStr">
        <is>
          <t>tennis-surface-elo-v1</t>
        </is>
      </c>
      <c r="BD38" s="24" t="inlineStr">
        <is>
          <t>73429bd71f12304106b9ffb751bd50617d5109d487f00de7ae2732f60e779590</t>
        </is>
      </c>
      <c r="BE38" s="24" t="inlineStr">
        <is>
          <t>tennis-surface-elo-v1</t>
        </is>
      </c>
      <c r="BF38" s="24" t="inlineStr">
        <is>
          <t>1</t>
        </is>
      </c>
      <c r="BG38" s="24" t="inlineStr">
        <is>
          <t>73429bd71f12304106b9ffb751bd50617d5109d487f00de7ae2732f60e779590</t>
        </is>
      </c>
      <c r="BH38" s="24" t="inlineStr">
        <is>
          <t>2026-07-28T23:38:14.504075Z</t>
        </is>
      </c>
      <c r="BI38" s="24" t="inlineStr">
        <is>
          <t>["same_event","same_team_same_day","same_league_same_day"]</t>
        </is>
      </c>
      <c r="BJ38" s="25" t="n"/>
      <c r="BK38" s="26" t="n">
        <v>-285</v>
      </c>
      <c r="BL38" s="27" t="n">
        <v>1.350877</v>
      </c>
      <c r="BM38" s="28" t="n">
        <v>0.74026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2c2074174fb04ee4</t>
        </is>
      </c>
      <c r="B39" s="24" t="inlineStr">
        <is>
          <t>2026-07-29T02:42:48.148482Z</t>
        </is>
      </c>
      <c r="C39" s="24" t="inlineStr">
        <is>
          <t>2026-07-29T04:00Z</t>
        </is>
      </c>
      <c r="D39" s="24" t="inlineStr">
        <is>
          <t>875-2026:179539</t>
        </is>
      </c>
      <c r="E39" s="24" t="inlineStr">
        <is>
          <t>TENNIS</t>
        </is>
      </c>
      <c r="F39" s="24" t="inlineStr">
        <is>
          <t>Annabelle Xu</t>
        </is>
      </c>
      <c r="G39" s="24" t="inlineStr">
        <is>
          <t>Ariana Arseneault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355</v>
      </c>
      <c r="M39" s="27" t="n">
        <v>4.55</v>
      </c>
      <c r="N39" s="28" t="n">
        <v>0.21978</v>
      </c>
      <c r="O39" s="28" t="n">
        <v>0.5013840000000001</v>
      </c>
      <c r="P39" s="28" t="n">
        <v>0.2</v>
      </c>
      <c r="Q39" s="28" t="n">
        <v>0.281604</v>
      </c>
      <c r="R39" s="26" t="n">
        <v>71</v>
      </c>
      <c r="S39" s="29" t="n">
        <v>1</v>
      </c>
      <c r="T39" s="24" t="inlineStr">
        <is>
          <t>tennis-surface-elo-v1</t>
        </is>
      </c>
      <c r="U39" s="24" t="inlineStr">
        <is>
          <t>settled</t>
        </is>
      </c>
      <c r="V39" s="24" t="inlineStr">
        <is>
          <t>loss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-1</v>
      </c>
      <c r="AD39" s="24" t="inlineStr">
        <is>
          <t>2026-07-29T08:51:50.234581Z</t>
        </is>
      </c>
      <c r="AE39" s="31" t="inlineStr">
        <is>
          <t>Surface-blended Elo on Hard: Annabelle Xu p=0.501 vs Ariana Arseneault. Executable ask 0.2200 (aec-wta-ariars-annxu-2026-07-27).</t>
        </is>
      </c>
      <c r="AF39" s="31" t="inlineStr">
        <is>
          <t>Research-only surface-blended Elo model; singles only, WTA-only market coverage,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Annabelle Xu</t>
        </is>
      </c>
      <c r="AQ39" s="24" t="inlineStr">
        <is>
          <t>Annabelle Xu</t>
        </is>
      </c>
      <c r="AR39" s="24" t="inlineStr">
        <is>
          <t>Annabelle Xu</t>
        </is>
      </c>
      <c r="AS39" s="24" t="inlineStr">
        <is>
          <t>Ariana Arseneault</t>
        </is>
      </c>
      <c r="AT39" s="24" t="inlineStr">
        <is>
          <t>Ariana Arseneault</t>
        </is>
      </c>
      <c r="AU39" s="24" t="inlineStr">
        <is>
          <t>Ariana Arseneault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73429bd71f12304106b9ffb751bd50617d5109d487f00de7ae2732f60e779590</t>
        </is>
      </c>
      <c r="BB39" s="24" t="inlineStr">
        <is>
          <t>surface_blended_elo</t>
        </is>
      </c>
      <c r="BC39" s="24" t="inlineStr">
        <is>
          <t>tennis-surface-elo-v1</t>
        </is>
      </c>
      <c r="BD39" s="24" t="inlineStr">
        <is>
          <t>73429bd71f12304106b9ffb751bd50617d5109d487f00de7ae2732f60e779590</t>
        </is>
      </c>
      <c r="BE39" s="24" t="inlineStr">
        <is>
          <t>tennis-surface-elo-v1</t>
        </is>
      </c>
      <c r="BF39" s="24" t="inlineStr">
        <is>
          <t>1</t>
        </is>
      </c>
      <c r="BG39" s="24" t="inlineStr">
        <is>
          <t>73429bd71f12304106b9ffb751bd50617d5109d487f00de7ae2732f60e779590</t>
        </is>
      </c>
      <c r="BH39" s="24" t="inlineStr">
        <is>
          <t>2026-07-28T23:38:14.799545Z</t>
        </is>
      </c>
      <c r="BI39" s="24" t="inlineStr">
        <is>
          <t>["same_event","same_team_same_day","same_league_same_day"]</t>
        </is>
      </c>
      <c r="BJ39" s="25" t="n"/>
      <c r="BK39" s="26" t="n">
        <v>355</v>
      </c>
      <c r="BL39" s="27" t="n">
        <v>4.55</v>
      </c>
      <c r="BM39" s="28" t="n">
        <v>0.21978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4a6b08dfd05c4c51</t>
        </is>
      </c>
      <c r="B40" s="24" t="inlineStr">
        <is>
          <t>2026-07-29T08:55:21.430631Z</t>
        </is>
      </c>
      <c r="C40" s="24" t="inlineStr">
        <is>
          <t>2026-07-29T09:00Z</t>
        </is>
      </c>
      <c r="D40" s="24" t="inlineStr">
        <is>
          <t>1073-2026:179583</t>
        </is>
      </c>
      <c r="E40" s="24" t="inlineStr">
        <is>
          <t>TENNIS</t>
        </is>
      </c>
      <c r="F40" s="24" t="inlineStr">
        <is>
          <t>Irene Burillo</t>
        </is>
      </c>
      <c r="G40" s="24" t="inlineStr">
        <is>
          <t>Kaitlin Quevedo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-355</v>
      </c>
      <c r="M40" s="27" t="n">
        <v>1.28169</v>
      </c>
      <c r="N40" s="28" t="n">
        <v>0.78022</v>
      </c>
      <c r="O40" s="28" t="n">
        <v>0.740447</v>
      </c>
      <c r="P40" s="28" t="n">
        <v>0.05</v>
      </c>
      <c r="Q40" s="28" t="n">
        <v>-0.039773</v>
      </c>
      <c r="R40" s="26" t="n">
        <v>0</v>
      </c>
      <c r="S40" s="29" t="n">
        <v>2</v>
      </c>
      <c r="T40" s="24" t="inlineStr">
        <is>
          <t>tennis-surface-elo-v1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/>
      <c r="AA40" s="28" t="n"/>
      <c r="AB40" s="28" t="n"/>
      <c r="AC40" s="30" t="n">
        <v>0.5634</v>
      </c>
      <c r="AD40" s="24" t="inlineStr">
        <is>
          <t>2026-07-29T11:58:21.897341Z</t>
        </is>
      </c>
      <c r="AE40" s="31" t="inlineStr">
        <is>
          <t>Surface-blended Elo on Hard: Irene Burillo p=0.260 vs Kaitlin Quevedo. Executable ask 0.7800 (aec-wta-kaique-ireesc-2026-07-29).</t>
        </is>
      </c>
      <c r="AF40" s="31" t="inlineStr">
        <is>
          <t>Research-only surface-blended Elo model; singles only, WTA-only market coverage,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Irene Burillo</t>
        </is>
      </c>
      <c r="AQ40" s="24" t="inlineStr">
        <is>
          <t>Irene Burillo</t>
        </is>
      </c>
      <c r="AR40" s="24" t="inlineStr">
        <is>
          <t>Irene Burillo</t>
        </is>
      </c>
      <c r="AS40" s="24" t="inlineStr">
        <is>
          <t>Kaitlin Quevedo</t>
        </is>
      </c>
      <c r="AT40" s="24" t="inlineStr">
        <is>
          <t>Kaitlin Quevedo</t>
        </is>
      </c>
      <c r="AU40" s="24" t="inlineStr">
        <is>
          <t>Kaitlin Quevedo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73429bd71f12304106b9ffb751bd50617d5109d487f00de7ae2732f60e779590</t>
        </is>
      </c>
      <c r="BB40" s="24" t="inlineStr">
        <is>
          <t>surface_blended_elo</t>
        </is>
      </c>
      <c r="BC40" s="24" t="inlineStr">
        <is>
          <t>tennis-surface-elo-v1</t>
        </is>
      </c>
      <c r="BD40" s="24" t="inlineStr">
        <is>
          <t>73429bd71f12304106b9ffb751bd50617d5109d487f00de7ae2732f60e779590</t>
        </is>
      </c>
      <c r="BE40" s="24" t="inlineStr">
        <is>
          <t>tennis-surface-elo-v1</t>
        </is>
      </c>
      <c r="BF40" s="24" t="inlineStr">
        <is>
          <t>1</t>
        </is>
      </c>
      <c r="BG40" s="24" t="inlineStr">
        <is>
          <t>73429bd71f12304106b9ffb751bd50617d5109d487f00de7ae2732f60e779590</t>
        </is>
      </c>
      <c r="BH40" s="24" t="inlineStr">
        <is>
          <t>2026-07-29T08:52:48.619185Z</t>
        </is>
      </c>
      <c r="BI40" s="24" t="inlineStr">
        <is>
          <t>["same_event","same_team_same_day","same_league_same_day"]</t>
        </is>
      </c>
      <c r="BJ40" s="25" t="n"/>
      <c r="BK40" s="26" t="n">
        <v>-355</v>
      </c>
      <c r="BL40" s="27" t="n">
        <v>1.28169</v>
      </c>
      <c r="BM40" s="28" t="n">
        <v>0.78022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d1a96c589a2d428c</t>
        </is>
      </c>
      <c r="B41" s="24" t="inlineStr">
        <is>
          <t>2026-07-29T08:55:21.430631Z</t>
        </is>
      </c>
      <c r="C41" s="24" t="inlineStr">
        <is>
          <t>2026-07-29T09:00Z</t>
        </is>
      </c>
      <c r="D41" s="24" t="inlineStr">
        <is>
          <t>1073-2026:179578</t>
        </is>
      </c>
      <c r="E41" s="24" t="inlineStr">
        <is>
          <t>TENNIS</t>
        </is>
      </c>
      <c r="F41" s="24" t="inlineStr">
        <is>
          <t>Margaux Rouvroy</t>
        </is>
      </c>
      <c r="G41" s="24" t="inlineStr">
        <is>
          <t>Alice Rame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133</v>
      </c>
      <c r="M41" s="27" t="n">
        <v>2.33</v>
      </c>
      <c r="N41" s="28" t="n">
        <v>0.429185</v>
      </c>
      <c r="O41" s="28" t="n">
        <v>0.595788</v>
      </c>
      <c r="P41" s="28" t="n">
        <v>0.05</v>
      </c>
      <c r="Q41" s="28" t="n">
        <v>0.166603</v>
      </c>
      <c r="R41" s="26" t="n">
        <v>100</v>
      </c>
      <c r="S41" s="29" t="n">
        <v>1.25</v>
      </c>
      <c r="T41" s="24" t="inlineStr">
        <is>
          <t>tennis-surface-elo-v1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2026-07-29T11:58:22.059061Z</t>
        </is>
      </c>
      <c r="AE41" s="31" t="inlineStr">
        <is>
          <t>Surface-blended Elo on Hard: Margaux Rouvroy p=0.596 vs Alice Rame. Executable ask 0.4300 (aec-wta-aliram-marrou-2026-07-29).</t>
        </is>
      </c>
      <c r="AF41" s="31" t="inlineStr">
        <is>
          <t>Research-only surface-blended Elo model; singles only, WTA-only market coverage,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Margaux Rouvroy</t>
        </is>
      </c>
      <c r="AQ41" s="24" t="inlineStr">
        <is>
          <t>Margaux Rouvroy</t>
        </is>
      </c>
      <c r="AR41" s="24" t="inlineStr">
        <is>
          <t>Margaux Rouvroy</t>
        </is>
      </c>
      <c r="AS41" s="24" t="inlineStr">
        <is>
          <t>Alice Rame</t>
        </is>
      </c>
      <c r="AT41" s="24" t="inlineStr">
        <is>
          <t>Alice Rame</t>
        </is>
      </c>
      <c r="AU41" s="24" t="inlineStr">
        <is>
          <t>Alice Rame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73429bd71f12304106b9ffb751bd50617d5109d487f00de7ae2732f60e779590</t>
        </is>
      </c>
      <c r="BB41" s="24" t="inlineStr">
        <is>
          <t>surface_blended_elo</t>
        </is>
      </c>
      <c r="BC41" s="24" t="inlineStr">
        <is>
          <t>tennis-surface-elo-v1</t>
        </is>
      </c>
      <c r="BD41" s="24" t="inlineStr">
        <is>
          <t>73429bd71f12304106b9ffb751bd50617d5109d487f00de7ae2732f60e779590</t>
        </is>
      </c>
      <c r="BE41" s="24" t="inlineStr">
        <is>
          <t>tennis-surface-elo-v1</t>
        </is>
      </c>
      <c r="BF41" s="24" t="inlineStr">
        <is>
          <t>1</t>
        </is>
      </c>
      <c r="BG41" s="24" t="inlineStr">
        <is>
          <t>73429bd71f12304106b9ffb751bd50617d5109d487f00de7ae2732f60e779590</t>
        </is>
      </c>
      <c r="BH41" s="24" t="inlineStr">
        <is>
          <t>2026-07-29T08:52:48.697468Z</t>
        </is>
      </c>
      <c r="BI41" s="24" t="inlineStr">
        <is>
          <t>["same_event","same_team_same_day","same_league_same_day"]</t>
        </is>
      </c>
      <c r="BJ41" s="25" t="n"/>
      <c r="BK41" s="26" t="n">
        <v>133</v>
      </c>
      <c r="BL41" s="27" t="n">
        <v>2.33</v>
      </c>
      <c r="BM41" s="28" t="n">
        <v>0.429185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1fd9d10e54be4c11</t>
        </is>
      </c>
      <c r="B42" s="24" t="inlineStr">
        <is>
          <t>2026-07-29T08:55:21.430631Z</t>
        </is>
      </c>
      <c r="C42" s="24" t="inlineStr">
        <is>
          <t>2026-07-29T10:30Z</t>
        </is>
      </c>
      <c r="D42" s="24" t="inlineStr">
        <is>
          <t>1073-2026:179581</t>
        </is>
      </c>
      <c r="E42" s="24" t="inlineStr">
        <is>
          <t>TENNIS</t>
        </is>
      </c>
      <c r="F42" s="24" t="inlineStr">
        <is>
          <t>Carole Monnet</t>
        </is>
      </c>
      <c r="G42" s="24" t="inlineStr">
        <is>
          <t>Elena Ruxandra Bertea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0.507464</v>
      </c>
      <c r="P42" s="28" t="n">
        <v>0.05</v>
      </c>
      <c r="Q42" s="28" t="n">
        <v>0.09762800000000001</v>
      </c>
      <c r="R42" s="26" t="n">
        <v>69</v>
      </c>
      <c r="S42" s="29" t="n">
        <v>1</v>
      </c>
      <c r="T42" s="24" t="inlineStr">
        <is>
          <t>tennis-surface-elo-v1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2026-07-29T15:04:57.137903Z</t>
        </is>
      </c>
      <c r="AE42" s="31" t="inlineStr">
        <is>
          <t>Surface-blended Elo on Hard: Carole Monnet p=0.493 vs Elena Ruxandra Bertea. Executable ask 0.4100 (aec-wta-eleber-carmon-2026-07-29).</t>
        </is>
      </c>
      <c r="AF42" s="31" t="inlineStr">
        <is>
          <t>Research-only surface-blended Elo model; singles only, WTA-only market coverage,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Carole Monnet</t>
        </is>
      </c>
      <c r="AQ42" s="24" t="inlineStr">
        <is>
          <t>Carole Monnet</t>
        </is>
      </c>
      <c r="AR42" s="24" t="inlineStr">
        <is>
          <t>Carole Monnet</t>
        </is>
      </c>
      <c r="AS42" s="24" t="inlineStr">
        <is>
          <t>Elena Ruxandra Bertea</t>
        </is>
      </c>
      <c r="AT42" s="24" t="inlineStr">
        <is>
          <t>Elena Ruxandra Bertea</t>
        </is>
      </c>
      <c r="AU42" s="24" t="inlineStr">
        <is>
          <t>Elena Ruxandra Bertea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73429bd71f12304106b9ffb751bd50617d5109d487f00de7ae2732f60e779590</t>
        </is>
      </c>
      <c r="BB42" s="24" t="inlineStr">
        <is>
          <t>surface_blended_elo</t>
        </is>
      </c>
      <c r="BC42" s="24" t="inlineStr">
        <is>
          <t>tennis-surface-elo-v1</t>
        </is>
      </c>
      <c r="BD42" s="24" t="inlineStr">
        <is>
          <t>73429bd71f12304106b9ffb751bd50617d5109d487f00de7ae2732f60e779590</t>
        </is>
      </c>
      <c r="BE42" s="24" t="inlineStr">
        <is>
          <t>tennis-surface-elo-v1</t>
        </is>
      </c>
      <c r="BF42" s="24" t="inlineStr">
        <is>
          <t>1</t>
        </is>
      </c>
      <c r="BG42" s="24" t="inlineStr">
        <is>
          <t>73429bd71f12304106b9ffb751bd50617d5109d487f00de7ae2732f60e779590</t>
        </is>
      </c>
      <c r="BH42" s="24" t="inlineStr">
        <is>
          <t>2026-07-29T08:52:48.630695Z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de165a84ab994f0a</t>
        </is>
      </c>
      <c r="B43" s="24" t="inlineStr">
        <is>
          <t>2026-07-29T12:01:51.227703Z</t>
        </is>
      </c>
      <c r="C43" s="24" t="inlineStr">
        <is>
          <t>2026-07-29T15:00Z</t>
        </is>
      </c>
      <c r="D43" s="24" t="inlineStr">
        <is>
          <t>888-2026:178997</t>
        </is>
      </c>
      <c r="E43" s="24" t="inlineStr">
        <is>
          <t>TENNIS</t>
        </is>
      </c>
      <c r="F43" s="24" t="inlineStr">
        <is>
          <t>Liudmila Samsonova</t>
        </is>
      </c>
      <c r="G43" s="24" t="inlineStr">
        <is>
          <t>Wang Xinyu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163</v>
      </c>
      <c r="M43" s="27" t="n">
        <v>2.63</v>
      </c>
      <c r="N43" s="28" t="n">
        <v>0.380228</v>
      </c>
      <c r="O43" s="28" t="n">
        <v>0.610361</v>
      </c>
      <c r="P43" s="28" t="n">
        <v>0.05</v>
      </c>
      <c r="Q43" s="28" t="n">
        <v>0.230133</v>
      </c>
      <c r="R43" s="26" t="n">
        <v>100</v>
      </c>
      <c r="S43" s="29" t="n">
        <v>1.5</v>
      </c>
      <c r="T43" s="24" t="inlineStr">
        <is>
          <t>tennis-surface-elo-v1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-1.5</v>
      </c>
      <c r="AD43" s="24" t="inlineStr">
        <is>
          <t>2026-07-29T17:34:37.373137Z</t>
        </is>
      </c>
      <c r="AE43" s="31" t="inlineStr">
        <is>
          <t>Surface-blended Elo on Hard: Liudmila Samsonova p=0.390 vs Wang Xinyu. Executable ask 0.3800 (aec-wta-xinwan-liusam-2026-07-29).</t>
        </is>
      </c>
      <c r="AF43" s="31" t="inlineStr">
        <is>
          <t>Research-only surface-blended Elo model; singles only, WTA-only market coverage, not yet locked-holdout qualified.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Liudmila Samsonova</t>
        </is>
      </c>
      <c r="AQ43" s="24" t="inlineStr">
        <is>
          <t>Liudmila Samsonova</t>
        </is>
      </c>
      <c r="AR43" s="24" t="inlineStr">
        <is>
          <t>Liudmila Samsonova</t>
        </is>
      </c>
      <c r="AS43" s="24" t="inlineStr">
        <is>
          <t>Wang Xinyu</t>
        </is>
      </c>
      <c r="AT43" s="24" t="inlineStr">
        <is>
          <t>Wang Xinyu</t>
        </is>
      </c>
      <c r="AU43" s="24" t="inlineStr">
        <is>
          <t>Wang Xinyu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73429bd71f12304106b9ffb751bd50617d5109d487f00de7ae2732f60e779590</t>
        </is>
      </c>
      <c r="BB43" s="24" t="inlineStr">
        <is>
          <t>surface_blended_elo</t>
        </is>
      </c>
      <c r="BC43" s="24" t="inlineStr">
        <is>
          <t>tennis-surface-elo-v1</t>
        </is>
      </c>
      <c r="BD43" s="24" t="inlineStr">
        <is>
          <t>73429bd71f12304106b9ffb751bd50617d5109d487f00de7ae2732f60e779590</t>
        </is>
      </c>
      <c r="BE43" s="24" t="inlineStr">
        <is>
          <t>tennis-surface-elo-v1</t>
        </is>
      </c>
      <c r="BF43" s="24" t="inlineStr">
        <is>
          <t>1</t>
        </is>
      </c>
      <c r="BG43" s="24" t="inlineStr">
        <is>
          <t>73429bd71f12304106b9ffb751bd50617d5109d487f00de7ae2732f60e779590</t>
        </is>
      </c>
      <c r="BH43" s="24" t="inlineStr">
        <is>
          <t>2026-07-29T11:59:22.792537Z</t>
        </is>
      </c>
      <c r="BI43" s="24" t="inlineStr">
        <is>
          <t>["same_event","same_team_same_day","same_league_same_day"]</t>
        </is>
      </c>
      <c r="BJ43" s="25" t="n"/>
      <c r="BK43" s="26" t="n">
        <v>163</v>
      </c>
      <c r="BL43" s="27" t="n">
        <v>2.63</v>
      </c>
      <c r="BM43" s="28" t="n">
        <v>0.380228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5e1308e15a2b4b9b</t>
        </is>
      </c>
      <c r="B44" s="24" t="inlineStr">
        <is>
          <t>2026-07-29T12:01:51.227703Z</t>
        </is>
      </c>
      <c r="C44" s="24" t="inlineStr">
        <is>
          <t>2026-07-29T15:00Z</t>
        </is>
      </c>
      <c r="D44" s="24" t="inlineStr">
        <is>
          <t>888-2026:179010</t>
        </is>
      </c>
      <c r="E44" s="24" t="inlineStr">
        <is>
          <t>TENNIS</t>
        </is>
      </c>
      <c r="F44" s="24" t="inlineStr">
        <is>
          <t>Alexandra Eala</t>
        </is>
      </c>
      <c r="G44" s="24" t="inlineStr">
        <is>
          <t>Leylah Fernandez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0.584863</v>
      </c>
      <c r="P44" s="28" t="n">
        <v>0.05</v>
      </c>
      <c r="Q44" s="28" t="n">
        <v>0.075059</v>
      </c>
      <c r="R44" s="26" t="n">
        <v>58</v>
      </c>
      <c r="S44" s="29" t="n">
        <v>1.25</v>
      </c>
      <c r="T44" s="24" t="inlineStr">
        <is>
          <t>tennis-surface-elo-v1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0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2026-07-29T17:34:37.529832Z</t>
        </is>
      </c>
      <c r="AE44" s="31" t="inlineStr">
        <is>
          <t>Surface-blended Elo on Hard: Alexandra Eala p=0.585 vs Leylah Fernandez. Executable ask 0.5100 (aec-wta-leyfer-aleeal-2026-07-29).</t>
        </is>
      </c>
      <c r="AF44" s="31" t="inlineStr">
        <is>
          <t>Research-only surface-blended Elo model; singles only, WTA-only market coverage,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Alexandra Eala</t>
        </is>
      </c>
      <c r="AQ44" s="24" t="inlineStr">
        <is>
          <t>Alexandra Eala</t>
        </is>
      </c>
      <c r="AR44" s="24" t="inlineStr">
        <is>
          <t>Alexandra Eala</t>
        </is>
      </c>
      <c r="AS44" s="24" t="inlineStr">
        <is>
          <t>Leylah Fernandez</t>
        </is>
      </c>
      <c r="AT44" s="24" t="inlineStr">
        <is>
          <t>Leylah Fernandez</t>
        </is>
      </c>
      <c r="AU44" s="24" t="inlineStr">
        <is>
          <t>Leylah Fernandez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73429bd71f12304106b9ffb751bd50617d5109d487f00de7ae2732f60e779590</t>
        </is>
      </c>
      <c r="BB44" s="24" t="inlineStr">
        <is>
          <t>surface_blended_elo</t>
        </is>
      </c>
      <c r="BC44" s="24" t="inlineStr">
        <is>
          <t>tennis-surface-elo-v1</t>
        </is>
      </c>
      <c r="BD44" s="24" t="inlineStr">
        <is>
          <t>73429bd71f12304106b9ffb751bd50617d5109d487f00de7ae2732f60e779590</t>
        </is>
      </c>
      <c r="BE44" s="24" t="inlineStr">
        <is>
          <t>tennis-surface-elo-v1</t>
        </is>
      </c>
      <c r="BF44" s="24" t="inlineStr">
        <is>
          <t>1</t>
        </is>
      </c>
      <c r="BG44" s="24" t="inlineStr">
        <is>
          <t>73429bd71f12304106b9ffb751bd50617d5109d487f00de7ae2732f60e779590</t>
        </is>
      </c>
      <c r="BH44" s="24" t="inlineStr">
        <is>
          <t>2026-07-29T11:59:24.170797Z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6a87bbcc35e844c4</t>
        </is>
      </c>
      <c r="B45" s="24" t="inlineStr">
        <is>
          <t>2026-07-29T12:01:51.227703Z</t>
        </is>
      </c>
      <c r="C45" s="24" t="inlineStr">
        <is>
          <t>2026-07-29T14:00Z</t>
        </is>
      </c>
      <c r="D45" s="24" t="inlineStr">
        <is>
          <t>1073-2026:179602</t>
        </is>
      </c>
      <c r="E45" s="24" t="inlineStr">
        <is>
          <t>TENNIS</t>
        </is>
      </c>
      <c r="F45" s="24" t="inlineStr">
        <is>
          <t>Caijsa Hennemann</t>
        </is>
      </c>
      <c r="G45" s="24" t="inlineStr">
        <is>
          <t>Sara Sorribes Tormo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-335</v>
      </c>
      <c r="M45" s="27" t="n">
        <v>1.298507</v>
      </c>
      <c r="N45" s="28" t="n">
        <v>0.770115</v>
      </c>
      <c r="O45" s="28" t="n">
        <v>0.613845</v>
      </c>
      <c r="P45" s="28" t="n">
        <v>0.05</v>
      </c>
      <c r="Q45" s="28" t="n">
        <v>-0.15627</v>
      </c>
      <c r="R45" s="26" t="n">
        <v>0</v>
      </c>
      <c r="S45" s="29" t="n">
        <v>1.5</v>
      </c>
      <c r="T45" s="24" t="inlineStr">
        <is>
          <t>tennis-surface-elo-v1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0.4478</v>
      </c>
      <c r="AD45" s="24" t="inlineStr">
        <is>
          <t>2026-07-29T17:34:37.684021Z</t>
        </is>
      </c>
      <c r="AE45" s="31" t="inlineStr">
        <is>
          <t>Surface-blended Elo on Hard: Caijsa Hennemann p=0.386 vs Sara Sorribes Tormo. Executable ask 0.7700 (aec-wta-sartor-caihen-2026-07-28).</t>
        </is>
      </c>
      <c r="AF45" s="31" t="inlineStr">
        <is>
          <t>Research-only surface-blended Elo model; singles only, WTA-only market coverage,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Caijsa Hennemann</t>
        </is>
      </c>
      <c r="AQ45" s="24" t="inlineStr">
        <is>
          <t>Caijsa Hennemann</t>
        </is>
      </c>
      <c r="AR45" s="24" t="inlineStr">
        <is>
          <t>Caijsa Hennemann</t>
        </is>
      </c>
      <c r="AS45" s="24" t="inlineStr">
        <is>
          <t>Sara Sorribes Tormo</t>
        </is>
      </c>
      <c r="AT45" s="24" t="inlineStr">
        <is>
          <t>Sara Sorribes Tormo</t>
        </is>
      </c>
      <c r="AU45" s="24" t="inlineStr">
        <is>
          <t>Sara Sorribes Tormo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73429bd71f12304106b9ffb751bd50617d5109d487f00de7ae2732f60e779590</t>
        </is>
      </c>
      <c r="BB45" s="24" t="inlineStr">
        <is>
          <t>surface_blended_elo</t>
        </is>
      </c>
      <c r="BC45" s="24" t="inlineStr">
        <is>
          <t>tennis-surface-elo-v1</t>
        </is>
      </c>
      <c r="BD45" s="24" t="inlineStr">
        <is>
          <t>73429bd71f12304106b9ffb751bd50617d5109d487f00de7ae2732f60e779590</t>
        </is>
      </c>
      <c r="BE45" s="24" t="inlineStr">
        <is>
          <t>tennis-surface-elo-v1</t>
        </is>
      </c>
      <c r="BF45" s="24" t="inlineStr">
        <is>
          <t>1</t>
        </is>
      </c>
      <c r="BG45" s="24" t="inlineStr">
        <is>
          <t>73429bd71f12304106b9ffb751bd50617d5109d487f00de7ae2732f60e779590</t>
        </is>
      </c>
      <c r="BH45" s="24" t="inlineStr">
        <is>
          <t>2026-07-29T11:59:21.725564Z</t>
        </is>
      </c>
      <c r="BI45" s="24" t="inlineStr">
        <is>
          <t>["same_event","same_team_same_day","same_league_same_day"]</t>
        </is>
      </c>
      <c r="BJ45" s="25" t="n"/>
      <c r="BK45" s="26" t="n">
        <v>-335</v>
      </c>
      <c r="BL45" s="27" t="n">
        <v>1.298507</v>
      </c>
      <c r="BM45" s="28" t="n">
        <v>0.770115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9eedacf3676e41ab</t>
        </is>
      </c>
      <c r="B46" s="24" t="inlineStr">
        <is>
          <t>2026-07-29T15:07:42.028247Z</t>
        </is>
      </c>
      <c r="C46" s="24" t="inlineStr">
        <is>
          <t>2026-07-29T17:00Z</t>
        </is>
      </c>
      <c r="D46" s="24" t="inlineStr">
        <is>
          <t>875-2026:179551</t>
        </is>
      </c>
      <c r="E46" s="24" t="inlineStr">
        <is>
          <t>TENNIS</t>
        </is>
      </c>
      <c r="F46" s="24" t="inlineStr">
        <is>
          <t>Hayu Kinoshita</t>
        </is>
      </c>
      <c r="G46" s="24" t="inlineStr">
        <is>
          <t>Moyuka Uchijima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-233</v>
      </c>
      <c r="M46" s="27" t="n">
        <v>1.429185</v>
      </c>
      <c r="N46" s="28" t="n">
        <v>0.6997</v>
      </c>
      <c r="O46" s="28" t="n">
        <v>0.661404</v>
      </c>
      <c r="P46" s="28" t="n">
        <v>0.05</v>
      </c>
      <c r="Q46" s="28" t="n">
        <v>-0.038296</v>
      </c>
      <c r="R46" s="26" t="n">
        <v>1</v>
      </c>
      <c r="S46" s="29" t="n">
        <v>1.75</v>
      </c>
      <c r="T46" s="24" t="inlineStr">
        <is>
          <t>tennis-surface-elo-v1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0.7511</v>
      </c>
      <c r="AD46" s="24" t="inlineStr">
        <is>
          <t>2026-07-30T04:12:57.598756Z</t>
        </is>
      </c>
      <c r="AE46" s="31" t="inlineStr">
        <is>
          <t>Surface-blended Elo on Hard: Hayu Kinoshita p=0.339 vs Moyuka Uchijima. Executable ask 0.7000 (aec-wta-moyuch-haykin-2026-07-30).</t>
        </is>
      </c>
      <c r="AF46" s="31" t="inlineStr">
        <is>
          <t>Research-only surface-blended Elo model; singles only, WTA-only market coverage,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Hayu Kinoshita</t>
        </is>
      </c>
      <c r="AQ46" s="24" t="inlineStr">
        <is>
          <t>Hayu Kinoshita</t>
        </is>
      </c>
      <c r="AR46" s="24" t="inlineStr">
        <is>
          <t>Hayu Kinoshita</t>
        </is>
      </c>
      <c r="AS46" s="24" t="inlineStr">
        <is>
          <t>Moyuka Uchijima</t>
        </is>
      </c>
      <c r="AT46" s="24" t="inlineStr">
        <is>
          <t>Moyuka Uchijima</t>
        </is>
      </c>
      <c r="AU46" s="24" t="inlineStr">
        <is>
          <t>Moyuka Uchijima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73429bd71f12304106b9ffb751bd50617d5109d487f00de7ae2732f60e779590</t>
        </is>
      </c>
      <c r="BB46" s="24" t="inlineStr">
        <is>
          <t>surface_blended_elo</t>
        </is>
      </c>
      <c r="BC46" s="24" t="inlineStr">
        <is>
          <t>tennis-surface-elo-v1</t>
        </is>
      </c>
      <c r="BD46" s="24" t="inlineStr">
        <is>
          <t>73429bd71f12304106b9ffb751bd50617d5109d487f00de7ae2732f60e779590</t>
        </is>
      </c>
      <c r="BE46" s="24" t="inlineStr">
        <is>
          <t>tennis-surface-elo-v1</t>
        </is>
      </c>
      <c r="BF46" s="24" t="inlineStr">
        <is>
          <t>1</t>
        </is>
      </c>
      <c r="BG46" s="24" t="inlineStr">
        <is>
          <t>73429bd71f12304106b9ffb751bd50617d5109d487f00de7ae2732f60e779590</t>
        </is>
      </c>
      <c r="BH46" s="24" t="inlineStr">
        <is>
          <t>2026-07-29T15:06:10.686278Z</t>
        </is>
      </c>
      <c r="BI46" s="24" t="inlineStr">
        <is>
          <t>["same_event","same_team_same_day","same_league_same_day"]</t>
        </is>
      </c>
      <c r="BJ46" s="25" t="n"/>
      <c r="BK46" s="26" t="n">
        <v>-233</v>
      </c>
      <c r="BL46" s="27" t="n">
        <v>1.429185</v>
      </c>
      <c r="BM46" s="28" t="n">
        <v>0.6997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a0b147def3fd4a88</t>
        </is>
      </c>
      <c r="B47" s="24" t="inlineStr">
        <is>
          <t>2026-07-29T15:07:42.028247Z</t>
        </is>
      </c>
      <c r="C47" s="24" t="inlineStr">
        <is>
          <t>2026-07-29T16:00Z</t>
        </is>
      </c>
      <c r="D47" s="24" t="inlineStr">
        <is>
          <t>1067-2026:179462</t>
        </is>
      </c>
      <c r="E47" s="24" t="inlineStr">
        <is>
          <t>TENNIS</t>
        </is>
      </c>
      <c r="F47" s="24" t="inlineStr">
        <is>
          <t>Katie Volynets</t>
        </is>
      </c>
      <c r="G47" s="24" t="inlineStr">
        <is>
          <t>Iryna Shymanovich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-400</v>
      </c>
      <c r="M47" s="27" t="n">
        <v>1.25</v>
      </c>
      <c r="N47" s="28" t="n">
        <v>0.8</v>
      </c>
      <c r="O47" s="28" t="n">
        <v>0.681818</v>
      </c>
      <c r="P47" s="28" t="n">
        <v>0.05</v>
      </c>
      <c r="Q47" s="28" t="n">
        <v>-0.118182</v>
      </c>
      <c r="R47" s="26" t="n">
        <v>0</v>
      </c>
      <c r="S47" s="29" t="n">
        <v>2</v>
      </c>
      <c r="T47" s="24" t="inlineStr">
        <is>
          <t>tennis-surface-elo-v1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0.5</v>
      </c>
      <c r="AD47" s="24" t="inlineStr">
        <is>
          <t>2026-07-29T17:39:18.099080Z</t>
        </is>
      </c>
      <c r="AE47" s="31" t="inlineStr">
        <is>
          <t>Surface-blended Elo on Hard: Katie Volynets p=0.682 vs Iryna Shymanovich. Executable ask 0.8000 (aec-wta-iryshy-katvol-2026-07-28).</t>
        </is>
      </c>
      <c r="AF47" s="31" t="inlineStr">
        <is>
          <t>Research-only surface-blended Elo model; singles only, WTA-only market coverage,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Katie Volynets</t>
        </is>
      </c>
      <c r="AQ47" s="24" t="inlineStr">
        <is>
          <t>Katie Volynets</t>
        </is>
      </c>
      <c r="AR47" s="24" t="inlineStr">
        <is>
          <t>Katie Volynets</t>
        </is>
      </c>
      <c r="AS47" s="24" t="inlineStr">
        <is>
          <t>Iryna Shymanovich</t>
        </is>
      </c>
      <c r="AT47" s="24" t="inlineStr">
        <is>
          <t>Iryna Shymanovich</t>
        </is>
      </c>
      <c r="AU47" s="24" t="inlineStr">
        <is>
          <t>Iryna Shymanovich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73429bd71f12304106b9ffb751bd50617d5109d487f00de7ae2732f60e779590</t>
        </is>
      </c>
      <c r="BB47" s="24" t="inlineStr">
        <is>
          <t>surface_blended_elo</t>
        </is>
      </c>
      <c r="BC47" s="24" t="inlineStr">
        <is>
          <t>tennis-surface-elo-v1</t>
        </is>
      </c>
      <c r="BD47" s="24" t="inlineStr">
        <is>
          <t>73429bd71f12304106b9ffb751bd50617d5109d487f00de7ae2732f60e779590</t>
        </is>
      </c>
      <c r="BE47" s="24" t="inlineStr">
        <is>
          <t>tennis-surface-elo-v1</t>
        </is>
      </c>
      <c r="BF47" s="24" t="inlineStr">
        <is>
          <t>1</t>
        </is>
      </c>
      <c r="BG47" s="24" t="inlineStr">
        <is>
          <t>73429bd71f12304106b9ffb751bd50617d5109d487f00de7ae2732f60e779590</t>
        </is>
      </c>
      <c r="BH47" s="24" t="inlineStr">
        <is>
          <t>2026-07-29T15:06:09.478927Z</t>
        </is>
      </c>
      <c r="BI47" s="24" t="inlineStr">
        <is>
          <t>["same_event","same_team_same_day","same_league_same_day"]</t>
        </is>
      </c>
      <c r="BJ47" s="25" t="n"/>
      <c r="BK47" s="26" t="n">
        <v>-400</v>
      </c>
      <c r="BL47" s="27" t="n">
        <v>1.25</v>
      </c>
      <c r="BM47" s="28" t="n">
        <v>0.8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1b6e932c0c774d67</t>
        </is>
      </c>
      <c r="B48" s="24" t="inlineStr">
        <is>
          <t>2026-07-29T15:07:42.028247Z</t>
        </is>
      </c>
      <c r="C48" s="24" t="inlineStr">
        <is>
          <t>2026-07-29T17:30Z</t>
        </is>
      </c>
      <c r="D48" s="24" t="inlineStr">
        <is>
          <t>1067-2026:179457</t>
        </is>
      </c>
      <c r="E48" s="24" t="inlineStr">
        <is>
          <t>TENNIS</t>
        </is>
      </c>
      <c r="F48" s="24" t="inlineStr">
        <is>
          <t>Anastasia Zakharova</t>
        </is>
      </c>
      <c r="G48" s="24" t="inlineStr">
        <is>
          <t>Camila Osorio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0.546035</v>
      </c>
      <c r="P48" s="28" t="n">
        <v>0.05</v>
      </c>
      <c r="Q48" s="28" t="n">
        <v>-0.123932</v>
      </c>
      <c r="R48" s="26" t="n">
        <v>0</v>
      </c>
      <c r="S48" s="29" t="n">
        <v>1</v>
      </c>
      <c r="T48" s="24" t="inlineStr">
        <is>
          <t>tennis-surface-elo-v1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2026-07-30T04:12:57.762482Z</t>
        </is>
      </c>
      <c r="AE48" s="31" t="inlineStr">
        <is>
          <t>Surface-blended Elo on Hard: Anastasia Zakharova p=0.454 vs Camila Osorio. Executable ask 0.6700 (aec-wta-camoso-anazak-2026-07-29).</t>
        </is>
      </c>
      <c r="AF48" s="31" t="inlineStr">
        <is>
          <t>Research-only surface-blended Elo model; singles only, WTA-only market coverage,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Anastasia Zakharova</t>
        </is>
      </c>
      <c r="AQ48" s="24" t="inlineStr">
        <is>
          <t>Anastasia Zakharova</t>
        </is>
      </c>
      <c r="AR48" s="24" t="inlineStr">
        <is>
          <t>Anastasia Zakharova</t>
        </is>
      </c>
      <c r="AS48" s="24" t="inlineStr">
        <is>
          <t>Camila Osorio</t>
        </is>
      </c>
      <c r="AT48" s="24" t="inlineStr">
        <is>
          <t>Camila Osorio</t>
        </is>
      </c>
      <c r="AU48" s="24" t="inlineStr">
        <is>
          <t>Camila Osorio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73429bd71f12304106b9ffb751bd50617d5109d487f00de7ae2732f60e779590</t>
        </is>
      </c>
      <c r="BB48" s="24" t="inlineStr">
        <is>
          <t>surface_blended_elo</t>
        </is>
      </c>
      <c r="BC48" s="24" t="inlineStr">
        <is>
          <t>tennis-surface-elo-v1</t>
        </is>
      </c>
      <c r="BD48" s="24" t="inlineStr">
        <is>
          <t>73429bd71f12304106b9ffb751bd50617d5109d487f00de7ae2732f60e779590</t>
        </is>
      </c>
      <c r="BE48" s="24" t="inlineStr">
        <is>
          <t>tennis-surface-elo-v1</t>
        </is>
      </c>
      <c r="BF48" s="24" t="inlineStr">
        <is>
          <t>1</t>
        </is>
      </c>
      <c r="BG48" s="24" t="inlineStr">
        <is>
          <t>73429bd71f12304106b9ffb751bd50617d5109d487f00de7ae2732f60e779590</t>
        </is>
      </c>
      <c r="BH48" s="24" t="inlineStr">
        <is>
          <t>2026-07-29T15:06:11.189993Z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4a3345c99c37475a</t>
        </is>
      </c>
      <c r="B49" s="24" t="inlineStr">
        <is>
          <t>2026-07-29T17:45:17.438275Z</t>
        </is>
      </c>
      <c r="C49" s="24" t="inlineStr">
        <is>
          <t>2026-07-29T20:30Z</t>
        </is>
      </c>
      <c r="D49" s="24" t="inlineStr">
        <is>
          <t>875-2026:179560</t>
        </is>
      </c>
      <c r="E49" s="24" t="inlineStr">
        <is>
          <t>TENNIS</t>
        </is>
      </c>
      <c r="F49" s="24" t="inlineStr">
        <is>
          <t>Mananchaya Sawangkaew</t>
        </is>
      </c>
      <c r="G49" s="24" t="inlineStr">
        <is>
          <t>Nao Hibino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0.751186</v>
      </c>
      <c r="P49" s="28" t="n">
        <v>0.05</v>
      </c>
      <c r="Q49" s="28" t="n">
        <v>0.060784</v>
      </c>
      <c r="R49" s="26" t="n">
        <v>50</v>
      </c>
      <c r="S49" s="29" t="n">
        <v>2</v>
      </c>
      <c r="T49" s="24" t="inlineStr">
        <is>
          <t>tennis-surface-elo-v1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0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2026-07-30T04:12:57.923604Z</t>
        </is>
      </c>
      <c r="AE49" s="31" t="inlineStr">
        <is>
          <t>Surface-blended Elo on Hard: Mananchaya Sawangkaew p=0.751 vs Nao Hibino. Executable ask 0.6900 (aec-wta-naohib-mansaw-2026-07-29).</t>
        </is>
      </c>
      <c r="AF49" s="31" t="inlineStr">
        <is>
          <t>Research-only surface-blended Elo model; singles only, WTA-only market coverage,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Mananchaya Sawangkaew</t>
        </is>
      </c>
      <c r="AQ49" s="24" t="inlineStr">
        <is>
          <t>Mananchaya Sawangkaew</t>
        </is>
      </c>
      <c r="AR49" s="24" t="inlineStr">
        <is>
          <t>Mananchaya Sawangkaew</t>
        </is>
      </c>
      <c r="AS49" s="24" t="inlineStr">
        <is>
          <t>Nao Hibino</t>
        </is>
      </c>
      <c r="AT49" s="24" t="inlineStr">
        <is>
          <t>Nao Hibino</t>
        </is>
      </c>
      <c r="AU49" s="24" t="inlineStr">
        <is>
          <t>Nao Hibino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73429bd71f12304106b9ffb751bd50617d5109d487f00de7ae2732f60e779590</t>
        </is>
      </c>
      <c r="BB49" s="24" t="inlineStr">
        <is>
          <t>surface_blended_elo</t>
        </is>
      </c>
      <c r="BC49" s="24" t="inlineStr">
        <is>
          <t>tennis-surface-elo-v1</t>
        </is>
      </c>
      <c r="BD49" s="24" t="inlineStr">
        <is>
          <t>73429bd71f12304106b9ffb751bd50617d5109d487f00de7ae2732f60e779590</t>
        </is>
      </c>
      <c r="BE49" s="24" t="inlineStr">
        <is>
          <t>tennis-surface-elo-v1</t>
        </is>
      </c>
      <c r="BF49" s="24" t="inlineStr">
        <is>
          <t>1</t>
        </is>
      </c>
      <c r="BG49" s="24" t="inlineStr">
        <is>
          <t>73429bd71f12304106b9ffb751bd50617d5109d487f00de7ae2732f60e779590</t>
        </is>
      </c>
      <c r="BH49" s="24" t="inlineStr">
        <is>
          <t>2026-07-29T17:43:31.145763Z</t>
        </is>
      </c>
      <c r="BI49" s="24" t="inlineStr">
        <is>
          <t>["same_event","same_team_same_day","same_league_same_day"]</t>
        </is>
      </c>
      <c r="BJ49" s="25" t="n"/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ba55f97323e84ca7</t>
        </is>
      </c>
      <c r="B50" s="24" t="inlineStr">
        <is>
          <t>2026-07-29T17:45:17.438275Z</t>
        </is>
      </c>
      <c r="C50" s="24" t="inlineStr">
        <is>
          <t>2026-07-29T23:30Z</t>
        </is>
      </c>
      <c r="D50" s="24" t="inlineStr">
        <is>
          <t>875-2026:179561</t>
        </is>
      </c>
      <c r="E50" s="24" t="inlineStr">
        <is>
          <t>TENNIS</t>
        </is>
      </c>
      <c r="F50" s="24" t="inlineStr">
        <is>
          <t>Madison Brengle</t>
        </is>
      </c>
      <c r="G50" s="24" t="inlineStr">
        <is>
          <t>Emerson Jones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-213</v>
      </c>
      <c r="M50" s="27" t="n">
        <v>1.469484</v>
      </c>
      <c r="N50" s="28" t="n">
        <v>0.680511</v>
      </c>
      <c r="O50" s="28" t="n">
        <v>0.609945</v>
      </c>
      <c r="P50" s="28" t="n">
        <v>0.05</v>
      </c>
      <c r="Q50" s="28" t="n">
        <v>-0.070566</v>
      </c>
      <c r="R50" s="26" t="n">
        <v>0</v>
      </c>
      <c r="S50" s="29" t="n">
        <v>1.5</v>
      </c>
      <c r="T50" s="24" t="inlineStr">
        <is>
          <t>tennis-surface-elo-v1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/>
      <c r="AA50" s="28" t="n"/>
      <c r="AB50" s="28" t="n"/>
      <c r="AC50" s="30" t="n">
        <v>0.7042</v>
      </c>
      <c r="AD50" s="24" t="inlineStr">
        <is>
          <t>2026-07-30T05:41:08.013743Z</t>
        </is>
      </c>
      <c r="AE50" s="31" t="inlineStr">
        <is>
          <t>Surface-blended Elo on Hard: Madison Brengle p=0.390 vs Emerson Jones. Executable ask 0.6800 (aec-wta-emejon-madbre-2026-07-29).</t>
        </is>
      </c>
      <c r="AF50" s="31" t="inlineStr">
        <is>
          <t>Research-only surface-blended Elo model; singles only, WTA-only market coverage,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Madison Brengle</t>
        </is>
      </c>
      <c r="AQ50" s="24" t="inlineStr">
        <is>
          <t>Madison Brengle</t>
        </is>
      </c>
      <c r="AR50" s="24" t="inlineStr">
        <is>
          <t>Madison Brengle</t>
        </is>
      </c>
      <c r="AS50" s="24" t="inlineStr">
        <is>
          <t>Emerson Jones</t>
        </is>
      </c>
      <c r="AT50" s="24" t="inlineStr">
        <is>
          <t>Emerson Jones</t>
        </is>
      </c>
      <c r="AU50" s="24" t="inlineStr">
        <is>
          <t>Emerson Jones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73429bd71f12304106b9ffb751bd50617d5109d487f00de7ae2732f60e779590</t>
        </is>
      </c>
      <c r="BB50" s="24" t="inlineStr">
        <is>
          <t>surface_blended_elo</t>
        </is>
      </c>
      <c r="BC50" s="24" t="inlineStr">
        <is>
          <t>tennis-surface-elo-v1</t>
        </is>
      </c>
      <c r="BD50" s="24" t="inlineStr">
        <is>
          <t>73429bd71f12304106b9ffb751bd50617d5109d487f00de7ae2732f60e779590</t>
        </is>
      </c>
      <c r="BE50" s="24" t="inlineStr">
        <is>
          <t>tennis-surface-elo-v1</t>
        </is>
      </c>
      <c r="BF50" s="24" t="inlineStr">
        <is>
          <t>1</t>
        </is>
      </c>
      <c r="BG50" s="24" t="inlineStr">
        <is>
          <t>73429bd71f12304106b9ffb751bd50617d5109d487f00de7ae2732f60e779590</t>
        </is>
      </c>
      <c r="BH50" s="24" t="inlineStr">
        <is>
          <t>2026-07-29T17:43:34.870189Z</t>
        </is>
      </c>
      <c r="BI50" s="24" t="inlineStr">
        <is>
          <t>["same_event","same_team_same_day","same_league_same_day"]</t>
        </is>
      </c>
      <c r="BJ50" s="25" t="n"/>
      <c r="BK50" s="26" t="n">
        <v>-213</v>
      </c>
      <c r="BL50" s="27" t="n">
        <v>1.469484</v>
      </c>
      <c r="BM50" s="28" t="n">
        <v>0.680511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2272d1aa27ff4860</t>
        </is>
      </c>
      <c r="B51" s="24" t="inlineStr">
        <is>
          <t>2026-07-29T17:45:17.438275Z</t>
        </is>
      </c>
      <c r="C51" s="24" t="inlineStr">
        <is>
          <t>2026-07-30T01:00Z</t>
        </is>
      </c>
      <c r="D51" s="24" t="inlineStr">
        <is>
          <t>875-2026:179535</t>
        </is>
      </c>
      <c r="E51" s="24" t="inlineStr">
        <is>
          <t>TENNIS</t>
        </is>
      </c>
      <c r="F51" s="24" t="inlineStr">
        <is>
          <t>Taylah Preston</t>
        </is>
      </c>
      <c r="G51" s="24" t="inlineStr">
        <is>
          <t>Priscilla Hon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-245</v>
      </c>
      <c r="M51" s="27" t="n">
        <v>1.408163</v>
      </c>
      <c r="N51" s="28" t="n">
        <v>0.710145</v>
      </c>
      <c r="O51" s="28" t="n">
        <v>0.522226</v>
      </c>
      <c r="P51" s="28" t="n">
        <v>0.05</v>
      </c>
      <c r="Q51" s="28" t="n">
        <v>-0.187919</v>
      </c>
      <c r="R51" s="26" t="n">
        <v>0</v>
      </c>
      <c r="S51" s="29" t="n">
        <v>1</v>
      </c>
      <c r="T51" s="24" t="inlineStr">
        <is>
          <t>tennis-surface-elo-v1</t>
        </is>
      </c>
      <c r="U51" s="24" t="inlineStr">
        <is>
          <t>settled</t>
        </is>
      </c>
      <c r="V51" s="24" t="inlineStr">
        <is>
          <t>win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0.4082</v>
      </c>
      <c r="AD51" s="24" t="inlineStr">
        <is>
          <t>2026-07-30T04:12:58.090024Z</t>
        </is>
      </c>
      <c r="AE51" s="31" t="inlineStr">
        <is>
          <t>Surface-blended Elo on Hard: Taylah Preston p=0.522 vs Priscilla Hon. Executable ask 0.7100 (aec-wta-prihon-taypre-2026-07-29).</t>
        </is>
      </c>
      <c r="AF51" s="31" t="inlineStr">
        <is>
          <t>Research-only surface-blended Elo model; singles only, WTA-only market coverage,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Taylah Preston</t>
        </is>
      </c>
      <c r="AQ51" s="24" t="inlineStr">
        <is>
          <t>Taylah Preston</t>
        </is>
      </c>
      <c r="AR51" s="24" t="inlineStr">
        <is>
          <t>Taylah Preston</t>
        </is>
      </c>
      <c r="AS51" s="24" t="inlineStr">
        <is>
          <t>Priscilla Hon</t>
        </is>
      </c>
      <c r="AT51" s="24" t="inlineStr">
        <is>
          <t>Priscilla Hon</t>
        </is>
      </c>
      <c r="AU51" s="24" t="inlineStr">
        <is>
          <t>Priscilla Hon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73429bd71f12304106b9ffb751bd50617d5109d487f00de7ae2732f60e779590</t>
        </is>
      </c>
      <c r="BB51" s="24" t="inlineStr">
        <is>
          <t>surface_blended_elo</t>
        </is>
      </c>
      <c r="BC51" s="24" t="inlineStr">
        <is>
          <t>tennis-surface-elo-v1</t>
        </is>
      </c>
      <c r="BD51" s="24" t="inlineStr">
        <is>
          <t>73429bd71f12304106b9ffb751bd50617d5109d487f00de7ae2732f60e779590</t>
        </is>
      </c>
      <c r="BE51" s="24" t="inlineStr">
        <is>
          <t>tennis-surface-elo-v1</t>
        </is>
      </c>
      <c r="BF51" s="24" t="inlineStr">
        <is>
          <t>1</t>
        </is>
      </c>
      <c r="BG51" s="24" t="inlineStr">
        <is>
          <t>73429bd71f12304106b9ffb751bd50617d5109d487f00de7ae2732f60e779590</t>
        </is>
      </c>
      <c r="BH51" s="24" t="inlineStr">
        <is>
          <t>2026-07-29T17:43:34.962670Z</t>
        </is>
      </c>
      <c r="BI51" s="24" t="inlineStr">
        <is>
          <t>["same_event","same_team_same_day","same_league_same_day"]</t>
        </is>
      </c>
      <c r="BJ51" s="25" t="n"/>
      <c r="BK51" s="26" t="n">
        <v>-245</v>
      </c>
      <c r="BL51" s="27" t="n">
        <v>1.408163</v>
      </c>
      <c r="BM51" s="28" t="n">
        <v>0.710145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f56a39c844b14931</t>
        </is>
      </c>
      <c r="B52" s="24" t="inlineStr">
        <is>
          <t>2026-07-29T17:45:17.438275Z</t>
        </is>
      </c>
      <c r="C52" s="24" t="inlineStr">
        <is>
          <t>2026-07-29T18:00Z</t>
        </is>
      </c>
      <c r="D52" s="24" t="inlineStr">
        <is>
          <t>888-2026:178996</t>
        </is>
      </c>
      <c r="E52" s="24" t="inlineStr">
        <is>
          <t>TENNIS</t>
        </is>
      </c>
      <c r="F52" s="24" t="inlineStr">
        <is>
          <t>Elisabetta Cocciaretto</t>
        </is>
      </c>
      <c r="G52" s="24" t="inlineStr">
        <is>
          <t>Emma Navarro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-213</v>
      </c>
      <c r="M52" s="27" t="n">
        <v>1.469484</v>
      </c>
      <c r="N52" s="28" t="n">
        <v>0.680511</v>
      </c>
      <c r="O52" s="28" t="n">
        <v>0.534149</v>
      </c>
      <c r="P52" s="28" t="n">
        <v>0.05</v>
      </c>
      <c r="Q52" s="28" t="n">
        <v>-0.146362</v>
      </c>
      <c r="R52" s="26" t="n">
        <v>0</v>
      </c>
      <c r="S52" s="29" t="n">
        <v>1</v>
      </c>
      <c r="T52" s="24" t="inlineStr">
        <is>
          <t>tennis-surface-elo-v1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2026-07-30T04:12:58.299938Z</t>
        </is>
      </c>
      <c r="AE52" s="31" t="inlineStr">
        <is>
          <t>Surface-blended Elo on Hard: Elisabetta Cocciaretto p=0.466 vs Emma Navarro. Executable ask 0.6800 (aec-wta-emmnav-elicoc-2026-07-29).</t>
        </is>
      </c>
      <c r="AF52" s="31" t="inlineStr">
        <is>
          <t>Research-only surface-blended Elo model; singles only, WTA-only market coverage,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Elisabetta Cocciaretto</t>
        </is>
      </c>
      <c r="AQ52" s="24" t="inlineStr">
        <is>
          <t>Elisabetta Cocciaretto</t>
        </is>
      </c>
      <c r="AR52" s="24" t="inlineStr">
        <is>
          <t>Elisabetta Cocciaretto</t>
        </is>
      </c>
      <c r="AS52" s="24" t="inlineStr">
        <is>
          <t>Emma Navarro</t>
        </is>
      </c>
      <c r="AT52" s="24" t="inlineStr">
        <is>
          <t>Emma Navarro</t>
        </is>
      </c>
      <c r="AU52" s="24" t="inlineStr">
        <is>
          <t>Emma Navarro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73429bd71f12304106b9ffb751bd50617d5109d487f00de7ae2732f60e779590</t>
        </is>
      </c>
      <c r="BB52" s="24" t="inlineStr">
        <is>
          <t>surface_blended_elo</t>
        </is>
      </c>
      <c r="BC52" s="24" t="inlineStr">
        <is>
          <t>tennis-surface-elo-v1</t>
        </is>
      </c>
      <c r="BD52" s="24" t="inlineStr">
        <is>
          <t>73429bd71f12304106b9ffb751bd50617d5109d487f00de7ae2732f60e779590</t>
        </is>
      </c>
      <c r="BE52" s="24" t="inlineStr">
        <is>
          <t>tennis-surface-elo-v1</t>
        </is>
      </c>
      <c r="BF52" s="24" t="inlineStr">
        <is>
          <t>1</t>
        </is>
      </c>
      <c r="BG52" s="24" t="inlineStr">
        <is>
          <t>73429bd71f12304106b9ffb751bd50617d5109d487f00de7ae2732f60e779590</t>
        </is>
      </c>
      <c r="BH52" s="24" t="inlineStr">
        <is>
          <t>2026-07-29T17:43:27.911072Z</t>
        </is>
      </c>
      <c r="BI52" s="24" t="inlineStr">
        <is>
          <t>["same_event","same_team_same_day","same_league_same_day"]</t>
        </is>
      </c>
      <c r="BJ52" s="25" t="n"/>
      <c r="BK52" s="26" t="n">
        <v>-213</v>
      </c>
      <c r="BL52" s="27" t="n">
        <v>1.469484</v>
      </c>
      <c r="BM52" s="28" t="n">
        <v>0.680511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ff2d3627a8014bb5</t>
        </is>
      </c>
      <c r="B53" s="24" t="inlineStr">
        <is>
          <t>2026-07-29T17:45:17.438275Z</t>
        </is>
      </c>
      <c r="C53" s="24" t="inlineStr">
        <is>
          <t>2026-07-29T22:30Z</t>
        </is>
      </c>
      <c r="D53" s="24" t="inlineStr">
        <is>
          <t>888-2026:178995</t>
        </is>
      </c>
      <c r="E53" s="24" t="inlineStr">
        <is>
          <t>TENNIS</t>
        </is>
      </c>
      <c r="F53" s="24" t="inlineStr">
        <is>
          <t>Naomi Osaka</t>
        </is>
      </c>
      <c r="G53" s="24" t="inlineStr">
        <is>
          <t>Ashlyn Krueger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-285</v>
      </c>
      <c r="M53" s="27" t="n">
        <v>1.350877</v>
      </c>
      <c r="N53" s="28" t="n">
        <v>0.74026</v>
      </c>
      <c r="O53" s="28" t="n">
        <v>0.68731</v>
      </c>
      <c r="P53" s="28" t="n">
        <v>0.05</v>
      </c>
      <c r="Q53" s="28" t="n">
        <v>-0.05295</v>
      </c>
      <c r="R53" s="26" t="n">
        <v>0</v>
      </c>
      <c r="S53" s="29" t="n">
        <v>2</v>
      </c>
      <c r="T53" s="24" t="inlineStr">
        <is>
          <t>tennis-surface-elo-v1</t>
        </is>
      </c>
      <c r="U53" s="24" t="inlineStr">
        <is>
          <t>settled</t>
        </is>
      </c>
      <c r="V53" s="24" t="inlineStr">
        <is>
          <t>win</t>
        </is>
      </c>
      <c r="W53" s="26" t="n">
        <v>1</v>
      </c>
      <c r="X53" s="26" t="n">
        <v>0</v>
      </c>
      <c r="Y53" s="25" t="n"/>
      <c r="Z53" s="26" t="n"/>
      <c r="AA53" s="28" t="n"/>
      <c r="AB53" s="28" t="n"/>
      <c r="AC53" s="30" t="n">
        <v>0.7018</v>
      </c>
      <c r="AD53" s="24" t="inlineStr">
        <is>
          <t>2026-07-30T04:12:58.471435Z</t>
        </is>
      </c>
      <c r="AE53" s="31" t="inlineStr">
        <is>
          <t>Surface-blended Elo on Hard: Naomi Osaka p=0.687 vs Ashlyn Krueger. Executable ask 0.7400 (aec-wta-ashkru-naoosa-2026-07-29).</t>
        </is>
      </c>
      <c r="AF53" s="31" t="inlineStr">
        <is>
          <t>Research-only surface-blended Elo model; singles only, WTA-only market coverage,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Naomi Osaka</t>
        </is>
      </c>
      <c r="AQ53" s="24" t="inlineStr">
        <is>
          <t>Naomi Osaka</t>
        </is>
      </c>
      <c r="AR53" s="24" t="inlineStr">
        <is>
          <t>Naomi Osaka</t>
        </is>
      </c>
      <c r="AS53" s="24" t="inlineStr">
        <is>
          <t>Ashlyn Krueger</t>
        </is>
      </c>
      <c r="AT53" s="24" t="inlineStr">
        <is>
          <t>Ashlyn Krueger</t>
        </is>
      </c>
      <c r="AU53" s="24" t="inlineStr">
        <is>
          <t>Ashlyn Krueger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73429bd71f12304106b9ffb751bd50617d5109d487f00de7ae2732f60e779590</t>
        </is>
      </c>
      <c r="BB53" s="24" t="inlineStr">
        <is>
          <t>surface_blended_elo</t>
        </is>
      </c>
      <c r="BC53" s="24" t="inlineStr">
        <is>
          <t>tennis-surface-elo-v1</t>
        </is>
      </c>
      <c r="BD53" s="24" t="inlineStr">
        <is>
          <t>73429bd71f12304106b9ffb751bd50617d5109d487f00de7ae2732f60e779590</t>
        </is>
      </c>
      <c r="BE53" s="24" t="inlineStr">
        <is>
          <t>tennis-surface-elo-v1</t>
        </is>
      </c>
      <c r="BF53" s="24" t="inlineStr">
        <is>
          <t>1</t>
        </is>
      </c>
      <c r="BG53" s="24" t="inlineStr">
        <is>
          <t>73429bd71f12304106b9ffb751bd50617d5109d487f00de7ae2732f60e779590</t>
        </is>
      </c>
      <c r="BH53" s="24" t="inlineStr">
        <is>
          <t>2026-07-29T17:43:32.737176Z</t>
        </is>
      </c>
      <c r="BI53" s="24" t="inlineStr">
        <is>
          <t>["same_event","same_team_same_day","same_league_same_day"]</t>
        </is>
      </c>
      <c r="BJ53" s="25" t="n"/>
      <c r="BK53" s="26" t="n">
        <v>-285</v>
      </c>
      <c r="BL53" s="27" t="n">
        <v>1.350877</v>
      </c>
      <c r="BM53" s="28" t="n">
        <v>0.74026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</row>
    <row r="54" ht="36" customHeight="1">
      <c r="A54" s="24" t="inlineStr">
        <is>
          <t>ae6ff454954f447c</t>
        </is>
      </c>
      <c r="B54" s="24" t="inlineStr">
        <is>
          <t>2026-07-29T17:45:17.438275Z</t>
        </is>
      </c>
      <c r="C54" s="24" t="inlineStr">
        <is>
          <t>2026-07-29T19:15Z</t>
        </is>
      </c>
      <c r="D54" s="24" t="inlineStr">
        <is>
          <t>1067-2026:179466</t>
        </is>
      </c>
      <c r="E54" s="24" t="inlineStr">
        <is>
          <t>TENNIS</t>
        </is>
      </c>
      <c r="F54" s="24" t="inlineStr">
        <is>
          <t>Elvina Kalieva</t>
        </is>
      </c>
      <c r="G54" s="24" t="inlineStr">
        <is>
          <t>Zeynep Sonmez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-186</v>
      </c>
      <c r="M54" s="27" t="n">
        <v>1.537634</v>
      </c>
      <c r="N54" s="28" t="n">
        <v>0.65035</v>
      </c>
      <c r="O54" s="28" t="n">
        <v>0.677731</v>
      </c>
      <c r="P54" s="28" t="n">
        <v>0.05</v>
      </c>
      <c r="Q54" s="28" t="n">
        <v>0.027381</v>
      </c>
      <c r="R54" s="26" t="n">
        <v>34</v>
      </c>
      <c r="S54" s="29" t="n">
        <v>1.75</v>
      </c>
      <c r="T54" s="24" t="inlineStr">
        <is>
          <t>tennis-surface-elo-v1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-1.75</v>
      </c>
      <c r="AD54" s="24" t="inlineStr">
        <is>
          <t>2026-07-30T04:12:58.638731Z</t>
        </is>
      </c>
      <c r="AE54" s="31" t="inlineStr">
        <is>
          <t>Surface-blended Elo on Hard: Elvina Kalieva p=0.322 vs Zeynep Sonmez. Executable ask 0.6500 (aec-wta-zeyson-elvkal-2026-07-29).</t>
        </is>
      </c>
      <c r="AF54" s="31" t="inlineStr">
        <is>
          <t>Research-only surface-blended Elo model; singles only, WTA-only market coverage,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Elvina Kalieva</t>
        </is>
      </c>
      <c r="AQ54" s="24" t="inlineStr">
        <is>
          <t>Elvina Kalieva</t>
        </is>
      </c>
      <c r="AR54" s="24" t="inlineStr">
        <is>
          <t>Elvina Kalieva</t>
        </is>
      </c>
      <c r="AS54" s="24" t="inlineStr">
        <is>
          <t>Zeynep Sonmez</t>
        </is>
      </c>
      <c r="AT54" s="24" t="inlineStr">
        <is>
          <t>Zeynep Sonmez</t>
        </is>
      </c>
      <c r="AU54" s="24" t="inlineStr">
        <is>
          <t>Zeynep Sonmez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73429bd71f12304106b9ffb751bd50617d5109d487f00de7ae2732f60e779590</t>
        </is>
      </c>
      <c r="BB54" s="24" t="inlineStr">
        <is>
          <t>surface_blended_elo</t>
        </is>
      </c>
      <c r="BC54" s="24" t="inlineStr">
        <is>
          <t>tennis-surface-elo-v1</t>
        </is>
      </c>
      <c r="BD54" s="24" t="inlineStr">
        <is>
          <t>73429bd71f12304106b9ffb751bd50617d5109d487f00de7ae2732f60e779590</t>
        </is>
      </c>
      <c r="BE54" s="24" t="inlineStr">
        <is>
          <t>tennis-surface-elo-v1</t>
        </is>
      </c>
      <c r="BF54" s="24" t="inlineStr">
        <is>
          <t>1</t>
        </is>
      </c>
      <c r="BG54" s="24" t="inlineStr">
        <is>
          <t>73429bd71f12304106b9ffb751bd50617d5109d487f00de7ae2732f60e779590</t>
        </is>
      </c>
      <c r="BH54" s="24" t="inlineStr">
        <is>
          <t>2026-07-29T17:43:29.985852Z</t>
        </is>
      </c>
      <c r="BI54" s="24" t="inlineStr">
        <is>
          <t>["same_event","same_team_same_day","same_league_same_day"]</t>
        </is>
      </c>
      <c r="BJ54" s="25" t="n"/>
      <c r="BK54" s="26" t="n">
        <v>-186</v>
      </c>
      <c r="BL54" s="27" t="n">
        <v>1.537634</v>
      </c>
      <c r="BM54" s="28" t="n">
        <v>0.65035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2cf5fcb8edff4226</t>
        </is>
      </c>
      <c r="B55" s="24" t="inlineStr">
        <is>
          <t>2026-07-29T17:45:17.438275Z</t>
        </is>
      </c>
      <c r="C55" s="24" t="inlineStr">
        <is>
          <t>2026-07-29T23:00Z</t>
        </is>
      </c>
      <c r="D55" s="24" t="inlineStr">
        <is>
          <t>1067-2026:179455</t>
        </is>
      </c>
      <c r="E55" s="24" t="inlineStr">
        <is>
          <t>TENNIS</t>
        </is>
      </c>
      <c r="F55" s="24" t="inlineStr">
        <is>
          <t>Renata Zarazua</t>
        </is>
      </c>
      <c r="G55" s="24" t="inlineStr">
        <is>
          <t>Tatjana Maria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-150</v>
      </c>
      <c r="M55" s="27" t="n">
        <v>1.666667</v>
      </c>
      <c r="N55" s="28" t="n">
        <v>0.6</v>
      </c>
      <c r="O55" s="28" t="n">
        <v>0.7051770000000001</v>
      </c>
      <c r="P55" s="28" t="n">
        <v>0.05</v>
      </c>
      <c r="Q55" s="28" t="n">
        <v>0.105177</v>
      </c>
      <c r="R55" s="26" t="n">
        <v>73</v>
      </c>
      <c r="S55" s="29" t="n">
        <v>2</v>
      </c>
      <c r="T55" s="24" t="inlineStr">
        <is>
          <t>tennis-surface-elo-v1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/>
      <c r="AA55" s="28" t="n"/>
      <c r="AB55" s="28" t="n"/>
      <c r="AC55" s="30" t="n">
        <v>-2</v>
      </c>
      <c r="AD55" s="24" t="inlineStr">
        <is>
          <t>2026-07-30T04:12:58.807246Z</t>
        </is>
      </c>
      <c r="AE55" s="31" t="inlineStr">
        <is>
          <t>Surface-blended Elo on Hard: Renata Zarazua p=0.295 vs Tatjana Maria. Executable ask 0.6000 (aec-wta-tatmar-renzar-2026-07-29).</t>
        </is>
      </c>
      <c r="AF55" s="31" t="inlineStr">
        <is>
          <t>Research-only surface-blended Elo model; singles only, WTA-only market coverage,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Renata Zarazua</t>
        </is>
      </c>
      <c r="AQ55" s="24" t="inlineStr">
        <is>
          <t>Renata Zarazua</t>
        </is>
      </c>
      <c r="AR55" s="24" t="inlineStr">
        <is>
          <t>Renata Zarazua</t>
        </is>
      </c>
      <c r="AS55" s="24" t="inlineStr">
        <is>
          <t>Tatjana Maria</t>
        </is>
      </c>
      <c r="AT55" s="24" t="inlineStr">
        <is>
          <t>Tatjana Maria</t>
        </is>
      </c>
      <c r="AU55" s="24" t="inlineStr">
        <is>
          <t>Tatjana Maria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73429bd71f12304106b9ffb751bd50617d5109d487f00de7ae2732f60e779590</t>
        </is>
      </c>
      <c r="BB55" s="24" t="inlineStr">
        <is>
          <t>surface_blended_elo</t>
        </is>
      </c>
      <c r="BC55" s="24" t="inlineStr">
        <is>
          <t>tennis-surface-elo-v1</t>
        </is>
      </c>
      <c r="BD55" s="24" t="inlineStr">
        <is>
          <t>73429bd71f12304106b9ffb751bd50617d5109d487f00de7ae2732f60e779590</t>
        </is>
      </c>
      <c r="BE55" s="24" t="inlineStr">
        <is>
          <t>tennis-surface-elo-v1</t>
        </is>
      </c>
      <c r="BF55" s="24" t="inlineStr">
        <is>
          <t>1</t>
        </is>
      </c>
      <c r="BG55" s="24" t="inlineStr">
        <is>
          <t>73429bd71f12304106b9ffb751bd50617d5109d487f00de7ae2732f60e779590</t>
        </is>
      </c>
      <c r="BH55" s="24" t="inlineStr">
        <is>
          <t>2026-07-29T17:43:33.953536Z</t>
        </is>
      </c>
      <c r="BI55" s="24" t="inlineStr">
        <is>
          <t>["same_event","same_team_same_day","same_league_same_day"]</t>
        </is>
      </c>
      <c r="BJ55" s="25" t="n"/>
      <c r="BK55" s="26" t="n">
        <v>-150</v>
      </c>
      <c r="BL55" s="27" t="n">
        <v>1.666667</v>
      </c>
      <c r="BM55" s="28" t="n">
        <v>0.6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e9efa0767df14a0e</t>
        </is>
      </c>
      <c r="B56" s="24" t="inlineStr">
        <is>
          <t>2026-07-30T07:22:18.156139Z</t>
        </is>
      </c>
      <c r="C56" s="24" t="inlineStr">
        <is>
          <t>2026-07-30T09:00Z</t>
        </is>
      </c>
      <c r="D56" s="24" t="inlineStr">
        <is>
          <t>1073-2026:179599</t>
        </is>
      </c>
      <c r="E56" s="24" t="inlineStr">
        <is>
          <t>TENNIS</t>
        </is>
      </c>
      <c r="F56" s="24" t="inlineStr">
        <is>
          <t>Mia Ristic</t>
        </is>
      </c>
      <c r="G56" s="24" t="inlineStr">
        <is>
          <t>Yelyzaveta Kotliar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400</v>
      </c>
      <c r="M56" s="27" t="n">
        <v>5</v>
      </c>
      <c r="N56" s="28" t="n">
        <v>0.2</v>
      </c>
      <c r="O56" s="28" t="n">
        <v>0.5190669999999999</v>
      </c>
      <c r="P56" s="28" t="n">
        <v>0.05</v>
      </c>
      <c r="Q56" s="28" t="n">
        <v>0.319067</v>
      </c>
      <c r="R56" s="26" t="n">
        <v>100</v>
      </c>
      <c r="S56" s="29" t="n">
        <v>1</v>
      </c>
      <c r="T56" s="24" t="inlineStr">
        <is>
          <t>tennis-surface-elo-v1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2026-07-30T13:30:54.966484Z</t>
        </is>
      </c>
      <c r="AE56" s="31" t="inlineStr">
        <is>
          <t>Surface-blended Elo on Hard: Mia Ristic p=0.481 vs Yelyzaveta Kotliar. Executable ask 0.2000 (aec-wta-yelkot-miaris-2026-07-29).</t>
        </is>
      </c>
      <c r="AF56" s="31" t="inlineStr">
        <is>
          <t>Research-only surface-blended Elo model; singles only, WTA-only market coverage,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Mia Ristic</t>
        </is>
      </c>
      <c r="AQ56" s="24" t="inlineStr">
        <is>
          <t>Mia Ristic</t>
        </is>
      </c>
      <c r="AR56" s="24" t="inlineStr">
        <is>
          <t>Mia Ristic</t>
        </is>
      </c>
      <c r="AS56" s="24" t="inlineStr">
        <is>
          <t>Yelyzaveta Kotliar</t>
        </is>
      </c>
      <c r="AT56" s="24" t="inlineStr">
        <is>
          <t>Yelyzaveta Kotliar</t>
        </is>
      </c>
      <c r="AU56" s="24" t="inlineStr">
        <is>
          <t>Yelyzaveta Kotliar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73429bd71f12304106b9ffb751bd50617d5109d487f00de7ae2732f60e779590</t>
        </is>
      </c>
      <c r="BB56" s="24" t="inlineStr">
        <is>
          <t>surface_blended_elo</t>
        </is>
      </c>
      <c r="BC56" s="24" t="inlineStr">
        <is>
          <t>tennis-surface-elo-v1</t>
        </is>
      </c>
      <c r="BD56" s="24" t="inlineStr">
        <is>
          <t>73429bd71f12304106b9ffb751bd50617d5109d487f00de7ae2732f60e779590</t>
        </is>
      </c>
      <c r="BE56" s="24" t="inlineStr">
        <is>
          <t>tennis-surface-elo-v1</t>
        </is>
      </c>
      <c r="BF56" s="24" t="inlineStr">
        <is>
          <t>1</t>
        </is>
      </c>
      <c r="BG56" s="24" t="inlineStr">
        <is>
          <t>73429bd71f12304106b9ffb751bd50617d5109d487f00de7ae2732f60e779590</t>
        </is>
      </c>
      <c r="BH56" s="24" t="inlineStr">
        <is>
          <t>2026-07-30T07:20:24.446685Z</t>
        </is>
      </c>
      <c r="BI56" s="24" t="inlineStr">
        <is>
          <t>["same_event","same_team_same_day","same_league_same_day"]</t>
        </is>
      </c>
      <c r="BJ56" s="25" t="n"/>
      <c r="BK56" s="26" t="n">
        <v>400</v>
      </c>
      <c r="BL56" s="27" t="n">
        <v>5</v>
      </c>
      <c r="BM56" s="28" t="n">
        <v>0.2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1f481c16c7a6423b</t>
        </is>
      </c>
      <c r="B57" s="24" t="inlineStr">
        <is>
          <t>2026-07-30T10:28:05.385402Z</t>
        </is>
      </c>
      <c r="C57" s="24" t="inlineStr">
        <is>
          <t>2026-07-30T10:30Z</t>
        </is>
      </c>
      <c r="D57" s="24" t="inlineStr">
        <is>
          <t>1073-2026:183178</t>
        </is>
      </c>
      <c r="E57" s="24" t="inlineStr">
        <is>
          <t>TENNIS</t>
        </is>
      </c>
      <c r="F57" s="24" t="inlineStr">
        <is>
          <t>Anastasiia Sobolieva</t>
        </is>
      </c>
      <c r="G57" s="24" t="inlineStr">
        <is>
          <t>Laura Samson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-104</v>
      </c>
      <c r="M57" s="27" t="n">
        <v>1.961538</v>
      </c>
      <c r="N57" s="28" t="n">
        <v>0.509804</v>
      </c>
      <c r="O57" s="28" t="n">
        <v>0.6387119999999999</v>
      </c>
      <c r="P57" s="28" t="n">
        <v>0.05</v>
      </c>
      <c r="Q57" s="28" t="n">
        <v>0.128908</v>
      </c>
      <c r="R57" s="26" t="n">
        <v>84</v>
      </c>
      <c r="S57" s="29" t="n">
        <v>1.5</v>
      </c>
      <c r="T57" s="24" t="inlineStr">
        <is>
          <t>tennis-surface-elo-v1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/>
      <c r="AA57" s="28" t="n"/>
      <c r="AB57" s="28" t="n"/>
      <c r="AC57" s="30" t="n">
        <v>1.4423</v>
      </c>
      <c r="AD57" s="24" t="inlineStr">
        <is>
          <t>2026-07-30T13:30:55.251503Z</t>
        </is>
      </c>
      <c r="AE57" s="31" t="inlineStr">
        <is>
          <t>Surface-blended Elo on Hard: Anastasiia Sobolieva p=0.361 vs Laura Samson. Executable ask 0.5100 (aec-wta-lausam-anasob-2026-07-29).</t>
        </is>
      </c>
      <c r="AF57" s="31" t="inlineStr">
        <is>
          <t>Research-only surface-blended Elo model; singles only, WTA-only market coverage,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Anastasiia Sobolieva</t>
        </is>
      </c>
      <c r="AQ57" s="24" t="inlineStr">
        <is>
          <t>Anastasiia Sobolieva</t>
        </is>
      </c>
      <c r="AR57" s="24" t="inlineStr">
        <is>
          <t>Anastasiia Sobolieva</t>
        </is>
      </c>
      <c r="AS57" s="24" t="inlineStr">
        <is>
          <t>Laura Samson</t>
        </is>
      </c>
      <c r="AT57" s="24" t="inlineStr">
        <is>
          <t>Laura Samson</t>
        </is>
      </c>
      <c r="AU57" s="24" t="inlineStr">
        <is>
          <t>Laura Samson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73429bd71f12304106b9ffb751bd50617d5109d487f00de7ae2732f60e779590</t>
        </is>
      </c>
      <c r="BB57" s="24" t="inlineStr">
        <is>
          <t>surface_blended_elo</t>
        </is>
      </c>
      <c r="BC57" s="24" t="inlineStr">
        <is>
          <t>tennis-surface-elo-v1</t>
        </is>
      </c>
      <c r="BD57" s="24" t="inlineStr">
        <is>
          <t>73429bd71f12304106b9ffb751bd50617d5109d487f00de7ae2732f60e779590</t>
        </is>
      </c>
      <c r="BE57" s="24" t="inlineStr">
        <is>
          <t>tennis-surface-elo-v1</t>
        </is>
      </c>
      <c r="BF57" s="24" t="inlineStr">
        <is>
          <t>1</t>
        </is>
      </c>
      <c r="BG57" s="24" t="inlineStr">
        <is>
          <t>73429bd71f12304106b9ffb751bd50617d5109d487f00de7ae2732f60e779590</t>
        </is>
      </c>
      <c r="BH57" s="24" t="inlineStr">
        <is>
          <t>2026-07-30T10:25:57.623656Z</t>
        </is>
      </c>
      <c r="BI57" s="24" t="inlineStr">
        <is>
          <t>["same_event","same_team_same_day","same_league_same_day"]</t>
        </is>
      </c>
      <c r="BJ57" s="25" t="n"/>
      <c r="BK57" s="26" t="n">
        <v>-104</v>
      </c>
      <c r="BL57" s="27" t="n">
        <v>1.961538</v>
      </c>
      <c r="BM57" s="28" t="n">
        <v>0.509804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e9929ceab6c14c67</t>
        </is>
      </c>
      <c r="B58" s="24" t="inlineStr">
        <is>
          <t>2026-07-30T13:33:53.663155Z</t>
        </is>
      </c>
      <c r="C58" s="24" t="inlineStr">
        <is>
          <t>2026-07-30T16:00Z</t>
        </is>
      </c>
      <c r="D58" s="24" t="inlineStr">
        <is>
          <t>1067-2026:179440</t>
        </is>
      </c>
      <c r="E58" s="24" t="inlineStr">
        <is>
          <t>TENNIS</t>
        </is>
      </c>
      <c r="F58" s="24" t="inlineStr">
        <is>
          <t>Maya Joint</t>
        </is>
      </c>
      <c r="G58" s="24" t="inlineStr">
        <is>
          <t>Kristina Liutova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-150</v>
      </c>
      <c r="M58" s="27" t="n">
        <v>1.666667</v>
      </c>
      <c r="N58" s="28" t="n">
        <v>0.6</v>
      </c>
      <c r="O58" s="28" t="n">
        <v>0.582815</v>
      </c>
      <c r="P58" s="28" t="n">
        <v>0.05</v>
      </c>
      <c r="Q58" s="28" t="n">
        <v>-0.017185</v>
      </c>
      <c r="R58" s="26" t="n">
        <v>11</v>
      </c>
      <c r="S58" s="29" t="n">
        <v>1.25</v>
      </c>
      <c r="T58" s="24" t="inlineStr">
        <is>
          <t>tennis-surface-elo-v1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-1.25</v>
      </c>
      <c r="AD58" s="24" t="inlineStr">
        <is>
          <t>2026-07-30T21:06:27.328889Z</t>
        </is>
      </c>
      <c r="AE58" s="31" t="inlineStr">
        <is>
          <t>Surface-blended Elo on Hard: Maya Joint p=0.583 vs Kristina Liutova. Executable ask 0.6000 (aec-wta-kriliu-mayjoi-2026-07-28).</t>
        </is>
      </c>
      <c r="AF58" s="31" t="inlineStr">
        <is>
          <t>Research-only surface-blended Elo model; singles only, WTA-only market coverage,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Maya Joint</t>
        </is>
      </c>
      <c r="AQ58" s="24" t="inlineStr">
        <is>
          <t>Maya Joint</t>
        </is>
      </c>
      <c r="AR58" s="24" t="inlineStr">
        <is>
          <t>Maya Joint</t>
        </is>
      </c>
      <c r="AS58" s="24" t="inlineStr">
        <is>
          <t>Kristina Liutova</t>
        </is>
      </c>
      <c r="AT58" s="24" t="inlineStr">
        <is>
          <t>Kristina Liutova</t>
        </is>
      </c>
      <c r="AU58" s="24" t="inlineStr">
        <is>
          <t>Kristina Liutova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73429bd71f12304106b9ffb751bd50617d5109d487f00de7ae2732f60e779590</t>
        </is>
      </c>
      <c r="BB58" s="24" t="inlineStr">
        <is>
          <t>surface_blended_elo</t>
        </is>
      </c>
      <c r="BC58" s="24" t="inlineStr">
        <is>
          <t>tennis-surface-elo-v1</t>
        </is>
      </c>
      <c r="BD58" s="24" t="inlineStr">
        <is>
          <t>73429bd71f12304106b9ffb751bd50617d5109d487f00de7ae2732f60e779590</t>
        </is>
      </c>
      <c r="BE58" s="24" t="inlineStr">
        <is>
          <t>tennis-surface-elo-v1</t>
        </is>
      </c>
      <c r="BF58" s="24" t="inlineStr">
        <is>
          <t>1</t>
        </is>
      </c>
      <c r="BG58" s="24" t="inlineStr">
        <is>
          <t>73429bd71f12304106b9ffb751bd50617d5109d487f00de7ae2732f60e779590</t>
        </is>
      </c>
      <c r="BH58" s="24" t="inlineStr">
        <is>
          <t>2026-07-30T13:31:49.488352Z</t>
        </is>
      </c>
      <c r="BI58" s="24" t="inlineStr">
        <is>
          <t>["same_event","same_team_same_day","same_league_same_day"]</t>
        </is>
      </c>
      <c r="BJ58" s="25" t="n"/>
      <c r="BK58" s="26" t="n">
        <v>-150</v>
      </c>
      <c r="BL58" s="27" t="n">
        <v>1.666667</v>
      </c>
      <c r="BM58" s="28" t="n">
        <v>0.6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ac191e99e8dd4155</t>
        </is>
      </c>
      <c r="B59" s="24" t="inlineStr">
        <is>
          <t>2026-07-30T13:33:53.663155Z</t>
        </is>
      </c>
      <c r="C59" s="24" t="inlineStr">
        <is>
          <t>2026-07-30T14:00Z</t>
        </is>
      </c>
      <c r="D59" s="24" t="inlineStr">
        <is>
          <t>1073-2026:179601</t>
        </is>
      </c>
      <c r="E59" s="24" t="inlineStr">
        <is>
          <t>TENNIS</t>
        </is>
      </c>
      <c r="F59" s="24" t="inlineStr">
        <is>
          <t>Lucia Bronzetti</t>
        </is>
      </c>
      <c r="G59" s="24" t="inlineStr">
        <is>
          <t>Alevtina Ibragimova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0.579964</v>
      </c>
      <c r="P59" s="28" t="n">
        <v>0.05</v>
      </c>
      <c r="Q59" s="28" t="n">
        <v>-0.070386</v>
      </c>
      <c r="R59" s="26" t="n">
        <v>0</v>
      </c>
      <c r="S59" s="29" t="n">
        <v>1.25</v>
      </c>
      <c r="T59" s="24" t="inlineStr">
        <is>
          <t>tennis-surface-elo-v1</t>
        </is>
      </c>
      <c r="U59" s="24" t="inlineStr">
        <is>
          <t>settled</t>
        </is>
      </c>
      <c r="V59" s="24" t="inlineStr">
        <is>
          <t>win</t>
        </is>
      </c>
      <c r="W59" s="26" t="n">
        <v>1</v>
      </c>
      <c r="X59" s="26" t="n">
        <v>0</v>
      </c>
      <c r="Y59" s="25" t="n"/>
      <c r="Z59" s="26" t="n"/>
      <c r="AA59" s="28" t="n"/>
      <c r="AB59" s="28" t="n"/>
      <c r="AC59" s="30" t="n">
        <v>0.672</v>
      </c>
      <c r="AD59" s="24" t="inlineStr">
        <is>
          <t>2026-07-30T16:36:51.092247Z</t>
        </is>
      </c>
      <c r="AE59" s="31" t="inlineStr">
        <is>
          <t>Surface-blended Elo on Hard: Lucia Bronzetti p=0.580 vs Alevtina Ibragimova. Executable ask 0.6500 (aec-wta-aleibr-lucbro-2026-07-29).</t>
        </is>
      </c>
      <c r="AF59" s="31" t="inlineStr">
        <is>
          <t>Research-only surface-blended Elo model; singles only, WTA-only market coverage,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Lucia Bronzetti</t>
        </is>
      </c>
      <c r="AQ59" s="24" t="inlineStr">
        <is>
          <t>Lucia Bronzetti</t>
        </is>
      </c>
      <c r="AR59" s="24" t="inlineStr">
        <is>
          <t>Lucia Bronzetti</t>
        </is>
      </c>
      <c r="AS59" s="24" t="inlineStr">
        <is>
          <t>Alevtina Ibragimova</t>
        </is>
      </c>
      <c r="AT59" s="24" t="inlineStr">
        <is>
          <t>Alevtina Ibragimova</t>
        </is>
      </c>
      <c r="AU59" s="24" t="inlineStr">
        <is>
          <t>Alevtina Ibragimova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73429bd71f12304106b9ffb751bd50617d5109d487f00de7ae2732f60e779590</t>
        </is>
      </c>
      <c r="BB59" s="24" t="inlineStr">
        <is>
          <t>surface_blended_elo</t>
        </is>
      </c>
      <c r="BC59" s="24" t="inlineStr">
        <is>
          <t>tennis-surface-elo-v1</t>
        </is>
      </c>
      <c r="BD59" s="24" t="inlineStr">
        <is>
          <t>73429bd71f12304106b9ffb751bd50617d5109d487f00de7ae2732f60e779590</t>
        </is>
      </c>
      <c r="BE59" s="24" t="inlineStr">
        <is>
          <t>tennis-surface-elo-v1</t>
        </is>
      </c>
      <c r="BF59" s="24" t="inlineStr">
        <is>
          <t>1</t>
        </is>
      </c>
      <c r="BG59" s="24" t="inlineStr">
        <is>
          <t>73429bd71f12304106b9ffb751bd50617d5109d487f00de7ae2732f60e779590</t>
        </is>
      </c>
      <c r="BH59" s="24" t="inlineStr">
        <is>
          <t>2026-07-30T13:31:49.448060Z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6d53fafea44848d1</t>
        </is>
      </c>
      <c r="B60" s="24" t="inlineStr">
        <is>
          <t>2026-07-30T16:53:01.133141Z</t>
        </is>
      </c>
      <c r="C60" s="24" t="inlineStr">
        <is>
          <t>2026-07-30T17:00Z</t>
        </is>
      </c>
      <c r="D60" s="24" t="inlineStr">
        <is>
          <t>888-2026:179021</t>
        </is>
      </c>
      <c r="E60" s="24" t="inlineStr">
        <is>
          <t>TENNIS</t>
        </is>
      </c>
      <c r="F60" s="24" t="inlineStr">
        <is>
          <t>Anna Kalinskaya</t>
        </is>
      </c>
      <c r="G60" s="24" t="inlineStr">
        <is>
          <t>Janice Tjen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-257</v>
      </c>
      <c r="M60" s="27" t="n">
        <v>1.389105</v>
      </c>
      <c r="N60" s="28" t="n">
        <v>0.719888</v>
      </c>
      <c r="O60" s="28" t="n">
        <v>0.711749</v>
      </c>
      <c r="P60" s="28" t="n">
        <v>0.05</v>
      </c>
      <c r="Q60" s="28" t="n">
        <v>-0.008139</v>
      </c>
      <c r="R60" s="26" t="n">
        <v>16</v>
      </c>
      <c r="S60" s="29" t="n">
        <v>2</v>
      </c>
      <c r="T60" s="24" t="inlineStr">
        <is>
          <t>tennis-surface-elo-v1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0.7782</v>
      </c>
      <c r="AD60" s="24" t="inlineStr">
        <is>
          <t>2026-07-30T21:06:27.521597Z</t>
        </is>
      </c>
      <c r="AE60" s="31" t="inlineStr">
        <is>
          <t>Surface-blended Elo on Hard: Anna Kalinskaya p=0.712 vs Janice Tjen. Executable ask 0.7200 (aec-wta-jantje-annkal-2026-07-29).</t>
        </is>
      </c>
      <c r="AF60" s="31" t="inlineStr">
        <is>
          <t>Research-only surface-blended Elo model; singles only, WTA-only market coverage,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Anna Kalinskaya</t>
        </is>
      </c>
      <c r="AQ60" s="24" t="inlineStr">
        <is>
          <t>Anna Kalinskaya</t>
        </is>
      </c>
      <c r="AR60" s="24" t="inlineStr">
        <is>
          <t>Anna Kalinskaya</t>
        </is>
      </c>
      <c r="AS60" s="24" t="inlineStr">
        <is>
          <t>Janice Tjen</t>
        </is>
      </c>
      <c r="AT60" s="24" t="inlineStr">
        <is>
          <t>Janice Tjen</t>
        </is>
      </c>
      <c r="AU60" s="24" t="inlineStr">
        <is>
          <t>Janice Tjen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73429bd71f12304106b9ffb751bd50617d5109d487f00de7ae2732f60e779590</t>
        </is>
      </c>
      <c r="BB60" s="24" t="inlineStr">
        <is>
          <t>surface_blended_elo</t>
        </is>
      </c>
      <c r="BC60" s="24" t="inlineStr">
        <is>
          <t>tennis-surface-elo-v1</t>
        </is>
      </c>
      <c r="BD60" s="24" t="inlineStr">
        <is>
          <t>73429bd71f12304106b9ffb751bd50617d5109d487f00de7ae2732f60e779590</t>
        </is>
      </c>
      <c r="BE60" s="24" t="inlineStr">
        <is>
          <t>tennis-surface-elo-v1</t>
        </is>
      </c>
      <c r="BF60" s="24" t="inlineStr">
        <is>
          <t>1</t>
        </is>
      </c>
      <c r="BG60" s="24" t="inlineStr">
        <is>
          <t>73429bd71f12304106b9ffb751bd50617d5109d487f00de7ae2732f60e779590</t>
        </is>
      </c>
      <c r="BH60" s="24" t="inlineStr">
        <is>
          <t>2026-07-30T16:50:51.570342Z</t>
        </is>
      </c>
      <c r="BI60" s="24" t="inlineStr">
        <is>
          <t>["same_event","same_team_same_day","same_league_same_day"]</t>
        </is>
      </c>
      <c r="BJ60" s="25" t="n"/>
      <c r="BK60" s="26" t="n">
        <v>-257</v>
      </c>
      <c r="BL60" s="27" t="n">
        <v>1.389105</v>
      </c>
      <c r="BM60" s="28" t="n">
        <v>0.719888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7c0cf703c2d9484e</t>
        </is>
      </c>
      <c r="B61" s="24" t="inlineStr">
        <is>
          <t>2026-07-30T17:37:43.528029Z</t>
        </is>
      </c>
      <c r="C61" s="24" t="inlineStr">
        <is>
          <t>2026-07-30T18:30Z</t>
        </is>
      </c>
      <c r="D61" s="24" t="inlineStr">
        <is>
          <t>875-2026:179558</t>
        </is>
      </c>
      <c r="E61" s="24" t="inlineStr">
        <is>
          <t>TENNIS</t>
        </is>
      </c>
      <c r="F61" s="24" t="inlineStr">
        <is>
          <t>Himeno Sakatsume</t>
        </is>
      </c>
      <c r="G61" s="24" t="inlineStr">
        <is>
          <t>Mai Hontama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0.5652740000000001</v>
      </c>
      <c r="P61" s="28" t="n">
        <v>0.05</v>
      </c>
      <c r="Q61" s="28" t="n">
        <v>0.09579</v>
      </c>
      <c r="R61" s="26" t="n">
        <v>68</v>
      </c>
      <c r="S61" s="29" t="n">
        <v>1</v>
      </c>
      <c r="T61" s="24" t="inlineStr">
        <is>
          <t>tennis-surface-elo-v1</t>
        </is>
      </c>
      <c r="U61" s="24" t="inlineStr">
        <is>
          <t>settled</t>
        </is>
      </c>
      <c r="V61" s="24" t="inlineStr">
        <is>
          <t>loss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2026-07-30T21:06:27.713325Z</t>
        </is>
      </c>
      <c r="AE61" s="31" t="inlineStr">
        <is>
          <t>Surface-blended Elo on Hard: Himeno Sakatsume p=0.565 vs Mai Hontama. Executable ask 0.4700 (aec-wta-maihon-himsak-2026-07-31).</t>
        </is>
      </c>
      <c r="AF61" s="31" t="inlineStr">
        <is>
          <t>Research-only surface-blended Elo model; singles only, WTA-only market coverage,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Himeno Sakatsume</t>
        </is>
      </c>
      <c r="AQ61" s="24" t="inlineStr">
        <is>
          <t>Himeno Sakatsume</t>
        </is>
      </c>
      <c r="AR61" s="24" t="inlineStr">
        <is>
          <t>Himeno Sakatsume</t>
        </is>
      </c>
      <c r="AS61" s="24" t="inlineStr">
        <is>
          <t>Mai Hontama</t>
        </is>
      </c>
      <c r="AT61" s="24" t="inlineStr">
        <is>
          <t>Mai Hontama</t>
        </is>
      </c>
      <c r="AU61" s="24" t="inlineStr">
        <is>
          <t>Mai Hontama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73429bd71f12304106b9ffb751bd50617d5109d487f00de7ae2732f60e779590</t>
        </is>
      </c>
      <c r="BB61" s="24" t="inlineStr">
        <is>
          <t>surface_blended_elo</t>
        </is>
      </c>
      <c r="BC61" s="24" t="inlineStr">
        <is>
          <t>tennis-surface-elo-v1</t>
        </is>
      </c>
      <c r="BD61" s="24" t="inlineStr">
        <is>
          <t>73429bd71f12304106b9ffb751bd50617d5109d487f00de7ae2732f60e779590</t>
        </is>
      </c>
      <c r="BE61" s="24" t="inlineStr">
        <is>
          <t>tennis-surface-elo-v1</t>
        </is>
      </c>
      <c r="BF61" s="24" t="inlineStr">
        <is>
          <t>1</t>
        </is>
      </c>
      <c r="BG61" s="24" t="inlineStr">
        <is>
          <t>73429bd71f12304106b9ffb751bd50617d5109d487f00de7ae2732f60e779590</t>
        </is>
      </c>
      <c r="BH61" s="24" t="inlineStr">
        <is>
          <t>2026-07-30T17:35:52.310964Z</t>
        </is>
      </c>
      <c r="BI61" s="24" t="inlineStr">
        <is>
          <t>["same_event","same_team_same_day","same_league_same_day"]</t>
        </is>
      </c>
      <c r="BJ61" s="25" t="n"/>
      <c r="BK61" s="26" t="n">
        <v>113</v>
      </c>
      <c r="BL61" s="27" t="n">
        <v>2.13</v>
      </c>
      <c r="BM61" s="28" t="n">
        <v>0.469484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f437f6de19cd4aed</t>
        </is>
      </c>
      <c r="B62" s="24" t="inlineStr">
        <is>
          <t>2026-07-30T17:37:43.528029Z</t>
        </is>
      </c>
      <c r="C62" s="24" t="inlineStr">
        <is>
          <t>2026-07-30T18:30Z</t>
        </is>
      </c>
      <c r="D62" s="24" t="inlineStr">
        <is>
          <t>875-2026:179559</t>
        </is>
      </c>
      <c r="E62" s="24" t="inlineStr">
        <is>
          <t>TENNIS</t>
        </is>
      </c>
      <c r="F62" s="24" t="inlineStr">
        <is>
          <t>Maddison Inglis</t>
        </is>
      </c>
      <c r="G62" s="24" t="inlineStr">
        <is>
          <t>Moyuka Uchijima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-138</v>
      </c>
      <c r="M62" s="27" t="n">
        <v>1.724638</v>
      </c>
      <c r="N62" s="28" t="n">
        <v>0.579832</v>
      </c>
      <c r="O62" s="28" t="n">
        <v>0.555657</v>
      </c>
      <c r="P62" s="28" t="n">
        <v>0.05</v>
      </c>
      <c r="Q62" s="28" t="n">
        <v>-0.024175</v>
      </c>
      <c r="R62" s="26" t="n">
        <v>8</v>
      </c>
      <c r="S62" s="29" t="n">
        <v>1</v>
      </c>
      <c r="T62" s="24" t="inlineStr">
        <is>
          <t>tennis-surface-elo-v1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-1</v>
      </c>
      <c r="AD62" s="24" t="inlineStr">
        <is>
          <t>2026-07-30T21:06:27.904521Z</t>
        </is>
      </c>
      <c r="AE62" s="31" t="inlineStr">
        <is>
          <t>Surface-blended Elo on Hard: Maddison Inglis p=0.444 vs Moyuka Uchijima. Executable ask 0.5800 (aec-wta-moyuch-mading-2026-07-30).</t>
        </is>
      </c>
      <c r="AF62" s="31" t="inlineStr">
        <is>
          <t>Research-only surface-blended Elo model; singles only, WTA-only market coverage,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Maddison Inglis</t>
        </is>
      </c>
      <c r="AQ62" s="24" t="inlineStr">
        <is>
          <t>Maddison Inglis</t>
        </is>
      </c>
      <c r="AR62" s="24" t="inlineStr">
        <is>
          <t>Maddison Inglis</t>
        </is>
      </c>
      <c r="AS62" s="24" t="inlineStr">
        <is>
          <t>Moyuka Uchijima</t>
        </is>
      </c>
      <c r="AT62" s="24" t="inlineStr">
        <is>
          <t>Moyuka Uchijima</t>
        </is>
      </c>
      <c r="AU62" s="24" t="inlineStr">
        <is>
          <t>Moyuka Uchijima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73429bd71f12304106b9ffb751bd50617d5109d487f00de7ae2732f60e779590</t>
        </is>
      </c>
      <c r="BB62" s="24" t="inlineStr">
        <is>
          <t>surface_blended_elo</t>
        </is>
      </c>
      <c r="BC62" s="24" t="inlineStr">
        <is>
          <t>tennis-surface-elo-v1</t>
        </is>
      </c>
      <c r="BD62" s="24" t="inlineStr">
        <is>
          <t>73429bd71f12304106b9ffb751bd50617d5109d487f00de7ae2732f60e779590</t>
        </is>
      </c>
      <c r="BE62" s="24" t="inlineStr">
        <is>
          <t>tennis-surface-elo-v1</t>
        </is>
      </c>
      <c r="BF62" s="24" t="inlineStr">
        <is>
          <t>1</t>
        </is>
      </c>
      <c r="BG62" s="24" t="inlineStr">
        <is>
          <t>73429bd71f12304106b9ffb751bd50617d5109d487f00de7ae2732f60e779590</t>
        </is>
      </c>
      <c r="BH62" s="24" t="inlineStr">
        <is>
          <t>2026-07-30T17:35:52.319608Z</t>
        </is>
      </c>
      <c r="BI62" s="24" t="inlineStr">
        <is>
          <t>["same_event","same_team_same_day","same_league_same_day"]</t>
        </is>
      </c>
      <c r="BJ62" s="25" t="n"/>
      <c r="BK62" s="26" t="n">
        <v>-138</v>
      </c>
      <c r="BL62" s="27" t="n">
        <v>1.724638</v>
      </c>
      <c r="BM62" s="28" t="n">
        <v>0.579832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c7d10b6b4dac4a9a</t>
        </is>
      </c>
      <c r="B63" s="24" t="inlineStr">
        <is>
          <t>2026-07-30T17:37:43.528029Z</t>
        </is>
      </c>
      <c r="C63" s="24" t="inlineStr">
        <is>
          <t>2026-07-30T19:30Z</t>
        </is>
      </c>
      <c r="D63" s="24" t="inlineStr">
        <is>
          <t>875-2026:179557</t>
        </is>
      </c>
      <c r="E63" s="24" t="inlineStr">
        <is>
          <t>TENNIS</t>
        </is>
      </c>
      <c r="F63" s="24" t="inlineStr">
        <is>
          <t>Taylah Preston</t>
        </is>
      </c>
      <c r="G63" s="24" t="inlineStr">
        <is>
          <t>Harriet Dart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0.532721</v>
      </c>
      <c r="P63" s="28" t="n">
        <v>0.05</v>
      </c>
      <c r="Q63" s="28" t="n">
        <v>-0.00645</v>
      </c>
      <c r="R63" s="26" t="n">
        <v>17</v>
      </c>
      <c r="S63" s="29" t="n">
        <v>1</v>
      </c>
      <c r="T63" s="24" t="inlineStr">
        <is>
          <t>tennis-surface-elo-v1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0</v>
      </c>
      <c r="Y63" s="25" t="n"/>
      <c r="Z63" s="26" t="n"/>
      <c r="AA63" s="28" t="n"/>
      <c r="AB63" s="28" t="n"/>
      <c r="AC63" s="30" t="n">
        <v>0.8547</v>
      </c>
      <c r="AD63" s="24" t="inlineStr">
        <is>
          <t>2026-07-31T00:55:25.037636Z</t>
        </is>
      </c>
      <c r="AE63" s="31" t="inlineStr">
        <is>
          <t>Surface-blended Elo on Hard: Taylah Preston p=0.533 vs Harriet Dart. Executable ask 0.5400 (aec-wta-hardar-taypre-2026-07-31).</t>
        </is>
      </c>
      <c r="AF63" s="31" t="inlineStr">
        <is>
          <t>Research-only surface-blended Elo model; singles only, WTA-only market coverage, not yet locked-holdout qualified.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Taylah Preston</t>
        </is>
      </c>
      <c r="AQ63" s="24" t="inlineStr">
        <is>
          <t>Taylah Preston</t>
        </is>
      </c>
      <c r="AR63" s="24" t="inlineStr">
        <is>
          <t>Taylah Preston</t>
        </is>
      </c>
      <c r="AS63" s="24" t="inlineStr">
        <is>
          <t>Harriet Dart</t>
        </is>
      </c>
      <c r="AT63" s="24" t="inlineStr">
        <is>
          <t>Harriet Dart</t>
        </is>
      </c>
      <c r="AU63" s="24" t="inlineStr">
        <is>
          <t>Harriet Dart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73429bd71f12304106b9ffb751bd50617d5109d487f00de7ae2732f60e779590</t>
        </is>
      </c>
      <c r="BB63" s="24" t="inlineStr">
        <is>
          <t>surface_blended_elo</t>
        </is>
      </c>
      <c r="BC63" s="24" t="inlineStr">
        <is>
          <t>tennis-surface-elo-v1</t>
        </is>
      </c>
      <c r="BD63" s="24" t="inlineStr">
        <is>
          <t>73429bd71f12304106b9ffb751bd50617d5109d487f00de7ae2732f60e779590</t>
        </is>
      </c>
      <c r="BE63" s="24" t="inlineStr">
        <is>
          <t>tennis-surface-elo-v1</t>
        </is>
      </c>
      <c r="BF63" s="24" t="inlineStr">
        <is>
          <t>1</t>
        </is>
      </c>
      <c r="BG63" s="24" t="inlineStr">
        <is>
          <t>73429bd71f12304106b9ffb751bd50617d5109d487f00de7ae2732f60e779590</t>
        </is>
      </c>
      <c r="BH63" s="24" t="inlineStr">
        <is>
          <t>2026-07-30T17:35:56.111877Z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c5ea892809844fc3</t>
        </is>
      </c>
      <c r="B64" s="24" t="inlineStr">
        <is>
          <t>2026-07-30T17:37:43.528029Z</t>
        </is>
      </c>
      <c r="C64" s="24" t="inlineStr">
        <is>
          <t>2026-07-30T19:00Z</t>
        </is>
      </c>
      <c r="D64" s="24" t="inlineStr">
        <is>
          <t>888-2026:179023</t>
        </is>
      </c>
      <c r="E64" s="24" t="inlineStr">
        <is>
          <t>TENNIS</t>
        </is>
      </c>
      <c r="F64" s="24" t="inlineStr">
        <is>
          <t>Magdalena Frech</t>
        </is>
      </c>
      <c r="G64" s="24" t="inlineStr">
        <is>
          <t>Jessica Pegula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-900</v>
      </c>
      <c r="M64" s="27" t="n">
        <v>1.111111</v>
      </c>
      <c r="N64" s="28" t="n">
        <v>0.9</v>
      </c>
      <c r="O64" s="28" t="n">
        <v>0.9137729999999999</v>
      </c>
      <c r="P64" s="28" t="n">
        <v>0.05</v>
      </c>
      <c r="Q64" s="28" t="n">
        <v>0.013773</v>
      </c>
      <c r="R64" s="26" t="n">
        <v>27</v>
      </c>
      <c r="S64" s="29" t="n">
        <v>2</v>
      </c>
      <c r="T64" s="24" t="inlineStr">
        <is>
          <t>tennis-surface-elo-v1</t>
        </is>
      </c>
      <c r="U64" s="24" t="inlineStr">
        <is>
          <t>settled</t>
        </is>
      </c>
      <c r="V64" s="24" t="inlineStr">
        <is>
          <t>win</t>
        </is>
      </c>
      <c r="W64" s="26" t="n">
        <v>0</v>
      </c>
      <c r="X64" s="26" t="n">
        <v>1</v>
      </c>
      <c r="Y64" s="25" t="n"/>
      <c r="Z64" s="26" t="n"/>
      <c r="AA64" s="28" t="n"/>
      <c r="AB64" s="28" t="n"/>
      <c r="AC64" s="30" t="n">
        <v>0.2222</v>
      </c>
      <c r="AD64" s="24" t="inlineStr">
        <is>
          <t>2026-07-31T00:55:25.228126Z</t>
        </is>
      </c>
      <c r="AE64" s="31" t="inlineStr">
        <is>
          <t>Surface-blended Elo on Hard: Magdalena Frech p=0.086 vs Jessica Pegula. Executable ask 0.9000 (aec-wta-jespeg-magfre-2026-07-30).</t>
        </is>
      </c>
      <c r="AF64" s="31" t="inlineStr">
        <is>
          <t>Research-only surface-blended Elo model; singles only, WTA-only market coverage,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Magdalena Frech</t>
        </is>
      </c>
      <c r="AQ64" s="24" t="inlineStr">
        <is>
          <t>Magdalena Frech</t>
        </is>
      </c>
      <c r="AR64" s="24" t="inlineStr">
        <is>
          <t>Magdalena Frech</t>
        </is>
      </c>
      <c r="AS64" s="24" t="inlineStr">
        <is>
          <t>Jessica Pegula</t>
        </is>
      </c>
      <c r="AT64" s="24" t="inlineStr">
        <is>
          <t>Jessica Pegula</t>
        </is>
      </c>
      <c r="AU64" s="24" t="inlineStr">
        <is>
          <t>Jessica Pegula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73429bd71f12304106b9ffb751bd50617d5109d487f00de7ae2732f60e779590</t>
        </is>
      </c>
      <c r="BB64" s="24" t="inlineStr">
        <is>
          <t>surface_blended_elo</t>
        </is>
      </c>
      <c r="BC64" s="24" t="inlineStr">
        <is>
          <t>tennis-surface-elo-v1</t>
        </is>
      </c>
      <c r="BD64" s="24" t="inlineStr">
        <is>
          <t>73429bd71f12304106b9ffb751bd50617d5109d487f00de7ae2732f60e779590</t>
        </is>
      </c>
      <c r="BE64" s="24" t="inlineStr">
        <is>
          <t>tennis-surface-elo-v1</t>
        </is>
      </c>
      <c r="BF64" s="24" t="inlineStr">
        <is>
          <t>1</t>
        </is>
      </c>
      <c r="BG64" s="24" t="inlineStr">
        <is>
          <t>73429bd71f12304106b9ffb751bd50617d5109d487f00de7ae2732f60e779590</t>
        </is>
      </c>
      <c r="BH64" s="24" t="inlineStr">
        <is>
          <t>2026-07-30T17:35:52.888748Z</t>
        </is>
      </c>
      <c r="BI64" s="24" t="inlineStr">
        <is>
          <t>["same_event","same_team_same_day","same_league_same_day"]</t>
        </is>
      </c>
      <c r="BJ64" s="25" t="n"/>
      <c r="BK64" s="26" t="n">
        <v>-900</v>
      </c>
      <c r="BL64" s="27" t="n">
        <v>1.111111</v>
      </c>
      <c r="BM64" s="28" t="n">
        <v>0.9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f0a46e785b174dc0</t>
        </is>
      </c>
      <c r="B65" s="24" t="inlineStr">
        <is>
          <t>2026-07-30T17:37:43.528029Z</t>
        </is>
      </c>
      <c r="C65" s="24" t="inlineStr">
        <is>
          <t>2026-07-30T19:15Z</t>
        </is>
      </c>
      <c r="D65" s="24" t="inlineStr">
        <is>
          <t>1067-2026:179464</t>
        </is>
      </c>
      <c r="E65" s="24" t="inlineStr">
        <is>
          <t>TENNIS</t>
        </is>
      </c>
      <c r="F65" s="24" t="inlineStr">
        <is>
          <t>Peyton Stearns</t>
        </is>
      </c>
      <c r="G65" s="24" t="inlineStr">
        <is>
          <t>Tatiana Prozorova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-163</v>
      </c>
      <c r="M65" s="27" t="n">
        <v>1.613497</v>
      </c>
      <c r="N65" s="28" t="n">
        <v>0.619772</v>
      </c>
      <c r="O65" s="28" t="n">
        <v>0.519871</v>
      </c>
      <c r="P65" s="28" t="n">
        <v>0.05</v>
      </c>
      <c r="Q65" s="28" t="n">
        <v>-0.099901</v>
      </c>
      <c r="R65" s="26" t="n">
        <v>0</v>
      </c>
      <c r="S65" s="29" t="n">
        <v>1</v>
      </c>
      <c r="T65" s="24" t="inlineStr">
        <is>
          <t>tennis-surface-elo-v1</t>
        </is>
      </c>
      <c r="U65" s="24" t="inlineStr">
        <is>
          <t>settled</t>
        </is>
      </c>
      <c r="V65" s="24" t="inlineStr">
        <is>
          <t>win</t>
        </is>
      </c>
      <c r="W65" s="26" t="n">
        <v>1</v>
      </c>
      <c r="X65" s="26" t="n">
        <v>0</v>
      </c>
      <c r="Y65" s="25" t="n"/>
      <c r="Z65" s="26" t="n"/>
      <c r="AA65" s="28" t="n"/>
      <c r="AB65" s="28" t="n"/>
      <c r="AC65" s="30" t="n">
        <v>0.6135</v>
      </c>
      <c r="AD65" s="24" t="inlineStr">
        <is>
          <t>2026-07-31T00:55:25.417496Z</t>
        </is>
      </c>
      <c r="AE65" s="31" t="inlineStr">
        <is>
          <t>Surface-blended Elo on Hard: Peyton Stearns p=0.520 vs Tatiana Prozorova. Executable ask 0.6200 (aec-wta-tatpro-peyste-2026-07-30).</t>
        </is>
      </c>
      <c r="AF65" s="31" t="inlineStr">
        <is>
          <t>Research-only surface-blended Elo model; singles only, WTA-only market coverage,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Peyton Stearns</t>
        </is>
      </c>
      <c r="AQ65" s="24" t="inlineStr">
        <is>
          <t>Peyton Stearns</t>
        </is>
      </c>
      <c r="AR65" s="24" t="inlineStr">
        <is>
          <t>Peyton Stearns</t>
        </is>
      </c>
      <c r="AS65" s="24" t="inlineStr">
        <is>
          <t>Tatiana Prozorova</t>
        </is>
      </c>
      <c r="AT65" s="24" t="inlineStr">
        <is>
          <t>Tatiana Prozorova</t>
        </is>
      </c>
      <c r="AU65" s="24" t="inlineStr">
        <is>
          <t>Tatiana Prozorova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73429bd71f12304106b9ffb751bd50617d5109d487f00de7ae2732f60e779590</t>
        </is>
      </c>
      <c r="BB65" s="24" t="inlineStr">
        <is>
          <t>surface_blended_elo</t>
        </is>
      </c>
      <c r="BC65" s="24" t="inlineStr">
        <is>
          <t>tennis-surface-elo-v1</t>
        </is>
      </c>
      <c r="BD65" s="24" t="inlineStr">
        <is>
          <t>73429bd71f12304106b9ffb751bd50617d5109d487f00de7ae2732f60e779590</t>
        </is>
      </c>
      <c r="BE65" s="24" t="inlineStr">
        <is>
          <t>tennis-surface-elo-v1</t>
        </is>
      </c>
      <c r="BF65" s="24" t="inlineStr">
        <is>
          <t>1</t>
        </is>
      </c>
      <c r="BG65" s="24" t="inlineStr">
        <is>
          <t>73429bd71f12304106b9ffb751bd50617d5109d487f00de7ae2732f60e779590</t>
        </is>
      </c>
      <c r="BH65" s="24" t="inlineStr">
        <is>
          <t>2026-07-30T17:35:55.334191Z</t>
        </is>
      </c>
      <c r="BI65" s="24" t="inlineStr">
        <is>
          <t>["same_event","same_team_same_day","same_league_same_day"]</t>
        </is>
      </c>
      <c r="BJ65" s="25" t="n"/>
      <c r="BK65" s="26" t="n">
        <v>-163</v>
      </c>
      <c r="BL65" s="27" t="n">
        <v>1.613497</v>
      </c>
      <c r="BM65" s="28" t="n">
        <v>0.619772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3163b0526e8c4451</t>
        </is>
      </c>
      <c r="B66" s="24" t="inlineStr">
        <is>
          <t>2026-07-30T21:08:44.901049Z</t>
        </is>
      </c>
      <c r="C66" s="24" t="inlineStr">
        <is>
          <t>2026-07-31T00:00Z</t>
        </is>
      </c>
      <c r="D66" s="24" t="inlineStr">
        <is>
          <t>888-2026:179008</t>
        </is>
      </c>
      <c r="E66" s="24" t="inlineStr">
        <is>
          <t>TENNIS</t>
        </is>
      </c>
      <c r="F66" s="24" t="inlineStr">
        <is>
          <t>Elina Svitolina</t>
        </is>
      </c>
      <c r="G66" s="24" t="inlineStr">
        <is>
          <t>Polina Kudermetova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-488</v>
      </c>
      <c r="M66" s="27" t="n">
        <v>1.204918</v>
      </c>
      <c r="N66" s="28" t="n">
        <v>0.829932</v>
      </c>
      <c r="O66" s="28" t="n">
        <v>0.7868270000000001</v>
      </c>
      <c r="P66" s="28" t="n">
        <v>0.05</v>
      </c>
      <c r="Q66" s="28" t="n">
        <v>-0.043105</v>
      </c>
      <c r="R66" s="26" t="n">
        <v>0</v>
      </c>
      <c r="S66" s="29" t="n">
        <v>2</v>
      </c>
      <c r="T66" s="24" t="inlineStr">
        <is>
          <t>tennis-surface-elo-v1</t>
        </is>
      </c>
      <c r="U66" s="24" t="inlineStr">
        <is>
          <t>settled</t>
        </is>
      </c>
      <c r="V66" s="24" t="inlineStr">
        <is>
          <t>win</t>
        </is>
      </c>
      <c r="W66" s="26" t="n">
        <v>1</v>
      </c>
      <c r="X66" s="26" t="n">
        <v>0</v>
      </c>
      <c r="Y66" s="25" t="n"/>
      <c r="Z66" s="26" t="n"/>
      <c r="AA66" s="28" t="n"/>
      <c r="AB66" s="28" t="n"/>
      <c r="AC66" s="30" t="n">
        <v>0.4098</v>
      </c>
      <c r="AD66" s="24" t="inlineStr">
        <is>
          <t>2026-07-31T04:29:41.497334Z</t>
        </is>
      </c>
      <c r="AE66" s="31" t="inlineStr">
        <is>
          <t>Surface-blended Elo on Hard: Elina Svitolina p=0.787 vs Polina Kudermetova. Executable ask 0.8300 (aec-wta-polkud-elisvi-2026-07-29).</t>
        </is>
      </c>
      <c r="AF66" s="31" t="inlineStr">
        <is>
          <t>Research-only surface-blended Elo model; singles only, WTA-only market coverage,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Elina Svitolina</t>
        </is>
      </c>
      <c r="AQ66" s="24" t="inlineStr">
        <is>
          <t>Elina Svitolina</t>
        </is>
      </c>
      <c r="AR66" s="24" t="inlineStr">
        <is>
          <t>Elina Svitolina</t>
        </is>
      </c>
      <c r="AS66" s="24" t="inlineStr">
        <is>
          <t>Polina Kudermetova</t>
        </is>
      </c>
      <c r="AT66" s="24" t="inlineStr">
        <is>
          <t>Polina Kudermetova</t>
        </is>
      </c>
      <c r="AU66" s="24" t="inlineStr">
        <is>
          <t>Polina Kudermetova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73429bd71f12304106b9ffb751bd50617d5109d487f00de7ae2732f60e779590</t>
        </is>
      </c>
      <c r="BB66" s="24" t="inlineStr">
        <is>
          <t>surface_blended_elo</t>
        </is>
      </c>
      <c r="BC66" s="24" t="inlineStr">
        <is>
          <t>tennis-surface-elo-v1</t>
        </is>
      </c>
      <c r="BD66" s="24" t="inlineStr">
        <is>
          <t>73429bd71f12304106b9ffb751bd50617d5109d487f00de7ae2732f60e779590</t>
        </is>
      </c>
      <c r="BE66" s="24" t="inlineStr">
        <is>
          <t>tennis-surface-elo-v1</t>
        </is>
      </c>
      <c r="BF66" s="24" t="inlineStr">
        <is>
          <t>1</t>
        </is>
      </c>
      <c r="BG66" s="24" t="inlineStr">
        <is>
          <t>73429bd71f12304106b9ffb751bd50617d5109d487f00de7ae2732f60e779590</t>
        </is>
      </c>
      <c r="BH66" s="24" t="inlineStr">
        <is>
          <t>2026-07-30T21:07:30.038443Z</t>
        </is>
      </c>
      <c r="BI66" s="24" t="inlineStr">
        <is>
          <t>["same_event","same_team_same_day","same_league_same_day"]</t>
        </is>
      </c>
      <c r="BJ66" s="25" t="n"/>
      <c r="BK66" s="26" t="n">
        <v>-488</v>
      </c>
      <c r="BL66" s="27" t="n">
        <v>1.204918</v>
      </c>
      <c r="BM66" s="28" t="n">
        <v>0.829932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b4dca212b13d4b27</t>
        </is>
      </c>
      <c r="B67" s="24" t="inlineStr">
        <is>
          <t>2026-07-30T21:08:44.901049Z</t>
        </is>
      </c>
      <c r="C67" s="24" t="inlineStr">
        <is>
          <t>2026-07-30T23:00Z</t>
        </is>
      </c>
      <c r="D67" s="24" t="inlineStr">
        <is>
          <t>1067-2026:179463</t>
        </is>
      </c>
      <c r="E67" s="24" t="inlineStr">
        <is>
          <t>TENNIS</t>
        </is>
      </c>
      <c r="F67" s="24" t="inlineStr">
        <is>
          <t>Darja Vidmanova</t>
        </is>
      </c>
      <c r="G67" s="24" t="inlineStr">
        <is>
          <t>Sloane Stephens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-150</v>
      </c>
      <c r="M67" s="27" t="n">
        <v>1.666667</v>
      </c>
      <c r="N67" s="28" t="n">
        <v>0.6</v>
      </c>
      <c r="O67" s="28" t="n">
        <v>0.715942</v>
      </c>
      <c r="P67" s="28" t="n">
        <v>0.05</v>
      </c>
      <c r="Q67" s="28" t="n">
        <v>0.115942</v>
      </c>
      <c r="R67" s="26" t="n">
        <v>78</v>
      </c>
      <c r="S67" s="29" t="n">
        <v>2</v>
      </c>
      <c r="T67" s="24" t="inlineStr">
        <is>
          <t>tennis-surface-elo-v1</t>
        </is>
      </c>
      <c r="U67" s="24" t="inlineStr">
        <is>
          <t>settled</t>
        </is>
      </c>
      <c r="V67" s="24" t="inlineStr">
        <is>
          <t>win</t>
        </is>
      </c>
      <c r="W67" s="26" t="n">
        <v>1</v>
      </c>
      <c r="X67" s="26" t="n">
        <v>0</v>
      </c>
      <c r="Y67" s="25" t="n"/>
      <c r="Z67" s="26" t="n"/>
      <c r="AA67" s="28" t="n"/>
      <c r="AB67" s="28" t="n"/>
      <c r="AC67" s="30" t="n">
        <v>1.3333</v>
      </c>
      <c r="AD67" s="24" t="inlineStr">
        <is>
          <t>2026-07-31T00:55:25.605879Z</t>
        </is>
      </c>
      <c r="AE67" s="31" t="inlineStr">
        <is>
          <t>Surface-blended Elo on Hard: Darja Vidmanova p=0.716 vs Sloane Stephens. Executable ask 0.6000 (aec-wta-sloste-darvid-2026-07-30).</t>
        </is>
      </c>
      <c r="AF67" s="31" t="inlineStr">
        <is>
          <t>Research-only surface-blended Elo model; singles only, WTA-only market coverage,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Darja Vidmanova</t>
        </is>
      </c>
      <c r="AQ67" s="24" t="inlineStr">
        <is>
          <t>Darja Vidmanova</t>
        </is>
      </c>
      <c r="AR67" s="24" t="inlineStr">
        <is>
          <t>Darja Vidmanova</t>
        </is>
      </c>
      <c r="AS67" s="24" t="inlineStr">
        <is>
          <t>Sloane Stephens</t>
        </is>
      </c>
      <c r="AT67" s="24" t="inlineStr">
        <is>
          <t>Sloane Stephens</t>
        </is>
      </c>
      <c r="AU67" s="24" t="inlineStr">
        <is>
          <t>Sloane Stephens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73429bd71f12304106b9ffb751bd50617d5109d487f00de7ae2732f60e779590</t>
        </is>
      </c>
      <c r="BB67" s="24" t="inlineStr">
        <is>
          <t>surface_blended_elo</t>
        </is>
      </c>
      <c r="BC67" s="24" t="inlineStr">
        <is>
          <t>tennis-surface-elo-v1</t>
        </is>
      </c>
      <c r="BD67" s="24" t="inlineStr">
        <is>
          <t>73429bd71f12304106b9ffb751bd50617d5109d487f00de7ae2732f60e779590</t>
        </is>
      </c>
      <c r="BE67" s="24" t="inlineStr">
        <is>
          <t>tennis-surface-elo-v1</t>
        </is>
      </c>
      <c r="BF67" s="24" t="inlineStr">
        <is>
          <t>1</t>
        </is>
      </c>
      <c r="BG67" s="24" t="inlineStr">
        <is>
          <t>73429bd71f12304106b9ffb751bd50617d5109d487f00de7ae2732f60e779590</t>
        </is>
      </c>
      <c r="BH67" s="24" t="inlineStr">
        <is>
          <t>2026-07-30T21:07:28.830238Z</t>
        </is>
      </c>
      <c r="BI67" s="24" t="inlineStr">
        <is>
          <t>["same_event","same_team_same_day","same_league_same_day"]</t>
        </is>
      </c>
      <c r="BJ67" s="25" t="n"/>
      <c r="BK67" s="26" t="n">
        <v>-150</v>
      </c>
      <c r="BL67" s="27" t="n">
        <v>1.666667</v>
      </c>
      <c r="BM67" s="28" t="n">
        <v>0.6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7bb16946fcf94c7d</t>
        </is>
      </c>
      <c r="B68" s="24" t="inlineStr">
        <is>
          <t>2026-07-31T07:33:41.738469Z</t>
        </is>
      </c>
      <c r="C68" s="24" t="inlineStr">
        <is>
          <t>2026-07-31T09:00Z</t>
        </is>
      </c>
      <c r="D68" s="24" t="inlineStr">
        <is>
          <t>1073-2026:179596</t>
        </is>
      </c>
      <c r="E68" s="24" t="inlineStr">
        <is>
          <t>TENNIS</t>
        </is>
      </c>
      <c r="F68" s="24" t="inlineStr">
        <is>
          <t>Carole Monnet</t>
        </is>
      </c>
      <c r="G68" s="24" t="inlineStr">
        <is>
          <t>Kaitlin Quevedo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-335</v>
      </c>
      <c r="M68" s="27" t="n">
        <v>1.298507</v>
      </c>
      <c r="N68" s="28" t="n">
        <v>0.770115</v>
      </c>
      <c r="O68" s="28" t="n">
        <v>0.66466</v>
      </c>
      <c r="P68" s="28" t="n">
        <v>0.05</v>
      </c>
      <c r="Q68" s="28" t="n">
        <v>-0.105455</v>
      </c>
      <c r="R68" s="26" t="n">
        <v>0</v>
      </c>
      <c r="S68" s="29" t="n">
        <v>1.75</v>
      </c>
      <c r="T68" s="24" t="inlineStr">
        <is>
          <t>tennis-surface-elo-v1</t>
        </is>
      </c>
      <c r="U68" s="24" t="inlineStr">
        <is>
          <t>settled</t>
        </is>
      </c>
      <c r="V68" s="24" t="inlineStr">
        <is>
          <t>win</t>
        </is>
      </c>
      <c r="W68" s="26" t="n">
        <v>0</v>
      </c>
      <c r="X68" s="26" t="n">
        <v>1</v>
      </c>
      <c r="Y68" s="25" t="n"/>
      <c r="Z68" s="26" t="n">
        <v>-335</v>
      </c>
      <c r="AA68" s="28" t="n">
        <v>0.77</v>
      </c>
      <c r="AB68" s="28" t="n">
        <v>-0.000115</v>
      </c>
      <c r="AC68" s="30" t="n">
        <v>0.5224</v>
      </c>
      <c r="AD68" s="24" t="inlineStr">
        <is>
          <t>2026-07-31T11:12:20.264183Z</t>
        </is>
      </c>
      <c r="AE68" s="31" t="inlineStr">
        <is>
          <t>Surface-blended Elo on Hard: Carole Monnet p=0.335 vs Kaitlin Quevedo. Executable ask 0.7700 (aec-wta-kaique-carmon-2026-07-31).</t>
        </is>
      </c>
      <c r="AF68" s="31" t="inlineStr">
        <is>
          <t>Research-only surface-blended Elo model; singles only, WTA-only market coverage,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Carole Monnet</t>
        </is>
      </c>
      <c r="AQ68" s="24" t="inlineStr">
        <is>
          <t>Carole Monnet</t>
        </is>
      </c>
      <c r="AR68" s="24" t="inlineStr">
        <is>
          <t>Carole Monnet</t>
        </is>
      </c>
      <c r="AS68" s="24" t="inlineStr">
        <is>
          <t>Kaitlin Quevedo</t>
        </is>
      </c>
      <c r="AT68" s="24" t="inlineStr">
        <is>
          <t>Kaitlin Quevedo</t>
        </is>
      </c>
      <c r="AU68" s="24" t="inlineStr">
        <is>
          <t>Kaitlin Quevedo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73429bd71f12304106b9ffb751bd50617d5109d487f00de7ae2732f60e779590</t>
        </is>
      </c>
      <c r="BB68" s="24" t="inlineStr">
        <is>
          <t>surface_blended_elo</t>
        </is>
      </c>
      <c r="BC68" s="24" t="inlineStr">
        <is>
          <t>tennis-surface-elo-v1</t>
        </is>
      </c>
      <c r="BD68" s="24" t="inlineStr">
        <is>
          <t>73429bd71f12304106b9ffb751bd50617d5109d487f00de7ae2732f60e779590</t>
        </is>
      </c>
      <c r="BE68" s="24" t="inlineStr">
        <is>
          <t>tennis-surface-elo-v1</t>
        </is>
      </c>
      <c r="BF68" s="24" t="inlineStr">
        <is>
          <t>1</t>
        </is>
      </c>
      <c r="BG68" s="24" t="inlineStr">
        <is>
          <t>73429bd71f12304106b9ffb751bd50617d5109d487f00de7ae2732f60e779590</t>
        </is>
      </c>
      <c r="BH68" s="24" t="inlineStr">
        <is>
          <t>2026-07-31T07:30:42.946104Z</t>
        </is>
      </c>
      <c r="BI68" s="24" t="inlineStr">
        <is>
          <t>["same_event","same_team_same_day","same_league_same_day"]</t>
        </is>
      </c>
      <c r="BJ68" s="25" t="n"/>
      <c r="BK68" s="26" t="n">
        <v>-335</v>
      </c>
      <c r="BL68" s="27" t="n">
        <v>1.298507</v>
      </c>
      <c r="BM68" s="28" t="n">
        <v>0.770115</v>
      </c>
      <c r="BN68" s="28" t="n"/>
      <c r="BO68" s="28" t="n"/>
      <c r="BP68" s="25" t="n"/>
      <c r="BQ68" s="27" t="n">
        <v>1.298507</v>
      </c>
      <c r="BR68" s="28" t="n">
        <v>0.77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6de838ef45f24790</t>
        </is>
      </c>
      <c r="B69" s="24" t="inlineStr">
        <is>
          <t>2026-07-31T07:33:41.738469Z</t>
        </is>
      </c>
      <c r="C69" s="24" t="inlineStr">
        <is>
          <t>2026-07-31T09:00Z</t>
        </is>
      </c>
      <c r="D69" s="24" t="inlineStr">
        <is>
          <t>1073-2026:179592</t>
        </is>
      </c>
      <c r="E69" s="24" t="inlineStr">
        <is>
          <t>TENNIS</t>
        </is>
      </c>
      <c r="F69" s="24" t="inlineStr">
        <is>
          <t>Mia Ristic</t>
        </is>
      </c>
      <c r="G69" s="24" t="inlineStr">
        <is>
          <t>Laura Samson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0.520483</v>
      </c>
      <c r="P69" s="28" t="n">
        <v>0.05</v>
      </c>
      <c r="Q69" s="28" t="n">
        <v>-0.038988</v>
      </c>
      <c r="R69" s="26" t="n">
        <v>1</v>
      </c>
      <c r="S69" s="29" t="n">
        <v>1</v>
      </c>
      <c r="T69" s="24" t="inlineStr">
        <is>
          <t>tennis-surface-elo-v1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-127</v>
      </c>
      <c r="AA69" s="28" t="n">
        <v>0.5600000000000001</v>
      </c>
      <c r="AB69" s="28" t="n">
        <v>0.000529</v>
      </c>
      <c r="AC69" s="30" t="n">
        <v>0.7874</v>
      </c>
      <c r="AD69" s="24" t="inlineStr">
        <is>
          <t>2026-07-31T13:38:57.047753Z</t>
        </is>
      </c>
      <c r="AE69" s="31" t="inlineStr">
        <is>
          <t>Surface-blended Elo on Hard: Mia Ristic p=0.480 vs Laura Samson. Executable ask 0.5600 (aec-wta-lausam-miaris-2026-07-31).</t>
        </is>
      </c>
      <c r="AF69" s="31" t="inlineStr">
        <is>
          <t>Research-only surface-blended Elo model; singles only, WTA-only market coverage,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Mia Ristic</t>
        </is>
      </c>
      <c r="AQ69" s="24" t="inlineStr">
        <is>
          <t>Mia Ristic</t>
        </is>
      </c>
      <c r="AR69" s="24" t="inlineStr">
        <is>
          <t>Mia Ristic</t>
        </is>
      </c>
      <c r="AS69" s="24" t="inlineStr">
        <is>
          <t>Laura Samson</t>
        </is>
      </c>
      <c r="AT69" s="24" t="inlineStr">
        <is>
          <t>Laura Samson</t>
        </is>
      </c>
      <c r="AU69" s="24" t="inlineStr">
        <is>
          <t>Laura Samson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73429bd71f12304106b9ffb751bd50617d5109d487f00de7ae2732f60e779590</t>
        </is>
      </c>
      <c r="BB69" s="24" t="inlineStr">
        <is>
          <t>surface_blended_elo</t>
        </is>
      </c>
      <c r="BC69" s="24" t="inlineStr">
        <is>
          <t>tennis-surface-elo-v1</t>
        </is>
      </c>
      <c r="BD69" s="24" t="inlineStr">
        <is>
          <t>73429bd71f12304106b9ffb751bd50617d5109d487f00de7ae2732f60e779590</t>
        </is>
      </c>
      <c r="BE69" s="24" t="inlineStr">
        <is>
          <t>tennis-surface-elo-v1</t>
        </is>
      </c>
      <c r="BF69" s="24" t="inlineStr">
        <is>
          <t>1</t>
        </is>
      </c>
      <c r="BG69" s="24" t="inlineStr">
        <is>
          <t>73429bd71f12304106b9ffb751bd50617d5109d487f00de7ae2732f60e779590</t>
        </is>
      </c>
      <c r="BH69" s="24" t="inlineStr">
        <is>
          <t>2026-07-31T07:30:42.939960Z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/>
      <c r="BO69" s="28" t="n"/>
      <c r="BP69" s="25" t="n"/>
      <c r="BQ69" s="27" t="n">
        <v>1.787402</v>
      </c>
      <c r="BR69" s="28" t="n">
        <v>0.5600000000000001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</row>
    <row r="70" ht="36" customHeight="1">
      <c r="A70" s="24" t="inlineStr">
        <is>
          <t>a006a9beeb6546ec</t>
        </is>
      </c>
      <c r="B70" s="24" t="inlineStr">
        <is>
          <t>2026-07-31T07:33:41.738469Z</t>
        </is>
      </c>
      <c r="C70" s="24" t="inlineStr">
        <is>
          <t>2026-07-31T10:30Z</t>
        </is>
      </c>
      <c r="D70" s="24" t="inlineStr">
        <is>
          <t>1073-2026:179595</t>
        </is>
      </c>
      <c r="E70" s="24" t="inlineStr">
        <is>
          <t>TENNIS</t>
        </is>
      </c>
      <c r="F70" s="24" t="inlineStr">
        <is>
          <t>Alice Rame</t>
        </is>
      </c>
      <c r="G70" s="24" t="inlineStr">
        <is>
          <t>Francesca Jones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-669</v>
      </c>
      <c r="M70" s="27" t="n">
        <v>1.149477</v>
      </c>
      <c r="N70" s="28" t="n">
        <v>0.869961</v>
      </c>
      <c r="O70" s="28" t="n">
        <v>0.771104</v>
      </c>
      <c r="P70" s="28" t="n">
        <v>0.05</v>
      </c>
      <c r="Q70" s="28" t="n">
        <v>-0.098857</v>
      </c>
      <c r="R70" s="26" t="n">
        <v>0</v>
      </c>
      <c r="S70" s="29" t="n">
        <v>2</v>
      </c>
      <c r="T70" s="24" t="inlineStr">
        <is>
          <t>tennis-surface-elo-v1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-669</v>
      </c>
      <c r="AA70" s="28" t="n">
        <v>0.87</v>
      </c>
      <c r="AB70" s="28" t="n">
        <v>3.9e-05</v>
      </c>
      <c r="AC70" s="30" t="n">
        <v>0.299</v>
      </c>
      <c r="AD70" s="24" t="inlineStr">
        <is>
          <t>2026-07-31T13:38:57.289362Z</t>
        </is>
      </c>
      <c r="AE70" s="31" t="inlineStr">
        <is>
          <t>Surface-blended Elo on Hard: Alice Rame p=0.229 vs Francesca Jones. Executable ask 0.8700 (aec-wta-frajon-aliram-2026-07-31).</t>
        </is>
      </c>
      <c r="AF70" s="31" t="inlineStr">
        <is>
          <t>Research-only surface-blended Elo model; singles only, WTA-only market coverage,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Alice Rame</t>
        </is>
      </c>
      <c r="AQ70" s="24" t="inlineStr">
        <is>
          <t>Alice Rame</t>
        </is>
      </c>
      <c r="AR70" s="24" t="inlineStr">
        <is>
          <t>Alice Rame</t>
        </is>
      </c>
      <c r="AS70" s="24" t="inlineStr">
        <is>
          <t>Francesca Jones</t>
        </is>
      </c>
      <c r="AT70" s="24" t="inlineStr">
        <is>
          <t>Francesca Jones</t>
        </is>
      </c>
      <c r="AU70" s="24" t="inlineStr">
        <is>
          <t>Francesca Jones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73429bd71f12304106b9ffb751bd50617d5109d487f00de7ae2732f60e779590</t>
        </is>
      </c>
      <c r="BB70" s="24" t="inlineStr">
        <is>
          <t>surface_blended_elo</t>
        </is>
      </c>
      <c r="BC70" s="24" t="inlineStr">
        <is>
          <t>tennis-surface-elo-v1</t>
        </is>
      </c>
      <c r="BD70" s="24" t="inlineStr">
        <is>
          <t>73429bd71f12304106b9ffb751bd50617d5109d487f00de7ae2732f60e779590</t>
        </is>
      </c>
      <c r="BE70" s="24" t="inlineStr">
        <is>
          <t>tennis-surface-elo-v1</t>
        </is>
      </c>
      <c r="BF70" s="24" t="inlineStr">
        <is>
          <t>1</t>
        </is>
      </c>
      <c r="BG70" s="24" t="inlineStr">
        <is>
          <t>73429bd71f12304106b9ffb751bd50617d5109d487f00de7ae2732f60e779590</t>
        </is>
      </c>
      <c r="BH70" s="24" t="inlineStr">
        <is>
          <t>2026-07-31T07:30:42.885586Z</t>
        </is>
      </c>
      <c r="BI70" s="24" t="inlineStr">
        <is>
          <t>["same_event","same_team_same_day","same_league_same_day"]</t>
        </is>
      </c>
      <c r="BJ70" s="25" t="n"/>
      <c r="BK70" s="26" t="n">
        <v>-669</v>
      </c>
      <c r="BL70" s="27" t="n">
        <v>1.149477</v>
      </c>
      <c r="BM70" s="28" t="n">
        <v>0.869961</v>
      </c>
      <c r="BN70" s="28" t="n"/>
      <c r="BO70" s="28" t="n"/>
      <c r="BP70" s="25" t="n"/>
      <c r="BQ70" s="27" t="n">
        <v>1.149477</v>
      </c>
      <c r="BR70" s="28" t="n">
        <v>0.87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</row>
    <row r="71" ht="36" customHeight="1">
      <c r="A71" s="24" t="inlineStr">
        <is>
          <t>0a5265c9624b4e6d</t>
        </is>
      </c>
      <c r="B71" s="24" t="inlineStr">
        <is>
          <t>2026-07-31T13:42:17.041144Z</t>
        </is>
      </c>
      <c r="C71" s="24" t="inlineStr">
        <is>
          <t>2026-07-31T16:00Z</t>
        </is>
      </c>
      <c r="D71" s="24" t="inlineStr">
        <is>
          <t>888-2026:179006</t>
        </is>
      </c>
      <c r="E71" s="24" t="inlineStr">
        <is>
          <t>TENNIS</t>
        </is>
      </c>
      <c r="F71" s="24" t="inlineStr">
        <is>
          <t>Anna Kalinskaya</t>
        </is>
      </c>
      <c r="G71" s="24" t="inlineStr">
        <is>
          <t>Jessica Pegula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-270</v>
      </c>
      <c r="M71" s="27" t="n">
        <v>1.37037</v>
      </c>
      <c r="N71" s="28" t="n">
        <v>0.72973</v>
      </c>
      <c r="O71" s="28" t="n">
        <v>0.790175</v>
      </c>
      <c r="P71" s="28" t="n">
        <v>0.05</v>
      </c>
      <c r="Q71" s="28" t="n">
        <v>0.060445</v>
      </c>
      <c r="R71" s="26" t="n">
        <v>50</v>
      </c>
      <c r="S71" s="29" t="n">
        <v>2</v>
      </c>
      <c r="T71" s="24" t="inlineStr">
        <is>
          <t>tennis-surface-elo-v1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1</v>
      </c>
      <c r="Y71" s="25" t="n"/>
      <c r="Z71" s="26" t="n">
        <v>-270</v>
      </c>
      <c r="AA71" s="28" t="n">
        <v>0.73</v>
      </c>
      <c r="AB71" s="28" t="n">
        <v>0.00027</v>
      </c>
      <c r="AC71" s="30" t="n">
        <v>0.7407</v>
      </c>
      <c r="AD71" s="24" t="inlineStr">
        <is>
          <t>2026-07-31T19:51:19.971117Z</t>
        </is>
      </c>
      <c r="AE71" s="31" t="inlineStr">
        <is>
          <t>Surface-blended Elo on Hard: Anna Kalinskaya p=0.210 vs Jessica Pegula. Executable ask 0.7300 (aec-wta-jespeg-annkal-2026-07-31).</t>
        </is>
      </c>
      <c r="AF71" s="31" t="inlineStr">
        <is>
          <t>Research-only surface-blended Elo model; singles only, WTA-only market coverage,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Anna Kalinskaya</t>
        </is>
      </c>
      <c r="AQ71" s="24" t="inlineStr">
        <is>
          <t>Anna Kalinskaya</t>
        </is>
      </c>
      <c r="AR71" s="24" t="inlineStr">
        <is>
          <t>Anna Kalinskaya</t>
        </is>
      </c>
      <c r="AS71" s="24" t="inlineStr">
        <is>
          <t>Jessica Pegula</t>
        </is>
      </c>
      <c r="AT71" s="24" t="inlineStr">
        <is>
          <t>Jessica Pegula</t>
        </is>
      </c>
      <c r="AU71" s="24" t="inlineStr">
        <is>
          <t>Jessica Pegula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999faa03e2fa83bdf40e3760cb8645b4c314e4cc37c2050b8320d6582c4d8167</t>
        </is>
      </c>
      <c r="BB71" s="24" t="inlineStr">
        <is>
          <t>surface_blended_elo</t>
        </is>
      </c>
      <c r="BC71" s="24" t="inlineStr">
        <is>
          <t>tennis-surface-elo-v1</t>
        </is>
      </c>
      <c r="BD71" s="24" t="inlineStr">
        <is>
          <t>999faa03e2fa83bdf40e3760cb8645b4c314e4cc37c2050b8320d6582c4d8167</t>
        </is>
      </c>
      <c r="BE71" s="24" t="inlineStr">
        <is>
          <t>tennis-surface-elo-v1</t>
        </is>
      </c>
      <c r="BF71" s="24" t="inlineStr">
        <is>
          <t>1</t>
        </is>
      </c>
      <c r="BG71" s="24" t="inlineStr">
        <is>
          <t>999faa03e2fa83bdf40e3760cb8645b4c314e4cc37c2050b8320d6582c4d8167</t>
        </is>
      </c>
      <c r="BH71" s="24" t="inlineStr">
        <is>
          <t>2026-07-31T13:39:50.860788Z</t>
        </is>
      </c>
      <c r="BI71" s="24" t="inlineStr">
        <is>
          <t>["same_event","same_team_same_day","same_league_same_day"]</t>
        </is>
      </c>
      <c r="BJ71" s="25" t="n"/>
      <c r="BK71" s="26" t="n">
        <v>-270</v>
      </c>
      <c r="BL71" s="27" t="n">
        <v>1.37037</v>
      </c>
      <c r="BM71" s="28" t="n">
        <v>0.72973</v>
      </c>
      <c r="BN71" s="28" t="n"/>
      <c r="BO71" s="28" t="n"/>
      <c r="BP71" s="25" t="n"/>
      <c r="BQ71" s="27" t="n">
        <v>1.37037</v>
      </c>
      <c r="BR71" s="28" t="n">
        <v>0.73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</row>
    <row r="72" ht="36" customHeight="1">
      <c r="A72" s="24" t="inlineStr">
        <is>
          <t>5ff33ec3de68414f</t>
        </is>
      </c>
      <c r="B72" s="24" t="inlineStr">
        <is>
          <t>2026-07-31T13:42:17.041144Z</t>
        </is>
      </c>
      <c r="C72" s="24" t="inlineStr">
        <is>
          <t>2026-07-31T14:00Z</t>
        </is>
      </c>
      <c r="D72" s="24" t="inlineStr">
        <is>
          <t>1073-2026:179594</t>
        </is>
      </c>
      <c r="E72" s="24" t="inlineStr">
        <is>
          <t>TENNIS</t>
        </is>
      </c>
      <c r="F72" s="24" t="inlineStr">
        <is>
          <t>Lucia Bronzetti</t>
        </is>
      </c>
      <c r="G72" s="24" t="inlineStr">
        <is>
          <t>Sara Sorribes Tormo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122</v>
      </c>
      <c r="M72" s="27" t="n">
        <v>2.22</v>
      </c>
      <c r="N72" s="28" t="n">
        <v>0.45045</v>
      </c>
      <c r="O72" s="28" t="n">
        <v>0.558996</v>
      </c>
      <c r="P72" s="28" t="n">
        <v>0.05</v>
      </c>
      <c r="Q72" s="28" t="n">
        <v>0.108546</v>
      </c>
      <c r="R72" s="26" t="n">
        <v>74</v>
      </c>
      <c r="S72" s="29" t="n">
        <v>1</v>
      </c>
      <c r="T72" s="24" t="inlineStr">
        <is>
          <t>tennis-surface-elo-v1</t>
        </is>
      </c>
      <c r="U72" s="24" t="inlineStr">
        <is>
          <t>settled</t>
        </is>
      </c>
      <c r="V72" s="24" t="inlineStr">
        <is>
          <t>win</t>
        </is>
      </c>
      <c r="W72" s="26" t="n">
        <v>1</v>
      </c>
      <c r="X72" s="26" t="n">
        <v>0</v>
      </c>
      <c r="Y72" s="25" t="n"/>
      <c r="Z72" s="26" t="n">
        <v>122</v>
      </c>
      <c r="AA72" s="28" t="n">
        <v>0.45</v>
      </c>
      <c r="AB72" s="28" t="n">
        <v>-0.00045</v>
      </c>
      <c r="AC72" s="30" t="n">
        <v>1.22</v>
      </c>
      <c r="AD72" s="24" t="inlineStr">
        <is>
          <t>2026-07-31T19:51:20.537475Z</t>
        </is>
      </c>
      <c r="AE72" s="31" t="inlineStr">
        <is>
          <t>Surface-blended Elo on Hard: Lucia Bronzetti p=0.559 vs Sara Sorribes Tormo. Executable ask 0.4500 (aec-wta-sartor-lucbro-2026-07-31).</t>
        </is>
      </c>
      <c r="AF72" s="31" t="inlineStr">
        <is>
          <t>Research-only surface-blended Elo model; singles only, WTA-only market coverage,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Lucia Bronzetti</t>
        </is>
      </c>
      <c r="AQ72" s="24" t="inlineStr">
        <is>
          <t>Lucia Bronzetti</t>
        </is>
      </c>
      <c r="AR72" s="24" t="inlineStr">
        <is>
          <t>Lucia Bronzetti</t>
        </is>
      </c>
      <c r="AS72" s="24" t="inlineStr">
        <is>
          <t>Sara Sorribes Tormo</t>
        </is>
      </c>
      <c r="AT72" s="24" t="inlineStr">
        <is>
          <t>Sara Sorribes Tormo</t>
        </is>
      </c>
      <c r="AU72" s="24" t="inlineStr">
        <is>
          <t>Sara Sorribes Tormo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999faa03e2fa83bdf40e3760cb8645b4c314e4cc37c2050b8320d6582c4d8167</t>
        </is>
      </c>
      <c r="BB72" s="24" t="inlineStr">
        <is>
          <t>surface_blended_elo</t>
        </is>
      </c>
      <c r="BC72" s="24" t="inlineStr">
        <is>
          <t>tennis-surface-elo-v1</t>
        </is>
      </c>
      <c r="BD72" s="24" t="inlineStr">
        <is>
          <t>999faa03e2fa83bdf40e3760cb8645b4c314e4cc37c2050b8320d6582c4d8167</t>
        </is>
      </c>
      <c r="BE72" s="24" t="inlineStr">
        <is>
          <t>tennis-surface-elo-v1</t>
        </is>
      </c>
      <c r="BF72" s="24" t="inlineStr">
        <is>
          <t>1</t>
        </is>
      </c>
      <c r="BG72" s="24" t="inlineStr">
        <is>
          <t>999faa03e2fa83bdf40e3760cb8645b4c314e4cc37c2050b8320d6582c4d8167</t>
        </is>
      </c>
      <c r="BH72" s="24" t="inlineStr">
        <is>
          <t>2026-07-31T13:39:49.361483Z</t>
        </is>
      </c>
      <c r="BI72" s="24" t="inlineStr">
        <is>
          <t>["same_event","same_team_same_day","same_league_same_day"]</t>
        </is>
      </c>
      <c r="BJ72" s="25" t="n"/>
      <c r="BK72" s="26" t="n">
        <v>122</v>
      </c>
      <c r="BL72" s="27" t="n">
        <v>2.22</v>
      </c>
      <c r="BM72" s="28" t="n">
        <v>0.45045</v>
      </c>
      <c r="BN72" s="28" t="n"/>
      <c r="BO72" s="28" t="n"/>
      <c r="BP72" s="25" t="n"/>
      <c r="BQ72" s="27" t="n">
        <v>2.22</v>
      </c>
      <c r="BR72" s="28" t="n">
        <v>0.45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</row>
    <row r="73" ht="36" customHeight="1">
      <c r="A73" s="24" t="inlineStr">
        <is>
          <t>b111fbea73f8498b</t>
        </is>
      </c>
      <c r="B73" s="24" t="inlineStr">
        <is>
          <t>2026-07-31T16:48:15.741242Z</t>
        </is>
      </c>
      <c r="C73" s="24" t="inlineStr">
        <is>
          <t>2026-07-31T18:00Z</t>
        </is>
      </c>
      <c r="D73" s="24" t="inlineStr">
        <is>
          <t>875-2026:179555</t>
        </is>
      </c>
      <c r="E73" s="24" t="inlineStr">
        <is>
          <t>TENNIS</t>
        </is>
      </c>
      <c r="F73" s="24" t="inlineStr">
        <is>
          <t>Mai Hontama</t>
        </is>
      </c>
      <c r="G73" s="24" t="inlineStr">
        <is>
          <t>Maddison Inglis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113</v>
      </c>
      <c r="M73" s="27" t="n">
        <v>2.13</v>
      </c>
      <c r="N73" s="28" t="n">
        <v>0.469484</v>
      </c>
      <c r="O73" s="28" t="n">
        <v>0.568028</v>
      </c>
      <c r="P73" s="28" t="n">
        <v>0.05</v>
      </c>
      <c r="Q73" s="28" t="n">
        <v>0.09854400000000001</v>
      </c>
      <c r="R73" s="26" t="n">
        <v>69</v>
      </c>
      <c r="S73" s="29" t="n">
        <v>1</v>
      </c>
      <c r="T73" s="24" t="inlineStr">
        <is>
          <t>tennis-surface-elo-v1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1</v>
      </c>
      <c r="Y73" s="25" t="n"/>
      <c r="Z73" s="26" t="n">
        <v>113</v>
      </c>
      <c r="AA73" s="28" t="n">
        <v>0.47</v>
      </c>
      <c r="AB73" s="28" t="n">
        <v>0.000516</v>
      </c>
      <c r="AC73" s="30" t="n">
        <v>1.13</v>
      </c>
      <c r="AD73" s="24" t="inlineStr">
        <is>
          <t>2026-07-31T19:51:21.011383Z</t>
        </is>
      </c>
      <c r="AE73" s="31" t="inlineStr">
        <is>
          <t>Surface-blended Elo on Hard: Mai Hontama p=0.432 vs Maddison Inglis. Executable ask 0.4700 (aec-wta-mading-maihon-2026-07-31).</t>
        </is>
      </c>
      <c r="AF73" s="31" t="inlineStr">
        <is>
          <t>Research-only surface-blended Elo model; singles only, WTA-only market coverage,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Mai Hontama</t>
        </is>
      </c>
      <c r="AQ73" s="24" t="inlineStr">
        <is>
          <t>Mai Hontama</t>
        </is>
      </c>
      <c r="AR73" s="24" t="inlineStr">
        <is>
          <t>Mai Hontama</t>
        </is>
      </c>
      <c r="AS73" s="24" t="inlineStr">
        <is>
          <t>Maddison Inglis</t>
        </is>
      </c>
      <c r="AT73" s="24" t="inlineStr">
        <is>
          <t>Maddison Inglis</t>
        </is>
      </c>
      <c r="AU73" s="24" t="inlineStr">
        <is>
          <t>Maddison Inglis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999faa03e2fa83bdf40e3760cb8645b4c314e4cc37c2050b8320d6582c4d8167</t>
        </is>
      </c>
      <c r="BB73" s="24" t="inlineStr">
        <is>
          <t>surface_blended_elo</t>
        </is>
      </c>
      <c r="BC73" s="24" t="inlineStr">
        <is>
          <t>tennis-surface-elo-v1</t>
        </is>
      </c>
      <c r="BD73" s="24" t="inlineStr">
        <is>
          <t>999faa03e2fa83bdf40e3760cb8645b4c314e4cc37c2050b8320d6582c4d8167</t>
        </is>
      </c>
      <c r="BE73" s="24" t="inlineStr">
        <is>
          <t>tennis-surface-elo-v1</t>
        </is>
      </c>
      <c r="BF73" s="24" t="inlineStr">
        <is>
          <t>1</t>
        </is>
      </c>
      <c r="BG73" s="24" t="inlineStr">
        <is>
          <t>999faa03e2fa83bdf40e3760cb8645b4c314e4cc37c2050b8320d6582c4d8167</t>
        </is>
      </c>
      <c r="BH73" s="24" t="inlineStr">
        <is>
          <t>2026-07-31T16:46:01.946281Z</t>
        </is>
      </c>
      <c r="BI73" s="24" t="inlineStr">
        <is>
          <t>["same_event","same_team_same_day","same_league_same_day"]</t>
        </is>
      </c>
      <c r="BJ73" s="25" t="n"/>
      <c r="BK73" s="26" t="n">
        <v>113</v>
      </c>
      <c r="BL73" s="27" t="n">
        <v>2.13</v>
      </c>
      <c r="BM73" s="28" t="n">
        <v>0.469484</v>
      </c>
      <c r="BN73" s="28" t="n"/>
      <c r="BO73" s="28" t="n"/>
      <c r="BP73" s="25" t="n"/>
      <c r="BQ73" s="27" t="n">
        <v>2.13</v>
      </c>
      <c r="BR73" s="28" t="n">
        <v>0.47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</row>
    <row r="74" ht="36" customHeight="1">
      <c r="A74" s="24" t="inlineStr">
        <is>
          <t>0c951108cbed46c5</t>
        </is>
      </c>
      <c r="B74" s="24" t="inlineStr">
        <is>
          <t>2026-07-31T16:48:15.741242Z</t>
        </is>
      </c>
      <c r="C74" s="24" t="inlineStr">
        <is>
          <t>2026-07-31T19:30Z</t>
        </is>
      </c>
      <c r="D74" s="24" t="inlineStr">
        <is>
          <t>875-2026:179554</t>
        </is>
      </c>
      <c r="E74" s="24" t="inlineStr">
        <is>
          <t>TENNIS</t>
        </is>
      </c>
      <c r="F74" s="24" t="inlineStr">
        <is>
          <t>Mananchaya Sawangkaew</t>
        </is>
      </c>
      <c r="G74" s="24" t="inlineStr">
        <is>
          <t>Taylah Preston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-178</v>
      </c>
      <c r="M74" s="27" t="n">
        <v>1.561798</v>
      </c>
      <c r="N74" s="28" t="n">
        <v>0.640288</v>
      </c>
      <c r="O74" s="28" t="n">
        <v>0.672366</v>
      </c>
      <c r="P74" s="28" t="n">
        <v>0.05</v>
      </c>
      <c r="Q74" s="28" t="n">
        <v>0.032078</v>
      </c>
      <c r="R74" s="26" t="n">
        <v>36</v>
      </c>
      <c r="S74" s="29" t="n">
        <v>1.75</v>
      </c>
      <c r="T74" s="24" t="inlineStr">
        <is>
          <t>tennis-surface-elo-v1</t>
        </is>
      </c>
      <c r="U74" s="24" t="inlineStr">
        <is>
          <t>settled</t>
        </is>
      </c>
      <c r="V74" s="24" t="inlineStr">
        <is>
          <t>loss</t>
        </is>
      </c>
      <c r="W74" s="26" t="n">
        <v>0</v>
      </c>
      <c r="X74" s="26" t="n">
        <v>1</v>
      </c>
      <c r="Y74" s="25" t="n"/>
      <c r="Z74" s="26" t="n">
        <v>-178</v>
      </c>
      <c r="AA74" s="28" t="n">
        <v>0.64</v>
      </c>
      <c r="AB74" s="28" t="n">
        <v>-0.000288</v>
      </c>
      <c r="AC74" s="30" t="n">
        <v>-1.75</v>
      </c>
      <c r="AD74" s="24" t="inlineStr">
        <is>
          <t>2026-07-31T23:28:43.967425Z</t>
        </is>
      </c>
      <c r="AE74" s="31" t="inlineStr">
        <is>
          <t>Surface-blended Elo on Hard: Mananchaya Sawangkaew p=0.672 vs Taylah Preston. Executable ask 0.6400 (aec-wta-taypre-mansaw-2026-07-31).</t>
        </is>
      </c>
      <c r="AF74" s="31" t="inlineStr">
        <is>
          <t>Research-only surface-blended Elo model; singles only, WTA-only market coverage,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Mananchaya Sawangkaew</t>
        </is>
      </c>
      <c r="AQ74" s="24" t="inlineStr">
        <is>
          <t>Mananchaya Sawangkaew</t>
        </is>
      </c>
      <c r="AR74" s="24" t="inlineStr">
        <is>
          <t>Mananchaya Sawangkaew</t>
        </is>
      </c>
      <c r="AS74" s="24" t="inlineStr">
        <is>
          <t>Taylah Preston</t>
        </is>
      </c>
      <c r="AT74" s="24" t="inlineStr">
        <is>
          <t>Taylah Preston</t>
        </is>
      </c>
      <c r="AU74" s="24" t="inlineStr">
        <is>
          <t>Taylah Preston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999faa03e2fa83bdf40e3760cb8645b4c314e4cc37c2050b8320d6582c4d8167</t>
        </is>
      </c>
      <c r="BB74" s="24" t="inlineStr">
        <is>
          <t>surface_blended_elo</t>
        </is>
      </c>
      <c r="BC74" s="24" t="inlineStr">
        <is>
          <t>tennis-surface-elo-v1</t>
        </is>
      </c>
      <c r="BD74" s="24" t="inlineStr">
        <is>
          <t>999faa03e2fa83bdf40e3760cb8645b4c314e4cc37c2050b8320d6582c4d8167</t>
        </is>
      </c>
      <c r="BE74" s="24" t="inlineStr">
        <is>
          <t>tennis-surface-elo-v1</t>
        </is>
      </c>
      <c r="BF74" s="24" t="inlineStr">
        <is>
          <t>1</t>
        </is>
      </c>
      <c r="BG74" s="24" t="inlineStr">
        <is>
          <t>999faa03e2fa83bdf40e3760cb8645b4c314e4cc37c2050b8320d6582c4d8167</t>
        </is>
      </c>
      <c r="BH74" s="24" t="inlineStr">
        <is>
          <t>2026-07-31T16:46:03.748498Z</t>
        </is>
      </c>
      <c r="BI74" s="24" t="inlineStr">
        <is>
          <t>["same_event","same_team_same_day","same_league_same_day"]</t>
        </is>
      </c>
      <c r="BJ74" s="25" t="n"/>
      <c r="BK74" s="26" t="n">
        <v>-178</v>
      </c>
      <c r="BL74" s="27" t="n">
        <v>1.561798</v>
      </c>
      <c r="BM74" s="28" t="n">
        <v>0.640288</v>
      </c>
      <c r="BN74" s="28" t="n"/>
      <c r="BO74" s="28" t="n"/>
      <c r="BP74" s="25" t="n"/>
      <c r="BQ74" s="27" t="n">
        <v>1.561798</v>
      </c>
      <c r="BR74" s="28" t="n">
        <v>0.64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</row>
    <row r="75" ht="36" customHeight="1">
      <c r="A75" s="24" t="inlineStr">
        <is>
          <t>ae103e8c49014074</t>
        </is>
      </c>
      <c r="B75" s="24" t="inlineStr">
        <is>
          <t>2026-07-31T16:48:15.741242Z</t>
        </is>
      </c>
      <c r="C75" s="24" t="inlineStr">
        <is>
          <t>2026-07-31T18:00Z</t>
        </is>
      </c>
      <c r="D75" s="24" t="inlineStr">
        <is>
          <t>888-2026:179020</t>
        </is>
      </c>
      <c r="E75" s="24" t="inlineStr">
        <is>
          <t>TENNIS</t>
        </is>
      </c>
      <c r="F75" s="24" t="inlineStr">
        <is>
          <t>Naomi Osaka</t>
        </is>
      </c>
      <c r="G75" s="24" t="inlineStr">
        <is>
          <t>Elisabetta Cocciaretto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-567</v>
      </c>
      <c r="M75" s="27" t="n">
        <v>1.176367</v>
      </c>
      <c r="N75" s="28" t="n">
        <v>0.850075</v>
      </c>
      <c r="O75" s="28" t="n">
        <v>0.686106</v>
      </c>
      <c r="P75" s="28" t="n">
        <v>0.05</v>
      </c>
      <c r="Q75" s="28" t="n">
        <v>-0.163969</v>
      </c>
      <c r="R75" s="26" t="n">
        <v>0</v>
      </c>
      <c r="S75" s="29" t="n">
        <v>2</v>
      </c>
      <c r="T75" s="24" t="inlineStr">
        <is>
          <t>tennis-surface-elo-v1</t>
        </is>
      </c>
      <c r="U75" s="24" t="inlineStr">
        <is>
          <t>settled</t>
        </is>
      </c>
      <c r="V75" s="24" t="inlineStr">
        <is>
          <t>win</t>
        </is>
      </c>
      <c r="W75" s="26" t="n">
        <v>1</v>
      </c>
      <c r="X75" s="26" t="n">
        <v>0</v>
      </c>
      <c r="Y75" s="25" t="n"/>
      <c r="Z75" s="26" t="n">
        <v>-567</v>
      </c>
      <c r="AA75" s="28" t="n">
        <v>0.85</v>
      </c>
      <c r="AB75" s="28" t="n">
        <v>-7.499999999999999e-05</v>
      </c>
      <c r="AC75" s="30" t="n">
        <v>0.3527</v>
      </c>
      <c r="AD75" s="24" t="inlineStr">
        <is>
          <t>2026-07-31T21:03:37.637903Z</t>
        </is>
      </c>
      <c r="AE75" s="31" t="inlineStr">
        <is>
          <t>Surface-blended Elo on Hard: Naomi Osaka p=0.686 vs Elisabetta Cocciaretto. Executable ask 0.8500 (aec-wta-elicoc-naoosa-2026-07-31).</t>
        </is>
      </c>
      <c r="AF75" s="31" t="inlineStr">
        <is>
          <t>Research-only surface-blended Elo model; singles only, WTA-only market coverage,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Naomi Osaka</t>
        </is>
      </c>
      <c r="AQ75" s="24" t="inlineStr">
        <is>
          <t>Naomi Osaka</t>
        </is>
      </c>
      <c r="AR75" s="24" t="inlineStr">
        <is>
          <t>Naomi Osaka</t>
        </is>
      </c>
      <c r="AS75" s="24" t="inlineStr">
        <is>
          <t>Elisabetta Cocciaretto</t>
        </is>
      </c>
      <c r="AT75" s="24" t="inlineStr">
        <is>
          <t>Elisabetta Cocciaretto</t>
        </is>
      </c>
      <c r="AU75" s="24" t="inlineStr">
        <is>
          <t>Elisabetta Cocciaretto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999faa03e2fa83bdf40e3760cb8645b4c314e4cc37c2050b8320d6582c4d8167</t>
        </is>
      </c>
      <c r="BB75" s="24" t="inlineStr">
        <is>
          <t>surface_blended_elo</t>
        </is>
      </c>
      <c r="BC75" s="24" t="inlineStr">
        <is>
          <t>tennis-surface-elo-v1</t>
        </is>
      </c>
      <c r="BD75" s="24" t="inlineStr">
        <is>
          <t>999faa03e2fa83bdf40e3760cb8645b4c314e4cc37c2050b8320d6582c4d8167</t>
        </is>
      </c>
      <c r="BE75" s="24" t="inlineStr">
        <is>
          <t>tennis-surface-elo-v1</t>
        </is>
      </c>
      <c r="BF75" s="24" t="inlineStr">
        <is>
          <t>1</t>
        </is>
      </c>
      <c r="BG75" s="24" t="inlineStr">
        <is>
          <t>999faa03e2fa83bdf40e3760cb8645b4c314e4cc37c2050b8320d6582c4d8167</t>
        </is>
      </c>
      <c r="BH75" s="24" t="inlineStr">
        <is>
          <t>2026-07-31T16:46:01.916062Z</t>
        </is>
      </c>
      <c r="BI75" s="24" t="inlineStr">
        <is>
          <t>["same_event","same_team_same_day","same_league_same_day"]</t>
        </is>
      </c>
      <c r="BJ75" s="25" t="n"/>
      <c r="BK75" s="26" t="n">
        <v>-567</v>
      </c>
      <c r="BL75" s="27" t="n">
        <v>1.176367</v>
      </c>
      <c r="BM75" s="28" t="n">
        <v>0.850075</v>
      </c>
      <c r="BN75" s="28" t="n"/>
      <c r="BO75" s="28" t="n"/>
      <c r="BP75" s="25" t="n"/>
      <c r="BQ75" s="27" t="n">
        <v>1.176367</v>
      </c>
      <c r="BR75" s="28" t="n">
        <v>0.85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</row>
    <row r="76" ht="36" customHeight="1">
      <c r="A76" s="24" t="inlineStr">
        <is>
          <t>4a44c2c843454d56</t>
        </is>
      </c>
      <c r="B76" s="24" t="inlineStr">
        <is>
          <t>2026-07-31T16:48:15.741242Z</t>
        </is>
      </c>
      <c r="C76" s="24" t="inlineStr">
        <is>
          <t>2026-07-31T17:30Z</t>
        </is>
      </c>
      <c r="D76" s="24" t="inlineStr">
        <is>
          <t>1067-2026:179453</t>
        </is>
      </c>
      <c r="E76" s="24" t="inlineStr">
        <is>
          <t>TENNIS</t>
        </is>
      </c>
      <c r="F76" s="24" t="inlineStr">
        <is>
          <t>Peyton Stearns</t>
        </is>
      </c>
      <c r="G76" s="24" t="inlineStr">
        <is>
          <t>Elvina Kalieva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-270</v>
      </c>
      <c r="M76" s="27" t="n">
        <v>1.37037</v>
      </c>
      <c r="N76" s="28" t="n">
        <v>0.72973</v>
      </c>
      <c r="O76" s="28" t="n">
        <v>0.604555</v>
      </c>
      <c r="P76" s="28" t="n">
        <v>0.05</v>
      </c>
      <c r="Q76" s="28" t="n">
        <v>-0.125175</v>
      </c>
      <c r="R76" s="26" t="n">
        <v>0</v>
      </c>
      <c r="S76" s="29" t="n">
        <v>1.25</v>
      </c>
      <c r="T76" s="24" t="inlineStr">
        <is>
          <t>tennis-surface-elo-v1</t>
        </is>
      </c>
      <c r="U76" s="24" t="inlineStr">
        <is>
          <t>settled</t>
        </is>
      </c>
      <c r="V76" s="24" t="inlineStr">
        <is>
          <t>loss</t>
        </is>
      </c>
      <c r="W76" s="26" t="n">
        <v>0</v>
      </c>
      <c r="X76" s="26" t="n">
        <v>1</v>
      </c>
      <c r="Y76" s="25" t="n"/>
      <c r="Z76" s="26" t="n">
        <v>-270</v>
      </c>
      <c r="AA76" s="28" t="n">
        <v>0.73</v>
      </c>
      <c r="AB76" s="28" t="n">
        <v>0.00027</v>
      </c>
      <c r="AC76" s="30" t="n">
        <v>-1.25</v>
      </c>
      <c r="AD76" s="24" t="inlineStr">
        <is>
          <t>2026-07-31T23:28:44.202315Z</t>
        </is>
      </c>
      <c r="AE76" s="31" t="inlineStr">
        <is>
          <t>Surface-blended Elo on Hard: Peyton Stearns p=0.605 vs Elvina Kalieva. Executable ask 0.7300 (aec-wta-elvkal-peyste-2026-07-31).</t>
        </is>
      </c>
      <c r="AF76" s="31" t="inlineStr">
        <is>
          <t>Research-only surface-blended Elo model; singles only, WTA-only market coverage,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Peyton Stearns</t>
        </is>
      </c>
      <c r="AQ76" s="24" t="inlineStr">
        <is>
          <t>Peyton Stearns</t>
        </is>
      </c>
      <c r="AR76" s="24" t="inlineStr">
        <is>
          <t>Peyton Stearns</t>
        </is>
      </c>
      <c r="AS76" s="24" t="inlineStr">
        <is>
          <t>Elvina Kalieva</t>
        </is>
      </c>
      <c r="AT76" s="24" t="inlineStr">
        <is>
          <t>Elvina Kalieva</t>
        </is>
      </c>
      <c r="AU76" s="24" t="inlineStr">
        <is>
          <t>Elvina Kalieva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999faa03e2fa83bdf40e3760cb8645b4c314e4cc37c2050b8320d6582c4d8167</t>
        </is>
      </c>
      <c r="BB76" s="24" t="inlineStr">
        <is>
          <t>surface_blended_elo</t>
        </is>
      </c>
      <c r="BC76" s="24" t="inlineStr">
        <is>
          <t>tennis-surface-elo-v1</t>
        </is>
      </c>
      <c r="BD76" s="24" t="inlineStr">
        <is>
          <t>999faa03e2fa83bdf40e3760cb8645b4c314e4cc37c2050b8320d6582c4d8167</t>
        </is>
      </c>
      <c r="BE76" s="24" t="inlineStr">
        <is>
          <t>tennis-surface-elo-v1</t>
        </is>
      </c>
      <c r="BF76" s="24" t="inlineStr">
        <is>
          <t>1</t>
        </is>
      </c>
      <c r="BG76" s="24" t="inlineStr">
        <is>
          <t>999faa03e2fa83bdf40e3760cb8645b4c314e4cc37c2050b8320d6582c4d8167</t>
        </is>
      </c>
      <c r="BH76" s="24" t="inlineStr">
        <is>
          <t>2026-07-31T16:46:00.001887Z</t>
        </is>
      </c>
      <c r="BI76" s="24" t="inlineStr">
        <is>
          <t>["same_event","same_team_same_day","same_league_same_day"]</t>
        </is>
      </c>
      <c r="BJ76" s="25" t="n"/>
      <c r="BK76" s="26" t="n">
        <v>-270</v>
      </c>
      <c r="BL76" s="27" t="n">
        <v>1.37037</v>
      </c>
      <c r="BM76" s="28" t="n">
        <v>0.72973</v>
      </c>
      <c r="BN76" s="28" t="n"/>
      <c r="BO76" s="28" t="n"/>
      <c r="BP76" s="25" t="n"/>
      <c r="BQ76" s="27" t="n">
        <v>1.37037</v>
      </c>
      <c r="BR76" s="28" t="n">
        <v>0.73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</row>
    <row r="77" ht="36" customHeight="1">
      <c r="A77" s="24" t="inlineStr">
        <is>
          <t>860a8c7addb04dc6</t>
        </is>
      </c>
      <c r="B77" s="24" t="inlineStr">
        <is>
          <t>2026-07-31T16:48:15.741242Z</t>
        </is>
      </c>
      <c r="C77" s="24" t="inlineStr">
        <is>
          <t>2026-07-31T19:00Z</t>
        </is>
      </c>
      <c r="D77" s="24" t="inlineStr">
        <is>
          <t>1067-2026:179446</t>
        </is>
      </c>
      <c r="E77" s="24" t="inlineStr">
        <is>
          <t>TENNIS</t>
        </is>
      </c>
      <c r="F77" s="24" t="inlineStr">
        <is>
          <t>Renata Zarazua</t>
        </is>
      </c>
      <c r="G77" s="24" t="inlineStr">
        <is>
          <t>Anastasia Zakharova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-144</v>
      </c>
      <c r="M77" s="27" t="n">
        <v>1.694444</v>
      </c>
      <c r="N77" s="28" t="n">
        <v>0.590164</v>
      </c>
      <c r="O77" s="28" t="n">
        <v>0.687737</v>
      </c>
      <c r="P77" s="28" t="n">
        <v>0.05</v>
      </c>
      <c r="Q77" s="28" t="n">
        <v>0.09757299999999999</v>
      </c>
      <c r="R77" s="26" t="n">
        <v>69</v>
      </c>
      <c r="S77" s="29" t="n">
        <v>2</v>
      </c>
      <c r="T77" s="24" t="inlineStr">
        <is>
          <t>tennis-surface-elo-v1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-144</v>
      </c>
      <c r="AA77" s="28" t="n">
        <v>0.59</v>
      </c>
      <c r="AB77" s="28" t="n">
        <v>-0.000164</v>
      </c>
      <c r="AC77" s="30" t="n">
        <v>-2</v>
      </c>
      <c r="AD77" s="24" t="inlineStr">
        <is>
          <t>2026-08-01T03:00:16.522549Z</t>
        </is>
      </c>
      <c r="AE77" s="31" t="inlineStr">
        <is>
          <t>Surface-blended Elo on Hard: Renata Zarazua p=0.312 vs Anastasia Zakharova. Executable ask 0.5900 (aec-wta-anazak-renzar-2026-07-30).</t>
        </is>
      </c>
      <c r="AF77" s="31" t="inlineStr">
        <is>
          <t>Research-only surface-blended Elo model; singles only, WTA-only market coverage,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Renata Zarazua</t>
        </is>
      </c>
      <c r="AQ77" s="24" t="inlineStr">
        <is>
          <t>Renata Zarazua</t>
        </is>
      </c>
      <c r="AR77" s="24" t="inlineStr">
        <is>
          <t>Renata Zarazua</t>
        </is>
      </c>
      <c r="AS77" s="24" t="inlineStr">
        <is>
          <t>Anastasia Zakharova</t>
        </is>
      </c>
      <c r="AT77" s="24" t="inlineStr">
        <is>
          <t>Anastasia Zakharova</t>
        </is>
      </c>
      <c r="AU77" s="24" t="inlineStr">
        <is>
          <t>Anastasia Zakharova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999faa03e2fa83bdf40e3760cb8645b4c314e4cc37c2050b8320d6582c4d8167</t>
        </is>
      </c>
      <c r="BB77" s="24" t="inlineStr">
        <is>
          <t>surface_blended_elo</t>
        </is>
      </c>
      <c r="BC77" s="24" t="inlineStr">
        <is>
          <t>tennis-surface-elo-v1</t>
        </is>
      </c>
      <c r="BD77" s="24" t="inlineStr">
        <is>
          <t>999faa03e2fa83bdf40e3760cb8645b4c314e4cc37c2050b8320d6582c4d8167</t>
        </is>
      </c>
      <c r="BE77" s="24" t="inlineStr">
        <is>
          <t>tennis-surface-elo-v1</t>
        </is>
      </c>
      <c r="BF77" s="24" t="inlineStr">
        <is>
          <t>1</t>
        </is>
      </c>
      <c r="BG77" s="24" t="inlineStr">
        <is>
          <t>999faa03e2fa83bdf40e3760cb8645b4c314e4cc37c2050b8320d6582c4d8167</t>
        </is>
      </c>
      <c r="BH77" s="24" t="inlineStr">
        <is>
          <t>2026-07-31T16:46:02.750394Z</t>
        </is>
      </c>
      <c r="BI77" s="24" t="inlineStr">
        <is>
          <t>["same_event","same_team_same_day","same_league_same_day"]</t>
        </is>
      </c>
      <c r="BJ77" s="25" t="n"/>
      <c r="BK77" s="26" t="n">
        <v>-144</v>
      </c>
      <c r="BL77" s="27" t="n">
        <v>1.694444</v>
      </c>
      <c r="BM77" s="28" t="n">
        <v>0.590164</v>
      </c>
      <c r="BN77" s="28" t="n"/>
      <c r="BO77" s="28" t="n"/>
      <c r="BP77" s="25" t="n"/>
      <c r="BQ77" s="27" t="n">
        <v>1.694444</v>
      </c>
      <c r="BR77" s="28" t="n">
        <v>0.59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</row>
    <row r="78" ht="36" customHeight="1">
      <c r="A78" s="24" t="inlineStr">
        <is>
          <t>1fc8e155851e45b3</t>
        </is>
      </c>
      <c r="B78" s="24" t="inlineStr">
        <is>
          <t>2026-07-31T19:55:18.326039Z</t>
        </is>
      </c>
      <c r="C78" s="24" t="inlineStr">
        <is>
          <t>2026-07-31T20:10Z</t>
        </is>
      </c>
      <c r="D78" s="24" t="inlineStr">
        <is>
          <t>888-2026:179004</t>
        </is>
      </c>
      <c r="E78" s="24" t="inlineStr">
        <is>
          <t>TENNIS</t>
        </is>
      </c>
      <c r="F78" s="24" t="inlineStr">
        <is>
          <t>Liudmila Samsonova</t>
        </is>
      </c>
      <c r="G78" s="24" t="inlineStr">
        <is>
          <t>Diana Shnaider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-113</v>
      </c>
      <c r="M78" s="27" t="n">
        <v>1.884956</v>
      </c>
      <c r="N78" s="28" t="n">
        <v>0.530516</v>
      </c>
      <c r="O78" s="28" t="n">
        <v>0.6818650000000001</v>
      </c>
      <c r="P78" s="28" t="n">
        <v>0.05</v>
      </c>
      <c r="Q78" s="28" t="n">
        <v>0.151349</v>
      </c>
      <c r="R78" s="26" t="n">
        <v>96</v>
      </c>
      <c r="S78" s="29" t="n">
        <v>2</v>
      </c>
      <c r="T78" s="24" t="inlineStr">
        <is>
          <t>tennis-surface-elo-v1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-113</v>
      </c>
      <c r="AA78" s="28" t="n">
        <v>0.53</v>
      </c>
      <c r="AB78" s="28" t="n">
        <v>-0.000516</v>
      </c>
      <c r="AC78" s="30" t="n">
        <v>1.7699</v>
      </c>
      <c r="AD78" s="24" t="inlineStr">
        <is>
          <t>2026-07-31T23:28:44.433663Z</t>
        </is>
      </c>
      <c r="AE78" s="31" t="inlineStr">
        <is>
          <t>Surface-blended Elo on Hard: Liudmila Samsonova p=0.318 vs Diana Shnaider. Executable ask 0.5300 (aec-wta-diashn-liusam-2026-07-31).</t>
        </is>
      </c>
      <c r="AF78" s="31" t="inlineStr">
        <is>
          <t>Research-only surface-blended Elo model; singles only, WTA-only market coverage,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Liudmila Samsonova</t>
        </is>
      </c>
      <c r="AQ78" s="24" t="inlineStr">
        <is>
          <t>Liudmila Samsonova</t>
        </is>
      </c>
      <c r="AR78" s="24" t="inlineStr">
        <is>
          <t>Liudmila Samsonova</t>
        </is>
      </c>
      <c r="AS78" s="24" t="inlineStr">
        <is>
          <t>Diana Shnaider</t>
        </is>
      </c>
      <c r="AT78" s="24" t="inlineStr">
        <is>
          <t>Diana Shnaider</t>
        </is>
      </c>
      <c r="AU78" s="24" t="inlineStr">
        <is>
          <t>Diana Shnaider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999faa03e2fa83bdf40e3760cb8645b4c314e4cc37c2050b8320d6582c4d8167</t>
        </is>
      </c>
      <c r="BB78" s="24" t="inlineStr">
        <is>
          <t>surface_blended_elo</t>
        </is>
      </c>
      <c r="BC78" s="24" t="inlineStr">
        <is>
          <t>tennis-surface-elo-v1</t>
        </is>
      </c>
      <c r="BD78" s="24" t="inlineStr">
        <is>
          <t>999faa03e2fa83bdf40e3760cb8645b4c314e4cc37c2050b8320d6582c4d8167</t>
        </is>
      </c>
      <c r="BE78" s="24" t="inlineStr">
        <is>
          <t>tennis-surface-elo-v1</t>
        </is>
      </c>
      <c r="BF78" s="24" t="inlineStr">
        <is>
          <t>1</t>
        </is>
      </c>
      <c r="BG78" s="24" t="inlineStr">
        <is>
          <t>999faa03e2fa83bdf40e3760cb8645b4c314e4cc37c2050b8320d6582c4d8167</t>
        </is>
      </c>
      <c r="BH78" s="24" t="inlineStr">
        <is>
          <t>2026-07-31T19:53:05.806055Z</t>
        </is>
      </c>
      <c r="BI78" s="24" t="inlineStr">
        <is>
          <t>["same_event","same_team_same_day","same_league_same_day"]</t>
        </is>
      </c>
      <c r="BJ78" s="25" t="n"/>
      <c r="BK78" s="26" t="n">
        <v>-113</v>
      </c>
      <c r="BL78" s="27" t="n">
        <v>1.884956</v>
      </c>
      <c r="BM78" s="28" t="n">
        <v>0.530516</v>
      </c>
      <c r="BN78" s="28" t="n"/>
      <c r="BO78" s="28" t="n"/>
      <c r="BP78" s="25" t="n"/>
      <c r="BQ78" s="27" t="n">
        <v>1.884956</v>
      </c>
      <c r="BR78" s="28" t="n">
        <v>0.53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</row>
    <row r="79" ht="36" customHeight="1">
      <c r="A79" s="24" t="inlineStr">
        <is>
          <t>b1115c560fa34be6</t>
        </is>
      </c>
      <c r="B79" s="24" t="inlineStr">
        <is>
          <t>2026-07-31T21:07:23.884398Z</t>
        </is>
      </c>
      <c r="C79" s="24" t="inlineStr">
        <is>
          <t>2026-07-31T22:30Z</t>
        </is>
      </c>
      <c r="D79" s="24" t="inlineStr">
        <is>
          <t>888-2026:179019</t>
        </is>
      </c>
      <c r="E79" s="24" t="inlineStr">
        <is>
          <t>TENNIS</t>
        </is>
      </c>
      <c r="F79" s="24" t="inlineStr">
        <is>
          <t>Elina Svitolina</t>
        </is>
      </c>
      <c r="G79" s="24" t="inlineStr">
        <is>
          <t>Alexandra Eala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-144</v>
      </c>
      <c r="M79" s="27" t="n">
        <v>1.694444</v>
      </c>
      <c r="N79" s="28" t="n">
        <v>0.590164</v>
      </c>
      <c r="O79" s="28" t="n">
        <v>0.710107</v>
      </c>
      <c r="P79" s="28" t="n">
        <v>0.05</v>
      </c>
      <c r="Q79" s="28" t="n">
        <v>0.119943</v>
      </c>
      <c r="R79" s="26" t="n">
        <v>80</v>
      </c>
      <c r="S79" s="29" t="n">
        <v>2</v>
      </c>
      <c r="T79" s="24" t="inlineStr">
        <is>
          <t>tennis-surface-elo-v1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-144</v>
      </c>
      <c r="AA79" s="28" t="n">
        <v>0.59</v>
      </c>
      <c r="AB79" s="28" t="n">
        <v>-0.000164</v>
      </c>
      <c r="AC79" s="30" t="n">
        <v>-2</v>
      </c>
      <c r="AD79" s="24" t="inlineStr">
        <is>
          <t>2026-08-01T03:00:16.760498Z</t>
        </is>
      </c>
      <c r="AE79" s="31" t="inlineStr">
        <is>
          <t>Surface-blended Elo on Hard: Elina Svitolina p=0.710 vs Alexandra Eala. Executable ask 0.5900 (aec-wta-aleeal-elisvi-2026-08-01).</t>
        </is>
      </c>
      <c r="AF79" s="31" t="inlineStr">
        <is>
          <t>Research-only surface-blended Elo model; singles only, WTA-only market coverage,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Elina Svitolina</t>
        </is>
      </c>
      <c r="AQ79" s="24" t="inlineStr">
        <is>
          <t>Elina Svitolina</t>
        </is>
      </c>
      <c r="AR79" s="24" t="inlineStr">
        <is>
          <t>Elina Svitolina</t>
        </is>
      </c>
      <c r="AS79" s="24" t="inlineStr">
        <is>
          <t>Alexandra Eala</t>
        </is>
      </c>
      <c r="AT79" s="24" t="inlineStr">
        <is>
          <t>Alexandra Eala</t>
        </is>
      </c>
      <c r="AU79" s="24" t="inlineStr">
        <is>
          <t>Alexandra Eala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999faa03e2fa83bdf40e3760cb8645b4c314e4cc37c2050b8320d6582c4d8167</t>
        </is>
      </c>
      <c r="BB79" s="24" t="inlineStr">
        <is>
          <t>surface_blended_elo</t>
        </is>
      </c>
      <c r="BC79" s="24" t="inlineStr">
        <is>
          <t>tennis-surface-elo-v1</t>
        </is>
      </c>
      <c r="BD79" s="24" t="inlineStr">
        <is>
          <t>999faa03e2fa83bdf40e3760cb8645b4c314e4cc37c2050b8320d6582c4d8167</t>
        </is>
      </c>
      <c r="BE79" s="24" t="inlineStr">
        <is>
          <t>tennis-surface-elo-v1</t>
        </is>
      </c>
      <c r="BF79" s="24" t="inlineStr">
        <is>
          <t>1</t>
        </is>
      </c>
      <c r="BG79" s="24" t="inlineStr">
        <is>
          <t>999faa03e2fa83bdf40e3760cb8645b4c314e4cc37c2050b8320d6582c4d8167</t>
        </is>
      </c>
      <c r="BH79" s="24" t="inlineStr">
        <is>
          <t>2026-07-31T21:05:12.590790Z</t>
        </is>
      </c>
      <c r="BI79" s="24" t="inlineStr">
        <is>
          <t>["same_event","same_team_same_day","same_league_same_day"]</t>
        </is>
      </c>
      <c r="BJ79" s="25" t="n"/>
      <c r="BK79" s="26" t="n">
        <v>-144</v>
      </c>
      <c r="BL79" s="27" t="n">
        <v>1.694444</v>
      </c>
      <c r="BM79" s="28" t="n">
        <v>0.590164</v>
      </c>
      <c r="BN79" s="28" t="n"/>
      <c r="BO79" s="28" t="n"/>
      <c r="BP79" s="25" t="n"/>
      <c r="BQ79" s="27" t="n">
        <v>1.694444</v>
      </c>
      <c r="BR79" s="28" t="n">
        <v>0.59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</row>
    <row r="80" ht="36" customHeight="1">
      <c r="A80" s="24" t="inlineStr">
        <is>
          <t>10eed2ec1da54da9</t>
        </is>
      </c>
      <c r="B80" s="24" t="inlineStr">
        <is>
          <t>2026-07-31T21:07:23.884398Z</t>
        </is>
      </c>
      <c r="C80" s="24" t="inlineStr">
        <is>
          <t>2026-07-31T23:00Z</t>
        </is>
      </c>
      <c r="D80" s="24" t="inlineStr">
        <is>
          <t>1067-2026:179447</t>
        </is>
      </c>
      <c r="E80" s="24" t="inlineStr">
        <is>
          <t>TENNIS</t>
        </is>
      </c>
      <c r="F80" s="24" t="inlineStr">
        <is>
          <t>Katie Volynets</t>
        </is>
      </c>
      <c r="G80" s="24" t="inlineStr">
        <is>
          <t>Darja Vidmanova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0.58929</v>
      </c>
      <c r="P80" s="28" t="n">
        <v>0.05</v>
      </c>
      <c r="Q80" s="28" t="n">
        <v>-0.070574</v>
      </c>
      <c r="R80" s="26" t="n">
        <v>0</v>
      </c>
      <c r="S80" s="29" t="n">
        <v>1.25</v>
      </c>
      <c r="T80" s="24" t="inlineStr">
        <is>
          <t>tennis-surface-elo-v1</t>
        </is>
      </c>
      <c r="U80" s="24" t="inlineStr">
        <is>
          <t>settled</t>
        </is>
      </c>
      <c r="V80" s="24" t="inlineStr">
        <is>
          <t>loss</t>
        </is>
      </c>
      <c r="W80" s="26" t="n">
        <v>0</v>
      </c>
      <c r="X80" s="26" t="n">
        <v>1</v>
      </c>
      <c r="Y80" s="25" t="n"/>
      <c r="Z80" s="26" t="n">
        <v>-194</v>
      </c>
      <c r="AA80" s="28" t="n">
        <v>0.66</v>
      </c>
      <c r="AB80" s="28" t="n">
        <v>0.000136</v>
      </c>
      <c r="AC80" s="30" t="n">
        <v>-1.25</v>
      </c>
      <c r="AD80" s="24" t="inlineStr">
        <is>
          <t>2026-08-01T05:33:51.231172Z</t>
        </is>
      </c>
      <c r="AE80" s="31" t="inlineStr">
        <is>
          <t>Surface-blended Elo on Hard: Katie Volynets p=0.589 vs Darja Vidmanova. Executable ask 0.6600 (aec-wta-darvid-katvol-2026-07-31).</t>
        </is>
      </c>
      <c r="AF80" s="31" t="inlineStr">
        <is>
          <t>Research-only surface-blended Elo model; singles only, WTA-only market coverage,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Katie Volynets</t>
        </is>
      </c>
      <c r="AQ80" s="24" t="inlineStr">
        <is>
          <t>Katie Volynets</t>
        </is>
      </c>
      <c r="AR80" s="24" t="inlineStr">
        <is>
          <t>Katie Volynets</t>
        </is>
      </c>
      <c r="AS80" s="24" t="inlineStr">
        <is>
          <t>Darja Vidmanova</t>
        </is>
      </c>
      <c r="AT80" s="24" t="inlineStr">
        <is>
          <t>Darja Vidmanova</t>
        </is>
      </c>
      <c r="AU80" s="24" t="inlineStr">
        <is>
          <t>Darja Vidmanova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999faa03e2fa83bdf40e3760cb8645b4c314e4cc37c2050b8320d6582c4d8167</t>
        </is>
      </c>
      <c r="BB80" s="24" t="inlineStr">
        <is>
          <t>surface_blended_elo</t>
        </is>
      </c>
      <c r="BC80" s="24" t="inlineStr">
        <is>
          <t>tennis-surface-elo-v1</t>
        </is>
      </c>
      <c r="BD80" s="24" t="inlineStr">
        <is>
          <t>999faa03e2fa83bdf40e3760cb8645b4c314e4cc37c2050b8320d6582c4d8167</t>
        </is>
      </c>
      <c r="BE80" s="24" t="inlineStr">
        <is>
          <t>tennis-surface-elo-v1</t>
        </is>
      </c>
      <c r="BF80" s="24" t="inlineStr">
        <is>
          <t>1</t>
        </is>
      </c>
      <c r="BG80" s="24" t="inlineStr">
        <is>
          <t>999faa03e2fa83bdf40e3760cb8645b4c314e4cc37c2050b8320d6582c4d8167</t>
        </is>
      </c>
      <c r="BH80" s="24" t="inlineStr">
        <is>
          <t>2026-07-31T21:05:14.529918Z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>
        <v>1.515464</v>
      </c>
      <c r="BR80" s="28" t="n">
        <v>0.66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</row>
    <row r="81" ht="36" customHeight="1">
      <c r="A81" s="24" t="inlineStr">
        <is>
          <t>6b3978939cb34a8d</t>
        </is>
      </c>
      <c r="B81" s="24" t="inlineStr">
        <is>
          <t>2026-08-01T10:21:10.442597Z</t>
        </is>
      </c>
      <c r="C81" s="24" t="inlineStr">
        <is>
          <t>2026-08-01T13:00Z</t>
        </is>
      </c>
      <c r="D81" s="24" t="inlineStr">
        <is>
          <t>1073-2026:179590</t>
        </is>
      </c>
      <c r="E81" s="24" t="inlineStr">
        <is>
          <t>TENNIS</t>
        </is>
      </c>
      <c r="F81" s="24" t="inlineStr">
        <is>
          <t>Francesca Jones</t>
        </is>
      </c>
      <c r="G81" s="24" t="inlineStr">
        <is>
          <t>Kaitlin Quevedo</t>
        </is>
      </c>
      <c r="H81" s="24" t="inlineStr">
        <is>
          <t>moneyline</t>
        </is>
      </c>
      <c r="I81" s="24" t="inlineStr">
        <is>
          <t>away</t>
        </is>
      </c>
      <c r="J81" s="25" t="n"/>
      <c r="K81" s="24" t="inlineStr">
        <is>
          <t>polymarket_us</t>
        </is>
      </c>
      <c r="L81" s="26" t="n">
        <v>-113</v>
      </c>
      <c r="M81" s="27" t="n">
        <v>1.884956</v>
      </c>
      <c r="N81" s="28" t="n">
        <v>0.530516</v>
      </c>
      <c r="O81" s="28" t="n">
        <v>0.556019</v>
      </c>
      <c r="P81" s="28" t="n">
        <v>0.05</v>
      </c>
      <c r="Q81" s="28" t="n">
        <v>0.025503</v>
      </c>
      <c r="R81" s="26" t="n">
        <v>33</v>
      </c>
      <c r="S81" s="29" t="n">
        <v>1</v>
      </c>
      <c r="T81" s="24" t="inlineStr">
        <is>
          <t>tennis-surface-elo-v1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/>
      <c r="Z81" s="26" t="n">
        <v>-113</v>
      </c>
      <c r="AA81" s="28" t="n">
        <v>0.53</v>
      </c>
      <c r="AB81" s="28" t="n">
        <v>-0.000516</v>
      </c>
      <c r="AC81" s="30" t="n">
        <v>-1</v>
      </c>
      <c r="AD81" s="24" t="inlineStr">
        <is>
          <t>2026-08-01T16:48:15.887490Z</t>
        </is>
      </c>
      <c r="AE81" s="31" t="inlineStr">
        <is>
          <t>Surface-blended Elo on Hard: Francesca Jones p=0.556 vs Kaitlin Quevedo. Executable ask 0.5300 (aec-wta-kaique-frajon-2026-08-01).</t>
        </is>
      </c>
      <c r="AF81" s="31" t="inlineStr">
        <is>
          <t>Research-only surface-blended Elo model; singles only, WTA-only market coverage,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Francesca Jones</t>
        </is>
      </c>
      <c r="AQ81" s="24" t="inlineStr">
        <is>
          <t>Francesca Jones</t>
        </is>
      </c>
      <c r="AR81" s="24" t="inlineStr">
        <is>
          <t>Francesca Jones</t>
        </is>
      </c>
      <c r="AS81" s="24" t="inlineStr">
        <is>
          <t>Kaitlin Quevedo</t>
        </is>
      </c>
      <c r="AT81" s="24" t="inlineStr">
        <is>
          <t>Kaitlin Quevedo</t>
        </is>
      </c>
      <c r="AU81" s="24" t="inlineStr">
        <is>
          <t>Kaitlin Quevedo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999faa03e2fa83bdf40e3760cb8645b4c314e4cc37c2050b8320d6582c4d8167</t>
        </is>
      </c>
      <c r="BB81" s="24" t="inlineStr">
        <is>
          <t>surface_blended_elo</t>
        </is>
      </c>
      <c r="BC81" s="24" t="inlineStr">
        <is>
          <t>tennis-surface-elo-v1</t>
        </is>
      </c>
      <c r="BD81" s="24" t="inlineStr">
        <is>
          <t>999faa03e2fa83bdf40e3760cb8645b4c314e4cc37c2050b8320d6582c4d8167</t>
        </is>
      </c>
      <c r="BE81" s="24" t="inlineStr">
        <is>
          <t>tennis-surface-elo-v1</t>
        </is>
      </c>
      <c r="BF81" s="24" t="inlineStr">
        <is>
          <t>1</t>
        </is>
      </c>
      <c r="BG81" s="24" t="inlineStr">
        <is>
          <t>999faa03e2fa83bdf40e3760cb8645b4c314e4cc37c2050b8320d6582c4d8167</t>
        </is>
      </c>
      <c r="BH81" s="24" t="inlineStr">
        <is>
          <t>2026-08-01T10:17:33.819801Z</t>
        </is>
      </c>
      <c r="BI81" s="24" t="inlineStr">
        <is>
          <t>["same_event","same_team_same_day","same_league_same_day"]</t>
        </is>
      </c>
      <c r="BJ81" s="25" t="n"/>
      <c r="BK81" s="26" t="n">
        <v>-113</v>
      </c>
      <c r="BL81" s="27" t="n">
        <v>1.884956</v>
      </c>
      <c r="BM81" s="28" t="n">
        <v>0.530516</v>
      </c>
      <c r="BN81" s="28" t="n"/>
      <c r="BO81" s="28" t="n"/>
      <c r="BP81" s="25" t="n"/>
      <c r="BQ81" s="27" t="n">
        <v>1.884956</v>
      </c>
      <c r="BR81" s="28" t="n">
        <v>0.53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</row>
    <row r="82" ht="36" customHeight="1">
      <c r="A82" s="24" t="inlineStr">
        <is>
          <t>32c3d88544104880</t>
        </is>
      </c>
      <c r="B82" s="24" t="inlineStr">
        <is>
          <t>2026-08-01T13:45:05.538322Z</t>
        </is>
      </c>
      <c r="C82" s="24" t="inlineStr">
        <is>
          <t>2026-08-01T15:00Z</t>
        </is>
      </c>
      <c r="D82" s="24" t="inlineStr">
        <is>
          <t>1073-2026:179588</t>
        </is>
      </c>
      <c r="E82" s="24" t="inlineStr">
        <is>
          <t>TENNIS</t>
        </is>
      </c>
      <c r="F82" s="24" t="inlineStr">
        <is>
          <t>Laura Samson</t>
        </is>
      </c>
      <c r="G82" s="24" t="inlineStr">
        <is>
          <t>Lucia Bronzetti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-122</v>
      </c>
      <c r="M82" s="27" t="n">
        <v>1.819672</v>
      </c>
      <c r="N82" s="28" t="n">
        <v>0.54955</v>
      </c>
      <c r="O82" s="28" t="n">
        <v>0.616613</v>
      </c>
      <c r="P82" s="28" t="n">
        <v>0.05</v>
      </c>
      <c r="Q82" s="28" t="n">
        <v>0.067063</v>
      </c>
      <c r="R82" s="26" t="n">
        <v>54</v>
      </c>
      <c r="S82" s="29" t="n">
        <v>1.5</v>
      </c>
      <c r="T82" s="24" t="inlineStr">
        <is>
          <t>tennis-surface-elo-v1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-122</v>
      </c>
      <c r="AA82" s="28" t="n">
        <v>0.55</v>
      </c>
      <c r="AB82" s="28" t="n">
        <v>0.00045</v>
      </c>
      <c r="AC82" s="30" t="n">
        <v>-1.5</v>
      </c>
      <c r="AD82" s="24" t="inlineStr">
        <is>
          <t>2026-08-01T18:35:36.565262Z</t>
        </is>
      </c>
      <c r="AE82" s="31" t="inlineStr">
        <is>
          <t>Surface-blended Elo on Hard: Laura Samson p=0.383 vs Lucia Bronzetti. Executable ask 0.5500 (aec-wta-lucbro-lausam-2026-08-01).</t>
        </is>
      </c>
      <c r="AF82" s="31" t="inlineStr">
        <is>
          <t>Research-only surface-blended Elo model; singles only, WTA-only market coverage, not yet locked-holdout qualified.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Laura Samson</t>
        </is>
      </c>
      <c r="AQ82" s="24" t="inlineStr">
        <is>
          <t>Laura Samson</t>
        </is>
      </c>
      <c r="AR82" s="24" t="inlineStr">
        <is>
          <t>Laura Samson</t>
        </is>
      </c>
      <c r="AS82" s="24" t="inlineStr">
        <is>
          <t>Lucia Bronzetti</t>
        </is>
      </c>
      <c r="AT82" s="24" t="inlineStr">
        <is>
          <t>Lucia Bronzetti</t>
        </is>
      </c>
      <c r="AU82" s="24" t="inlineStr">
        <is>
          <t>Lucia Bronzetti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999faa03e2fa83bdf40e3760cb8645b4c314e4cc37c2050b8320d6582c4d8167</t>
        </is>
      </c>
      <c r="BB82" s="24" t="inlineStr">
        <is>
          <t>surface_blended_elo</t>
        </is>
      </c>
      <c r="BC82" s="24" t="inlineStr">
        <is>
          <t>tennis-surface-elo-v1</t>
        </is>
      </c>
      <c r="BD82" s="24" t="inlineStr">
        <is>
          <t>999faa03e2fa83bdf40e3760cb8645b4c314e4cc37c2050b8320d6582c4d8167</t>
        </is>
      </c>
      <c r="BE82" s="24" t="inlineStr">
        <is>
          <t>tennis-surface-elo-v1</t>
        </is>
      </c>
      <c r="BF82" s="24" t="inlineStr">
        <is>
          <t>1</t>
        </is>
      </c>
      <c r="BG82" s="24" t="inlineStr">
        <is>
          <t>999faa03e2fa83bdf40e3760cb8645b4c314e4cc37c2050b8320d6582c4d8167</t>
        </is>
      </c>
      <c r="BH82" s="24" t="inlineStr">
        <is>
          <t>2026-08-01T13:42:52.016686Z</t>
        </is>
      </c>
      <c r="BI82" s="24" t="inlineStr">
        <is>
          <t>["same_event","same_team_same_day","same_league_same_day"]</t>
        </is>
      </c>
      <c r="BJ82" s="25" t="n"/>
      <c r="BK82" s="26" t="n">
        <v>-122</v>
      </c>
      <c r="BL82" s="27" t="n">
        <v>1.819672</v>
      </c>
      <c r="BM82" s="28" t="n">
        <v>0.54955</v>
      </c>
      <c r="BN82" s="28" t="n"/>
      <c r="BO82" s="28" t="n"/>
      <c r="BP82" s="25" t="n"/>
      <c r="BQ82" s="27" t="n">
        <v>1.819672</v>
      </c>
      <c r="BR82" s="28" t="n">
        <v>0.55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</row>
    <row r="83" ht="36" customHeight="1">
      <c r="A83" s="24" t="inlineStr">
        <is>
          <t>aea1bbec2ad64cd6</t>
        </is>
      </c>
      <c r="B83" s="24" t="inlineStr">
        <is>
          <t>2026-08-01T13:45:05.538322Z</t>
        </is>
      </c>
      <c r="C83" s="24" t="inlineStr">
        <is>
          <t>2026-08-01T15:00Z</t>
        </is>
      </c>
      <c r="D83" s="24" t="inlineStr">
        <is>
          <t>421-2026:183321</t>
        </is>
      </c>
      <c r="E83" s="24" t="inlineStr">
        <is>
          <t>TENNIS</t>
        </is>
      </c>
      <c r="F83" s="24" t="inlineStr">
        <is>
          <t>Aoi Ito</t>
        </is>
      </c>
      <c r="G83" s="24" t="inlineStr">
        <is>
          <t>Oksana Selekhmeteva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-223</v>
      </c>
      <c r="M83" s="27" t="n">
        <v>1.44843</v>
      </c>
      <c r="N83" s="28" t="n">
        <v>0.690402</v>
      </c>
      <c r="O83" s="28" t="n">
        <v>0.5925859999999999</v>
      </c>
      <c r="P83" s="28" t="n">
        <v>0.05</v>
      </c>
      <c r="Q83" s="28" t="n">
        <v>-0.097816</v>
      </c>
      <c r="R83" s="26" t="n">
        <v>0</v>
      </c>
      <c r="S83" s="29" t="n">
        <v>1.25</v>
      </c>
      <c r="T83" s="24" t="inlineStr">
        <is>
          <t>tennis-surface-elo-v1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-223</v>
      </c>
      <c r="AA83" s="28" t="n">
        <v>0.6899999999999999</v>
      </c>
      <c r="AB83" s="28" t="n">
        <v>-0.000402</v>
      </c>
      <c r="AC83" s="30" t="n">
        <v>-1.25</v>
      </c>
      <c r="AD83" s="24" t="inlineStr">
        <is>
          <t>2026-08-01T18:35:37.137505Z</t>
        </is>
      </c>
      <c r="AE83" s="31" t="inlineStr">
        <is>
          <t>Surface-blended Elo on Hard: Aoi Ito p=0.407 vs Oksana Selekhmeteva. Executable ask 0.6900 (aec-wta-okssel-aoiito-2026-08-01).</t>
        </is>
      </c>
      <c r="AF83" s="31" t="inlineStr">
        <is>
          <t>Research-only surface-blended Elo model; singles only, WTA-only market coverage, not yet locked-holdout qualified.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Aoi Ito</t>
        </is>
      </c>
      <c r="AQ83" s="24" t="inlineStr">
        <is>
          <t>Aoi Ito</t>
        </is>
      </c>
      <c r="AR83" s="24" t="inlineStr">
        <is>
          <t>Aoi Ito</t>
        </is>
      </c>
      <c r="AS83" s="24" t="inlineStr">
        <is>
          <t>Oksana Selekhmeteva</t>
        </is>
      </c>
      <c r="AT83" s="24" t="inlineStr">
        <is>
          <t>Oksana Selekhmeteva</t>
        </is>
      </c>
      <c r="AU83" s="24" t="inlineStr">
        <is>
          <t>Oksana Selekhmeteva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999faa03e2fa83bdf40e3760cb8645b4c314e4cc37c2050b8320d6582c4d8167</t>
        </is>
      </c>
      <c r="BB83" s="24" t="inlineStr">
        <is>
          <t>surface_blended_elo</t>
        </is>
      </c>
      <c r="BC83" s="24" t="inlineStr">
        <is>
          <t>tennis-surface-elo-v1</t>
        </is>
      </c>
      <c r="BD83" s="24" t="inlineStr">
        <is>
          <t>999faa03e2fa83bdf40e3760cb8645b4c314e4cc37c2050b8320d6582c4d8167</t>
        </is>
      </c>
      <c r="BE83" s="24" t="inlineStr">
        <is>
          <t>tennis-surface-elo-v1</t>
        </is>
      </c>
      <c r="BF83" s="24" t="inlineStr">
        <is>
          <t>1</t>
        </is>
      </c>
      <c r="BG83" s="24" t="inlineStr">
        <is>
          <t>999faa03e2fa83bdf40e3760cb8645b4c314e4cc37c2050b8320d6582c4d8167</t>
        </is>
      </c>
      <c r="BH83" s="24" t="inlineStr">
        <is>
          <t>2026-08-01T13:42:48.416587Z</t>
        </is>
      </c>
      <c r="BI83" s="24" t="inlineStr">
        <is>
          <t>["same_event","same_team_same_day","same_league_same_day"]</t>
        </is>
      </c>
      <c r="BJ83" s="25" t="n"/>
      <c r="BK83" s="26" t="n">
        <v>-223</v>
      </c>
      <c r="BL83" s="27" t="n">
        <v>1.44843</v>
      </c>
      <c r="BM83" s="28" t="n">
        <v>0.690402</v>
      </c>
      <c r="BN83" s="28" t="n"/>
      <c r="BO83" s="28" t="n"/>
      <c r="BP83" s="25" t="n"/>
      <c r="BQ83" s="27" t="n">
        <v>1.44843</v>
      </c>
      <c r="BR83" s="28" t="n">
        <v>0.6899999999999999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</row>
    <row r="84" ht="36" customHeight="1">
      <c r="A84" s="24" t="inlineStr">
        <is>
          <t>0ba68b6e97b34a6e</t>
        </is>
      </c>
      <c r="B84" s="24" t="inlineStr">
        <is>
          <t>2026-08-01T13:45:05.538322Z</t>
        </is>
      </c>
      <c r="C84" s="24" t="inlineStr">
        <is>
          <t>2026-08-01T15:00Z</t>
        </is>
      </c>
      <c r="D84" s="24" t="inlineStr">
        <is>
          <t>421-2026:183322</t>
        </is>
      </c>
      <c r="E84" s="24" t="inlineStr">
        <is>
          <t>TENNIS</t>
        </is>
      </c>
      <c r="F84" s="24" t="inlineStr">
        <is>
          <t>Lois Boisson</t>
        </is>
      </c>
      <c r="G84" s="24" t="inlineStr">
        <is>
          <t>Emiliana Arango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108</v>
      </c>
      <c r="M84" s="27" t="n">
        <v>2.08</v>
      </c>
      <c r="N84" s="28" t="n">
        <v>0.480769</v>
      </c>
      <c r="O84" s="28" t="n">
        <v>0.5789029999999999</v>
      </c>
      <c r="P84" s="28" t="n">
        <v>0.05</v>
      </c>
      <c r="Q84" s="28" t="n">
        <v>0.098134</v>
      </c>
      <c r="R84" s="26" t="n">
        <v>69</v>
      </c>
      <c r="S84" s="29" t="n">
        <v>1.25</v>
      </c>
      <c r="T84" s="24" t="inlineStr">
        <is>
          <t>tennis-surface-elo-v1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108</v>
      </c>
      <c r="AA84" s="28" t="n">
        <v>0.48</v>
      </c>
      <c r="AB84" s="28" t="n">
        <v>-0.000769</v>
      </c>
      <c r="AC84" s="30" t="n">
        <v>1.35</v>
      </c>
      <c r="AD84" s="24" t="inlineStr">
        <is>
          <t>2026-08-01T18:35:37.653283Z</t>
        </is>
      </c>
      <c r="AE84" s="31" t="inlineStr">
        <is>
          <t>Surface-blended Elo on Hard: Lois Boisson p=0.579 vs Emiliana Arango. Executable ask 0.4800 (aec-wta-emiara-loiboi-2026-08-01).</t>
        </is>
      </c>
      <c r="AF84" s="31" t="inlineStr">
        <is>
          <t>Research-only surface-blended Elo model; singles only, WTA-only market coverage, not yet locked-holdout qualified.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Lois Boisson</t>
        </is>
      </c>
      <c r="AQ84" s="24" t="inlineStr">
        <is>
          <t>Lois Boisson</t>
        </is>
      </c>
      <c r="AR84" s="24" t="inlineStr">
        <is>
          <t>Lois Boisson</t>
        </is>
      </c>
      <c r="AS84" s="24" t="inlineStr">
        <is>
          <t>Emiliana Arango</t>
        </is>
      </c>
      <c r="AT84" s="24" t="inlineStr">
        <is>
          <t>Emiliana Arango</t>
        </is>
      </c>
      <c r="AU84" s="24" t="inlineStr">
        <is>
          <t>Emiliana Arango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999faa03e2fa83bdf40e3760cb8645b4c314e4cc37c2050b8320d6582c4d8167</t>
        </is>
      </c>
      <c r="BB84" s="24" t="inlineStr">
        <is>
          <t>surface_blended_elo</t>
        </is>
      </c>
      <c r="BC84" s="24" t="inlineStr">
        <is>
          <t>tennis-surface-elo-v1</t>
        </is>
      </c>
      <c r="BD84" s="24" t="inlineStr">
        <is>
          <t>999faa03e2fa83bdf40e3760cb8645b4c314e4cc37c2050b8320d6582c4d8167</t>
        </is>
      </c>
      <c r="BE84" s="24" t="inlineStr">
        <is>
          <t>tennis-surface-elo-v1</t>
        </is>
      </c>
      <c r="BF84" s="24" t="inlineStr">
        <is>
          <t>1</t>
        </is>
      </c>
      <c r="BG84" s="24" t="inlineStr">
        <is>
          <t>999faa03e2fa83bdf40e3760cb8645b4c314e4cc37c2050b8320d6582c4d8167</t>
        </is>
      </c>
      <c r="BH84" s="24" t="inlineStr">
        <is>
          <t>2026-08-01T13:42:47.170895Z</t>
        </is>
      </c>
      <c r="BI84" s="24" t="inlineStr">
        <is>
          <t>["same_event","same_team_same_day","same_league_same_day"]</t>
        </is>
      </c>
      <c r="BJ84" s="25" t="n"/>
      <c r="BK84" s="26" t="n">
        <v>108</v>
      </c>
      <c r="BL84" s="27" t="n">
        <v>2.08</v>
      </c>
      <c r="BM84" s="28" t="n">
        <v>0.480769</v>
      </c>
      <c r="BN84" s="28" t="n"/>
      <c r="BO84" s="28" t="n"/>
      <c r="BP84" s="25" t="n"/>
      <c r="BQ84" s="27" t="n">
        <v>2.08</v>
      </c>
      <c r="BR84" s="28" t="n">
        <v>0.48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</row>
    <row r="85" ht="36" customHeight="1">
      <c r="A85" s="24" t="inlineStr">
        <is>
          <t>0929e2ef16d04d34</t>
        </is>
      </c>
      <c r="B85" s="24" t="inlineStr">
        <is>
          <t>2026-08-01T13:45:05.538322Z</t>
        </is>
      </c>
      <c r="C85" s="24" t="inlineStr">
        <is>
          <t>2026-08-01T15:00Z</t>
        </is>
      </c>
      <c r="D85" s="24" t="inlineStr">
        <is>
          <t>421-2026:183328</t>
        </is>
      </c>
      <c r="E85" s="24" t="inlineStr">
        <is>
          <t>TENNIS</t>
        </is>
      </c>
      <c r="F85" s="24" t="inlineStr">
        <is>
          <t>Zhu Lin</t>
        </is>
      </c>
      <c r="G85" s="24" t="inlineStr">
        <is>
          <t>Leolia Jeanjean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122</v>
      </c>
      <c r="M85" s="27" t="n">
        <v>2.22</v>
      </c>
      <c r="N85" s="28" t="n">
        <v>0.45045</v>
      </c>
      <c r="O85" s="28" t="n">
        <v>0.518244</v>
      </c>
      <c r="P85" s="28" t="n">
        <v>0.05</v>
      </c>
      <c r="Q85" s="28" t="n">
        <v>0.06779399999999999</v>
      </c>
      <c r="R85" s="26" t="n">
        <v>54</v>
      </c>
      <c r="S85" s="29" t="n">
        <v>1</v>
      </c>
      <c r="T85" s="24" t="inlineStr">
        <is>
          <t>tennis-surface-elo-v1</t>
        </is>
      </c>
      <c r="U85" s="24" t="inlineStr">
        <is>
          <t>settled</t>
        </is>
      </c>
      <c r="V85" s="24" t="inlineStr">
        <is>
          <t>win</t>
        </is>
      </c>
      <c r="W85" s="26" t="n">
        <v>0</v>
      </c>
      <c r="X85" s="26" t="n">
        <v>1</v>
      </c>
      <c r="Y85" s="25" t="n"/>
      <c r="Z85" s="26" t="n">
        <v>122</v>
      </c>
      <c r="AA85" s="28" t="n">
        <v>0.45</v>
      </c>
      <c r="AB85" s="28" t="n">
        <v>-0.00045</v>
      </c>
      <c r="AC85" s="30" t="n">
        <v>1.22</v>
      </c>
      <c r="AD85" s="24" t="inlineStr">
        <is>
          <t>2026-08-01T18:35:38.169808Z</t>
        </is>
      </c>
      <c r="AE85" s="31" t="inlineStr">
        <is>
          <t>Surface-blended Elo on Hard: Zhu Lin p=0.482 vs Leolia Jeanjean. Executable ask 0.4500 (aec-wta-leojea-linzhu-2026-08-01).</t>
        </is>
      </c>
      <c r="AF85" s="31" t="inlineStr">
        <is>
          <t>Research-only surface-blended Elo model; singles only, WTA-only market coverage, not yet locked-holdout qualified.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Zhu Lin</t>
        </is>
      </c>
      <c r="AQ85" s="24" t="inlineStr">
        <is>
          <t>Zhu Lin</t>
        </is>
      </c>
      <c r="AR85" s="24" t="inlineStr">
        <is>
          <t>Zhu Lin</t>
        </is>
      </c>
      <c r="AS85" s="24" t="inlineStr">
        <is>
          <t>Leolia Jeanjean</t>
        </is>
      </c>
      <c r="AT85" s="24" t="inlineStr">
        <is>
          <t>Leolia Jeanjean</t>
        </is>
      </c>
      <c r="AU85" s="24" t="inlineStr">
        <is>
          <t>Leolia Jeanjean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999faa03e2fa83bdf40e3760cb8645b4c314e4cc37c2050b8320d6582c4d8167</t>
        </is>
      </c>
      <c r="BB85" s="24" t="inlineStr">
        <is>
          <t>surface_blended_elo</t>
        </is>
      </c>
      <c r="BC85" s="24" t="inlineStr">
        <is>
          <t>tennis-surface-elo-v1</t>
        </is>
      </c>
      <c r="BD85" s="24" t="inlineStr">
        <is>
          <t>999faa03e2fa83bdf40e3760cb8645b4c314e4cc37c2050b8320d6582c4d8167</t>
        </is>
      </c>
      <c r="BE85" s="24" t="inlineStr">
        <is>
          <t>tennis-surface-elo-v1</t>
        </is>
      </c>
      <c r="BF85" s="24" t="inlineStr">
        <is>
          <t>1</t>
        </is>
      </c>
      <c r="BG85" s="24" t="inlineStr">
        <is>
          <t>999faa03e2fa83bdf40e3760cb8645b4c314e4cc37c2050b8320d6582c4d8167</t>
        </is>
      </c>
      <c r="BH85" s="24" t="inlineStr">
        <is>
          <t>2026-08-01T13:42:50.700450Z</t>
        </is>
      </c>
      <c r="BI85" s="24" t="inlineStr">
        <is>
          <t>["same_event","same_team_same_day","same_league_same_day"]</t>
        </is>
      </c>
      <c r="BJ85" s="25" t="n"/>
      <c r="BK85" s="26" t="n">
        <v>122</v>
      </c>
      <c r="BL85" s="27" t="n">
        <v>2.22</v>
      </c>
      <c r="BM85" s="28" t="n">
        <v>0.45045</v>
      </c>
      <c r="BN85" s="28" t="n"/>
      <c r="BO85" s="28" t="n"/>
      <c r="BP85" s="25" t="n"/>
      <c r="BQ85" s="27" t="n">
        <v>2.22</v>
      </c>
      <c r="BR85" s="28" t="n">
        <v>0.45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</row>
    <row r="86" ht="36" customHeight="1">
      <c r="A86" s="24" t="inlineStr">
        <is>
          <t>a9f79cf84e904ab3</t>
        </is>
      </c>
      <c r="B86" s="24" t="inlineStr">
        <is>
          <t>2026-08-01T13:45:05.538322Z</t>
        </is>
      </c>
      <c r="C86" s="24" t="inlineStr">
        <is>
          <t>2026-08-01T15:00Z</t>
        </is>
      </c>
      <c r="D86" s="24" t="inlineStr">
        <is>
          <t>421-2026:183329</t>
        </is>
      </c>
      <c r="E86" s="24" t="inlineStr">
        <is>
          <t>TENNIS</t>
        </is>
      </c>
      <c r="F86" s="24" t="inlineStr">
        <is>
          <t>Marina Bassols Ribera</t>
        </is>
      </c>
      <c r="G86" s="24" t="inlineStr">
        <is>
          <t>Victoria Jimenez Kasintseva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-170</v>
      </c>
      <c r="M86" s="27" t="n">
        <v>1.588235</v>
      </c>
      <c r="N86" s="28" t="n">
        <v>0.62963</v>
      </c>
      <c r="O86" s="28" t="n">
        <v>0.542961</v>
      </c>
      <c r="P86" s="28" t="n">
        <v>0.05</v>
      </c>
      <c r="Q86" s="28" t="n">
        <v>-0.086669</v>
      </c>
      <c r="R86" s="26" t="n">
        <v>0</v>
      </c>
      <c r="S86" s="29" t="n">
        <v>1</v>
      </c>
      <c r="T86" s="24" t="inlineStr">
        <is>
          <t>tennis-surface-elo-v1</t>
        </is>
      </c>
      <c r="U86" s="24" t="inlineStr">
        <is>
          <t>settled</t>
        </is>
      </c>
      <c r="V86" s="24" t="inlineStr">
        <is>
          <t>loss</t>
        </is>
      </c>
      <c r="W86" s="26" t="n">
        <v>0</v>
      </c>
      <c r="X86" s="26" t="n">
        <v>1</v>
      </c>
      <c r="Y86" s="25" t="n"/>
      <c r="Z86" s="26" t="n">
        <v>-170</v>
      </c>
      <c r="AA86" s="28" t="n">
        <v>0.63</v>
      </c>
      <c r="AB86" s="28" t="n">
        <v>0.00037</v>
      </c>
      <c r="AC86" s="30" t="n">
        <v>-1</v>
      </c>
      <c r="AD86" s="24" t="inlineStr">
        <is>
          <t>2026-08-01T18:35:38.685541Z</t>
        </is>
      </c>
      <c r="AE86" s="31" t="inlineStr">
        <is>
          <t>Surface-blended Elo on Hard: Marina Bassols Ribera p=0.543 vs Victoria Jimenez Kasintseva. Executable ask 0.6300 (aec-wta-vickas-marrib-2026-08-01).</t>
        </is>
      </c>
      <c r="AF86" s="31" t="inlineStr">
        <is>
          <t>Research-only surface-blended Elo model; singles only, WTA-only market coverage, not yet locked-holdout qualified.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inlineStr">
        <is>
          <t>Marina Bassols Ribera</t>
        </is>
      </c>
      <c r="AQ86" s="24" t="inlineStr">
        <is>
          <t>Marina Bassols Ribera</t>
        </is>
      </c>
      <c r="AR86" s="24" t="inlineStr">
        <is>
          <t>Marina Bassols Ribera</t>
        </is>
      </c>
      <c r="AS86" s="24" t="inlineStr">
        <is>
          <t>Victoria Jimenez Kasintseva</t>
        </is>
      </c>
      <c r="AT86" s="24" t="inlineStr">
        <is>
          <t>Victoria Jimenez Kasintseva</t>
        </is>
      </c>
      <c r="AU86" s="24" t="inlineStr">
        <is>
          <t>Victoria Jimenez Kasintseva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999faa03e2fa83bdf40e3760cb8645b4c314e4cc37c2050b8320d6582c4d8167</t>
        </is>
      </c>
      <c r="BB86" s="24" t="inlineStr">
        <is>
          <t>surface_blended_elo</t>
        </is>
      </c>
      <c r="BC86" s="24" t="inlineStr">
        <is>
          <t>tennis-surface-elo-v1</t>
        </is>
      </c>
      <c r="BD86" s="24" t="inlineStr">
        <is>
          <t>999faa03e2fa83bdf40e3760cb8645b4c314e4cc37c2050b8320d6582c4d8167</t>
        </is>
      </c>
      <c r="BE86" s="24" t="inlineStr">
        <is>
          <t>tennis-surface-elo-v1</t>
        </is>
      </c>
      <c r="BF86" s="24" t="inlineStr">
        <is>
          <t>1</t>
        </is>
      </c>
      <c r="BG86" s="24" t="inlineStr">
        <is>
          <t>999faa03e2fa83bdf40e3760cb8645b4c314e4cc37c2050b8320d6582c4d8167</t>
        </is>
      </c>
      <c r="BH86" s="24" t="inlineStr">
        <is>
          <t>2026-08-01T13:42:45.658413Z</t>
        </is>
      </c>
      <c r="BI86" s="24" t="inlineStr">
        <is>
          <t>["same_event","same_team_same_day","same_league_same_day"]</t>
        </is>
      </c>
      <c r="BJ86" s="25" t="n"/>
      <c r="BK86" s="26" t="n">
        <v>-170</v>
      </c>
      <c r="BL86" s="27" t="n">
        <v>1.588235</v>
      </c>
      <c r="BM86" s="28" t="n">
        <v>0.62963</v>
      </c>
      <c r="BN86" s="28" t="n"/>
      <c r="BO86" s="28" t="n"/>
      <c r="BP86" s="25" t="n"/>
      <c r="BQ86" s="27" t="n">
        <v>1.588235</v>
      </c>
      <c r="BR86" s="28" t="n">
        <v>0.63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</row>
    <row r="87" ht="36" customHeight="1">
      <c r="A87" s="24" t="inlineStr">
        <is>
          <t>276b20227dcf4a5b</t>
        </is>
      </c>
      <c r="B87" s="24" t="inlineStr">
        <is>
          <t>2026-08-01T13:45:05.538322Z</t>
        </is>
      </c>
      <c r="C87" s="24" t="inlineStr">
        <is>
          <t>2026-08-01T16:30Z</t>
        </is>
      </c>
      <c r="D87" s="24" t="inlineStr">
        <is>
          <t>421-2026:183314</t>
        </is>
      </c>
      <c r="E87" s="24" t="inlineStr">
        <is>
          <t>TENNIS</t>
        </is>
      </c>
      <c r="F87" s="24" t="inlineStr">
        <is>
          <t>Zheng Qinwen</t>
        </is>
      </c>
      <c r="G87" s="24" t="inlineStr">
        <is>
          <t>Lanlana Tararudee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-257</v>
      </c>
      <c r="M87" s="27" t="n">
        <v>1.389105</v>
      </c>
      <c r="N87" s="28" t="n">
        <v>0.719888</v>
      </c>
      <c r="O87" s="28" t="n">
        <v>0.522979</v>
      </c>
      <c r="P87" s="28" t="n">
        <v>0.05</v>
      </c>
      <c r="Q87" s="28" t="n">
        <v>-0.196909</v>
      </c>
      <c r="R87" s="26" t="n">
        <v>0</v>
      </c>
      <c r="S87" s="29" t="n">
        <v>1</v>
      </c>
      <c r="T87" s="24" t="inlineStr">
        <is>
          <t>tennis-surface-elo-v1</t>
        </is>
      </c>
      <c r="U87" s="24" t="inlineStr">
        <is>
          <t>settled</t>
        </is>
      </c>
      <c r="V87" s="24" t="inlineStr">
        <is>
          <t>loss</t>
        </is>
      </c>
      <c r="W87" s="26" t="n">
        <v>0</v>
      </c>
      <c r="X87" s="26" t="n">
        <v>1</v>
      </c>
      <c r="Y87" s="25" t="n"/>
      <c r="Z87" s="26" t="n"/>
      <c r="AA87" s="28" t="n"/>
      <c r="AB87" s="28" t="n"/>
      <c r="AC87" s="30" t="n">
        <v>-1</v>
      </c>
      <c r="AD87" s="24" t="inlineStr">
        <is>
          <t>2026-08-01T20:13:24.564563Z</t>
        </is>
      </c>
      <c r="AE87" s="31" t="inlineStr">
        <is>
          <t>Surface-blended Elo on Hard: Zheng Qinwen p=0.523 vs Lanlana Tararudee. Executable ask 0.7200 (aec-wta-lantar-qinzhe-2026-08-01).</t>
        </is>
      </c>
      <c r="AF87" s="31" t="inlineStr">
        <is>
          <t>Research-only surface-blended Elo model; singles only, WTA-only market coverage, not yet locked-holdout qualified.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inlineStr">
        <is>
          <t>Zheng Qinwen</t>
        </is>
      </c>
      <c r="AQ87" s="24" t="inlineStr">
        <is>
          <t>Zheng Qinwen</t>
        </is>
      </c>
      <c r="AR87" s="24" t="inlineStr">
        <is>
          <t>Zheng Qinwen</t>
        </is>
      </c>
      <c r="AS87" s="24" t="inlineStr">
        <is>
          <t>Lanlana Tararudee</t>
        </is>
      </c>
      <c r="AT87" s="24" t="inlineStr">
        <is>
          <t>Lanlana Tararudee</t>
        </is>
      </c>
      <c r="AU87" s="24" t="inlineStr">
        <is>
          <t>Lanlana Tararudee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999faa03e2fa83bdf40e3760cb8645b4c314e4cc37c2050b8320d6582c4d8167</t>
        </is>
      </c>
      <c r="BB87" s="24" t="inlineStr">
        <is>
          <t>surface_blended_elo</t>
        </is>
      </c>
      <c r="BC87" s="24" t="inlineStr">
        <is>
          <t>tennis-surface-elo-v1</t>
        </is>
      </c>
      <c r="BD87" s="24" t="inlineStr">
        <is>
          <t>999faa03e2fa83bdf40e3760cb8645b4c314e4cc37c2050b8320d6582c4d8167</t>
        </is>
      </c>
      <c r="BE87" s="24" t="inlineStr">
        <is>
          <t>tennis-surface-elo-v1</t>
        </is>
      </c>
      <c r="BF87" s="24" t="inlineStr">
        <is>
          <t>1</t>
        </is>
      </c>
      <c r="BG87" s="24" t="inlineStr">
        <is>
          <t>999faa03e2fa83bdf40e3760cb8645b4c314e4cc37c2050b8320d6582c4d8167</t>
        </is>
      </c>
      <c r="BH87" s="24" t="inlineStr">
        <is>
          <t>2026-08-01T13:42:55.992533Z</t>
        </is>
      </c>
      <c r="BI87" s="24" t="inlineStr">
        <is>
          <t>["same_event","same_team_same_day","same_league_same_day"]</t>
        </is>
      </c>
      <c r="BJ87" s="25" t="n"/>
      <c r="BK87" s="26" t="n">
        <v>-257</v>
      </c>
      <c r="BL87" s="27" t="n">
        <v>1.389105</v>
      </c>
      <c r="BM87" s="28" t="n">
        <v>0.719888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</row>
    <row r="88" ht="36" customHeight="1">
      <c r="A88" s="24" t="inlineStr">
        <is>
          <t>42c0de5270074fbe</t>
        </is>
      </c>
      <c r="B88" s="24" t="inlineStr">
        <is>
          <t>2026-08-01T13:45:05.538322Z</t>
        </is>
      </c>
      <c r="C88" s="24" t="inlineStr">
        <is>
          <t>2026-08-01T16:30Z</t>
        </is>
      </c>
      <c r="D88" s="24" t="inlineStr">
        <is>
          <t>421-2026:183317</t>
        </is>
      </c>
      <c r="E88" s="24" t="inlineStr">
        <is>
          <t>TENNIS</t>
        </is>
      </c>
      <c r="F88" s="24" t="inlineStr">
        <is>
          <t>Mary Stoiana</t>
        </is>
      </c>
      <c r="G88" s="24" t="inlineStr">
        <is>
          <t>Alina Korneeva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-194</v>
      </c>
      <c r="M88" s="27" t="n">
        <v>1.515464</v>
      </c>
      <c r="N88" s="28" t="n">
        <v>0.659864</v>
      </c>
      <c r="O88" s="28" t="n">
        <v>0.532656</v>
      </c>
      <c r="P88" s="28" t="n">
        <v>0.05</v>
      </c>
      <c r="Q88" s="28" t="n">
        <v>-0.127208</v>
      </c>
      <c r="R88" s="26" t="n">
        <v>0</v>
      </c>
      <c r="S88" s="29" t="n">
        <v>1</v>
      </c>
      <c r="T88" s="24" t="inlineStr">
        <is>
          <t>tennis-surface-elo-v1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1</v>
      </c>
      <c r="Y88" s="25" t="n"/>
      <c r="Z88" s="26" t="n">
        <v>-194</v>
      </c>
      <c r="AA88" s="28" t="n">
        <v>0.66</v>
      </c>
      <c r="AB88" s="28" t="n">
        <v>0.000136</v>
      </c>
      <c r="AC88" s="30" t="n">
        <v>0.5155</v>
      </c>
      <c r="AD88" s="24" t="inlineStr">
        <is>
          <t>2026-08-01T20:13:25.102676Z</t>
        </is>
      </c>
      <c r="AE88" s="31" t="inlineStr">
        <is>
          <t>Surface-blended Elo on Hard: Mary Stoiana p=0.467 vs Alina Korneeva. Executable ask 0.6600 (aec-wta-alikor-marsto-2026-08-01).</t>
        </is>
      </c>
      <c r="AF88" s="31" t="inlineStr">
        <is>
          <t>Research-only surface-blended Elo model; singles only, WTA-only market coverage, not yet locked-holdout qualified.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inlineStr">
        <is>
          <t>Mary Stoiana</t>
        </is>
      </c>
      <c r="AQ88" s="24" t="inlineStr">
        <is>
          <t>Mary Stoiana</t>
        </is>
      </c>
      <c r="AR88" s="24" t="inlineStr">
        <is>
          <t>Mary Stoiana</t>
        </is>
      </c>
      <c r="AS88" s="24" t="inlineStr">
        <is>
          <t>Alina Korneeva</t>
        </is>
      </c>
      <c r="AT88" s="24" t="inlineStr">
        <is>
          <t>Alina Korneeva</t>
        </is>
      </c>
      <c r="AU88" s="24" t="inlineStr">
        <is>
          <t>Alina Korneeva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999faa03e2fa83bdf40e3760cb8645b4c314e4cc37c2050b8320d6582c4d8167</t>
        </is>
      </c>
      <c r="BB88" s="24" t="inlineStr">
        <is>
          <t>surface_blended_elo</t>
        </is>
      </c>
      <c r="BC88" s="24" t="inlineStr">
        <is>
          <t>tennis-surface-elo-v1</t>
        </is>
      </c>
      <c r="BD88" s="24" t="inlineStr">
        <is>
          <t>999faa03e2fa83bdf40e3760cb8645b4c314e4cc37c2050b8320d6582c4d8167</t>
        </is>
      </c>
      <c r="BE88" s="24" t="inlineStr">
        <is>
          <t>tennis-surface-elo-v1</t>
        </is>
      </c>
      <c r="BF88" s="24" t="inlineStr">
        <is>
          <t>1</t>
        </is>
      </c>
      <c r="BG88" s="24" t="inlineStr">
        <is>
          <t>999faa03e2fa83bdf40e3760cb8645b4c314e4cc37c2050b8320d6582c4d8167</t>
        </is>
      </c>
      <c r="BH88" s="24" t="inlineStr">
        <is>
          <t>2026-08-01T13:42:52.164407Z</t>
        </is>
      </c>
      <c r="BI88" s="24" t="inlineStr">
        <is>
          <t>["same_event","same_team_same_day","same_league_same_day"]</t>
        </is>
      </c>
      <c r="BJ88" s="25" t="n"/>
      <c r="BK88" s="26" t="n">
        <v>-194</v>
      </c>
      <c r="BL88" s="27" t="n">
        <v>1.515464</v>
      </c>
      <c r="BM88" s="28" t="n">
        <v>0.659864</v>
      </c>
      <c r="BN88" s="28" t="n"/>
      <c r="BO88" s="28" t="n"/>
      <c r="BP88" s="25" t="n"/>
      <c r="BQ88" s="27" t="n">
        <v>1.515464</v>
      </c>
      <c r="BR88" s="28" t="n">
        <v>0.66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</row>
    <row r="89" ht="36" customHeight="1">
      <c r="A89" s="24" t="inlineStr">
        <is>
          <t>1fe67e4c3bec4eee</t>
        </is>
      </c>
      <c r="B89" s="24" t="inlineStr">
        <is>
          <t>2026-08-01T13:45:05.538322Z</t>
        </is>
      </c>
      <c r="C89" s="24" t="inlineStr">
        <is>
          <t>2026-08-01T16:30Z</t>
        </is>
      </c>
      <c r="D89" s="24" t="inlineStr">
        <is>
          <t>421-2026:183318</t>
        </is>
      </c>
      <c r="E89" s="24" t="inlineStr">
        <is>
          <t>TENNIS</t>
        </is>
      </c>
      <c r="F89" s="24" t="inlineStr">
        <is>
          <t>Isabella Marton</t>
        </is>
      </c>
      <c r="G89" s="24" t="inlineStr">
        <is>
          <t>Tatjana Maria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-2400</v>
      </c>
      <c r="M89" s="27" t="n">
        <v>1.041667</v>
      </c>
      <c r="N89" s="28" t="n">
        <v>0.96</v>
      </c>
      <c r="O89" s="28" t="n">
        <v>0.718038</v>
      </c>
      <c r="P89" s="28" t="n">
        <v>0.2</v>
      </c>
      <c r="Q89" s="28" t="n">
        <v>-0.241962</v>
      </c>
      <c r="R89" s="26" t="n">
        <v>0</v>
      </c>
      <c r="S89" s="29" t="n">
        <v>1</v>
      </c>
      <c r="T89" s="24" t="inlineStr">
        <is>
          <t>tennis-surface-elo-v1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1</v>
      </c>
      <c r="Y89" s="25" t="n"/>
      <c r="Z89" s="26" t="n">
        <v>-2400</v>
      </c>
      <c r="AA89" s="28" t="n">
        <v>0.96</v>
      </c>
      <c r="AB89" s="28" t="n">
        <v>0</v>
      </c>
      <c r="AC89" s="30" t="n">
        <v>0.0417</v>
      </c>
      <c r="AD89" s="24" t="inlineStr">
        <is>
          <t>2026-08-01T20:13:25.632481Z</t>
        </is>
      </c>
      <c r="AE89" s="31" t="inlineStr">
        <is>
          <t>Surface-blended Elo on Hard: Isabella Marton p=0.282 vs Tatjana Maria. Executable ask 0.9600 (aec-wta-tatmar-isamar-2026-08-01).</t>
        </is>
      </c>
      <c r="AF89" s="31" t="inlineStr">
        <is>
          <t>Research-only surface-blended Elo model; singles only, WTA-only market coverage,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Isabella Marton</t>
        </is>
      </c>
      <c r="AQ89" s="24" t="inlineStr">
        <is>
          <t>Isabella Marton</t>
        </is>
      </c>
      <c r="AR89" s="24" t="inlineStr">
        <is>
          <t>Isabella Marton</t>
        </is>
      </c>
      <c r="AS89" s="24" t="inlineStr">
        <is>
          <t>Tatjana Maria</t>
        </is>
      </c>
      <c r="AT89" s="24" t="inlineStr">
        <is>
          <t>Tatjana Maria</t>
        </is>
      </c>
      <c r="AU89" s="24" t="inlineStr">
        <is>
          <t>Tatjana Maria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999faa03e2fa83bdf40e3760cb8645b4c314e4cc37c2050b8320d6582c4d8167</t>
        </is>
      </c>
      <c r="BB89" s="24" t="inlineStr">
        <is>
          <t>surface_blended_elo</t>
        </is>
      </c>
      <c r="BC89" s="24" t="inlineStr">
        <is>
          <t>tennis-surface-elo-v1</t>
        </is>
      </c>
      <c r="BD89" s="24" t="inlineStr">
        <is>
          <t>999faa03e2fa83bdf40e3760cb8645b4c314e4cc37c2050b8320d6582c4d8167</t>
        </is>
      </c>
      <c r="BE89" s="24" t="inlineStr">
        <is>
          <t>tennis-surface-elo-v1</t>
        </is>
      </c>
      <c r="BF89" s="24" t="inlineStr">
        <is>
          <t>1</t>
        </is>
      </c>
      <c r="BG89" s="24" t="inlineStr">
        <is>
          <t>999faa03e2fa83bdf40e3760cb8645b4c314e4cc37c2050b8320d6582c4d8167</t>
        </is>
      </c>
      <c r="BH89" s="24" t="inlineStr">
        <is>
          <t>2026-08-01T13:42:53.865852Z</t>
        </is>
      </c>
      <c r="BI89" s="24" t="inlineStr">
        <is>
          <t>["same_event","same_team_same_day","same_league_same_day"]</t>
        </is>
      </c>
      <c r="BJ89" s="25" t="n"/>
      <c r="BK89" s="26" t="n">
        <v>-2400</v>
      </c>
      <c r="BL89" s="27" t="n">
        <v>1.041667</v>
      </c>
      <c r="BM89" s="28" t="n">
        <v>0.96</v>
      </c>
      <c r="BN89" s="28" t="n"/>
      <c r="BO89" s="28" t="n"/>
      <c r="BP89" s="25" t="n"/>
      <c r="BQ89" s="27" t="n">
        <v>1.041667</v>
      </c>
      <c r="BR89" s="28" t="n">
        <v>0.96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</row>
    <row r="90" ht="36" customHeight="1">
      <c r="A90" s="24" t="inlineStr">
        <is>
          <t>262a96a1a1c944ff</t>
        </is>
      </c>
      <c r="B90" s="24" t="inlineStr">
        <is>
          <t>2026-08-01T13:45:05.538322Z</t>
        </is>
      </c>
      <c r="C90" s="24" t="inlineStr">
        <is>
          <t>2026-08-01T16:30Z</t>
        </is>
      </c>
      <c r="D90" s="24" t="inlineStr">
        <is>
          <t>421-2026:183319</t>
        </is>
      </c>
      <c r="E90" s="24" t="inlineStr">
        <is>
          <t>TENNIS</t>
        </is>
      </c>
      <c r="F90" s="24" t="inlineStr">
        <is>
          <t>Himeno Sakatsume</t>
        </is>
      </c>
      <c r="G90" s="24" t="inlineStr">
        <is>
          <t>Moyuka Uchijima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-133</v>
      </c>
      <c r="M90" s="27" t="n">
        <v>1.75188</v>
      </c>
      <c r="N90" s="28" t="n">
        <v>0.570815</v>
      </c>
      <c r="O90" s="28" t="n">
        <v>0.558424</v>
      </c>
      <c r="P90" s="28" t="n">
        <v>0.05</v>
      </c>
      <c r="Q90" s="28" t="n">
        <v>-0.012391</v>
      </c>
      <c r="R90" s="26" t="n">
        <v>14</v>
      </c>
      <c r="S90" s="29" t="n">
        <v>1</v>
      </c>
      <c r="T90" s="24" t="inlineStr">
        <is>
          <t>tennis-surface-elo-v1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>
        <v>-133</v>
      </c>
      <c r="AA90" s="28" t="n">
        <v>0.57</v>
      </c>
      <c r="AB90" s="28" t="n">
        <v>-0.000815</v>
      </c>
      <c r="AC90" s="30" t="n">
        <v>0.7519</v>
      </c>
      <c r="AD90" s="24" t="inlineStr">
        <is>
          <t>2026-08-01T20:13:26.163894Z</t>
        </is>
      </c>
      <c r="AE90" s="31" t="inlineStr">
        <is>
          <t>Surface-blended Elo on Hard: Himeno Sakatsume p=0.442 vs Moyuka Uchijima. Executable ask 0.5700 (aec-wta-moyuch-himsak-2026-08-01).</t>
        </is>
      </c>
      <c r="AF90" s="31" t="inlineStr">
        <is>
          <t>Research-only surface-blended Elo model; singles only, WTA-only market coverage,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inlineStr">
        <is>
          <t>Himeno Sakatsume</t>
        </is>
      </c>
      <c r="AQ90" s="24" t="inlineStr">
        <is>
          <t>Himeno Sakatsume</t>
        </is>
      </c>
      <c r="AR90" s="24" t="inlineStr">
        <is>
          <t>Himeno Sakatsume</t>
        </is>
      </c>
      <c r="AS90" s="24" t="inlineStr">
        <is>
          <t>Moyuka Uchijima</t>
        </is>
      </c>
      <c r="AT90" s="24" t="inlineStr">
        <is>
          <t>Moyuka Uchijima</t>
        </is>
      </c>
      <c r="AU90" s="24" t="inlineStr">
        <is>
          <t>Moyuka Uchijima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999faa03e2fa83bdf40e3760cb8645b4c314e4cc37c2050b8320d6582c4d8167</t>
        </is>
      </c>
      <c r="BB90" s="24" t="inlineStr">
        <is>
          <t>surface_blended_elo</t>
        </is>
      </c>
      <c r="BC90" s="24" t="inlineStr">
        <is>
          <t>tennis-surface-elo-v1</t>
        </is>
      </c>
      <c r="BD90" s="24" t="inlineStr">
        <is>
          <t>999faa03e2fa83bdf40e3760cb8645b4c314e4cc37c2050b8320d6582c4d8167</t>
        </is>
      </c>
      <c r="BE90" s="24" t="inlineStr">
        <is>
          <t>tennis-surface-elo-v1</t>
        </is>
      </c>
      <c r="BF90" s="24" t="inlineStr">
        <is>
          <t>1</t>
        </is>
      </c>
      <c r="BG90" s="24" t="inlineStr">
        <is>
          <t>999faa03e2fa83bdf40e3760cb8645b4c314e4cc37c2050b8320d6582c4d8167</t>
        </is>
      </c>
      <c r="BH90" s="24" t="inlineStr">
        <is>
          <t>2026-08-01T13:42:56.804251Z</t>
        </is>
      </c>
      <c r="BI90" s="24" t="inlineStr">
        <is>
          <t>["same_event","same_team_same_day","same_league_same_day"]</t>
        </is>
      </c>
      <c r="BJ90" s="25" t="n"/>
      <c r="BK90" s="26" t="n">
        <v>-133</v>
      </c>
      <c r="BL90" s="27" t="n">
        <v>1.75188</v>
      </c>
      <c r="BM90" s="28" t="n">
        <v>0.570815</v>
      </c>
      <c r="BN90" s="28" t="n"/>
      <c r="BO90" s="28" t="n"/>
      <c r="BP90" s="25" t="n"/>
      <c r="BQ90" s="27" t="n">
        <v>1.75188</v>
      </c>
      <c r="BR90" s="28" t="n">
        <v>0.57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</row>
    <row r="91" ht="36" customHeight="1">
      <c r="A91" s="24" t="inlineStr">
        <is>
          <t>6e003df785904b47</t>
        </is>
      </c>
      <c r="B91" s="24" t="inlineStr">
        <is>
          <t>2026-08-01T16:52:34.743688Z</t>
        </is>
      </c>
      <c r="C91" s="24" t="inlineStr">
        <is>
          <t>2026-08-01T18:00Z</t>
        </is>
      </c>
      <c r="D91" s="24" t="inlineStr">
        <is>
          <t>888-2026:179018</t>
        </is>
      </c>
      <c r="E91" s="24" t="inlineStr">
        <is>
          <t>TENNIS</t>
        </is>
      </c>
      <c r="F91" s="24" t="inlineStr">
        <is>
          <t>Diana Shnaider</t>
        </is>
      </c>
      <c r="G91" s="24" t="inlineStr">
        <is>
          <t>Jessica Pegula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-355</v>
      </c>
      <c r="M91" s="27" t="n">
        <v>1.28169</v>
      </c>
      <c r="N91" s="28" t="n">
        <v>0.78022</v>
      </c>
      <c r="O91" s="28" t="n">
        <v>0.822583</v>
      </c>
      <c r="P91" s="28" t="n">
        <v>0.05</v>
      </c>
      <c r="Q91" s="28" t="n">
        <v>0.042363</v>
      </c>
      <c r="R91" s="26" t="n">
        <v>41</v>
      </c>
      <c r="S91" s="29" t="n">
        <v>2</v>
      </c>
      <c r="T91" s="24" t="inlineStr">
        <is>
          <t>tennis-surface-elo-v1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-355</v>
      </c>
      <c r="AA91" s="28" t="n">
        <v>0.78</v>
      </c>
      <c r="AB91" s="28" t="n">
        <v>-0.00022</v>
      </c>
      <c r="AC91" s="30" t="n">
        <v>0.5634</v>
      </c>
      <c r="AD91" s="24" t="inlineStr">
        <is>
          <t>2026-08-01T20:13:26.701752Z</t>
        </is>
      </c>
      <c r="AE91" s="31" t="inlineStr">
        <is>
          <t>Surface-blended Elo on Hard: Diana Shnaider p=0.177 vs Jessica Pegula. Executable ask 0.7800 (aec-wta-jespeg-diashn-2026-08-01).</t>
        </is>
      </c>
      <c r="AF91" s="31" t="inlineStr">
        <is>
          <t>Research-only surface-blended Elo model; singles only, WTA-only market coverage, not yet locked-holdout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inlineStr">
        <is>
          <t>Diana Shnaider</t>
        </is>
      </c>
      <c r="AQ91" s="24" t="inlineStr">
        <is>
          <t>Diana Shnaider</t>
        </is>
      </c>
      <c r="AR91" s="24" t="inlineStr">
        <is>
          <t>Diana Shnaider</t>
        </is>
      </c>
      <c r="AS91" s="24" t="inlineStr">
        <is>
          <t>Jessica Pegula</t>
        </is>
      </c>
      <c r="AT91" s="24" t="inlineStr">
        <is>
          <t>Jessica Pegula</t>
        </is>
      </c>
      <c r="AU91" s="24" t="inlineStr">
        <is>
          <t>Jessica Pegula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999faa03e2fa83bdf40e3760cb8645b4c314e4cc37c2050b8320d6582c4d8167</t>
        </is>
      </c>
      <c r="BB91" s="24" t="inlineStr">
        <is>
          <t>surface_blended_elo</t>
        </is>
      </c>
      <c r="BC91" s="24" t="inlineStr">
        <is>
          <t>tennis-surface-elo-v1</t>
        </is>
      </c>
      <c r="BD91" s="24" t="inlineStr">
        <is>
          <t>999faa03e2fa83bdf40e3760cb8645b4c314e4cc37c2050b8320d6582c4d8167</t>
        </is>
      </c>
      <c r="BE91" s="24" t="inlineStr">
        <is>
          <t>tennis-surface-elo-v1</t>
        </is>
      </c>
      <c r="BF91" s="24" t="inlineStr">
        <is>
          <t>1</t>
        </is>
      </c>
      <c r="BG91" s="24" t="inlineStr">
        <is>
          <t>999faa03e2fa83bdf40e3760cb8645b4c314e4cc37c2050b8320d6582c4d8167</t>
        </is>
      </c>
      <c r="BH91" s="24" t="inlineStr">
        <is>
          <t>2026-08-01T16:49:52.619672Z</t>
        </is>
      </c>
      <c r="BI91" s="24" t="inlineStr">
        <is>
          <t>["same_event","same_team_same_day","same_league_same_day"]</t>
        </is>
      </c>
      <c r="BJ91" s="25" t="n"/>
      <c r="BK91" s="26" t="n">
        <v>-355</v>
      </c>
      <c r="BL91" s="27" t="n">
        <v>1.28169</v>
      </c>
      <c r="BM91" s="28" t="n">
        <v>0.78022</v>
      </c>
      <c r="BN91" s="28" t="n"/>
      <c r="BO91" s="28" t="n"/>
      <c r="BP91" s="25" t="n"/>
      <c r="BQ91" s="27" t="n">
        <v>1.28169</v>
      </c>
      <c r="BR91" s="28" t="n">
        <v>0.78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</row>
    <row r="92" ht="36" customHeight="1">
      <c r="A92" s="24" t="inlineStr">
        <is>
          <t>85f67ba42ca94860</t>
        </is>
      </c>
      <c r="B92" s="24" t="inlineStr">
        <is>
          <t>2026-08-01T16:52:34.743688Z</t>
        </is>
      </c>
      <c r="C92" s="24" t="inlineStr">
        <is>
          <t>2026-08-01T18:00Z</t>
        </is>
      </c>
      <c r="D92" s="24" t="inlineStr">
        <is>
          <t>1067-2026:179445</t>
        </is>
      </c>
      <c r="E92" s="24" t="inlineStr">
        <is>
          <t>TENNIS</t>
        </is>
      </c>
      <c r="F92" s="24" t="inlineStr">
        <is>
          <t>Elvina Kalieva</t>
        </is>
      </c>
      <c r="G92" s="24" t="inlineStr">
        <is>
          <t>Kristina Liutova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133</v>
      </c>
      <c r="M92" s="27" t="n">
        <v>2.33</v>
      </c>
      <c r="N92" s="28" t="n">
        <v>0.429185</v>
      </c>
      <c r="O92" s="28" t="n">
        <v>0.546816</v>
      </c>
      <c r="P92" s="28" t="n">
        <v>0.05</v>
      </c>
      <c r="Q92" s="28" t="n">
        <v>0.117631</v>
      </c>
      <c r="R92" s="26" t="n">
        <v>79</v>
      </c>
      <c r="S92" s="29" t="n">
        <v>1</v>
      </c>
      <c r="T92" s="24" t="inlineStr">
        <is>
          <t>tennis-surface-elo-v1</t>
        </is>
      </c>
      <c r="U92" s="24" t="inlineStr">
        <is>
          <t>settled</t>
        </is>
      </c>
      <c r="V92" s="24" t="inlineStr">
        <is>
          <t>loss</t>
        </is>
      </c>
      <c r="W92" s="26" t="n">
        <v>0</v>
      </c>
      <c r="X92" s="26" t="n">
        <v>1</v>
      </c>
      <c r="Y92" s="25" t="n"/>
      <c r="Z92" s="26" t="n">
        <v>133</v>
      </c>
      <c r="AA92" s="28" t="n">
        <v>0.43</v>
      </c>
      <c r="AB92" s="28" t="n">
        <v>0.000815</v>
      </c>
      <c r="AC92" s="30" t="n">
        <v>-1</v>
      </c>
      <c r="AD92" s="24" t="inlineStr">
        <is>
          <t>2026-08-01T20:13:27.238832Z</t>
        </is>
      </c>
      <c r="AE92" s="31" t="inlineStr">
        <is>
          <t>Surface-blended Elo on Hard: Elvina Kalieva p=0.547 vs Kristina Liutova. Executable ask 0.4300 (aec-wta-kriliu-elvkal-2026-08-01).</t>
        </is>
      </c>
      <c r="AF92" s="31" t="inlineStr">
        <is>
          <t>Research-only surface-blended Elo model; singles only, WTA-only market coverage, not yet locked-holdout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Elvina Kalieva</t>
        </is>
      </c>
      <c r="AQ92" s="24" t="inlineStr">
        <is>
          <t>Elvina Kalieva</t>
        </is>
      </c>
      <c r="AR92" s="24" t="inlineStr">
        <is>
          <t>Elvina Kalieva</t>
        </is>
      </c>
      <c r="AS92" s="24" t="inlineStr">
        <is>
          <t>Kristina Liutova</t>
        </is>
      </c>
      <c r="AT92" s="24" t="inlineStr">
        <is>
          <t>Kristina Liutova</t>
        </is>
      </c>
      <c r="AU92" s="24" t="inlineStr">
        <is>
          <t>Kristina Liutova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999faa03e2fa83bdf40e3760cb8645b4c314e4cc37c2050b8320d6582c4d8167</t>
        </is>
      </c>
      <c r="BB92" s="24" t="inlineStr">
        <is>
          <t>surface_blended_elo</t>
        </is>
      </c>
      <c r="BC92" s="24" t="inlineStr">
        <is>
          <t>tennis-surface-elo-v1</t>
        </is>
      </c>
      <c r="BD92" s="24" t="inlineStr">
        <is>
          <t>999faa03e2fa83bdf40e3760cb8645b4c314e4cc37c2050b8320d6582c4d8167</t>
        </is>
      </c>
      <c r="BE92" s="24" t="inlineStr">
        <is>
          <t>tennis-surface-elo-v1</t>
        </is>
      </c>
      <c r="BF92" s="24" t="inlineStr">
        <is>
          <t>1</t>
        </is>
      </c>
      <c r="BG92" s="24" t="inlineStr">
        <is>
          <t>999faa03e2fa83bdf40e3760cb8645b4c314e4cc37c2050b8320d6582c4d8167</t>
        </is>
      </c>
      <c r="BH92" s="24" t="inlineStr">
        <is>
          <t>2026-08-01T16:49:50.998496Z</t>
        </is>
      </c>
      <c r="BI92" s="24" t="inlineStr">
        <is>
          <t>["same_event","same_team_same_day","same_league_same_day"]</t>
        </is>
      </c>
      <c r="BJ92" s="25" t="n"/>
      <c r="BK92" s="26" t="n">
        <v>133</v>
      </c>
      <c r="BL92" s="27" t="n">
        <v>2.33</v>
      </c>
      <c r="BM92" s="28" t="n">
        <v>0.429185</v>
      </c>
      <c r="BN92" s="28" t="n"/>
      <c r="BO92" s="28" t="n"/>
      <c r="BP92" s="25" t="n"/>
      <c r="BQ92" s="27" t="n">
        <v>2.33</v>
      </c>
      <c r="BR92" s="28" t="n">
        <v>0.43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</row>
    <row r="93" ht="36" customHeight="1">
      <c r="A93" s="24" t="inlineStr">
        <is>
          <t>a39df48ae9c84f8b</t>
        </is>
      </c>
      <c r="B93" s="24" t="inlineStr">
        <is>
          <t>2026-08-01T16:52:34.743688Z</t>
        </is>
      </c>
      <c r="C93" s="24" t="inlineStr">
        <is>
          <t>2026-08-01T18:00Z</t>
        </is>
      </c>
      <c r="D93" s="24" t="inlineStr">
        <is>
          <t>421-2026:183323</t>
        </is>
      </c>
      <c r="E93" s="24" t="inlineStr">
        <is>
          <t>TENNIS</t>
        </is>
      </c>
      <c r="F93" s="24" t="inlineStr">
        <is>
          <t>Lucrezia Stefanini</t>
        </is>
      </c>
      <c r="G93" s="24" t="inlineStr">
        <is>
          <t>Sofia Kenin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-122</v>
      </c>
      <c r="M93" s="27" t="n">
        <v>1.819672</v>
      </c>
      <c r="N93" s="28" t="n">
        <v>0.54955</v>
      </c>
      <c r="O93" s="28" t="n">
        <v>0.516532</v>
      </c>
      <c r="P93" s="28" t="n">
        <v>0.05</v>
      </c>
      <c r="Q93" s="28" t="n">
        <v>-0.033018</v>
      </c>
      <c r="R93" s="26" t="n">
        <v>3</v>
      </c>
      <c r="S93" s="29" t="n">
        <v>1</v>
      </c>
      <c r="T93" s="24" t="inlineStr">
        <is>
          <t>tennis-surface-elo-v1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-122</v>
      </c>
      <c r="AA93" s="28" t="n">
        <v>0.55</v>
      </c>
      <c r="AB93" s="28" t="n">
        <v>0.00045</v>
      </c>
      <c r="AC93" s="30" t="n">
        <v>-1</v>
      </c>
      <c r="AD93" s="24" t="inlineStr">
        <is>
          <t>2026-08-01T21:40:59.983799Z</t>
        </is>
      </c>
      <c r="AE93" s="31" t="inlineStr">
        <is>
          <t>Surface-blended Elo on Hard: Lucrezia Stefanini p=0.483 vs Sofia Kenin. Executable ask 0.5500 (aec-wta-sofken-lucste-2026-08-01).</t>
        </is>
      </c>
      <c r="AF93" s="31" t="inlineStr">
        <is>
          <t>Research-only surface-blended Elo model; singles only, WTA-only market coverage, not yet locked-holdout qualified.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Lucrezia Stefanini</t>
        </is>
      </c>
      <c r="AQ93" s="24" t="inlineStr">
        <is>
          <t>Lucrezia Stefanini</t>
        </is>
      </c>
      <c r="AR93" s="24" t="inlineStr">
        <is>
          <t>Lucrezia Stefanini</t>
        </is>
      </c>
      <c r="AS93" s="24" t="inlineStr">
        <is>
          <t>Sofia Kenin</t>
        </is>
      </c>
      <c r="AT93" s="24" t="inlineStr">
        <is>
          <t>Sofia Kenin</t>
        </is>
      </c>
      <c r="AU93" s="24" t="inlineStr">
        <is>
          <t>Sofia Kenin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999faa03e2fa83bdf40e3760cb8645b4c314e4cc37c2050b8320d6582c4d8167</t>
        </is>
      </c>
      <c r="BB93" s="24" t="inlineStr">
        <is>
          <t>surface_blended_elo</t>
        </is>
      </c>
      <c r="BC93" s="24" t="inlineStr">
        <is>
          <t>tennis-surface-elo-v1</t>
        </is>
      </c>
      <c r="BD93" s="24" t="inlineStr">
        <is>
          <t>999faa03e2fa83bdf40e3760cb8645b4c314e4cc37c2050b8320d6582c4d8167</t>
        </is>
      </c>
      <c r="BE93" s="24" t="inlineStr">
        <is>
          <t>tennis-surface-elo-v1</t>
        </is>
      </c>
      <c r="BF93" s="24" t="inlineStr">
        <is>
          <t>1</t>
        </is>
      </c>
      <c r="BG93" s="24" t="inlineStr">
        <is>
          <t>999faa03e2fa83bdf40e3760cb8645b4c314e4cc37c2050b8320d6582c4d8167</t>
        </is>
      </c>
      <c r="BH93" s="24" t="inlineStr">
        <is>
          <t>2026-08-01T16:49:54.591143Z</t>
        </is>
      </c>
      <c r="BI93" s="24" t="inlineStr">
        <is>
          <t>["same_event","same_team_same_day","same_league_same_day"]</t>
        </is>
      </c>
      <c r="BJ93" s="25" t="n"/>
      <c r="BK93" s="26" t="n">
        <v>-122</v>
      </c>
      <c r="BL93" s="27" t="n">
        <v>1.819672</v>
      </c>
      <c r="BM93" s="28" t="n">
        <v>0.54955</v>
      </c>
      <c r="BN93" s="28" t="n"/>
      <c r="BO93" s="28" t="n"/>
      <c r="BP93" s="25" t="n"/>
      <c r="BQ93" s="27" t="n">
        <v>1.819672</v>
      </c>
      <c r="BR93" s="28" t="n">
        <v>0.55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</row>
    <row r="94" ht="36" customHeight="1">
      <c r="A94" s="24" t="inlineStr">
        <is>
          <t>9c00dca4cbed4271</t>
        </is>
      </c>
      <c r="B94" s="24" t="inlineStr">
        <is>
          <t>2026-08-01T16:52:34.743688Z</t>
        </is>
      </c>
      <c r="C94" s="24" t="inlineStr">
        <is>
          <t>2026-08-01T18:00Z</t>
        </is>
      </c>
      <c r="D94" s="24" t="inlineStr">
        <is>
          <t>421-2026:183326</t>
        </is>
      </c>
      <c r="E94" s="24" t="inlineStr">
        <is>
          <t>TENNIS</t>
        </is>
      </c>
      <c r="F94" s="24" t="inlineStr">
        <is>
          <t>Avery Alexander</t>
        </is>
      </c>
      <c r="G94" s="24" t="inlineStr">
        <is>
          <t>Polina Kudermetova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-3233</v>
      </c>
      <c r="M94" s="27" t="n">
        <v>1.030931</v>
      </c>
      <c r="N94" s="28" t="n">
        <v>0.969997</v>
      </c>
      <c r="O94" s="28" t="n">
        <v>0.664173</v>
      </c>
      <c r="P94" s="28" t="n">
        <v>0.05</v>
      </c>
      <c r="Q94" s="28" t="n">
        <v>-0.305824</v>
      </c>
      <c r="R94" s="26" t="n">
        <v>0</v>
      </c>
      <c r="S94" s="29" t="n">
        <v>1.75</v>
      </c>
      <c r="T94" s="24" t="inlineStr">
        <is>
          <t>tennis-surface-elo-v1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>
        <v>-3233</v>
      </c>
      <c r="AA94" s="28" t="n">
        <v>0.97</v>
      </c>
      <c r="AB94" s="28" t="n">
        <v>3e-06</v>
      </c>
      <c r="AC94" s="30" t="n">
        <v>0.0541</v>
      </c>
      <c r="AD94" s="24" t="inlineStr">
        <is>
          <t>2026-08-01T20:34:17.577016Z</t>
        </is>
      </c>
      <c r="AE94" s="31" t="inlineStr">
        <is>
          <t>Surface-blended Elo on Hard: Avery Alexander p=0.336 vs Polina Kudermetova. Executable ask 0.9700 (aec-wta-polkud-aveale-2026-08-01).</t>
        </is>
      </c>
      <c r="AF94" s="31" t="inlineStr">
        <is>
          <t>Research-only surface-blended Elo model; singles only, WTA-only market coverage, not yet locked-holdout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Avery Alexander</t>
        </is>
      </c>
      <c r="AQ94" s="24" t="inlineStr">
        <is>
          <t>Avery Alexander</t>
        </is>
      </c>
      <c r="AR94" s="24" t="inlineStr">
        <is>
          <t>Avery Alexander</t>
        </is>
      </c>
      <c r="AS94" s="24" t="inlineStr">
        <is>
          <t>Polina Kudermetova</t>
        </is>
      </c>
      <c r="AT94" s="24" t="inlineStr">
        <is>
          <t>Polina Kudermetova</t>
        </is>
      </c>
      <c r="AU94" s="24" t="inlineStr">
        <is>
          <t>Polina Kudermetova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999faa03e2fa83bdf40e3760cb8645b4c314e4cc37c2050b8320d6582c4d8167</t>
        </is>
      </c>
      <c r="BB94" s="24" t="inlineStr">
        <is>
          <t>surface_blended_elo</t>
        </is>
      </c>
      <c r="BC94" s="24" t="inlineStr">
        <is>
          <t>tennis-surface-elo-v1</t>
        </is>
      </c>
      <c r="BD94" s="24" t="inlineStr">
        <is>
          <t>999faa03e2fa83bdf40e3760cb8645b4c314e4cc37c2050b8320d6582c4d8167</t>
        </is>
      </c>
      <c r="BE94" s="24" t="inlineStr">
        <is>
          <t>tennis-surface-elo-v1</t>
        </is>
      </c>
      <c r="BF94" s="24" t="inlineStr">
        <is>
          <t>1</t>
        </is>
      </c>
      <c r="BG94" s="24" t="inlineStr">
        <is>
          <t>999faa03e2fa83bdf40e3760cb8645b4c314e4cc37c2050b8320d6582c4d8167</t>
        </is>
      </c>
      <c r="BH94" s="24" t="inlineStr">
        <is>
          <t>2026-08-01T16:49:56.451294Z</t>
        </is>
      </c>
      <c r="BI94" s="24" t="inlineStr">
        <is>
          <t>["same_event","same_team_same_day","same_league_same_day"]</t>
        </is>
      </c>
      <c r="BJ94" s="25" t="n"/>
      <c r="BK94" s="26" t="n">
        <v>-3233</v>
      </c>
      <c r="BL94" s="27" t="n">
        <v>1.030931</v>
      </c>
      <c r="BM94" s="28" t="n">
        <v>0.969997</v>
      </c>
      <c r="BN94" s="28" t="n"/>
      <c r="BO94" s="28" t="n"/>
      <c r="BP94" s="25" t="n"/>
      <c r="BQ94" s="27" t="n">
        <v>1.030931</v>
      </c>
      <c r="BR94" s="28" t="n">
        <v>0.97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</row>
    <row r="95" ht="36" customHeight="1">
      <c r="A95" s="24" t="inlineStr">
        <is>
          <t>a770fa9bd09c49df</t>
        </is>
      </c>
      <c r="B95" s="24" t="inlineStr">
        <is>
          <t>2026-08-01T18:40:28.047324Z</t>
        </is>
      </c>
      <c r="C95" s="24" t="inlineStr">
        <is>
          <t>2026-08-01T19:30Z</t>
        </is>
      </c>
      <c r="D95" s="24" t="inlineStr">
        <is>
          <t>888-2026:179016</t>
        </is>
      </c>
      <c r="E95" s="24" t="inlineStr">
        <is>
          <t>TENNIS</t>
        </is>
      </c>
      <c r="F95" s="24" t="inlineStr">
        <is>
          <t>Alexandra Eala</t>
        </is>
      </c>
      <c r="G95" s="24" t="inlineStr">
        <is>
          <t>Naomi Osaka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0.6528929999999999</v>
      </c>
      <c r="P95" s="28" t="n">
        <v>0.05</v>
      </c>
      <c r="Q95" s="28" t="n">
        <v>0.052893</v>
      </c>
      <c r="R95" s="26" t="n">
        <v>46</v>
      </c>
      <c r="S95" s="29" t="n">
        <v>1.75</v>
      </c>
      <c r="T95" s="24" t="inlineStr">
        <is>
          <t>tennis-surface-elo-v1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-150</v>
      </c>
      <c r="AA95" s="28" t="n">
        <v>0.6</v>
      </c>
      <c r="AB95" s="28" t="n">
        <v>0</v>
      </c>
      <c r="AC95" s="30" t="n">
        <v>-1.75</v>
      </c>
      <c r="AD95" s="24" t="inlineStr">
        <is>
          <t>2026-08-01T21:41:00.267945Z</t>
        </is>
      </c>
      <c r="AE95" s="31" t="inlineStr">
        <is>
          <t>Surface-blended Elo on Hard: Alexandra Eala p=0.347 vs Naomi Osaka. Executable ask 0.6000 (aec-wta-naoosa-aleeal-2026-08-01).</t>
        </is>
      </c>
      <c r="AF95" s="31" t="inlineStr">
        <is>
          <t>Research-only surface-blended Elo model; singles only, WTA-only market coverage, not yet locked-holdout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Alexandra Eala</t>
        </is>
      </c>
      <c r="AQ95" s="24" t="inlineStr">
        <is>
          <t>Alexandra Eala</t>
        </is>
      </c>
      <c r="AR95" s="24" t="inlineStr">
        <is>
          <t>Alexandra Eala</t>
        </is>
      </c>
      <c r="AS95" s="24" t="inlineStr">
        <is>
          <t>Naomi Osaka</t>
        </is>
      </c>
      <c r="AT95" s="24" t="inlineStr">
        <is>
          <t>Naomi Osaka</t>
        </is>
      </c>
      <c r="AU95" s="24" t="inlineStr">
        <is>
          <t>Naomi Osaka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999faa03e2fa83bdf40e3760cb8645b4c314e4cc37c2050b8320d6582c4d8167</t>
        </is>
      </c>
      <c r="BB95" s="24" t="inlineStr">
        <is>
          <t>surface_blended_elo</t>
        </is>
      </c>
      <c r="BC95" s="24" t="inlineStr">
        <is>
          <t>tennis-surface-elo-v1</t>
        </is>
      </c>
      <c r="BD95" s="24" t="inlineStr">
        <is>
          <t>999faa03e2fa83bdf40e3760cb8645b4c314e4cc37c2050b8320d6582c4d8167</t>
        </is>
      </c>
      <c r="BE95" s="24" t="inlineStr">
        <is>
          <t>tennis-surface-elo-v1</t>
        </is>
      </c>
      <c r="BF95" s="24" t="inlineStr">
        <is>
          <t>1</t>
        </is>
      </c>
      <c r="BG95" s="24" t="inlineStr">
        <is>
          <t>999faa03e2fa83bdf40e3760cb8645b4c314e4cc37c2050b8320d6582c4d8167</t>
        </is>
      </c>
      <c r="BH95" s="24" t="inlineStr">
        <is>
          <t>2026-08-01T18:37:24.080218Z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>
        <v>1.666667</v>
      </c>
      <c r="BR95" s="28" t="n">
        <v>0.6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</row>
    <row r="96" ht="36" customHeight="1">
      <c r="A96" s="24" t="inlineStr">
        <is>
          <t>ff4ba2a733344e3b</t>
        </is>
      </c>
      <c r="B96" s="24" t="inlineStr">
        <is>
          <t>2026-08-01T18:40:28.047324Z</t>
        </is>
      </c>
      <c r="C96" s="24" t="inlineStr">
        <is>
          <t>2026-08-01T20:00Z</t>
        </is>
      </c>
      <c r="D96" s="24" t="inlineStr">
        <is>
          <t>1067-2026:179444</t>
        </is>
      </c>
      <c r="E96" s="24" t="inlineStr">
        <is>
          <t>TENNIS</t>
        </is>
      </c>
      <c r="F96" s="24" t="inlineStr">
        <is>
          <t>Renata Zarazua</t>
        </is>
      </c>
      <c r="G96" s="24" t="inlineStr">
        <is>
          <t>Darja Vidmanova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-133</v>
      </c>
      <c r="M96" s="27" t="n">
        <v>1.75188</v>
      </c>
      <c r="N96" s="28" t="n">
        <v>0.570815</v>
      </c>
      <c r="O96" s="28" t="n">
        <v>0.643066</v>
      </c>
      <c r="P96" s="28" t="n">
        <v>0.05</v>
      </c>
      <c r="Q96" s="28" t="n">
        <v>0.072251</v>
      </c>
      <c r="R96" s="26" t="n">
        <v>56</v>
      </c>
      <c r="S96" s="29" t="n">
        <v>1.5</v>
      </c>
      <c r="T96" s="24" t="inlineStr">
        <is>
          <t>tennis-surface-elo-v1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-133</v>
      </c>
      <c r="AA96" s="28" t="n">
        <v>0.57</v>
      </c>
      <c r="AB96" s="28" t="n">
        <v>-0.000815</v>
      </c>
      <c r="AC96" s="30" t="n">
        <v>1.1278</v>
      </c>
      <c r="AD96" s="24" t="inlineStr">
        <is>
          <t>2026-08-01T23:51:12.440117Z</t>
        </is>
      </c>
      <c r="AE96" s="31" t="inlineStr">
        <is>
          <t>Surface-blended Elo on Hard: Renata Zarazua p=0.357 vs Darja Vidmanova. Executable ask 0.5700 (aec-wta-darvid-renzar-2026-08-01).</t>
        </is>
      </c>
      <c r="AF96" s="31" t="inlineStr">
        <is>
          <t>Research-only surface-blended Elo model; singles only, WTA-only market coverage,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Renata Zarazua</t>
        </is>
      </c>
      <c r="AQ96" s="24" t="inlineStr">
        <is>
          <t>Renata Zarazua</t>
        </is>
      </c>
      <c r="AR96" s="24" t="inlineStr">
        <is>
          <t>Renata Zarazua</t>
        </is>
      </c>
      <c r="AS96" s="24" t="inlineStr">
        <is>
          <t>Darja Vidmanova</t>
        </is>
      </c>
      <c r="AT96" s="24" t="inlineStr">
        <is>
          <t>Darja Vidmanova</t>
        </is>
      </c>
      <c r="AU96" s="24" t="inlineStr">
        <is>
          <t>Darja Vidmanova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999faa03e2fa83bdf40e3760cb8645b4c314e4cc37c2050b8320d6582c4d8167</t>
        </is>
      </c>
      <c r="BB96" s="24" t="inlineStr">
        <is>
          <t>surface_blended_elo</t>
        </is>
      </c>
      <c r="BC96" s="24" t="inlineStr">
        <is>
          <t>tennis-surface-elo-v1</t>
        </is>
      </c>
      <c r="BD96" s="24" t="inlineStr">
        <is>
          <t>999faa03e2fa83bdf40e3760cb8645b4c314e4cc37c2050b8320d6582c4d8167</t>
        </is>
      </c>
      <c r="BE96" s="24" t="inlineStr">
        <is>
          <t>tennis-surface-elo-v1</t>
        </is>
      </c>
      <c r="BF96" s="24" t="inlineStr">
        <is>
          <t>1</t>
        </is>
      </c>
      <c r="BG96" s="24" t="inlineStr">
        <is>
          <t>999faa03e2fa83bdf40e3760cb8645b4c314e4cc37c2050b8320d6582c4d8167</t>
        </is>
      </c>
      <c r="BH96" s="24" t="inlineStr">
        <is>
          <t>2026-08-01T18:37:25.688700Z</t>
        </is>
      </c>
      <c r="BI96" s="24" t="inlineStr">
        <is>
          <t>["same_event","same_team_same_day","same_league_same_day"]</t>
        </is>
      </c>
      <c r="BJ96" s="25" t="n"/>
      <c r="BK96" s="26" t="n">
        <v>-133</v>
      </c>
      <c r="BL96" s="27" t="n">
        <v>1.75188</v>
      </c>
      <c r="BM96" s="28" t="n">
        <v>0.570815</v>
      </c>
      <c r="BN96" s="28" t="n"/>
      <c r="BO96" s="28" t="n"/>
      <c r="BP96" s="25" t="n"/>
      <c r="BQ96" s="27" t="n">
        <v>1.75188</v>
      </c>
      <c r="BR96" s="28" t="n">
        <v>0.57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</row>
    <row r="97" ht="36" customHeight="1">
      <c r="A97" s="24" t="inlineStr">
        <is>
          <t>77b321a956734986</t>
        </is>
      </c>
      <c r="B97" s="24" t="inlineStr">
        <is>
          <t>2026-08-01T18:40:28.047324Z</t>
        </is>
      </c>
      <c r="C97" s="24" t="inlineStr">
        <is>
          <t>2026-08-01T19:30Z</t>
        </is>
      </c>
      <c r="D97" s="24" t="inlineStr">
        <is>
          <t>421-2026:183316</t>
        </is>
      </c>
      <c r="E97" s="24" t="inlineStr">
        <is>
          <t>TENNIS</t>
        </is>
      </c>
      <c r="F97" s="24" t="inlineStr">
        <is>
          <t>Sloane Stephens</t>
        </is>
      </c>
      <c r="G97" s="24" t="inlineStr">
        <is>
          <t>Harriet Dart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-104</v>
      </c>
      <c r="M97" s="27" t="n">
        <v>1.961538</v>
      </c>
      <c r="N97" s="28" t="n">
        <v>0.509804</v>
      </c>
      <c r="O97" s="28" t="n">
        <v>0.5425990000000001</v>
      </c>
      <c r="P97" s="28" t="n">
        <v>0.05</v>
      </c>
      <c r="Q97" s="28" t="n">
        <v>0.032795</v>
      </c>
      <c r="R97" s="26" t="n">
        <v>36</v>
      </c>
      <c r="S97" s="29" t="n">
        <v>1</v>
      </c>
      <c r="T97" s="24" t="inlineStr">
        <is>
          <t>tennis-surface-elo-v1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-104</v>
      </c>
      <c r="AA97" s="28" t="n">
        <v>0.51</v>
      </c>
      <c r="AB97" s="28" t="n">
        <v>0.000196</v>
      </c>
      <c r="AC97" s="30" t="n">
        <v>-1</v>
      </c>
      <c r="AD97" s="24" t="inlineStr">
        <is>
          <t>2026-08-01T23:51:12.837368Z</t>
        </is>
      </c>
      <c r="AE97" s="31" t="inlineStr">
        <is>
          <t>Surface-blended Elo on Hard: Sloane Stephens p=0.457 vs Harriet Dart. Executable ask 0.5100 (aec-wta-hardar-sloste-2026-08-01).</t>
        </is>
      </c>
      <c r="AF97" s="31" t="inlineStr">
        <is>
          <t>Research-only surface-blended Elo model; singles only, WTA-only market coverage,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Sloane Stephens</t>
        </is>
      </c>
      <c r="AQ97" s="24" t="inlineStr">
        <is>
          <t>Sloane Stephens</t>
        </is>
      </c>
      <c r="AR97" s="24" t="inlineStr">
        <is>
          <t>Sloane Stephens</t>
        </is>
      </c>
      <c r="AS97" s="24" t="inlineStr">
        <is>
          <t>Harriet Dart</t>
        </is>
      </c>
      <c r="AT97" s="24" t="inlineStr">
        <is>
          <t>Harriet Dart</t>
        </is>
      </c>
      <c r="AU97" s="24" t="inlineStr">
        <is>
          <t>Harriet Dart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999faa03e2fa83bdf40e3760cb8645b4c314e4cc37c2050b8320d6582c4d8167</t>
        </is>
      </c>
      <c r="BB97" s="24" t="inlineStr">
        <is>
          <t>surface_blended_elo</t>
        </is>
      </c>
      <c r="BC97" s="24" t="inlineStr">
        <is>
          <t>tennis-surface-elo-v1</t>
        </is>
      </c>
      <c r="BD97" s="24" t="inlineStr">
        <is>
          <t>999faa03e2fa83bdf40e3760cb8645b4c314e4cc37c2050b8320d6582c4d8167</t>
        </is>
      </c>
      <c r="BE97" s="24" t="inlineStr">
        <is>
          <t>tennis-surface-elo-v1</t>
        </is>
      </c>
      <c r="BF97" s="24" t="inlineStr">
        <is>
          <t>1</t>
        </is>
      </c>
      <c r="BG97" s="24" t="inlineStr">
        <is>
          <t>999faa03e2fa83bdf40e3760cb8645b4c314e4cc37c2050b8320d6582c4d8167</t>
        </is>
      </c>
      <c r="BH97" s="24" t="inlineStr">
        <is>
          <t>2026-08-01T18:37:23.024082Z</t>
        </is>
      </c>
      <c r="BI97" s="24" t="inlineStr">
        <is>
          <t>["same_event","same_team_same_day","same_league_same_day"]</t>
        </is>
      </c>
      <c r="BJ97" s="25" t="n"/>
      <c r="BK97" s="26" t="n">
        <v>-104</v>
      </c>
      <c r="BL97" s="27" t="n">
        <v>1.961538</v>
      </c>
      <c r="BM97" s="28" t="n">
        <v>0.509804</v>
      </c>
      <c r="BN97" s="28" t="n"/>
      <c r="BO97" s="28" t="n"/>
      <c r="BP97" s="25" t="n"/>
      <c r="BQ97" s="27" t="n">
        <v>1.961538</v>
      </c>
      <c r="BR97" s="28" t="n">
        <v>0.51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</row>
    <row r="98" ht="36" customHeight="1">
      <c r="A98" s="24" t="inlineStr">
        <is>
          <t>68c34ae759b64dc2</t>
        </is>
      </c>
      <c r="B98" s="24" t="inlineStr">
        <is>
          <t>2026-08-01T20:17:17.078985Z</t>
        </is>
      </c>
      <c r="C98" s="24" t="inlineStr">
        <is>
          <t>2026-08-01T21:00Z</t>
        </is>
      </c>
      <c r="D98" s="24" t="inlineStr">
        <is>
          <t>421-2026:183325</t>
        </is>
      </c>
      <c r="E98" s="24" t="inlineStr">
        <is>
          <t>TENNIS</t>
        </is>
      </c>
      <c r="F98" s="24" t="inlineStr">
        <is>
          <t>Rebecca Sramkova</t>
        </is>
      </c>
      <c r="G98" s="24" t="inlineStr">
        <is>
          <t>Mananchaya Sawangkaew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-127</v>
      </c>
      <c r="M98" s="27" t="n">
        <v>1.787402</v>
      </c>
      <c r="N98" s="28" t="n">
        <v>0.5594710000000001</v>
      </c>
      <c r="O98" s="28" t="n">
        <v>0.590604</v>
      </c>
      <c r="P98" s="28" t="n">
        <v>0.05</v>
      </c>
      <c r="Q98" s="28" t="n">
        <v>0.031133</v>
      </c>
      <c r="R98" s="26" t="n">
        <v>36</v>
      </c>
      <c r="S98" s="29" t="n">
        <v>1.25</v>
      </c>
      <c r="T98" s="24" t="inlineStr">
        <is>
          <t>tennis-surface-elo-v1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-127</v>
      </c>
      <c r="AA98" s="28" t="n">
        <v>0.5600000000000001</v>
      </c>
      <c r="AB98" s="28" t="n">
        <v>0.000529</v>
      </c>
      <c r="AC98" s="30" t="n">
        <v>-1.25</v>
      </c>
      <c r="AD98" s="24" t="inlineStr">
        <is>
          <t>2026-08-01T23:51:13.253347Z</t>
        </is>
      </c>
      <c r="AE98" s="31" t="inlineStr">
        <is>
          <t>Surface-blended Elo on Hard: Rebecca Sramkova p=0.409 vs Mananchaya Sawangkaew. Executable ask 0.5600 (aec-wta-mansaw-rebsra-2026-08-01).</t>
        </is>
      </c>
      <c r="AF98" s="31" t="inlineStr">
        <is>
          <t>Research-only surface-blended Elo model; singles only, WTA-only market coverage,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Rebecca Sramkova</t>
        </is>
      </c>
      <c r="AQ98" s="24" t="inlineStr">
        <is>
          <t>Rebecca Sramkova</t>
        </is>
      </c>
      <c r="AR98" s="24" t="inlineStr">
        <is>
          <t>Rebecca Sramkova</t>
        </is>
      </c>
      <c r="AS98" s="24" t="inlineStr">
        <is>
          <t>Mananchaya Sawangkaew</t>
        </is>
      </c>
      <c r="AT98" s="24" t="inlineStr">
        <is>
          <t>Mananchaya Sawangkaew</t>
        </is>
      </c>
      <c r="AU98" s="24" t="inlineStr">
        <is>
          <t>Mananchaya Sawangkaew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999faa03e2fa83bdf40e3760cb8645b4c314e4cc37c2050b8320d6582c4d8167</t>
        </is>
      </c>
      <c r="BB98" s="24" t="inlineStr">
        <is>
          <t>surface_blended_elo</t>
        </is>
      </c>
      <c r="BC98" s="24" t="inlineStr">
        <is>
          <t>tennis-surface-elo-v1</t>
        </is>
      </c>
      <c r="BD98" s="24" t="inlineStr">
        <is>
          <t>999faa03e2fa83bdf40e3760cb8645b4c314e4cc37c2050b8320d6582c4d8167</t>
        </is>
      </c>
      <c r="BE98" s="24" t="inlineStr">
        <is>
          <t>tennis-surface-elo-v1</t>
        </is>
      </c>
      <c r="BF98" s="24" t="inlineStr">
        <is>
          <t>1</t>
        </is>
      </c>
      <c r="BG98" s="24" t="inlineStr">
        <is>
          <t>999faa03e2fa83bdf40e3760cb8645b4c314e4cc37c2050b8320d6582c4d8167</t>
        </is>
      </c>
      <c r="BH98" s="24" t="inlineStr">
        <is>
          <t>2026-08-01T20:14:57.278891Z</t>
        </is>
      </c>
      <c r="BI98" s="24" t="inlineStr">
        <is>
          <t>["same_event","same_team_same_day","same_league_same_day"]</t>
        </is>
      </c>
      <c r="BJ98" s="25" t="n"/>
      <c r="BK98" s="26" t="n">
        <v>-127</v>
      </c>
      <c r="BL98" s="27" t="n">
        <v>1.787402</v>
      </c>
      <c r="BM98" s="28" t="n">
        <v>0.5594710000000001</v>
      </c>
      <c r="BN98" s="28" t="n"/>
      <c r="BO98" s="28" t="n"/>
      <c r="BP98" s="25" t="n"/>
      <c r="BQ98" s="27" t="n">
        <v>1.787402</v>
      </c>
      <c r="BR98" s="28" t="n">
        <v>0.5600000000000001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</row>
    <row r="99" ht="36" customHeight="1">
      <c r="A99" s="24" t="inlineStr">
        <is>
          <t>2561c71be5564c8d</t>
        </is>
      </c>
      <c r="B99" s="24" t="inlineStr">
        <is>
          <t>2026-08-02T12:28:47.396277Z</t>
        </is>
      </c>
      <c r="C99" s="24" t="inlineStr">
        <is>
          <t>2026-08-02T13:00Z</t>
        </is>
      </c>
      <c r="D99" s="24" t="inlineStr">
        <is>
          <t>1073-2026:179603</t>
        </is>
      </c>
      <c r="E99" s="24" t="inlineStr">
        <is>
          <t>TENNIS</t>
        </is>
      </c>
      <c r="F99" s="24" t="inlineStr">
        <is>
          <t>Laura Samson</t>
        </is>
      </c>
      <c r="G99" s="24" t="inlineStr">
        <is>
          <t>Kaitlin Quevedo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-138</v>
      </c>
      <c r="M99" s="27" t="n">
        <v>1.724638</v>
      </c>
      <c r="N99" s="28" t="n">
        <v>0.579832</v>
      </c>
      <c r="O99" s="28" t="n">
        <v>0.608004</v>
      </c>
      <c r="P99" s="28" t="n">
        <v>0.05</v>
      </c>
      <c r="Q99" s="28" t="n">
        <v>0.028172</v>
      </c>
      <c r="R99" s="26" t="n">
        <v>34</v>
      </c>
      <c r="S99" s="29" t="n">
        <v>1.5</v>
      </c>
      <c r="T99" s="24" t="inlineStr">
        <is>
          <t>tennis-surface-elo-v1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>
        <v>-138</v>
      </c>
      <c r="AA99" s="28" t="n">
        <v>0.58</v>
      </c>
      <c r="AB99" s="28" t="n">
        <v>0.000168</v>
      </c>
      <c r="AC99" s="30" t="n">
        <v>-1.5</v>
      </c>
      <c r="AD99" s="24" t="inlineStr">
        <is>
          <t>2026-08-02T15:53:31.398063Z</t>
        </is>
      </c>
      <c r="AE99" s="31" t="inlineStr">
        <is>
          <t>Surface-blended Elo on Hard: Laura Samson p=0.392 vs Kaitlin Quevedo. Executable ask 0.5800 (aec-wta-kaique-lausam-2026-08-02).</t>
        </is>
      </c>
      <c r="AF99" s="31" t="inlineStr">
        <is>
          <t>Research-only surface-blended Elo model; singles only, WTA-only market coverage, not yet locked-holdout qualified.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Laura Samson</t>
        </is>
      </c>
      <c r="AQ99" s="24" t="inlineStr">
        <is>
          <t>Laura Samson</t>
        </is>
      </c>
      <c r="AR99" s="24" t="inlineStr">
        <is>
          <t>Laura Samson</t>
        </is>
      </c>
      <c r="AS99" s="24" t="inlineStr">
        <is>
          <t>Kaitlin Quevedo</t>
        </is>
      </c>
      <c r="AT99" s="24" t="inlineStr">
        <is>
          <t>Kaitlin Quevedo</t>
        </is>
      </c>
      <c r="AU99" s="24" t="inlineStr">
        <is>
          <t>Kaitlin Quevedo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999faa03e2fa83bdf40e3760cb8645b4c314e4cc37c2050b8320d6582c4d8167</t>
        </is>
      </c>
      <c r="BB99" s="24" t="inlineStr">
        <is>
          <t>surface_blended_elo</t>
        </is>
      </c>
      <c r="BC99" s="24" t="inlineStr">
        <is>
          <t>tennis-surface-elo-v1</t>
        </is>
      </c>
      <c r="BD99" s="24" t="inlineStr">
        <is>
          <t>999faa03e2fa83bdf40e3760cb8645b4c314e4cc37c2050b8320d6582c4d8167</t>
        </is>
      </c>
      <c r="BE99" s="24" t="inlineStr">
        <is>
          <t>tennis-surface-elo-v1</t>
        </is>
      </c>
      <c r="BF99" s="24" t="inlineStr">
        <is>
          <t>1</t>
        </is>
      </c>
      <c r="BG99" s="24" t="inlineStr">
        <is>
          <t>999faa03e2fa83bdf40e3760cb8645b4c314e4cc37c2050b8320d6582c4d8167</t>
        </is>
      </c>
      <c r="BH99" s="24" t="inlineStr">
        <is>
          <t>2026-08-02T12:25:29.223380Z</t>
        </is>
      </c>
      <c r="BI99" s="24" t="inlineStr">
        <is>
          <t>["same_event","same_team_same_day","same_league_same_day"]</t>
        </is>
      </c>
      <c r="BJ99" s="25" t="n"/>
      <c r="BK99" s="26" t="n">
        <v>-138</v>
      </c>
      <c r="BL99" s="27" t="n">
        <v>1.724638</v>
      </c>
      <c r="BM99" s="28" t="n">
        <v>0.579832</v>
      </c>
      <c r="BN99" s="28" t="n"/>
      <c r="BO99" s="28" t="n"/>
      <c r="BP99" s="25" t="n"/>
      <c r="BQ99" s="27" t="n">
        <v>1.724638</v>
      </c>
      <c r="BR99" s="28" t="n">
        <v>0.58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</row>
    <row r="100" ht="36" customHeight="1">
      <c r="A100" s="24" t="inlineStr">
        <is>
          <t>2ccf46ab0ab040ed</t>
        </is>
      </c>
      <c r="B100" s="24" t="inlineStr">
        <is>
          <t>2026-08-02T15:50:00.179683Z</t>
        </is>
      </c>
      <c r="C100" s="24" t="inlineStr">
        <is>
          <t>2026-08-02T16:00Z</t>
        </is>
      </c>
      <c r="D100" s="24" t="inlineStr">
        <is>
          <t>888-2026:179014</t>
        </is>
      </c>
      <c r="E100" s="24" t="inlineStr">
        <is>
          <t>TENNIS</t>
        </is>
      </c>
      <c r="F100" s="24" t="inlineStr">
        <is>
          <t>Alexandra Eala</t>
        </is>
      </c>
      <c r="G100" s="24" t="inlineStr">
        <is>
          <t>Jessica Pegula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-144</v>
      </c>
      <c r="M100" s="27" t="n">
        <v>1.694444</v>
      </c>
      <c r="N100" s="28" t="n">
        <v>0.590164</v>
      </c>
      <c r="O100" s="28" t="n">
        <v>0.821797</v>
      </c>
      <c r="P100" s="28" t="n">
        <v>0.05</v>
      </c>
      <c r="Q100" s="28" t="n">
        <v>0.231633</v>
      </c>
      <c r="R100" s="26" t="n">
        <v>100</v>
      </c>
      <c r="S100" s="29" t="n">
        <v>2</v>
      </c>
      <c r="T100" s="24" t="inlineStr">
        <is>
          <t>tennis-surface-elo-v1</t>
        </is>
      </c>
      <c r="U100" s="24" t="inlineStr">
        <is>
          <t>settled</t>
        </is>
      </c>
      <c r="V100" s="24" t="inlineStr">
        <is>
          <t>loss</t>
        </is>
      </c>
      <c r="W100" s="26" t="n">
        <v>1</v>
      </c>
      <c r="X100" s="26" t="n">
        <v>0</v>
      </c>
      <c r="Y100" s="25" t="n"/>
      <c r="Z100" s="26" t="n">
        <v>-144</v>
      </c>
      <c r="AA100" s="28" t="n">
        <v>0.59</v>
      </c>
      <c r="AB100" s="28" t="n">
        <v>-0.000164</v>
      </c>
      <c r="AC100" s="30" t="n">
        <v>-2</v>
      </c>
      <c r="AD100" s="24" t="inlineStr">
        <is>
          <t>2026-08-03T17:05:42.429228Z</t>
        </is>
      </c>
      <c r="AE100" s="31" t="inlineStr">
        <is>
          <t>Surface-blended Elo on Hard: Alexandra Eala p=0.178 vs Jessica Pegula. Executable ask 0.5900 (aec-wta-jespeg-aleeal-2026-08-02).</t>
        </is>
      </c>
      <c r="AF100" s="31" t="inlineStr">
        <is>
          <t>Research-only surface-blended Elo model; singles only, WTA-only market coverage, not yet locked-holdout qualified.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Alexandra Eala</t>
        </is>
      </c>
      <c r="AQ100" s="24" t="inlineStr">
        <is>
          <t>Alexandra Eala</t>
        </is>
      </c>
      <c r="AR100" s="24" t="inlineStr">
        <is>
          <t>Alexandra Eala</t>
        </is>
      </c>
      <c r="AS100" s="24" t="inlineStr">
        <is>
          <t>Jessica Pegula</t>
        </is>
      </c>
      <c r="AT100" s="24" t="inlineStr">
        <is>
          <t>Jessica Pegula</t>
        </is>
      </c>
      <c r="AU100" s="24" t="inlineStr">
        <is>
          <t>Jessica Pegula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999faa03e2fa83bdf40e3760cb8645b4c314e4cc37c2050b8320d6582c4d8167</t>
        </is>
      </c>
      <c r="BB100" s="24" t="inlineStr">
        <is>
          <t>surface_blended_elo</t>
        </is>
      </c>
      <c r="BC100" s="24" t="inlineStr">
        <is>
          <t>tennis-surface-elo-v1</t>
        </is>
      </c>
      <c r="BD100" s="24" t="inlineStr">
        <is>
          <t>999faa03e2fa83bdf40e3760cb8645b4c314e4cc37c2050b8320d6582c4d8167</t>
        </is>
      </c>
      <c r="BE100" s="24" t="inlineStr">
        <is>
          <t>tennis-surface-elo-v1</t>
        </is>
      </c>
      <c r="BF100" s="24" t="inlineStr">
        <is>
          <t>1</t>
        </is>
      </c>
      <c r="BG100" s="24" t="inlineStr">
        <is>
          <t>999faa03e2fa83bdf40e3760cb8645b4c314e4cc37c2050b8320d6582c4d8167</t>
        </is>
      </c>
      <c r="BH100" s="24" t="inlineStr">
        <is>
          <t>2026-08-02T15:46:52.794231Z</t>
        </is>
      </c>
      <c r="BI100" s="24" t="inlineStr">
        <is>
          <t>["same_event","same_team_same_day","same_league_same_day"]</t>
        </is>
      </c>
      <c r="BJ100" s="25" t="n"/>
      <c r="BK100" s="26" t="n">
        <v>-144</v>
      </c>
      <c r="BL100" s="27" t="n">
        <v>1.694444</v>
      </c>
      <c r="BM100" s="28" t="n">
        <v>0.590164</v>
      </c>
      <c r="BN100" s="28" t="n"/>
      <c r="BO100" s="28" t="n"/>
      <c r="BP100" s="25" t="n"/>
      <c r="BQ100" s="27" t="n">
        <v>1.694444</v>
      </c>
      <c r="BR100" s="28" t="n">
        <v>0.59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</row>
    <row r="101" ht="36" customHeight="1">
      <c r="A101" s="24" t="inlineStr">
        <is>
          <t>963db413afc049d0</t>
        </is>
      </c>
      <c r="B101" s="24" t="inlineStr">
        <is>
          <t>2026-08-02T16:13:39.503934Z</t>
        </is>
      </c>
      <c r="C101" s="24" t="inlineStr">
        <is>
          <t>2026-08-02T16:30Z</t>
        </is>
      </c>
      <c r="D101" s="24" t="inlineStr">
        <is>
          <t>421-2026:182259</t>
        </is>
      </c>
      <c r="E101" s="24" t="inlineStr">
        <is>
          <t>TENNIS</t>
        </is>
      </c>
      <c r="F101" s="24" t="inlineStr">
        <is>
          <t>Viktorija Golubic</t>
        </is>
      </c>
      <c r="G101" s="24" t="inlineStr">
        <is>
          <t>Kimberly Birrell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-108</v>
      </c>
      <c r="M101" s="27" t="n">
        <v>1.925926</v>
      </c>
      <c r="N101" s="28" t="n">
        <v>0.519231</v>
      </c>
      <c r="O101" s="28" t="n">
        <v>0.530496</v>
      </c>
      <c r="P101" s="28" t="n">
        <v>0.05</v>
      </c>
      <c r="Q101" s="28" t="n">
        <v>0.011265</v>
      </c>
      <c r="R101" s="26" t="n">
        <v>26</v>
      </c>
      <c r="S101" s="29" t="n">
        <v>1</v>
      </c>
      <c r="T101" s="24" t="inlineStr">
        <is>
          <t>tennis-surface-elo-v1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>
        <v>-108</v>
      </c>
      <c r="AA101" s="28" t="n">
        <v>0.52</v>
      </c>
      <c r="AB101" s="28" t="n">
        <v>0.000769</v>
      </c>
      <c r="AC101" s="30" t="n">
        <v>-1</v>
      </c>
      <c r="AD101" s="24" t="inlineStr">
        <is>
          <t>2026-08-02T23:11:58.041480Z</t>
        </is>
      </c>
      <c r="AE101" s="31" t="inlineStr">
        <is>
          <t>Surface-blended Elo on Hard: Viktorija Golubic p=0.470 vs Kimberly Birrell. Executable ask 0.5200 (aec-wta-kimbir-vikgol-2026-08-02).</t>
        </is>
      </c>
      <c r="AF101" s="31" t="inlineStr">
        <is>
          <t>Research-only surface-blended Elo model; singles only, WTA-only market coverage, not yet locked-holdout qualified.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NO_CALL_LOW_EDGE</t>
        </is>
      </c>
      <c r="AP101" s="24" t="inlineStr">
        <is>
          <t>Viktorija Golubic</t>
        </is>
      </c>
      <c r="AQ101" s="24" t="inlineStr">
        <is>
          <t>Viktorija Golubic</t>
        </is>
      </c>
      <c r="AR101" s="24" t="inlineStr">
        <is>
          <t>Viktorija Golubic</t>
        </is>
      </c>
      <c r="AS101" s="24" t="inlineStr">
        <is>
          <t>Kimberly Birrell</t>
        </is>
      </c>
      <c r="AT101" s="24" t="inlineStr">
        <is>
          <t>Kimberly Birrell</t>
        </is>
      </c>
      <c r="AU101" s="24" t="inlineStr">
        <is>
          <t>Kimberly Birrell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999faa03e2fa83bdf40e3760cb8645b4c314e4cc37c2050b8320d6582c4d8167</t>
        </is>
      </c>
      <c r="BB101" s="24" t="inlineStr">
        <is>
          <t>surface_blended_elo</t>
        </is>
      </c>
      <c r="BC101" s="24" t="inlineStr">
        <is>
          <t>tennis-surface-elo-v1</t>
        </is>
      </c>
      <c r="BD101" s="24" t="inlineStr">
        <is>
          <t>999faa03e2fa83bdf40e3760cb8645b4c314e4cc37c2050b8320d6582c4d8167</t>
        </is>
      </c>
      <c r="BE101" s="24" t="inlineStr">
        <is>
          <t>tennis-surface-elo-v1</t>
        </is>
      </c>
      <c r="BF101" s="24" t="inlineStr">
        <is>
          <t>1</t>
        </is>
      </c>
      <c r="BG101" s="24" t="inlineStr">
        <is>
          <t>999faa03e2fa83bdf40e3760cb8645b4c314e4cc37c2050b8320d6582c4d8167</t>
        </is>
      </c>
      <c r="BH101" s="24" t="inlineStr">
        <is>
          <t>2026-08-02T16:10:19.496539Z</t>
        </is>
      </c>
      <c r="BI101" s="24" t="inlineStr">
        <is>
          <t>["same_event","same_team_same_day","same_league_same_day"]</t>
        </is>
      </c>
      <c r="BJ101" s="25" t="n"/>
      <c r="BK101" s="26" t="n">
        <v>-108</v>
      </c>
      <c r="BL101" s="27" t="n">
        <v>1.925926</v>
      </c>
      <c r="BM101" s="28" t="n">
        <v>0.519231</v>
      </c>
      <c r="BN101" s="28" t="n"/>
      <c r="BO101" s="28" t="n"/>
      <c r="BP101" s="25" t="n"/>
      <c r="BQ101" s="27" t="n">
        <v>1.925926</v>
      </c>
      <c r="BR101" s="28" t="n">
        <v>0.52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41b4f49e70934391</t>
        </is>
      </c>
      <c r="B102" s="24" t="inlineStr">
        <is>
          <t>2026-08-02T16:13:39.503934Z</t>
        </is>
      </c>
      <c r="C102" s="24" t="inlineStr">
        <is>
          <t>2026-08-02T16:30Z</t>
        </is>
      </c>
      <c r="D102" s="24" t="inlineStr">
        <is>
          <t>421-2026:182280</t>
        </is>
      </c>
      <c r="E102" s="24" t="inlineStr">
        <is>
          <t>TENNIS</t>
        </is>
      </c>
      <c r="F102" s="24" t="inlineStr">
        <is>
          <t>Sara Bejlek</t>
        </is>
      </c>
      <c r="G102" s="24" t="inlineStr">
        <is>
          <t>Wang Xiyu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-144</v>
      </c>
      <c r="M102" s="27" t="n">
        <v>1.694444</v>
      </c>
      <c r="N102" s="28" t="n">
        <v>0.590164</v>
      </c>
      <c r="O102" s="28" t="n">
        <v>0.597848</v>
      </c>
      <c r="P102" s="28" t="n">
        <v>0.05</v>
      </c>
      <c r="Q102" s="28" t="n">
        <v>0.007684</v>
      </c>
      <c r="R102" s="26" t="n">
        <v>24</v>
      </c>
      <c r="S102" s="29" t="n">
        <v>1.25</v>
      </c>
      <c r="T102" s="24" t="inlineStr">
        <is>
          <t>tennis-surface-elo-v1</t>
        </is>
      </c>
      <c r="U102" s="24" t="inlineStr">
        <is>
          <t>settled</t>
        </is>
      </c>
      <c r="V102" s="24" t="inlineStr">
        <is>
          <t>win</t>
        </is>
      </c>
      <c r="W102" s="26" t="n">
        <v>1</v>
      </c>
      <c r="X102" s="26" t="n">
        <v>0</v>
      </c>
      <c r="Y102" s="25" t="n"/>
      <c r="Z102" s="26" t="n">
        <v>-144</v>
      </c>
      <c r="AA102" s="28" t="n">
        <v>0.59</v>
      </c>
      <c r="AB102" s="28" t="n">
        <v>-0.000164</v>
      </c>
      <c r="AC102" s="30" t="n">
        <v>0.8681</v>
      </c>
      <c r="AD102" s="24" t="inlineStr">
        <is>
          <t>2026-08-02T23:11:59.093635Z</t>
        </is>
      </c>
      <c r="AE102" s="31" t="inlineStr">
        <is>
          <t>Surface-blended Elo on Hard: Sara Bejlek p=0.598 vs Wang Xiyu. Executable ask 0.5900 (aec-wta-xiywan-sarbej-2026-08-02).</t>
        </is>
      </c>
      <c r="AF102" s="31" t="inlineStr">
        <is>
          <t>Research-only surface-blended Elo model; singles only, WTA-only market coverage, not yet locked-holdout qualified.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NO_CALL_LOW_EDGE</t>
        </is>
      </c>
      <c r="AP102" s="24" t="inlineStr">
        <is>
          <t>Sara Bejlek</t>
        </is>
      </c>
      <c r="AQ102" s="24" t="inlineStr">
        <is>
          <t>Sara Bejlek</t>
        </is>
      </c>
      <c r="AR102" s="24" t="inlineStr">
        <is>
          <t>Sara Bejlek</t>
        </is>
      </c>
      <c r="AS102" s="24" t="inlineStr">
        <is>
          <t>Wang Xiyu</t>
        </is>
      </c>
      <c r="AT102" s="24" t="inlineStr">
        <is>
          <t>Wang Xiyu</t>
        </is>
      </c>
      <c r="AU102" s="24" t="inlineStr">
        <is>
          <t>Wang Xiyu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999faa03e2fa83bdf40e3760cb8645b4c314e4cc37c2050b8320d6582c4d8167</t>
        </is>
      </c>
      <c r="BB102" s="24" t="inlineStr">
        <is>
          <t>surface_blended_elo</t>
        </is>
      </c>
      <c r="BC102" s="24" t="inlineStr">
        <is>
          <t>tennis-surface-elo-v1</t>
        </is>
      </c>
      <c r="BD102" s="24" t="inlineStr">
        <is>
          <t>999faa03e2fa83bdf40e3760cb8645b4c314e4cc37c2050b8320d6582c4d8167</t>
        </is>
      </c>
      <c r="BE102" s="24" t="inlineStr">
        <is>
          <t>tennis-surface-elo-v1</t>
        </is>
      </c>
      <c r="BF102" s="24" t="inlineStr">
        <is>
          <t>1</t>
        </is>
      </c>
      <c r="BG102" s="24" t="inlineStr">
        <is>
          <t>999faa03e2fa83bdf40e3760cb8645b4c314e4cc37c2050b8320d6582c4d8167</t>
        </is>
      </c>
      <c r="BH102" s="24" t="inlineStr">
        <is>
          <t>2026-08-02T16:10:19.991470Z</t>
        </is>
      </c>
      <c r="BI102" s="24" t="inlineStr">
        <is>
          <t>["same_event","same_team_same_day","same_league_same_day"]</t>
        </is>
      </c>
      <c r="BJ102" s="25" t="n"/>
      <c r="BK102" s="26" t="n">
        <v>-144</v>
      </c>
      <c r="BL102" s="27" t="n">
        <v>1.694444</v>
      </c>
      <c r="BM102" s="28" t="n">
        <v>0.590164</v>
      </c>
      <c r="BN102" s="28" t="n"/>
      <c r="BO102" s="28" t="n"/>
      <c r="BP102" s="25" t="n"/>
      <c r="BQ102" s="27" t="n">
        <v>1.694444</v>
      </c>
      <c r="BR102" s="28" t="n">
        <v>0.59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3df15dfb8dc44a9e</t>
        </is>
      </c>
      <c r="B103" s="24" t="inlineStr">
        <is>
          <t>2026-08-02T18:48:04.752130Z</t>
        </is>
      </c>
      <c r="C103" s="24" t="inlineStr">
        <is>
          <t>2026-08-02T19:00Z</t>
        </is>
      </c>
      <c r="D103" s="24" t="inlineStr">
        <is>
          <t>421-2026:182290</t>
        </is>
      </c>
      <c r="E103" s="24" t="inlineStr">
        <is>
          <t>TENNIS</t>
        </is>
      </c>
      <c r="F103" s="24" t="inlineStr">
        <is>
          <t>Ariana Arseneault</t>
        </is>
      </c>
      <c r="G103" s="24" t="inlineStr">
        <is>
          <t>Jessica Bouzas Maneiro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-733</v>
      </c>
      <c r="M103" s="27" t="n">
        <v>1.136426</v>
      </c>
      <c r="N103" s="28" t="n">
        <v>0.879952</v>
      </c>
      <c r="O103" s="28" t="n">
        <v>0.577857</v>
      </c>
      <c r="P103" s="28" t="n">
        <v>0.05</v>
      </c>
      <c r="Q103" s="28" t="n">
        <v>-0.302095</v>
      </c>
      <c r="R103" s="26" t="n">
        <v>0</v>
      </c>
      <c r="S103" s="29" t="n">
        <v>1.25</v>
      </c>
      <c r="T103" s="24" t="inlineStr">
        <is>
          <t>tennis-surface-elo-v1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-733</v>
      </c>
      <c r="AA103" s="28" t="n">
        <v>0.88</v>
      </c>
      <c r="AB103" s="28" t="n">
        <v>4.8e-05</v>
      </c>
      <c r="AC103" s="30" t="n">
        <v>0.1705</v>
      </c>
      <c r="AD103" s="24" t="inlineStr">
        <is>
          <t>2026-08-02T23:12:38.814555Z</t>
        </is>
      </c>
      <c r="AE103" s="31" t="inlineStr">
        <is>
          <t>Surface-blended Elo on Hard: Ariana Arseneault p=0.422 vs Jessica Bouzas Maneiro. Executable ask 0.8800 (aec-wta-jesman-ariars-2026-08-02).</t>
        </is>
      </c>
      <c r="AF103" s="31" t="inlineStr">
        <is>
          <t>Surface-blended Elo model; singles only, WTA+ATP market coverage, not yet locked-holdout qualified -- promoted by explicit operator directive, not genuine walk-forward validation.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NO_CALL_LOW_EDGE</t>
        </is>
      </c>
      <c r="AP103" s="24" t="inlineStr">
        <is>
          <t>Ariana Arseneault</t>
        </is>
      </c>
      <c r="AQ103" s="24" t="inlineStr">
        <is>
          <t>Ariana Arseneault</t>
        </is>
      </c>
      <c r="AR103" s="24" t="inlineStr">
        <is>
          <t>Ariana Arseneault</t>
        </is>
      </c>
      <c r="AS103" s="24" t="inlineStr">
        <is>
          <t>Jessica Bouzas Maneiro</t>
        </is>
      </c>
      <c r="AT103" s="24" t="inlineStr">
        <is>
          <t>Jessica Bouzas Maneiro</t>
        </is>
      </c>
      <c r="AU103" s="24" t="inlineStr">
        <is>
          <t>Jessica Bouzas Maneiro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1c05a3c4f76bde5de709ff6bb1937b3c4c67149c2ea621b7c90ca07898e048e8</t>
        </is>
      </c>
      <c r="BB103" s="24" t="inlineStr">
        <is>
          <t>surface_blended_elo</t>
        </is>
      </c>
      <c r="BC103" s="24" t="inlineStr">
        <is>
          <t>tennis-surface-elo-v1</t>
        </is>
      </c>
      <c r="BD103" s="24" t="inlineStr">
        <is>
          <t>1c05a3c4f76bde5de709ff6bb1937b3c4c67149c2ea621b7c90ca07898e048e8</t>
        </is>
      </c>
      <c r="BE103" s="24" t="inlineStr">
        <is>
          <t>tennis-surface-elo-v1</t>
        </is>
      </c>
      <c r="BF103" s="24" t="inlineStr">
        <is>
          <t>1</t>
        </is>
      </c>
      <c r="BG103" s="24" t="inlineStr">
        <is>
          <t>1c05a3c4f76bde5de709ff6bb1937b3c4c67149c2ea621b7c90ca07898e048e8</t>
        </is>
      </c>
      <c r="BH103" s="24" t="inlineStr">
        <is>
          <t>2026-08-02T18:45:03.578329Z</t>
        </is>
      </c>
      <c r="BI103" s="24" t="inlineStr">
        <is>
          <t>["same_event","same_team_same_day","same_league_same_day"]</t>
        </is>
      </c>
      <c r="BJ103" s="25" t="n"/>
      <c r="BK103" s="26" t="n">
        <v>-733</v>
      </c>
      <c r="BL103" s="27" t="n">
        <v>1.136426</v>
      </c>
      <c r="BM103" s="28" t="n">
        <v>0.879952</v>
      </c>
      <c r="BN103" s="28" t="n"/>
      <c r="BO103" s="28" t="n"/>
      <c r="BP103" s="25" t="n"/>
      <c r="BQ103" s="27" t="n">
        <v>1.136426</v>
      </c>
      <c r="BR103" s="28" t="n">
        <v>0.88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</row>
    <row r="104" ht="36" customHeight="1">
      <c r="A104" s="24" t="inlineStr">
        <is>
          <t>624ae2422a9d4393</t>
        </is>
      </c>
      <c r="B104" s="24" t="inlineStr">
        <is>
          <t>2026-08-02T19:29:54.752777Z</t>
        </is>
      </c>
      <c r="C104" s="24" t="inlineStr">
        <is>
          <t>2026-08-02T19:45Z</t>
        </is>
      </c>
      <c r="D104" s="24" t="inlineStr">
        <is>
          <t>421-2026:182268</t>
        </is>
      </c>
      <c r="E104" s="24" t="inlineStr">
        <is>
          <t>TENNIS</t>
        </is>
      </c>
      <c r="F104" s="24" t="inlineStr">
        <is>
          <t>Katherine Sebov</t>
        </is>
      </c>
      <c r="G104" s="24" t="inlineStr">
        <is>
          <t>Aoi Ito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-150</v>
      </c>
      <c r="M104" s="27" t="n">
        <v>1.666667</v>
      </c>
      <c r="N104" s="28" t="n">
        <v>0.6</v>
      </c>
      <c r="O104" s="28" t="n">
        <v>0.52927</v>
      </c>
      <c r="P104" s="28" t="n">
        <v>0.05</v>
      </c>
      <c r="Q104" s="28" t="n">
        <v>-0.07073</v>
      </c>
      <c r="R104" s="26" t="n">
        <v>0</v>
      </c>
      <c r="S104" s="29" t="n">
        <v>1</v>
      </c>
      <c r="T104" s="24" t="inlineStr">
        <is>
          <t>tennis-surface-elo-v1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>
        <v>-150</v>
      </c>
      <c r="AA104" s="28" t="n">
        <v>0.6</v>
      </c>
      <c r="AB104" s="28" t="n">
        <v>0</v>
      </c>
      <c r="AC104" s="30" t="n">
        <v>-1</v>
      </c>
      <c r="AD104" s="24" t="inlineStr">
        <is>
          <t>2026-08-02T23:12:57.592963Z</t>
        </is>
      </c>
      <c r="AE104" s="31" t="inlineStr">
        <is>
          <t>Surface-blended Elo on Hard: Katherine Sebov p=0.471 vs Aoi Ito. Executable ask 0.6000 (aec-wta-aoiito-katseb-2026-08-02).</t>
        </is>
      </c>
      <c r="AF104" s="31" t="inlineStr">
        <is>
          <t>Surface-blended Elo model; singles only, WTA+ATP market coverage, not yet locked-holdout qualified -- promoted by explicit operator directive, not genuine walk-forward validation.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Katherine Sebov</t>
        </is>
      </c>
      <c r="AQ104" s="24" t="inlineStr">
        <is>
          <t>Katherine Sebov</t>
        </is>
      </c>
      <c r="AR104" s="24" t="inlineStr">
        <is>
          <t>Katherine Sebov</t>
        </is>
      </c>
      <c r="AS104" s="24" t="inlineStr">
        <is>
          <t>Aoi Ito</t>
        </is>
      </c>
      <c r="AT104" s="24" t="inlineStr">
        <is>
          <t>Aoi Ito</t>
        </is>
      </c>
      <c r="AU104" s="24" t="inlineStr">
        <is>
          <t>Aoi Ito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1c05a3c4f76bde5de709ff6bb1937b3c4c67149c2ea621b7c90ca07898e048e8</t>
        </is>
      </c>
      <c r="BB104" s="24" t="inlineStr">
        <is>
          <t>surface_blended_elo</t>
        </is>
      </c>
      <c r="BC104" s="24" t="inlineStr">
        <is>
          <t>tennis-surface-elo-v1</t>
        </is>
      </c>
      <c r="BD104" s="24" t="inlineStr">
        <is>
          <t>1c05a3c4f76bde5de709ff6bb1937b3c4c67149c2ea621b7c90ca07898e048e8</t>
        </is>
      </c>
      <c r="BE104" s="24" t="inlineStr">
        <is>
          <t>tennis-surface-elo-v1</t>
        </is>
      </c>
      <c r="BF104" s="24" t="inlineStr">
        <is>
          <t>1</t>
        </is>
      </c>
      <c r="BG104" s="24" t="inlineStr">
        <is>
          <t>1c05a3c4f76bde5de709ff6bb1937b3c4c67149c2ea621b7c90ca07898e048e8</t>
        </is>
      </c>
      <c r="BH104" s="24" t="inlineStr">
        <is>
          <t>2026-08-02T19:27:57.038278Z</t>
        </is>
      </c>
      <c r="BI104" s="24" t="inlineStr">
        <is>
          <t>["same_event","same_team_same_day","same_league_same_day"]</t>
        </is>
      </c>
      <c r="BJ104" s="25" t="n"/>
      <c r="BK104" s="26" t="n">
        <v>-150</v>
      </c>
      <c r="BL104" s="27" t="n">
        <v>1.666667</v>
      </c>
      <c r="BM104" s="28" t="n">
        <v>0.6</v>
      </c>
      <c r="BN104" s="28" t="n"/>
      <c r="BO104" s="28" t="n"/>
      <c r="BP104" s="25" t="n"/>
      <c r="BQ104" s="27" t="n">
        <v>1.666667</v>
      </c>
      <c r="BR104" s="28" t="n">
        <v>0.6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</row>
    <row r="105" ht="36" customHeight="1">
      <c r="A105" s="24" t="inlineStr">
        <is>
          <t>778b7ffd5e0a409e</t>
        </is>
      </c>
      <c r="B105" s="24" t="inlineStr">
        <is>
          <t>2026-08-02T19:29:54.752777Z</t>
        </is>
      </c>
      <c r="C105" s="24" t="inlineStr">
        <is>
          <t>2026-08-02T20:30Z</t>
        </is>
      </c>
      <c r="D105" s="24" t="inlineStr">
        <is>
          <t>421-2026:182257</t>
        </is>
      </c>
      <c r="E105" s="24" t="inlineStr">
        <is>
          <t>TENNIS</t>
        </is>
      </c>
      <c r="F105" s="24" t="inlineStr">
        <is>
          <t>Antonia Ruzic</t>
        </is>
      </c>
      <c r="G105" s="24" t="inlineStr">
        <is>
          <t>Lois Boisson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-104</v>
      </c>
      <c r="M105" s="27" t="n">
        <v>1.961538</v>
      </c>
      <c r="N105" s="28" t="n">
        <v>0.509804</v>
      </c>
      <c r="O105" s="28" t="n">
        <v>0.549832</v>
      </c>
      <c r="P105" s="28" t="n">
        <v>0.05</v>
      </c>
      <c r="Q105" s="28" t="n">
        <v>0.040028</v>
      </c>
      <c r="R105" s="26" t="n">
        <v>40</v>
      </c>
      <c r="S105" s="29" t="n">
        <v>1</v>
      </c>
      <c r="T105" s="24" t="inlineStr">
        <is>
          <t>tennis-surface-elo-v1</t>
        </is>
      </c>
      <c r="U105" s="24" t="inlineStr">
        <is>
          <t>settled</t>
        </is>
      </c>
      <c r="V105" s="24" t="inlineStr">
        <is>
          <t>win</t>
        </is>
      </c>
      <c r="W105" s="26" t="n">
        <v>1</v>
      </c>
      <c r="X105" s="26" t="n">
        <v>0</v>
      </c>
      <c r="Y105" s="25" t="n"/>
      <c r="Z105" s="26" t="n">
        <v>-104</v>
      </c>
      <c r="AA105" s="28" t="n">
        <v>0.51</v>
      </c>
      <c r="AB105" s="28" t="n">
        <v>0.000196</v>
      </c>
      <c r="AC105" s="30" t="n">
        <v>0.9615</v>
      </c>
      <c r="AD105" s="24" t="inlineStr">
        <is>
          <t>2026-08-03T22:55:16.906344Z</t>
        </is>
      </c>
      <c r="AE105" s="31" t="inlineStr">
        <is>
          <t>Surface-blended Elo on Hard: Antonia Ruzic p=0.550 vs Lois Boisson. Executable ask 0.5100 (aec-wta-loiboi-antruz-2026-08-02).</t>
        </is>
      </c>
      <c r="AF105" s="31" t="inlineStr">
        <is>
          <t>Surface-blended Elo model; singles only, WTA+ATP market coverage, not yet locked-holdout qualified -- promoted by explicit operator directive, not genuine walk-forward validation.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NO_CALL_LOW_EDGE</t>
        </is>
      </c>
      <c r="AP105" s="24" t="inlineStr">
        <is>
          <t>Antonia Ruzic</t>
        </is>
      </c>
      <c r="AQ105" s="24" t="inlineStr">
        <is>
          <t>Antonia Ruzic</t>
        </is>
      </c>
      <c r="AR105" s="24" t="inlineStr">
        <is>
          <t>Antonia Ruzic</t>
        </is>
      </c>
      <c r="AS105" s="24" t="inlineStr">
        <is>
          <t>Lois Boisson</t>
        </is>
      </c>
      <c r="AT105" s="24" t="inlineStr">
        <is>
          <t>Lois Boisson</t>
        </is>
      </c>
      <c r="AU105" s="24" t="inlineStr">
        <is>
          <t>Lois Boisson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1c05a3c4f76bde5de709ff6bb1937b3c4c67149c2ea621b7c90ca07898e048e8</t>
        </is>
      </c>
      <c r="BB105" s="24" t="inlineStr">
        <is>
          <t>surface_blended_elo</t>
        </is>
      </c>
      <c r="BC105" s="24" t="inlineStr">
        <is>
          <t>tennis-surface-elo-v1</t>
        </is>
      </c>
      <c r="BD105" s="24" t="inlineStr">
        <is>
          <t>1c05a3c4f76bde5de709ff6bb1937b3c4c67149c2ea621b7c90ca07898e048e8</t>
        </is>
      </c>
      <c r="BE105" s="24" t="inlineStr">
        <is>
          <t>tennis-surface-elo-v1</t>
        </is>
      </c>
      <c r="BF105" s="24" t="inlineStr">
        <is>
          <t>1</t>
        </is>
      </c>
      <c r="BG105" s="24" t="inlineStr">
        <is>
          <t>1c05a3c4f76bde5de709ff6bb1937b3c4c67149c2ea621b7c90ca07898e048e8</t>
        </is>
      </c>
      <c r="BH105" s="24" t="inlineStr">
        <is>
          <t>2026-08-02T19:28:00.007951Z</t>
        </is>
      </c>
      <c r="BI105" s="24" t="inlineStr">
        <is>
          <t>["same_event","same_team_same_day","same_league_same_day"]</t>
        </is>
      </c>
      <c r="BJ105" s="25" t="n"/>
      <c r="BK105" s="26" t="n">
        <v>-104</v>
      </c>
      <c r="BL105" s="27" t="n">
        <v>1.961538</v>
      </c>
      <c r="BM105" s="28" t="n">
        <v>0.509804</v>
      </c>
      <c r="BN105" s="28" t="n"/>
      <c r="BO105" s="28" t="n"/>
      <c r="BP105" s="25" t="n"/>
      <c r="BQ105" s="27" t="n">
        <v>1.961538</v>
      </c>
      <c r="BR105" s="28" t="n">
        <v>0.51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</row>
    <row r="106" ht="36" customHeight="1">
      <c r="A106" s="24" t="inlineStr">
        <is>
          <t>3f8947a50943414d</t>
        </is>
      </c>
      <c r="B106" s="24" t="inlineStr">
        <is>
          <t>2026-08-02T19:29:54.752777Z</t>
        </is>
      </c>
      <c r="C106" s="24" t="inlineStr">
        <is>
          <t>2026-08-02T20:30Z</t>
        </is>
      </c>
      <c r="D106" s="24" t="inlineStr">
        <is>
          <t>421-2026:182279</t>
        </is>
      </c>
      <c r="E106" s="24" t="inlineStr">
        <is>
          <t>TENNIS</t>
        </is>
      </c>
      <c r="F106" s="24" t="inlineStr">
        <is>
          <t>Cristina Bucsa</t>
        </is>
      </c>
      <c r="G106" s="24" t="inlineStr">
        <is>
          <t>Moyuka Uchijima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-133</v>
      </c>
      <c r="M106" s="27" t="n">
        <v>1.75188</v>
      </c>
      <c r="N106" s="28" t="n">
        <v>0.570815</v>
      </c>
      <c r="O106" s="28" t="n">
        <v>0.548768</v>
      </c>
      <c r="P106" s="28" t="n">
        <v>0.05</v>
      </c>
      <c r="Q106" s="28" t="n">
        <v>-0.022047</v>
      </c>
      <c r="R106" s="26" t="n">
        <v>9</v>
      </c>
      <c r="S106" s="29" t="n">
        <v>1</v>
      </c>
      <c r="T106" s="24" t="inlineStr">
        <is>
          <t>tennis-surface-elo-v1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>
        <v>-133</v>
      </c>
      <c r="AA106" s="28" t="n">
        <v>0.57</v>
      </c>
      <c r="AB106" s="28" t="n">
        <v>-0.000815</v>
      </c>
      <c r="AC106" s="30" t="n">
        <v>-1</v>
      </c>
      <c r="AD106" s="24" t="inlineStr">
        <is>
          <t>2026-08-02T23:12:58.762672Z</t>
        </is>
      </c>
      <c r="AE106" s="31" t="inlineStr">
        <is>
          <t>Surface-blended Elo on Hard: Cristina Bucsa p=0.549 vs Moyuka Uchijima. Executable ask 0.5700 (aec-wta-moyuch-cribuc-2026-08-02).</t>
        </is>
      </c>
      <c r="AF106" s="31" t="inlineStr">
        <is>
          <t>Surface-blended Elo model; singles only, WTA+ATP market coverage, not yet locked-holdout qualified -- promoted by explicit operator directive, not genuine walk-forward validation.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NO_CALL_LOW_EDGE</t>
        </is>
      </c>
      <c r="AP106" s="24" t="inlineStr">
        <is>
          <t>Cristina Bucsa</t>
        </is>
      </c>
      <c r="AQ106" s="24" t="inlineStr">
        <is>
          <t>Cristina Bucsa</t>
        </is>
      </c>
      <c r="AR106" s="24" t="inlineStr">
        <is>
          <t>Cristina Bucsa</t>
        </is>
      </c>
      <c r="AS106" s="24" t="inlineStr">
        <is>
          <t>Moyuka Uchijima</t>
        </is>
      </c>
      <c r="AT106" s="24" t="inlineStr">
        <is>
          <t>Moyuka Uchijima</t>
        </is>
      </c>
      <c r="AU106" s="24" t="inlineStr">
        <is>
          <t>Moyuka Uchijima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1c05a3c4f76bde5de709ff6bb1937b3c4c67149c2ea621b7c90ca07898e048e8</t>
        </is>
      </c>
      <c r="BB106" s="24" t="inlineStr">
        <is>
          <t>surface_blended_elo</t>
        </is>
      </c>
      <c r="BC106" s="24" t="inlineStr">
        <is>
          <t>tennis-surface-elo-v1</t>
        </is>
      </c>
      <c r="BD106" s="24" t="inlineStr">
        <is>
          <t>1c05a3c4f76bde5de709ff6bb1937b3c4c67149c2ea621b7c90ca07898e048e8</t>
        </is>
      </c>
      <c r="BE106" s="24" t="inlineStr">
        <is>
          <t>tennis-surface-elo-v1</t>
        </is>
      </c>
      <c r="BF106" s="24" t="inlineStr">
        <is>
          <t>1</t>
        </is>
      </c>
      <c r="BG106" s="24" t="inlineStr">
        <is>
          <t>1c05a3c4f76bde5de709ff6bb1937b3c4c67149c2ea621b7c90ca07898e048e8</t>
        </is>
      </c>
      <c r="BH106" s="24" t="inlineStr">
        <is>
          <t>2026-08-02T19:28:02.236385Z</t>
        </is>
      </c>
      <c r="BI106" s="24" t="inlineStr">
        <is>
          <t>["same_event","same_team_same_day","same_league_same_day"]</t>
        </is>
      </c>
      <c r="BJ106" s="25" t="n"/>
      <c r="BK106" s="26" t="n">
        <v>-133</v>
      </c>
      <c r="BL106" s="27" t="n">
        <v>1.75188</v>
      </c>
      <c r="BM106" s="28" t="n">
        <v>0.570815</v>
      </c>
      <c r="BN106" s="28" t="n"/>
      <c r="BO106" s="28" t="n"/>
      <c r="BP106" s="25" t="n"/>
      <c r="BQ106" s="27" t="n">
        <v>1.75188</v>
      </c>
      <c r="BR106" s="28" t="n">
        <v>0.57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</row>
    <row r="107" ht="36" customHeight="1">
      <c r="A107" s="24" t="inlineStr">
        <is>
          <t>6704815582d842ed</t>
        </is>
      </c>
      <c r="B107" s="24" t="inlineStr">
        <is>
          <t>2026-08-02T19:29:54.752777Z</t>
        </is>
      </c>
      <c r="C107" s="24" t="inlineStr">
        <is>
          <t>2026-08-02T20:30Z</t>
        </is>
      </c>
      <c r="D107" s="24" t="inlineStr">
        <is>
          <t>421-2026:182284</t>
        </is>
      </c>
      <c r="E107" s="24" t="inlineStr">
        <is>
          <t>TENNIS</t>
        </is>
      </c>
      <c r="F107" s="24" t="inlineStr">
        <is>
          <t>Camila Osorio</t>
        </is>
      </c>
      <c r="G107" s="24" t="inlineStr">
        <is>
          <t>Lucrezia Stefanini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-233</v>
      </c>
      <c r="M107" s="27" t="n">
        <v>1.429185</v>
      </c>
      <c r="N107" s="28" t="n">
        <v>0.6997</v>
      </c>
      <c r="O107" s="28" t="n">
        <v>0.736958</v>
      </c>
      <c r="P107" s="28" t="n">
        <v>0.05</v>
      </c>
      <c r="Q107" s="28" t="n">
        <v>0.037258</v>
      </c>
      <c r="R107" s="26" t="n">
        <v>39</v>
      </c>
      <c r="S107" s="29" t="n">
        <v>2</v>
      </c>
      <c r="T107" s="24" t="inlineStr">
        <is>
          <t>tennis-surface-elo-v1</t>
        </is>
      </c>
      <c r="U107" s="24" t="inlineStr">
        <is>
          <t>settled</t>
        </is>
      </c>
      <c r="V107" s="24" t="inlineStr">
        <is>
          <t>win</t>
        </is>
      </c>
      <c r="W107" s="26" t="n">
        <v>1</v>
      </c>
      <c r="X107" s="26" t="n">
        <v>0</v>
      </c>
      <c r="Y107" s="25" t="n"/>
      <c r="Z107" s="26" t="n">
        <v>-233</v>
      </c>
      <c r="AA107" s="28" t="n">
        <v>0.7</v>
      </c>
      <c r="AB107" s="28" t="n">
        <v>0.0003</v>
      </c>
      <c r="AC107" s="30" t="n">
        <v>0.8584000000000001</v>
      </c>
      <c r="AD107" s="24" t="inlineStr">
        <is>
          <t>2026-08-02T23:12:59.971095Z</t>
        </is>
      </c>
      <c r="AE107" s="31" t="inlineStr">
        <is>
          <t>Surface-blended Elo on Hard: Camila Osorio p=0.737 vs Lucrezia Stefanini. Executable ask 0.7000 (aec-wta-lucste-camoso-2026-08-02).</t>
        </is>
      </c>
      <c r="AF107" s="31" t="inlineStr">
        <is>
          <t>Surface-blended Elo model; singles only, WTA+ATP market coverage, not yet locked-holdout qualified -- promoted by explicit operator directive, not genuine walk-forward validation.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NO_CALL_LOW_EDGE</t>
        </is>
      </c>
      <c r="AP107" s="24" t="inlineStr">
        <is>
          <t>Camila Osorio</t>
        </is>
      </c>
      <c r="AQ107" s="24" t="inlineStr">
        <is>
          <t>Camila Osorio</t>
        </is>
      </c>
      <c r="AR107" s="24" t="inlineStr">
        <is>
          <t>Camila Osorio</t>
        </is>
      </c>
      <c r="AS107" s="24" t="inlineStr">
        <is>
          <t>Lucrezia Stefanini</t>
        </is>
      </c>
      <c r="AT107" s="24" t="inlineStr">
        <is>
          <t>Lucrezia Stefanini</t>
        </is>
      </c>
      <c r="AU107" s="24" t="inlineStr">
        <is>
          <t>Lucrezia Stefanini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1c05a3c4f76bde5de709ff6bb1937b3c4c67149c2ea621b7c90ca07898e048e8</t>
        </is>
      </c>
      <c r="BB107" s="24" t="inlineStr">
        <is>
          <t>surface_blended_elo</t>
        </is>
      </c>
      <c r="BC107" s="24" t="inlineStr">
        <is>
          <t>tennis-surface-elo-v1</t>
        </is>
      </c>
      <c r="BD107" s="24" t="inlineStr">
        <is>
          <t>1c05a3c4f76bde5de709ff6bb1937b3c4c67149c2ea621b7c90ca07898e048e8</t>
        </is>
      </c>
      <c r="BE107" s="24" t="inlineStr">
        <is>
          <t>tennis-surface-elo-v1</t>
        </is>
      </c>
      <c r="BF107" s="24" t="inlineStr">
        <is>
          <t>1</t>
        </is>
      </c>
      <c r="BG107" s="24" t="inlineStr">
        <is>
          <t>1c05a3c4f76bde5de709ff6bb1937b3c4c67149c2ea621b7c90ca07898e048e8</t>
        </is>
      </c>
      <c r="BH107" s="24" t="inlineStr">
        <is>
          <t>2026-08-02T19:27:58.857037Z</t>
        </is>
      </c>
      <c r="BI107" s="24" t="inlineStr">
        <is>
          <t>["same_event","same_team_same_day","same_league_same_day"]</t>
        </is>
      </c>
      <c r="BJ107" s="25" t="n"/>
      <c r="BK107" s="26" t="n">
        <v>-233</v>
      </c>
      <c r="BL107" s="27" t="n">
        <v>1.429185</v>
      </c>
      <c r="BM107" s="28" t="n">
        <v>0.6997</v>
      </c>
      <c r="BN107" s="28" t="n"/>
      <c r="BO107" s="28" t="n"/>
      <c r="BP107" s="25" t="n"/>
      <c r="BQ107" s="27" t="n">
        <v>1.429185</v>
      </c>
      <c r="BR107" s="28" t="n">
        <v>0.7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</row>
    <row r="108" ht="36" customHeight="1">
      <c r="A108" s="24" t="inlineStr">
        <is>
          <t>4e0724edfcf5445f</t>
        </is>
      </c>
      <c r="B108" s="24" t="inlineStr">
        <is>
          <t>2026-08-02T19:29:54.752777Z</t>
        </is>
      </c>
      <c r="C108" s="24" t="inlineStr">
        <is>
          <t>2026-08-02T22:00Z</t>
        </is>
      </c>
      <c r="D108" s="24" t="inlineStr">
        <is>
          <t>421-2026:182236</t>
        </is>
      </c>
      <c r="E108" s="24" t="inlineStr">
        <is>
          <t>TENNIS</t>
        </is>
      </c>
      <c r="F108" s="24" t="inlineStr">
        <is>
          <t>Leolia Jeanjean</t>
        </is>
      </c>
      <c r="G108" s="24" t="inlineStr">
        <is>
          <t>Magdalena Frech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163</v>
      </c>
      <c r="M108" s="27" t="n">
        <v>2.63</v>
      </c>
      <c r="N108" s="28" t="n">
        <v>0.380228</v>
      </c>
      <c r="O108" s="28" t="n">
        <v>0.504343</v>
      </c>
      <c r="P108" s="28" t="n">
        <v>0.05</v>
      </c>
      <c r="Q108" s="28" t="n">
        <v>0.124115</v>
      </c>
      <c r="R108" s="26" t="n">
        <v>82</v>
      </c>
      <c r="S108" s="29" t="n">
        <v>1</v>
      </c>
      <c r="T108" s="24" t="inlineStr">
        <is>
          <t>tennis-surface-elo-v1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>
        <v>163</v>
      </c>
      <c r="AA108" s="28" t="n">
        <v>0.38</v>
      </c>
      <c r="AB108" s="28" t="n">
        <v>-0.000228</v>
      </c>
      <c r="AC108" s="30" t="n">
        <v>-1</v>
      </c>
      <c r="AD108" s="24" t="inlineStr">
        <is>
          <t>2026-08-03T22:55:17.543120Z</t>
        </is>
      </c>
      <c r="AE108" s="31" t="inlineStr">
        <is>
          <t>Surface-blended Elo on Hard: Leolia Jeanjean p=0.504 vs Magdalena Frech. Executable ask 0.3800 (aec-wta-magfre-leojea-2026-08-02).</t>
        </is>
      </c>
      <c r="AF108" s="31" t="inlineStr">
        <is>
          <t>Surface-blended Elo model; singles only, WTA+ATP market coverage, not yet locked-holdout qualified -- promoted by explicit operator directive, not genuine walk-forward validation.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Leolia Jeanjean</t>
        </is>
      </c>
      <c r="AQ108" s="24" t="inlineStr">
        <is>
          <t>Leolia Jeanjean</t>
        </is>
      </c>
      <c r="AR108" s="24" t="inlineStr">
        <is>
          <t>Leolia Jeanjean</t>
        </is>
      </c>
      <c r="AS108" s="24" t="inlineStr">
        <is>
          <t>Magdalena Frech</t>
        </is>
      </c>
      <c r="AT108" s="24" t="inlineStr">
        <is>
          <t>Magdalena Frech</t>
        </is>
      </c>
      <c r="AU108" s="24" t="inlineStr">
        <is>
          <t>Magdalena Frech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1c05a3c4f76bde5de709ff6bb1937b3c4c67149c2ea621b7c90ca07898e048e8</t>
        </is>
      </c>
      <c r="BB108" s="24" t="inlineStr">
        <is>
          <t>surface_blended_elo</t>
        </is>
      </c>
      <c r="BC108" s="24" t="inlineStr">
        <is>
          <t>tennis-surface-elo-v1</t>
        </is>
      </c>
      <c r="BD108" s="24" t="inlineStr">
        <is>
          <t>1c05a3c4f76bde5de709ff6bb1937b3c4c67149c2ea621b7c90ca07898e048e8</t>
        </is>
      </c>
      <c r="BE108" s="24" t="inlineStr">
        <is>
          <t>tennis-surface-elo-v1</t>
        </is>
      </c>
      <c r="BF108" s="24" t="inlineStr">
        <is>
          <t>1</t>
        </is>
      </c>
      <c r="BG108" s="24" t="inlineStr">
        <is>
          <t>1c05a3c4f76bde5de709ff6bb1937b3c4c67149c2ea621b7c90ca07898e048e8</t>
        </is>
      </c>
      <c r="BH108" s="24" t="inlineStr">
        <is>
          <t>2026-08-02T19:28:03.404917Z</t>
        </is>
      </c>
      <c r="BI108" s="24" t="inlineStr">
        <is>
          <t>["same_event","same_team_same_day","same_league_same_day"]</t>
        </is>
      </c>
      <c r="BJ108" s="25" t="n"/>
      <c r="BK108" s="26" t="n">
        <v>163</v>
      </c>
      <c r="BL108" s="27" t="n">
        <v>2.63</v>
      </c>
      <c r="BM108" s="28" t="n">
        <v>0.380228</v>
      </c>
      <c r="BN108" s="28" t="n"/>
      <c r="BO108" s="28" t="n"/>
      <c r="BP108" s="25" t="n"/>
      <c r="BQ108" s="27" t="n">
        <v>2.63</v>
      </c>
      <c r="BR108" s="28" t="n">
        <v>0.38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</row>
    <row r="109" ht="36" customHeight="1">
      <c r="A109" s="24" t="inlineStr">
        <is>
          <t>807ba87cca404fda</t>
        </is>
      </c>
      <c r="B109" s="24" t="inlineStr">
        <is>
          <t>2026-08-02T19:29:54.752777Z</t>
        </is>
      </c>
      <c r="C109" s="24" t="inlineStr">
        <is>
          <t>2026-08-02T22:00Z</t>
        </is>
      </c>
      <c r="D109" s="24" t="inlineStr">
        <is>
          <t>421-2026:182241</t>
        </is>
      </c>
      <c r="E109" s="24" t="inlineStr">
        <is>
          <t>TENNIS</t>
        </is>
      </c>
      <c r="F109" s="24" t="inlineStr">
        <is>
          <t>Anna Blinkova</t>
        </is>
      </c>
      <c r="G109" s="24" t="inlineStr">
        <is>
          <t>Rebecca Sramkova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122</v>
      </c>
      <c r="M109" s="27" t="n">
        <v>2.22</v>
      </c>
      <c r="N109" s="28" t="n">
        <v>0.45045</v>
      </c>
      <c r="O109" s="28" t="n">
        <v>0.53051</v>
      </c>
      <c r="P109" s="28" t="n">
        <v>0.05</v>
      </c>
      <c r="Q109" s="28" t="n">
        <v>0.08006000000000001</v>
      </c>
      <c r="R109" s="26" t="n">
        <v>60</v>
      </c>
      <c r="S109" s="29" t="n">
        <v>1</v>
      </c>
      <c r="T109" s="24" t="inlineStr">
        <is>
          <t>tennis-surface-elo-v1</t>
        </is>
      </c>
      <c r="U109" s="24" t="inlineStr">
        <is>
          <t>settled</t>
        </is>
      </c>
      <c r="V109" s="24" t="inlineStr">
        <is>
          <t>win</t>
        </is>
      </c>
      <c r="W109" s="26" t="n">
        <v>0</v>
      </c>
      <c r="X109" s="26" t="n">
        <v>1</v>
      </c>
      <c r="Y109" s="25" t="n"/>
      <c r="Z109" s="26" t="n">
        <v>122</v>
      </c>
      <c r="AA109" s="28" t="n">
        <v>0.45</v>
      </c>
      <c r="AB109" s="28" t="n">
        <v>-0.00045</v>
      </c>
      <c r="AC109" s="30" t="n">
        <v>1.22</v>
      </c>
      <c r="AD109" s="24" t="inlineStr">
        <is>
          <t>2026-08-03T19:51:45.993877Z</t>
        </is>
      </c>
      <c r="AE109" s="31" t="inlineStr">
        <is>
          <t>Surface-blended Elo on Hard: Anna Blinkova p=0.469 vs Rebecca Sramkova. Executable ask 0.4500 (aec-wta-rebsra-annbli-2026-08-02).</t>
        </is>
      </c>
      <c r="AF109" s="31" t="inlineStr">
        <is>
          <t>Surface-blended Elo model; singles only, WTA+ATP market coverage, not yet locked-holdout qualified -- promoted by explicit operator directive, not genuine walk-forward validation.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Anna Blinkova</t>
        </is>
      </c>
      <c r="AQ109" s="24" t="inlineStr">
        <is>
          <t>Anna Blinkova</t>
        </is>
      </c>
      <c r="AR109" s="24" t="inlineStr">
        <is>
          <t>Anna Blinkova</t>
        </is>
      </c>
      <c r="AS109" s="24" t="inlineStr">
        <is>
          <t>Rebecca Sramkova</t>
        </is>
      </c>
      <c r="AT109" s="24" t="inlineStr">
        <is>
          <t>Rebecca Sramkova</t>
        </is>
      </c>
      <c r="AU109" s="24" t="inlineStr">
        <is>
          <t>Rebecca Sramkova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1c05a3c4f76bde5de709ff6bb1937b3c4c67149c2ea621b7c90ca07898e048e8</t>
        </is>
      </c>
      <c r="BB109" s="24" t="inlineStr">
        <is>
          <t>surface_blended_elo</t>
        </is>
      </c>
      <c r="BC109" s="24" t="inlineStr">
        <is>
          <t>tennis-surface-elo-v1</t>
        </is>
      </c>
      <c r="BD109" s="24" t="inlineStr">
        <is>
          <t>1c05a3c4f76bde5de709ff6bb1937b3c4c67149c2ea621b7c90ca07898e048e8</t>
        </is>
      </c>
      <c r="BE109" s="24" t="inlineStr">
        <is>
          <t>tennis-surface-elo-v1</t>
        </is>
      </c>
      <c r="BF109" s="24" t="inlineStr">
        <is>
          <t>1</t>
        </is>
      </c>
      <c r="BG109" s="24" t="inlineStr">
        <is>
          <t>1c05a3c4f76bde5de709ff6bb1937b3c4c67149c2ea621b7c90ca07898e048e8</t>
        </is>
      </c>
      <c r="BH109" s="24" t="inlineStr">
        <is>
          <t>2026-08-02T19:28:05.838822Z</t>
        </is>
      </c>
      <c r="BI109" s="24" t="inlineStr">
        <is>
          <t>["same_event","same_team_same_day","same_league_same_day"]</t>
        </is>
      </c>
      <c r="BJ109" s="25" t="n"/>
      <c r="BK109" s="26" t="n">
        <v>122</v>
      </c>
      <c r="BL109" s="27" t="n">
        <v>2.22</v>
      </c>
      <c r="BM109" s="28" t="n">
        <v>0.45045</v>
      </c>
      <c r="BN109" s="28" t="n"/>
      <c r="BO109" s="28" t="n"/>
      <c r="BP109" s="25" t="n"/>
      <c r="BQ109" s="27" t="n">
        <v>2.22</v>
      </c>
      <c r="BR109" s="28" t="n">
        <v>0.45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ecfc16f9de7e44dc</t>
        </is>
      </c>
      <c r="B110" s="24" t="inlineStr">
        <is>
          <t>2026-08-02T19:29:54.752777Z</t>
        </is>
      </c>
      <c r="C110" s="24" t="inlineStr">
        <is>
          <t>2026-08-02T22:00Z</t>
        </is>
      </c>
      <c r="D110" s="24" t="inlineStr">
        <is>
          <t>421-2026:182273</t>
        </is>
      </c>
      <c r="E110" s="24" t="inlineStr">
        <is>
          <t>TENNIS</t>
        </is>
      </c>
      <c r="F110" s="24" t="inlineStr">
        <is>
          <t>Lanlana Tararudee</t>
        </is>
      </c>
      <c r="G110" s="24" t="inlineStr">
        <is>
          <t>Emerson Jones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-203</v>
      </c>
      <c r="M110" s="27" t="n">
        <v>1.492611</v>
      </c>
      <c r="N110" s="28" t="n">
        <v>0.669967</v>
      </c>
      <c r="O110" s="28" t="n">
        <v>0.756798</v>
      </c>
      <c r="P110" s="28" t="n">
        <v>0.05</v>
      </c>
      <c r="Q110" s="28" t="n">
        <v>0.08683100000000001</v>
      </c>
      <c r="R110" s="26" t="n">
        <v>63</v>
      </c>
      <c r="S110" s="29" t="n">
        <v>2</v>
      </c>
      <c r="T110" s="24" t="inlineStr">
        <is>
          <t>tennis-surface-elo-v1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0</v>
      </c>
      <c r="Y110" s="25" t="n"/>
      <c r="Z110" s="26" t="n">
        <v>-203</v>
      </c>
      <c r="AA110" s="28" t="n">
        <v>0.67</v>
      </c>
      <c r="AB110" s="28" t="n">
        <v>3.3e-05</v>
      </c>
      <c r="AC110" s="30" t="n">
        <v>0.9852</v>
      </c>
      <c r="AD110" s="24" t="inlineStr">
        <is>
          <t>2026-08-03T22:55:18.213207Z</t>
        </is>
      </c>
      <c r="AE110" s="31" t="inlineStr">
        <is>
          <t>Surface-blended Elo on Hard: Lanlana Tararudee p=0.757 vs Emerson Jones. Executable ask 0.6700 (aec-wta-emejon-lantar-2026-08-02).</t>
        </is>
      </c>
      <c r="AF110" s="31" t="inlineStr">
        <is>
          <t>Surface-blended Elo model; singles only, WTA+ATP market coverage, not yet locked-holdout qualified -- promoted by explicit operator directive, not genuine walk-forward validation.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Lanlana Tararudee</t>
        </is>
      </c>
      <c r="AQ110" s="24" t="inlineStr">
        <is>
          <t>Lanlana Tararudee</t>
        </is>
      </c>
      <c r="AR110" s="24" t="inlineStr">
        <is>
          <t>Lanlana Tararudee</t>
        </is>
      </c>
      <c r="AS110" s="24" t="inlineStr">
        <is>
          <t>Emerson Jones</t>
        </is>
      </c>
      <c r="AT110" s="24" t="inlineStr">
        <is>
          <t>Emerson Jones</t>
        </is>
      </c>
      <c r="AU110" s="24" t="inlineStr">
        <is>
          <t>Emerson Jones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1c05a3c4f76bde5de709ff6bb1937b3c4c67149c2ea621b7c90ca07898e048e8</t>
        </is>
      </c>
      <c r="BB110" s="24" t="inlineStr">
        <is>
          <t>surface_blended_elo</t>
        </is>
      </c>
      <c r="BC110" s="24" t="inlineStr">
        <is>
          <t>tennis-surface-elo-v1</t>
        </is>
      </c>
      <c r="BD110" s="24" t="inlineStr">
        <is>
          <t>1c05a3c4f76bde5de709ff6bb1937b3c4c67149c2ea621b7c90ca07898e048e8</t>
        </is>
      </c>
      <c r="BE110" s="24" t="inlineStr">
        <is>
          <t>tennis-surface-elo-v1</t>
        </is>
      </c>
      <c r="BF110" s="24" t="inlineStr">
        <is>
          <t>1</t>
        </is>
      </c>
      <c r="BG110" s="24" t="inlineStr">
        <is>
          <t>1c05a3c4f76bde5de709ff6bb1937b3c4c67149c2ea621b7c90ca07898e048e8</t>
        </is>
      </c>
      <c r="BH110" s="24" t="inlineStr">
        <is>
          <t>2026-08-02T19:28:08.485925Z</t>
        </is>
      </c>
      <c r="BI110" s="24" t="inlineStr">
        <is>
          <t>["same_event","same_team_same_day","same_league_same_day"]</t>
        </is>
      </c>
      <c r="BJ110" s="25" t="n"/>
      <c r="BK110" s="26" t="n">
        <v>-203</v>
      </c>
      <c r="BL110" s="27" t="n">
        <v>1.492611</v>
      </c>
      <c r="BM110" s="28" t="n">
        <v>0.669967</v>
      </c>
      <c r="BN110" s="28" t="n"/>
      <c r="BO110" s="28" t="n"/>
      <c r="BP110" s="25" t="n"/>
      <c r="BQ110" s="27" t="n">
        <v>1.492611</v>
      </c>
      <c r="BR110" s="28" t="n">
        <v>0.67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</row>
    <row r="111" ht="36" customHeight="1">
      <c r="A111" s="24" t="inlineStr">
        <is>
          <t>12f8df947c034fbf</t>
        </is>
      </c>
      <c r="B111" s="24" t="inlineStr">
        <is>
          <t>2026-08-02T19:29:54.752777Z</t>
        </is>
      </c>
      <c r="C111" s="24" t="inlineStr">
        <is>
          <t>2026-08-02T23:00Z</t>
        </is>
      </c>
      <c r="D111" s="24" t="inlineStr">
        <is>
          <t>421-2026:182274</t>
        </is>
      </c>
      <c r="E111" s="24" t="inlineStr">
        <is>
          <t>TENNIS</t>
        </is>
      </c>
      <c r="F111" s="24" t="inlineStr">
        <is>
          <t>Bianca Andreescu</t>
        </is>
      </c>
      <c r="G111" s="24" t="inlineStr">
        <is>
          <t>Nikola Bartunkova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-150</v>
      </c>
      <c r="M111" s="27" t="n">
        <v>1.666667</v>
      </c>
      <c r="N111" s="28" t="n">
        <v>0.6</v>
      </c>
      <c r="O111" s="28" t="n">
        <v>0.617346</v>
      </c>
      <c r="P111" s="28" t="n">
        <v>0.05</v>
      </c>
      <c r="Q111" s="28" t="n">
        <v>0.017346</v>
      </c>
      <c r="R111" s="26" t="n">
        <v>29</v>
      </c>
      <c r="S111" s="29" t="n">
        <v>1.5</v>
      </c>
      <c r="T111" s="24" t="inlineStr">
        <is>
          <t>tennis-surface-elo-v1</t>
        </is>
      </c>
      <c r="U111" s="24" t="inlineStr">
        <is>
          <t>settled</t>
        </is>
      </c>
      <c r="V111" s="24" t="inlineStr">
        <is>
          <t>win</t>
        </is>
      </c>
      <c r="W111" s="26" t="n">
        <v>0</v>
      </c>
      <c r="X111" s="26" t="n">
        <v>1</v>
      </c>
      <c r="Y111" s="25" t="n"/>
      <c r="Z111" s="26" t="n">
        <v>-150</v>
      </c>
      <c r="AA111" s="28" t="n">
        <v>0.6</v>
      </c>
      <c r="AB111" s="28" t="n">
        <v>0</v>
      </c>
      <c r="AC111" s="30" t="n">
        <v>1</v>
      </c>
      <c r="AD111" s="24" t="inlineStr">
        <is>
          <t>2026-08-03T22:55:18.851928Z</t>
        </is>
      </c>
      <c r="AE111" s="31" t="inlineStr">
        <is>
          <t>Surface-blended Elo on Hard: Bianca Andreescu p=0.383 vs Nikola Bartunkova. Executable ask 0.6000 (aec-wta-nikbar-biaand-2026-08-02).</t>
        </is>
      </c>
      <c r="AF111" s="31" t="inlineStr">
        <is>
          <t>Surface-blended Elo model; singles only, WTA+ATP market coverage, not yet locked-holdout qualified -- promoted by explicit operator directive, not genuine walk-forward validation.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NO_CALL_LOW_EDGE</t>
        </is>
      </c>
      <c r="AP111" s="24" t="inlineStr">
        <is>
          <t>Bianca Andreescu</t>
        </is>
      </c>
      <c r="AQ111" s="24" t="inlineStr">
        <is>
          <t>Bianca Andreescu</t>
        </is>
      </c>
      <c r="AR111" s="24" t="inlineStr">
        <is>
          <t>Bianca Andreescu</t>
        </is>
      </c>
      <c r="AS111" s="24" t="inlineStr">
        <is>
          <t>Nikola Bartunkova</t>
        </is>
      </c>
      <c r="AT111" s="24" t="inlineStr">
        <is>
          <t>Nikola Bartunkova</t>
        </is>
      </c>
      <c r="AU111" s="24" t="inlineStr">
        <is>
          <t>Nikola Bartunkova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1c05a3c4f76bde5de709ff6bb1937b3c4c67149c2ea621b7c90ca07898e048e8</t>
        </is>
      </c>
      <c r="BB111" s="24" t="inlineStr">
        <is>
          <t>surface_blended_elo</t>
        </is>
      </c>
      <c r="BC111" s="24" t="inlineStr">
        <is>
          <t>tennis-surface-elo-v1</t>
        </is>
      </c>
      <c r="BD111" s="24" t="inlineStr">
        <is>
          <t>1c05a3c4f76bde5de709ff6bb1937b3c4c67149c2ea621b7c90ca07898e048e8</t>
        </is>
      </c>
      <c r="BE111" s="24" t="inlineStr">
        <is>
          <t>tennis-surface-elo-v1</t>
        </is>
      </c>
      <c r="BF111" s="24" t="inlineStr">
        <is>
          <t>1</t>
        </is>
      </c>
      <c r="BG111" s="24" t="inlineStr">
        <is>
          <t>1c05a3c4f76bde5de709ff6bb1937b3c4c67149c2ea621b7c90ca07898e048e8</t>
        </is>
      </c>
      <c r="BH111" s="24" t="inlineStr">
        <is>
          <t>2026-08-02T19:28:09.004921Z</t>
        </is>
      </c>
      <c r="BI111" s="24" t="inlineStr">
        <is>
          <t>["same_event","same_team_same_day","same_league_same_day"]</t>
        </is>
      </c>
      <c r="BJ111" s="25" t="n"/>
      <c r="BK111" s="26" t="n">
        <v>-150</v>
      </c>
      <c r="BL111" s="27" t="n">
        <v>1.666667</v>
      </c>
      <c r="BM111" s="28" t="n">
        <v>0.6</v>
      </c>
      <c r="BN111" s="28" t="n"/>
      <c r="BO111" s="28" t="n"/>
      <c r="BP111" s="25" t="n"/>
      <c r="BQ111" s="27" t="n">
        <v>1.666667</v>
      </c>
      <c r="BR111" s="28" t="n">
        <v>0.6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</row>
    <row r="112" ht="36" customHeight="1">
      <c r="A112" s="24" t="inlineStr">
        <is>
          <t>f7fcadfe3a0b4144</t>
        </is>
      </c>
      <c r="B112" s="24" t="inlineStr">
        <is>
          <t>2026-08-02T19:29:54.752777Z</t>
        </is>
      </c>
      <c r="C112" s="24" t="inlineStr">
        <is>
          <t>2026-08-02T22:00Z</t>
        </is>
      </c>
      <c r="D112" s="24" t="inlineStr">
        <is>
          <t>421-2026:181781</t>
        </is>
      </c>
      <c r="E112" s="24" t="inlineStr">
        <is>
          <t>TENNIS</t>
        </is>
      </c>
      <c r="F112" s="24" t="inlineStr">
        <is>
          <t>Marin Cilic</t>
        </is>
      </c>
      <c r="G112" s="24" t="inlineStr">
        <is>
          <t>Sho Shimabukuro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-133</v>
      </c>
      <c r="M112" s="27" t="n">
        <v>1.75188</v>
      </c>
      <c r="N112" s="28" t="n">
        <v>0.570815</v>
      </c>
      <c r="O112" s="28" t="n">
        <v>0.529427</v>
      </c>
      <c r="P112" s="28" t="n">
        <v>0.05</v>
      </c>
      <c r="Q112" s="28" t="n">
        <v>-0.041388</v>
      </c>
      <c r="R112" s="26" t="n">
        <v>0</v>
      </c>
      <c r="S112" s="29" t="n">
        <v>1</v>
      </c>
      <c r="T112" s="24" t="inlineStr">
        <is>
          <t>tennis-surface-elo-v1</t>
        </is>
      </c>
      <c r="U112" s="24" t="inlineStr">
        <is>
          <t>settled</t>
        </is>
      </c>
      <c r="V112" s="24" t="inlineStr">
        <is>
          <t>win</t>
        </is>
      </c>
      <c r="W112" s="26" t="n">
        <v>1</v>
      </c>
      <c r="X112" s="26" t="n">
        <v>0</v>
      </c>
      <c r="Y112" s="25" t="n"/>
      <c r="Z112" s="26" t="n">
        <v>-133</v>
      </c>
      <c r="AA112" s="28" t="n">
        <v>0.57</v>
      </c>
      <c r="AB112" s="28" t="n">
        <v>-0.000815</v>
      </c>
      <c r="AC112" s="30" t="n">
        <v>0.7519</v>
      </c>
      <c r="AD112" s="24" t="inlineStr">
        <is>
          <t>2026-08-04T01:58:24.708909Z</t>
        </is>
      </c>
      <c r="AE112" s="31" t="inlineStr">
        <is>
          <t>Surface-blended Elo on Hard: Marin Cilic p=0.529 vs Sho Shimabukuro. Executable ask 0.5700 (aec-atp-shoshi-marcil-2026-08-02).</t>
        </is>
      </c>
      <c r="AF112" s="31" t="inlineStr">
        <is>
          <t>Surface-blended Elo model; singles only, WTA+ATP market coverage, not yet locked-holdout qualified -- promoted by explicit operator directive, not genuine walk-forward validation.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NO_CALL_LOW_EDGE</t>
        </is>
      </c>
      <c r="AP112" s="24" t="inlineStr">
        <is>
          <t>Marin Cilic</t>
        </is>
      </c>
      <c r="AQ112" s="24" t="inlineStr">
        <is>
          <t>Marin Cilic</t>
        </is>
      </c>
      <c r="AR112" s="24" t="inlineStr">
        <is>
          <t>Marin Cilic</t>
        </is>
      </c>
      <c r="AS112" s="24" t="inlineStr">
        <is>
          <t>Sho Shimabukuro</t>
        </is>
      </c>
      <c r="AT112" s="24" t="inlineStr">
        <is>
          <t>Sho Shimabukuro</t>
        </is>
      </c>
      <c r="AU112" s="24" t="inlineStr">
        <is>
          <t>Sho Shimabukuro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1c05a3c4f76bde5de709ff6bb1937b3c4c67149c2ea621b7c90ca07898e048e8</t>
        </is>
      </c>
      <c r="BB112" s="24" t="inlineStr">
        <is>
          <t>surface_blended_elo</t>
        </is>
      </c>
      <c r="BC112" s="24" t="inlineStr">
        <is>
          <t>tennis-surface-elo-v1</t>
        </is>
      </c>
      <c r="BD112" s="24" t="inlineStr">
        <is>
          <t>1c05a3c4f76bde5de709ff6bb1937b3c4c67149c2ea621b7c90ca07898e048e8</t>
        </is>
      </c>
      <c r="BE112" s="24" t="inlineStr">
        <is>
          <t>tennis-surface-elo-v1</t>
        </is>
      </c>
      <c r="BF112" s="24" t="inlineStr">
        <is>
          <t>1</t>
        </is>
      </c>
      <c r="BG112" s="24" t="inlineStr">
        <is>
          <t>1c05a3c4f76bde5de709ff6bb1937b3c4c67149c2ea621b7c90ca07898e048e8</t>
        </is>
      </c>
      <c r="BH112" s="24" t="inlineStr">
        <is>
          <t>2026-08-02T19:28:25.674118Z</t>
        </is>
      </c>
      <c r="BI112" s="24" t="inlineStr">
        <is>
          <t>["same_event","same_team_same_day","same_league_same_day"]</t>
        </is>
      </c>
      <c r="BJ112" s="25" t="n"/>
      <c r="BK112" s="26" t="n">
        <v>-133</v>
      </c>
      <c r="BL112" s="27" t="n">
        <v>1.75188</v>
      </c>
      <c r="BM112" s="28" t="n">
        <v>0.570815</v>
      </c>
      <c r="BN112" s="28" t="n"/>
      <c r="BO112" s="28" t="n"/>
      <c r="BP112" s="25" t="n"/>
      <c r="BQ112" s="27" t="n">
        <v>1.75188</v>
      </c>
      <c r="BR112" s="28" t="n">
        <v>0.57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</row>
    <row r="113" ht="36" customHeight="1">
      <c r="A113" s="24" t="inlineStr">
        <is>
          <t>5f45a6922d024782</t>
        </is>
      </c>
      <c r="B113" s="24" t="inlineStr">
        <is>
          <t>2026-08-02T19:29:54.752777Z</t>
        </is>
      </c>
      <c r="C113" s="24" t="inlineStr">
        <is>
          <t>2026-08-02T23:00Z</t>
        </is>
      </c>
      <c r="D113" s="24" t="inlineStr">
        <is>
          <t>421-2026:181801</t>
        </is>
      </c>
      <c r="E113" s="24" t="inlineStr">
        <is>
          <t>TENNIS</t>
        </is>
      </c>
      <c r="F113" s="24" t="inlineStr">
        <is>
          <t>Kyrian Jacquet</t>
        </is>
      </c>
      <c r="G113" s="24" t="inlineStr">
        <is>
          <t>Gabriel Diallo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-117</v>
      </c>
      <c r="M113" s="27" t="n">
        <v>1.854701</v>
      </c>
      <c r="N113" s="28" t="n">
        <v>0.539171</v>
      </c>
      <c r="O113" s="28" t="n">
        <v>0.5845590000000001</v>
      </c>
      <c r="P113" s="28" t="n">
        <v>0.05</v>
      </c>
      <c r="Q113" s="28" t="n">
        <v>0.045388</v>
      </c>
      <c r="R113" s="26" t="n">
        <v>43</v>
      </c>
      <c r="S113" s="29" t="n">
        <v>1.25</v>
      </c>
      <c r="T113" s="24" t="inlineStr">
        <is>
          <t>tennis-surface-elo-v1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>
        <v>-117</v>
      </c>
      <c r="AA113" s="28" t="n">
        <v>0.54</v>
      </c>
      <c r="AB113" s="28" t="n">
        <v>0.000829</v>
      </c>
      <c r="AC113" s="30" t="n">
        <v>1.0684</v>
      </c>
      <c r="AD113" s="24" t="inlineStr">
        <is>
          <t>2026-08-04T03:57:49.431787Z</t>
        </is>
      </c>
      <c r="AE113" s="31" t="inlineStr">
        <is>
          <t>Surface-blended Elo on Hard: Kyrian Jacquet p=0.415 vs Gabriel Diallo. Executable ask 0.5400 (aec-atp-gabdia-kyrjac-2026-08-02).</t>
        </is>
      </c>
      <c r="AF113" s="31" t="inlineStr">
        <is>
          <t>Surface-blended Elo model; singles only, WTA+ATP market coverage, not yet locked-holdout qualified -- promoted by explicit operator directive, not genuine walk-forward validation.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NO_CALL_LOW_EDGE</t>
        </is>
      </c>
      <c r="AP113" s="24" t="inlineStr">
        <is>
          <t>Kyrian Jacquet</t>
        </is>
      </c>
      <c r="AQ113" s="24" t="inlineStr">
        <is>
          <t>Kyrian Jacquet</t>
        </is>
      </c>
      <c r="AR113" s="24" t="inlineStr">
        <is>
          <t>Kyrian Jacquet</t>
        </is>
      </c>
      <c r="AS113" s="24" t="inlineStr">
        <is>
          <t>Gabriel Diallo</t>
        </is>
      </c>
      <c r="AT113" s="24" t="inlineStr">
        <is>
          <t>Gabriel Diallo</t>
        </is>
      </c>
      <c r="AU113" s="24" t="inlineStr">
        <is>
          <t>Gabriel Diallo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1c05a3c4f76bde5de709ff6bb1937b3c4c67149c2ea621b7c90ca07898e048e8</t>
        </is>
      </c>
      <c r="BB113" s="24" t="inlineStr">
        <is>
          <t>surface_blended_elo</t>
        </is>
      </c>
      <c r="BC113" s="24" t="inlineStr">
        <is>
          <t>tennis-surface-elo-v1</t>
        </is>
      </c>
      <c r="BD113" s="24" t="inlineStr">
        <is>
          <t>1c05a3c4f76bde5de709ff6bb1937b3c4c67149c2ea621b7c90ca07898e048e8</t>
        </is>
      </c>
      <c r="BE113" s="24" t="inlineStr">
        <is>
          <t>tennis-surface-elo-v1</t>
        </is>
      </c>
      <c r="BF113" s="24" t="inlineStr">
        <is>
          <t>1</t>
        </is>
      </c>
      <c r="BG113" s="24" t="inlineStr">
        <is>
          <t>1c05a3c4f76bde5de709ff6bb1937b3c4c67149c2ea621b7c90ca07898e048e8</t>
        </is>
      </c>
      <c r="BH113" s="24" t="inlineStr">
        <is>
          <t>2026-08-02T19:28:27.060091Z</t>
        </is>
      </c>
      <c r="BI113" s="24" t="inlineStr">
        <is>
          <t>["same_event","same_team_same_day","same_league_same_day"]</t>
        </is>
      </c>
      <c r="BJ113" s="25" t="n"/>
      <c r="BK113" s="26" t="n">
        <v>-117</v>
      </c>
      <c r="BL113" s="27" t="n">
        <v>1.854701</v>
      </c>
      <c r="BM113" s="28" t="n">
        <v>0.539171</v>
      </c>
      <c r="BN113" s="28" t="n"/>
      <c r="BO113" s="28" t="n"/>
      <c r="BP113" s="25" t="n"/>
      <c r="BQ113" s="27" t="n">
        <v>1.854701</v>
      </c>
      <c r="BR113" s="28" t="n">
        <v>0.54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</row>
    <row r="114" ht="36" customHeight="1">
      <c r="A114" s="24" t="inlineStr">
        <is>
          <t>c28fa2c4b30e4090</t>
        </is>
      </c>
      <c r="B114" s="24" t="inlineStr">
        <is>
          <t>2026-08-02T23:15:07.472650Z</t>
        </is>
      </c>
      <c r="C114" s="24" t="inlineStr">
        <is>
          <t>2026-08-02T23:30Z</t>
        </is>
      </c>
      <c r="D114" s="24" t="inlineStr">
        <is>
          <t>421-2026:182240</t>
        </is>
      </c>
      <c r="E114" s="24" t="inlineStr">
        <is>
          <t>TENNIS</t>
        </is>
      </c>
      <c r="F114" s="24" t="inlineStr">
        <is>
          <t>Cadence Brace</t>
        </is>
      </c>
      <c r="G114" s="24" t="inlineStr">
        <is>
          <t>McCartney Kessler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-567</v>
      </c>
      <c r="M114" s="27" t="n">
        <v>1.176367</v>
      </c>
      <c r="N114" s="28" t="n">
        <v>0.850075</v>
      </c>
      <c r="O114" s="28" t="n">
        <v>0.7637620000000001</v>
      </c>
      <c r="P114" s="28" t="n">
        <v>0.05</v>
      </c>
      <c r="Q114" s="28" t="n">
        <v>-0.086313</v>
      </c>
      <c r="R114" s="26" t="n">
        <v>0</v>
      </c>
      <c r="S114" s="29" t="n">
        <v>2</v>
      </c>
      <c r="T114" s="24" t="inlineStr">
        <is>
          <t>tennis-surface-elo-v1</t>
        </is>
      </c>
      <c r="U114" s="24" t="inlineStr">
        <is>
          <t>settled</t>
        </is>
      </c>
      <c r="V114" s="24" t="inlineStr">
        <is>
          <t>win</t>
        </is>
      </c>
      <c r="W114" s="26" t="n">
        <v>0</v>
      </c>
      <c r="X114" s="26" t="n">
        <v>1</v>
      </c>
      <c r="Y114" s="25" t="n"/>
      <c r="Z114" s="26" t="n">
        <v>-567</v>
      </c>
      <c r="AA114" s="28" t="n">
        <v>0.85</v>
      </c>
      <c r="AB114" s="28" t="n">
        <v>-7.499999999999999e-05</v>
      </c>
      <c r="AC114" s="30" t="n">
        <v>0.3527</v>
      </c>
      <c r="AD114" s="24" t="inlineStr">
        <is>
          <t>2026-08-03T19:51:46.656550Z</t>
        </is>
      </c>
      <c r="AE114" s="31" t="inlineStr">
        <is>
          <t>Surface-blended Elo on Hard: Cadence Brace p=0.236 vs McCartney Kessler. Executable ask 0.8500 (aec-wta-mcckes-cadbra-2026-08-02).</t>
        </is>
      </c>
      <c r="AF114" s="31" t="inlineStr">
        <is>
          <t>Surface-blended Elo model; singles only, WTA+ATP market coverage, not yet locked-holdout qualified -- promoted by explicit operator directive, not genuine walk-forward validation.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Cadence Brace</t>
        </is>
      </c>
      <c r="AQ114" s="24" t="inlineStr">
        <is>
          <t>Cadence Brace</t>
        </is>
      </c>
      <c r="AR114" s="24" t="inlineStr">
        <is>
          <t>Cadence Brace</t>
        </is>
      </c>
      <c r="AS114" s="24" t="inlineStr">
        <is>
          <t>McCartney Kessler</t>
        </is>
      </c>
      <c r="AT114" s="24" t="inlineStr">
        <is>
          <t>McCartney Kessler</t>
        </is>
      </c>
      <c r="AU114" s="24" t="inlineStr">
        <is>
          <t>McCartney Kessler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1c05a3c4f76bde5de709ff6bb1937b3c4c67149c2ea621b7c90ca07898e048e8</t>
        </is>
      </c>
      <c r="BB114" s="24" t="inlineStr">
        <is>
          <t>surface_blended_elo</t>
        </is>
      </c>
      <c r="BC114" s="24" t="inlineStr">
        <is>
          <t>tennis-surface-elo-v1</t>
        </is>
      </c>
      <c r="BD114" s="24" t="inlineStr">
        <is>
          <t>1c05a3c4f76bde5de709ff6bb1937b3c4c67149c2ea621b7c90ca07898e048e8</t>
        </is>
      </c>
      <c r="BE114" s="24" t="inlineStr">
        <is>
          <t>tennis-surface-elo-v1</t>
        </is>
      </c>
      <c r="BF114" s="24" t="inlineStr">
        <is>
          <t>1</t>
        </is>
      </c>
      <c r="BG114" s="24" t="inlineStr">
        <is>
          <t>1c05a3c4f76bde5de709ff6bb1937b3c4c67149c2ea621b7c90ca07898e048e8</t>
        </is>
      </c>
      <c r="BH114" s="24" t="inlineStr">
        <is>
          <t>2026-08-02T23:14:14.033498Z</t>
        </is>
      </c>
      <c r="BI114" s="24" t="inlineStr">
        <is>
          <t>["same_event","same_team_same_day","same_league_same_day"]</t>
        </is>
      </c>
      <c r="BJ114" s="25" t="n"/>
      <c r="BK114" s="26" t="n">
        <v>-567</v>
      </c>
      <c r="BL114" s="27" t="n">
        <v>1.176367</v>
      </c>
      <c r="BM114" s="28" t="n">
        <v>0.850075</v>
      </c>
      <c r="BN114" s="28" t="n"/>
      <c r="BO114" s="28" t="n"/>
      <c r="BP114" s="25" t="n"/>
      <c r="BQ114" s="27" t="n">
        <v>1.176367</v>
      </c>
      <c r="BR114" s="28" t="n">
        <v>0.85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</row>
    <row r="115" ht="36" customHeight="1">
      <c r="A115" s="24" t="inlineStr">
        <is>
          <t>50a9769a771546da</t>
        </is>
      </c>
      <c r="B115" s="24" t="inlineStr">
        <is>
          <t>2026-08-02T23:15:07.472650Z</t>
        </is>
      </c>
      <c r="C115" s="24" t="inlineStr">
        <is>
          <t>2026-08-03T00:10Z</t>
        </is>
      </c>
      <c r="D115" s="24" t="inlineStr">
        <is>
          <t>421-2026:182283</t>
        </is>
      </c>
      <c r="E115" s="24" t="inlineStr">
        <is>
          <t>TENNIS</t>
        </is>
      </c>
      <c r="F115" s="24" t="inlineStr">
        <is>
          <t>Elisabetta Cocciaretto</t>
        </is>
      </c>
      <c r="G115" s="24" t="inlineStr">
        <is>
          <t>Talia Gibson</t>
        </is>
      </c>
      <c r="H115" s="24" t="inlineStr">
        <is>
          <t>moneyline</t>
        </is>
      </c>
      <c r="I115" s="24" t="inlineStr">
        <is>
          <t>away</t>
        </is>
      </c>
      <c r="J115" s="25" t="n"/>
      <c r="K115" s="24" t="inlineStr">
        <is>
          <t>polymarket_us</t>
        </is>
      </c>
      <c r="L115" s="26" t="n">
        <v>-144</v>
      </c>
      <c r="M115" s="27" t="n">
        <v>1.694444</v>
      </c>
      <c r="N115" s="28" t="n">
        <v>0.590164</v>
      </c>
      <c r="O115" s="28" t="n">
        <v>0.578226</v>
      </c>
      <c r="P115" s="28" t="n">
        <v>0.05</v>
      </c>
      <c r="Q115" s="28" t="n">
        <v>-0.011938</v>
      </c>
      <c r="R115" s="26" t="n">
        <v>14</v>
      </c>
      <c r="S115" s="29" t="n">
        <v>1.25</v>
      </c>
      <c r="T115" s="24" t="inlineStr">
        <is>
          <t>tennis-surface-elo-v1</t>
        </is>
      </c>
      <c r="U115" s="24" t="inlineStr">
        <is>
          <t>settled</t>
        </is>
      </c>
      <c r="V115" s="24" t="inlineStr">
        <is>
          <t>loss</t>
        </is>
      </c>
      <c r="W115" s="26" t="n">
        <v>0</v>
      </c>
      <c r="X115" s="26" t="n">
        <v>1</v>
      </c>
      <c r="Y115" s="25" t="n"/>
      <c r="Z115" s="26" t="n">
        <v>-144</v>
      </c>
      <c r="AA115" s="28" t="n">
        <v>0.59</v>
      </c>
      <c r="AB115" s="28" t="n">
        <v>-0.000164</v>
      </c>
      <c r="AC115" s="30" t="n">
        <v>-1.25</v>
      </c>
      <c r="AD115" s="24" t="inlineStr">
        <is>
          <t>2026-08-03T19:51:47.344375Z</t>
        </is>
      </c>
      <c r="AE115" s="31" t="inlineStr">
        <is>
          <t>Surface-blended Elo on Hard: Elisabetta Cocciaretto p=0.578 vs Talia Gibson. Executable ask 0.5900 (aec-wta-talgib-elicoc-2026-08-02).</t>
        </is>
      </c>
      <c r="AF115" s="31" t="inlineStr">
        <is>
          <t>Surface-blended Elo model; singles only, WTA+ATP market coverage, not yet locked-holdout qualified -- promoted by explicit operator directive, not genuine walk-forward validation.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Elisabetta Cocciaretto</t>
        </is>
      </c>
      <c r="AQ115" s="24" t="inlineStr">
        <is>
          <t>Elisabetta Cocciaretto</t>
        </is>
      </c>
      <c r="AR115" s="24" t="inlineStr">
        <is>
          <t>Elisabetta Cocciaretto</t>
        </is>
      </c>
      <c r="AS115" s="24" t="inlineStr">
        <is>
          <t>Talia Gibson</t>
        </is>
      </c>
      <c r="AT115" s="24" t="inlineStr">
        <is>
          <t>Talia Gibson</t>
        </is>
      </c>
      <c r="AU115" s="24" t="inlineStr">
        <is>
          <t>Talia Gibson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1c05a3c4f76bde5de709ff6bb1937b3c4c67149c2ea621b7c90ca07898e048e8</t>
        </is>
      </c>
      <c r="BB115" s="24" t="inlineStr">
        <is>
          <t>surface_blended_elo</t>
        </is>
      </c>
      <c r="BC115" s="24" t="inlineStr">
        <is>
          <t>tennis-surface-elo-v1</t>
        </is>
      </c>
      <c r="BD115" s="24" t="inlineStr">
        <is>
          <t>1c05a3c4f76bde5de709ff6bb1937b3c4c67149c2ea621b7c90ca07898e048e8</t>
        </is>
      </c>
      <c r="BE115" s="24" t="inlineStr">
        <is>
          <t>tennis-surface-elo-v1</t>
        </is>
      </c>
      <c r="BF115" s="24" t="inlineStr">
        <is>
          <t>1</t>
        </is>
      </c>
      <c r="BG115" s="24" t="inlineStr">
        <is>
          <t>1c05a3c4f76bde5de709ff6bb1937b3c4c67149c2ea621b7c90ca07898e048e8</t>
        </is>
      </c>
      <c r="BH115" s="24" t="inlineStr">
        <is>
          <t>2026-08-02T23:14:15.722899Z</t>
        </is>
      </c>
      <c r="BI115" s="24" t="inlineStr">
        <is>
          <t>["same_event","same_team_same_day","same_league_same_day"]</t>
        </is>
      </c>
      <c r="BJ115" s="25" t="n"/>
      <c r="BK115" s="26" t="n">
        <v>-144</v>
      </c>
      <c r="BL115" s="27" t="n">
        <v>1.694444</v>
      </c>
      <c r="BM115" s="28" t="n">
        <v>0.590164</v>
      </c>
      <c r="BN115" s="28" t="n"/>
      <c r="BO115" s="28" t="n"/>
      <c r="BP115" s="25" t="n"/>
      <c r="BQ115" s="27" t="n">
        <v>1.694444</v>
      </c>
      <c r="BR115" s="28" t="n">
        <v>0.59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</row>
    <row r="116" ht="36" customHeight="1">
      <c r="A116" s="24" t="inlineStr">
        <is>
          <t>04523026a0c54f5f</t>
        </is>
      </c>
      <c r="B116" s="24" t="inlineStr">
        <is>
          <t>2026-08-02T23:15:07.472650Z</t>
        </is>
      </c>
      <c r="C116" s="24" t="inlineStr">
        <is>
          <t>2026-08-03T00:30Z</t>
        </is>
      </c>
      <c r="D116" s="24" t="inlineStr">
        <is>
          <t>421-2026:182281</t>
        </is>
      </c>
      <c r="E116" s="24" t="inlineStr">
        <is>
          <t>TENNIS</t>
        </is>
      </c>
      <c r="F116" s="24" t="inlineStr">
        <is>
          <t>Zhang Shuai</t>
        </is>
      </c>
      <c r="G116" s="24" t="inlineStr">
        <is>
          <t>Yulia Putintseva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-194</v>
      </c>
      <c r="M116" s="27" t="n">
        <v>1.515464</v>
      </c>
      <c r="N116" s="28" t="n">
        <v>0.659864</v>
      </c>
      <c r="O116" s="28" t="n">
        <v>0.630736</v>
      </c>
      <c r="P116" s="28" t="n">
        <v>0.05</v>
      </c>
      <c r="Q116" s="28" t="n">
        <v>-0.029128</v>
      </c>
      <c r="R116" s="26" t="n">
        <v>5</v>
      </c>
      <c r="S116" s="29" t="n">
        <v>1.5</v>
      </c>
      <c r="T116" s="24" t="inlineStr">
        <is>
          <t>tennis-surface-elo-v1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0</v>
      </c>
      <c r="Y116" s="25" t="n"/>
      <c r="Z116" s="26" t="n">
        <v>-194</v>
      </c>
      <c r="AA116" s="28" t="n">
        <v>0.66</v>
      </c>
      <c r="AB116" s="28" t="n">
        <v>0.000136</v>
      </c>
      <c r="AC116" s="30" t="n">
        <v>-1.5</v>
      </c>
      <c r="AD116" s="24" t="inlineStr">
        <is>
          <t>2026-08-03T19:51:47.996605Z</t>
        </is>
      </c>
      <c r="AE116" s="31" t="inlineStr">
        <is>
          <t>Surface-blended Elo on Hard: Zhang Shuai p=0.369 vs Yulia Putintseva. Executable ask 0.6600 (aec-wta-yulput-shuzha-2026-08-02).</t>
        </is>
      </c>
      <c r="AF116" s="31" t="inlineStr">
        <is>
          <t>Surface-blended Elo model; singles only, WTA+ATP market coverage, not yet locked-holdout qualified -- promoted by explicit operator directive, not genuine walk-forward validation.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Zhang Shuai</t>
        </is>
      </c>
      <c r="AQ116" s="24" t="inlineStr">
        <is>
          <t>Zhang Shuai</t>
        </is>
      </c>
      <c r="AR116" s="24" t="inlineStr">
        <is>
          <t>Zhang Shuai</t>
        </is>
      </c>
      <c r="AS116" s="24" t="inlineStr">
        <is>
          <t>Yulia Putintseva</t>
        </is>
      </c>
      <c r="AT116" s="24" t="inlineStr">
        <is>
          <t>Yulia Putintseva</t>
        </is>
      </c>
      <c r="AU116" s="24" t="inlineStr">
        <is>
          <t>Yulia Putintseva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1c05a3c4f76bde5de709ff6bb1937b3c4c67149c2ea621b7c90ca07898e048e8</t>
        </is>
      </c>
      <c r="BB116" s="24" t="inlineStr">
        <is>
          <t>surface_blended_elo</t>
        </is>
      </c>
      <c r="BC116" s="24" t="inlineStr">
        <is>
          <t>tennis-surface-elo-v1</t>
        </is>
      </c>
      <c r="BD116" s="24" t="inlineStr">
        <is>
          <t>1c05a3c4f76bde5de709ff6bb1937b3c4c67149c2ea621b7c90ca07898e048e8</t>
        </is>
      </c>
      <c r="BE116" s="24" t="inlineStr">
        <is>
          <t>tennis-surface-elo-v1</t>
        </is>
      </c>
      <c r="BF116" s="24" t="inlineStr">
        <is>
          <t>1</t>
        </is>
      </c>
      <c r="BG116" s="24" t="inlineStr">
        <is>
          <t>1c05a3c4f76bde5de709ff6bb1937b3c4c67149c2ea621b7c90ca07898e048e8</t>
        </is>
      </c>
      <c r="BH116" s="24" t="inlineStr">
        <is>
          <t>2026-08-02T23:14:16.187248Z</t>
        </is>
      </c>
      <c r="BI116" s="24" t="inlineStr">
        <is>
          <t>["same_event","same_team_same_day","same_league_same_day"]</t>
        </is>
      </c>
      <c r="BJ116" s="25" t="n"/>
      <c r="BK116" s="26" t="n">
        <v>-194</v>
      </c>
      <c r="BL116" s="27" t="n">
        <v>1.515464</v>
      </c>
      <c r="BM116" s="28" t="n">
        <v>0.659864</v>
      </c>
      <c r="BN116" s="28" t="n"/>
      <c r="BO116" s="28" t="n"/>
      <c r="BP116" s="25" t="n"/>
      <c r="BQ116" s="27" t="n">
        <v>1.515464</v>
      </c>
      <c r="BR116" s="28" t="n">
        <v>0.66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</row>
    <row r="117" ht="36" customHeight="1">
      <c r="A117" s="24" t="inlineStr">
        <is>
          <t>93584daeac574ccd</t>
        </is>
      </c>
      <c r="B117" s="24" t="inlineStr">
        <is>
          <t>2026-08-03T06:27:55.084267Z</t>
        </is>
      </c>
      <c r="C117" s="24" t="inlineStr">
        <is>
          <t>2026-08-03T09:00Z</t>
        </is>
      </c>
      <c r="D117" s="24" t="inlineStr">
        <is>
          <t>961-2026:182085</t>
        </is>
      </c>
      <c r="E117" s="24" t="inlineStr">
        <is>
          <t>TENNIS</t>
        </is>
      </c>
      <c r="F117" s="24" t="inlineStr">
        <is>
          <t>Urszula Radwanska</t>
        </is>
      </c>
      <c r="G117" s="24" t="inlineStr">
        <is>
          <t>Aliona Falei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-1011</v>
      </c>
      <c r="M117" s="27" t="n">
        <v>1.098912</v>
      </c>
      <c r="N117" s="28" t="n">
        <v>0.909991</v>
      </c>
      <c r="O117" s="28" t="n">
        <v>0.542282</v>
      </c>
      <c r="P117" s="28" t="n">
        <v>0.05</v>
      </c>
      <c r="Q117" s="28" t="n">
        <v>-0.367709</v>
      </c>
      <c r="R117" s="26" t="n">
        <v>0</v>
      </c>
      <c r="S117" s="29" t="n">
        <v>1</v>
      </c>
      <c r="T117" s="24" t="inlineStr">
        <is>
          <t>tennis-surface-elo-v1</t>
        </is>
      </c>
      <c r="U117" s="24" t="inlineStr">
        <is>
          <t>settled</t>
        </is>
      </c>
      <c r="V117" s="24" t="inlineStr">
        <is>
          <t>win</t>
        </is>
      </c>
      <c r="W117" s="26" t="n">
        <v>0</v>
      </c>
      <c r="X117" s="26" t="n">
        <v>1</v>
      </c>
      <c r="Y117" s="25" t="n"/>
      <c r="Z117" s="26" t="n">
        <v>-1011</v>
      </c>
      <c r="AA117" s="28" t="n">
        <v>0.91</v>
      </c>
      <c r="AB117" s="28" t="n">
        <v>9e-06</v>
      </c>
      <c r="AC117" s="30" t="n">
        <v>0.0989</v>
      </c>
      <c r="AD117" s="24" t="inlineStr">
        <is>
          <t>2026-08-03T10:55:33.371134Z</t>
        </is>
      </c>
      <c r="AE117" s="31" t="inlineStr">
        <is>
          <t>Surface-blended Elo on Hard: Urszula Radwanska p=0.458 vs Aliona Falei. Executable ask 0.9100 (aec-wta-alifal-ursrad-2026-08-03).</t>
        </is>
      </c>
      <c r="AF117" s="31" t="inlineStr">
        <is>
          <t>Surface-blended Elo model; singles only, WTA+ATP market coverage, not yet locked-holdout qualified -- promoted by explicit operator directive, not genuine walk-forward validation.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NO_CALL_LOW_EDGE</t>
        </is>
      </c>
      <c r="AP117" s="24" t="inlineStr">
        <is>
          <t>Urszula Radwanska</t>
        </is>
      </c>
      <c r="AQ117" s="24" t="inlineStr">
        <is>
          <t>Urszula Radwanska</t>
        </is>
      </c>
      <c r="AR117" s="24" t="inlineStr">
        <is>
          <t>Urszula Radwanska</t>
        </is>
      </c>
      <c r="AS117" s="24" t="inlineStr">
        <is>
          <t>Aliona Falei</t>
        </is>
      </c>
      <c r="AT117" s="24" t="inlineStr">
        <is>
          <t>Aliona Falei</t>
        </is>
      </c>
      <c r="AU117" s="24" t="inlineStr">
        <is>
          <t>Aliona Falei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1c05a3c4f76bde5de709ff6bb1937b3c4c67149c2ea621b7c90ca07898e048e8</t>
        </is>
      </c>
      <c r="BB117" s="24" t="inlineStr">
        <is>
          <t>surface_blended_elo</t>
        </is>
      </c>
      <c r="BC117" s="24" t="inlineStr">
        <is>
          <t>tennis-surface-elo-v1</t>
        </is>
      </c>
      <c r="BD117" s="24" t="inlineStr">
        <is>
          <t>1c05a3c4f76bde5de709ff6bb1937b3c4c67149c2ea621b7c90ca07898e048e8</t>
        </is>
      </c>
      <c r="BE117" s="24" t="inlineStr">
        <is>
          <t>tennis-surface-elo-v1</t>
        </is>
      </c>
      <c r="BF117" s="24" t="inlineStr">
        <is>
          <t>1</t>
        </is>
      </c>
      <c r="BG117" s="24" t="inlineStr">
        <is>
          <t>1c05a3c4f76bde5de709ff6bb1937b3c4c67149c2ea621b7c90ca07898e048e8</t>
        </is>
      </c>
      <c r="BH117" s="24" t="inlineStr">
        <is>
          <t>2026-08-03T06:24:02.597792Z</t>
        </is>
      </c>
      <c r="BI117" s="24" t="inlineStr">
        <is>
          <t>["same_event","same_team_same_day","same_league_same_day"]</t>
        </is>
      </c>
      <c r="BJ117" s="25" t="n"/>
      <c r="BK117" s="26" t="n">
        <v>-1011</v>
      </c>
      <c r="BL117" s="27" t="n">
        <v>1.098912</v>
      </c>
      <c r="BM117" s="28" t="n">
        <v>0.909991</v>
      </c>
      <c r="BN117" s="28" t="n"/>
      <c r="BO117" s="28" t="n"/>
      <c r="BP117" s="25" t="n"/>
      <c r="BQ117" s="27" t="n">
        <v>1.098912</v>
      </c>
      <c r="BR117" s="28" t="n">
        <v>0.91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</row>
    <row r="118" ht="36" customHeight="1">
      <c r="A118" s="24" t="inlineStr">
        <is>
          <t>99fed0ec01a746ab</t>
        </is>
      </c>
      <c r="B118" s="24" t="inlineStr">
        <is>
          <t>2026-08-03T06:27:55.084267Z</t>
        </is>
      </c>
      <c r="C118" s="24" t="inlineStr">
        <is>
          <t>2026-08-03T09:00Z</t>
        </is>
      </c>
      <c r="D118" s="24" t="inlineStr">
        <is>
          <t>961-2026:182095</t>
        </is>
      </c>
      <c r="E118" s="24" t="inlineStr">
        <is>
          <t>TENNIS</t>
        </is>
      </c>
      <c r="F118" s="24" t="inlineStr">
        <is>
          <t>Noma Noha Akugue</t>
        </is>
      </c>
      <c r="G118" s="24" t="inlineStr">
        <is>
          <t>Julia Avdeeva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-144</v>
      </c>
      <c r="M118" s="27" t="n">
        <v>1.694444</v>
      </c>
      <c r="N118" s="28" t="n">
        <v>0.590164</v>
      </c>
      <c r="O118" s="28" t="n">
        <v>0.593929</v>
      </c>
      <c r="P118" s="28" t="n">
        <v>0.05</v>
      </c>
      <c r="Q118" s="28" t="n">
        <v>0.003765</v>
      </c>
      <c r="R118" s="26" t="n">
        <v>22</v>
      </c>
      <c r="S118" s="29" t="n">
        <v>1.25</v>
      </c>
      <c r="T118" s="24" t="inlineStr">
        <is>
          <t>tennis-surface-elo-v1</t>
        </is>
      </c>
      <c r="U118" s="24" t="inlineStr">
        <is>
          <t>settled</t>
        </is>
      </c>
      <c r="V118" s="24" t="inlineStr">
        <is>
          <t>win</t>
        </is>
      </c>
      <c r="W118" s="26" t="n">
        <v>1</v>
      </c>
      <c r="X118" s="26" t="n">
        <v>0</v>
      </c>
      <c r="Y118" s="25" t="n"/>
      <c r="Z118" s="26" t="n">
        <v>-144</v>
      </c>
      <c r="AA118" s="28" t="n">
        <v>0.59</v>
      </c>
      <c r="AB118" s="28" t="n">
        <v>-0.000164</v>
      </c>
      <c r="AC118" s="30" t="n">
        <v>0.8681</v>
      </c>
      <c r="AD118" s="24" t="inlineStr">
        <is>
          <t>2026-08-03T10:45:15.905948Z</t>
        </is>
      </c>
      <c r="AE118" s="31" t="inlineStr">
        <is>
          <t>Surface-blended Elo on Hard: Noma Noha Akugue p=0.594 vs Julia Avdeeva. Executable ask 0.5900 (aec-wta-julavd-nomaku-2026-08-03).</t>
        </is>
      </c>
      <c r="AF118" s="31" t="inlineStr">
        <is>
          <t>Surface-blended Elo model; singles only, WTA+ATP market coverage, not yet locked-holdout qualified -- promoted by explicit operator directive, not genuine walk-forward validation.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Noma Noha Akugue</t>
        </is>
      </c>
      <c r="AQ118" s="24" t="inlineStr">
        <is>
          <t>Noma Noha Akugue</t>
        </is>
      </c>
      <c r="AR118" s="24" t="inlineStr">
        <is>
          <t>Noma Noha Akugue</t>
        </is>
      </c>
      <c r="AS118" s="24" t="inlineStr">
        <is>
          <t>Julia Avdeeva</t>
        </is>
      </c>
      <c r="AT118" s="24" t="inlineStr">
        <is>
          <t>Julia Avdeeva</t>
        </is>
      </c>
      <c r="AU118" s="24" t="inlineStr">
        <is>
          <t>Julia Avdeeva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1c05a3c4f76bde5de709ff6bb1937b3c4c67149c2ea621b7c90ca07898e048e8</t>
        </is>
      </c>
      <c r="BB118" s="24" t="inlineStr">
        <is>
          <t>surface_blended_elo</t>
        </is>
      </c>
      <c r="BC118" s="24" t="inlineStr">
        <is>
          <t>tennis-surface-elo-v1</t>
        </is>
      </c>
      <c r="BD118" s="24" t="inlineStr">
        <is>
          <t>1c05a3c4f76bde5de709ff6bb1937b3c4c67149c2ea621b7c90ca07898e048e8</t>
        </is>
      </c>
      <c r="BE118" s="24" t="inlineStr">
        <is>
          <t>tennis-surface-elo-v1</t>
        </is>
      </c>
      <c r="BF118" s="24" t="inlineStr">
        <is>
          <t>1</t>
        </is>
      </c>
      <c r="BG118" s="24" t="inlineStr">
        <is>
          <t>1c05a3c4f76bde5de709ff6bb1937b3c4c67149c2ea621b7c90ca07898e048e8</t>
        </is>
      </c>
      <c r="BH118" s="24" t="inlineStr">
        <is>
          <t>2026-08-03T06:24:02.533380Z</t>
        </is>
      </c>
      <c r="BI118" s="24" t="inlineStr">
        <is>
          <t>["same_event","same_team_same_day","same_league_same_day"]</t>
        </is>
      </c>
      <c r="BJ118" s="25" t="n"/>
      <c r="BK118" s="26" t="n">
        <v>-144</v>
      </c>
      <c r="BL118" s="27" t="n">
        <v>1.694444</v>
      </c>
      <c r="BM118" s="28" t="n">
        <v>0.590164</v>
      </c>
      <c r="BN118" s="28" t="n"/>
      <c r="BO118" s="28" t="n"/>
      <c r="BP118" s="25" t="n"/>
      <c r="BQ118" s="27" t="n">
        <v>1.694444</v>
      </c>
      <c r="BR118" s="28" t="n">
        <v>0.59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</row>
    <row r="119" ht="36" customHeight="1">
      <c r="A119" s="24" t="inlineStr">
        <is>
          <t>0f349e7a062d4df1</t>
        </is>
      </c>
      <c r="B119" s="24" t="inlineStr">
        <is>
          <t>2026-08-03T10:11:30.218358Z</t>
        </is>
      </c>
      <c r="C119" s="24" t="inlineStr">
        <is>
          <t>2026-08-03T10:30Z</t>
        </is>
      </c>
      <c r="D119" s="24" t="inlineStr">
        <is>
          <t>961-2026:182084</t>
        </is>
      </c>
      <c r="E119" s="24" t="inlineStr">
        <is>
          <t>TENNIS</t>
        </is>
      </c>
      <c r="F119" s="24" t="inlineStr">
        <is>
          <t>Veronika Podrez</t>
        </is>
      </c>
      <c r="G119" s="24" t="inlineStr">
        <is>
          <t>Elena Micic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-194</v>
      </c>
      <c r="M119" s="27" t="n">
        <v>1.515464</v>
      </c>
      <c r="N119" s="28" t="n">
        <v>0.659864</v>
      </c>
      <c r="O119" s="28" t="n">
        <v>0.636428</v>
      </c>
      <c r="P119" s="28" t="n">
        <v>0.05</v>
      </c>
      <c r="Q119" s="28" t="n">
        <v>-0.023436</v>
      </c>
      <c r="R119" s="26" t="n">
        <v>8</v>
      </c>
      <c r="S119" s="29" t="n">
        <v>1.5</v>
      </c>
      <c r="T119" s="24" t="inlineStr">
        <is>
          <t>tennis-surface-elo-v1</t>
        </is>
      </c>
      <c r="U119" s="24" t="inlineStr">
        <is>
          <t>settled</t>
        </is>
      </c>
      <c r="V119" s="24" t="inlineStr">
        <is>
          <t>win</t>
        </is>
      </c>
      <c r="W119" s="26" t="n">
        <v>1</v>
      </c>
      <c r="X119" s="26" t="n">
        <v>0</v>
      </c>
      <c r="Y119" s="25" t="n"/>
      <c r="Z119" s="26" t="n">
        <v>-194</v>
      </c>
      <c r="AA119" s="28" t="n">
        <v>0.66</v>
      </c>
      <c r="AB119" s="28" t="n">
        <v>0.000136</v>
      </c>
      <c r="AC119" s="30" t="n">
        <v>0.7732</v>
      </c>
      <c r="AD119" s="24" t="inlineStr">
        <is>
          <t>2026-08-03T13:27:04.811378Z</t>
        </is>
      </c>
      <c r="AE119" s="31" t="inlineStr">
        <is>
          <t>Surface-blended Elo on Hard: Veronika Podrez p=0.636 vs Elena Micic. Executable ask 0.6600 (aec-wta-elemic-verpod-2026-08-03).</t>
        </is>
      </c>
      <c r="AF119" s="31" t="inlineStr">
        <is>
          <t>Surface-blended Elo model; singles only, WTA+ATP market coverage, not yet locked-holdout qualified -- promoted by explicit operator directive, not genuine walk-forward validation.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NO_CALL_LOW_EDGE</t>
        </is>
      </c>
      <c r="AP119" s="24" t="inlineStr">
        <is>
          <t>Veronika Podrez</t>
        </is>
      </c>
      <c r="AQ119" s="24" t="inlineStr">
        <is>
          <t>Veronika Podrez</t>
        </is>
      </c>
      <c r="AR119" s="24" t="inlineStr">
        <is>
          <t>Veronika Podrez</t>
        </is>
      </c>
      <c r="AS119" s="24" t="inlineStr">
        <is>
          <t>Elena Micic</t>
        </is>
      </c>
      <c r="AT119" s="24" t="inlineStr">
        <is>
          <t>Elena Micic</t>
        </is>
      </c>
      <c r="AU119" s="24" t="inlineStr">
        <is>
          <t>Elena Micic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1c05a3c4f76bde5de709ff6bb1937b3c4c67149c2ea621b7c90ca07898e048e8</t>
        </is>
      </c>
      <c r="BB119" s="24" t="inlineStr">
        <is>
          <t>surface_blended_elo</t>
        </is>
      </c>
      <c r="BC119" s="24" t="inlineStr">
        <is>
          <t>tennis-surface-elo-v1</t>
        </is>
      </c>
      <c r="BD119" s="24" t="inlineStr">
        <is>
          <t>1c05a3c4f76bde5de709ff6bb1937b3c4c67149c2ea621b7c90ca07898e048e8</t>
        </is>
      </c>
      <c r="BE119" s="24" t="inlineStr">
        <is>
          <t>tennis-surface-elo-v1</t>
        </is>
      </c>
      <c r="BF119" s="24" t="inlineStr">
        <is>
          <t>1</t>
        </is>
      </c>
      <c r="BG119" s="24" t="inlineStr">
        <is>
          <t>1c05a3c4f76bde5de709ff6bb1937b3c4c67149c2ea621b7c90ca07898e048e8</t>
        </is>
      </c>
      <c r="BH119" s="24" t="inlineStr">
        <is>
          <t>2026-08-03T10:07:44.935152Z</t>
        </is>
      </c>
      <c r="BI119" s="24" t="inlineStr">
        <is>
          <t>["same_event","same_team_same_day","same_league_same_day"]</t>
        </is>
      </c>
      <c r="BJ119" s="25" t="n"/>
      <c r="BK119" s="26" t="n">
        <v>-194</v>
      </c>
      <c r="BL119" s="27" t="n">
        <v>1.515464</v>
      </c>
      <c r="BM119" s="28" t="n">
        <v>0.659864</v>
      </c>
      <c r="BN119" s="28" t="n"/>
      <c r="BO119" s="28" t="n"/>
      <c r="BP119" s="25" t="n"/>
      <c r="BQ119" s="27" t="n">
        <v>1.515464</v>
      </c>
      <c r="BR119" s="28" t="n">
        <v>0.66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</row>
    <row r="120" ht="36" customHeight="1">
      <c r="A120" s="24" t="inlineStr">
        <is>
          <t>388b5037c50b410d</t>
        </is>
      </c>
      <c r="B120" s="24" t="inlineStr">
        <is>
          <t>2026-08-03T10:58:25.846671Z</t>
        </is>
      </c>
      <c r="C120" s="24" t="inlineStr">
        <is>
          <t>2026-08-03T12:00Z</t>
        </is>
      </c>
      <c r="D120" s="24" t="inlineStr">
        <is>
          <t>961-2026:182086</t>
        </is>
      </c>
      <c r="E120" s="24" t="inlineStr">
        <is>
          <t>TENNIS</t>
        </is>
      </c>
      <c r="F120" s="24" t="inlineStr">
        <is>
          <t>Linda Fruhvirtova</t>
        </is>
      </c>
      <c r="G120" s="24" t="inlineStr">
        <is>
          <t>Katarzyna Kawa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138</v>
      </c>
      <c r="M120" s="27" t="n">
        <v>2.38</v>
      </c>
      <c r="N120" s="28" t="n">
        <v>0.420168</v>
      </c>
      <c r="O120" s="28" t="n">
        <v>0.696908</v>
      </c>
      <c r="P120" s="28" t="n">
        <v>0.05</v>
      </c>
      <c r="Q120" s="28" t="n">
        <v>0.27674</v>
      </c>
      <c r="R120" s="26" t="n">
        <v>100</v>
      </c>
      <c r="S120" s="29" t="n">
        <v>2</v>
      </c>
      <c r="T120" s="24" t="inlineStr">
        <is>
          <t>tennis-surface-elo-v1</t>
        </is>
      </c>
      <c r="U120" s="24" t="inlineStr">
        <is>
          <t>settled</t>
        </is>
      </c>
      <c r="V120" s="24" t="inlineStr">
        <is>
          <t>win</t>
        </is>
      </c>
      <c r="W120" s="26" t="n">
        <v>0</v>
      </c>
      <c r="X120" s="26" t="n">
        <v>1</v>
      </c>
      <c r="Y120" s="25" t="n"/>
      <c r="Z120" s="26" t="n">
        <v>138</v>
      </c>
      <c r="AA120" s="28" t="n">
        <v>0.42</v>
      </c>
      <c r="AB120" s="28" t="n">
        <v>-0.000168</v>
      </c>
      <c r="AC120" s="30" t="n">
        <v>2.76</v>
      </c>
      <c r="AD120" s="24" t="inlineStr">
        <is>
          <t>2026-08-03T15:52:09.076998Z</t>
        </is>
      </c>
      <c r="AE120" s="31" t="inlineStr">
        <is>
          <t>Surface-blended Elo on Hard: Linda Fruhvirtova p=0.303 vs Katarzyna Kawa. Executable ask 0.4200 (aec-wta-katkaw-linfru-2026-08-03).</t>
        </is>
      </c>
      <c r="AF120" s="31" t="inlineStr">
        <is>
          <t>Surface-blended Elo model; singles only, WTA+ATP market coverage, not yet locked-holdout qualified -- promoted by explicit operator directive, not genuine walk-forward validation.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Linda Fruhvirtova</t>
        </is>
      </c>
      <c r="AQ120" s="24" t="inlineStr">
        <is>
          <t>Linda Fruhvirtova</t>
        </is>
      </c>
      <c r="AR120" s="24" t="inlineStr">
        <is>
          <t>Linda Fruhvirtova</t>
        </is>
      </c>
      <c r="AS120" s="24" t="inlineStr">
        <is>
          <t>Katarzyna Kawa</t>
        </is>
      </c>
      <c r="AT120" s="24" t="inlineStr">
        <is>
          <t>Katarzyna Kawa</t>
        </is>
      </c>
      <c r="AU120" s="24" t="inlineStr">
        <is>
          <t>Katarzyna Kawa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1c05a3c4f76bde5de709ff6bb1937b3c4c67149c2ea621b7c90ca07898e048e8</t>
        </is>
      </c>
      <c r="BB120" s="24" t="inlineStr">
        <is>
          <t>surface_blended_elo</t>
        </is>
      </c>
      <c r="BC120" s="24" t="inlineStr">
        <is>
          <t>tennis-surface-elo-v1</t>
        </is>
      </c>
      <c r="BD120" s="24" t="inlineStr">
        <is>
          <t>1c05a3c4f76bde5de709ff6bb1937b3c4c67149c2ea621b7c90ca07898e048e8</t>
        </is>
      </c>
      <c r="BE120" s="24" t="inlineStr">
        <is>
          <t>tennis-surface-elo-v1</t>
        </is>
      </c>
      <c r="BF120" s="24" t="inlineStr">
        <is>
          <t>1</t>
        </is>
      </c>
      <c r="BG120" s="24" t="inlineStr">
        <is>
          <t>1c05a3c4f76bde5de709ff6bb1937b3c4c67149c2ea621b7c90ca07898e048e8</t>
        </is>
      </c>
      <c r="BH120" s="24" t="inlineStr">
        <is>
          <t>2026-08-03T10:56:35.022679Z</t>
        </is>
      </c>
      <c r="BI120" s="24" t="inlineStr">
        <is>
          <t>["same_event","same_team_same_day","same_league_same_day"]</t>
        </is>
      </c>
      <c r="BJ120" s="25" t="n"/>
      <c r="BK120" s="26" t="n">
        <v>138</v>
      </c>
      <c r="BL120" s="27" t="n">
        <v>2.38</v>
      </c>
      <c r="BM120" s="28" t="n">
        <v>0.420168</v>
      </c>
      <c r="BN120" s="28" t="n"/>
      <c r="BO120" s="28" t="n"/>
      <c r="BP120" s="25" t="n"/>
      <c r="BQ120" s="27" t="n">
        <v>2.38</v>
      </c>
      <c r="BR120" s="28" t="n">
        <v>0.42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</row>
    <row r="121" ht="36" customHeight="1">
      <c r="A121" s="24" t="inlineStr">
        <is>
          <t>ec07b4d332a9454c</t>
        </is>
      </c>
      <c r="B121" s="24" t="inlineStr">
        <is>
          <t>2026-08-03T10:58:25.846671Z</t>
        </is>
      </c>
      <c r="C121" s="24" t="inlineStr">
        <is>
          <t>2026-08-03T12:00Z</t>
        </is>
      </c>
      <c r="D121" s="24" t="inlineStr">
        <is>
          <t>961-2026:182090</t>
        </is>
      </c>
      <c r="E121" s="24" t="inlineStr">
        <is>
          <t>TENNIS</t>
        </is>
      </c>
      <c r="F121" s="24" t="inlineStr">
        <is>
          <t>Yuan Yue</t>
        </is>
      </c>
      <c r="G121" s="24" t="inlineStr">
        <is>
          <t>Alana Smith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-567</v>
      </c>
      <c r="M121" s="27" t="n">
        <v>1.176367</v>
      </c>
      <c r="N121" s="28" t="n">
        <v>0.850075</v>
      </c>
      <c r="O121" s="28" t="n">
        <v>0.560204</v>
      </c>
      <c r="P121" s="28" t="n">
        <v>0.05</v>
      </c>
      <c r="Q121" s="28" t="n">
        <v>-0.289871</v>
      </c>
      <c r="R121" s="26" t="n">
        <v>0</v>
      </c>
      <c r="S121" s="29" t="n">
        <v>1</v>
      </c>
      <c r="T121" s="24" t="inlineStr">
        <is>
          <t>tennis-surface-elo-v1</t>
        </is>
      </c>
      <c r="U121" s="24" t="inlineStr">
        <is>
          <t>settled</t>
        </is>
      </c>
      <c r="V121" s="24" t="inlineStr">
        <is>
          <t>win</t>
        </is>
      </c>
      <c r="W121" s="26" t="n">
        <v>1</v>
      </c>
      <c r="X121" s="26" t="n">
        <v>0</v>
      </c>
      <c r="Y121" s="25" t="n"/>
      <c r="Z121" s="26" t="n"/>
      <c r="AA121" s="28" t="n"/>
      <c r="AB121" s="28" t="n"/>
      <c r="AC121" s="30" t="n">
        <v>0.1764</v>
      </c>
      <c r="AD121" s="24" t="inlineStr">
        <is>
          <t>2026-08-03T15:52:10.417095Z</t>
        </is>
      </c>
      <c r="AE121" s="31" t="inlineStr">
        <is>
          <t>Surface-blended Elo on Hard: Yuan Yue p=0.560 vs Alana Smith. Executable ask 0.8500 (aec-wta-alasmi-yueyua-2026-08-03).</t>
        </is>
      </c>
      <c r="AF121" s="31" t="inlineStr">
        <is>
          <t>Surface-blended Elo model; singles only, WTA+ATP market coverage, not yet locked-holdout qualified -- promoted by explicit operator directive, not genuine walk-forward validation.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NO_CALL_LOW_EDGE</t>
        </is>
      </c>
      <c r="AP121" s="24" t="inlineStr">
        <is>
          <t>Yuan Yue</t>
        </is>
      </c>
      <c r="AQ121" s="24" t="inlineStr">
        <is>
          <t>Yuan Yue</t>
        </is>
      </c>
      <c r="AR121" s="24" t="inlineStr">
        <is>
          <t>Yuan Yue</t>
        </is>
      </c>
      <c r="AS121" s="24" t="inlineStr">
        <is>
          <t>Alana Smith</t>
        </is>
      </c>
      <c r="AT121" s="24" t="inlineStr">
        <is>
          <t>Alana Smith</t>
        </is>
      </c>
      <c r="AU121" s="24" t="inlineStr">
        <is>
          <t>Alana Smith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1c05a3c4f76bde5de709ff6bb1937b3c4c67149c2ea621b7c90ca07898e048e8</t>
        </is>
      </c>
      <c r="BB121" s="24" t="inlineStr">
        <is>
          <t>surface_blended_elo</t>
        </is>
      </c>
      <c r="BC121" s="24" t="inlineStr">
        <is>
          <t>tennis-surface-elo-v1</t>
        </is>
      </c>
      <c r="BD121" s="24" t="inlineStr">
        <is>
          <t>1c05a3c4f76bde5de709ff6bb1937b3c4c67149c2ea621b7c90ca07898e048e8</t>
        </is>
      </c>
      <c r="BE121" s="24" t="inlineStr">
        <is>
          <t>tennis-surface-elo-v1</t>
        </is>
      </c>
      <c r="BF121" s="24" t="inlineStr">
        <is>
          <t>1</t>
        </is>
      </c>
      <c r="BG121" s="24" t="inlineStr">
        <is>
          <t>1c05a3c4f76bde5de709ff6bb1937b3c4c67149c2ea621b7c90ca07898e048e8</t>
        </is>
      </c>
      <c r="BH121" s="24" t="inlineStr">
        <is>
          <t>2026-08-03T10:56:35.029167Z</t>
        </is>
      </c>
      <c r="BI121" s="24" t="inlineStr">
        <is>
          <t>["same_event","same_team_same_day","same_league_same_day"]</t>
        </is>
      </c>
      <c r="BJ121" s="25" t="n"/>
      <c r="BK121" s="26" t="n">
        <v>-567</v>
      </c>
      <c r="BL121" s="27" t="n">
        <v>1.176367</v>
      </c>
      <c r="BM121" s="28" t="n">
        <v>0.850075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</row>
    <row r="122" ht="36" customHeight="1">
      <c r="A122" s="24" t="inlineStr">
        <is>
          <t>061f9b4ac7de4876</t>
        </is>
      </c>
      <c r="B122" s="24" t="inlineStr">
        <is>
          <t>2026-08-03T13:29:16.279005Z</t>
        </is>
      </c>
      <c r="C122" s="24" t="inlineStr">
        <is>
          <t>2026-08-03T15:00Z</t>
        </is>
      </c>
      <c r="D122" s="24" t="inlineStr">
        <is>
          <t>421-2026:182232</t>
        </is>
      </c>
      <c r="E122" s="24" t="inlineStr">
        <is>
          <t>TENNIS</t>
        </is>
      </c>
      <c r="F122" s="24" t="inlineStr">
        <is>
          <t>Polina Kudermetova</t>
        </is>
      </c>
      <c r="G122" s="24" t="inlineStr">
        <is>
          <t>Alina Korneeva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186</v>
      </c>
      <c r="M122" s="27" t="n">
        <v>2.86</v>
      </c>
      <c r="N122" s="28" t="n">
        <v>0.34965</v>
      </c>
      <c r="O122" s="28" t="n">
        <v>0.551272</v>
      </c>
      <c r="P122" s="28" t="n">
        <v>0.05</v>
      </c>
      <c r="Q122" s="28" t="n">
        <v>0.201622</v>
      </c>
      <c r="R122" s="26" t="n">
        <v>100</v>
      </c>
      <c r="S122" s="29" t="n">
        <v>1</v>
      </c>
      <c r="T122" s="24" t="inlineStr">
        <is>
          <t>tennis-surface-elo-v1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>
        <v>186</v>
      </c>
      <c r="AA122" s="28" t="n">
        <v>0.35</v>
      </c>
      <c r="AB122" s="28" t="n">
        <v>0.00035</v>
      </c>
      <c r="AC122" s="30" t="n">
        <v>-1</v>
      </c>
      <c r="AD122" s="24" t="inlineStr">
        <is>
          <t>2026-08-03T15:52:11.822240Z</t>
        </is>
      </c>
      <c r="AE122" s="31" t="inlineStr">
        <is>
          <t>Surface-blended Elo on Hard: Polina Kudermetova p=0.551 vs Alina Korneeva. Executable ask 0.3500 (aec-wta-alikor-polkud-2026-08-03).</t>
        </is>
      </c>
      <c r="AF122" s="31" t="inlineStr">
        <is>
          <t>Surface-blended Elo model; singles only, WTA+ATP market coverage, not yet locked-holdout qualified -- promoted by explicit operator directive, not genuine walk-forward validation.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Polina Kudermetova</t>
        </is>
      </c>
      <c r="AQ122" s="24" t="inlineStr">
        <is>
          <t>Polina Kudermetova</t>
        </is>
      </c>
      <c r="AR122" s="24" t="inlineStr">
        <is>
          <t>Polina Kudermetova</t>
        </is>
      </c>
      <c r="AS122" s="24" t="inlineStr">
        <is>
          <t>Alina Korneeva</t>
        </is>
      </c>
      <c r="AT122" s="24" t="inlineStr">
        <is>
          <t>Alina Korneeva</t>
        </is>
      </c>
      <c r="AU122" s="24" t="inlineStr">
        <is>
          <t>Alina Korneeva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1c05a3c4f76bde5de709ff6bb1937b3c4c67149c2ea621b7c90ca07898e048e8</t>
        </is>
      </c>
      <c r="BB122" s="24" t="inlineStr">
        <is>
          <t>surface_blended_elo</t>
        </is>
      </c>
      <c r="BC122" s="24" t="inlineStr">
        <is>
          <t>tennis-surface-elo-v1</t>
        </is>
      </c>
      <c r="BD122" s="24" t="inlineStr">
        <is>
          <t>1c05a3c4f76bde5de709ff6bb1937b3c4c67149c2ea621b7c90ca07898e048e8</t>
        </is>
      </c>
      <c r="BE122" s="24" t="inlineStr">
        <is>
          <t>tennis-surface-elo-v1</t>
        </is>
      </c>
      <c r="BF122" s="24" t="inlineStr">
        <is>
          <t>1</t>
        </is>
      </c>
      <c r="BG122" s="24" t="inlineStr">
        <is>
          <t>1c05a3c4f76bde5de709ff6bb1937b3c4c67149c2ea621b7c90ca07898e048e8</t>
        </is>
      </c>
      <c r="BH122" s="24" t="inlineStr">
        <is>
          <t>2026-08-03T13:27:56.449177Z</t>
        </is>
      </c>
      <c r="BI122" s="24" t="inlineStr">
        <is>
          <t>["same_event","same_team_same_day","same_league_same_day"]</t>
        </is>
      </c>
      <c r="BJ122" s="25" t="n"/>
      <c r="BK122" s="26" t="n">
        <v>186</v>
      </c>
      <c r="BL122" s="27" t="n">
        <v>2.86</v>
      </c>
      <c r="BM122" s="28" t="n">
        <v>0.34965</v>
      </c>
      <c r="BN122" s="28" t="n"/>
      <c r="BO122" s="28" t="n"/>
      <c r="BP122" s="25" t="n"/>
      <c r="BQ122" s="27" t="n">
        <v>2.86</v>
      </c>
      <c r="BR122" s="28" t="n">
        <v>0.35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</row>
    <row r="123" ht="36" customHeight="1">
      <c r="A123" s="24" t="inlineStr">
        <is>
          <t>488db09ac6c94217</t>
        </is>
      </c>
      <c r="B123" s="24" t="inlineStr">
        <is>
          <t>2026-08-03T13:29:16.279005Z</t>
        </is>
      </c>
      <c r="C123" s="24" t="inlineStr">
        <is>
          <t>2026-08-03T15:00Z</t>
        </is>
      </c>
      <c r="D123" s="24" t="inlineStr">
        <is>
          <t>421-2026:182246</t>
        </is>
      </c>
      <c r="E123" s="24" t="inlineStr">
        <is>
          <t>TENNIS</t>
        </is>
      </c>
      <c r="F123" s="24" t="inlineStr">
        <is>
          <t>Karolina Pliskova</t>
        </is>
      </c>
      <c r="G123" s="24" t="inlineStr">
        <is>
          <t>Oleksandra Oliynykova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300</v>
      </c>
      <c r="M123" s="27" t="n">
        <v>4</v>
      </c>
      <c r="N123" s="28" t="n">
        <v>0.25</v>
      </c>
      <c r="O123" s="28" t="n">
        <v>0.521651</v>
      </c>
      <c r="P123" s="28" t="n">
        <v>0.05</v>
      </c>
      <c r="Q123" s="28" t="n">
        <v>0.271651</v>
      </c>
      <c r="R123" s="26" t="n">
        <v>100</v>
      </c>
      <c r="S123" s="29" t="n">
        <v>1</v>
      </c>
      <c r="T123" s="24" t="inlineStr">
        <is>
          <t>tennis-surface-elo-v1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>
        <v>300</v>
      </c>
      <c r="AA123" s="28" t="n">
        <v>0.25</v>
      </c>
      <c r="AB123" s="28" t="n">
        <v>0</v>
      </c>
      <c r="AC123" s="30" t="n">
        <v>-1</v>
      </c>
      <c r="AD123" s="24" t="inlineStr">
        <is>
          <t>2026-08-03T16:48:03.046410Z</t>
        </is>
      </c>
      <c r="AE123" s="31" t="inlineStr">
        <is>
          <t>Surface-blended Elo on Hard: Karolina Pliskova p=0.478 vs Oleksandra Oliynykova. Executable ask 0.2500 (aec-wta-oleoli-karpli-2026-08-02).</t>
        </is>
      </c>
      <c r="AF123" s="31" t="inlineStr">
        <is>
          <t>Surface-blended Elo model; singles only, WTA+ATP market coverage, not yet locked-holdout qualified -- promoted by explicit operator directive, not genuine walk-forward validation.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Karolina Pliskova</t>
        </is>
      </c>
      <c r="AQ123" s="24" t="inlineStr">
        <is>
          <t>Karolina Pliskova</t>
        </is>
      </c>
      <c r="AR123" s="24" t="inlineStr">
        <is>
          <t>Karolina Pliskova</t>
        </is>
      </c>
      <c r="AS123" s="24" t="inlineStr">
        <is>
          <t>Oleksandra Oliynykova</t>
        </is>
      </c>
      <c r="AT123" s="24" t="inlineStr">
        <is>
          <t>Oleksandra Oliynykova</t>
        </is>
      </c>
      <c r="AU123" s="24" t="inlineStr">
        <is>
          <t>Oleksandra Oliynykova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1c05a3c4f76bde5de709ff6bb1937b3c4c67149c2ea621b7c90ca07898e048e8</t>
        </is>
      </c>
      <c r="BB123" s="24" t="inlineStr">
        <is>
          <t>surface_blended_elo</t>
        </is>
      </c>
      <c r="BC123" s="24" t="inlineStr">
        <is>
          <t>tennis-surface-elo-v1</t>
        </is>
      </c>
      <c r="BD123" s="24" t="inlineStr">
        <is>
          <t>1c05a3c4f76bde5de709ff6bb1937b3c4c67149c2ea621b7c90ca07898e048e8</t>
        </is>
      </c>
      <c r="BE123" s="24" t="inlineStr">
        <is>
          <t>tennis-surface-elo-v1</t>
        </is>
      </c>
      <c r="BF123" s="24" t="inlineStr">
        <is>
          <t>1</t>
        </is>
      </c>
      <c r="BG123" s="24" t="inlineStr">
        <is>
          <t>1c05a3c4f76bde5de709ff6bb1937b3c4c67149c2ea621b7c90ca07898e048e8</t>
        </is>
      </c>
      <c r="BH123" s="24" t="inlineStr">
        <is>
          <t>2026-08-03T13:27:55.265193Z</t>
        </is>
      </c>
      <c r="BI123" s="24" t="inlineStr">
        <is>
          <t>["same_event","same_team_same_day","same_league_same_day"]</t>
        </is>
      </c>
      <c r="BJ123" s="25" t="n"/>
      <c r="BK123" s="26" t="n">
        <v>300</v>
      </c>
      <c r="BL123" s="27" t="n">
        <v>4</v>
      </c>
      <c r="BM123" s="28" t="n">
        <v>0.25</v>
      </c>
      <c r="BN123" s="28" t="n"/>
      <c r="BO123" s="28" t="n"/>
      <c r="BP123" s="25" t="n"/>
      <c r="BQ123" s="27" t="n">
        <v>4</v>
      </c>
      <c r="BR123" s="28" t="n">
        <v>0.25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af38cc8811bc431d</t>
        </is>
      </c>
      <c r="B124" s="24" t="inlineStr">
        <is>
          <t>2026-08-03T13:29:16.279005Z</t>
        </is>
      </c>
      <c r="C124" s="24" t="inlineStr">
        <is>
          <t>2026-08-03T15:00Z</t>
        </is>
      </c>
      <c r="D124" s="24" t="inlineStr">
        <is>
          <t>421-2026:182249</t>
        </is>
      </c>
      <c r="E124" s="24" t="inlineStr">
        <is>
          <t>TENNIS</t>
        </is>
      </c>
      <c r="F124" s="24" t="inlineStr">
        <is>
          <t>Anna Bondar</t>
        </is>
      </c>
      <c r="G124" s="24" t="inlineStr">
        <is>
          <t>Anhelina Kalinina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0.601429</v>
      </c>
      <c r="P124" s="28" t="n">
        <v>0.05</v>
      </c>
      <c r="Q124" s="28" t="n">
        <v>-0.038859</v>
      </c>
      <c r="R124" s="26" t="n">
        <v>1</v>
      </c>
      <c r="S124" s="29" t="n">
        <v>1.25</v>
      </c>
      <c r="T124" s="24" t="inlineStr">
        <is>
          <t>tennis-surface-elo-v1</t>
        </is>
      </c>
      <c r="U124" s="24" t="inlineStr">
        <is>
          <t>settled</t>
        </is>
      </c>
      <c r="V124" s="24" t="inlineStr">
        <is>
          <t>loss</t>
        </is>
      </c>
      <c r="W124" s="26" t="n">
        <v>1</v>
      </c>
      <c r="X124" s="26" t="n">
        <v>0</v>
      </c>
      <c r="Y124" s="25" t="n"/>
      <c r="Z124" s="26" t="n">
        <v>-178</v>
      </c>
      <c r="AA124" s="28" t="n">
        <v>0.64</v>
      </c>
      <c r="AB124" s="28" t="n">
        <v>-0.000288</v>
      </c>
      <c r="AC124" s="30" t="n">
        <v>-1.25</v>
      </c>
      <c r="AD124" s="24" t="inlineStr">
        <is>
          <t>2026-08-03T19:51:48.972641Z</t>
        </is>
      </c>
      <c r="AE124" s="31" t="inlineStr">
        <is>
          <t>Surface-blended Elo on Hard: Anna Bondar p=0.399 vs Anhelina Kalinina. Executable ask 0.6400 (aec-wta-anhkal-annbon-2026-08-02).</t>
        </is>
      </c>
      <c r="AF124" s="31" t="inlineStr">
        <is>
          <t>Surface-blended Elo model; singles only, WTA+ATP market coverage, not yet locked-holdout qualified -- promoted by explicit operator directive, not genuine walk-forward validation.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NO_CALL_LOW_EDGE</t>
        </is>
      </c>
      <c r="AP124" s="24" t="inlineStr">
        <is>
          <t>Anna Bondar</t>
        </is>
      </c>
      <c r="AQ124" s="24" t="inlineStr">
        <is>
          <t>Anna Bondar</t>
        </is>
      </c>
      <c r="AR124" s="24" t="inlineStr">
        <is>
          <t>Anna Bondar</t>
        </is>
      </c>
      <c r="AS124" s="24" t="inlineStr">
        <is>
          <t>Anhelina Kalinina</t>
        </is>
      </c>
      <c r="AT124" s="24" t="inlineStr">
        <is>
          <t>Anhelina Kalinina</t>
        </is>
      </c>
      <c r="AU124" s="24" t="inlineStr">
        <is>
          <t>Anhelina Kalinina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1c05a3c4f76bde5de709ff6bb1937b3c4c67149c2ea621b7c90ca07898e048e8</t>
        </is>
      </c>
      <c r="BB124" s="24" t="inlineStr">
        <is>
          <t>surface_blended_elo</t>
        </is>
      </c>
      <c r="BC124" s="24" t="inlineStr">
        <is>
          <t>tennis-surface-elo-v1</t>
        </is>
      </c>
      <c r="BD124" s="24" t="inlineStr">
        <is>
          <t>1c05a3c4f76bde5de709ff6bb1937b3c4c67149c2ea621b7c90ca07898e048e8</t>
        </is>
      </c>
      <c r="BE124" s="24" t="inlineStr">
        <is>
          <t>tennis-surface-elo-v1</t>
        </is>
      </c>
      <c r="BF124" s="24" t="inlineStr">
        <is>
          <t>1</t>
        </is>
      </c>
      <c r="BG124" s="24" t="inlineStr">
        <is>
          <t>1c05a3c4f76bde5de709ff6bb1937b3c4c67149c2ea621b7c90ca07898e048e8</t>
        </is>
      </c>
      <c r="BH124" s="24" t="inlineStr">
        <is>
          <t>2026-08-03T13:27:55.519067Z</t>
        </is>
      </c>
      <c r="BI124" s="24" t="inlineStr">
        <is>
          <t>["same_event","same_team_same_day","same_league_same_day"]</t>
        </is>
      </c>
      <c r="BJ124" s="25" t="n"/>
      <c r="BK124" s="26" t="n">
        <v>-178</v>
      </c>
      <c r="BL124" s="27" t="n">
        <v>1.561798</v>
      </c>
      <c r="BM124" s="28" t="n">
        <v>0.640288</v>
      </c>
      <c r="BN124" s="28" t="n"/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13aa891d72d147d6</t>
        </is>
      </c>
      <c r="B125" s="24" t="inlineStr">
        <is>
          <t>2026-08-03T13:29:16.279005Z</t>
        </is>
      </c>
      <c r="C125" s="24" t="inlineStr">
        <is>
          <t>2026-08-03T15:00Z</t>
        </is>
      </c>
      <c r="D125" s="24" t="inlineStr">
        <is>
          <t>421-2026:182253</t>
        </is>
      </c>
      <c r="E125" s="24" t="inlineStr">
        <is>
          <t>TENNIS</t>
        </is>
      </c>
      <c r="F125" s="24" t="inlineStr">
        <is>
          <t>Kayla Day</t>
        </is>
      </c>
      <c r="G125" s="24" t="inlineStr">
        <is>
          <t>Diane Parry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138</v>
      </c>
      <c r="M125" s="27" t="n">
        <v>2.38</v>
      </c>
      <c r="N125" s="28" t="n">
        <v>0.420168</v>
      </c>
      <c r="O125" s="28" t="n">
        <v>0.6722669999999999</v>
      </c>
      <c r="P125" s="28" t="n">
        <v>0.05</v>
      </c>
      <c r="Q125" s="28" t="n">
        <v>0.252099</v>
      </c>
      <c r="R125" s="26" t="n">
        <v>100</v>
      </c>
      <c r="S125" s="29" t="n">
        <v>1.75</v>
      </c>
      <c r="T125" s="24" t="inlineStr">
        <is>
          <t>tennis-surface-elo-v1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>
        <v>138</v>
      </c>
      <c r="AA125" s="28" t="n">
        <v>0.42</v>
      </c>
      <c r="AB125" s="28" t="n">
        <v>-0.000168</v>
      </c>
      <c r="AC125" s="30" t="n">
        <v>-1.75</v>
      </c>
      <c r="AD125" s="24" t="inlineStr">
        <is>
          <t>2026-08-03T19:51:49.675750Z</t>
        </is>
      </c>
      <c r="AE125" s="31" t="inlineStr">
        <is>
          <t>Surface-blended Elo on Hard: Kayla Day p=0.328 vs Diane Parry. Executable ask 0.4200 (aec-wta-diapar-kayday-2026-08-03).</t>
        </is>
      </c>
      <c r="AF125" s="31" t="inlineStr">
        <is>
          <t>Surface-blended Elo model; singles only, WTA+ATP market coverage, not yet locked-holdout qualified -- promoted by explicit operator directive, not genuine walk-forward validation.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Kayla Day</t>
        </is>
      </c>
      <c r="AQ125" s="24" t="inlineStr">
        <is>
          <t>Kayla Day</t>
        </is>
      </c>
      <c r="AR125" s="24" t="inlineStr">
        <is>
          <t>Kayla Day</t>
        </is>
      </c>
      <c r="AS125" s="24" t="inlineStr">
        <is>
          <t>Diane Parry</t>
        </is>
      </c>
      <c r="AT125" s="24" t="inlineStr">
        <is>
          <t>Diane Parry</t>
        </is>
      </c>
      <c r="AU125" s="24" t="inlineStr">
        <is>
          <t>Diane Parry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1c05a3c4f76bde5de709ff6bb1937b3c4c67149c2ea621b7c90ca07898e048e8</t>
        </is>
      </c>
      <c r="BB125" s="24" t="inlineStr">
        <is>
          <t>surface_blended_elo</t>
        </is>
      </c>
      <c r="BC125" s="24" t="inlineStr">
        <is>
          <t>tennis-surface-elo-v1</t>
        </is>
      </c>
      <c r="BD125" s="24" t="inlineStr">
        <is>
          <t>1c05a3c4f76bde5de709ff6bb1937b3c4c67149c2ea621b7c90ca07898e048e8</t>
        </is>
      </c>
      <c r="BE125" s="24" t="inlineStr">
        <is>
          <t>tennis-surface-elo-v1</t>
        </is>
      </c>
      <c r="BF125" s="24" t="inlineStr">
        <is>
          <t>1</t>
        </is>
      </c>
      <c r="BG125" s="24" t="inlineStr">
        <is>
          <t>1c05a3c4f76bde5de709ff6bb1937b3c4c67149c2ea621b7c90ca07898e048e8</t>
        </is>
      </c>
      <c r="BH125" s="24" t="inlineStr">
        <is>
          <t>2026-08-03T13:27:57.284803Z</t>
        </is>
      </c>
      <c r="BI125" s="24" t="inlineStr">
        <is>
          <t>["same_event","same_team_same_day","same_league_same_day"]</t>
        </is>
      </c>
      <c r="BJ125" s="25" t="n"/>
      <c r="BK125" s="26" t="n">
        <v>138</v>
      </c>
      <c r="BL125" s="27" t="n">
        <v>2.38</v>
      </c>
      <c r="BM125" s="28" t="n">
        <v>0.420168</v>
      </c>
      <c r="BN125" s="28" t="n"/>
      <c r="BO125" s="28" t="n"/>
      <c r="BP125" s="25" t="n"/>
      <c r="BQ125" s="27" t="n">
        <v>2.38</v>
      </c>
      <c r="BR125" s="28" t="n">
        <v>0.42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</row>
    <row r="126" ht="36" customHeight="1">
      <c r="A126" s="24" t="inlineStr">
        <is>
          <t>36cdc610ed364d2b</t>
        </is>
      </c>
      <c r="B126" s="24" t="inlineStr">
        <is>
          <t>2026-08-03T13:29:16.279005Z</t>
        </is>
      </c>
      <c r="C126" s="24" t="inlineStr">
        <is>
          <t>2026-08-03T13:50Z</t>
        </is>
      </c>
      <c r="D126" s="24" t="inlineStr">
        <is>
          <t>961-2026:182081</t>
        </is>
      </c>
      <c r="E126" s="24" t="inlineStr">
        <is>
          <t>TENNIS</t>
        </is>
      </c>
      <c r="F126" s="24" t="inlineStr">
        <is>
          <t>Martyna Kubka</t>
        </is>
      </c>
      <c r="G126" s="24" t="inlineStr">
        <is>
          <t>Teodora Kostovic</t>
        </is>
      </c>
      <c r="H126" s="24" t="inlineStr">
        <is>
          <t>moneyline</t>
        </is>
      </c>
      <c r="I126" s="24" t="inlineStr">
        <is>
          <t>home</t>
        </is>
      </c>
      <c r="J126" s="25" t="n"/>
      <c r="K126" s="24" t="inlineStr">
        <is>
          <t>polymarket_us</t>
        </is>
      </c>
      <c r="L126" s="26" t="n">
        <v>-127</v>
      </c>
      <c r="M126" s="27" t="n">
        <v>1.787402</v>
      </c>
      <c r="N126" s="28" t="n">
        <v>0.5594710000000001</v>
      </c>
      <c r="O126" s="28" t="n">
        <v>0.615699</v>
      </c>
      <c r="P126" s="28" t="n">
        <v>0.05</v>
      </c>
      <c r="Q126" s="28" t="n">
        <v>0.056228</v>
      </c>
      <c r="R126" s="26" t="n">
        <v>48</v>
      </c>
      <c r="S126" s="29" t="n">
        <v>1.5</v>
      </c>
      <c r="T126" s="24" t="inlineStr">
        <is>
          <t>tennis-surface-elo-v1</t>
        </is>
      </c>
      <c r="U126" s="24" t="inlineStr">
        <is>
          <t>settled</t>
        </is>
      </c>
      <c r="V126" s="24" t="inlineStr">
        <is>
          <t>loss</t>
        </is>
      </c>
      <c r="W126" s="26" t="n">
        <v>1</v>
      </c>
      <c r="X126" s="26" t="n">
        <v>0</v>
      </c>
      <c r="Y126" s="25" t="n"/>
      <c r="Z126" s="26" t="n">
        <v>-127</v>
      </c>
      <c r="AA126" s="28" t="n">
        <v>0.5600000000000001</v>
      </c>
      <c r="AB126" s="28" t="n">
        <v>0.000529</v>
      </c>
      <c r="AC126" s="30" t="n">
        <v>-1.5</v>
      </c>
      <c r="AD126" s="24" t="inlineStr">
        <is>
          <t>2026-08-03T19:51:50.332994Z</t>
        </is>
      </c>
      <c r="AE126" s="31" t="inlineStr">
        <is>
          <t>Surface-blended Elo on Hard: Martyna Kubka p=0.384 vs Teodora Kostovic. Executable ask 0.5600 (aec-wta-teokos-markub-2026-08-03).</t>
        </is>
      </c>
      <c r="AF126" s="31" t="inlineStr">
        <is>
          <t>Surface-blended Elo model; singles only, WTA+ATP market coverage, not yet locked-holdout qualified -- promoted by explicit operator directive, not genuine walk-forward validation.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Martyna Kubka</t>
        </is>
      </c>
      <c r="AQ126" s="24" t="inlineStr">
        <is>
          <t>Martyna Kubka</t>
        </is>
      </c>
      <c r="AR126" s="24" t="inlineStr">
        <is>
          <t>Martyna Kubka</t>
        </is>
      </c>
      <c r="AS126" s="24" t="inlineStr">
        <is>
          <t>Teodora Kostovic</t>
        </is>
      </c>
      <c r="AT126" s="24" t="inlineStr">
        <is>
          <t>Teodora Kostovic</t>
        </is>
      </c>
      <c r="AU126" s="24" t="inlineStr">
        <is>
          <t>Teodora Kostovic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1c05a3c4f76bde5de709ff6bb1937b3c4c67149c2ea621b7c90ca07898e048e8</t>
        </is>
      </c>
      <c r="BB126" s="24" t="inlineStr">
        <is>
          <t>surface_blended_elo</t>
        </is>
      </c>
      <c r="BC126" s="24" t="inlineStr">
        <is>
          <t>tennis-surface-elo-v1</t>
        </is>
      </c>
      <c r="BD126" s="24" t="inlineStr">
        <is>
          <t>1c05a3c4f76bde5de709ff6bb1937b3c4c67149c2ea621b7c90ca07898e048e8</t>
        </is>
      </c>
      <c r="BE126" s="24" t="inlineStr">
        <is>
          <t>tennis-surface-elo-v1</t>
        </is>
      </c>
      <c r="BF126" s="24" t="inlineStr">
        <is>
          <t>1</t>
        </is>
      </c>
      <c r="BG126" s="24" t="inlineStr">
        <is>
          <t>1c05a3c4f76bde5de709ff6bb1937b3c4c67149c2ea621b7c90ca07898e048e8</t>
        </is>
      </c>
      <c r="BH126" s="24" t="inlineStr">
        <is>
          <t>2026-08-03T13:27:55.032374Z</t>
        </is>
      </c>
      <c r="BI126" s="24" t="inlineStr">
        <is>
          <t>["same_event","same_team_same_day","same_league_same_day"]</t>
        </is>
      </c>
      <c r="BJ126" s="25" t="n"/>
      <c r="BK126" s="26" t="n">
        <v>-127</v>
      </c>
      <c r="BL126" s="27" t="n">
        <v>1.787402</v>
      </c>
      <c r="BM126" s="28" t="n">
        <v>0.5594710000000001</v>
      </c>
      <c r="BN126" s="28" t="n"/>
      <c r="BO126" s="28" t="n"/>
      <c r="BP126" s="25" t="n"/>
      <c r="BQ126" s="27" t="n">
        <v>1.787402</v>
      </c>
      <c r="BR126" s="28" t="n">
        <v>0.5600000000000001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</row>
    <row r="127" ht="36" customHeight="1">
      <c r="A127" s="24" t="inlineStr">
        <is>
          <t>6c0e21fa9ed24a17</t>
        </is>
      </c>
      <c r="B127" s="24" t="inlineStr">
        <is>
          <t>2026-08-03T13:29:16.279005Z</t>
        </is>
      </c>
      <c r="C127" s="24" t="inlineStr">
        <is>
          <t>2026-08-03T15:00Z</t>
        </is>
      </c>
      <c r="D127" s="24" t="inlineStr">
        <is>
          <t>421-2026:181785</t>
        </is>
      </c>
      <c r="E127" s="24" t="inlineStr">
        <is>
          <t>TENNIS</t>
        </is>
      </c>
      <c r="F127" s="24" t="inlineStr">
        <is>
          <t>Titouan Droguet</t>
        </is>
      </c>
      <c r="G127" s="24" t="inlineStr">
        <is>
          <t>Luca Van Assche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108</v>
      </c>
      <c r="M127" s="27" t="n">
        <v>2.08</v>
      </c>
      <c r="N127" s="28" t="n">
        <v>0.480769</v>
      </c>
      <c r="O127" s="28" t="n">
        <v>0.561017</v>
      </c>
      <c r="P127" s="28" t="n">
        <v>0.05</v>
      </c>
      <c r="Q127" s="28" t="n">
        <v>0.080248</v>
      </c>
      <c r="R127" s="26" t="n">
        <v>60</v>
      </c>
      <c r="S127" s="29" t="n">
        <v>1</v>
      </c>
      <c r="T127" s="24" t="inlineStr">
        <is>
          <t>tennis-surface-elo-v1</t>
        </is>
      </c>
      <c r="U127" s="24" t="inlineStr">
        <is>
          <t>settled</t>
        </is>
      </c>
      <c r="V127" s="24" t="inlineStr">
        <is>
          <t>win</t>
        </is>
      </c>
      <c r="W127" s="26" t="n">
        <v>1</v>
      </c>
      <c r="X127" s="26" t="n">
        <v>0</v>
      </c>
      <c r="Y127" s="25" t="n"/>
      <c r="Z127" s="26" t="n">
        <v>108</v>
      </c>
      <c r="AA127" s="28" t="n">
        <v>0.48</v>
      </c>
      <c r="AB127" s="28" t="n">
        <v>-0.000769</v>
      </c>
      <c r="AC127" s="30" t="n">
        <v>1.08</v>
      </c>
      <c r="AD127" s="24" t="inlineStr">
        <is>
          <t>2026-08-04T01:58:25.768880Z</t>
        </is>
      </c>
      <c r="AE127" s="31" t="inlineStr">
        <is>
          <t>Surface-blended Elo on Hard: Titouan Droguet p=0.561 vs Luca Van Assche. Executable ask 0.4800 (aec-atp-lucass-titdro-2026-08-02).</t>
        </is>
      </c>
      <c r="AF127" s="31" t="inlineStr">
        <is>
          <t>Surface-blended Elo model; singles only, WTA+ATP market coverage, not yet locked-holdout qualified -- promoted by explicit operator directive, not genuine walk-forward validation.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Titouan Droguet</t>
        </is>
      </c>
      <c r="AQ127" s="24" t="inlineStr">
        <is>
          <t>Titouan Droguet</t>
        </is>
      </c>
      <c r="AR127" s="24" t="inlineStr">
        <is>
          <t>Titouan Droguet</t>
        </is>
      </c>
      <c r="AS127" s="24" t="inlineStr">
        <is>
          <t>Luca Van Assche</t>
        </is>
      </c>
      <c r="AT127" s="24" t="inlineStr">
        <is>
          <t>Luca Van Assche</t>
        </is>
      </c>
      <c r="AU127" s="24" t="inlineStr">
        <is>
          <t>Luca Van Assche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1c05a3c4f76bde5de709ff6bb1937b3c4c67149c2ea621b7c90ca07898e048e8</t>
        </is>
      </c>
      <c r="BB127" s="24" t="inlineStr">
        <is>
          <t>surface_blended_elo</t>
        </is>
      </c>
      <c r="BC127" s="24" t="inlineStr">
        <is>
          <t>tennis-surface-elo-v1</t>
        </is>
      </c>
      <c r="BD127" s="24" t="inlineStr">
        <is>
          <t>1c05a3c4f76bde5de709ff6bb1937b3c4c67149c2ea621b7c90ca07898e048e8</t>
        </is>
      </c>
      <c r="BE127" s="24" t="inlineStr">
        <is>
          <t>tennis-surface-elo-v1</t>
        </is>
      </c>
      <c r="BF127" s="24" t="inlineStr">
        <is>
          <t>1</t>
        </is>
      </c>
      <c r="BG127" s="24" t="inlineStr">
        <is>
          <t>1c05a3c4f76bde5de709ff6bb1937b3c4c67149c2ea621b7c90ca07898e048e8</t>
        </is>
      </c>
      <c r="BH127" s="24" t="inlineStr">
        <is>
          <t>2026-08-03T13:28:16.478602Z</t>
        </is>
      </c>
      <c r="BI127" s="24" t="inlineStr">
        <is>
          <t>["same_event","same_team_same_day","same_league_same_day"]</t>
        </is>
      </c>
      <c r="BJ127" s="25" t="n"/>
      <c r="BK127" s="26" t="n">
        <v>108</v>
      </c>
      <c r="BL127" s="27" t="n">
        <v>2.08</v>
      </c>
      <c r="BM127" s="28" t="n">
        <v>0.480769</v>
      </c>
      <c r="BN127" s="28" t="n"/>
      <c r="BO127" s="28" t="n"/>
      <c r="BP127" s="25" t="n"/>
      <c r="BQ127" s="27" t="n">
        <v>2.08</v>
      </c>
      <c r="BR127" s="28" t="n">
        <v>0.48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</row>
    <row r="128" ht="36" customHeight="1">
      <c r="A128" s="24" t="inlineStr">
        <is>
          <t>38ebc435ab304632</t>
        </is>
      </c>
      <c r="B128" s="24" t="inlineStr">
        <is>
          <t>2026-08-03T13:29:16.279005Z</t>
        </is>
      </c>
      <c r="C128" s="24" t="inlineStr">
        <is>
          <t>2026-08-03T15:00Z</t>
        </is>
      </c>
      <c r="D128" s="24" t="inlineStr">
        <is>
          <t>421-2026:181804</t>
        </is>
      </c>
      <c r="E128" s="24" t="inlineStr">
        <is>
          <t>TENNIS</t>
        </is>
      </c>
      <c r="F128" s="24" t="inlineStr">
        <is>
          <t>Mariano Navone</t>
        </is>
      </c>
      <c r="G128" s="24" t="inlineStr">
        <is>
          <t>Matteo Berrettini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-186</v>
      </c>
      <c r="M128" s="27" t="n">
        <v>1.537634</v>
      </c>
      <c r="N128" s="28" t="n">
        <v>0.65035</v>
      </c>
      <c r="O128" s="28" t="n">
        <v>0.585776</v>
      </c>
      <c r="P128" s="28" t="n">
        <v>0.05</v>
      </c>
      <c r="Q128" s="28" t="n">
        <v>-0.06457400000000001</v>
      </c>
      <c r="R128" s="26" t="n">
        <v>0</v>
      </c>
      <c r="S128" s="29" t="n">
        <v>1.25</v>
      </c>
      <c r="T128" s="24" t="inlineStr">
        <is>
          <t>tennis-surface-elo-v1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0</v>
      </c>
      <c r="Y128" s="25" t="n"/>
      <c r="Z128" s="26" t="n">
        <v>-186</v>
      </c>
      <c r="AA128" s="28" t="n">
        <v>0.65</v>
      </c>
      <c r="AB128" s="28" t="n">
        <v>-0.00035</v>
      </c>
      <c r="AC128" s="30" t="n">
        <v>-1.25</v>
      </c>
      <c r="AD128" s="24" t="inlineStr">
        <is>
          <t>2026-08-04T01:58:26.445942Z</t>
        </is>
      </c>
      <c r="AE128" s="31" t="inlineStr">
        <is>
          <t>Surface-blended Elo on Hard: Mariano Navone p=0.414 vs Matteo Berrettini. Executable ask 0.6500 (aec-atp-matber-marnav-2026-08-03).</t>
        </is>
      </c>
      <c r="AF128" s="31" t="inlineStr">
        <is>
          <t>Surface-blended Elo model; singles only, WTA+ATP market coverage, not yet locked-holdout qualified -- promoted by explicit operator directive, not genuine walk-forward validation.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NO_CALL_LOW_EDGE</t>
        </is>
      </c>
      <c r="AP128" s="24" t="inlineStr">
        <is>
          <t>Mariano Navone</t>
        </is>
      </c>
      <c r="AQ128" s="24" t="inlineStr">
        <is>
          <t>Mariano Navone</t>
        </is>
      </c>
      <c r="AR128" s="24" t="inlineStr">
        <is>
          <t>Mariano Navone</t>
        </is>
      </c>
      <c r="AS128" s="24" t="inlineStr">
        <is>
          <t>Matteo Berrettini</t>
        </is>
      </c>
      <c r="AT128" s="24" t="inlineStr">
        <is>
          <t>Matteo Berrettini</t>
        </is>
      </c>
      <c r="AU128" s="24" t="inlineStr">
        <is>
          <t>Matteo Berrettini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1c05a3c4f76bde5de709ff6bb1937b3c4c67149c2ea621b7c90ca07898e048e8</t>
        </is>
      </c>
      <c r="BB128" s="24" t="inlineStr">
        <is>
          <t>surface_blended_elo</t>
        </is>
      </c>
      <c r="BC128" s="24" t="inlineStr">
        <is>
          <t>tennis-surface-elo-v1</t>
        </is>
      </c>
      <c r="BD128" s="24" t="inlineStr">
        <is>
          <t>1c05a3c4f76bde5de709ff6bb1937b3c4c67149c2ea621b7c90ca07898e048e8</t>
        </is>
      </c>
      <c r="BE128" s="24" t="inlineStr">
        <is>
          <t>tennis-surface-elo-v1</t>
        </is>
      </c>
      <c r="BF128" s="24" t="inlineStr">
        <is>
          <t>1</t>
        </is>
      </c>
      <c r="BG128" s="24" t="inlineStr">
        <is>
          <t>1c05a3c4f76bde5de709ff6bb1937b3c4c67149c2ea621b7c90ca07898e048e8</t>
        </is>
      </c>
      <c r="BH128" s="24" t="inlineStr">
        <is>
          <t>2026-08-03T13:28:15.057882Z</t>
        </is>
      </c>
      <c r="BI128" s="24" t="inlineStr">
        <is>
          <t>["same_event","same_team_same_day","same_league_same_day"]</t>
        </is>
      </c>
      <c r="BJ128" s="25" t="n"/>
      <c r="BK128" s="26" t="n">
        <v>-186</v>
      </c>
      <c r="BL128" s="27" t="n">
        <v>1.537634</v>
      </c>
      <c r="BM128" s="28" t="n">
        <v>0.65035</v>
      </c>
      <c r="BN128" s="28" t="n"/>
      <c r="BO128" s="28" t="n"/>
      <c r="BP128" s="25" t="n"/>
      <c r="BQ128" s="27" t="n">
        <v>1.537634</v>
      </c>
      <c r="BR128" s="28" t="n">
        <v>0.65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</row>
    <row r="129" ht="36" customHeight="1">
      <c r="A129" s="24" t="inlineStr">
        <is>
          <t>89272ae44fcf48d0</t>
        </is>
      </c>
      <c r="B129" s="24" t="inlineStr">
        <is>
          <t>2026-08-03T13:29:16.279005Z</t>
        </is>
      </c>
      <c r="C129" s="24" t="inlineStr">
        <is>
          <t>2026-08-03T15:00Z</t>
        </is>
      </c>
      <c r="D129" s="24" t="inlineStr">
        <is>
          <t>421-2026:181834</t>
        </is>
      </c>
      <c r="E129" s="24" t="inlineStr">
        <is>
          <t>TENNIS</t>
        </is>
      </c>
      <c r="F129" s="24" t="inlineStr">
        <is>
          <t>Christopher O'Connell</t>
        </is>
      </c>
      <c r="G129" s="24" t="inlineStr">
        <is>
          <t>James Duckworth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-144</v>
      </c>
      <c r="M129" s="27" t="n">
        <v>1.694444</v>
      </c>
      <c r="N129" s="28" t="n">
        <v>0.590164</v>
      </c>
      <c r="O129" s="28" t="n">
        <v>0.519869</v>
      </c>
      <c r="P129" s="28" t="n">
        <v>0.05</v>
      </c>
      <c r="Q129" s="28" t="n">
        <v>-0.070295</v>
      </c>
      <c r="R129" s="26" t="n">
        <v>0</v>
      </c>
      <c r="S129" s="29" t="n">
        <v>1</v>
      </c>
      <c r="T129" s="24" t="inlineStr">
        <is>
          <t>tennis-surface-elo-v1</t>
        </is>
      </c>
      <c r="U129" s="24" t="inlineStr">
        <is>
          <t>settled</t>
        </is>
      </c>
      <c r="V129" s="24" t="inlineStr">
        <is>
          <t>loss</t>
        </is>
      </c>
      <c r="W129" s="26" t="n">
        <v>0</v>
      </c>
      <c r="X129" s="26" t="n">
        <v>1</v>
      </c>
      <c r="Y129" s="25" t="n"/>
      <c r="Z129" s="26" t="n">
        <v>-144</v>
      </c>
      <c r="AA129" s="28" t="n">
        <v>0.59</v>
      </c>
      <c r="AB129" s="28" t="n">
        <v>-0.000164</v>
      </c>
      <c r="AC129" s="30" t="n">
        <v>-1</v>
      </c>
      <c r="AD129" s="24" t="inlineStr">
        <is>
          <t>2026-08-03T22:55:19.829628Z</t>
        </is>
      </c>
      <c r="AE129" s="31" t="inlineStr">
        <is>
          <t>Surface-blended Elo on Hard: Christopher O'Connell p=0.520 vs James Duckworth. Executable ask 0.5900 (aec-atp-jamduc-chroco-2026-08-02).</t>
        </is>
      </c>
      <c r="AF129" s="31" t="inlineStr">
        <is>
          <t>Surface-blended Elo model; singles only, WTA+ATP market coverage, not yet locked-holdout qualified -- promoted by explicit operator directive, not genuine walk-forward validation.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NO_CALL_LOW_EDGE</t>
        </is>
      </c>
      <c r="AP129" s="24" t="inlineStr">
        <is>
          <t>Christopher O'Connell</t>
        </is>
      </c>
      <c r="AQ129" s="24" t="inlineStr">
        <is>
          <t>Christopher O'Connell</t>
        </is>
      </c>
      <c r="AR129" s="24" t="inlineStr">
        <is>
          <t>Christopher O'Connell</t>
        </is>
      </c>
      <c r="AS129" s="24" t="inlineStr">
        <is>
          <t>James Duckworth</t>
        </is>
      </c>
      <c r="AT129" s="24" t="inlineStr">
        <is>
          <t>James Duckworth</t>
        </is>
      </c>
      <c r="AU129" s="24" t="inlineStr">
        <is>
          <t>James Duckworth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1c05a3c4f76bde5de709ff6bb1937b3c4c67149c2ea621b7c90ca07898e048e8</t>
        </is>
      </c>
      <c r="BB129" s="24" t="inlineStr">
        <is>
          <t>surface_blended_elo</t>
        </is>
      </c>
      <c r="BC129" s="24" t="inlineStr">
        <is>
          <t>tennis-surface-elo-v1</t>
        </is>
      </c>
      <c r="BD129" s="24" t="inlineStr">
        <is>
          <t>1c05a3c4f76bde5de709ff6bb1937b3c4c67149c2ea621b7c90ca07898e048e8</t>
        </is>
      </c>
      <c r="BE129" s="24" t="inlineStr">
        <is>
          <t>tennis-surface-elo-v1</t>
        </is>
      </c>
      <c r="BF129" s="24" t="inlineStr">
        <is>
          <t>1</t>
        </is>
      </c>
      <c r="BG129" s="24" t="inlineStr">
        <is>
          <t>1c05a3c4f76bde5de709ff6bb1937b3c4c67149c2ea621b7c90ca07898e048e8</t>
        </is>
      </c>
      <c r="BH129" s="24" t="inlineStr">
        <is>
          <t>2026-08-03T13:28:15.557056Z</t>
        </is>
      </c>
      <c r="BI129" s="24" t="inlineStr">
        <is>
          <t>["same_event","same_team_same_day","same_league_same_day"]</t>
        </is>
      </c>
      <c r="BJ129" s="25" t="n"/>
      <c r="BK129" s="26" t="n">
        <v>-144</v>
      </c>
      <c r="BL129" s="27" t="n">
        <v>1.694444</v>
      </c>
      <c r="BM129" s="28" t="n">
        <v>0.590164</v>
      </c>
      <c r="BN129" s="28" t="n"/>
      <c r="BO129" s="28" t="n"/>
      <c r="BP129" s="25" t="n"/>
      <c r="BQ129" s="27" t="n">
        <v>1.694444</v>
      </c>
      <c r="BR129" s="28" t="n">
        <v>0.59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</row>
    <row r="130" ht="36" customHeight="1">
      <c r="A130" s="24" t="inlineStr">
        <is>
          <t>c401b2ffe76d4163</t>
        </is>
      </c>
      <c r="B130" s="24" t="inlineStr">
        <is>
          <t>2026-08-03T13:29:16.279005Z</t>
        </is>
      </c>
      <c r="C130" s="24" t="inlineStr">
        <is>
          <t>2026-08-03T15:00Z</t>
        </is>
      </c>
      <c r="D130" s="24" t="inlineStr">
        <is>
          <t>421-2026:181837</t>
        </is>
      </c>
      <c r="E130" s="24" t="inlineStr">
        <is>
          <t>TENNIS</t>
        </is>
      </c>
      <c r="F130" s="24" t="inlineStr">
        <is>
          <t>Martin Landaluce</t>
        </is>
      </c>
      <c r="G130" s="24" t="inlineStr">
        <is>
          <t>Nicolas Mejia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-233</v>
      </c>
      <c r="M130" s="27" t="n">
        <v>1.429185</v>
      </c>
      <c r="N130" s="28" t="n">
        <v>0.6997</v>
      </c>
      <c r="O130" s="28" t="n">
        <v>0.6750350000000001</v>
      </c>
      <c r="P130" s="28" t="n">
        <v>0.05</v>
      </c>
      <c r="Q130" s="28" t="n">
        <v>-0.024665</v>
      </c>
      <c r="R130" s="26" t="n">
        <v>8</v>
      </c>
      <c r="S130" s="29" t="n">
        <v>1.75</v>
      </c>
      <c r="T130" s="24" t="inlineStr">
        <is>
          <t>tennis-surface-elo-v1</t>
        </is>
      </c>
      <c r="U130" s="24" t="inlineStr">
        <is>
          <t>settled</t>
        </is>
      </c>
      <c r="V130" s="24" t="inlineStr">
        <is>
          <t>loss</t>
        </is>
      </c>
      <c r="W130" s="26" t="n">
        <v>0</v>
      </c>
      <c r="X130" s="26" t="n">
        <v>1</v>
      </c>
      <c r="Y130" s="25" t="n"/>
      <c r="Z130" s="26" t="n">
        <v>-233</v>
      </c>
      <c r="AA130" s="28" t="n">
        <v>0.7</v>
      </c>
      <c r="AB130" s="28" t="n">
        <v>0.0003</v>
      </c>
      <c r="AC130" s="30" t="n">
        <v>-1.75</v>
      </c>
      <c r="AD130" s="24" t="inlineStr">
        <is>
          <t>2026-08-04T01:58:27.120342Z</t>
        </is>
      </c>
      <c r="AE130" s="31" t="inlineStr">
        <is>
          <t>Surface-blended Elo on Hard: Martin Landaluce p=0.675 vs Nicolas Mejia. Executable ask 0.7000 (aec-atp-nicmej-marlan-2026-08-02).</t>
        </is>
      </c>
      <c r="AF130" s="31" t="inlineStr">
        <is>
          <t>Surface-blended Elo model; singles only, WTA+ATP market coverage, not yet locked-holdout qualified -- promoted by explicit operator directive, not genuine walk-forward validation.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NO_CALL_LOW_EDGE</t>
        </is>
      </c>
      <c r="AP130" s="24" t="inlineStr">
        <is>
          <t>Martin Landaluce</t>
        </is>
      </c>
      <c r="AQ130" s="24" t="inlineStr">
        <is>
          <t>Martin Landaluce</t>
        </is>
      </c>
      <c r="AR130" s="24" t="inlineStr">
        <is>
          <t>Martin Landaluce</t>
        </is>
      </c>
      <c r="AS130" s="24" t="inlineStr">
        <is>
          <t>Nicolas Mejia</t>
        </is>
      </c>
      <c r="AT130" s="24" t="inlineStr">
        <is>
          <t>Nicolas Mejia</t>
        </is>
      </c>
      <c r="AU130" s="24" t="inlineStr">
        <is>
          <t>Nicolas Mejia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1c05a3c4f76bde5de709ff6bb1937b3c4c67149c2ea621b7c90ca07898e048e8</t>
        </is>
      </c>
      <c r="BB130" s="24" t="inlineStr">
        <is>
          <t>surface_blended_elo</t>
        </is>
      </c>
      <c r="BC130" s="24" t="inlineStr">
        <is>
          <t>tennis-surface-elo-v1</t>
        </is>
      </c>
      <c r="BD130" s="24" t="inlineStr">
        <is>
          <t>1c05a3c4f76bde5de709ff6bb1937b3c4c67149c2ea621b7c90ca07898e048e8</t>
        </is>
      </c>
      <c r="BE130" s="24" t="inlineStr">
        <is>
          <t>tennis-surface-elo-v1</t>
        </is>
      </c>
      <c r="BF130" s="24" t="inlineStr">
        <is>
          <t>1</t>
        </is>
      </c>
      <c r="BG130" s="24" t="inlineStr">
        <is>
          <t>1c05a3c4f76bde5de709ff6bb1937b3c4c67149c2ea621b7c90ca07898e048e8</t>
        </is>
      </c>
      <c r="BH130" s="24" t="inlineStr">
        <is>
          <t>2026-08-03T13:28:13.602189Z</t>
        </is>
      </c>
      <c r="BI130" s="24" t="inlineStr">
        <is>
          <t>["same_event","same_team_same_day","same_league_same_day"]</t>
        </is>
      </c>
      <c r="BJ130" s="25" t="n"/>
      <c r="BK130" s="26" t="n">
        <v>-233</v>
      </c>
      <c r="BL130" s="27" t="n">
        <v>1.429185</v>
      </c>
      <c r="BM130" s="28" t="n">
        <v>0.6997</v>
      </c>
      <c r="BN130" s="28" t="n"/>
      <c r="BO130" s="28" t="n"/>
      <c r="BP130" s="25" t="n"/>
      <c r="BQ130" s="27" t="n">
        <v>1.429185</v>
      </c>
      <c r="BR130" s="28" t="n">
        <v>0.7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</row>
    <row r="131" ht="36" customHeight="1">
      <c r="A131" s="24" t="inlineStr">
        <is>
          <t>6966a957909e4130</t>
        </is>
      </c>
      <c r="B131" s="24" t="inlineStr">
        <is>
          <t>2026-08-03T13:29:16.279005Z</t>
        </is>
      </c>
      <c r="C131" s="24" t="inlineStr">
        <is>
          <t>2026-08-03T15:00Z</t>
        </is>
      </c>
      <c r="D131" s="24" t="inlineStr">
        <is>
          <t>421-2026:181839</t>
        </is>
      </c>
      <c r="E131" s="24" t="inlineStr">
        <is>
          <t>TENNIS</t>
        </is>
      </c>
      <c r="F131" s="24" t="inlineStr">
        <is>
          <t>Vit Kopriva</t>
        </is>
      </c>
      <c r="G131" s="24" t="inlineStr">
        <is>
          <t>Alexis Galarneau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108</v>
      </c>
      <c r="M131" s="27" t="n">
        <v>2.08</v>
      </c>
      <c r="N131" s="28" t="n">
        <v>0.480769</v>
      </c>
      <c r="O131" s="28" t="n">
        <v>0.57909</v>
      </c>
      <c r="P131" s="28" t="n">
        <v>0.05</v>
      </c>
      <c r="Q131" s="28" t="n">
        <v>0.09832100000000001</v>
      </c>
      <c r="R131" s="26" t="n">
        <v>69</v>
      </c>
      <c r="S131" s="29" t="n">
        <v>1.25</v>
      </c>
      <c r="T131" s="24" t="inlineStr">
        <is>
          <t>tennis-surface-elo-v1</t>
        </is>
      </c>
      <c r="U131" s="24" t="inlineStr">
        <is>
          <t>settled</t>
        </is>
      </c>
      <c r="V131" s="24" t="inlineStr">
        <is>
          <t>win</t>
        </is>
      </c>
      <c r="W131" s="26" t="n">
        <v>1</v>
      </c>
      <c r="X131" s="26" t="n">
        <v>0</v>
      </c>
      <c r="Y131" s="25" t="n"/>
      <c r="Z131" s="26" t="n">
        <v>108</v>
      </c>
      <c r="AA131" s="28" t="n">
        <v>0.48</v>
      </c>
      <c r="AB131" s="28" t="n">
        <v>-0.000769</v>
      </c>
      <c r="AC131" s="30" t="n">
        <v>1.35</v>
      </c>
      <c r="AD131" s="24" t="inlineStr">
        <is>
          <t>2026-08-03T22:55:20.517443Z</t>
        </is>
      </c>
      <c r="AE131" s="31" t="inlineStr">
        <is>
          <t>Surface-blended Elo on Hard: Vit Kopriva p=0.579 vs Alexis Galarneau. Executable ask 0.4800 (aec-atp-alegal-vitkop-2026-08-03).</t>
        </is>
      </c>
      <c r="AF131" s="31" t="inlineStr">
        <is>
          <t>Surface-blended Elo model; singles only, WTA+ATP market coverage, not yet locked-holdout qualified -- promoted by explicit operator directive, not genuine walk-forward validation.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Vit Kopriva</t>
        </is>
      </c>
      <c r="AQ131" s="24" t="inlineStr">
        <is>
          <t>Vit Kopriva</t>
        </is>
      </c>
      <c r="AR131" s="24" t="inlineStr">
        <is>
          <t>Vit Kopriva</t>
        </is>
      </c>
      <c r="AS131" s="24" t="inlineStr">
        <is>
          <t>Alexis Galarneau</t>
        </is>
      </c>
      <c r="AT131" s="24" t="inlineStr">
        <is>
          <t>Alexis Galarneau</t>
        </is>
      </c>
      <c r="AU131" s="24" t="inlineStr">
        <is>
          <t>Alexis Galarneau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1c05a3c4f76bde5de709ff6bb1937b3c4c67149c2ea621b7c90ca07898e048e8</t>
        </is>
      </c>
      <c r="BB131" s="24" t="inlineStr">
        <is>
          <t>surface_blended_elo</t>
        </is>
      </c>
      <c r="BC131" s="24" t="inlineStr">
        <is>
          <t>tennis-surface-elo-v1</t>
        </is>
      </c>
      <c r="BD131" s="24" t="inlineStr">
        <is>
          <t>1c05a3c4f76bde5de709ff6bb1937b3c4c67149c2ea621b7c90ca07898e048e8</t>
        </is>
      </c>
      <c r="BE131" s="24" t="inlineStr">
        <is>
          <t>tennis-surface-elo-v1</t>
        </is>
      </c>
      <c r="BF131" s="24" t="inlineStr">
        <is>
          <t>1</t>
        </is>
      </c>
      <c r="BG131" s="24" t="inlineStr">
        <is>
          <t>1c05a3c4f76bde5de709ff6bb1937b3c4c67149c2ea621b7c90ca07898e048e8</t>
        </is>
      </c>
      <c r="BH131" s="24" t="inlineStr">
        <is>
          <t>2026-08-03T13:28:14.309797Z</t>
        </is>
      </c>
      <c r="BI131" s="24" t="inlineStr">
        <is>
          <t>["same_event","same_team_same_day","same_league_same_day"]</t>
        </is>
      </c>
      <c r="BJ131" s="25" t="n"/>
      <c r="BK131" s="26" t="n">
        <v>108</v>
      </c>
      <c r="BL131" s="27" t="n">
        <v>2.08</v>
      </c>
      <c r="BM131" s="28" t="n">
        <v>0.480769</v>
      </c>
      <c r="BN131" s="28" t="n"/>
      <c r="BO131" s="28" t="n"/>
      <c r="BP131" s="25" t="n"/>
      <c r="BQ131" s="27" t="n">
        <v>2.08</v>
      </c>
      <c r="BR131" s="28" t="n">
        <v>0.48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</row>
    <row r="132" ht="36" customHeight="1">
      <c r="A132" s="24" t="inlineStr">
        <is>
          <t>bab63346269f4016</t>
        </is>
      </c>
      <c r="B132" s="24" t="inlineStr">
        <is>
          <t>2026-08-03T16:29:20.960477Z</t>
        </is>
      </c>
      <c r="C132" s="24" t="inlineStr">
        <is>
          <t>2026-08-03T16:30Z</t>
        </is>
      </c>
      <c r="D132" s="24" t="inlineStr">
        <is>
          <t>421-2026:182266</t>
        </is>
      </c>
      <c r="E132" s="24" t="inlineStr">
        <is>
          <t>TENNIS</t>
        </is>
      </c>
      <c r="F132" s="24" t="inlineStr">
        <is>
          <t>Kayla Cross</t>
        </is>
      </c>
      <c r="G132" s="24" t="inlineStr">
        <is>
          <t>Katie Boulter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-285</v>
      </c>
      <c r="M132" s="27" t="n">
        <v>1.350877</v>
      </c>
      <c r="N132" s="28" t="n">
        <v>0.74026</v>
      </c>
      <c r="O132" s="28" t="n">
        <v>0.830003</v>
      </c>
      <c r="P132" s="28" t="n">
        <v>0.05</v>
      </c>
      <c r="Q132" s="28" t="n">
        <v>0.089743</v>
      </c>
      <c r="R132" s="26" t="n">
        <v>65</v>
      </c>
      <c r="S132" s="29" t="n">
        <v>2</v>
      </c>
      <c r="T132" s="24" t="inlineStr">
        <is>
          <t>tennis-surface-elo-v1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0</v>
      </c>
      <c r="Y132" s="25" t="n"/>
      <c r="Z132" s="26" t="n">
        <v>-285</v>
      </c>
      <c r="AA132" s="28" t="n">
        <v>0.74</v>
      </c>
      <c r="AB132" s="28" t="n">
        <v>-0.00026</v>
      </c>
      <c r="AC132" s="30" t="n">
        <v>-2</v>
      </c>
      <c r="AD132" s="24" t="inlineStr">
        <is>
          <t>2026-08-03T19:51:51.011916Z</t>
        </is>
      </c>
      <c r="AE132" s="31" t="inlineStr">
        <is>
          <t>Surface-blended Elo on Hard: Kayla Cross p=0.170 vs Katie Boulter. Executable ask 0.7400 (aec-wta-katbou-kaycro-2026-08-02).</t>
        </is>
      </c>
      <c r="AF132" s="31" t="inlineStr">
        <is>
          <t>Surface-blended Elo model; singles only, WTA+ATP market coverage, not yet locked-holdout qualified -- promoted by explicit operator directive, not genuine walk-forward validation.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Kayla Cross</t>
        </is>
      </c>
      <c r="AQ132" s="24" t="inlineStr">
        <is>
          <t>Kayla Cross</t>
        </is>
      </c>
      <c r="AR132" s="24" t="inlineStr">
        <is>
          <t>Kayla Cross</t>
        </is>
      </c>
      <c r="AS132" s="24" t="inlineStr">
        <is>
          <t>Katie Boulter</t>
        </is>
      </c>
      <c r="AT132" s="24" t="inlineStr">
        <is>
          <t>Katie Boulter</t>
        </is>
      </c>
      <c r="AU132" s="24" t="inlineStr">
        <is>
          <t>Katie Boulter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60749ecfb3f1405f12fbceda11b7e64f2473d40dd327256f9da20b2146b6ae03</t>
        </is>
      </c>
      <c r="BB132" s="24" t="inlineStr">
        <is>
          <t>surface_blended_elo</t>
        </is>
      </c>
      <c r="BC132" s="24" t="inlineStr">
        <is>
          <t>tennis-surface-elo-v1</t>
        </is>
      </c>
      <c r="BD132" s="24" t="inlineStr">
        <is>
          <t>60749ecfb3f1405f12fbceda11b7e64f2473d40dd327256f9da20b2146b6ae03</t>
        </is>
      </c>
      <c r="BE132" s="24" t="inlineStr">
        <is>
          <t>tennis-surface-elo-v1</t>
        </is>
      </c>
      <c r="BF132" s="24" t="inlineStr">
        <is>
          <t>1</t>
        </is>
      </c>
      <c r="BG132" s="24" t="inlineStr">
        <is>
          <t>60749ecfb3f1405f12fbceda11b7e64f2473d40dd327256f9da20b2146b6ae03</t>
        </is>
      </c>
      <c r="BH132" s="24" t="inlineStr">
        <is>
          <t>2026-08-03T16:28:14.928463Z</t>
        </is>
      </c>
      <c r="BI132" s="24" t="inlineStr">
        <is>
          <t>["same_event","same_team_same_day","same_league_same_day"]</t>
        </is>
      </c>
      <c r="BJ132" s="25" t="n"/>
      <c r="BK132" s="26" t="n">
        <v>-285</v>
      </c>
      <c r="BL132" s="27" t="n">
        <v>1.350877</v>
      </c>
      <c r="BM132" s="28" t="n">
        <v>0.74026</v>
      </c>
      <c r="BN132" s="28" t="n"/>
      <c r="BO132" s="28" t="n"/>
      <c r="BP132" s="25" t="n"/>
      <c r="BQ132" s="27" t="n">
        <v>1.350877</v>
      </c>
      <c r="BR132" s="28" t="n">
        <v>0.74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</row>
    <row r="133" ht="36" customHeight="1">
      <c r="A133" s="24" t="inlineStr">
        <is>
          <t>b04932b2a1f846a1</t>
        </is>
      </c>
      <c r="B133" s="24" t="inlineStr">
        <is>
          <t>2026-08-03T16:49:52.211440Z</t>
        </is>
      </c>
      <c r="C133" s="24" t="inlineStr">
        <is>
          <t>2026-08-03T17:00Z</t>
        </is>
      </c>
      <c r="D133" s="24" t="inlineStr">
        <is>
          <t>888-2026:178979</t>
        </is>
      </c>
      <c r="E133" s="24" t="inlineStr">
        <is>
          <t>TENNIS</t>
        </is>
      </c>
      <c r="F133" s="24" t="inlineStr">
        <is>
          <t>Rafael Jodar</t>
        </is>
      </c>
      <c r="G133" s="24" t="inlineStr">
        <is>
          <t>Taylor Fritz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-170</v>
      </c>
      <c r="M133" s="27" t="n">
        <v>1.588235</v>
      </c>
      <c r="N133" s="28" t="n">
        <v>0.62963</v>
      </c>
      <c r="O133" s="28" t="n">
        <v>0.592585</v>
      </c>
      <c r="P133" s="28" t="n">
        <v>0.05</v>
      </c>
      <c r="Q133" s="28" t="n">
        <v>-0.037045</v>
      </c>
      <c r="R133" s="26" t="n">
        <v>1</v>
      </c>
      <c r="S133" s="29" t="n">
        <v>1.25</v>
      </c>
      <c r="T133" s="24" t="inlineStr">
        <is>
          <t>tennis-surface-elo-v1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-170</v>
      </c>
      <c r="AA133" s="28" t="n">
        <v>0.63</v>
      </c>
      <c r="AB133" s="28" t="n">
        <v>0.00037</v>
      </c>
      <c r="AC133" s="30" t="n">
        <v>0.7353</v>
      </c>
      <c r="AD133" s="24" t="inlineStr">
        <is>
          <t>2026-08-03T19:51:51.702123Z</t>
        </is>
      </c>
      <c r="AE133" s="31" t="inlineStr">
        <is>
          <t>Surface-blended Elo on Hard: Rafael Jodar p=0.407 vs Taylor Fritz. Executable ask 0.6300 (aec-atp-tayfri-rafjod-2026-08-02).</t>
        </is>
      </c>
      <c r="AF133" s="31" t="inlineStr">
        <is>
          <t>Surface-blended Elo model; singles only, WTA+ATP market coverage, not yet locked-holdout qualified -- promoted by explicit operator directive, not genuine walk-forward validation.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NO_CALL_LOW_EDGE</t>
        </is>
      </c>
      <c r="AP133" s="24" t="inlineStr">
        <is>
          <t>Rafael Jodar</t>
        </is>
      </c>
      <c r="AQ133" s="24" t="inlineStr">
        <is>
          <t>Rafael Jodar</t>
        </is>
      </c>
      <c r="AR133" s="24" t="inlineStr">
        <is>
          <t>Rafael Jodar</t>
        </is>
      </c>
      <c r="AS133" s="24" t="inlineStr">
        <is>
          <t>Taylor Fritz</t>
        </is>
      </c>
      <c r="AT133" s="24" t="inlineStr">
        <is>
          <t>Taylor Fritz</t>
        </is>
      </c>
      <c r="AU133" s="24" t="inlineStr">
        <is>
          <t>Taylor Fritz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60749ecfb3f1405f12fbceda11b7e64f2473d40dd327256f9da20b2146b6ae03</t>
        </is>
      </c>
      <c r="BB133" s="24" t="inlineStr">
        <is>
          <t>surface_blended_elo</t>
        </is>
      </c>
      <c r="BC133" s="24" t="inlineStr">
        <is>
          <t>tennis-surface-elo-v1</t>
        </is>
      </c>
      <c r="BD133" s="24" t="inlineStr">
        <is>
          <t>60749ecfb3f1405f12fbceda11b7e64f2473d40dd327256f9da20b2146b6ae03</t>
        </is>
      </c>
      <c r="BE133" s="24" t="inlineStr">
        <is>
          <t>tennis-surface-elo-v1</t>
        </is>
      </c>
      <c r="BF133" s="24" t="inlineStr">
        <is>
          <t>1</t>
        </is>
      </c>
      <c r="BG133" s="24" t="inlineStr">
        <is>
          <t>60749ecfb3f1405f12fbceda11b7e64f2473d40dd327256f9da20b2146b6ae03</t>
        </is>
      </c>
      <c r="BH133" s="24" t="inlineStr">
        <is>
          <t>2026-08-03T16:49:04.770856Z</t>
        </is>
      </c>
      <c r="BI133" s="24" t="inlineStr">
        <is>
          <t>["same_event","same_team_same_day","same_league_same_day"]</t>
        </is>
      </c>
      <c r="BJ133" s="25" t="n"/>
      <c r="BK133" s="26" t="n">
        <v>-170</v>
      </c>
      <c r="BL133" s="27" t="n">
        <v>1.588235</v>
      </c>
      <c r="BM133" s="28" t="n">
        <v>0.62963</v>
      </c>
      <c r="BN133" s="28" t="n"/>
      <c r="BO133" s="28" t="n"/>
      <c r="BP133" s="25" t="n"/>
      <c r="BQ133" s="27" t="n">
        <v>1.588235</v>
      </c>
      <c r="BR133" s="28" t="n">
        <v>0.63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</row>
    <row r="134" ht="36" customHeight="1">
      <c r="A134" s="24" t="inlineStr">
        <is>
          <t>0760e59638604666</t>
        </is>
      </c>
      <c r="B134" s="24" t="inlineStr">
        <is>
          <t>2026-08-03T17:14:13.914291Z</t>
        </is>
      </c>
      <c r="C134" s="24" t="inlineStr">
        <is>
          <t>2026-08-03T19:30Z</t>
        </is>
      </c>
      <c r="D134" s="24" t="inlineStr">
        <is>
          <t>421-2026:182230</t>
        </is>
      </c>
      <c r="E134" s="24" t="inlineStr">
        <is>
          <t>TENNIS</t>
        </is>
      </c>
      <c r="F134" s="24" t="inlineStr">
        <is>
          <t>Magda Linette</t>
        </is>
      </c>
      <c r="G134" s="24" t="inlineStr">
        <is>
          <t>Carol Zhao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-1150</v>
      </c>
      <c r="M134" s="27" t="n">
        <v>1.086957</v>
      </c>
      <c r="N134" s="28" t="n">
        <v>0.92</v>
      </c>
      <c r="O134" s="28" t="n">
        <v>0.8328140000000001</v>
      </c>
      <c r="P134" s="28" t="n">
        <v>0.05</v>
      </c>
      <c r="Q134" s="28" t="n">
        <v>-0.087186</v>
      </c>
      <c r="R134" s="26" t="n">
        <v>0</v>
      </c>
      <c r="S134" s="29" t="n">
        <v>2</v>
      </c>
      <c r="T134" s="24" t="inlineStr">
        <is>
          <t>tennis-surface-elo-v1</t>
        </is>
      </c>
      <c r="U134" s="24" t="inlineStr">
        <is>
          <t>settled</t>
        </is>
      </c>
      <c r="V134" s="24" t="inlineStr">
        <is>
          <t>win</t>
        </is>
      </c>
      <c r="W134" s="26" t="n">
        <v>1</v>
      </c>
      <c r="X134" s="26" t="n">
        <v>0</v>
      </c>
      <c r="Y134" s="25" t="n"/>
      <c r="Z134" s="26" t="n">
        <v>-1150</v>
      </c>
      <c r="AA134" s="28" t="n">
        <v>0.92</v>
      </c>
      <c r="AB134" s="28" t="n">
        <v>0</v>
      </c>
      <c r="AC134" s="30" t="n">
        <v>0.1739</v>
      </c>
      <c r="AD134" s="24" t="inlineStr">
        <is>
          <t>2026-08-03T22:55:21.183851Z</t>
        </is>
      </c>
      <c r="AE134" s="31" t="inlineStr">
        <is>
          <t>Surface-blended Elo on Hard: Magda Linette p=0.833 vs Carol Zhao. Executable ask 0.9200 (aec-wta-carzha-maglin-2026-08-02).</t>
        </is>
      </c>
      <c r="AF134" s="31" t="inlineStr">
        <is>
          <t>Surface-blended Elo model; singles only, WTA+ATP market coverage, not yet locked-holdout qualified -- promoted by explicit operator directive, not genuine walk-forward validation.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NO_CALL_LOW_EDGE</t>
        </is>
      </c>
      <c r="AP134" s="24" t="inlineStr">
        <is>
          <t>Magda Linette</t>
        </is>
      </c>
      <c r="AQ134" s="24" t="inlineStr">
        <is>
          <t>Magda Linette</t>
        </is>
      </c>
      <c r="AR134" s="24" t="inlineStr">
        <is>
          <t>Magda Linette</t>
        </is>
      </c>
      <c r="AS134" s="24" t="inlineStr">
        <is>
          <t>Carol Zhao</t>
        </is>
      </c>
      <c r="AT134" s="24" t="inlineStr">
        <is>
          <t>Carol Zhao</t>
        </is>
      </c>
      <c r="AU134" s="24" t="inlineStr">
        <is>
          <t>Carol Zhao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60749ecfb3f1405f12fbceda11b7e64f2473d40dd327256f9da20b2146b6ae03</t>
        </is>
      </c>
      <c r="BB134" s="24" t="inlineStr">
        <is>
          <t>surface_blended_elo</t>
        </is>
      </c>
      <c r="BC134" s="24" t="inlineStr">
        <is>
          <t>tennis-surface-elo-v1</t>
        </is>
      </c>
      <c r="BD134" s="24" t="inlineStr">
        <is>
          <t>60749ecfb3f1405f12fbceda11b7e64f2473d40dd327256f9da20b2146b6ae03</t>
        </is>
      </c>
      <c r="BE134" s="24" t="inlineStr">
        <is>
          <t>tennis-surface-elo-v1</t>
        </is>
      </c>
      <c r="BF134" s="24" t="inlineStr">
        <is>
          <t>1</t>
        </is>
      </c>
      <c r="BG134" s="24" t="inlineStr">
        <is>
          <t>60749ecfb3f1405f12fbceda11b7e64f2473d40dd327256f9da20b2146b6ae03</t>
        </is>
      </c>
      <c r="BH134" s="24" t="inlineStr">
        <is>
          <t>2026-08-03T17:06:34.373543Z</t>
        </is>
      </c>
      <c r="BI134" s="24" t="inlineStr">
        <is>
          <t>["same_event","same_team_same_day","same_league_same_day"]</t>
        </is>
      </c>
      <c r="BJ134" s="25" t="n"/>
      <c r="BK134" s="26" t="n">
        <v>-1150</v>
      </c>
      <c r="BL134" s="27" t="n">
        <v>1.086957</v>
      </c>
      <c r="BM134" s="28" t="n">
        <v>0.92</v>
      </c>
      <c r="BN134" s="28" t="n"/>
      <c r="BO134" s="28" t="n"/>
      <c r="BP134" s="25" t="n"/>
      <c r="BQ134" s="27" t="n">
        <v>1.086957</v>
      </c>
      <c r="BR134" s="28" t="n">
        <v>0.92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2a44f8e1e32e4fbc</t>
        </is>
      </c>
      <c r="B135" s="24" t="inlineStr">
        <is>
          <t>2026-08-03T17:14:13.914291Z</t>
        </is>
      </c>
      <c r="C135" s="24" t="inlineStr">
        <is>
          <t>2026-08-03T19:30Z</t>
        </is>
      </c>
      <c r="D135" s="24" t="inlineStr">
        <is>
          <t>421-2026:182263</t>
        </is>
      </c>
      <c r="E135" s="24" t="inlineStr">
        <is>
          <t>TENNIS</t>
        </is>
      </c>
      <c r="F135" s="24" t="inlineStr">
        <is>
          <t>Liudmila Samsonova</t>
        </is>
      </c>
      <c r="G135" s="24" t="inlineStr">
        <is>
          <t>Janice Tjen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156</v>
      </c>
      <c r="M135" s="27" t="n">
        <v>2.56</v>
      </c>
      <c r="N135" s="28" t="n">
        <v>0.390625</v>
      </c>
      <c r="O135" s="28" t="n">
        <v>0.5165999999999999</v>
      </c>
      <c r="P135" s="28" t="n">
        <v>0.05</v>
      </c>
      <c r="Q135" s="28" t="n">
        <v>0.125975</v>
      </c>
      <c r="R135" s="26" t="n">
        <v>83</v>
      </c>
      <c r="S135" s="29" t="n">
        <v>1</v>
      </c>
      <c r="T135" s="24" t="inlineStr">
        <is>
          <t>tennis-surface-elo-v1</t>
        </is>
      </c>
      <c r="U135" s="24" t="inlineStr">
        <is>
          <t>settled</t>
        </is>
      </c>
      <c r="V135" s="24" t="inlineStr">
        <is>
          <t>loss</t>
        </is>
      </c>
      <c r="W135" s="26" t="n">
        <v>1</v>
      </c>
      <c r="X135" s="26" t="n">
        <v>0</v>
      </c>
      <c r="Y135" s="25" t="n"/>
      <c r="Z135" s="26" t="n">
        <v>156</v>
      </c>
      <c r="AA135" s="28" t="n">
        <v>0.39</v>
      </c>
      <c r="AB135" s="28" t="n">
        <v>-0.000625</v>
      </c>
      <c r="AC135" s="30" t="n">
        <v>-1</v>
      </c>
      <c r="AD135" s="24" t="inlineStr">
        <is>
          <t>2026-08-03T22:55:21.867837Z</t>
        </is>
      </c>
      <c r="AE135" s="31" t="inlineStr">
        <is>
          <t>Surface-blended Elo on Hard: Liudmila Samsonova p=0.483 vs Janice Tjen. Executable ask 0.3900 (aec-wta-jantje-liusam-2026-08-02).</t>
        </is>
      </c>
      <c r="AF135" s="31" t="inlineStr">
        <is>
          <t>Surface-blended Elo model; singles only, WTA+ATP market coverage, not yet locked-holdout qualified -- promoted by explicit operator directive, not genuine walk-forward validation.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NO_CALL_LOW_EDGE</t>
        </is>
      </c>
      <c r="AP135" s="24" t="inlineStr">
        <is>
          <t>Liudmila Samsonova</t>
        </is>
      </c>
      <c r="AQ135" s="24" t="inlineStr">
        <is>
          <t>Liudmila Samsonova</t>
        </is>
      </c>
      <c r="AR135" s="24" t="inlineStr">
        <is>
          <t>Liudmila Samsonova</t>
        </is>
      </c>
      <c r="AS135" s="24" t="inlineStr">
        <is>
          <t>Janice Tjen</t>
        </is>
      </c>
      <c r="AT135" s="24" t="inlineStr">
        <is>
          <t>Janice Tjen</t>
        </is>
      </c>
      <c r="AU135" s="24" t="inlineStr">
        <is>
          <t>Janice Tjen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60749ecfb3f1405f12fbceda11b7e64f2473d40dd327256f9da20b2146b6ae03</t>
        </is>
      </c>
      <c r="BB135" s="24" t="inlineStr">
        <is>
          <t>surface_blended_elo</t>
        </is>
      </c>
      <c r="BC135" s="24" t="inlineStr">
        <is>
          <t>tennis-surface-elo-v1</t>
        </is>
      </c>
      <c r="BD135" s="24" t="inlineStr">
        <is>
          <t>60749ecfb3f1405f12fbceda11b7e64f2473d40dd327256f9da20b2146b6ae03</t>
        </is>
      </c>
      <c r="BE135" s="24" t="inlineStr">
        <is>
          <t>tennis-surface-elo-v1</t>
        </is>
      </c>
      <c r="BF135" s="24" t="inlineStr">
        <is>
          <t>1</t>
        </is>
      </c>
      <c r="BG135" s="24" t="inlineStr">
        <is>
          <t>60749ecfb3f1405f12fbceda11b7e64f2473d40dd327256f9da20b2146b6ae03</t>
        </is>
      </c>
      <c r="BH135" s="24" t="inlineStr">
        <is>
          <t>2026-08-03T17:06:35.491695Z</t>
        </is>
      </c>
      <c r="BI135" s="24" t="inlineStr">
        <is>
          <t>["same_event","same_team_same_day","same_league_same_day"]</t>
        </is>
      </c>
      <c r="BJ135" s="25" t="n"/>
      <c r="BK135" s="26" t="n">
        <v>156</v>
      </c>
      <c r="BL135" s="27" t="n">
        <v>2.56</v>
      </c>
      <c r="BM135" s="28" t="n">
        <v>0.390625</v>
      </c>
      <c r="BN135" s="28" t="n"/>
      <c r="BO135" s="28" t="n"/>
      <c r="BP135" s="25" t="n"/>
      <c r="BQ135" s="27" t="n">
        <v>2.56</v>
      </c>
      <c r="BR135" s="28" t="n">
        <v>0.39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</row>
    <row r="136" ht="36" customHeight="1">
      <c r="A136" s="24" t="inlineStr">
        <is>
          <t>019313b47f6a4a82</t>
        </is>
      </c>
      <c r="B136" s="24" t="inlineStr">
        <is>
          <t>2026-08-03T17:14:13.914291Z</t>
        </is>
      </c>
      <c r="C136" s="24" t="inlineStr">
        <is>
          <t>2026-08-03T19:30Z</t>
        </is>
      </c>
      <c r="D136" s="24" t="inlineStr">
        <is>
          <t>421-2026:182276</t>
        </is>
      </c>
      <c r="E136" s="24" t="inlineStr">
        <is>
          <t>TENNIS</t>
        </is>
      </c>
      <c r="F136" s="24" t="inlineStr">
        <is>
          <t>Alycia Parks</t>
        </is>
      </c>
      <c r="G136" s="24" t="inlineStr">
        <is>
          <t>Victoria Jimenez Kasintseva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-144</v>
      </c>
      <c r="M136" s="27" t="n">
        <v>1.694444</v>
      </c>
      <c r="N136" s="28" t="n">
        <v>0.590164</v>
      </c>
      <c r="O136" s="28" t="n">
        <v>0.544148</v>
      </c>
      <c r="P136" s="28" t="n">
        <v>0.05</v>
      </c>
      <c r="Q136" s="28" t="n">
        <v>-0.046016</v>
      </c>
      <c r="R136" s="26" t="n">
        <v>0</v>
      </c>
      <c r="S136" s="29" t="n">
        <v>1</v>
      </c>
      <c r="T136" s="24" t="inlineStr">
        <is>
          <t>tennis-surface-elo-v1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-144</v>
      </c>
      <c r="AA136" s="28" t="n">
        <v>0.59</v>
      </c>
      <c r="AB136" s="28" t="n">
        <v>-0.000164</v>
      </c>
      <c r="AC136" s="30" t="n">
        <v>0.6944</v>
      </c>
      <c r="AD136" s="24" t="inlineStr">
        <is>
          <t>2026-08-03T22:55:22.548775Z</t>
        </is>
      </c>
      <c r="AE136" s="31" t="inlineStr">
        <is>
          <t>Surface-blended Elo on Hard: Alycia Parks p=0.544 vs Victoria Jimenez Kasintseva. Executable ask 0.5900 (aec-wta-vickas-alypar-2026-08-03).</t>
        </is>
      </c>
      <c r="AF136" s="31" t="inlineStr">
        <is>
          <t>Surface-blended Elo model; singles only, WTA+ATP market coverage, not yet locked-holdout qualified -- promoted by explicit operator directive, not genuine walk-forward validation.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NO_CALL_LOW_EDGE</t>
        </is>
      </c>
      <c r="AP136" s="24" t="inlineStr">
        <is>
          <t>Alycia Parks</t>
        </is>
      </c>
      <c r="AQ136" s="24" t="inlineStr">
        <is>
          <t>Alycia Parks</t>
        </is>
      </c>
      <c r="AR136" s="24" t="inlineStr">
        <is>
          <t>Alycia Parks</t>
        </is>
      </c>
      <c r="AS136" s="24" t="inlineStr">
        <is>
          <t>Victoria Jimenez Kasintseva</t>
        </is>
      </c>
      <c r="AT136" s="24" t="inlineStr">
        <is>
          <t>Victoria Jimenez Kasintseva</t>
        </is>
      </c>
      <c r="AU136" s="24" t="inlineStr">
        <is>
          <t>Victoria Jimenez Kasintseva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60749ecfb3f1405f12fbceda11b7e64f2473d40dd327256f9da20b2146b6ae03</t>
        </is>
      </c>
      <c r="BB136" s="24" t="inlineStr">
        <is>
          <t>surface_blended_elo</t>
        </is>
      </c>
      <c r="BC136" s="24" t="inlineStr">
        <is>
          <t>tennis-surface-elo-v1</t>
        </is>
      </c>
      <c r="BD136" s="24" t="inlineStr">
        <is>
          <t>60749ecfb3f1405f12fbceda11b7e64f2473d40dd327256f9da20b2146b6ae03</t>
        </is>
      </c>
      <c r="BE136" s="24" t="inlineStr">
        <is>
          <t>tennis-surface-elo-v1</t>
        </is>
      </c>
      <c r="BF136" s="24" t="inlineStr">
        <is>
          <t>1</t>
        </is>
      </c>
      <c r="BG136" s="24" t="inlineStr">
        <is>
          <t>60749ecfb3f1405f12fbceda11b7e64f2473d40dd327256f9da20b2146b6ae03</t>
        </is>
      </c>
      <c r="BH136" s="24" t="inlineStr">
        <is>
          <t>2026-08-03T17:06:36.132167Z</t>
        </is>
      </c>
      <c r="BI136" s="24" t="inlineStr">
        <is>
          <t>["same_event","same_team_same_day","same_league_same_day"]</t>
        </is>
      </c>
      <c r="BJ136" s="25" t="n"/>
      <c r="BK136" s="26" t="n">
        <v>-144</v>
      </c>
      <c r="BL136" s="27" t="n">
        <v>1.694444</v>
      </c>
      <c r="BM136" s="28" t="n">
        <v>0.590164</v>
      </c>
      <c r="BN136" s="28" t="n"/>
      <c r="BO136" s="28" t="n"/>
      <c r="BP136" s="25" t="n"/>
      <c r="BQ136" s="27" t="n">
        <v>1.694444</v>
      </c>
      <c r="BR136" s="28" t="n">
        <v>0.59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2e6043376fdd4142</t>
        </is>
      </c>
      <c r="B137" s="24" t="inlineStr">
        <is>
          <t>2026-08-03T17:14:13.914291Z</t>
        </is>
      </c>
      <c r="C137" s="24" t="inlineStr">
        <is>
          <t>2026-08-03T18:00Z</t>
        </is>
      </c>
      <c r="D137" s="24" t="inlineStr">
        <is>
          <t>421-2026:181779</t>
        </is>
      </c>
      <c r="E137" s="24" t="inlineStr">
        <is>
          <t>TENNIS</t>
        </is>
      </c>
      <c r="F137" s="24" t="inlineStr">
        <is>
          <t>Miomir Kecmanovic</t>
        </is>
      </c>
      <c r="G137" s="24" t="inlineStr">
        <is>
          <t>Michael Zheng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-133</v>
      </c>
      <c r="M137" s="27" t="n">
        <v>1.75188</v>
      </c>
      <c r="N137" s="28" t="n">
        <v>0.570815</v>
      </c>
      <c r="O137" s="28" t="n">
        <v>0.537166</v>
      </c>
      <c r="P137" s="28" t="n">
        <v>0.05</v>
      </c>
      <c r="Q137" s="28" t="n">
        <v>-0.033649</v>
      </c>
      <c r="R137" s="26" t="n">
        <v>3</v>
      </c>
      <c r="S137" s="29" t="n">
        <v>1</v>
      </c>
      <c r="T137" s="24" t="inlineStr">
        <is>
          <t>tennis-surface-elo-v1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>
        <v>-133</v>
      </c>
      <c r="AA137" s="28" t="n">
        <v>0.57</v>
      </c>
      <c r="AB137" s="28" t="n">
        <v>-0.000815</v>
      </c>
      <c r="AC137" s="30" t="n">
        <v>-1</v>
      </c>
      <c r="AD137" s="24" t="inlineStr">
        <is>
          <t>2026-08-04T01:58:27.838352Z</t>
        </is>
      </c>
      <c r="AE137" s="31" t="inlineStr">
        <is>
          <t>Surface-blended Elo on Hard: Miomir Kecmanovic p=0.463 vs Michael Zheng. Executable ask 0.5700 (aec-atp-miczhe-miokec-2026-08-02).</t>
        </is>
      </c>
      <c r="AF137" s="31" t="inlineStr">
        <is>
          <t>Surface-blended Elo model; singles only, WTA+ATP market coverage, not yet locked-holdout qualified -- promoted by explicit operator directive, not genuine walk-forward validation.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NO_CALL_LOW_EDGE</t>
        </is>
      </c>
      <c r="AP137" s="24" t="inlineStr">
        <is>
          <t>Miomir Kecmanovic</t>
        </is>
      </c>
      <c r="AQ137" s="24" t="inlineStr">
        <is>
          <t>Miomir Kecmanovic</t>
        </is>
      </c>
      <c r="AR137" s="24" t="inlineStr">
        <is>
          <t>Miomir Kecmanovic</t>
        </is>
      </c>
      <c r="AS137" s="24" t="inlineStr">
        <is>
          <t>Michael Zheng</t>
        </is>
      </c>
      <c r="AT137" s="24" t="inlineStr">
        <is>
          <t>Michael Zheng</t>
        </is>
      </c>
      <c r="AU137" s="24" t="inlineStr">
        <is>
          <t>Michael Zheng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60749ecfb3f1405f12fbceda11b7e64f2473d40dd327256f9da20b2146b6ae03</t>
        </is>
      </c>
      <c r="BB137" s="24" t="inlineStr">
        <is>
          <t>surface_blended_elo</t>
        </is>
      </c>
      <c r="BC137" s="24" t="inlineStr">
        <is>
          <t>tennis-surface-elo-v1</t>
        </is>
      </c>
      <c r="BD137" s="24" t="inlineStr">
        <is>
          <t>60749ecfb3f1405f12fbceda11b7e64f2473d40dd327256f9da20b2146b6ae03</t>
        </is>
      </c>
      <c r="BE137" s="24" t="inlineStr">
        <is>
          <t>tennis-surface-elo-v1</t>
        </is>
      </c>
      <c r="BF137" s="24" t="inlineStr">
        <is>
          <t>1</t>
        </is>
      </c>
      <c r="BG137" s="24" t="inlineStr">
        <is>
          <t>60749ecfb3f1405f12fbceda11b7e64f2473d40dd327256f9da20b2146b6ae03</t>
        </is>
      </c>
      <c r="BH137" s="24" t="inlineStr">
        <is>
          <t>2026-08-03T17:06:48.092968Z</t>
        </is>
      </c>
      <c r="BI137" s="24" t="inlineStr">
        <is>
          <t>["same_event","same_team_same_day","same_league_same_day"]</t>
        </is>
      </c>
      <c r="BJ137" s="25" t="n"/>
      <c r="BK137" s="26" t="n">
        <v>-133</v>
      </c>
      <c r="BL137" s="27" t="n">
        <v>1.75188</v>
      </c>
      <c r="BM137" s="28" t="n">
        <v>0.570815</v>
      </c>
      <c r="BN137" s="28" t="n"/>
      <c r="BO137" s="28" t="n"/>
      <c r="BP137" s="25" t="n"/>
      <c r="BQ137" s="27" t="n">
        <v>1.75188</v>
      </c>
      <c r="BR137" s="28" t="n">
        <v>0.57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</row>
    <row r="138" ht="36" customHeight="1">
      <c r="A138" s="24" t="inlineStr">
        <is>
          <t>f6b47ff5c22743f5</t>
        </is>
      </c>
      <c r="B138" s="24" t="inlineStr">
        <is>
          <t>2026-08-03T17:14:13.914291Z</t>
        </is>
      </c>
      <c r="C138" s="24" t="inlineStr">
        <is>
          <t>2026-08-03T18:00Z</t>
        </is>
      </c>
      <c r="D138" s="24" t="inlineStr">
        <is>
          <t>421-2026:181783</t>
        </is>
      </c>
      <c r="E138" s="24" t="inlineStr">
        <is>
          <t>TENNIS</t>
        </is>
      </c>
      <c r="F138" s="24" t="inlineStr">
        <is>
          <t>Daniel Altmaier</t>
        </is>
      </c>
      <c r="G138" s="24" t="inlineStr">
        <is>
          <t>Aleksandar Vukic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144</v>
      </c>
      <c r="M138" s="27" t="n">
        <v>2.44</v>
      </c>
      <c r="N138" s="28" t="n">
        <v>0.409836</v>
      </c>
      <c r="O138" s="28" t="n">
        <v>0.5040750000000001</v>
      </c>
      <c r="P138" s="28" t="n">
        <v>0.05</v>
      </c>
      <c r="Q138" s="28" t="n">
        <v>0.094239</v>
      </c>
      <c r="R138" s="26" t="n">
        <v>67</v>
      </c>
      <c r="S138" s="29" t="n">
        <v>1</v>
      </c>
      <c r="T138" s="24" t="inlineStr">
        <is>
          <t>tennis-surface-elo-v1</t>
        </is>
      </c>
      <c r="U138" s="24" t="inlineStr">
        <is>
          <t>settled</t>
        </is>
      </c>
      <c r="V138" s="24" t="inlineStr">
        <is>
          <t>win</t>
        </is>
      </c>
      <c r="W138" s="26" t="n">
        <v>1</v>
      </c>
      <c r="X138" s="26" t="n">
        <v>0</v>
      </c>
      <c r="Y138" s="25" t="n"/>
      <c r="Z138" s="26" t="n">
        <v>144</v>
      </c>
      <c r="AA138" s="28" t="n">
        <v>0.41</v>
      </c>
      <c r="AB138" s="28" t="n">
        <v>0.000164</v>
      </c>
      <c r="AC138" s="30" t="n">
        <v>1.44</v>
      </c>
      <c r="AD138" s="24" t="inlineStr">
        <is>
          <t>2026-08-04T03:57:50.487161Z</t>
        </is>
      </c>
      <c r="AE138" s="31" t="inlineStr">
        <is>
          <t>Surface-blended Elo on Hard: Daniel Altmaier p=0.504 vs Aleksandar Vukic. Executable ask 0.4100 (aec-atp-alevuk-danalt-2026-08-02).</t>
        </is>
      </c>
      <c r="AF138" s="31" t="inlineStr">
        <is>
          <t>Surface-blended Elo model; singles only, WTA+ATP market coverage, not yet locked-holdout qualified -- promoted by explicit operator directive, not genuine walk-forward validation.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NO_CALL_LOW_EDGE</t>
        </is>
      </c>
      <c r="AP138" s="24" t="inlineStr">
        <is>
          <t>Daniel Altmaier</t>
        </is>
      </c>
      <c r="AQ138" s="24" t="inlineStr">
        <is>
          <t>Daniel Altmaier</t>
        </is>
      </c>
      <c r="AR138" s="24" t="inlineStr">
        <is>
          <t>Daniel Altmaier</t>
        </is>
      </c>
      <c r="AS138" s="24" t="inlineStr">
        <is>
          <t>Aleksandar Vukic</t>
        </is>
      </c>
      <c r="AT138" s="24" t="inlineStr">
        <is>
          <t>Aleksandar Vukic</t>
        </is>
      </c>
      <c r="AU138" s="24" t="inlineStr">
        <is>
          <t>Aleksandar Vukic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60749ecfb3f1405f12fbceda11b7e64f2473d40dd327256f9da20b2146b6ae03</t>
        </is>
      </c>
      <c r="BB138" s="24" t="inlineStr">
        <is>
          <t>surface_blended_elo</t>
        </is>
      </c>
      <c r="BC138" s="24" t="inlineStr">
        <is>
          <t>tennis-surface-elo-v1</t>
        </is>
      </c>
      <c r="BD138" s="24" t="inlineStr">
        <is>
          <t>60749ecfb3f1405f12fbceda11b7e64f2473d40dd327256f9da20b2146b6ae03</t>
        </is>
      </c>
      <c r="BE138" s="24" t="inlineStr">
        <is>
          <t>tennis-surface-elo-v1</t>
        </is>
      </c>
      <c r="BF138" s="24" t="inlineStr">
        <is>
          <t>1</t>
        </is>
      </c>
      <c r="BG138" s="24" t="inlineStr">
        <is>
          <t>60749ecfb3f1405f12fbceda11b7e64f2473d40dd327256f9da20b2146b6ae03</t>
        </is>
      </c>
      <c r="BH138" s="24" t="inlineStr">
        <is>
          <t>2026-08-03T17:06:49.314441Z</t>
        </is>
      </c>
      <c r="BI138" s="24" t="inlineStr">
        <is>
          <t>["same_event","same_team_same_day","same_league_same_day"]</t>
        </is>
      </c>
      <c r="BJ138" s="25" t="n"/>
      <c r="BK138" s="26" t="n">
        <v>144</v>
      </c>
      <c r="BL138" s="27" t="n">
        <v>2.44</v>
      </c>
      <c r="BM138" s="28" t="n">
        <v>0.409836</v>
      </c>
      <c r="BN138" s="28" t="n"/>
      <c r="BO138" s="28" t="n"/>
      <c r="BP138" s="25" t="n"/>
      <c r="BQ138" s="27" t="n">
        <v>2.44</v>
      </c>
      <c r="BR138" s="28" t="n">
        <v>0.41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</row>
    <row r="139" ht="36" customHeight="1">
      <c r="A139" s="24" t="inlineStr">
        <is>
          <t>fcd89a854aa248c7</t>
        </is>
      </c>
      <c r="B139" s="24" t="inlineStr">
        <is>
          <t>2026-08-03T17:14:13.914291Z</t>
        </is>
      </c>
      <c r="C139" s="24" t="inlineStr">
        <is>
          <t>2026-08-03T18:00Z</t>
        </is>
      </c>
      <c r="D139" s="24" t="inlineStr">
        <is>
          <t>421-2026:181794</t>
        </is>
      </c>
      <c r="E139" s="24" t="inlineStr">
        <is>
          <t>TENNIS</t>
        </is>
      </c>
      <c r="F139" s="24" t="inlineStr">
        <is>
          <t>Nuno Borges</t>
        </is>
      </c>
      <c r="G139" s="24" t="inlineStr">
        <is>
          <t>Aleksandar Kovacevic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-317</v>
      </c>
      <c r="M139" s="27" t="n">
        <v>1.315457</v>
      </c>
      <c r="N139" s="28" t="n">
        <v>0.760192</v>
      </c>
      <c r="O139" s="28" t="n">
        <v>0.654976</v>
      </c>
      <c r="P139" s="28" t="n">
        <v>0.05</v>
      </c>
      <c r="Q139" s="28" t="n">
        <v>-0.105216</v>
      </c>
      <c r="R139" s="26" t="n">
        <v>0</v>
      </c>
      <c r="S139" s="29" t="n">
        <v>1.75</v>
      </c>
      <c r="T139" s="24" t="inlineStr">
        <is>
          <t>tennis-surface-elo-v1</t>
        </is>
      </c>
      <c r="U139" s="24" t="inlineStr">
        <is>
          <t>settled</t>
        </is>
      </c>
      <c r="V139" s="24" t="inlineStr">
        <is>
          <t>win</t>
        </is>
      </c>
      <c r="W139" s="26" t="n">
        <v>1</v>
      </c>
      <c r="X139" s="26" t="n">
        <v>0</v>
      </c>
      <c r="Y139" s="25" t="n"/>
      <c r="Z139" s="26" t="n">
        <v>-317</v>
      </c>
      <c r="AA139" s="28" t="n">
        <v>0.76</v>
      </c>
      <c r="AB139" s="28" t="n">
        <v>-0.000192</v>
      </c>
      <c r="AC139" s="30" t="n">
        <v>0.552</v>
      </c>
      <c r="AD139" s="24" t="inlineStr">
        <is>
          <t>2026-08-04T01:58:28.547350Z</t>
        </is>
      </c>
      <c r="AE139" s="31" t="inlineStr">
        <is>
          <t>Surface-blended Elo on Hard: Nuno Borges p=0.655 vs Aleksandar Kovacevic. Executable ask 0.7600 (aec-atp-alekov-nunbor-2026-08-03).</t>
        </is>
      </c>
      <c r="AF139" s="31" t="inlineStr">
        <is>
          <t>Surface-blended Elo model; singles only, WTA+ATP market coverage, not yet locked-holdout qualified -- promoted by explicit operator directive, not genuine walk-forward validation.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NO_CALL_LOW_EDGE</t>
        </is>
      </c>
      <c r="AP139" s="24" t="inlineStr">
        <is>
          <t>Nuno Borges</t>
        </is>
      </c>
      <c r="AQ139" s="24" t="inlineStr">
        <is>
          <t>Nuno Borges</t>
        </is>
      </c>
      <c r="AR139" s="24" t="inlineStr">
        <is>
          <t>Nuno Borges</t>
        </is>
      </c>
      <c r="AS139" s="24" t="inlineStr">
        <is>
          <t>Aleksandar Kovacevic</t>
        </is>
      </c>
      <c r="AT139" s="24" t="inlineStr">
        <is>
          <t>Aleksandar Kovacevic</t>
        </is>
      </c>
      <c r="AU139" s="24" t="inlineStr">
        <is>
          <t>Aleksandar Kovacevic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60749ecfb3f1405f12fbceda11b7e64f2473d40dd327256f9da20b2146b6ae03</t>
        </is>
      </c>
      <c r="BB139" s="24" t="inlineStr">
        <is>
          <t>surface_blended_elo</t>
        </is>
      </c>
      <c r="BC139" s="24" t="inlineStr">
        <is>
          <t>tennis-surface-elo-v1</t>
        </is>
      </c>
      <c r="BD139" s="24" t="inlineStr">
        <is>
          <t>60749ecfb3f1405f12fbceda11b7e64f2473d40dd327256f9da20b2146b6ae03</t>
        </is>
      </c>
      <c r="BE139" s="24" t="inlineStr">
        <is>
          <t>tennis-surface-elo-v1</t>
        </is>
      </c>
      <c r="BF139" s="24" t="inlineStr">
        <is>
          <t>1</t>
        </is>
      </c>
      <c r="BG139" s="24" t="inlineStr">
        <is>
          <t>60749ecfb3f1405f12fbceda11b7e64f2473d40dd327256f9da20b2146b6ae03</t>
        </is>
      </c>
      <c r="BH139" s="24" t="inlineStr">
        <is>
          <t>2026-08-03T17:06:46.594408Z</t>
        </is>
      </c>
      <c r="BI139" s="24" t="inlineStr">
        <is>
          <t>["same_event","same_team_same_day","same_league_same_day"]</t>
        </is>
      </c>
      <c r="BJ139" s="25" t="n"/>
      <c r="BK139" s="26" t="n">
        <v>-317</v>
      </c>
      <c r="BL139" s="27" t="n">
        <v>1.315457</v>
      </c>
      <c r="BM139" s="28" t="n">
        <v>0.760192</v>
      </c>
      <c r="BN139" s="28" t="n"/>
      <c r="BO139" s="28" t="n"/>
      <c r="BP139" s="25" t="n"/>
      <c r="BQ139" s="27" t="n">
        <v>1.315457</v>
      </c>
      <c r="BR139" s="28" t="n">
        <v>0.76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</row>
    <row r="140" ht="36" customHeight="1">
      <c r="A140" s="24" t="inlineStr">
        <is>
          <t>0f2e7d8cb81b4def</t>
        </is>
      </c>
      <c r="B140" s="24" t="inlineStr">
        <is>
          <t>2026-08-03T17:14:13.914291Z</t>
        </is>
      </c>
      <c r="C140" s="24" t="inlineStr">
        <is>
          <t>2026-08-03T18:00Z</t>
        </is>
      </c>
      <c r="D140" s="24" t="inlineStr">
        <is>
          <t>421-2026:181798</t>
        </is>
      </c>
      <c r="E140" s="24" t="inlineStr">
        <is>
          <t>TENNIS</t>
        </is>
      </c>
      <c r="F140" s="24" t="inlineStr">
        <is>
          <t>Yannick Hanfmann</t>
        </is>
      </c>
      <c r="G140" s="24" t="inlineStr">
        <is>
          <t>Benjamin Bonzi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-117</v>
      </c>
      <c r="M140" s="27" t="n">
        <v>1.854701</v>
      </c>
      <c r="N140" s="28" t="n">
        <v>0.539171</v>
      </c>
      <c r="O140" s="28" t="n">
        <v>0.552246</v>
      </c>
      <c r="P140" s="28" t="n">
        <v>0.05</v>
      </c>
      <c r="Q140" s="28" t="n">
        <v>0.013075</v>
      </c>
      <c r="R140" s="26" t="n">
        <v>27</v>
      </c>
      <c r="S140" s="29" t="n">
        <v>1</v>
      </c>
      <c r="T140" s="24" t="inlineStr">
        <is>
          <t>tennis-surface-elo-v1</t>
        </is>
      </c>
      <c r="U140" s="24" t="inlineStr">
        <is>
          <t>settled</t>
        </is>
      </c>
      <c r="V140" s="24" t="inlineStr">
        <is>
          <t>win</t>
        </is>
      </c>
      <c r="W140" s="26" t="n">
        <v>1</v>
      </c>
      <c r="X140" s="26" t="n">
        <v>0</v>
      </c>
      <c r="Y140" s="25" t="n"/>
      <c r="Z140" s="26" t="n">
        <v>-117</v>
      </c>
      <c r="AA140" s="28" t="n">
        <v>0.54</v>
      </c>
      <c r="AB140" s="28" t="n">
        <v>0.000829</v>
      </c>
      <c r="AC140" s="30" t="n">
        <v>0.8547</v>
      </c>
      <c r="AD140" s="24" t="inlineStr">
        <is>
          <t>2026-08-04T01:58:29.260517Z</t>
        </is>
      </c>
      <c r="AE140" s="31" t="inlineStr">
        <is>
          <t>Surface-blended Elo on Hard: Yannick Hanfmann p=0.552 vs Benjamin Bonzi. Executable ask 0.5400 (aec-atp-benbon-yanhan-2026-08-02).</t>
        </is>
      </c>
      <c r="AF140" s="31" t="inlineStr">
        <is>
          <t>Surface-blended Elo model; singles only, WTA+ATP market coverage, not yet locked-holdout qualified -- promoted by explicit operator directive, not genuine walk-forward validation.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NO_CALL_LOW_EDGE</t>
        </is>
      </c>
      <c r="AP140" s="24" t="inlineStr">
        <is>
          <t>Yannick Hanfmann</t>
        </is>
      </c>
      <c r="AQ140" s="24" t="inlineStr">
        <is>
          <t>Yannick Hanfmann</t>
        </is>
      </c>
      <c r="AR140" s="24" t="inlineStr">
        <is>
          <t>Yannick Hanfmann</t>
        </is>
      </c>
      <c r="AS140" s="24" t="inlineStr">
        <is>
          <t>Benjamin Bonzi</t>
        </is>
      </c>
      <c r="AT140" s="24" t="inlineStr">
        <is>
          <t>Benjamin Bonzi</t>
        </is>
      </c>
      <c r="AU140" s="24" t="inlineStr">
        <is>
          <t>Benjamin Bonzi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60749ecfb3f1405f12fbceda11b7e64f2473d40dd327256f9da20b2146b6ae03</t>
        </is>
      </c>
      <c r="BB140" s="24" t="inlineStr">
        <is>
          <t>surface_blended_elo</t>
        </is>
      </c>
      <c r="BC140" s="24" t="inlineStr">
        <is>
          <t>tennis-surface-elo-v1</t>
        </is>
      </c>
      <c r="BD140" s="24" t="inlineStr">
        <is>
          <t>60749ecfb3f1405f12fbceda11b7e64f2473d40dd327256f9da20b2146b6ae03</t>
        </is>
      </c>
      <c r="BE140" s="24" t="inlineStr">
        <is>
          <t>tennis-surface-elo-v1</t>
        </is>
      </c>
      <c r="BF140" s="24" t="inlineStr">
        <is>
          <t>1</t>
        </is>
      </c>
      <c r="BG140" s="24" t="inlineStr">
        <is>
          <t>60749ecfb3f1405f12fbceda11b7e64f2473d40dd327256f9da20b2146b6ae03</t>
        </is>
      </c>
      <c r="BH140" s="24" t="inlineStr">
        <is>
          <t>2026-08-03T17:06:47.159099Z</t>
        </is>
      </c>
      <c r="BI140" s="24" t="inlineStr">
        <is>
          <t>["same_event","same_team_same_day","same_league_same_day"]</t>
        </is>
      </c>
      <c r="BJ140" s="25" t="n"/>
      <c r="BK140" s="26" t="n">
        <v>-117</v>
      </c>
      <c r="BL140" s="27" t="n">
        <v>1.854701</v>
      </c>
      <c r="BM140" s="28" t="n">
        <v>0.539171</v>
      </c>
      <c r="BN140" s="28" t="n"/>
      <c r="BO140" s="28" t="n"/>
      <c r="BP140" s="25" t="n"/>
      <c r="BQ140" s="27" t="n">
        <v>1.854701</v>
      </c>
      <c r="BR140" s="28" t="n">
        <v>0.54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</row>
    <row r="141" ht="36" customHeight="1">
      <c r="A141" s="24" t="inlineStr">
        <is>
          <t>c6c4aeca1e56491f</t>
        </is>
      </c>
      <c r="B141" s="24" t="inlineStr">
        <is>
          <t>2026-08-03T17:14:13.914291Z</t>
        </is>
      </c>
      <c r="C141" s="24" t="inlineStr">
        <is>
          <t>2026-08-03T19:30Z</t>
        </is>
      </c>
      <c r="D141" s="24" t="inlineStr">
        <is>
          <t>421-2026:181814</t>
        </is>
      </c>
      <c r="E141" s="24" t="inlineStr">
        <is>
          <t>TENNIS</t>
        </is>
      </c>
      <c r="F141" s="24" t="inlineStr">
        <is>
          <t>Jan-Lennard Struff</t>
        </is>
      </c>
      <c r="G141" s="24" t="inlineStr">
        <is>
          <t>Alex Michelsen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-285</v>
      </c>
      <c r="M141" s="27" t="n">
        <v>1.350877</v>
      </c>
      <c r="N141" s="28" t="n">
        <v>0.74026</v>
      </c>
      <c r="O141" s="28" t="n">
        <v>0.601492</v>
      </c>
      <c r="P141" s="28" t="n">
        <v>0.05</v>
      </c>
      <c r="Q141" s="28" t="n">
        <v>-0.138768</v>
      </c>
      <c r="R141" s="26" t="n">
        <v>0</v>
      </c>
      <c r="S141" s="29" t="n">
        <v>1.25</v>
      </c>
      <c r="T141" s="24" t="inlineStr">
        <is>
          <t>tennis-surface-elo-v1</t>
        </is>
      </c>
      <c r="U141" s="24" t="inlineStr">
        <is>
          <t>settled</t>
        </is>
      </c>
      <c r="V141" s="24" t="inlineStr">
        <is>
          <t>win</t>
        </is>
      </c>
      <c r="W141" s="26" t="n">
        <v>0</v>
      </c>
      <c r="X141" s="26" t="n">
        <v>1</v>
      </c>
      <c r="Y141" s="25" t="n"/>
      <c r="Z141" s="26" t="n">
        <v>-285</v>
      </c>
      <c r="AA141" s="28" t="n">
        <v>0.74</v>
      </c>
      <c r="AB141" s="28" t="n">
        <v>-0.00026</v>
      </c>
      <c r="AC141" s="30" t="n">
        <v>0.4386</v>
      </c>
      <c r="AD141" s="24" t="inlineStr">
        <is>
          <t>2026-08-04T03:57:51.249046Z</t>
        </is>
      </c>
      <c r="AE141" s="31" t="inlineStr">
        <is>
          <t>Surface-blended Elo on Hard: Jan-Lennard Struff p=0.399 vs Alex Michelsen. Executable ask 0.7400 (aec-atp-alemic-janstr-2026-08-03).</t>
        </is>
      </c>
      <c r="AF141" s="31" t="inlineStr">
        <is>
          <t>Surface-blended Elo model; singles only, WTA+ATP market coverage, not yet locked-holdout qualified -- promoted by explicit operator directive, not genuine walk-forward validation.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NO_CALL_LOW_EDGE</t>
        </is>
      </c>
      <c r="AP141" s="24" t="inlineStr">
        <is>
          <t>Jan-Lennard Struff</t>
        </is>
      </c>
      <c r="AQ141" s="24" t="inlineStr">
        <is>
          <t>Jan-Lennard Struff</t>
        </is>
      </c>
      <c r="AR141" s="24" t="inlineStr">
        <is>
          <t>Jan-Lennard Struff</t>
        </is>
      </c>
      <c r="AS141" s="24" t="inlineStr">
        <is>
          <t>Alex Michelsen</t>
        </is>
      </c>
      <c r="AT141" s="24" t="inlineStr">
        <is>
          <t>Alex Michelsen</t>
        </is>
      </c>
      <c r="AU141" s="24" t="inlineStr">
        <is>
          <t>Alex Michelsen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60749ecfb3f1405f12fbceda11b7e64f2473d40dd327256f9da20b2146b6ae03</t>
        </is>
      </c>
      <c r="BB141" s="24" t="inlineStr">
        <is>
          <t>surface_blended_elo</t>
        </is>
      </c>
      <c r="BC141" s="24" t="inlineStr">
        <is>
          <t>tennis-surface-elo-v1</t>
        </is>
      </c>
      <c r="BD141" s="24" t="inlineStr">
        <is>
          <t>60749ecfb3f1405f12fbceda11b7e64f2473d40dd327256f9da20b2146b6ae03</t>
        </is>
      </c>
      <c r="BE141" s="24" t="inlineStr">
        <is>
          <t>tennis-surface-elo-v1</t>
        </is>
      </c>
      <c r="BF141" s="24" t="inlineStr">
        <is>
          <t>1</t>
        </is>
      </c>
      <c r="BG141" s="24" t="inlineStr">
        <is>
          <t>60749ecfb3f1405f12fbceda11b7e64f2473d40dd327256f9da20b2146b6ae03</t>
        </is>
      </c>
      <c r="BH141" s="24" t="inlineStr">
        <is>
          <t>2026-08-03T17:06:53.846578Z</t>
        </is>
      </c>
      <c r="BI141" s="24" t="inlineStr">
        <is>
          <t>["same_event","same_team_same_day","same_league_same_day"]</t>
        </is>
      </c>
      <c r="BJ141" s="25" t="n"/>
      <c r="BK141" s="26" t="n">
        <v>-285</v>
      </c>
      <c r="BL141" s="27" t="n">
        <v>1.350877</v>
      </c>
      <c r="BM141" s="28" t="n">
        <v>0.74026</v>
      </c>
      <c r="BN141" s="28" t="n"/>
      <c r="BO141" s="28" t="n"/>
      <c r="BP141" s="25" t="n"/>
      <c r="BQ141" s="27" t="n">
        <v>1.350877</v>
      </c>
      <c r="BR141" s="28" t="n">
        <v>0.74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</row>
    <row r="142" ht="36" customHeight="1">
      <c r="A142" s="24" t="inlineStr">
        <is>
          <t>c09c666090d04f68</t>
        </is>
      </c>
      <c r="B142" s="24" t="inlineStr">
        <is>
          <t>2026-08-03T17:14:13.914291Z</t>
        </is>
      </c>
      <c r="C142" s="24" t="inlineStr">
        <is>
          <t>2026-08-03T19:30Z</t>
        </is>
      </c>
      <c r="D142" s="24" t="inlineStr">
        <is>
          <t>421-2026:181828</t>
        </is>
      </c>
      <c r="E142" s="24" t="inlineStr">
        <is>
          <t>TENNIS</t>
        </is>
      </c>
      <c r="F142" s="24" t="inlineStr">
        <is>
          <t>Adrian Mannarino</t>
        </is>
      </c>
      <c r="G142" s="24" t="inlineStr">
        <is>
          <t>Jacob Fearnley</t>
        </is>
      </c>
      <c r="H142" s="24" t="inlineStr">
        <is>
          <t>moneyline</t>
        </is>
      </c>
      <c r="I142" s="24" t="inlineStr">
        <is>
          <t>away</t>
        </is>
      </c>
      <c r="J142" s="25" t="n"/>
      <c r="K142" s="24" t="inlineStr">
        <is>
          <t>polymarket_us</t>
        </is>
      </c>
      <c r="L142" s="26" t="n">
        <v>150</v>
      </c>
      <c r="M142" s="27" t="n">
        <v>2.5</v>
      </c>
      <c r="N142" s="28" t="n">
        <v>0.4</v>
      </c>
      <c r="O142" s="28" t="n">
        <v>0.564895</v>
      </c>
      <c r="P142" s="28" t="n">
        <v>0.05</v>
      </c>
      <c r="Q142" s="28" t="n">
        <v>0.164895</v>
      </c>
      <c r="R142" s="26" t="n">
        <v>100</v>
      </c>
      <c r="S142" s="29" t="n">
        <v>1</v>
      </c>
      <c r="T142" s="24" t="inlineStr">
        <is>
          <t>tennis-surface-elo-v1</t>
        </is>
      </c>
      <c r="U142" s="24" t="inlineStr">
        <is>
          <t>settled</t>
        </is>
      </c>
      <c r="V142" s="24" t="inlineStr">
        <is>
          <t>loss</t>
        </is>
      </c>
      <c r="W142" s="26" t="n">
        <v>0</v>
      </c>
      <c r="X142" s="26" t="n">
        <v>1</v>
      </c>
      <c r="Y142" s="25" t="n"/>
      <c r="Z142" s="26" t="n">
        <v>150</v>
      </c>
      <c r="AA142" s="28" t="n">
        <v>0.4</v>
      </c>
      <c r="AB142" s="28" t="n">
        <v>0</v>
      </c>
      <c r="AC142" s="30" t="n">
        <v>-1</v>
      </c>
      <c r="AD142" s="24" t="inlineStr">
        <is>
          <t>2026-08-04T21:58:41.993395Z</t>
        </is>
      </c>
      <c r="AE142" s="31" t="inlineStr">
        <is>
          <t>Surface-blended Elo on Hard: Adrian Mannarino p=0.565 vs Jacob Fearnley. Executable ask 0.4000 (aec-atp-jacfea-adrman-2026-08-03).</t>
        </is>
      </c>
      <c r="AF142" s="31" t="inlineStr">
        <is>
          <t>Surface-blended Elo model; singles only, WTA+ATP market coverage, not yet locked-holdout qualified -- promoted by explicit operator directive, not genuine walk-forward validation.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Adrian Mannarino</t>
        </is>
      </c>
      <c r="AQ142" s="24" t="inlineStr">
        <is>
          <t>Adrian Mannarino</t>
        </is>
      </c>
      <c r="AR142" s="24" t="inlineStr">
        <is>
          <t>Adrian Mannarino</t>
        </is>
      </c>
      <c r="AS142" s="24" t="inlineStr">
        <is>
          <t>Jacob Fearnley</t>
        </is>
      </c>
      <c r="AT142" s="24" t="inlineStr">
        <is>
          <t>Jacob Fearnley</t>
        </is>
      </c>
      <c r="AU142" s="24" t="inlineStr">
        <is>
          <t>Jacob Fearnley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60749ecfb3f1405f12fbceda11b7e64f2473d40dd327256f9da20b2146b6ae03</t>
        </is>
      </c>
      <c r="BB142" s="24" t="inlineStr">
        <is>
          <t>surface_blended_elo</t>
        </is>
      </c>
      <c r="BC142" s="24" t="inlineStr">
        <is>
          <t>tennis-surface-elo-v1</t>
        </is>
      </c>
      <c r="BD142" s="24" t="inlineStr">
        <is>
          <t>60749ecfb3f1405f12fbceda11b7e64f2473d40dd327256f9da20b2146b6ae03</t>
        </is>
      </c>
      <c r="BE142" s="24" t="inlineStr">
        <is>
          <t>tennis-surface-elo-v1</t>
        </is>
      </c>
      <c r="BF142" s="24" t="inlineStr">
        <is>
          <t>1</t>
        </is>
      </c>
      <c r="BG142" s="24" t="inlineStr">
        <is>
          <t>60749ecfb3f1405f12fbceda11b7e64f2473d40dd327256f9da20b2146b6ae03</t>
        </is>
      </c>
      <c r="BH142" s="24" t="inlineStr">
        <is>
          <t>2026-08-03T17:06:52.299848Z</t>
        </is>
      </c>
      <c r="BI142" s="24" t="inlineStr">
        <is>
          <t>["same_event","same_team_same_day","same_league_same_day"]</t>
        </is>
      </c>
      <c r="BJ142" s="25" t="n"/>
      <c r="BK142" s="26" t="n">
        <v>150</v>
      </c>
      <c r="BL142" s="27" t="n">
        <v>2.5</v>
      </c>
      <c r="BM142" s="28" t="n">
        <v>0.4</v>
      </c>
      <c r="BN142" s="28" t="n"/>
      <c r="BO142" s="28" t="n"/>
      <c r="BP142" s="25" t="n"/>
      <c r="BQ142" s="27" t="n">
        <v>2.5</v>
      </c>
      <c r="BR142" s="28" t="n">
        <v>0.4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c46b7d7960934c4f</t>
        </is>
      </c>
      <c r="B143" s="24" t="inlineStr">
        <is>
          <t>2026-08-03T17:14:13.914291Z</t>
        </is>
      </c>
      <c r="C143" s="24" t="inlineStr">
        <is>
          <t>2026-08-03T19:30Z</t>
        </is>
      </c>
      <c r="D143" s="24" t="inlineStr">
        <is>
          <t>421-2026:181842</t>
        </is>
      </c>
      <c r="E143" s="24" t="inlineStr">
        <is>
          <t>TENNIS</t>
        </is>
      </c>
      <c r="F143" s="24" t="inlineStr">
        <is>
          <t>Cameron Norrie</t>
        </is>
      </c>
      <c r="G143" s="24" t="inlineStr">
        <is>
          <t>Camilo Ugo Carabelli</t>
        </is>
      </c>
      <c r="H143" s="24" t="inlineStr">
        <is>
          <t>moneyline</t>
        </is>
      </c>
      <c r="I143" s="24" t="inlineStr">
        <is>
          <t>away</t>
        </is>
      </c>
      <c r="J143" s="25" t="n"/>
      <c r="K143" s="24" t="inlineStr">
        <is>
          <t>polymarket_us</t>
        </is>
      </c>
      <c r="L143" s="26" t="n">
        <v>-376</v>
      </c>
      <c r="M143" s="27" t="n">
        <v>1.265957</v>
      </c>
      <c r="N143" s="28" t="n">
        <v>0.789916</v>
      </c>
      <c r="O143" s="28" t="n">
        <v>0.615806</v>
      </c>
      <c r="P143" s="28" t="n">
        <v>0.05</v>
      </c>
      <c r="Q143" s="28" t="n">
        <v>-0.17411</v>
      </c>
      <c r="R143" s="26" t="n">
        <v>0</v>
      </c>
      <c r="S143" s="29" t="n">
        <v>1.5</v>
      </c>
      <c r="T143" s="24" t="inlineStr">
        <is>
          <t>tennis-surface-elo-v1</t>
        </is>
      </c>
      <c r="U143" s="24" t="inlineStr">
        <is>
          <t>settled</t>
        </is>
      </c>
      <c r="V143" s="24" t="inlineStr">
        <is>
          <t>win</t>
        </is>
      </c>
      <c r="W143" s="26" t="n">
        <v>1</v>
      </c>
      <c r="X143" s="26" t="n">
        <v>0</v>
      </c>
      <c r="Y143" s="25" t="n"/>
      <c r="Z143" s="26" t="n">
        <v>-376</v>
      </c>
      <c r="AA143" s="28" t="n">
        <v>0.79</v>
      </c>
      <c r="AB143" s="28" t="n">
        <v>8.4e-05</v>
      </c>
      <c r="AC143" s="30" t="n">
        <v>0.3989</v>
      </c>
      <c r="AD143" s="24" t="inlineStr">
        <is>
          <t>2026-08-04T04:08:30.869584Z</t>
        </is>
      </c>
      <c r="AE143" s="31" t="inlineStr">
        <is>
          <t>Surface-blended Elo on Hard: Cameron Norrie p=0.616 vs Camilo Ugo Carabelli. Executable ask 0.7900 (aec-atp-camcar-camnor-2026-08-03).</t>
        </is>
      </c>
      <c r="AF143" s="31" t="inlineStr">
        <is>
          <t>Surface-blended Elo model; singles only, WTA+ATP market coverage, not yet locked-holdout qualified -- promoted by explicit operator directive, not genuine walk-forward validation.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NO_CALL_LOW_EDGE</t>
        </is>
      </c>
      <c r="AP143" s="24" t="inlineStr">
        <is>
          <t>Cameron Norrie</t>
        </is>
      </c>
      <c r="AQ143" s="24" t="inlineStr">
        <is>
          <t>Cameron Norrie</t>
        </is>
      </c>
      <c r="AR143" s="24" t="inlineStr">
        <is>
          <t>Cameron Norrie</t>
        </is>
      </c>
      <c r="AS143" s="24" t="inlineStr">
        <is>
          <t>Camilo Ugo Carabelli</t>
        </is>
      </c>
      <c r="AT143" s="24" t="inlineStr">
        <is>
          <t>Camilo Ugo Carabelli</t>
        </is>
      </c>
      <c r="AU143" s="24" t="inlineStr">
        <is>
          <t>Camilo Ugo Carabelli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60749ecfb3f1405f12fbceda11b7e64f2473d40dd327256f9da20b2146b6ae03</t>
        </is>
      </c>
      <c r="BB143" s="24" t="inlineStr">
        <is>
          <t>surface_blended_elo</t>
        </is>
      </c>
      <c r="BC143" s="24" t="inlineStr">
        <is>
          <t>tennis-surface-elo-v1</t>
        </is>
      </c>
      <c r="BD143" s="24" t="inlineStr">
        <is>
          <t>60749ecfb3f1405f12fbceda11b7e64f2473d40dd327256f9da20b2146b6ae03</t>
        </is>
      </c>
      <c r="BE143" s="24" t="inlineStr">
        <is>
          <t>tennis-surface-elo-v1</t>
        </is>
      </c>
      <c r="BF143" s="24" t="inlineStr">
        <is>
          <t>1</t>
        </is>
      </c>
      <c r="BG143" s="24" t="inlineStr">
        <is>
          <t>60749ecfb3f1405f12fbceda11b7e64f2473d40dd327256f9da20b2146b6ae03</t>
        </is>
      </c>
      <c r="BH143" s="24" t="inlineStr">
        <is>
          <t>2026-08-03T17:06:53.334657Z</t>
        </is>
      </c>
      <c r="BI143" s="24" t="inlineStr">
        <is>
          <t>["same_event","same_team_same_day","same_league_same_day"]</t>
        </is>
      </c>
      <c r="BJ143" s="25" t="n"/>
      <c r="BK143" s="26" t="n">
        <v>-376</v>
      </c>
      <c r="BL143" s="27" t="n">
        <v>1.265957</v>
      </c>
      <c r="BM143" s="28" t="n">
        <v>0.789916</v>
      </c>
      <c r="BN143" s="28" t="n"/>
      <c r="BO143" s="28" t="n"/>
      <c r="BP143" s="25" t="n"/>
      <c r="BQ143" s="27" t="n">
        <v>1.265957</v>
      </c>
      <c r="BR143" s="28" t="n">
        <v>0.79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</row>
    <row r="144" ht="36" customHeight="1">
      <c r="A144" s="24" t="inlineStr">
        <is>
          <t>ecae86fc339b4e57</t>
        </is>
      </c>
      <c r="B144" s="24" t="inlineStr">
        <is>
          <t>2026-08-03T19:53:29.938738Z</t>
        </is>
      </c>
      <c r="C144" s="24" t="inlineStr">
        <is>
          <t>2026-08-03T21:00Z</t>
        </is>
      </c>
      <c r="D144" s="24" t="inlineStr">
        <is>
          <t>421-2026:182239</t>
        </is>
      </c>
      <c r="E144" s="24" t="inlineStr">
        <is>
          <t>TENNIS</t>
        </is>
      </c>
      <c r="F144" s="24" t="inlineStr">
        <is>
          <t>Taylor Townsend</t>
        </is>
      </c>
      <c r="G144" s="24" t="inlineStr">
        <is>
          <t>Tereza Valentova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-194</v>
      </c>
      <c r="M144" s="27" t="n">
        <v>1.515464</v>
      </c>
      <c r="N144" s="28" t="n">
        <v>0.659864</v>
      </c>
      <c r="O144" s="28" t="n">
        <v>0.548685</v>
      </c>
      <c r="P144" s="28" t="n">
        <v>0.05</v>
      </c>
      <c r="Q144" s="28" t="n">
        <v>-0.111179</v>
      </c>
      <c r="R144" s="26" t="n">
        <v>0</v>
      </c>
      <c r="S144" s="29" t="n">
        <v>1</v>
      </c>
      <c r="T144" s="24" t="inlineStr">
        <is>
          <t>tennis-surface-elo-v1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-194</v>
      </c>
      <c r="AA144" s="28" t="n">
        <v>0.66</v>
      </c>
      <c r="AB144" s="28" t="n">
        <v>0.000136</v>
      </c>
      <c r="AC144" s="30" t="n">
        <v>-1</v>
      </c>
      <c r="AD144" s="24" t="inlineStr">
        <is>
          <t>2026-08-04T01:58:32.389030Z</t>
        </is>
      </c>
      <c r="AE144" s="31" t="inlineStr">
        <is>
          <t>Surface-blended Elo on Hard: Taylor Townsend p=0.451 vs Tereza Valentova. Executable ask 0.6600 (aec-wta-terval-taytow-2026-08-02).</t>
        </is>
      </c>
      <c r="AF144" s="31" t="inlineStr">
        <is>
          <t>Surface-blended Elo model; singles only, WTA+ATP market coverage, not yet locked-holdout qualified -- promoted by explicit operator directive, not genuine walk-forward validation.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NO_CALL_LOW_EDGE</t>
        </is>
      </c>
      <c r="AP144" s="24" t="inlineStr">
        <is>
          <t>Taylor Townsend</t>
        </is>
      </c>
      <c r="AQ144" s="24" t="inlineStr">
        <is>
          <t>Taylor Townsend</t>
        </is>
      </c>
      <c r="AR144" s="24" t="inlineStr">
        <is>
          <t>Taylor Townsend</t>
        </is>
      </c>
      <c r="AS144" s="24" t="inlineStr">
        <is>
          <t>Tereza Valentova</t>
        </is>
      </c>
      <c r="AT144" s="24" t="inlineStr">
        <is>
          <t>Tereza Valentova</t>
        </is>
      </c>
      <c r="AU144" s="24" t="inlineStr">
        <is>
          <t>Tereza Valentova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60749ecfb3f1405f12fbceda11b7e64f2473d40dd327256f9da20b2146b6ae03</t>
        </is>
      </c>
      <c r="BB144" s="24" t="inlineStr">
        <is>
          <t>surface_blended_elo</t>
        </is>
      </c>
      <c r="BC144" s="24" t="inlineStr">
        <is>
          <t>tennis-surface-elo-v1</t>
        </is>
      </c>
      <c r="BD144" s="24" t="inlineStr">
        <is>
          <t>60749ecfb3f1405f12fbceda11b7e64f2473d40dd327256f9da20b2146b6ae03</t>
        </is>
      </c>
      <c r="BE144" s="24" t="inlineStr">
        <is>
          <t>tennis-surface-elo-v1</t>
        </is>
      </c>
      <c r="BF144" s="24" t="inlineStr">
        <is>
          <t>1</t>
        </is>
      </c>
      <c r="BG144" s="24" t="inlineStr">
        <is>
          <t>60749ecfb3f1405f12fbceda11b7e64f2473d40dd327256f9da20b2146b6ae03</t>
        </is>
      </c>
      <c r="BH144" s="24" t="inlineStr">
        <is>
          <t>2026-08-03T19:52:41.709499Z</t>
        </is>
      </c>
      <c r="BI144" s="24" t="inlineStr">
        <is>
          <t>["same_event","same_team_same_day","same_league_same_day"]</t>
        </is>
      </c>
      <c r="BJ144" s="25" t="n"/>
      <c r="BK144" s="26" t="n">
        <v>-194</v>
      </c>
      <c r="BL144" s="27" t="n">
        <v>1.515464</v>
      </c>
      <c r="BM144" s="28" t="n">
        <v>0.659864</v>
      </c>
      <c r="BN144" s="28" t="n"/>
      <c r="BO144" s="28" t="n"/>
      <c r="BP144" s="25" t="n"/>
      <c r="BQ144" s="27" t="n">
        <v>1.515464</v>
      </c>
      <c r="BR144" s="28" t="n">
        <v>0.66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</row>
    <row r="145" ht="36" customHeight="1">
      <c r="A145" s="24" t="inlineStr">
        <is>
          <t>0f074ce53b694a61</t>
        </is>
      </c>
      <c r="B145" s="24" t="inlineStr">
        <is>
          <t>2026-08-03T19:53:29.938738Z</t>
        </is>
      </c>
      <c r="C145" s="24" t="inlineStr">
        <is>
          <t>2026-08-03T21:00Z</t>
        </is>
      </c>
      <c r="D145" s="24" t="inlineStr">
        <is>
          <t>421-2026:182244</t>
        </is>
      </c>
      <c r="E145" s="24" t="inlineStr">
        <is>
          <t>TENNIS</t>
        </is>
      </c>
      <c r="F145" s="24" t="inlineStr">
        <is>
          <t>Tamara Korpatsch</t>
        </is>
      </c>
      <c r="G145" s="24" t="inlineStr">
        <is>
          <t>Renata Zarazua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polymarket_us</t>
        </is>
      </c>
      <c r="L145" s="26" t="n">
        <v>138</v>
      </c>
      <c r="M145" s="27" t="n">
        <v>2.38</v>
      </c>
      <c r="N145" s="28" t="n">
        <v>0.420168</v>
      </c>
      <c r="O145" s="28" t="n">
        <v>0.643669</v>
      </c>
      <c r="P145" s="28" t="n">
        <v>0.05</v>
      </c>
      <c r="Q145" s="28" t="n">
        <v>0.223501</v>
      </c>
      <c r="R145" s="26" t="n">
        <v>100</v>
      </c>
      <c r="S145" s="29" t="n">
        <v>1.5</v>
      </c>
      <c r="T145" s="24" t="inlineStr">
        <is>
          <t>tennis-surface-elo-v1</t>
        </is>
      </c>
      <c r="U145" s="24" t="inlineStr">
        <is>
          <t>settled</t>
        </is>
      </c>
      <c r="V145" s="24" t="inlineStr">
        <is>
          <t>loss</t>
        </is>
      </c>
      <c r="W145" s="26" t="n">
        <v>0</v>
      </c>
      <c r="X145" s="26" t="n">
        <v>1</v>
      </c>
      <c r="Y145" s="25" t="n"/>
      <c r="Z145" s="26" t="n">
        <v>138</v>
      </c>
      <c r="AA145" s="28" t="n">
        <v>0.42</v>
      </c>
      <c r="AB145" s="28" t="n">
        <v>-0.000168</v>
      </c>
      <c r="AC145" s="30" t="n">
        <v>-1.5</v>
      </c>
      <c r="AD145" s="24" t="inlineStr">
        <is>
          <t>2026-08-04T01:58:33.152116Z</t>
        </is>
      </c>
      <c r="AE145" s="31" t="inlineStr">
        <is>
          <t>Surface-blended Elo on Hard: Tamara Korpatsch p=0.644 vs Renata Zarazua. Executable ask 0.4200 (aec-wta-renzar-tamkor-2026-08-02).</t>
        </is>
      </c>
      <c r="AF145" s="31" t="inlineStr">
        <is>
          <t>Surface-blended Elo model; singles only, WTA+ATP market coverage, not yet locked-holdout qualified -- promoted by explicit operator directive, not genuine walk-forward validation.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Tamara Korpatsch</t>
        </is>
      </c>
      <c r="AQ145" s="24" t="inlineStr">
        <is>
          <t>Tamara Korpatsch</t>
        </is>
      </c>
      <c r="AR145" s="24" t="inlineStr">
        <is>
          <t>Tamara Korpatsch</t>
        </is>
      </c>
      <c r="AS145" s="24" t="inlineStr">
        <is>
          <t>Renata Zarazua</t>
        </is>
      </c>
      <c r="AT145" s="24" t="inlineStr">
        <is>
          <t>Renata Zarazua</t>
        </is>
      </c>
      <c r="AU145" s="24" t="inlineStr">
        <is>
          <t>Renata Zarazua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60749ecfb3f1405f12fbceda11b7e64f2473d40dd327256f9da20b2146b6ae03</t>
        </is>
      </c>
      <c r="BB145" s="24" t="inlineStr">
        <is>
          <t>surface_blended_elo</t>
        </is>
      </c>
      <c r="BC145" s="24" t="inlineStr">
        <is>
          <t>tennis-surface-elo-v1</t>
        </is>
      </c>
      <c r="BD145" s="24" t="inlineStr">
        <is>
          <t>60749ecfb3f1405f12fbceda11b7e64f2473d40dd327256f9da20b2146b6ae03</t>
        </is>
      </c>
      <c r="BE145" s="24" t="inlineStr">
        <is>
          <t>tennis-surface-elo-v1</t>
        </is>
      </c>
      <c r="BF145" s="24" t="inlineStr">
        <is>
          <t>1</t>
        </is>
      </c>
      <c r="BG145" s="24" t="inlineStr">
        <is>
          <t>60749ecfb3f1405f12fbceda11b7e64f2473d40dd327256f9da20b2146b6ae03</t>
        </is>
      </c>
      <c r="BH145" s="24" t="inlineStr">
        <is>
          <t>2026-08-03T19:52:43.186533Z</t>
        </is>
      </c>
      <c r="BI145" s="24" t="inlineStr">
        <is>
          <t>["same_event","same_team_same_day","same_league_same_day"]</t>
        </is>
      </c>
      <c r="BJ145" s="25" t="n"/>
      <c r="BK145" s="26" t="n">
        <v>138</v>
      </c>
      <c r="BL145" s="27" t="n">
        <v>2.38</v>
      </c>
      <c r="BM145" s="28" t="n">
        <v>0.420168</v>
      </c>
      <c r="BN145" s="28" t="n"/>
      <c r="BO145" s="28" t="n"/>
      <c r="BP145" s="25" t="n"/>
      <c r="BQ145" s="27" t="n">
        <v>2.38</v>
      </c>
      <c r="BR145" s="28" t="n">
        <v>0.42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</row>
    <row r="146" ht="36" customHeight="1">
      <c r="A146" s="24" t="inlineStr">
        <is>
          <t>2f419fef908e4110</t>
        </is>
      </c>
      <c r="B146" s="24" t="inlineStr">
        <is>
          <t>2026-08-03T19:53:29.938738Z</t>
        </is>
      </c>
      <c r="C146" s="24" t="inlineStr">
        <is>
          <t>2026-08-03T21:00Z</t>
        </is>
      </c>
      <c r="D146" s="24" t="inlineStr">
        <is>
          <t>421-2026:182247</t>
        </is>
      </c>
      <c r="E146" s="24" t="inlineStr">
        <is>
          <t>TENNIS</t>
        </is>
      </c>
      <c r="F146" s="24" t="inlineStr">
        <is>
          <t>Eva Lys</t>
        </is>
      </c>
      <c r="G146" s="24" t="inlineStr">
        <is>
          <t>Panna Udvardy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170</v>
      </c>
      <c r="M146" s="27" t="n">
        <v>2.7</v>
      </c>
      <c r="N146" s="28" t="n">
        <v>0.37037</v>
      </c>
      <c r="O146" s="28" t="n">
        <v>0.532606</v>
      </c>
      <c r="P146" s="28" t="n">
        <v>0.05</v>
      </c>
      <c r="Q146" s="28" t="n">
        <v>0.162236</v>
      </c>
      <c r="R146" s="26" t="n">
        <v>100</v>
      </c>
      <c r="S146" s="29" t="n">
        <v>1</v>
      </c>
      <c r="T146" s="24" t="inlineStr">
        <is>
          <t>tennis-surface-elo-v1</t>
        </is>
      </c>
      <c r="U146" s="24" t="inlineStr">
        <is>
          <t>settled</t>
        </is>
      </c>
      <c r="V146" s="24" t="inlineStr">
        <is>
          <t>win</t>
        </is>
      </c>
      <c r="W146" s="26" t="n">
        <v>0</v>
      </c>
      <c r="X146" s="26" t="n">
        <v>1</v>
      </c>
      <c r="Y146" s="25" t="n"/>
      <c r="Z146" s="26" t="n">
        <v>170</v>
      </c>
      <c r="AA146" s="28" t="n">
        <v>0.37</v>
      </c>
      <c r="AB146" s="28" t="n">
        <v>-0.00037</v>
      </c>
      <c r="AC146" s="30" t="n">
        <v>1.7</v>
      </c>
      <c r="AD146" s="24" t="inlineStr">
        <is>
          <t>2026-08-04T01:58:33.865194Z</t>
        </is>
      </c>
      <c r="AE146" s="31" t="inlineStr">
        <is>
          <t>Surface-blended Elo on Hard: Eva Lys p=0.467 vs Panna Udvardy. Executable ask 0.3700 (aec-wta-panudv-evalys-2026-08-02).</t>
        </is>
      </c>
      <c r="AF146" s="31" t="inlineStr">
        <is>
          <t>Surface-blended Elo model; singles only, WTA+ATP market coverage, not yet locked-holdout qualified -- promoted by explicit operator directive, not genuine walk-forward validation.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NO_CALL_LOW_EDGE</t>
        </is>
      </c>
      <c r="AP146" s="24" t="inlineStr">
        <is>
          <t>Eva Lys</t>
        </is>
      </c>
      <c r="AQ146" s="24" t="inlineStr">
        <is>
          <t>Eva Lys</t>
        </is>
      </c>
      <c r="AR146" s="24" t="inlineStr">
        <is>
          <t>Eva Lys</t>
        </is>
      </c>
      <c r="AS146" s="24" t="inlineStr">
        <is>
          <t>Panna Udvardy</t>
        </is>
      </c>
      <c r="AT146" s="24" t="inlineStr">
        <is>
          <t>Panna Udvardy</t>
        </is>
      </c>
      <c r="AU146" s="24" t="inlineStr">
        <is>
          <t>Panna Udvardy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60749ecfb3f1405f12fbceda11b7e64f2473d40dd327256f9da20b2146b6ae03</t>
        </is>
      </c>
      <c r="BB146" s="24" t="inlineStr">
        <is>
          <t>surface_blended_elo</t>
        </is>
      </c>
      <c r="BC146" s="24" t="inlineStr">
        <is>
          <t>tennis-surface-elo-v1</t>
        </is>
      </c>
      <c r="BD146" s="24" t="inlineStr">
        <is>
          <t>60749ecfb3f1405f12fbceda11b7e64f2473d40dd327256f9da20b2146b6ae03</t>
        </is>
      </c>
      <c r="BE146" s="24" t="inlineStr">
        <is>
          <t>tennis-surface-elo-v1</t>
        </is>
      </c>
      <c r="BF146" s="24" t="inlineStr">
        <is>
          <t>1</t>
        </is>
      </c>
      <c r="BG146" s="24" t="inlineStr">
        <is>
          <t>60749ecfb3f1405f12fbceda11b7e64f2473d40dd327256f9da20b2146b6ae03</t>
        </is>
      </c>
      <c r="BH146" s="24" t="inlineStr">
        <is>
          <t>2026-08-03T19:52:41.243432Z</t>
        </is>
      </c>
      <c r="BI146" s="24" t="inlineStr">
        <is>
          <t>["same_event","same_team_same_day","same_league_same_day"]</t>
        </is>
      </c>
      <c r="BJ146" s="25" t="n"/>
      <c r="BK146" s="26" t="n">
        <v>170</v>
      </c>
      <c r="BL146" s="27" t="n">
        <v>2.7</v>
      </c>
      <c r="BM146" s="28" t="n">
        <v>0.37037</v>
      </c>
      <c r="BN146" s="28" t="n"/>
      <c r="BO146" s="28" t="n"/>
      <c r="BP146" s="25" t="n"/>
      <c r="BQ146" s="27" t="n">
        <v>2.7</v>
      </c>
      <c r="BR146" s="28" t="n">
        <v>0.37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</row>
    <row r="147" ht="36" customHeight="1">
      <c r="A147" s="24" t="inlineStr">
        <is>
          <t>c99512c3dfd34165</t>
        </is>
      </c>
      <c r="B147" s="24" t="inlineStr">
        <is>
          <t>2026-08-03T19:53:29.938738Z</t>
        </is>
      </c>
      <c r="C147" s="24" t="inlineStr">
        <is>
          <t>2026-08-03T22:30Z</t>
        </is>
      </c>
      <c r="D147" s="24" t="inlineStr">
        <is>
          <t>421-2026:182243</t>
        </is>
      </c>
      <c r="E147" s="24" t="inlineStr">
        <is>
          <t>TENNIS</t>
        </is>
      </c>
      <c r="F147" s="24" t="inlineStr">
        <is>
          <t>Sloane Stephens</t>
        </is>
      </c>
      <c r="G147" s="24" t="inlineStr">
        <is>
          <t>Solana Sierra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-117</v>
      </c>
      <c r="M147" s="27" t="n">
        <v>1.854701</v>
      </c>
      <c r="N147" s="28" t="n">
        <v>0.539171</v>
      </c>
      <c r="O147" s="28" t="n">
        <v>0.701639</v>
      </c>
      <c r="P147" s="28" t="n">
        <v>0.05</v>
      </c>
      <c r="Q147" s="28" t="n">
        <v>0.162468</v>
      </c>
      <c r="R147" s="26" t="n">
        <v>100</v>
      </c>
      <c r="S147" s="29" t="n">
        <v>2</v>
      </c>
      <c r="T147" s="24" t="inlineStr">
        <is>
          <t>tennis-surface-elo-v1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</v>
      </c>
      <c r="X147" s="26" t="n">
        <v>0</v>
      </c>
      <c r="Y147" s="25" t="n"/>
      <c r="Z147" s="26" t="n">
        <v>-117</v>
      </c>
      <c r="AA147" s="28" t="n">
        <v>0.54</v>
      </c>
      <c r="AB147" s="28" t="n">
        <v>0.000829</v>
      </c>
      <c r="AC147" s="30" t="n">
        <v>-2</v>
      </c>
      <c r="AD147" s="24" t="inlineStr">
        <is>
          <t>2026-08-04T03:57:52.039552Z</t>
        </is>
      </c>
      <c r="AE147" s="31" t="inlineStr">
        <is>
          <t>Surface-blended Elo on Hard: Sloane Stephens p=0.298 vs Solana Sierra. Executable ask 0.5400 (aec-wta-solsie-sloste-2026-08-03).</t>
        </is>
      </c>
      <c r="AF147" s="31" t="inlineStr">
        <is>
          <t>Surface-blended Elo model; singles only, WTA+ATP market coverage, not yet locked-holdout qualified -- promoted by explicit operator directive, not genuine walk-forward validation.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Sloane Stephens</t>
        </is>
      </c>
      <c r="AQ147" s="24" t="inlineStr">
        <is>
          <t>Sloane Stephens</t>
        </is>
      </c>
      <c r="AR147" s="24" t="inlineStr">
        <is>
          <t>Sloane Stephens</t>
        </is>
      </c>
      <c r="AS147" s="24" t="inlineStr">
        <is>
          <t>Solana Sierra</t>
        </is>
      </c>
      <c r="AT147" s="24" t="inlineStr">
        <is>
          <t>Solana Sierra</t>
        </is>
      </c>
      <c r="AU147" s="24" t="inlineStr">
        <is>
          <t>Solana Sierra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60749ecfb3f1405f12fbceda11b7e64f2473d40dd327256f9da20b2146b6ae03</t>
        </is>
      </c>
      <c r="BB147" s="24" t="inlineStr">
        <is>
          <t>surface_blended_elo</t>
        </is>
      </c>
      <c r="BC147" s="24" t="inlineStr">
        <is>
          <t>tennis-surface-elo-v1</t>
        </is>
      </c>
      <c r="BD147" s="24" t="inlineStr">
        <is>
          <t>60749ecfb3f1405f12fbceda11b7e64f2473d40dd327256f9da20b2146b6ae03</t>
        </is>
      </c>
      <c r="BE147" s="24" t="inlineStr">
        <is>
          <t>tennis-surface-elo-v1</t>
        </is>
      </c>
      <c r="BF147" s="24" t="inlineStr">
        <is>
          <t>1</t>
        </is>
      </c>
      <c r="BG147" s="24" t="inlineStr">
        <is>
          <t>60749ecfb3f1405f12fbceda11b7e64f2473d40dd327256f9da20b2146b6ae03</t>
        </is>
      </c>
      <c r="BH147" s="24" t="inlineStr">
        <is>
          <t>2026-08-03T19:52:44.196885Z</t>
        </is>
      </c>
      <c r="BI147" s="24" t="inlineStr">
        <is>
          <t>["same_event","same_team_same_day","same_league_same_day"]</t>
        </is>
      </c>
      <c r="BJ147" s="25" t="n"/>
      <c r="BK147" s="26" t="n">
        <v>-117</v>
      </c>
      <c r="BL147" s="27" t="n">
        <v>1.854701</v>
      </c>
      <c r="BM147" s="28" t="n">
        <v>0.539171</v>
      </c>
      <c r="BN147" s="28" t="n"/>
      <c r="BO147" s="28" t="n"/>
      <c r="BP147" s="25" t="n"/>
      <c r="BQ147" s="27" t="n">
        <v>1.854701</v>
      </c>
      <c r="BR147" s="28" t="n">
        <v>0.54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</row>
    <row r="148" ht="36" customHeight="1">
      <c r="A148" s="24" t="inlineStr">
        <is>
          <t>3f8d91f7160f44df</t>
        </is>
      </c>
      <c r="B148" s="24" t="inlineStr">
        <is>
          <t>2026-08-03T22:56:40.367668Z</t>
        </is>
      </c>
      <c r="C148" s="24" t="inlineStr">
        <is>
          <t>2026-08-03T23:00Z</t>
        </is>
      </c>
      <c r="D148" s="24" t="inlineStr">
        <is>
          <t>421-2026:182252</t>
        </is>
      </c>
      <c r="E148" s="24" t="inlineStr">
        <is>
          <t>TENNIS</t>
        </is>
      </c>
      <c r="F148" s="24" t="inlineStr">
        <is>
          <t>Zeynep Sonmez</t>
        </is>
      </c>
      <c r="G148" s="24" t="inlineStr">
        <is>
          <t>Rebecca Marino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-300</v>
      </c>
      <c r="M148" s="27" t="n">
        <v>1.333333</v>
      </c>
      <c r="N148" s="28" t="n">
        <v>0.75</v>
      </c>
      <c r="O148" s="28" t="n">
        <v>0.687948</v>
      </c>
      <c r="P148" s="28" t="n">
        <v>0.05</v>
      </c>
      <c r="Q148" s="28" t="n">
        <v>-0.062052</v>
      </c>
      <c r="R148" s="26" t="n">
        <v>0</v>
      </c>
      <c r="S148" s="29" t="n">
        <v>2</v>
      </c>
      <c r="T148" s="24" t="inlineStr">
        <is>
          <t>tennis-surface-elo-v1</t>
        </is>
      </c>
      <c r="U148" s="24" t="inlineStr">
        <is>
          <t>settled</t>
        </is>
      </c>
      <c r="V148" s="24" t="inlineStr">
        <is>
          <t>win</t>
        </is>
      </c>
      <c r="W148" s="26" t="n">
        <v>1</v>
      </c>
      <c r="X148" s="26" t="n">
        <v>0</v>
      </c>
      <c r="Y148" s="25" t="n"/>
      <c r="Z148" s="26" t="n">
        <v>-300</v>
      </c>
      <c r="AA148" s="28" t="n">
        <v>0.75</v>
      </c>
      <c r="AB148" s="28" t="n">
        <v>0</v>
      </c>
      <c r="AC148" s="30" t="n">
        <v>0.6667</v>
      </c>
      <c r="AD148" s="24" t="inlineStr">
        <is>
          <t>2026-08-04T01:58:39.701811Z</t>
        </is>
      </c>
      <c r="AE148" s="31" t="inlineStr">
        <is>
          <t>Surface-blended Elo on Hard: Zeynep Sonmez p=0.688 vs Rebecca Marino. Executable ask 0.7500 (aec-wta-rebmar-zeyson-2026-08-03).</t>
        </is>
      </c>
      <c r="AF148" s="31" t="inlineStr">
        <is>
          <t>Surface-blended Elo model; singles only, WTA+ATP market coverage, not yet locked-holdout qualified -- promoted by explicit operator directive, not genuine walk-forward validation.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NO_CALL_LOW_EDGE</t>
        </is>
      </c>
      <c r="AP148" s="24" t="inlineStr">
        <is>
          <t>Zeynep Sonmez</t>
        </is>
      </c>
      <c r="AQ148" s="24" t="inlineStr">
        <is>
          <t>Zeynep Sonmez</t>
        </is>
      </c>
      <c r="AR148" s="24" t="inlineStr">
        <is>
          <t>Zeynep Sonmez</t>
        </is>
      </c>
      <c r="AS148" s="24" t="inlineStr">
        <is>
          <t>Rebecca Marino</t>
        </is>
      </c>
      <c r="AT148" s="24" t="inlineStr">
        <is>
          <t>Rebecca Marino</t>
        </is>
      </c>
      <c r="AU148" s="24" t="inlineStr">
        <is>
          <t>Rebecca Marino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60749ecfb3f1405f12fbceda11b7e64f2473d40dd327256f9da20b2146b6ae03</t>
        </is>
      </c>
      <c r="BB148" s="24" t="inlineStr">
        <is>
          <t>surface_blended_elo</t>
        </is>
      </c>
      <c r="BC148" s="24" t="inlineStr">
        <is>
          <t>tennis-surface-elo-v1</t>
        </is>
      </c>
      <c r="BD148" s="24" t="inlineStr">
        <is>
          <t>60749ecfb3f1405f12fbceda11b7e64f2473d40dd327256f9da20b2146b6ae03</t>
        </is>
      </c>
      <c r="BE148" s="24" t="inlineStr">
        <is>
          <t>tennis-surface-elo-v1</t>
        </is>
      </c>
      <c r="BF148" s="24" t="inlineStr">
        <is>
          <t>1</t>
        </is>
      </c>
      <c r="BG148" s="24" t="inlineStr">
        <is>
          <t>60749ecfb3f1405f12fbceda11b7e64f2473d40dd327256f9da20b2146b6ae03</t>
        </is>
      </c>
      <c r="BH148" s="24" t="inlineStr">
        <is>
          <t>2026-08-03T22:56:09.703406Z</t>
        </is>
      </c>
      <c r="BI148" s="24" t="inlineStr">
        <is>
          <t>["same_event","same_team_same_day","same_league_same_day"]</t>
        </is>
      </c>
      <c r="BJ148" s="25" t="n"/>
      <c r="BK148" s="26" t="n">
        <v>-300</v>
      </c>
      <c r="BL148" s="27" t="n">
        <v>1.333333</v>
      </c>
      <c r="BM148" s="28" t="n">
        <v>0.75</v>
      </c>
      <c r="BN148" s="28" t="n"/>
      <c r="BO148" s="28" t="n"/>
      <c r="BP148" s="25" t="n"/>
      <c r="BQ148" s="27" t="n">
        <v>1.333333</v>
      </c>
      <c r="BR148" s="28" t="n">
        <v>0.75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</row>
    <row r="149" ht="36" customHeight="1">
      <c r="A149" s="24" t="inlineStr">
        <is>
          <t>404a73830d834cd6</t>
        </is>
      </c>
      <c r="B149" s="24" t="inlineStr">
        <is>
          <t>2026-08-03T22:56:40.367668Z</t>
        </is>
      </c>
      <c r="C149" s="24" t="inlineStr">
        <is>
          <t>2026-08-04T00:30Z</t>
        </is>
      </c>
      <c r="D149" s="24" t="inlineStr">
        <is>
          <t>421-2026:182267</t>
        </is>
      </c>
      <c r="E149" s="24" t="inlineStr">
        <is>
          <t>TENNIS</t>
        </is>
      </c>
      <c r="F149" s="24" t="inlineStr">
        <is>
          <t>Daria Kasatkina</t>
        </is>
      </c>
      <c r="G149" s="24" t="inlineStr">
        <is>
          <t>Wang Xinyu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polymarket_us</t>
        </is>
      </c>
      <c r="L149" s="26" t="n">
        <v>-104</v>
      </c>
      <c r="M149" s="27" t="n">
        <v>1.961538</v>
      </c>
      <c r="N149" s="28" t="n">
        <v>0.509804</v>
      </c>
      <c r="O149" s="28" t="n">
        <v>0.524111</v>
      </c>
      <c r="P149" s="28" t="n">
        <v>0.05</v>
      </c>
      <c r="Q149" s="28" t="n">
        <v>0.014307</v>
      </c>
      <c r="R149" s="26" t="n">
        <v>27</v>
      </c>
      <c r="S149" s="29" t="n">
        <v>1</v>
      </c>
      <c r="T149" s="24" t="inlineStr">
        <is>
          <t>tennis-surface-elo-v1</t>
        </is>
      </c>
      <c r="U149" s="24" t="inlineStr">
        <is>
          <t>settled</t>
        </is>
      </c>
      <c r="V149" s="24" t="inlineStr">
        <is>
          <t>win</t>
        </is>
      </c>
      <c r="W149" s="26" t="n">
        <v>1</v>
      </c>
      <c r="X149" s="26" t="n">
        <v>0</v>
      </c>
      <c r="Y149" s="25" t="n"/>
      <c r="Z149" s="26" t="n">
        <v>-104</v>
      </c>
      <c r="AA149" s="28" t="n">
        <v>0.51</v>
      </c>
      <c r="AB149" s="28" t="n">
        <v>0.000196</v>
      </c>
      <c r="AC149" s="30" t="n">
        <v>0.9615</v>
      </c>
      <c r="AD149" s="24" t="inlineStr">
        <is>
          <t>2026-08-04T03:58:07.060448Z</t>
        </is>
      </c>
      <c r="AE149" s="31" t="inlineStr">
        <is>
          <t>Surface-blended Elo on Hard: Daria Kasatkina p=0.524 vs Wang Xinyu. Executable ask 0.5100 (aec-wta-xinwan-darkas-2026-08-02).</t>
        </is>
      </c>
      <c r="AF149" s="31" t="inlineStr">
        <is>
          <t>Surface-blended Elo model; singles only, WTA+ATP market coverage, not yet locked-holdout qualified -- promoted by explicit operator directive, not genuine walk-forward validation.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NO_CALL_LOW_EDGE</t>
        </is>
      </c>
      <c r="AP149" s="24" t="inlineStr">
        <is>
          <t>Daria Kasatkina</t>
        </is>
      </c>
      <c r="AQ149" s="24" t="inlineStr">
        <is>
          <t>Daria Kasatkina</t>
        </is>
      </c>
      <c r="AR149" s="24" t="inlineStr">
        <is>
          <t>Daria Kasatkina</t>
        </is>
      </c>
      <c r="AS149" s="24" t="inlineStr">
        <is>
          <t>Wang Xinyu</t>
        </is>
      </c>
      <c r="AT149" s="24" t="inlineStr">
        <is>
          <t>Wang Xinyu</t>
        </is>
      </c>
      <c r="AU149" s="24" t="inlineStr">
        <is>
          <t>Wang Xinyu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60749ecfb3f1405f12fbceda11b7e64f2473d40dd327256f9da20b2146b6ae03</t>
        </is>
      </c>
      <c r="BB149" s="24" t="inlineStr">
        <is>
          <t>surface_blended_elo</t>
        </is>
      </c>
      <c r="BC149" s="24" t="inlineStr">
        <is>
          <t>tennis-surface-elo-v1</t>
        </is>
      </c>
      <c r="BD149" s="24" t="inlineStr">
        <is>
          <t>60749ecfb3f1405f12fbceda11b7e64f2473d40dd327256f9da20b2146b6ae03</t>
        </is>
      </c>
      <c r="BE149" s="24" t="inlineStr">
        <is>
          <t>tennis-surface-elo-v1</t>
        </is>
      </c>
      <c r="BF149" s="24" t="inlineStr">
        <is>
          <t>1</t>
        </is>
      </c>
      <c r="BG149" s="24" t="inlineStr">
        <is>
          <t>60749ecfb3f1405f12fbceda11b7e64f2473d40dd327256f9da20b2146b6ae03</t>
        </is>
      </c>
      <c r="BH149" s="24" t="inlineStr">
        <is>
          <t>2026-08-03T22:56:10.108615Z</t>
        </is>
      </c>
      <c r="BI149" s="24" t="inlineStr">
        <is>
          <t>["same_event","same_team_same_day","same_league_same_day"]</t>
        </is>
      </c>
      <c r="BJ149" s="25" t="n"/>
      <c r="BK149" s="26" t="n">
        <v>-104</v>
      </c>
      <c r="BL149" s="27" t="n">
        <v>1.961538</v>
      </c>
      <c r="BM149" s="28" t="n">
        <v>0.509804</v>
      </c>
      <c r="BN149" s="28" t="n"/>
      <c r="BO149" s="28" t="n"/>
      <c r="BP149" s="25" t="n"/>
      <c r="BQ149" s="27" t="n">
        <v>1.961538</v>
      </c>
      <c r="BR149" s="28" t="n">
        <v>0.51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</row>
    <row r="150" ht="36" customHeight="1">
      <c r="A150" s="24" t="inlineStr">
        <is>
          <t>6dc437d9e91b474e</t>
        </is>
      </c>
      <c r="B150" s="24" t="inlineStr">
        <is>
          <t>2026-08-03T22:56:40.367668Z</t>
        </is>
      </c>
      <c r="C150" s="24" t="inlineStr">
        <is>
          <t>2026-08-04T00:30Z</t>
        </is>
      </c>
      <c r="D150" s="24" t="inlineStr">
        <is>
          <t>421-2026:181817</t>
        </is>
      </c>
      <c r="E150" s="24" t="inlineStr">
        <is>
          <t>TENNIS</t>
        </is>
      </c>
      <c r="F150" s="24" t="inlineStr">
        <is>
          <t>Gael Monfils</t>
        </is>
      </c>
      <c r="G150" s="24" t="inlineStr">
        <is>
          <t>Kamil Majchrzak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-285</v>
      </c>
      <c r="M150" s="27" t="n">
        <v>1.350877</v>
      </c>
      <c r="N150" s="28" t="n">
        <v>0.74026</v>
      </c>
      <c r="O150" s="28" t="n">
        <v>0.679751</v>
      </c>
      <c r="P150" s="28" t="n">
        <v>0.05</v>
      </c>
      <c r="Q150" s="28" t="n">
        <v>-0.060509</v>
      </c>
      <c r="R150" s="26" t="n">
        <v>0</v>
      </c>
      <c r="S150" s="29" t="n">
        <v>1.75</v>
      </c>
      <c r="T150" s="24" t="inlineStr">
        <is>
          <t>tennis-surface-elo-v1</t>
        </is>
      </c>
      <c r="U150" s="24" t="inlineStr">
        <is>
          <t>settled</t>
        </is>
      </c>
      <c r="V150" s="24" t="inlineStr">
        <is>
          <t>loss</t>
        </is>
      </c>
      <c r="W150" s="26" t="n">
        <v>1</v>
      </c>
      <c r="X150" s="26" t="n">
        <v>0</v>
      </c>
      <c r="Y150" s="25" t="n"/>
      <c r="Z150" s="26" t="n">
        <v>-285</v>
      </c>
      <c r="AA150" s="28" t="n">
        <v>0.74</v>
      </c>
      <c r="AB150" s="28" t="n">
        <v>-0.00026</v>
      </c>
      <c r="AC150" s="30" t="n">
        <v>-1.75</v>
      </c>
      <c r="AD150" s="24" t="inlineStr">
        <is>
          <t>2026-08-04T03:58:07.952035Z</t>
        </is>
      </c>
      <c r="AE150" s="31" t="inlineStr">
        <is>
          <t>Surface-blended Elo on Hard: Gael Monfils p=0.320 vs Kamil Majchrzak. Executable ask 0.7400 (aec-atp-kammaj-gaemon-2026-08-03).</t>
        </is>
      </c>
      <c r="AF150" s="31" t="inlineStr">
        <is>
          <t>Surface-blended Elo model; singles only, WTA+ATP market coverage, not yet locked-holdout qualified -- promoted by explicit operator directive, not genuine walk-forward validation.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NO_CALL_LOW_EDGE</t>
        </is>
      </c>
      <c r="AP150" s="24" t="inlineStr">
        <is>
          <t>Gael Monfils</t>
        </is>
      </c>
      <c r="AQ150" s="24" t="inlineStr">
        <is>
          <t>Gael Monfils</t>
        </is>
      </c>
      <c r="AR150" s="24" t="inlineStr">
        <is>
          <t>Gael Monfils</t>
        </is>
      </c>
      <c r="AS150" s="24" t="inlineStr">
        <is>
          <t>Kamil Majchrzak</t>
        </is>
      </c>
      <c r="AT150" s="24" t="inlineStr">
        <is>
          <t>Kamil Majchrzak</t>
        </is>
      </c>
      <c r="AU150" s="24" t="inlineStr">
        <is>
          <t>Kamil Majchrzak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60749ecfb3f1405f12fbceda11b7e64f2473d40dd327256f9da20b2146b6ae03</t>
        </is>
      </c>
      <c r="BB150" s="24" t="inlineStr">
        <is>
          <t>surface_blended_elo</t>
        </is>
      </c>
      <c r="BC150" s="24" t="inlineStr">
        <is>
          <t>tennis-surface-elo-v1</t>
        </is>
      </c>
      <c r="BD150" s="24" t="inlineStr">
        <is>
          <t>60749ecfb3f1405f12fbceda11b7e64f2473d40dd327256f9da20b2146b6ae03</t>
        </is>
      </c>
      <c r="BE150" s="24" t="inlineStr">
        <is>
          <t>tennis-surface-elo-v1</t>
        </is>
      </c>
      <c r="BF150" s="24" t="inlineStr">
        <is>
          <t>1</t>
        </is>
      </c>
      <c r="BG150" s="24" t="inlineStr">
        <is>
          <t>60749ecfb3f1405f12fbceda11b7e64f2473d40dd327256f9da20b2146b6ae03</t>
        </is>
      </c>
      <c r="BH150" s="24" t="inlineStr">
        <is>
          <t>2026-08-03T22:56:20.392064Z</t>
        </is>
      </c>
      <c r="BI150" s="24" t="inlineStr">
        <is>
          <t>["same_event","same_team_same_day","same_league_same_day"]</t>
        </is>
      </c>
      <c r="BJ150" s="25" t="n"/>
      <c r="BK150" s="26" t="n">
        <v>-285</v>
      </c>
      <c r="BL150" s="27" t="n">
        <v>1.350877</v>
      </c>
      <c r="BM150" s="28" t="n">
        <v>0.74026</v>
      </c>
      <c r="BN150" s="28" t="n"/>
      <c r="BO150" s="28" t="n"/>
      <c r="BP150" s="25" t="n"/>
      <c r="BQ150" s="27" t="n">
        <v>1.350877</v>
      </c>
      <c r="BR150" s="28" t="n">
        <v>0.74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</row>
    <row r="151" ht="36" customHeight="1">
      <c r="A151" s="24" t="inlineStr">
        <is>
          <t>b89c107ad5ba4209</t>
        </is>
      </c>
      <c r="B151" s="24" t="inlineStr">
        <is>
          <t>2026-08-04T08:54:59.561456Z</t>
        </is>
      </c>
      <c r="C151" s="24" t="inlineStr">
        <is>
          <t>2026-08-04T09:00Z</t>
        </is>
      </c>
      <c r="D151" s="24" t="inlineStr">
        <is>
          <t>961-2026:182094</t>
        </is>
      </c>
      <c r="E151" s="24" t="inlineStr">
        <is>
          <t>TENNIS</t>
        </is>
      </c>
      <c r="F151" s="24" t="inlineStr">
        <is>
          <t>Justina Mikulskyte</t>
        </is>
      </c>
      <c r="G151" s="24" t="inlineStr">
        <is>
          <t>Weronika Ewald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127</v>
      </c>
      <c r="M151" s="27" t="n">
        <v>2.27</v>
      </c>
      <c r="N151" s="28" t="n">
        <v>0.440529</v>
      </c>
      <c r="O151" s="28" t="n">
        <v>0.589516</v>
      </c>
      <c r="P151" s="28" t="n">
        <v>0.05</v>
      </c>
      <c r="Q151" s="28" t="n">
        <v>0.148987</v>
      </c>
      <c r="R151" s="26" t="n">
        <v>94</v>
      </c>
      <c r="S151" s="29" t="n">
        <v>1.25</v>
      </c>
      <c r="T151" s="24" t="inlineStr">
        <is>
          <t>tennis-surface-elo-v1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>
        <v>127</v>
      </c>
      <c r="AA151" s="28" t="n">
        <v>0.44</v>
      </c>
      <c r="AB151" s="28" t="n">
        <v>-0.000529</v>
      </c>
      <c r="AC151" s="30" t="n">
        <v>-1.25</v>
      </c>
      <c r="AD151" s="24" t="inlineStr">
        <is>
          <t>2026-08-04T11:57:31.690972Z</t>
        </is>
      </c>
      <c r="AE151" s="31" t="inlineStr">
        <is>
          <t>Surface-blended Elo on Hard: Justina Mikulskyte p=0.410 vs Weronika Ewald. Executable ask 0.4400 (aec-wta-werewa-jusmik-2026-08-03).</t>
        </is>
      </c>
      <c r="AF151" s="31" t="inlineStr">
        <is>
          <t>Surface-blended Elo model; singles only, WTA+ATP market coverage, not yet locked-holdout qualified -- promoted by explicit operator directive, not genuine walk-forward validation.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NO_CALL_MODEL_UNVALIDATED</t>
        </is>
      </c>
      <c r="AP151" s="24" t="inlineStr">
        <is>
          <t>Justina Mikulskyte</t>
        </is>
      </c>
      <c r="AQ151" s="24" t="inlineStr">
        <is>
          <t>Justina Mikulskyte</t>
        </is>
      </c>
      <c r="AR151" s="24" t="inlineStr">
        <is>
          <t>Justina Mikulskyte</t>
        </is>
      </c>
      <c r="AS151" s="24" t="inlineStr">
        <is>
          <t>Weronika Ewald</t>
        </is>
      </c>
      <c r="AT151" s="24" t="inlineStr">
        <is>
          <t>Weronika Ewald</t>
        </is>
      </c>
      <c r="AU151" s="24" t="inlineStr">
        <is>
          <t>Weronika Ewald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60749ecfb3f1405f12fbceda11b7e64f2473d40dd327256f9da20b2146b6ae03</t>
        </is>
      </c>
      <c r="BB151" s="24" t="inlineStr">
        <is>
          <t>surface_blended_elo</t>
        </is>
      </c>
      <c r="BC151" s="24" t="inlineStr">
        <is>
          <t>tennis-surface-elo-v1</t>
        </is>
      </c>
      <c r="BD151" s="24" t="inlineStr">
        <is>
          <t>60749ecfb3f1405f12fbceda11b7e64f2473d40dd327256f9da20b2146b6ae03</t>
        </is>
      </c>
      <c r="BE151" s="24" t="inlineStr">
        <is>
          <t>tennis-surface-elo-v1</t>
        </is>
      </c>
      <c r="BF151" s="24" t="inlineStr">
        <is>
          <t>1</t>
        </is>
      </c>
      <c r="BG151" s="24" t="inlineStr">
        <is>
          <t>60749ecfb3f1405f12fbceda11b7e64f2473d40dd327256f9da20b2146b6ae03</t>
        </is>
      </c>
      <c r="BH151" s="24" t="inlineStr">
        <is>
          <t>2026-08-04T08:53:31.682126Z</t>
        </is>
      </c>
      <c r="BI151" s="24" t="inlineStr">
        <is>
          <t>["same_event","same_team_same_day","same_league_same_day"]</t>
        </is>
      </c>
      <c r="BJ151" s="25" t="n"/>
      <c r="BK151" s="26" t="n">
        <v>127</v>
      </c>
      <c r="BL151" s="27" t="n">
        <v>2.27</v>
      </c>
      <c r="BM151" s="28" t="n">
        <v>0.440529</v>
      </c>
      <c r="BN151" s="28" t="n"/>
      <c r="BO151" s="28" t="n"/>
      <c r="BP151" s="25" t="n"/>
      <c r="BQ151" s="27" t="n">
        <v>2.27</v>
      </c>
      <c r="BR151" s="28" t="n">
        <v>0.44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</row>
    <row r="152" ht="36" customHeight="1">
      <c r="A152" s="24" t="inlineStr">
        <is>
          <t>8612244b5fd64414</t>
        </is>
      </c>
      <c r="B152" s="24" t="inlineStr">
        <is>
          <t>2026-08-04T08:54:59.561456Z</t>
        </is>
      </c>
      <c r="C152" s="24" t="inlineStr">
        <is>
          <t>2026-08-04T09:00Z</t>
        </is>
      </c>
      <c r="D152" s="24" t="inlineStr">
        <is>
          <t>961-2026:182089</t>
        </is>
      </c>
      <c r="E152" s="24" t="inlineStr">
        <is>
          <t>TENNIS</t>
        </is>
      </c>
      <c r="F152" s="24" t="inlineStr">
        <is>
          <t>Carol Young Suh Lee</t>
        </is>
      </c>
      <c r="G152" s="24" t="inlineStr">
        <is>
          <t>Elsa Jacquemot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-163</v>
      </c>
      <c r="M152" s="27" t="n">
        <v>1.613497</v>
      </c>
      <c r="N152" s="28" t="n">
        <v>0.619772</v>
      </c>
      <c r="O152" s="28" t="n">
        <v>0.60078</v>
      </c>
      <c r="P152" s="28" t="n">
        <v>0.05</v>
      </c>
      <c r="Q152" s="28" t="n">
        <v>-0.018992</v>
      </c>
      <c r="R152" s="26" t="n">
        <v>11</v>
      </c>
      <c r="S152" s="29" t="n">
        <v>1.25</v>
      </c>
      <c r="T152" s="24" t="inlineStr">
        <is>
          <t>tennis-surface-elo-v1</t>
        </is>
      </c>
      <c r="U152" s="24" t="inlineStr">
        <is>
          <t>settled</t>
        </is>
      </c>
      <c r="V152" s="24" t="inlineStr">
        <is>
          <t>win</t>
        </is>
      </c>
      <c r="W152" s="26" t="n">
        <v>1</v>
      </c>
      <c r="X152" s="26" t="n">
        <v>0</v>
      </c>
      <c r="Y152" s="25" t="n"/>
      <c r="Z152" s="26" t="n">
        <v>-163</v>
      </c>
      <c r="AA152" s="28" t="n">
        <v>0.62</v>
      </c>
      <c r="AB152" s="28" t="n">
        <v>0.000228</v>
      </c>
      <c r="AC152" s="30" t="n">
        <v>0.7669</v>
      </c>
      <c r="AD152" s="24" t="inlineStr">
        <is>
          <t>2026-08-04T11:57:32.547692Z</t>
        </is>
      </c>
      <c r="AE152" s="31" t="inlineStr">
        <is>
          <t>Surface-blended Elo on Hard: Carol Young Suh Lee p=0.601 vs Elsa Jacquemot. Executable ask 0.6200 (aec-wta-elsjac-carlee-2026-08-03).</t>
        </is>
      </c>
      <c r="AF152" s="31" t="inlineStr">
        <is>
          <t>Surface-blended Elo model; singles only, WTA+ATP market coverage, not yet locked-holdout qualified -- promoted by explicit operator directive, not genuine walk-forward validation.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NO_CALL_LOW_EDGE</t>
        </is>
      </c>
      <c r="AP152" s="24" t="inlineStr">
        <is>
          <t>Carol Young Suh Lee</t>
        </is>
      </c>
      <c r="AQ152" s="24" t="inlineStr">
        <is>
          <t>Carol Young Suh Lee</t>
        </is>
      </c>
      <c r="AR152" s="24" t="inlineStr">
        <is>
          <t>Carol Young Suh Lee</t>
        </is>
      </c>
      <c r="AS152" s="24" t="inlineStr">
        <is>
          <t>Elsa Jacquemot</t>
        </is>
      </c>
      <c r="AT152" s="24" t="inlineStr">
        <is>
          <t>Elsa Jacquemot</t>
        </is>
      </c>
      <c r="AU152" s="24" t="inlineStr">
        <is>
          <t>Elsa Jacquemot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60749ecfb3f1405f12fbceda11b7e64f2473d40dd327256f9da20b2146b6ae03</t>
        </is>
      </c>
      <c r="BB152" s="24" t="inlineStr">
        <is>
          <t>surface_blended_elo</t>
        </is>
      </c>
      <c r="BC152" s="24" t="inlineStr">
        <is>
          <t>tennis-surface-elo-v1</t>
        </is>
      </c>
      <c r="BD152" s="24" t="inlineStr">
        <is>
          <t>60749ecfb3f1405f12fbceda11b7e64f2473d40dd327256f9da20b2146b6ae03</t>
        </is>
      </c>
      <c r="BE152" s="24" t="inlineStr">
        <is>
          <t>tennis-surface-elo-v1</t>
        </is>
      </c>
      <c r="BF152" s="24" t="inlineStr">
        <is>
          <t>1</t>
        </is>
      </c>
      <c r="BG152" s="24" t="inlineStr">
        <is>
          <t>60749ecfb3f1405f12fbceda11b7e64f2473d40dd327256f9da20b2146b6ae03</t>
        </is>
      </c>
      <c r="BH152" s="24" t="inlineStr">
        <is>
          <t>2026-08-04T08:53:31.683641Z</t>
        </is>
      </c>
      <c r="BI152" s="24" t="inlineStr">
        <is>
          <t>["same_event","same_team_same_day","same_league_same_day"]</t>
        </is>
      </c>
      <c r="BJ152" s="25" t="n"/>
      <c r="BK152" s="26" t="n">
        <v>-163</v>
      </c>
      <c r="BL152" s="27" t="n">
        <v>1.613497</v>
      </c>
      <c r="BM152" s="28" t="n">
        <v>0.619772</v>
      </c>
      <c r="BN152" s="28" t="n"/>
      <c r="BO152" s="28" t="n"/>
      <c r="BP152" s="25" t="n"/>
      <c r="BQ152" s="27" t="n">
        <v>1.613497</v>
      </c>
      <c r="BR152" s="28" t="n">
        <v>0.62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</row>
    <row r="153" ht="36" customHeight="1">
      <c r="A153" s="24" t="inlineStr">
        <is>
          <t>a89260ea60b44bd5</t>
        </is>
      </c>
      <c r="B153" s="24" t="inlineStr">
        <is>
          <t>2026-08-04T08:54:59.561456Z</t>
        </is>
      </c>
      <c r="C153" s="24" t="inlineStr">
        <is>
          <t>2026-08-04T09:00Z</t>
        </is>
      </c>
      <c r="D153" s="24" t="inlineStr">
        <is>
          <t>961-2026:182083</t>
        </is>
      </c>
      <c r="E153" s="24" t="inlineStr">
        <is>
          <t>TENNIS</t>
        </is>
      </c>
      <c r="F153" s="24" t="inlineStr">
        <is>
          <t>Susan Bandecchi</t>
        </is>
      </c>
      <c r="G153" s="24" t="inlineStr">
        <is>
          <t>Viktoria Hruncakova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100</v>
      </c>
      <c r="M153" s="27" t="n">
        <v>2</v>
      </c>
      <c r="N153" s="28" t="n">
        <v>0.5</v>
      </c>
      <c r="O153" s="28" t="n">
        <v>0.548768</v>
      </c>
      <c r="P153" s="28" t="n">
        <v>0.05</v>
      </c>
      <c r="Q153" s="28" t="n">
        <v>0.048768</v>
      </c>
      <c r="R153" s="26" t="n">
        <v>44</v>
      </c>
      <c r="S153" s="29" t="n">
        <v>1</v>
      </c>
      <c r="T153" s="24" t="inlineStr">
        <is>
          <t>tennis-surface-elo-v1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>
        <v>100</v>
      </c>
      <c r="AA153" s="28" t="n">
        <v>0.5</v>
      </c>
      <c r="AB153" s="28" t="n">
        <v>0</v>
      </c>
      <c r="AC153" s="30" t="n">
        <v>1</v>
      </c>
      <c r="AD153" s="24" t="inlineStr">
        <is>
          <t>2026-08-04T11:57:33.428422Z</t>
        </is>
      </c>
      <c r="AE153" s="31" t="inlineStr">
        <is>
          <t>Surface-blended Elo on Hard: Susan Bandecchi p=0.549 vs Viktoria Hruncakova. Executable ask 0.5000 (aec-wta-vikhru-susban-2026-08-03).</t>
        </is>
      </c>
      <c r="AF153" s="31" t="inlineStr">
        <is>
          <t>Surface-blended Elo model; singles only, WTA+ATP market coverage, not yet locked-holdout qualified -- promoted by explicit operator directive, not genuine walk-forward validation.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NO_CALL_LOW_EDGE</t>
        </is>
      </c>
      <c r="AP153" s="24" t="inlineStr">
        <is>
          <t>Susan Bandecchi</t>
        </is>
      </c>
      <c r="AQ153" s="24" t="inlineStr">
        <is>
          <t>Susan Bandecchi</t>
        </is>
      </c>
      <c r="AR153" s="24" t="inlineStr">
        <is>
          <t>Susan Bandecchi</t>
        </is>
      </c>
      <c r="AS153" s="24" t="inlineStr">
        <is>
          <t>Viktoria Hruncakova</t>
        </is>
      </c>
      <c r="AT153" s="24" t="inlineStr">
        <is>
          <t>Viktoria Hruncakova</t>
        </is>
      </c>
      <c r="AU153" s="24" t="inlineStr">
        <is>
          <t>Viktoria Hruncakova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60749ecfb3f1405f12fbceda11b7e64f2473d40dd327256f9da20b2146b6ae03</t>
        </is>
      </c>
      <c r="BB153" s="24" t="inlineStr">
        <is>
          <t>surface_blended_elo</t>
        </is>
      </c>
      <c r="BC153" s="24" t="inlineStr">
        <is>
          <t>tennis-surface-elo-v1</t>
        </is>
      </c>
      <c r="BD153" s="24" t="inlineStr">
        <is>
          <t>60749ecfb3f1405f12fbceda11b7e64f2473d40dd327256f9da20b2146b6ae03</t>
        </is>
      </c>
      <c r="BE153" s="24" t="inlineStr">
        <is>
          <t>tennis-surface-elo-v1</t>
        </is>
      </c>
      <c r="BF153" s="24" t="inlineStr">
        <is>
          <t>1</t>
        </is>
      </c>
      <c r="BG153" s="24" t="inlineStr">
        <is>
          <t>60749ecfb3f1405f12fbceda11b7e64f2473d40dd327256f9da20b2146b6ae03</t>
        </is>
      </c>
      <c r="BH153" s="24" t="inlineStr">
        <is>
          <t>2026-08-04T08:53:31.509930Z</t>
        </is>
      </c>
      <c r="BI153" s="24" t="inlineStr">
        <is>
          <t>["same_event","same_team_same_day","same_league_same_day"]</t>
        </is>
      </c>
      <c r="BJ153" s="25" t="n"/>
      <c r="BK153" s="26" t="n">
        <v>100</v>
      </c>
      <c r="BL153" s="27" t="n">
        <v>2</v>
      </c>
      <c r="BM153" s="28" t="n">
        <v>0.5</v>
      </c>
      <c r="BN153" s="28" t="n"/>
      <c r="BO153" s="28" t="n"/>
      <c r="BP153" s="25" t="n"/>
      <c r="BQ153" s="27" t="n">
        <v>2</v>
      </c>
      <c r="BR153" s="28" t="n">
        <v>0.5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</row>
    <row r="154" ht="36" customHeight="1">
      <c r="A154" s="24" t="inlineStr">
        <is>
          <t>1b49058ee90f436d</t>
        </is>
      </c>
      <c r="B154" s="24" t="inlineStr">
        <is>
          <t>2026-08-04T08:54:59.561456Z</t>
        </is>
      </c>
      <c r="C154" s="24" t="inlineStr">
        <is>
          <t>2026-08-04T10:30Z</t>
        </is>
      </c>
      <c r="D154" s="24" t="inlineStr">
        <is>
          <t>961-2026:182091</t>
        </is>
      </c>
      <c r="E154" s="24" t="inlineStr">
        <is>
          <t>TENNIS</t>
        </is>
      </c>
      <c r="F154" s="24" t="inlineStr">
        <is>
          <t>Vendula Valdmannova</t>
        </is>
      </c>
      <c r="G154" s="24" t="inlineStr">
        <is>
          <t>Marcelina Podlinska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-525</v>
      </c>
      <c r="M154" s="27" t="n">
        <v>1.190476</v>
      </c>
      <c r="N154" s="28" t="n">
        <v>0.84</v>
      </c>
      <c r="O154" s="28" t="n">
        <v>0.601999</v>
      </c>
      <c r="P154" s="28" t="n">
        <v>0.05</v>
      </c>
      <c r="Q154" s="28" t="n">
        <v>-0.238001</v>
      </c>
      <c r="R154" s="26" t="n">
        <v>0</v>
      </c>
      <c r="S154" s="29" t="n">
        <v>1.25</v>
      </c>
      <c r="T154" s="24" t="inlineStr">
        <is>
          <t>tennis-surface-elo-v1</t>
        </is>
      </c>
      <c r="U154" s="24" t="inlineStr">
        <is>
          <t>settled</t>
        </is>
      </c>
      <c r="V154" s="24" t="inlineStr">
        <is>
          <t>win</t>
        </is>
      </c>
      <c r="W154" s="26" t="n">
        <v>1</v>
      </c>
      <c r="X154" s="26" t="n">
        <v>0</v>
      </c>
      <c r="Y154" s="25" t="n"/>
      <c r="Z154" s="26" t="n">
        <v>-525</v>
      </c>
      <c r="AA154" s="28" t="n">
        <v>0.84</v>
      </c>
      <c r="AB154" s="28" t="n">
        <v>0</v>
      </c>
      <c r="AC154" s="30" t="n">
        <v>0.2381</v>
      </c>
      <c r="AD154" s="24" t="inlineStr">
        <is>
          <t>2026-08-04T14:02:58.204431Z</t>
        </is>
      </c>
      <c r="AE154" s="31" t="inlineStr">
        <is>
          <t>Surface-blended Elo on Hard: Vendula Valdmannova p=0.602 vs Marcelina Podlinska. Executable ask 0.8400 (aec-wta-marpod-venval-2026-08-04).</t>
        </is>
      </c>
      <c r="AF154" s="31" t="inlineStr">
        <is>
          <t>Surface-blended Elo model; singles only, WTA+ATP market coverage, not yet locked-holdout qualified -- promoted by explicit operator directive, not genuine walk-forward validation.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NO_CALL_MODEL_UNVALIDATED</t>
        </is>
      </c>
      <c r="AP154" s="24" t="inlineStr">
        <is>
          <t>Vendula Valdmannova</t>
        </is>
      </c>
      <c r="AQ154" s="24" t="inlineStr">
        <is>
          <t>Vendula Valdmannova</t>
        </is>
      </c>
      <c r="AR154" s="24" t="inlineStr">
        <is>
          <t>Vendula Valdmannova</t>
        </is>
      </c>
      <c r="AS154" s="24" t="inlineStr">
        <is>
          <t>Marcelina Podlinska</t>
        </is>
      </c>
      <c r="AT154" s="24" t="inlineStr">
        <is>
          <t>Marcelina Podlinska</t>
        </is>
      </c>
      <c r="AU154" s="24" t="inlineStr">
        <is>
          <t>Marcelina Podlinska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60749ecfb3f1405f12fbceda11b7e64f2473d40dd327256f9da20b2146b6ae03</t>
        </is>
      </c>
      <c r="BB154" s="24" t="inlineStr">
        <is>
          <t>surface_blended_elo</t>
        </is>
      </c>
      <c r="BC154" s="24" t="inlineStr">
        <is>
          <t>tennis-surface-elo-v1</t>
        </is>
      </c>
      <c r="BD154" s="24" t="inlineStr">
        <is>
          <t>60749ecfb3f1405f12fbceda11b7e64f2473d40dd327256f9da20b2146b6ae03</t>
        </is>
      </c>
      <c r="BE154" s="24" t="inlineStr">
        <is>
          <t>tennis-surface-elo-v1</t>
        </is>
      </c>
      <c r="BF154" s="24" t="inlineStr">
        <is>
          <t>1</t>
        </is>
      </c>
      <c r="BG154" s="24" t="inlineStr">
        <is>
          <t>60749ecfb3f1405f12fbceda11b7e64f2473d40dd327256f9da20b2146b6ae03</t>
        </is>
      </c>
      <c r="BH154" s="24" t="inlineStr">
        <is>
          <t>2026-08-04T08:53:31.401094Z</t>
        </is>
      </c>
      <c r="BI154" s="24" t="inlineStr">
        <is>
          <t>["same_event","same_team_same_day","same_league_same_day"]</t>
        </is>
      </c>
      <c r="BJ154" s="25" t="n"/>
      <c r="BK154" s="26" t="n">
        <v>-525</v>
      </c>
      <c r="BL154" s="27" t="n">
        <v>1.190476</v>
      </c>
      <c r="BM154" s="28" t="n">
        <v>0.84</v>
      </c>
      <c r="BN154" s="28" t="n"/>
      <c r="BO154" s="28" t="n"/>
      <c r="BP154" s="25" t="n"/>
      <c r="BQ154" s="27" t="n">
        <v>1.190476</v>
      </c>
      <c r="BR154" s="28" t="n">
        <v>0.84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</row>
    <row r="155" ht="36" customHeight="1">
      <c r="A155" s="24" t="inlineStr">
        <is>
          <t>947f11183dd046dd</t>
        </is>
      </c>
      <c r="B155" s="24" t="inlineStr">
        <is>
          <t>2026-08-04T08:54:59.561456Z</t>
        </is>
      </c>
      <c r="C155" s="24" t="inlineStr">
        <is>
          <t>2026-08-04T10:30Z</t>
        </is>
      </c>
      <c r="D155" s="24" t="inlineStr">
        <is>
          <t>961-2026:182092</t>
        </is>
      </c>
      <c r="E155" s="24" t="inlineStr">
        <is>
          <t>TENNIS</t>
        </is>
      </c>
      <c r="F155" s="24" t="inlineStr">
        <is>
          <t>Ella Seidel</t>
        </is>
      </c>
      <c r="G155" s="24" t="inlineStr">
        <is>
          <t>Dalma Galfi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100</v>
      </c>
      <c r="M155" s="27" t="n">
        <v>2</v>
      </c>
      <c r="N155" s="28" t="n">
        <v>0.5</v>
      </c>
      <c r="O155" s="28" t="n">
        <v>0.511713</v>
      </c>
      <c r="P155" s="28" t="n">
        <v>0.05</v>
      </c>
      <c r="Q155" s="28" t="n">
        <v>0.011713</v>
      </c>
      <c r="R155" s="26" t="n">
        <v>26</v>
      </c>
      <c r="S155" s="29" t="n">
        <v>1</v>
      </c>
      <c r="T155" s="24" t="inlineStr">
        <is>
          <t>tennis-surface-elo-v1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>
        <v>100</v>
      </c>
      <c r="AA155" s="28" t="n">
        <v>0.5</v>
      </c>
      <c r="AB155" s="28" t="n">
        <v>0</v>
      </c>
      <c r="AC155" s="30" t="n">
        <v>-1</v>
      </c>
      <c r="AD155" s="24" t="inlineStr">
        <is>
          <t>2026-08-04T14:02:59.155087Z</t>
        </is>
      </c>
      <c r="AE155" s="31" t="inlineStr">
        <is>
          <t>Surface-blended Elo on Hard: Ella Seidel p=0.488 vs Dalma Galfi. Executable ask 0.5000 (aec-wta-dalgal-ellsei-2026-08-03).</t>
        </is>
      </c>
      <c r="AF155" s="31" t="inlineStr">
        <is>
          <t>Surface-blended Elo model; singles only, WTA+ATP market coverage, not yet locked-holdout qualified -- promoted by explicit operator directive, not genuine walk-forward validation.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NO_CALL_LOW_EDGE</t>
        </is>
      </c>
      <c r="AP155" s="24" t="inlineStr">
        <is>
          <t>Ella Seidel</t>
        </is>
      </c>
      <c r="AQ155" s="24" t="inlineStr">
        <is>
          <t>Ella Seidel</t>
        </is>
      </c>
      <c r="AR155" s="24" t="inlineStr">
        <is>
          <t>Ella Seidel</t>
        </is>
      </c>
      <c r="AS155" s="24" t="inlineStr">
        <is>
          <t>Dalma Galfi</t>
        </is>
      </c>
      <c r="AT155" s="24" t="inlineStr">
        <is>
          <t>Dalma Galfi</t>
        </is>
      </c>
      <c r="AU155" s="24" t="inlineStr">
        <is>
          <t>Dalma Galfi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60749ecfb3f1405f12fbceda11b7e64f2473d40dd327256f9da20b2146b6ae03</t>
        </is>
      </c>
      <c r="BB155" s="24" t="inlineStr">
        <is>
          <t>surface_blended_elo</t>
        </is>
      </c>
      <c r="BC155" s="24" t="inlineStr">
        <is>
          <t>tennis-surface-elo-v1</t>
        </is>
      </c>
      <c r="BD155" s="24" t="inlineStr">
        <is>
          <t>60749ecfb3f1405f12fbceda11b7e64f2473d40dd327256f9da20b2146b6ae03</t>
        </is>
      </c>
      <c r="BE155" s="24" t="inlineStr">
        <is>
          <t>tennis-surface-elo-v1</t>
        </is>
      </c>
      <c r="BF155" s="24" t="inlineStr">
        <is>
          <t>1</t>
        </is>
      </c>
      <c r="BG155" s="24" t="inlineStr">
        <is>
          <t>60749ecfb3f1405f12fbceda11b7e64f2473d40dd327256f9da20b2146b6ae03</t>
        </is>
      </c>
      <c r="BH155" s="24" t="inlineStr">
        <is>
          <t>2026-08-04T08:53:31.615874Z</t>
        </is>
      </c>
      <c r="BI155" s="24" t="inlineStr">
        <is>
          <t>["same_event","same_team_same_day","same_league_same_day"]</t>
        </is>
      </c>
      <c r="BJ155" s="25" t="n"/>
      <c r="BK155" s="26" t="n">
        <v>100</v>
      </c>
      <c r="BL155" s="27" t="n">
        <v>2</v>
      </c>
      <c r="BM155" s="28" t="n">
        <v>0.5</v>
      </c>
      <c r="BN155" s="28" t="n"/>
      <c r="BO155" s="28" t="n"/>
      <c r="BP155" s="25" t="n"/>
      <c r="BQ155" s="27" t="n">
        <v>2</v>
      </c>
      <c r="BR155" s="28" t="n">
        <v>0.5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</row>
    <row r="156" ht="36" customHeight="1">
      <c r="A156" s="24" t="inlineStr">
        <is>
          <t>f525da2ffd0e4936</t>
        </is>
      </c>
      <c r="B156" s="24" t="inlineStr">
        <is>
          <t>2026-08-04T08:54:59.561456Z</t>
        </is>
      </c>
      <c r="C156" s="24" t="inlineStr">
        <is>
          <t>2026-08-04T10:30Z</t>
        </is>
      </c>
      <c r="D156" s="24" t="inlineStr">
        <is>
          <t>961-2026:182088</t>
        </is>
      </c>
      <c r="E156" s="24" t="inlineStr">
        <is>
          <t>TENNIS</t>
        </is>
      </c>
      <c r="F156" s="24" t="inlineStr">
        <is>
          <t>Elizara Yaneva</t>
        </is>
      </c>
      <c r="G156" s="24" t="inlineStr">
        <is>
          <t>Linda Klimovicova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-104</v>
      </c>
      <c r="M156" s="27" t="n">
        <v>1.961538</v>
      </c>
      <c r="N156" s="28" t="n">
        <v>0.509804</v>
      </c>
      <c r="O156" s="28" t="n">
        <v>0.578623</v>
      </c>
      <c r="P156" s="28" t="n">
        <v>0.05</v>
      </c>
      <c r="Q156" s="28" t="n">
        <v>0.06881900000000001</v>
      </c>
      <c r="R156" s="26" t="n">
        <v>54</v>
      </c>
      <c r="S156" s="29" t="n">
        <v>1.25</v>
      </c>
      <c r="T156" s="24" t="inlineStr">
        <is>
          <t>tennis-surface-elo-v1</t>
        </is>
      </c>
      <c r="U156" s="24" t="inlineStr">
        <is>
          <t>settled</t>
        </is>
      </c>
      <c r="V156" s="24" t="inlineStr">
        <is>
          <t>loss</t>
        </is>
      </c>
      <c r="W156" s="26" t="n">
        <v>1</v>
      </c>
      <c r="X156" s="26" t="n">
        <v>0</v>
      </c>
      <c r="Y156" s="25" t="n"/>
      <c r="Z156" s="26" t="n">
        <v>-104</v>
      </c>
      <c r="AA156" s="28" t="n">
        <v>0.51</v>
      </c>
      <c r="AB156" s="28" t="n">
        <v>0.000196</v>
      </c>
      <c r="AC156" s="30" t="n">
        <v>-1.25</v>
      </c>
      <c r="AD156" s="24" t="inlineStr">
        <is>
          <t>2026-08-04T14:03:00.110823Z</t>
        </is>
      </c>
      <c r="AE156" s="31" t="inlineStr">
        <is>
          <t>Surface-blended Elo on Hard: Elizara Yaneva p=0.421 vs Linda Klimovicova. Executable ask 0.5100 (aec-wta-linkli-eliyan-2026-08-03).</t>
        </is>
      </c>
      <c r="AF156" s="31" t="inlineStr">
        <is>
          <t>Surface-blended Elo model; singles only, WTA+ATP market coverage, not yet locked-holdout qualified -- promoted by explicit operator directive, not genuine walk-forward validation.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Elizara Yaneva</t>
        </is>
      </c>
      <c r="AQ156" s="24" t="inlineStr">
        <is>
          <t>Elizara Yaneva</t>
        </is>
      </c>
      <c r="AR156" s="24" t="inlineStr">
        <is>
          <t>Elizara Yaneva</t>
        </is>
      </c>
      <c r="AS156" s="24" t="inlineStr">
        <is>
          <t>Linda Klimovicova</t>
        </is>
      </c>
      <c r="AT156" s="24" t="inlineStr">
        <is>
          <t>Linda Klimovicova</t>
        </is>
      </c>
      <c r="AU156" s="24" t="inlineStr">
        <is>
          <t>Linda Klimovicova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60749ecfb3f1405f12fbceda11b7e64f2473d40dd327256f9da20b2146b6ae03</t>
        </is>
      </c>
      <c r="BB156" s="24" t="inlineStr">
        <is>
          <t>surface_blended_elo</t>
        </is>
      </c>
      <c r="BC156" s="24" t="inlineStr">
        <is>
          <t>tennis-surface-elo-v1</t>
        </is>
      </c>
      <c r="BD156" s="24" t="inlineStr">
        <is>
          <t>60749ecfb3f1405f12fbceda11b7e64f2473d40dd327256f9da20b2146b6ae03</t>
        </is>
      </c>
      <c r="BE156" s="24" t="inlineStr">
        <is>
          <t>tennis-surface-elo-v1</t>
        </is>
      </c>
      <c r="BF156" s="24" t="inlineStr">
        <is>
          <t>1</t>
        </is>
      </c>
      <c r="BG156" s="24" t="inlineStr">
        <is>
          <t>60749ecfb3f1405f12fbceda11b7e64f2473d40dd327256f9da20b2146b6ae03</t>
        </is>
      </c>
      <c r="BH156" s="24" t="inlineStr">
        <is>
          <t>2026-08-04T08:53:31.464146Z</t>
        </is>
      </c>
      <c r="BI156" s="24" t="inlineStr">
        <is>
          <t>["same_event","same_team_same_day","same_league_same_day"]</t>
        </is>
      </c>
      <c r="BJ156" s="25" t="n"/>
      <c r="BK156" s="26" t="n">
        <v>-104</v>
      </c>
      <c r="BL156" s="27" t="n">
        <v>1.961538</v>
      </c>
      <c r="BM156" s="28" t="n">
        <v>0.509804</v>
      </c>
      <c r="BN156" s="28" t="n"/>
      <c r="BO156" s="28" t="n"/>
      <c r="BP156" s="25" t="n"/>
      <c r="BQ156" s="27" t="n">
        <v>1.961538</v>
      </c>
      <c r="BR156" s="28" t="n">
        <v>0.51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</row>
    <row r="157" ht="36" customHeight="1">
      <c r="A157" s="24" t="inlineStr">
        <is>
          <t>4d47856d25dc49a4</t>
        </is>
      </c>
      <c r="B157" s="24" t="inlineStr">
        <is>
          <t>2026-08-04T12:00:14.325736Z</t>
        </is>
      </c>
      <c r="C157" s="24" t="inlineStr">
        <is>
          <t>2026-08-04T12:20Z</t>
        </is>
      </c>
      <c r="D157" s="24" t="inlineStr">
        <is>
          <t>961-2026:182096</t>
        </is>
      </c>
      <c r="E157" s="24" t="inlineStr">
        <is>
          <t>TENNIS</t>
        </is>
      </c>
      <c r="F157" s="24" t="inlineStr">
        <is>
          <t>Sofia Costoulas</t>
        </is>
      </c>
      <c r="G157" s="24" t="inlineStr">
        <is>
          <t>Gabriela Knutson</t>
        </is>
      </c>
      <c r="H157" s="24" t="inlineStr">
        <is>
          <t>moneyline</t>
        </is>
      </c>
      <c r="I157" s="24" t="inlineStr">
        <is>
          <t>away</t>
        </is>
      </c>
      <c r="J157" s="25" t="n"/>
      <c r="K157" s="24" t="inlineStr">
        <is>
          <t>polymarket_us</t>
        </is>
      </c>
      <c r="L157" s="26" t="n">
        <v>-170</v>
      </c>
      <c r="M157" s="27" t="n">
        <v>1.588235</v>
      </c>
      <c r="N157" s="28" t="n">
        <v>0.62963</v>
      </c>
      <c r="O157" s="28" t="n">
        <v>0.5347150000000001</v>
      </c>
      <c r="P157" s="28" t="n">
        <v>0.05</v>
      </c>
      <c r="Q157" s="28" t="n">
        <v>-0.094915</v>
      </c>
      <c r="R157" s="26" t="n">
        <v>0</v>
      </c>
      <c r="S157" s="29" t="n">
        <v>1</v>
      </c>
      <c r="T157" s="24" t="inlineStr">
        <is>
          <t>tennis-surface-elo-v1</t>
        </is>
      </c>
      <c r="U157" s="24" t="inlineStr">
        <is>
          <t>settled</t>
        </is>
      </c>
      <c r="V157" s="24" t="inlineStr">
        <is>
          <t>loss</t>
        </is>
      </c>
      <c r="W157" s="26" t="n">
        <v>0</v>
      </c>
      <c r="X157" s="26" t="n">
        <v>1</v>
      </c>
      <c r="Y157" s="25" t="n"/>
      <c r="Z157" s="26" t="n">
        <v>-170</v>
      </c>
      <c r="AA157" s="28" t="n">
        <v>0.63</v>
      </c>
      <c r="AB157" s="28" t="n">
        <v>0.00037</v>
      </c>
      <c r="AC157" s="30" t="n">
        <v>-1</v>
      </c>
      <c r="AD157" s="24" t="inlineStr">
        <is>
          <t>2026-08-04T14:03:01.006466Z</t>
        </is>
      </c>
      <c r="AE157" s="31" t="inlineStr">
        <is>
          <t>Surface-blended Elo on Hard: Sofia Costoulas p=0.535 vs Gabriela Knutson. Executable ask 0.6300 (aec-wta-gabknu-sofcos-2026-08-03).</t>
        </is>
      </c>
      <c r="AF157" s="31" t="inlineStr">
        <is>
          <t>Surface-blended Elo model; singles only, WTA+ATP market coverage, not yet locked-holdout qualified -- promoted by explicit operator directive, not genuine walk-forward validation.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NO_CALL_LOW_EDGE</t>
        </is>
      </c>
      <c r="AP157" s="24" t="inlineStr">
        <is>
          <t>Sofia Costoulas</t>
        </is>
      </c>
      <c r="AQ157" s="24" t="inlineStr">
        <is>
          <t>Sofia Costoulas</t>
        </is>
      </c>
      <c r="AR157" s="24" t="inlineStr">
        <is>
          <t>Sofia Costoulas</t>
        </is>
      </c>
      <c r="AS157" s="24" t="inlineStr">
        <is>
          <t>Gabriela Knutson</t>
        </is>
      </c>
      <c r="AT157" s="24" t="inlineStr">
        <is>
          <t>Gabriela Knutson</t>
        </is>
      </c>
      <c r="AU157" s="24" t="inlineStr">
        <is>
          <t>Gabriela Knutson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60749ecfb3f1405f12fbceda11b7e64f2473d40dd327256f9da20b2146b6ae03</t>
        </is>
      </c>
      <c r="BB157" s="24" t="inlineStr">
        <is>
          <t>surface_blended_elo</t>
        </is>
      </c>
      <c r="BC157" s="24" t="inlineStr">
        <is>
          <t>tennis-surface-elo-v1</t>
        </is>
      </c>
      <c r="BD157" s="24" t="inlineStr">
        <is>
          <t>60749ecfb3f1405f12fbceda11b7e64f2473d40dd327256f9da20b2146b6ae03</t>
        </is>
      </c>
      <c r="BE157" s="24" t="inlineStr">
        <is>
          <t>tennis-surface-elo-v1</t>
        </is>
      </c>
      <c r="BF157" s="24" t="inlineStr">
        <is>
          <t>1</t>
        </is>
      </c>
      <c r="BG157" s="24" t="inlineStr">
        <is>
          <t>60749ecfb3f1405f12fbceda11b7e64f2473d40dd327256f9da20b2146b6ae03</t>
        </is>
      </c>
      <c r="BH157" s="24" t="inlineStr">
        <is>
          <t>2026-08-04T11:58:51.342720Z</t>
        </is>
      </c>
      <c r="BI157" s="24" t="inlineStr">
        <is>
          <t>["same_event","same_team_same_day","same_league_same_day"]</t>
        </is>
      </c>
      <c r="BJ157" s="25" t="n"/>
      <c r="BK157" s="26" t="n">
        <v>-170</v>
      </c>
      <c r="BL157" s="27" t="n">
        <v>1.588235</v>
      </c>
      <c r="BM157" s="28" t="n">
        <v>0.62963</v>
      </c>
      <c r="BN157" s="28" t="n"/>
      <c r="BO157" s="28" t="n"/>
      <c r="BP157" s="25" t="n"/>
      <c r="BQ157" s="27" t="n">
        <v>1.588235</v>
      </c>
      <c r="BR157" s="28" t="n">
        <v>0.63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</row>
    <row r="158" ht="36" customHeight="1">
      <c r="A158" s="24" t="inlineStr">
        <is>
          <t>bfb700c9bc36404e</t>
        </is>
      </c>
      <c r="B158" s="24" t="inlineStr">
        <is>
          <t>2026-08-04T12:00:14.325736Z</t>
        </is>
      </c>
      <c r="C158" s="24" t="inlineStr">
        <is>
          <t>2026-08-04T12:30Z</t>
        </is>
      </c>
      <c r="D158" s="24" t="inlineStr">
        <is>
          <t>961-2026:182082</t>
        </is>
      </c>
      <c r="E158" s="24" t="inlineStr">
        <is>
          <t>TENNIS</t>
        </is>
      </c>
      <c r="F158" s="24" t="inlineStr">
        <is>
          <t>Mona Barthel</t>
        </is>
      </c>
      <c r="G158" s="24" t="inlineStr">
        <is>
          <t>Laura Samson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-223</v>
      </c>
      <c r="M158" s="27" t="n">
        <v>1.44843</v>
      </c>
      <c r="N158" s="28" t="n">
        <v>0.690402</v>
      </c>
      <c r="O158" s="28" t="n">
        <v>0.523723</v>
      </c>
      <c r="P158" s="28" t="n">
        <v>0.05</v>
      </c>
      <c r="Q158" s="28" t="n">
        <v>-0.166679</v>
      </c>
      <c r="R158" s="26" t="n">
        <v>0</v>
      </c>
      <c r="S158" s="29" t="n">
        <v>1</v>
      </c>
      <c r="T158" s="24" t="inlineStr">
        <is>
          <t>tennis-surface-elo-v1</t>
        </is>
      </c>
      <c r="U158" s="24" t="inlineStr">
        <is>
          <t>settled</t>
        </is>
      </c>
      <c r="V158" s="24" t="inlineStr">
        <is>
          <t>loss</t>
        </is>
      </c>
      <c r="W158" s="26" t="n">
        <v>1</v>
      </c>
      <c r="X158" s="26" t="n">
        <v>0</v>
      </c>
      <c r="Y158" s="25" t="n"/>
      <c r="Z158" s="26" t="n">
        <v>-223</v>
      </c>
      <c r="AA158" s="28" t="n">
        <v>0.6899999999999999</v>
      </c>
      <c r="AB158" s="28" t="n">
        <v>-0.000402</v>
      </c>
      <c r="AC158" s="30" t="n">
        <v>-1</v>
      </c>
      <c r="AD158" s="24" t="inlineStr">
        <is>
          <t>2026-08-04T14:21:54.127318Z</t>
        </is>
      </c>
      <c r="AE158" s="31" t="inlineStr">
        <is>
          <t>Surface-blended Elo on Hard: Mona Barthel p=0.476 vs Laura Samson. Executable ask 0.6900 (aec-wta-lausam-monbar-2026-08-03).</t>
        </is>
      </c>
      <c r="AF158" s="31" t="inlineStr">
        <is>
          <t>Surface-blended Elo model; singles only, WTA+ATP market coverage, not yet locked-holdout qualified -- promoted by explicit operator directive, not genuine walk-forward validation.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NO_CALL_LOW_EDGE</t>
        </is>
      </c>
      <c r="AP158" s="24" t="inlineStr">
        <is>
          <t>Mona Barthel</t>
        </is>
      </c>
      <c r="AQ158" s="24" t="inlineStr">
        <is>
          <t>Mona Barthel</t>
        </is>
      </c>
      <c r="AR158" s="24" t="inlineStr">
        <is>
          <t>Mona Barthel</t>
        </is>
      </c>
      <c r="AS158" s="24" t="inlineStr">
        <is>
          <t>Laura Samson</t>
        </is>
      </c>
      <c r="AT158" s="24" t="inlineStr">
        <is>
          <t>Laura Samson</t>
        </is>
      </c>
      <c r="AU158" s="24" t="inlineStr">
        <is>
          <t>Laura Samson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60749ecfb3f1405f12fbceda11b7e64f2473d40dd327256f9da20b2146b6ae03</t>
        </is>
      </c>
      <c r="BB158" s="24" t="inlineStr">
        <is>
          <t>surface_blended_elo</t>
        </is>
      </c>
      <c r="BC158" s="24" t="inlineStr">
        <is>
          <t>tennis-surface-elo-v1</t>
        </is>
      </c>
      <c r="BD158" s="24" t="inlineStr">
        <is>
          <t>60749ecfb3f1405f12fbceda11b7e64f2473d40dd327256f9da20b2146b6ae03</t>
        </is>
      </c>
      <c r="BE158" s="24" t="inlineStr">
        <is>
          <t>tennis-surface-elo-v1</t>
        </is>
      </c>
      <c r="BF158" s="24" t="inlineStr">
        <is>
          <t>1</t>
        </is>
      </c>
      <c r="BG158" s="24" t="inlineStr">
        <is>
          <t>60749ecfb3f1405f12fbceda11b7e64f2473d40dd327256f9da20b2146b6ae03</t>
        </is>
      </c>
      <c r="BH158" s="24" t="inlineStr">
        <is>
          <t>2026-08-04T11:58:51.378485Z</t>
        </is>
      </c>
      <c r="BI158" s="24" t="inlineStr">
        <is>
          <t>["same_event","same_team_same_day","same_league_same_day"]</t>
        </is>
      </c>
      <c r="BJ158" s="25" t="n"/>
      <c r="BK158" s="26" t="n">
        <v>-223</v>
      </c>
      <c r="BL158" s="27" t="n">
        <v>1.44843</v>
      </c>
      <c r="BM158" s="28" t="n">
        <v>0.690402</v>
      </c>
      <c r="BN158" s="28" t="n"/>
      <c r="BO158" s="28" t="n"/>
      <c r="BP158" s="25" t="n"/>
      <c r="BQ158" s="27" t="n">
        <v>1.44843</v>
      </c>
      <c r="BR158" s="28" t="n">
        <v>0.6899999999999999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</row>
    <row r="159" ht="36" customHeight="1">
      <c r="A159" s="24" t="inlineStr">
        <is>
          <t>82d8ca996b744234</t>
        </is>
      </c>
      <c r="B159" s="24" t="inlineStr">
        <is>
          <t>2026-08-04T12:00:14.325736Z</t>
        </is>
      </c>
      <c r="C159" s="24" t="inlineStr">
        <is>
          <t>2026-08-04T12:30Z</t>
        </is>
      </c>
      <c r="D159" s="24" t="inlineStr">
        <is>
          <t>961-2026:182093</t>
        </is>
      </c>
      <c r="E159" s="24" t="inlineStr">
        <is>
          <t>TENNIS</t>
        </is>
      </c>
      <c r="F159" s="24" t="inlineStr">
        <is>
          <t>Lia Karatancheva</t>
        </is>
      </c>
      <c r="G159" s="24" t="inlineStr">
        <is>
          <t>Zuzanna Pawlikowska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203</v>
      </c>
      <c r="M159" s="27" t="n">
        <v>3.03</v>
      </c>
      <c r="N159" s="28" t="n">
        <v>0.330033</v>
      </c>
      <c r="O159" s="28" t="n">
        <v>0.6278049999999999</v>
      </c>
      <c r="P159" s="28" t="n">
        <v>0.05</v>
      </c>
      <c r="Q159" s="28" t="n">
        <v>0.297772</v>
      </c>
      <c r="R159" s="26" t="n">
        <v>100</v>
      </c>
      <c r="S159" s="29" t="n">
        <v>1.5</v>
      </c>
      <c r="T159" s="24" t="inlineStr">
        <is>
          <t>tennis-surface-elo-v1</t>
        </is>
      </c>
      <c r="U159" s="24" t="inlineStr">
        <is>
          <t>settled</t>
        </is>
      </c>
      <c r="V159" s="24" t="inlineStr">
        <is>
          <t>win</t>
        </is>
      </c>
      <c r="W159" s="26" t="n">
        <v>0</v>
      </c>
      <c r="X159" s="26" t="n">
        <v>1</v>
      </c>
      <c r="Y159" s="25" t="n"/>
      <c r="Z159" s="26" t="n">
        <v>203</v>
      </c>
      <c r="AA159" s="28" t="n">
        <v>0.33</v>
      </c>
      <c r="AB159" s="28" t="n">
        <v>-3.3e-05</v>
      </c>
      <c r="AC159" s="30" t="n">
        <v>3.045</v>
      </c>
      <c r="AD159" s="24" t="inlineStr">
        <is>
          <t>2026-08-04T14:59:30.723358Z</t>
        </is>
      </c>
      <c r="AE159" s="31" t="inlineStr">
        <is>
          <t>Surface-blended Elo on Hard: Lia Karatancheva p=0.372 vs Zuzanna Pawlikowska. Executable ask 0.3300 (aec-wta-zuzpaw-liakar-2026-08-04).</t>
        </is>
      </c>
      <c r="AF159" s="31" t="inlineStr">
        <is>
          <t>Surface-blended Elo model; singles only, WTA+ATP market coverage, not yet locked-holdout qualified -- promoted by explicit operator directive, not genuine walk-forward validation.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NO_CALL_MODEL_UNVALIDATED</t>
        </is>
      </c>
      <c r="AP159" s="24" t="inlineStr">
        <is>
          <t>Lia Karatancheva</t>
        </is>
      </c>
      <c r="AQ159" s="24" t="inlineStr">
        <is>
          <t>Lia Karatancheva</t>
        </is>
      </c>
      <c r="AR159" s="24" t="inlineStr">
        <is>
          <t>Lia Karatancheva</t>
        </is>
      </c>
      <c r="AS159" s="24" t="inlineStr">
        <is>
          <t>Zuzanna Pawlikowska</t>
        </is>
      </c>
      <c r="AT159" s="24" t="inlineStr">
        <is>
          <t>Zuzanna Pawlikowska</t>
        </is>
      </c>
      <c r="AU159" s="24" t="inlineStr">
        <is>
          <t>Zuzanna Pawlikowska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60749ecfb3f1405f12fbceda11b7e64f2473d40dd327256f9da20b2146b6ae03</t>
        </is>
      </c>
      <c r="BB159" s="24" t="inlineStr">
        <is>
          <t>surface_blended_elo</t>
        </is>
      </c>
      <c r="BC159" s="24" t="inlineStr">
        <is>
          <t>tennis-surface-elo-v1</t>
        </is>
      </c>
      <c r="BD159" s="24" t="inlineStr">
        <is>
          <t>60749ecfb3f1405f12fbceda11b7e64f2473d40dd327256f9da20b2146b6ae03</t>
        </is>
      </c>
      <c r="BE159" s="24" t="inlineStr">
        <is>
          <t>tennis-surface-elo-v1</t>
        </is>
      </c>
      <c r="BF159" s="24" t="inlineStr">
        <is>
          <t>1</t>
        </is>
      </c>
      <c r="BG159" s="24" t="inlineStr">
        <is>
          <t>60749ecfb3f1405f12fbceda11b7e64f2473d40dd327256f9da20b2146b6ae03</t>
        </is>
      </c>
      <c r="BH159" s="24" t="inlineStr">
        <is>
          <t>2026-08-04T11:58:51.460940Z</t>
        </is>
      </c>
      <c r="BI159" s="24" t="inlineStr">
        <is>
          <t>["same_event","same_team_same_day","same_league_same_day"]</t>
        </is>
      </c>
      <c r="BJ159" s="25" t="n"/>
      <c r="BK159" s="26" t="n">
        <v>203</v>
      </c>
      <c r="BL159" s="27" t="n">
        <v>3.03</v>
      </c>
      <c r="BM159" s="28" t="n">
        <v>0.330033</v>
      </c>
      <c r="BN159" s="28" t="n"/>
      <c r="BO159" s="28" t="n"/>
      <c r="BP159" s="25" t="n"/>
      <c r="BQ159" s="27" t="n">
        <v>3.03</v>
      </c>
      <c r="BR159" s="28" t="n">
        <v>0.33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</row>
    <row r="160" ht="36" customHeight="1">
      <c r="A160" s="24" t="inlineStr">
        <is>
          <t>f96416c790394c01</t>
        </is>
      </c>
      <c r="B160" s="24" t="inlineStr">
        <is>
          <t>2026-08-04T14:25:17.456036Z</t>
        </is>
      </c>
      <c r="C160" s="24" t="inlineStr">
        <is>
          <t>2026-08-04T15:00Z</t>
        </is>
      </c>
      <c r="D160" s="24" t="inlineStr">
        <is>
          <t>421-2026:182185</t>
        </is>
      </c>
      <c r="E160" s="24" t="inlineStr">
        <is>
          <t>TENNIS</t>
        </is>
      </c>
      <c r="F160" s="24" t="inlineStr">
        <is>
          <t>Jessica Bouzas Maneiro</t>
        </is>
      </c>
      <c r="G160" s="24" t="inlineStr">
        <is>
          <t>Elina Svitolina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-567</v>
      </c>
      <c r="M160" s="27" t="n">
        <v>1.176367</v>
      </c>
      <c r="N160" s="28" t="n">
        <v>0.850075</v>
      </c>
      <c r="O160" s="28" t="n">
        <v>0.855057</v>
      </c>
      <c r="P160" s="28" t="n">
        <v>0.05</v>
      </c>
      <c r="Q160" s="28" t="n">
        <v>0.004982</v>
      </c>
      <c r="R160" s="26" t="n">
        <v>22</v>
      </c>
      <c r="S160" s="29" t="n">
        <v>2</v>
      </c>
      <c r="T160" s="24" t="inlineStr">
        <is>
          <t>tennis-surface-elo-v1</t>
        </is>
      </c>
      <c r="U160" s="24" t="inlineStr">
        <is>
          <t>settled</t>
        </is>
      </c>
      <c r="V160" s="24" t="inlineStr">
        <is>
          <t>win</t>
        </is>
      </c>
      <c r="W160" s="26" t="n">
        <v>0</v>
      </c>
      <c r="X160" s="26" t="n">
        <v>1</v>
      </c>
      <c r="Y160" s="25" t="n"/>
      <c r="Z160" s="26" t="n">
        <v>-567</v>
      </c>
      <c r="AA160" s="28" t="n">
        <v>0.85</v>
      </c>
      <c r="AB160" s="28" t="n">
        <v>-7.499999999999999e-05</v>
      </c>
      <c r="AC160" s="30" t="n">
        <v>0.3527</v>
      </c>
      <c r="AD160" s="24" t="inlineStr">
        <is>
          <t>2026-08-04T18:03:15.233736Z</t>
        </is>
      </c>
      <c r="AE160" s="31" t="inlineStr">
        <is>
          <t>Surface-blended Elo on Hard: Jessica Bouzas Maneiro p=0.145 vs Elina Svitolina. Executable ask 0.8500 (aec-wta-elisvi-jesman-2026-08-03).</t>
        </is>
      </c>
      <c r="AF160" s="31" t="inlineStr">
        <is>
          <t>Surface-blended Elo model; singles only, WTA+ATP market coverage, not yet locked-holdout qualified -- promoted by explicit operator directive, not genuine walk-forward validation.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NO_CALL_LOW_EDGE</t>
        </is>
      </c>
      <c r="AP160" s="24" t="inlineStr">
        <is>
          <t>Jessica Bouzas Maneiro</t>
        </is>
      </c>
      <c r="AQ160" s="24" t="inlineStr">
        <is>
          <t>Jessica Bouzas Maneiro</t>
        </is>
      </c>
      <c r="AR160" s="24" t="inlineStr">
        <is>
          <t>Jessica Bouzas Maneiro</t>
        </is>
      </c>
      <c r="AS160" s="24" t="inlineStr">
        <is>
          <t>Elina Svitolina</t>
        </is>
      </c>
      <c r="AT160" s="24" t="inlineStr">
        <is>
          <t>Elina Svitolina</t>
        </is>
      </c>
      <c r="AU160" s="24" t="inlineStr">
        <is>
          <t>Elina Svitolina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60749ecfb3f1405f12fbceda11b7e64f2473d40dd327256f9da20b2146b6ae03</t>
        </is>
      </c>
      <c r="BB160" s="24" t="inlineStr">
        <is>
          <t>surface_blended_elo</t>
        </is>
      </c>
      <c r="BC160" s="24" t="inlineStr">
        <is>
          <t>tennis-surface-elo-v1</t>
        </is>
      </c>
      <c r="BD160" s="24" t="inlineStr">
        <is>
          <t>60749ecfb3f1405f12fbceda11b7e64f2473d40dd327256f9da20b2146b6ae03</t>
        </is>
      </c>
      <c r="BE160" s="24" t="inlineStr">
        <is>
          <t>tennis-surface-elo-v1</t>
        </is>
      </c>
      <c r="BF160" s="24" t="inlineStr">
        <is>
          <t>1</t>
        </is>
      </c>
      <c r="BG160" s="24" t="inlineStr">
        <is>
          <t>60749ecfb3f1405f12fbceda11b7e64f2473d40dd327256f9da20b2146b6ae03</t>
        </is>
      </c>
      <c r="BH160" s="24" t="inlineStr">
        <is>
          <t>2026-08-04T14:23:21.702360Z</t>
        </is>
      </c>
      <c r="BI160" s="24" t="inlineStr">
        <is>
          <t>["same_event","same_team_same_day","same_league_same_day"]</t>
        </is>
      </c>
      <c r="BJ160" s="25" t="n"/>
      <c r="BK160" s="26" t="n">
        <v>-567</v>
      </c>
      <c r="BL160" s="27" t="n">
        <v>1.176367</v>
      </c>
      <c r="BM160" s="28" t="n">
        <v>0.850075</v>
      </c>
      <c r="BN160" s="28" t="n"/>
      <c r="BO160" s="28" t="n"/>
      <c r="BP160" s="25" t="n"/>
      <c r="BQ160" s="27" t="n">
        <v>1.176367</v>
      </c>
      <c r="BR160" s="28" t="n">
        <v>0.85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</row>
    <row r="161" ht="36" customHeight="1">
      <c r="A161" s="24" t="inlineStr">
        <is>
          <t>d4594d4187e045ac</t>
        </is>
      </c>
      <c r="B161" s="24" t="inlineStr">
        <is>
          <t>2026-08-04T14:25:17.456036Z</t>
        </is>
      </c>
      <c r="C161" s="24" t="inlineStr">
        <is>
          <t>2026-08-04T15:00Z</t>
        </is>
      </c>
      <c r="D161" s="24" t="inlineStr">
        <is>
          <t>421-2026:181808</t>
        </is>
      </c>
      <c r="E161" s="24" t="inlineStr">
        <is>
          <t>TENNIS</t>
        </is>
      </c>
      <c r="F161" s="24" t="inlineStr">
        <is>
          <t>Marcos Giron</t>
        </is>
      </c>
      <c r="G161" s="24" t="inlineStr">
        <is>
          <t>Hubert Hurkacz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-170</v>
      </c>
      <c r="M161" s="27" t="n">
        <v>1.588235</v>
      </c>
      <c r="N161" s="28" t="n">
        <v>0.62963</v>
      </c>
      <c r="O161" s="28" t="n">
        <v>0.503757</v>
      </c>
      <c r="P161" s="28" t="n">
        <v>0.05</v>
      </c>
      <c r="Q161" s="28" t="n">
        <v>-0.125873</v>
      </c>
      <c r="R161" s="26" t="n">
        <v>0</v>
      </c>
      <c r="S161" s="29" t="n">
        <v>1</v>
      </c>
      <c r="T161" s="24" t="inlineStr">
        <is>
          <t>tennis-surface-elo-v1</t>
        </is>
      </c>
      <c r="U161" s="24" t="inlineStr">
        <is>
          <t>settled</t>
        </is>
      </c>
      <c r="V161" s="24" t="inlineStr">
        <is>
          <t>win</t>
        </is>
      </c>
      <c r="W161" s="26" t="n">
        <v>0</v>
      </c>
      <c r="X161" s="26" t="n">
        <v>1</v>
      </c>
      <c r="Y161" s="25" t="n"/>
      <c r="Z161" s="26" t="n">
        <v>-170</v>
      </c>
      <c r="AA161" s="28" t="n">
        <v>0.63</v>
      </c>
      <c r="AB161" s="28" t="n">
        <v>0.00037</v>
      </c>
      <c r="AC161" s="30" t="n">
        <v>0.5881999999999999</v>
      </c>
      <c r="AD161" s="24" t="inlineStr">
        <is>
          <t>2026-08-04T18:03:16.231367Z</t>
        </is>
      </c>
      <c r="AE161" s="31" t="inlineStr">
        <is>
          <t>Surface-blended Elo on Hard: Marcos Giron p=0.496 vs Hubert Hurkacz. Executable ask 0.6300 (aec-atp-hubhur-margir-2026-08-03).</t>
        </is>
      </c>
      <c r="AF161" s="31" t="inlineStr">
        <is>
          <t>Surface-blended Elo model; singles only, WTA+ATP market coverage, not yet locked-holdout qualified -- promoted by explicit operator directive, not genuine walk-forward validation.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NO_CALL_LOW_EDGE</t>
        </is>
      </c>
      <c r="AP161" s="24" t="inlineStr">
        <is>
          <t>Marcos Giron</t>
        </is>
      </c>
      <c r="AQ161" s="24" t="inlineStr">
        <is>
          <t>Marcos Giron</t>
        </is>
      </c>
      <c r="AR161" s="24" t="inlineStr">
        <is>
          <t>Marcos Giron</t>
        </is>
      </c>
      <c r="AS161" s="24" t="inlineStr">
        <is>
          <t>Hubert Hurkacz</t>
        </is>
      </c>
      <c r="AT161" s="24" t="inlineStr">
        <is>
          <t>Hubert Hurkacz</t>
        </is>
      </c>
      <c r="AU161" s="24" t="inlineStr">
        <is>
          <t>Hubert Hurkacz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60749ecfb3f1405f12fbceda11b7e64f2473d40dd327256f9da20b2146b6ae03</t>
        </is>
      </c>
      <c r="BB161" s="24" t="inlineStr">
        <is>
          <t>surface_blended_elo</t>
        </is>
      </c>
      <c r="BC161" s="24" t="inlineStr">
        <is>
          <t>tennis-surface-elo-v1</t>
        </is>
      </c>
      <c r="BD161" s="24" t="inlineStr">
        <is>
          <t>60749ecfb3f1405f12fbceda11b7e64f2473d40dd327256f9da20b2146b6ae03</t>
        </is>
      </c>
      <c r="BE161" s="24" t="inlineStr">
        <is>
          <t>tennis-surface-elo-v1</t>
        </is>
      </c>
      <c r="BF161" s="24" t="inlineStr">
        <is>
          <t>1</t>
        </is>
      </c>
      <c r="BG161" s="24" t="inlineStr">
        <is>
          <t>60749ecfb3f1405f12fbceda11b7e64f2473d40dd327256f9da20b2146b6ae03</t>
        </is>
      </c>
      <c r="BH161" s="24" t="inlineStr">
        <is>
          <t>2026-08-04T14:23:37.811283Z</t>
        </is>
      </c>
      <c r="BI161" s="24" t="inlineStr">
        <is>
          <t>["same_event","same_team_same_day","same_league_same_day"]</t>
        </is>
      </c>
      <c r="BJ161" s="25" t="n"/>
      <c r="BK161" s="26" t="n">
        <v>-170</v>
      </c>
      <c r="BL161" s="27" t="n">
        <v>1.588235</v>
      </c>
      <c r="BM161" s="28" t="n">
        <v>0.62963</v>
      </c>
      <c r="BN161" s="28" t="n"/>
      <c r="BO161" s="28" t="n"/>
      <c r="BP161" s="25" t="n"/>
      <c r="BQ161" s="27" t="n">
        <v>1.588235</v>
      </c>
      <c r="BR161" s="28" t="n">
        <v>0.63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False</t>
        </is>
      </c>
    </row>
    <row r="162" ht="36" customHeight="1">
      <c r="A162" s="24" t="inlineStr">
        <is>
          <t>b1e7434525d24f1d</t>
        </is>
      </c>
      <c r="B162" s="24" t="inlineStr">
        <is>
          <t>2026-08-04T14:25:17.456036Z</t>
        </is>
      </c>
      <c r="C162" s="24" t="inlineStr">
        <is>
          <t>2026-08-04T15:00Z</t>
        </is>
      </c>
      <c r="D162" s="24" t="inlineStr">
        <is>
          <t>421-2026:181822</t>
        </is>
      </c>
      <c r="E162" s="24" t="inlineStr">
        <is>
          <t>TENNIS</t>
        </is>
      </c>
      <c r="F162" s="24" t="inlineStr">
        <is>
          <t>Mattia Bellucci</t>
        </is>
      </c>
      <c r="G162" s="24" t="inlineStr">
        <is>
          <t>Sebastian Baez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-117</v>
      </c>
      <c r="M162" s="27" t="n">
        <v>1.854701</v>
      </c>
      <c r="N162" s="28" t="n">
        <v>0.539171</v>
      </c>
      <c r="O162" s="28" t="n">
        <v>0.559835</v>
      </c>
      <c r="P162" s="28" t="n">
        <v>0.05</v>
      </c>
      <c r="Q162" s="28" t="n">
        <v>0.020664</v>
      </c>
      <c r="R162" s="26" t="n">
        <v>30</v>
      </c>
      <c r="S162" s="29" t="n">
        <v>1</v>
      </c>
      <c r="T162" s="24" t="inlineStr">
        <is>
          <t>tennis-surface-elo-v1</t>
        </is>
      </c>
      <c r="U162" s="24" t="inlineStr">
        <is>
          <t>settled</t>
        </is>
      </c>
      <c r="V162" s="24" t="inlineStr">
        <is>
          <t>win</t>
        </is>
      </c>
      <c r="W162" s="26" t="n">
        <v>0</v>
      </c>
      <c r="X162" s="26" t="n">
        <v>1</v>
      </c>
      <c r="Y162" s="25" t="n"/>
      <c r="Z162" s="26" t="n">
        <v>-117</v>
      </c>
      <c r="AA162" s="28" t="n">
        <v>0.54</v>
      </c>
      <c r="AB162" s="28" t="n">
        <v>0.000829</v>
      </c>
      <c r="AC162" s="30" t="n">
        <v>0.8547</v>
      </c>
      <c r="AD162" s="24" t="inlineStr">
        <is>
          <t>2026-08-04T16:48:35.481106Z</t>
        </is>
      </c>
      <c r="AE162" s="31" t="inlineStr">
        <is>
          <t>Surface-blended Elo on Hard: Mattia Bellucci p=0.440 vs Sebastian Baez. Executable ask 0.5400 (aec-atp-sebbae-matbel-2026-08-03).</t>
        </is>
      </c>
      <c r="AF162" s="31" t="inlineStr">
        <is>
          <t>Surface-blended Elo model; singles only, WTA+ATP market coverage, not yet locked-holdout qualified -- promoted by explicit operator directive, not genuine walk-forward validation.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NO_CALL_LOW_EDGE</t>
        </is>
      </c>
      <c r="AP162" s="24" t="inlineStr">
        <is>
          <t>Mattia Bellucci</t>
        </is>
      </c>
      <c r="AQ162" s="24" t="inlineStr">
        <is>
          <t>Mattia Bellucci</t>
        </is>
      </c>
      <c r="AR162" s="24" t="inlineStr">
        <is>
          <t>Mattia Bellucci</t>
        </is>
      </c>
      <c r="AS162" s="24" t="inlineStr">
        <is>
          <t>Sebastian Baez</t>
        </is>
      </c>
      <c r="AT162" s="24" t="inlineStr">
        <is>
          <t>Sebastian Baez</t>
        </is>
      </c>
      <c r="AU162" s="24" t="inlineStr">
        <is>
          <t>Sebastian Baez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60749ecfb3f1405f12fbceda11b7e64f2473d40dd327256f9da20b2146b6ae03</t>
        </is>
      </c>
      <c r="BB162" s="24" t="inlineStr">
        <is>
          <t>surface_blended_elo</t>
        </is>
      </c>
      <c r="BC162" s="24" t="inlineStr">
        <is>
          <t>tennis-surface-elo-v1</t>
        </is>
      </c>
      <c r="BD162" s="24" t="inlineStr">
        <is>
          <t>60749ecfb3f1405f12fbceda11b7e64f2473d40dd327256f9da20b2146b6ae03</t>
        </is>
      </c>
      <c r="BE162" s="24" t="inlineStr">
        <is>
          <t>tennis-surface-elo-v1</t>
        </is>
      </c>
      <c r="BF162" s="24" t="inlineStr">
        <is>
          <t>1</t>
        </is>
      </c>
      <c r="BG162" s="24" t="inlineStr">
        <is>
          <t>60749ecfb3f1405f12fbceda11b7e64f2473d40dd327256f9da20b2146b6ae03</t>
        </is>
      </c>
      <c r="BH162" s="24" t="inlineStr">
        <is>
          <t>2026-08-04T14:23:36.155240Z</t>
        </is>
      </c>
      <c r="BI162" s="24" t="inlineStr">
        <is>
          <t>["same_event","same_team_same_day","same_league_same_day"]</t>
        </is>
      </c>
      <c r="BJ162" s="25" t="n"/>
      <c r="BK162" s="26" t="n">
        <v>-117</v>
      </c>
      <c r="BL162" s="27" t="n">
        <v>1.854701</v>
      </c>
      <c r="BM162" s="28" t="n">
        <v>0.539171</v>
      </c>
      <c r="BN162" s="28" t="n"/>
      <c r="BO162" s="28" t="n"/>
      <c r="BP162" s="25" t="n"/>
      <c r="BQ162" s="27" t="n">
        <v>1.854701</v>
      </c>
      <c r="BR162" s="28" t="n">
        <v>0.54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</row>
    <row r="163" ht="36" customHeight="1">
      <c r="A163" s="24" t="inlineStr">
        <is>
          <t>219c58a8b2b245b8</t>
        </is>
      </c>
      <c r="B163" s="24" t="inlineStr">
        <is>
          <t>2026-08-04T14:25:17.456036Z</t>
        </is>
      </c>
      <c r="C163" s="24" t="inlineStr">
        <is>
          <t>2026-08-04T15:00Z</t>
        </is>
      </c>
      <c r="D163" s="24" t="inlineStr">
        <is>
          <t>421-2026:181825</t>
        </is>
      </c>
      <c r="E163" s="24" t="inlineStr">
        <is>
          <t>TENNIS</t>
        </is>
      </c>
      <c r="F163" s="24" t="inlineStr">
        <is>
          <t>Jenson Brooksby</t>
        </is>
      </c>
      <c r="G163" s="24" t="inlineStr">
        <is>
          <t>Adam Walton</t>
        </is>
      </c>
      <c r="H163" s="24" t="inlineStr">
        <is>
          <t>moneyline</t>
        </is>
      </c>
      <c r="I163" s="24" t="inlineStr">
        <is>
          <t>away</t>
        </is>
      </c>
      <c r="J163" s="25" t="n"/>
      <c r="K163" s="24" t="inlineStr">
        <is>
          <t>polymarket_us</t>
        </is>
      </c>
      <c r="L163" s="26" t="n">
        <v>-127</v>
      </c>
      <c r="M163" s="27" t="n">
        <v>1.787402</v>
      </c>
      <c r="N163" s="28" t="n">
        <v>0.5594710000000001</v>
      </c>
      <c r="O163" s="28" t="n">
        <v>0.568221</v>
      </c>
      <c r="P163" s="28" t="n">
        <v>0.05</v>
      </c>
      <c r="Q163" s="28" t="n">
        <v>0.008750000000000001</v>
      </c>
      <c r="R163" s="26" t="n">
        <v>24</v>
      </c>
      <c r="S163" s="29" t="n">
        <v>1</v>
      </c>
      <c r="T163" s="24" t="inlineStr">
        <is>
          <t>tennis-surface-elo-v1</t>
        </is>
      </c>
      <c r="U163" s="24" t="inlineStr">
        <is>
          <t>settled</t>
        </is>
      </c>
      <c r="V163" s="24" t="inlineStr">
        <is>
          <t>win</t>
        </is>
      </c>
      <c r="W163" s="26" t="n">
        <v>1</v>
      </c>
      <c r="X163" s="26" t="n">
        <v>0</v>
      </c>
      <c r="Y163" s="25" t="n"/>
      <c r="Z163" s="26" t="n">
        <v>-127</v>
      </c>
      <c r="AA163" s="28" t="n">
        <v>0.5600000000000001</v>
      </c>
      <c r="AB163" s="28" t="n">
        <v>0.000529</v>
      </c>
      <c r="AC163" s="30" t="n">
        <v>0.7874</v>
      </c>
      <c r="AD163" s="24" t="inlineStr">
        <is>
          <t>2026-08-04T16:48:37.405890Z</t>
        </is>
      </c>
      <c r="AE163" s="31" t="inlineStr">
        <is>
          <t>Surface-blended Elo on Hard: Jenson Brooksby p=0.568 vs Adam Walton. Executable ask 0.5600 (aec-atp-adawal-jenbro-2026-08-03).</t>
        </is>
      </c>
      <c r="AF163" s="31" t="inlineStr">
        <is>
          <t>Surface-blended Elo model; singles only, WTA+ATP market coverage, not yet locked-holdout qualified -- promoted by explicit operator directive, not genuine walk-forward validation.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NO_CALL_LOW_EDGE</t>
        </is>
      </c>
      <c r="AP163" s="24" t="inlineStr">
        <is>
          <t>Jenson Brooksby</t>
        </is>
      </c>
      <c r="AQ163" s="24" t="inlineStr">
        <is>
          <t>Jenson Brooksby</t>
        </is>
      </c>
      <c r="AR163" s="24" t="inlineStr">
        <is>
          <t>Jenson Brooksby</t>
        </is>
      </c>
      <c r="AS163" s="24" t="inlineStr">
        <is>
          <t>Adam Walton</t>
        </is>
      </c>
      <c r="AT163" s="24" t="inlineStr">
        <is>
          <t>Adam Walton</t>
        </is>
      </c>
      <c r="AU163" s="24" t="inlineStr">
        <is>
          <t>Adam Walton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60749ecfb3f1405f12fbceda11b7e64f2473d40dd327256f9da20b2146b6ae03</t>
        </is>
      </c>
      <c r="BB163" s="24" t="inlineStr">
        <is>
          <t>surface_blended_elo</t>
        </is>
      </c>
      <c r="BC163" s="24" t="inlineStr">
        <is>
          <t>tennis-surface-elo-v1</t>
        </is>
      </c>
      <c r="BD163" s="24" t="inlineStr">
        <is>
          <t>60749ecfb3f1405f12fbceda11b7e64f2473d40dd327256f9da20b2146b6ae03</t>
        </is>
      </c>
      <c r="BE163" s="24" t="inlineStr">
        <is>
          <t>tennis-surface-elo-v1</t>
        </is>
      </c>
      <c r="BF163" s="24" t="inlineStr">
        <is>
          <t>1</t>
        </is>
      </c>
      <c r="BG163" s="24" t="inlineStr">
        <is>
          <t>60749ecfb3f1405f12fbceda11b7e64f2473d40dd327256f9da20b2146b6ae03</t>
        </is>
      </c>
      <c r="BH163" s="24" t="inlineStr">
        <is>
          <t>2026-08-04T14:23:39.663692Z</t>
        </is>
      </c>
      <c r="BI163" s="24" t="inlineStr">
        <is>
          <t>["same_event","same_team_same_day","same_league_same_day"]</t>
        </is>
      </c>
      <c r="BJ163" s="25" t="n"/>
      <c r="BK163" s="26" t="n">
        <v>-127</v>
      </c>
      <c r="BL163" s="27" t="n">
        <v>1.787402</v>
      </c>
      <c r="BM163" s="28" t="n">
        <v>0.5594710000000001</v>
      </c>
      <c r="BN163" s="28" t="n"/>
      <c r="BO163" s="28" t="n"/>
      <c r="BP163" s="25" t="n"/>
      <c r="BQ163" s="27" t="n">
        <v>1.787402</v>
      </c>
      <c r="BR163" s="28" t="n">
        <v>0.5600000000000001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</row>
    <row r="164" ht="36" customHeight="1">
      <c r="A164" s="24" t="inlineStr">
        <is>
          <t>db06ce7fe7e84145</t>
        </is>
      </c>
      <c r="B164" s="24" t="inlineStr">
        <is>
          <t>2026-08-04T14:25:17.456036Z</t>
        </is>
      </c>
      <c r="C164" s="24" t="inlineStr">
        <is>
          <t>2026-08-04T15:00Z</t>
        </is>
      </c>
      <c r="D164" s="24" t="inlineStr">
        <is>
          <t>421-2026:181831</t>
        </is>
      </c>
      <c r="E164" s="24" t="inlineStr">
        <is>
          <t>TENNIS</t>
        </is>
      </c>
      <c r="F164" s="24" t="inlineStr">
        <is>
          <t>Stefanos Tsitsipas</t>
        </is>
      </c>
      <c r="G164" s="24" t="inlineStr">
        <is>
          <t>Martin Damm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-186</v>
      </c>
      <c r="M164" s="27" t="n">
        <v>1.537634</v>
      </c>
      <c r="N164" s="28" t="n">
        <v>0.65035</v>
      </c>
      <c r="O164" s="28" t="n">
        <v>0.514482</v>
      </c>
      <c r="P164" s="28" t="n">
        <v>0.05</v>
      </c>
      <c r="Q164" s="28" t="n">
        <v>-0.135868</v>
      </c>
      <c r="R164" s="26" t="n">
        <v>0</v>
      </c>
      <c r="S164" s="29" t="n">
        <v>1</v>
      </c>
      <c r="T164" s="24" t="inlineStr">
        <is>
          <t>tennis-surface-elo-v1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>
        <v>-186</v>
      </c>
      <c r="AA164" s="28" t="n">
        <v>0.65</v>
      </c>
      <c r="AB164" s="28" t="n">
        <v>-0.00035</v>
      </c>
      <c r="AC164" s="30" t="n">
        <v>0.5376</v>
      </c>
      <c r="AD164" s="24" t="inlineStr">
        <is>
          <t>2026-08-04T16:48:39.362893Z</t>
        </is>
      </c>
      <c r="AE164" s="31" t="inlineStr">
        <is>
          <t>Surface-blended Elo on Hard: Stefanos Tsitsipas p=0.514 vs Martin Damm. Executable ask 0.6500 (aec-atp-mardam-stetsi-2026-08-03).</t>
        </is>
      </c>
      <c r="AF164" s="31" t="inlineStr">
        <is>
          <t>Surface-blended Elo model; singles only, WTA+ATP market coverage, not yet locked-holdout qualified -- promoted by explicit operator directive, not genuine walk-forward validation.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NO_CALL_LOW_EDGE</t>
        </is>
      </c>
      <c r="AP164" s="24" t="inlineStr">
        <is>
          <t>Stefanos Tsitsipas</t>
        </is>
      </c>
      <c r="AQ164" s="24" t="inlineStr">
        <is>
          <t>Stefanos Tsitsipas</t>
        </is>
      </c>
      <c r="AR164" s="24" t="inlineStr">
        <is>
          <t>Stefanos Tsitsipas</t>
        </is>
      </c>
      <c r="AS164" s="24" t="inlineStr">
        <is>
          <t>Martin Damm</t>
        </is>
      </c>
      <c r="AT164" s="24" t="inlineStr">
        <is>
          <t>Martin Damm</t>
        </is>
      </c>
      <c r="AU164" s="24" t="inlineStr">
        <is>
          <t>Martin Damm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60749ecfb3f1405f12fbceda11b7e64f2473d40dd327256f9da20b2146b6ae03</t>
        </is>
      </c>
      <c r="BB164" s="24" t="inlineStr">
        <is>
          <t>surface_blended_elo</t>
        </is>
      </c>
      <c r="BC164" s="24" t="inlineStr">
        <is>
          <t>tennis-surface-elo-v1</t>
        </is>
      </c>
      <c r="BD164" s="24" t="inlineStr">
        <is>
          <t>60749ecfb3f1405f12fbceda11b7e64f2473d40dd327256f9da20b2146b6ae03</t>
        </is>
      </c>
      <c r="BE164" s="24" t="inlineStr">
        <is>
          <t>tennis-surface-elo-v1</t>
        </is>
      </c>
      <c r="BF164" s="24" t="inlineStr">
        <is>
          <t>1</t>
        </is>
      </c>
      <c r="BG164" s="24" t="inlineStr">
        <is>
          <t>60749ecfb3f1405f12fbceda11b7e64f2473d40dd327256f9da20b2146b6ae03</t>
        </is>
      </c>
      <c r="BH164" s="24" t="inlineStr">
        <is>
          <t>2026-08-04T14:23:38.853444Z</t>
        </is>
      </c>
      <c r="BI164" s="24" t="inlineStr">
        <is>
          <t>["same_event","same_team_same_day","same_league_same_day"]</t>
        </is>
      </c>
      <c r="BJ164" s="25" t="n"/>
      <c r="BK164" s="26" t="n">
        <v>-186</v>
      </c>
      <c r="BL164" s="27" t="n">
        <v>1.537634</v>
      </c>
      <c r="BM164" s="28" t="n">
        <v>0.65035</v>
      </c>
      <c r="BN164" s="28" t="n"/>
      <c r="BO164" s="28" t="n"/>
      <c r="BP164" s="25" t="n"/>
      <c r="BQ164" s="27" t="n">
        <v>1.537634</v>
      </c>
      <c r="BR164" s="28" t="n">
        <v>0.65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</row>
    <row r="165" ht="36" customHeight="1">
      <c r="A165" s="24" t="inlineStr">
        <is>
          <t>947d8eec81804259</t>
        </is>
      </c>
      <c r="B165" s="24" t="inlineStr">
        <is>
          <t>2026-08-04T15:02:48.664333Z</t>
        </is>
      </c>
      <c r="C165" s="24" t="inlineStr">
        <is>
          <t>2026-08-04T16:30Z</t>
        </is>
      </c>
      <c r="D165" s="24" t="inlineStr">
        <is>
          <t>421-2026:182173</t>
        </is>
      </c>
      <c r="E165" s="24" t="inlineStr">
        <is>
          <t>TENNIS</t>
        </is>
      </c>
      <c r="F165" s="24" t="inlineStr">
        <is>
          <t>Diana Shnaider</t>
        </is>
      </c>
      <c r="G165" s="24" t="inlineStr">
        <is>
          <t>Rebecca Sramkova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polymarket_us</t>
        </is>
      </c>
      <c r="L165" s="26" t="n">
        <v>-400</v>
      </c>
      <c r="M165" s="27" t="n">
        <v>1.25</v>
      </c>
      <c r="N165" s="28" t="n">
        <v>0.8</v>
      </c>
      <c r="O165" s="28" t="n">
        <v>0.69013</v>
      </c>
      <c r="P165" s="28" t="n">
        <v>0.05</v>
      </c>
      <c r="Q165" s="28" t="n">
        <v>-0.10987</v>
      </c>
      <c r="R165" s="26" t="n">
        <v>0</v>
      </c>
      <c r="S165" s="29" t="n">
        <v>2</v>
      </c>
      <c r="T165" s="24" t="inlineStr">
        <is>
          <t>tennis-surface-elo-v1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0</v>
      </c>
      <c r="Y165" s="25" t="n"/>
      <c r="Z165" s="26" t="n">
        <v>-400</v>
      </c>
      <c r="AA165" s="28" t="n">
        <v>0.8</v>
      </c>
      <c r="AB165" s="28" t="n">
        <v>0</v>
      </c>
      <c r="AC165" s="30" t="n">
        <v>0.5</v>
      </c>
      <c r="AD165" s="24" t="inlineStr">
        <is>
          <t>2026-08-04T21:58:43.074455Z</t>
        </is>
      </c>
      <c r="AE165" s="31" t="inlineStr">
        <is>
          <t>Surface-blended Elo on Hard: Diana Shnaider p=0.690 vs Rebecca Sramkova. Executable ask 0.8000 (aec-wta-rebsra-diashn-2026-08-04).</t>
        </is>
      </c>
      <c r="AF165" s="31" t="inlineStr">
        <is>
          <t>Surface-blended Elo model; singles only, WTA+ATP market coverage, not yet locked-holdout qualified -- promoted by explicit operator directive, not genuine walk-forward validation.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NO_CALL_LOW_EDGE</t>
        </is>
      </c>
      <c r="AP165" s="24" t="inlineStr">
        <is>
          <t>Diana Shnaider</t>
        </is>
      </c>
      <c r="AQ165" s="24" t="inlineStr">
        <is>
          <t>Diana Shnaider</t>
        </is>
      </c>
      <c r="AR165" s="24" t="inlineStr">
        <is>
          <t>Diana Shnaider</t>
        </is>
      </c>
      <c r="AS165" s="24" t="inlineStr">
        <is>
          <t>Rebecca Sramkova</t>
        </is>
      </c>
      <c r="AT165" s="24" t="inlineStr">
        <is>
          <t>Rebecca Sramkova</t>
        </is>
      </c>
      <c r="AU165" s="24" t="inlineStr">
        <is>
          <t>Rebecca Sramkova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60749ecfb3f1405f12fbceda11b7e64f2473d40dd327256f9da20b2146b6ae03</t>
        </is>
      </c>
      <c r="BB165" s="24" t="inlineStr">
        <is>
          <t>surface_blended_elo</t>
        </is>
      </c>
      <c r="BC165" s="24" t="inlineStr">
        <is>
          <t>tennis-surface-elo-v1</t>
        </is>
      </c>
      <c r="BD165" s="24" t="inlineStr">
        <is>
          <t>60749ecfb3f1405f12fbceda11b7e64f2473d40dd327256f9da20b2146b6ae03</t>
        </is>
      </c>
      <c r="BE165" s="24" t="inlineStr">
        <is>
          <t>tennis-surface-elo-v1</t>
        </is>
      </c>
      <c r="BF165" s="24" t="inlineStr">
        <is>
          <t>1</t>
        </is>
      </c>
      <c r="BG165" s="24" t="inlineStr">
        <is>
          <t>60749ecfb3f1405f12fbceda11b7e64f2473d40dd327256f9da20b2146b6ae03</t>
        </is>
      </c>
      <c r="BH165" s="24" t="inlineStr">
        <is>
          <t>2026-08-04T15:00:57.838206Z</t>
        </is>
      </c>
      <c r="BI165" s="24" t="inlineStr">
        <is>
          <t>["same_event","same_team_same_day","same_league_same_day"]</t>
        </is>
      </c>
      <c r="BJ165" s="25" t="n"/>
      <c r="BK165" s="26" t="n">
        <v>-400</v>
      </c>
      <c r="BL165" s="27" t="n">
        <v>1.25</v>
      </c>
      <c r="BM165" s="28" t="n">
        <v>0.8</v>
      </c>
      <c r="BN165" s="28" t="n"/>
      <c r="BO165" s="28" t="n"/>
      <c r="BP165" s="25" t="n"/>
      <c r="BQ165" s="27" t="n">
        <v>1.25</v>
      </c>
      <c r="BR165" s="28" t="n">
        <v>0.8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</row>
    <row r="166" ht="36" customHeight="1">
      <c r="A166" s="24" t="inlineStr">
        <is>
          <t>8fb6fa2483204498</t>
        </is>
      </c>
      <c r="B166" s="24" t="inlineStr">
        <is>
          <t>2026-08-04T15:02:48.664333Z</t>
        </is>
      </c>
      <c r="C166" s="24" t="inlineStr">
        <is>
          <t>2026-08-04T16:30Z</t>
        </is>
      </c>
      <c r="D166" s="24" t="inlineStr">
        <is>
          <t>421-2026:182175</t>
        </is>
      </c>
      <c r="E166" s="24" t="inlineStr">
        <is>
          <t>TENNIS</t>
        </is>
      </c>
      <c r="F166" s="24" t="inlineStr">
        <is>
          <t>Viktorija Golubic</t>
        </is>
      </c>
      <c r="G166" s="24" t="inlineStr">
        <is>
          <t>Donna Vekic</t>
        </is>
      </c>
      <c r="H166" s="24" t="inlineStr">
        <is>
          <t>moneyline</t>
        </is>
      </c>
      <c r="I166" s="24" t="inlineStr">
        <is>
          <t>home</t>
        </is>
      </c>
      <c r="J166" s="25" t="n"/>
      <c r="K166" s="24" t="inlineStr">
        <is>
          <t>polymarket_us</t>
        </is>
      </c>
      <c r="L166" s="26" t="n">
        <v>-127</v>
      </c>
      <c r="M166" s="27" t="n">
        <v>1.787402</v>
      </c>
      <c r="N166" s="28" t="n">
        <v>0.5594710000000001</v>
      </c>
      <c r="O166" s="28" t="n">
        <v>0.600871</v>
      </c>
      <c r="P166" s="28" t="n">
        <v>0.05</v>
      </c>
      <c r="Q166" s="28" t="n">
        <v>0.0414</v>
      </c>
      <c r="R166" s="26" t="n">
        <v>41</v>
      </c>
      <c r="S166" s="29" t="n">
        <v>1.25</v>
      </c>
      <c r="T166" s="24" t="inlineStr">
        <is>
          <t>tennis-surface-elo-v1</t>
        </is>
      </c>
      <c r="U166" s="24" t="inlineStr">
        <is>
          <t>settled</t>
        </is>
      </c>
      <c r="V166" s="24" t="inlineStr">
        <is>
          <t>loss</t>
        </is>
      </c>
      <c r="W166" s="26" t="n">
        <v>1</v>
      </c>
      <c r="X166" s="26" t="n">
        <v>0</v>
      </c>
      <c r="Y166" s="25" t="n"/>
      <c r="Z166" s="26" t="n">
        <v>-127</v>
      </c>
      <c r="AA166" s="28" t="n">
        <v>0.5600000000000001</v>
      </c>
      <c r="AB166" s="28" t="n">
        <v>0.000529</v>
      </c>
      <c r="AC166" s="30" t="n">
        <v>-1.25</v>
      </c>
      <c r="AD166" s="24" t="inlineStr">
        <is>
          <t>2026-08-04T21:58:43.975280Z</t>
        </is>
      </c>
      <c r="AE166" s="31" t="inlineStr">
        <is>
          <t>Surface-blended Elo on Hard: Viktorija Golubic p=0.399 vs Donna Vekic. Executable ask 0.5600 (aec-wta-donvek-vikgol-2026-08-03).</t>
        </is>
      </c>
      <c r="AF166" s="31" t="inlineStr">
        <is>
          <t>Surface-blended Elo model; singles only, WTA+ATP market coverage, not yet locked-holdout qualified -- promoted by explicit operator directive, not genuine walk-forward validation.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NO_CALL_LOW_EDGE</t>
        </is>
      </c>
      <c r="AP166" s="24" t="inlineStr">
        <is>
          <t>Viktorija Golubic</t>
        </is>
      </c>
      <c r="AQ166" s="24" t="inlineStr">
        <is>
          <t>Viktorija Golubic</t>
        </is>
      </c>
      <c r="AR166" s="24" t="inlineStr">
        <is>
          <t>Viktorija Golubic</t>
        </is>
      </c>
      <c r="AS166" s="24" t="inlineStr">
        <is>
          <t>Donna Vekic</t>
        </is>
      </c>
      <c r="AT166" s="24" t="inlineStr">
        <is>
          <t>Donna Vekic</t>
        </is>
      </c>
      <c r="AU166" s="24" t="inlineStr">
        <is>
          <t>Donna Vekic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60749ecfb3f1405f12fbceda11b7e64f2473d40dd327256f9da20b2146b6ae03</t>
        </is>
      </c>
      <c r="BB166" s="24" t="inlineStr">
        <is>
          <t>surface_blended_elo</t>
        </is>
      </c>
      <c r="BC166" s="24" t="inlineStr">
        <is>
          <t>tennis-surface-elo-v1</t>
        </is>
      </c>
      <c r="BD166" s="24" t="inlineStr">
        <is>
          <t>60749ecfb3f1405f12fbceda11b7e64f2473d40dd327256f9da20b2146b6ae03</t>
        </is>
      </c>
      <c r="BE166" s="24" t="inlineStr">
        <is>
          <t>tennis-surface-elo-v1</t>
        </is>
      </c>
      <c r="BF166" s="24" t="inlineStr">
        <is>
          <t>1</t>
        </is>
      </c>
      <c r="BG166" s="24" t="inlineStr">
        <is>
          <t>60749ecfb3f1405f12fbceda11b7e64f2473d40dd327256f9da20b2146b6ae03</t>
        </is>
      </c>
      <c r="BH166" s="24" t="inlineStr">
        <is>
          <t>2026-08-04T15:00:55.301853Z</t>
        </is>
      </c>
      <c r="BI166" s="24" t="inlineStr">
        <is>
          <t>["same_event","same_team_same_day","same_league_same_day"]</t>
        </is>
      </c>
      <c r="BJ166" s="25" t="n"/>
      <c r="BK166" s="26" t="n">
        <v>-127</v>
      </c>
      <c r="BL166" s="27" t="n">
        <v>1.787402</v>
      </c>
      <c r="BM166" s="28" t="n">
        <v>0.5594710000000001</v>
      </c>
      <c r="BN166" s="28" t="n"/>
      <c r="BO166" s="28" t="n"/>
      <c r="BP166" s="25" t="n"/>
      <c r="BQ166" s="27" t="n">
        <v>1.787402</v>
      </c>
      <c r="BR166" s="28" t="n">
        <v>0.5600000000000001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</row>
    <row r="167" ht="36" customHeight="1">
      <c r="A167" s="24" t="inlineStr">
        <is>
          <t>147abbf3ba034505</t>
        </is>
      </c>
      <c r="B167" s="24" t="inlineStr">
        <is>
          <t>2026-08-04T15:02:48.664333Z</t>
        </is>
      </c>
      <c r="C167" s="24" t="inlineStr">
        <is>
          <t>2026-08-04T16:30Z</t>
        </is>
      </c>
      <c r="D167" s="24" t="inlineStr">
        <is>
          <t>421-2026:182182</t>
        </is>
      </c>
      <c r="E167" s="24" t="inlineStr">
        <is>
          <t>TENNIS</t>
        </is>
      </c>
      <c r="F167" s="24" t="inlineStr">
        <is>
          <t>Iga Swiatek</t>
        </is>
      </c>
      <c r="G167" s="24" t="inlineStr">
        <is>
          <t>Sara Bejlek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-809</v>
      </c>
      <c r="M167" s="27" t="n">
        <v>1.123609</v>
      </c>
      <c r="N167" s="28" t="n">
        <v>0.889989</v>
      </c>
      <c r="O167" s="28" t="n">
        <v>0.745582</v>
      </c>
      <c r="P167" s="28" t="n">
        <v>0.05</v>
      </c>
      <c r="Q167" s="28" t="n">
        <v>-0.144407</v>
      </c>
      <c r="R167" s="26" t="n">
        <v>0</v>
      </c>
      <c r="S167" s="29" t="n">
        <v>2</v>
      </c>
      <c r="T167" s="24" t="inlineStr">
        <is>
          <t>tennis-surface-elo-v1</t>
        </is>
      </c>
      <c r="U167" s="24" t="inlineStr">
        <is>
          <t>settled</t>
        </is>
      </c>
      <c r="V167" s="24" t="inlineStr">
        <is>
          <t>win</t>
        </is>
      </c>
      <c r="W167" s="26" t="n">
        <v>1</v>
      </c>
      <c r="X167" s="26" t="n">
        <v>0</v>
      </c>
      <c r="Y167" s="25" t="n"/>
      <c r="Z167" s="26" t="n">
        <v>-809</v>
      </c>
      <c r="AA167" s="28" t="n">
        <v>0.89</v>
      </c>
      <c r="AB167" s="28" t="n">
        <v>1.1e-05</v>
      </c>
      <c r="AC167" s="30" t="n">
        <v>0.2472</v>
      </c>
      <c r="AD167" s="24" t="inlineStr">
        <is>
          <t>2026-08-04T21:58:44.936757Z</t>
        </is>
      </c>
      <c r="AE167" s="31" t="inlineStr">
        <is>
          <t>Surface-blended Elo on Hard: Iga Swiatek p=0.746 vs Sara Bejlek. Executable ask 0.8900 (aec-wta-sarbej-igaswi-2026-08-03).</t>
        </is>
      </c>
      <c r="AF167" s="31" t="inlineStr">
        <is>
          <t>Surface-blended Elo model; singles only, WTA+ATP market coverage, not yet locked-holdout qualified -- promoted by explicit operator directive, not genuine walk-forward validation.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NO_CALL_LOW_EDGE</t>
        </is>
      </c>
      <c r="AP167" s="24" t="inlineStr">
        <is>
          <t>Iga Swiatek</t>
        </is>
      </c>
      <c r="AQ167" s="24" t="inlineStr">
        <is>
          <t>Iga Swiatek</t>
        </is>
      </c>
      <c r="AR167" s="24" t="inlineStr">
        <is>
          <t>Iga Swiatek</t>
        </is>
      </c>
      <c r="AS167" s="24" t="inlineStr">
        <is>
          <t>Sara Bejlek</t>
        </is>
      </c>
      <c r="AT167" s="24" t="inlineStr">
        <is>
          <t>Sara Bejlek</t>
        </is>
      </c>
      <c r="AU167" s="24" t="inlineStr">
        <is>
          <t>Sara Bejlek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60749ecfb3f1405f12fbceda11b7e64f2473d40dd327256f9da20b2146b6ae03</t>
        </is>
      </c>
      <c r="BB167" s="24" t="inlineStr">
        <is>
          <t>surface_blended_elo</t>
        </is>
      </c>
      <c r="BC167" s="24" t="inlineStr">
        <is>
          <t>tennis-surface-elo-v1</t>
        </is>
      </c>
      <c r="BD167" s="24" t="inlineStr">
        <is>
          <t>60749ecfb3f1405f12fbceda11b7e64f2473d40dd327256f9da20b2146b6ae03</t>
        </is>
      </c>
      <c r="BE167" s="24" t="inlineStr">
        <is>
          <t>tennis-surface-elo-v1</t>
        </is>
      </c>
      <c r="BF167" s="24" t="inlineStr">
        <is>
          <t>1</t>
        </is>
      </c>
      <c r="BG167" s="24" t="inlineStr">
        <is>
          <t>60749ecfb3f1405f12fbceda11b7e64f2473d40dd327256f9da20b2146b6ae03</t>
        </is>
      </c>
      <c r="BH167" s="24" t="inlineStr">
        <is>
          <t>2026-08-04T15:00:55.849660Z</t>
        </is>
      </c>
      <c r="BI167" s="24" t="inlineStr">
        <is>
          <t>["same_event","same_team_same_day","same_league_same_day"]</t>
        </is>
      </c>
      <c r="BJ167" s="25" t="n"/>
      <c r="BK167" s="26" t="n">
        <v>-809</v>
      </c>
      <c r="BL167" s="27" t="n">
        <v>1.123609</v>
      </c>
      <c r="BM167" s="28" t="n">
        <v>0.889989</v>
      </c>
      <c r="BN167" s="28" t="n"/>
      <c r="BO167" s="28" t="n"/>
      <c r="BP167" s="25" t="n"/>
      <c r="BQ167" s="27" t="n">
        <v>1.123609</v>
      </c>
      <c r="BR167" s="28" t="n">
        <v>0.89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</row>
    <row r="168" ht="36" customHeight="1">
      <c r="A168" s="24" t="inlineStr">
        <is>
          <t>e86f7c77ecdb4d89</t>
        </is>
      </c>
      <c r="B168" s="24" t="inlineStr">
        <is>
          <t>2026-08-04T15:02:48.664333Z</t>
        </is>
      </c>
      <c r="C168" s="24" t="inlineStr">
        <is>
          <t>2026-08-04T16:30Z</t>
        </is>
      </c>
      <c r="D168" s="24" t="inlineStr">
        <is>
          <t>421-2026:182207</t>
        </is>
      </c>
      <c r="E168" s="24" t="inlineStr">
        <is>
          <t>TENNIS</t>
        </is>
      </c>
      <c r="F168" s="24" t="inlineStr">
        <is>
          <t>Ekaterina Alexandrova</t>
        </is>
      </c>
      <c r="G168" s="24" t="inlineStr">
        <is>
          <t>Camila Osorio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-117</v>
      </c>
      <c r="M168" s="27" t="n">
        <v>1.854701</v>
      </c>
      <c r="N168" s="28" t="n">
        <v>0.539171</v>
      </c>
      <c r="O168" s="28" t="n">
        <v>0.533657</v>
      </c>
      <c r="P168" s="28" t="n">
        <v>0.05</v>
      </c>
      <c r="Q168" s="28" t="n">
        <v>-0.005514</v>
      </c>
      <c r="R168" s="26" t="n">
        <v>17</v>
      </c>
      <c r="S168" s="29" t="n">
        <v>1</v>
      </c>
      <c r="T168" s="24" t="inlineStr">
        <is>
          <t>tennis-surface-elo-v1</t>
        </is>
      </c>
      <c r="U168" s="24" t="inlineStr">
        <is>
          <t>settled</t>
        </is>
      </c>
      <c r="V168" s="24" t="inlineStr">
        <is>
          <t>loss</t>
        </is>
      </c>
      <c r="W168" s="26" t="n">
        <v>1</v>
      </c>
      <c r="X168" s="26" t="n">
        <v>0</v>
      </c>
      <c r="Y168" s="25" t="n"/>
      <c r="Z168" s="26" t="n">
        <v>-117</v>
      </c>
      <c r="AA168" s="28" t="n">
        <v>0.54</v>
      </c>
      <c r="AB168" s="28" t="n">
        <v>0.000829</v>
      </c>
      <c r="AC168" s="30" t="n">
        <v>-1</v>
      </c>
      <c r="AD168" s="24" t="inlineStr">
        <is>
          <t>2026-08-04T21:58:45.852895Z</t>
        </is>
      </c>
      <c r="AE168" s="31" t="inlineStr">
        <is>
          <t>Surface-blended Elo on Hard: Ekaterina Alexandrova p=0.466 vs Camila Osorio. Executable ask 0.5400 (aec-wta-camoso-ekaale-2026-08-03).</t>
        </is>
      </c>
      <c r="AF168" s="31" t="inlineStr">
        <is>
          <t>Surface-blended Elo model; singles only, WTA+ATP market coverage, not yet locked-holdout qualified -- promoted by explicit operator directive, not genuine walk-forward validation.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NO_CALL_LOW_EDGE</t>
        </is>
      </c>
      <c r="AP168" s="24" t="inlineStr">
        <is>
          <t>Ekaterina Alexandrova</t>
        </is>
      </c>
      <c r="AQ168" s="24" t="inlineStr">
        <is>
          <t>Ekaterina Alexandrova</t>
        </is>
      </c>
      <c r="AR168" s="24" t="inlineStr">
        <is>
          <t>Ekaterina Alexandrova</t>
        </is>
      </c>
      <c r="AS168" s="24" t="inlineStr">
        <is>
          <t>Camila Osorio</t>
        </is>
      </c>
      <c r="AT168" s="24" t="inlineStr">
        <is>
          <t>Camila Osorio</t>
        </is>
      </c>
      <c r="AU168" s="24" t="inlineStr">
        <is>
          <t>Camila Osorio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60749ecfb3f1405f12fbceda11b7e64f2473d40dd327256f9da20b2146b6ae03</t>
        </is>
      </c>
      <c r="BB168" s="24" t="inlineStr">
        <is>
          <t>surface_blended_elo</t>
        </is>
      </c>
      <c r="BC168" s="24" t="inlineStr">
        <is>
          <t>tennis-surface-elo-v1</t>
        </is>
      </c>
      <c r="BD168" s="24" t="inlineStr">
        <is>
          <t>60749ecfb3f1405f12fbceda11b7e64f2473d40dd327256f9da20b2146b6ae03</t>
        </is>
      </c>
      <c r="BE168" s="24" t="inlineStr">
        <is>
          <t>tennis-surface-elo-v1</t>
        </is>
      </c>
      <c r="BF168" s="24" t="inlineStr">
        <is>
          <t>1</t>
        </is>
      </c>
      <c r="BG168" s="24" t="inlineStr">
        <is>
          <t>60749ecfb3f1405f12fbceda11b7e64f2473d40dd327256f9da20b2146b6ae03</t>
        </is>
      </c>
      <c r="BH168" s="24" t="inlineStr">
        <is>
          <t>2026-08-04T15:00:56.573467Z</t>
        </is>
      </c>
      <c r="BI168" s="24" t="inlineStr">
        <is>
          <t>["same_event","same_team_same_day","same_league_same_day"]</t>
        </is>
      </c>
      <c r="BJ168" s="25" t="n"/>
      <c r="BK168" s="26" t="n">
        <v>-117</v>
      </c>
      <c r="BL168" s="27" t="n">
        <v>1.854701</v>
      </c>
      <c r="BM168" s="28" t="n">
        <v>0.539171</v>
      </c>
      <c r="BN168" s="28" t="n"/>
      <c r="BO168" s="28" t="n"/>
      <c r="BP168" s="25" t="n"/>
      <c r="BQ168" s="27" t="n">
        <v>1.854701</v>
      </c>
      <c r="BR168" s="28" t="n">
        <v>0.54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</row>
    <row r="169" ht="36" customHeight="1">
      <c r="A169" s="24" t="inlineStr">
        <is>
          <t>ac855c25fd4d4616</t>
        </is>
      </c>
      <c r="B169" s="24" t="inlineStr">
        <is>
          <t>2026-08-04T15:02:48.664333Z</t>
        </is>
      </c>
      <c r="C169" s="24" t="inlineStr">
        <is>
          <t>2026-08-04T16:30Z</t>
        </is>
      </c>
      <c r="D169" s="24" t="inlineStr">
        <is>
          <t>421-2026:181780</t>
        </is>
      </c>
      <c r="E169" s="24" t="inlineStr">
        <is>
          <t>TENNIS</t>
        </is>
      </c>
      <c r="F169" s="24" t="inlineStr">
        <is>
          <t>Denis Shapovalov</t>
        </is>
      </c>
      <c r="G169" s="24" t="inlineStr">
        <is>
          <t>Zachary Svajda</t>
        </is>
      </c>
      <c r="H169" s="24" t="inlineStr">
        <is>
          <t>moneyline</t>
        </is>
      </c>
      <c r="I169" s="24" t="inlineStr">
        <is>
          <t>away</t>
        </is>
      </c>
      <c r="J169" s="25" t="n"/>
      <c r="K169" s="24" t="inlineStr">
        <is>
          <t>polymarket_us</t>
        </is>
      </c>
      <c r="L169" s="26" t="n">
        <v>-138</v>
      </c>
      <c r="M169" s="27" t="n">
        <v>1.724638</v>
      </c>
      <c r="N169" s="28" t="n">
        <v>0.579832</v>
      </c>
      <c r="O169" s="28" t="n">
        <v>0.533424</v>
      </c>
      <c r="P169" s="28" t="n">
        <v>0.05</v>
      </c>
      <c r="Q169" s="28" t="n">
        <v>-0.046408</v>
      </c>
      <c r="R169" s="26" t="n">
        <v>0</v>
      </c>
      <c r="S169" s="29" t="n">
        <v>1</v>
      </c>
      <c r="T169" s="24" t="inlineStr">
        <is>
          <t>tennis-surface-elo-v1</t>
        </is>
      </c>
      <c r="U169" s="24" t="inlineStr">
        <is>
          <t>settled</t>
        </is>
      </c>
      <c r="V169" s="24" t="inlineStr">
        <is>
          <t>loss</t>
        </is>
      </c>
      <c r="W169" s="26" t="n">
        <v>0</v>
      </c>
      <c r="X169" s="26" t="n">
        <v>1</v>
      </c>
      <c r="Y169" s="25" t="n"/>
      <c r="Z169" s="26" t="n">
        <v>-138</v>
      </c>
      <c r="AA169" s="28" t="n">
        <v>0.58</v>
      </c>
      <c r="AB169" s="28" t="n">
        <v>0.000168</v>
      </c>
      <c r="AC169" s="30" t="n">
        <v>-1</v>
      </c>
      <c r="AD169" s="24" t="inlineStr">
        <is>
          <t>2026-08-04T21:58:46.821359Z</t>
        </is>
      </c>
      <c r="AE169" s="31" t="inlineStr">
        <is>
          <t>Surface-blended Elo on Hard: Denis Shapovalov p=0.533 vs Zachary Svajda. Executable ask 0.5800 (aec-atp-zacsva-densha-2026-08-03).</t>
        </is>
      </c>
      <c r="AF169" s="31" t="inlineStr">
        <is>
          <t>Surface-blended Elo model; singles only, WTA+ATP market coverage, not yet locked-holdout qualified -- promoted by explicit operator directive, not genuine walk-forward validation.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NO_CALL_LOW_EDGE</t>
        </is>
      </c>
      <c r="AP169" s="24" t="inlineStr">
        <is>
          <t>Denis Shapovalov</t>
        </is>
      </c>
      <c r="AQ169" s="24" t="inlineStr">
        <is>
          <t>Denis Shapovalov</t>
        </is>
      </c>
      <c r="AR169" s="24" t="inlineStr">
        <is>
          <t>Denis Shapovalov</t>
        </is>
      </c>
      <c r="AS169" s="24" t="inlineStr">
        <is>
          <t>Zachary Svajda</t>
        </is>
      </c>
      <c r="AT169" s="24" t="inlineStr">
        <is>
          <t>Zachary Svajda</t>
        </is>
      </c>
      <c r="AU169" s="24" t="inlineStr">
        <is>
          <t>Zachary Svajda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60749ecfb3f1405f12fbceda11b7e64f2473d40dd327256f9da20b2146b6ae03</t>
        </is>
      </c>
      <c r="BB169" s="24" t="inlineStr">
        <is>
          <t>surface_blended_elo</t>
        </is>
      </c>
      <c r="BC169" s="24" t="inlineStr">
        <is>
          <t>tennis-surface-elo-v1</t>
        </is>
      </c>
      <c r="BD169" s="24" t="inlineStr">
        <is>
          <t>60749ecfb3f1405f12fbceda11b7e64f2473d40dd327256f9da20b2146b6ae03</t>
        </is>
      </c>
      <c r="BE169" s="24" t="inlineStr">
        <is>
          <t>tennis-surface-elo-v1</t>
        </is>
      </c>
      <c r="BF169" s="24" t="inlineStr">
        <is>
          <t>1</t>
        </is>
      </c>
      <c r="BG169" s="24" t="inlineStr">
        <is>
          <t>60749ecfb3f1405f12fbceda11b7e64f2473d40dd327256f9da20b2146b6ae03</t>
        </is>
      </c>
      <c r="BH169" s="24" t="inlineStr">
        <is>
          <t>2026-08-04T15:01:12.664700Z</t>
        </is>
      </c>
      <c r="BI169" s="24" t="inlineStr">
        <is>
          <t>["same_event","same_team_same_day","same_league_same_day"]</t>
        </is>
      </c>
      <c r="BJ169" s="25" t="n"/>
      <c r="BK169" s="26" t="n">
        <v>-138</v>
      </c>
      <c r="BL169" s="27" t="n">
        <v>1.724638</v>
      </c>
      <c r="BM169" s="28" t="n">
        <v>0.579832</v>
      </c>
      <c r="BN169" s="28" t="n"/>
      <c r="BO169" s="28" t="n"/>
      <c r="BP169" s="25" t="n"/>
      <c r="BQ169" s="27" t="n">
        <v>1.724638</v>
      </c>
      <c r="BR169" s="28" t="n">
        <v>0.58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</row>
    <row r="170" ht="36" customHeight="1">
      <c r="A170" s="24" t="inlineStr">
        <is>
          <t>c0db19f4295045f8</t>
        </is>
      </c>
      <c r="B170" s="24" t="inlineStr">
        <is>
          <t>2026-08-04T15:02:48.664333Z</t>
        </is>
      </c>
      <c r="C170" s="24" t="inlineStr">
        <is>
          <t>2026-08-04T16:30Z</t>
        </is>
      </c>
      <c r="D170" s="24" t="inlineStr">
        <is>
          <t>421-2026:181813</t>
        </is>
      </c>
      <c r="E170" s="24" t="inlineStr">
        <is>
          <t>TENNIS</t>
        </is>
      </c>
      <c r="F170" s="24" t="inlineStr">
        <is>
          <t>Liam Draxl</t>
        </is>
      </c>
      <c r="G170" s="24" t="inlineStr">
        <is>
          <t>Daniel Merida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-144</v>
      </c>
      <c r="M170" s="27" t="n">
        <v>1.694444</v>
      </c>
      <c r="N170" s="28" t="n">
        <v>0.590164</v>
      </c>
      <c r="O170" s="28" t="n">
        <v>0.69073</v>
      </c>
      <c r="P170" s="28" t="n">
        <v>0.05</v>
      </c>
      <c r="Q170" s="28" t="n">
        <v>0.100566</v>
      </c>
      <c r="R170" s="26" t="n">
        <v>70</v>
      </c>
      <c r="S170" s="29" t="n">
        <v>2</v>
      </c>
      <c r="T170" s="24" t="inlineStr">
        <is>
          <t>tennis-surface-elo-v1</t>
        </is>
      </c>
      <c r="U170" s="24" t="inlineStr">
        <is>
          <t>settled</t>
        </is>
      </c>
      <c r="V170" s="24" t="inlineStr">
        <is>
          <t>win</t>
        </is>
      </c>
      <c r="W170" s="26" t="n">
        <v>0</v>
      </c>
      <c r="X170" s="26" t="n">
        <v>1</v>
      </c>
      <c r="Y170" s="25" t="n"/>
      <c r="Z170" s="26" t="n">
        <v>-144</v>
      </c>
      <c r="AA170" s="28" t="n">
        <v>0.59</v>
      </c>
      <c r="AB170" s="28" t="n">
        <v>-0.000164</v>
      </c>
      <c r="AC170" s="30" t="n">
        <v>1.3889</v>
      </c>
      <c r="AD170" s="24" t="inlineStr">
        <is>
          <t>2026-08-04T21:58:47.731499Z</t>
        </is>
      </c>
      <c r="AE170" s="31" t="inlineStr">
        <is>
          <t>Surface-blended Elo on Hard: Liam Draxl p=0.309 vs Daniel Merida. Executable ask 0.5900 (aec-atp-danagu-liadra-2026-08-03).</t>
        </is>
      </c>
      <c r="AF170" s="31" t="inlineStr">
        <is>
          <t>Surface-blended Elo model; singles only, WTA+ATP market coverage, not yet locked-holdout qualified -- promoted by explicit operator directive, not genuine walk-forward validation.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Liam Draxl</t>
        </is>
      </c>
      <c r="AQ170" s="24" t="inlineStr">
        <is>
          <t>Liam Draxl</t>
        </is>
      </c>
      <c r="AR170" s="24" t="inlineStr">
        <is>
          <t>Liam Draxl</t>
        </is>
      </c>
      <c r="AS170" s="24" t="inlineStr">
        <is>
          <t>Daniel Merida</t>
        </is>
      </c>
      <c r="AT170" s="24" t="inlineStr">
        <is>
          <t>Daniel Merida</t>
        </is>
      </c>
      <c r="AU170" s="24" t="inlineStr">
        <is>
          <t>Daniel Merida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60749ecfb3f1405f12fbceda11b7e64f2473d40dd327256f9da20b2146b6ae03</t>
        </is>
      </c>
      <c r="BB170" s="24" t="inlineStr">
        <is>
          <t>surface_blended_elo</t>
        </is>
      </c>
      <c r="BC170" s="24" t="inlineStr">
        <is>
          <t>tennis-surface-elo-v1</t>
        </is>
      </c>
      <c r="BD170" s="24" t="inlineStr">
        <is>
          <t>60749ecfb3f1405f12fbceda11b7e64f2473d40dd327256f9da20b2146b6ae03</t>
        </is>
      </c>
      <c r="BE170" s="24" t="inlineStr">
        <is>
          <t>tennis-surface-elo-v1</t>
        </is>
      </c>
      <c r="BF170" s="24" t="inlineStr">
        <is>
          <t>1</t>
        </is>
      </c>
      <c r="BG170" s="24" t="inlineStr">
        <is>
          <t>60749ecfb3f1405f12fbceda11b7e64f2473d40dd327256f9da20b2146b6ae03</t>
        </is>
      </c>
      <c r="BH170" s="24" t="inlineStr">
        <is>
          <t>2026-08-04T15:01:10.821337Z</t>
        </is>
      </c>
      <c r="BI170" s="24" t="inlineStr">
        <is>
          <t>["same_event","same_team_same_day","same_league_same_day"]</t>
        </is>
      </c>
      <c r="BJ170" s="25" t="n"/>
      <c r="BK170" s="26" t="n">
        <v>-144</v>
      </c>
      <c r="BL170" s="27" t="n">
        <v>1.694444</v>
      </c>
      <c r="BM170" s="28" t="n">
        <v>0.590164</v>
      </c>
      <c r="BN170" s="28" t="n"/>
      <c r="BO170" s="28" t="n"/>
      <c r="BP170" s="25" t="n"/>
      <c r="BQ170" s="27" t="n">
        <v>1.694444</v>
      </c>
      <c r="BR170" s="28" t="n">
        <v>0.59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</row>
    <row r="171" ht="36" customHeight="1">
      <c r="A171" s="24" t="inlineStr">
        <is>
          <t>8ead636b7a9e4345</t>
        </is>
      </c>
      <c r="B171" s="24" t="inlineStr">
        <is>
          <t>2026-08-04T15:02:48.664333Z</t>
        </is>
      </c>
      <c r="C171" s="24" t="inlineStr">
        <is>
          <t>2026-08-04T16:30Z</t>
        </is>
      </c>
      <c r="D171" s="24" t="inlineStr">
        <is>
          <t>421-2026:181818</t>
        </is>
      </c>
      <c r="E171" s="24" t="inlineStr">
        <is>
          <t>TENNIS</t>
        </is>
      </c>
      <c r="F171" s="24" t="inlineStr">
        <is>
          <t>Valentin Royer</t>
        </is>
      </c>
      <c r="G171" s="24" t="inlineStr">
        <is>
          <t>Pablo Carreno Busta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-203</v>
      </c>
      <c r="M171" s="27" t="n">
        <v>1.492611</v>
      </c>
      <c r="N171" s="28" t="n">
        <v>0.669967</v>
      </c>
      <c r="O171" s="28" t="n">
        <v>0.627342</v>
      </c>
      <c r="P171" s="28" t="n">
        <v>0.05</v>
      </c>
      <c r="Q171" s="28" t="n">
        <v>-0.042625</v>
      </c>
      <c r="R171" s="26" t="n">
        <v>0</v>
      </c>
      <c r="S171" s="29" t="n">
        <v>1.5</v>
      </c>
      <c r="T171" s="24" t="inlineStr">
        <is>
          <t>tennis-surface-elo-v1</t>
        </is>
      </c>
      <c r="U171" s="24" t="inlineStr">
        <is>
          <t>settled</t>
        </is>
      </c>
      <c r="V171" s="24" t="inlineStr">
        <is>
          <t>loss</t>
        </is>
      </c>
      <c r="W171" s="26" t="n">
        <v>1</v>
      </c>
      <c r="X171" s="26" t="n">
        <v>0</v>
      </c>
      <c r="Y171" s="25" t="n"/>
      <c r="Z171" s="26" t="n">
        <v>-203</v>
      </c>
      <c r="AA171" s="28" t="n">
        <v>0.67</v>
      </c>
      <c r="AB171" s="28" t="n">
        <v>3.3e-05</v>
      </c>
      <c r="AC171" s="30" t="n">
        <v>-1.5</v>
      </c>
      <c r="AD171" s="24" t="inlineStr">
        <is>
          <t>2026-08-04T21:58:48.690690Z</t>
        </is>
      </c>
      <c r="AE171" s="31" t="inlineStr">
        <is>
          <t>Surface-blended Elo on Hard: Valentin Royer p=0.373 vs Pablo Carreno Busta. Executable ask 0.6700 (aec-atp-pabbus-valroy-2026-08-03).</t>
        </is>
      </c>
      <c r="AF171" s="31" t="inlineStr">
        <is>
          <t>Surface-blended Elo model; singles only, WTA+ATP market coverage, not yet locked-holdout qualified -- promoted by explicit operator directive, not genuine walk-forward validation.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NO_CALL_LOW_EDGE</t>
        </is>
      </c>
      <c r="AP171" s="24" t="inlineStr">
        <is>
          <t>Valentin Royer</t>
        </is>
      </c>
      <c r="AQ171" s="24" t="inlineStr">
        <is>
          <t>Valentin Royer</t>
        </is>
      </c>
      <c r="AR171" s="24" t="inlineStr">
        <is>
          <t>Valentin Royer</t>
        </is>
      </c>
      <c r="AS171" s="24" t="inlineStr">
        <is>
          <t>Pablo Carreno Busta</t>
        </is>
      </c>
      <c r="AT171" s="24" t="inlineStr">
        <is>
          <t>Pablo Carreno Busta</t>
        </is>
      </c>
      <c r="AU171" s="24" t="inlineStr">
        <is>
          <t>Pablo Carreno Busta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60749ecfb3f1405f12fbceda11b7e64f2473d40dd327256f9da20b2146b6ae03</t>
        </is>
      </c>
      <c r="BB171" s="24" t="inlineStr">
        <is>
          <t>surface_blended_elo</t>
        </is>
      </c>
      <c r="BC171" s="24" t="inlineStr">
        <is>
          <t>tennis-surface-elo-v1</t>
        </is>
      </c>
      <c r="BD171" s="24" t="inlineStr">
        <is>
          <t>60749ecfb3f1405f12fbceda11b7e64f2473d40dd327256f9da20b2146b6ae03</t>
        </is>
      </c>
      <c r="BE171" s="24" t="inlineStr">
        <is>
          <t>tennis-surface-elo-v1</t>
        </is>
      </c>
      <c r="BF171" s="24" t="inlineStr">
        <is>
          <t>1</t>
        </is>
      </c>
      <c r="BG171" s="24" t="inlineStr">
        <is>
          <t>60749ecfb3f1405f12fbceda11b7e64f2473d40dd327256f9da20b2146b6ae03</t>
        </is>
      </c>
      <c r="BH171" s="24" t="inlineStr">
        <is>
          <t>2026-08-04T15:01:11.574649Z</t>
        </is>
      </c>
      <c r="BI171" s="24" t="inlineStr">
        <is>
          <t>["same_event","same_team_same_day","same_league_same_day"]</t>
        </is>
      </c>
      <c r="BJ171" s="25" t="n"/>
      <c r="BK171" s="26" t="n">
        <v>-203</v>
      </c>
      <c r="BL171" s="27" t="n">
        <v>1.492611</v>
      </c>
      <c r="BM171" s="28" t="n">
        <v>0.669967</v>
      </c>
      <c r="BN171" s="28" t="n"/>
      <c r="BO171" s="28" t="n"/>
      <c r="BP171" s="25" t="n"/>
      <c r="BQ171" s="27" t="n">
        <v>1.492611</v>
      </c>
      <c r="BR171" s="28" t="n">
        <v>0.67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</row>
    <row r="172" ht="36" customHeight="1">
      <c r="A172" s="24" t="inlineStr">
        <is>
          <t>4ace1908198c4aa4</t>
        </is>
      </c>
      <c r="B172" s="24" t="inlineStr">
        <is>
          <t>2026-08-04T15:02:48.664333Z</t>
        </is>
      </c>
      <c r="C172" s="24" t="inlineStr">
        <is>
          <t>2026-08-04T16:30Z</t>
        </is>
      </c>
      <c r="D172" s="24" t="inlineStr">
        <is>
          <t>421-2026:181819</t>
        </is>
      </c>
      <c r="E172" s="24" t="inlineStr">
        <is>
          <t>TENNIS</t>
        </is>
      </c>
      <c r="F172" s="24" t="inlineStr">
        <is>
          <t>Roman Andres Burruchaga</t>
        </is>
      </c>
      <c r="G172" s="24" t="inlineStr">
        <is>
          <t>Alexei Popyrin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156</v>
      </c>
      <c r="M172" s="27" t="n">
        <v>2.56</v>
      </c>
      <c r="N172" s="28" t="n">
        <v>0.390625</v>
      </c>
      <c r="O172" s="28" t="n">
        <v>0.51802</v>
      </c>
      <c r="P172" s="28" t="n">
        <v>0.05</v>
      </c>
      <c r="Q172" s="28" t="n">
        <v>0.127395</v>
      </c>
      <c r="R172" s="26" t="n">
        <v>84</v>
      </c>
      <c r="S172" s="29" t="n">
        <v>1</v>
      </c>
      <c r="T172" s="24" t="inlineStr">
        <is>
          <t>tennis-surface-elo-v1</t>
        </is>
      </c>
      <c r="U172" s="24" t="inlineStr">
        <is>
          <t>settled</t>
        </is>
      </c>
      <c r="V172" s="24" t="inlineStr">
        <is>
          <t>loss</t>
        </is>
      </c>
      <c r="W172" s="26" t="n">
        <v>0</v>
      </c>
      <c r="X172" s="26" t="n">
        <v>1</v>
      </c>
      <c r="Y172" s="25" t="n"/>
      <c r="Z172" s="26" t="n">
        <v>156</v>
      </c>
      <c r="AA172" s="28" t="n">
        <v>0.39</v>
      </c>
      <c r="AB172" s="28" t="n">
        <v>-0.000625</v>
      </c>
      <c r="AC172" s="30" t="n">
        <v>-1</v>
      </c>
      <c r="AD172" s="24" t="inlineStr">
        <is>
          <t>2026-08-04T21:58:49.617033Z</t>
        </is>
      </c>
      <c r="AE172" s="31" t="inlineStr">
        <is>
          <t>Surface-blended Elo on Hard: Roman Andres Burruchaga p=0.518 vs Alexei Popyrin. Executable ask 0.3900 (aec-atp-alepop-rombur-2026-08-03).</t>
        </is>
      </c>
      <c r="AF172" s="31" t="inlineStr">
        <is>
          <t>Surface-blended Elo model; singles only, WTA+ATP market coverage, not yet locked-holdout qualified -- promoted by explicit operator directive, not genuine walk-forward validation.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NO_CALL_LOW_EDGE</t>
        </is>
      </c>
      <c r="AP172" s="24" t="inlineStr">
        <is>
          <t>Roman Andres Burruchaga</t>
        </is>
      </c>
      <c r="AQ172" s="24" t="inlineStr">
        <is>
          <t>Roman Andres Burruchaga</t>
        </is>
      </c>
      <c r="AR172" s="24" t="inlineStr">
        <is>
          <t>Roman Andres Burruchaga</t>
        </is>
      </c>
      <c r="AS172" s="24" t="inlineStr">
        <is>
          <t>Alexei Popyrin</t>
        </is>
      </c>
      <c r="AT172" s="24" t="inlineStr">
        <is>
          <t>Alexei Popyrin</t>
        </is>
      </c>
      <c r="AU172" s="24" t="inlineStr">
        <is>
          <t>Alexei Popyrin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60749ecfb3f1405f12fbceda11b7e64f2473d40dd327256f9da20b2146b6ae03</t>
        </is>
      </c>
      <c r="BB172" s="24" t="inlineStr">
        <is>
          <t>surface_blended_elo</t>
        </is>
      </c>
      <c r="BC172" s="24" t="inlineStr">
        <is>
          <t>tennis-surface-elo-v1</t>
        </is>
      </c>
      <c r="BD172" s="24" t="inlineStr">
        <is>
          <t>60749ecfb3f1405f12fbceda11b7e64f2473d40dd327256f9da20b2146b6ae03</t>
        </is>
      </c>
      <c r="BE172" s="24" t="inlineStr">
        <is>
          <t>tennis-surface-elo-v1</t>
        </is>
      </c>
      <c r="BF172" s="24" t="inlineStr">
        <is>
          <t>1</t>
        </is>
      </c>
      <c r="BG172" s="24" t="inlineStr">
        <is>
          <t>60749ecfb3f1405f12fbceda11b7e64f2473d40dd327256f9da20b2146b6ae03</t>
        </is>
      </c>
      <c r="BH172" s="24" t="inlineStr">
        <is>
          <t>2026-08-04T15:01:13.690070Z</t>
        </is>
      </c>
      <c r="BI172" s="24" t="inlineStr">
        <is>
          <t>["same_event","same_team_same_day","same_league_same_day"]</t>
        </is>
      </c>
      <c r="BJ172" s="25" t="n"/>
      <c r="BK172" s="26" t="n">
        <v>156</v>
      </c>
      <c r="BL172" s="27" t="n">
        <v>2.56</v>
      </c>
      <c r="BM172" s="28" t="n">
        <v>0.390625</v>
      </c>
      <c r="BN172" s="28" t="n"/>
      <c r="BO172" s="28" t="n"/>
      <c r="BP172" s="25" t="n"/>
      <c r="BQ172" s="27" t="n">
        <v>2.56</v>
      </c>
      <c r="BR172" s="28" t="n">
        <v>0.39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</row>
    <row r="173" ht="36" customHeight="1">
      <c r="A173" s="24" t="inlineStr">
        <is>
          <t>9d77eb467aa14330</t>
        </is>
      </c>
      <c r="B173" s="24" t="inlineStr">
        <is>
          <t>2026-08-04T16:52:13.548572Z</t>
        </is>
      </c>
      <c r="C173" s="24" t="inlineStr">
        <is>
          <t>2026-08-04T18:00Z</t>
        </is>
      </c>
      <c r="D173" s="24" t="inlineStr">
        <is>
          <t>421-2026:182166</t>
        </is>
      </c>
      <c r="E173" s="24" t="inlineStr">
        <is>
          <t>TENNIS</t>
        </is>
      </c>
      <c r="F173" s="24" t="inlineStr">
        <is>
          <t>Madison Keys</t>
        </is>
      </c>
      <c r="G173" s="24" t="inlineStr">
        <is>
          <t>Antonia Ruzic</t>
        </is>
      </c>
      <c r="H173" s="24" t="inlineStr">
        <is>
          <t>moneyline</t>
        </is>
      </c>
      <c r="I173" s="24" t="inlineStr">
        <is>
          <t>away</t>
        </is>
      </c>
      <c r="J173" s="25" t="n"/>
      <c r="K173" s="24" t="inlineStr">
        <is>
          <t>polymarket_us</t>
        </is>
      </c>
      <c r="L173" s="26" t="n">
        <v>-456</v>
      </c>
      <c r="M173" s="27" t="n">
        <v>1.219298</v>
      </c>
      <c r="N173" s="28" t="n">
        <v>0.820144</v>
      </c>
      <c r="O173" s="28" t="n">
        <v>0.771595</v>
      </c>
      <c r="P173" s="28" t="n">
        <v>0.05</v>
      </c>
      <c r="Q173" s="28" t="n">
        <v>-0.048549</v>
      </c>
      <c r="R173" s="26" t="n">
        <v>0</v>
      </c>
      <c r="S173" s="29" t="n">
        <v>2</v>
      </c>
      <c r="T173" s="24" t="inlineStr">
        <is>
          <t>tennis-surface-elo-v1</t>
        </is>
      </c>
      <c r="U173" s="24" t="inlineStr">
        <is>
          <t>settled</t>
        </is>
      </c>
      <c r="V173" s="24" t="inlineStr">
        <is>
          <t>win</t>
        </is>
      </c>
      <c r="W173" s="26" t="n">
        <v>1</v>
      </c>
      <c r="X173" s="26" t="n">
        <v>0</v>
      </c>
      <c r="Y173" s="25" t="n"/>
      <c r="Z173" s="26" t="n">
        <v>-456</v>
      </c>
      <c r="AA173" s="28" t="n">
        <v>0.82</v>
      </c>
      <c r="AB173" s="28" t="n">
        <v>-0.000144</v>
      </c>
      <c r="AC173" s="30" t="n">
        <v>0.4386</v>
      </c>
      <c r="AD173" s="24" t="inlineStr">
        <is>
          <t>2026-08-04T21:58:50.571345Z</t>
        </is>
      </c>
      <c r="AE173" s="31" t="inlineStr">
        <is>
          <t>Surface-blended Elo on Hard: Madison Keys p=0.772 vs Antonia Ruzic. Executable ask 0.8200 (aec-wta-antruz-madkey-2026-08-04).</t>
        </is>
      </c>
      <c r="AF173" s="31" t="inlineStr">
        <is>
          <t>Surface-blended Elo model; singles only, WTA+ATP market coverage, not yet locked-holdout qualified -- promoted by explicit operator directive, not genuine walk-forward validation.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NO_CALL_LOW_EDGE</t>
        </is>
      </c>
      <c r="AP173" s="24" t="inlineStr">
        <is>
          <t>Madison Keys</t>
        </is>
      </c>
      <c r="AQ173" s="24" t="inlineStr">
        <is>
          <t>Madison Keys</t>
        </is>
      </c>
      <c r="AR173" s="24" t="inlineStr">
        <is>
          <t>Madison Keys</t>
        </is>
      </c>
      <c r="AS173" s="24" t="inlineStr">
        <is>
          <t>Antonia Ruzic</t>
        </is>
      </c>
      <c r="AT173" s="24" t="inlineStr">
        <is>
          <t>Antonia Ruzic</t>
        </is>
      </c>
      <c r="AU173" s="24" t="inlineStr">
        <is>
          <t>Antonia Ruzic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60749ecfb3f1405f12fbceda11b7e64f2473d40dd327256f9da20b2146b6ae03</t>
        </is>
      </c>
      <c r="BB173" s="24" t="inlineStr">
        <is>
          <t>surface_blended_elo</t>
        </is>
      </c>
      <c r="BC173" s="24" t="inlineStr">
        <is>
          <t>tennis-surface-elo-v1</t>
        </is>
      </c>
      <c r="BD173" s="24" t="inlineStr">
        <is>
          <t>60749ecfb3f1405f12fbceda11b7e64f2473d40dd327256f9da20b2146b6ae03</t>
        </is>
      </c>
      <c r="BE173" s="24" t="inlineStr">
        <is>
          <t>tennis-surface-elo-v1</t>
        </is>
      </c>
      <c r="BF173" s="24" t="inlineStr">
        <is>
          <t>1</t>
        </is>
      </c>
      <c r="BG173" s="24" t="inlineStr">
        <is>
          <t>60749ecfb3f1405f12fbceda11b7e64f2473d40dd327256f9da20b2146b6ae03</t>
        </is>
      </c>
      <c r="BH173" s="24" t="inlineStr">
        <is>
          <t>2026-08-04T16:50:32.218437Z</t>
        </is>
      </c>
      <c r="BI173" s="24" t="inlineStr">
        <is>
          <t>["same_event","same_team_same_day","same_league_same_day"]</t>
        </is>
      </c>
      <c r="BJ173" s="25" t="n"/>
      <c r="BK173" s="26" t="n">
        <v>-456</v>
      </c>
      <c r="BL173" s="27" t="n">
        <v>1.219298</v>
      </c>
      <c r="BM173" s="28" t="n">
        <v>0.820144</v>
      </c>
      <c r="BN173" s="28" t="n"/>
      <c r="BO173" s="28" t="n"/>
      <c r="BP173" s="25" t="n"/>
      <c r="BQ173" s="27" t="n">
        <v>1.219298</v>
      </c>
      <c r="BR173" s="28" t="n">
        <v>0.82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</row>
    <row r="174" ht="36" customHeight="1">
      <c r="A174" s="24" t="inlineStr">
        <is>
          <t>6b9b651ef36a437e</t>
        </is>
      </c>
      <c r="B174" s="24" t="inlineStr">
        <is>
          <t>2026-08-04T16:52:13.548572Z</t>
        </is>
      </c>
      <c r="C174" s="24" t="inlineStr">
        <is>
          <t>2026-08-04T18:00Z</t>
        </is>
      </c>
      <c r="D174" s="24" t="inlineStr">
        <is>
          <t>421-2026:182194</t>
        </is>
      </c>
      <c r="E174" s="24" t="inlineStr">
        <is>
          <t>TENNIS</t>
        </is>
      </c>
      <c r="F174" s="24" t="inlineStr">
        <is>
          <t>Katherine Sebov</t>
        </is>
      </c>
      <c r="G174" s="24" t="inlineStr">
        <is>
          <t>Marta Kostyuk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-1900</v>
      </c>
      <c r="M174" s="27" t="n">
        <v>1.052632</v>
      </c>
      <c r="N174" s="28" t="n">
        <v>0.95</v>
      </c>
      <c r="O174" s="28" t="n">
        <v>0.886886</v>
      </c>
      <c r="P174" s="28" t="n">
        <v>0.05</v>
      </c>
      <c r="Q174" s="28" t="n">
        <v>-0.063114</v>
      </c>
      <c r="R174" s="26" t="n">
        <v>0</v>
      </c>
      <c r="S174" s="29" t="n">
        <v>2</v>
      </c>
      <c r="T174" s="24" t="inlineStr">
        <is>
          <t>tennis-surface-elo-v1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</v>
      </c>
      <c r="Y174" s="25" t="n"/>
      <c r="Z174" s="26" t="n">
        <v>-1900</v>
      </c>
      <c r="AA174" s="28" t="n">
        <v>0.95</v>
      </c>
      <c r="AB174" s="28" t="n">
        <v>0</v>
      </c>
      <c r="AC174" s="30" t="n">
        <v>0.1053</v>
      </c>
      <c r="AD174" s="24" t="inlineStr">
        <is>
          <t>2026-08-04T21:58:51.495000Z</t>
        </is>
      </c>
      <c r="AE174" s="31" t="inlineStr">
        <is>
          <t>Surface-blended Elo on Hard: Katherine Sebov p=0.113 vs Marta Kostyuk. Executable ask 0.9500 (aec-wta-markos-katseb-2026-08-03).</t>
        </is>
      </c>
      <c r="AF174" s="31" t="inlineStr">
        <is>
          <t>Surface-blended Elo model; singles only, WTA+ATP market coverage, not yet locked-holdout qualified -- promoted by explicit operator directive, not genuine walk-forward validation.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research_observation</t>
        </is>
      </c>
      <c r="AL174" s="26" t="n">
        <v>3</v>
      </c>
      <c r="AM174" s="24" t="inlineStr">
        <is>
          <t>RESEARCH_OBSERVATION</t>
        </is>
      </c>
      <c r="AN174" s="24" t="inlineStr">
        <is>
          <t>NO_CALL</t>
        </is>
      </c>
      <c r="AO174" s="24" t="inlineStr">
        <is>
          <t>NO_CALL_LOW_EDGE</t>
        </is>
      </c>
      <c r="AP174" s="24" t="inlineStr">
        <is>
          <t>Katherine Sebov</t>
        </is>
      </c>
      <c r="AQ174" s="24" t="inlineStr">
        <is>
          <t>Katherine Sebov</t>
        </is>
      </c>
      <c r="AR174" s="24" t="inlineStr">
        <is>
          <t>Katherine Sebov</t>
        </is>
      </c>
      <c r="AS174" s="24" t="inlineStr">
        <is>
          <t>Marta Kostyuk</t>
        </is>
      </c>
      <c r="AT174" s="24" t="inlineStr">
        <is>
          <t>Marta Kostyuk</t>
        </is>
      </c>
      <c r="AU174" s="24" t="inlineStr">
        <is>
          <t>Marta Kostyuk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60749ecfb3f1405f12fbceda11b7e64f2473d40dd327256f9da20b2146b6ae03</t>
        </is>
      </c>
      <c r="BB174" s="24" t="inlineStr">
        <is>
          <t>surface_blended_elo</t>
        </is>
      </c>
      <c r="BC174" s="24" t="inlineStr">
        <is>
          <t>tennis-surface-elo-v1</t>
        </is>
      </c>
      <c r="BD174" s="24" t="inlineStr">
        <is>
          <t>60749ecfb3f1405f12fbceda11b7e64f2473d40dd327256f9da20b2146b6ae03</t>
        </is>
      </c>
      <c r="BE174" s="24" t="inlineStr">
        <is>
          <t>tennis-surface-elo-v1</t>
        </is>
      </c>
      <c r="BF174" s="24" t="inlineStr">
        <is>
          <t>1</t>
        </is>
      </c>
      <c r="BG174" s="24" t="inlineStr">
        <is>
          <t>60749ecfb3f1405f12fbceda11b7e64f2473d40dd327256f9da20b2146b6ae03</t>
        </is>
      </c>
      <c r="BH174" s="24" t="inlineStr">
        <is>
          <t>2026-08-04T16:50:30.668064Z</t>
        </is>
      </c>
      <c r="BI174" s="24" t="inlineStr">
        <is>
          <t>["same_event","same_team_same_day","same_league_same_day"]</t>
        </is>
      </c>
      <c r="BJ174" s="25" t="n"/>
      <c r="BK174" s="26" t="n">
        <v>-1900</v>
      </c>
      <c r="BL174" s="27" t="n">
        <v>1.052632</v>
      </c>
      <c r="BM174" s="28" t="n">
        <v>0.95</v>
      </c>
      <c r="BN174" s="28" t="n"/>
      <c r="BO174" s="28" t="n"/>
      <c r="BP174" s="25" t="n"/>
      <c r="BQ174" s="27" t="n">
        <v>1.052632</v>
      </c>
      <c r="BR174" s="28" t="n">
        <v>0.95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</row>
    <row r="175" ht="36" customHeight="1">
      <c r="A175" s="24" t="inlineStr">
        <is>
          <t>c11f98c206f149b4</t>
        </is>
      </c>
      <c r="B175" s="24" t="inlineStr">
        <is>
          <t>2026-08-04T16:52:13.548572Z</t>
        </is>
      </c>
      <c r="C175" s="24" t="inlineStr">
        <is>
          <t>2026-08-04T18:00Z</t>
        </is>
      </c>
      <c r="D175" s="24" t="inlineStr">
        <is>
          <t>421-2026:182202</t>
        </is>
      </c>
      <c r="E175" s="24" t="inlineStr">
        <is>
          <t>TENNIS</t>
        </is>
      </c>
      <c r="F175" s="24" t="inlineStr">
        <is>
          <t>Talia Gibson</t>
        </is>
      </c>
      <c r="G175" s="24" t="inlineStr">
        <is>
          <t>Maja Chwalinska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122</v>
      </c>
      <c r="M175" s="27" t="n">
        <v>2.22</v>
      </c>
      <c r="N175" s="28" t="n">
        <v>0.45045</v>
      </c>
      <c r="O175" s="28" t="n">
        <v>0.623502</v>
      </c>
      <c r="P175" s="28" t="n">
        <v>0.05</v>
      </c>
      <c r="Q175" s="28" t="n">
        <v>0.173052</v>
      </c>
      <c r="R175" s="26" t="n">
        <v>100</v>
      </c>
      <c r="S175" s="29" t="n">
        <v>1.5</v>
      </c>
      <c r="T175" s="24" t="inlineStr">
        <is>
          <t>tennis-surface-elo-v1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0</v>
      </c>
      <c r="Y175" s="25" t="n"/>
      <c r="Z175" s="26" t="n">
        <v>122</v>
      </c>
      <c r="AA175" s="28" t="n">
        <v>0.45</v>
      </c>
      <c r="AB175" s="28" t="n">
        <v>-0.00045</v>
      </c>
      <c r="AC175" s="30" t="n">
        <v>-1.5</v>
      </c>
      <c r="AD175" s="24" t="inlineStr">
        <is>
          <t>2026-08-04T21:58:52.417030Z</t>
        </is>
      </c>
      <c r="AE175" s="31" t="inlineStr">
        <is>
          <t>Surface-blended Elo on Hard: Talia Gibson p=0.376 vs Maja Chwalinska. Executable ask 0.4500 (aec-wta-majchw-talgib-2026-08-04).</t>
        </is>
      </c>
      <c r="AF175" s="31" t="inlineStr">
        <is>
          <t>Surface-blended Elo model; singles only, WTA+ATP market coverage, not yet locked-holdout qualified -- promoted by explicit operator directive, not genuine walk-forward validation.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Talia Gibson</t>
        </is>
      </c>
      <c r="AQ175" s="24" t="inlineStr">
        <is>
          <t>Talia Gibson</t>
        </is>
      </c>
      <c r="AR175" s="24" t="inlineStr">
        <is>
          <t>Talia Gibson</t>
        </is>
      </c>
      <c r="AS175" s="24" t="inlineStr">
        <is>
          <t>Maja Chwalinska</t>
        </is>
      </c>
      <c r="AT175" s="24" t="inlineStr">
        <is>
          <t>Maja Chwalinska</t>
        </is>
      </c>
      <c r="AU175" s="24" t="inlineStr">
        <is>
          <t>Maja Chwalinska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60749ecfb3f1405f12fbceda11b7e64f2473d40dd327256f9da20b2146b6ae03</t>
        </is>
      </c>
      <c r="BB175" s="24" t="inlineStr">
        <is>
          <t>surface_blended_elo</t>
        </is>
      </c>
      <c r="BC175" s="24" t="inlineStr">
        <is>
          <t>tennis-surface-elo-v1</t>
        </is>
      </c>
      <c r="BD175" s="24" t="inlineStr">
        <is>
          <t>60749ecfb3f1405f12fbceda11b7e64f2473d40dd327256f9da20b2146b6ae03</t>
        </is>
      </c>
      <c r="BE175" s="24" t="inlineStr">
        <is>
          <t>tennis-surface-elo-v1</t>
        </is>
      </c>
      <c r="BF175" s="24" t="inlineStr">
        <is>
          <t>1</t>
        </is>
      </c>
      <c r="BG175" s="24" t="inlineStr">
        <is>
          <t>60749ecfb3f1405f12fbceda11b7e64f2473d40dd327256f9da20b2146b6ae03</t>
        </is>
      </c>
      <c r="BH175" s="24" t="inlineStr">
        <is>
          <t>2026-08-04T16:50:30.241150Z</t>
        </is>
      </c>
      <c r="BI175" s="24" t="inlineStr">
        <is>
          <t>["same_event","same_team_same_day","same_league_same_day"]</t>
        </is>
      </c>
      <c r="BJ175" s="25" t="n"/>
      <c r="BK175" s="26" t="n">
        <v>122</v>
      </c>
      <c r="BL175" s="27" t="n">
        <v>2.22</v>
      </c>
      <c r="BM175" s="28" t="n">
        <v>0.45045</v>
      </c>
      <c r="BN175" s="28" t="n"/>
      <c r="BO175" s="28" t="n"/>
      <c r="BP175" s="25" t="n"/>
      <c r="BQ175" s="27" t="n">
        <v>2.22</v>
      </c>
      <c r="BR175" s="28" t="n">
        <v>0.45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</row>
    <row r="176" ht="36" customHeight="1">
      <c r="A176" s="24" t="inlineStr">
        <is>
          <t>85bc42cc03554db8</t>
        </is>
      </c>
      <c r="B176" s="24" t="inlineStr">
        <is>
          <t>2026-08-04T16:52:13.548572Z</t>
        </is>
      </c>
      <c r="C176" s="24" t="inlineStr">
        <is>
          <t>2026-08-04T18:00Z</t>
        </is>
      </c>
      <c r="D176" s="24" t="inlineStr">
        <is>
          <t>421-2026:181773</t>
        </is>
      </c>
      <c r="E176" s="24" t="inlineStr">
        <is>
          <t>TENNIS</t>
        </is>
      </c>
      <c r="F176" s="24" t="inlineStr">
        <is>
          <t>Andrey Rublev</t>
        </is>
      </c>
      <c r="G176" s="24" t="inlineStr">
        <is>
          <t>Shang Juncheng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-355</v>
      </c>
      <c r="M176" s="27" t="n">
        <v>1.28169</v>
      </c>
      <c r="N176" s="28" t="n">
        <v>0.78022</v>
      </c>
      <c r="O176" s="28" t="n">
        <v>0.734849</v>
      </c>
      <c r="P176" s="28" t="n">
        <v>0.05</v>
      </c>
      <c r="Q176" s="28" t="n">
        <v>-0.045371</v>
      </c>
      <c r="R176" s="26" t="n">
        <v>0</v>
      </c>
      <c r="S176" s="29" t="n">
        <v>2</v>
      </c>
      <c r="T176" s="24" t="inlineStr">
        <is>
          <t>tennis-surface-elo-v1</t>
        </is>
      </c>
      <c r="U176" s="24" t="inlineStr">
        <is>
          <t>settled</t>
        </is>
      </c>
      <c r="V176" s="24" t="inlineStr">
        <is>
          <t>loss</t>
        </is>
      </c>
      <c r="W176" s="26" t="n">
        <v>0</v>
      </c>
      <c r="X176" s="26" t="n">
        <v>1</v>
      </c>
      <c r="Y176" s="25" t="n"/>
      <c r="Z176" s="26" t="n">
        <v>-355</v>
      </c>
      <c r="AA176" s="28" t="n">
        <v>0.78</v>
      </c>
      <c r="AB176" s="28" t="n">
        <v>-0.00022</v>
      </c>
      <c r="AC176" s="30" t="n">
        <v>-2</v>
      </c>
      <c r="AD176" s="24" t="inlineStr">
        <is>
          <t>2026-08-05T01:05:39.351665Z</t>
        </is>
      </c>
      <c r="AE176" s="31" t="inlineStr">
        <is>
          <t>Surface-blended Elo on Hard: Andrey Rublev p=0.735 vs Shang Juncheng. Executable ask 0.7800 (aec-atp-junsha-andrub-2026-08-03).</t>
        </is>
      </c>
      <c r="AF176" s="31" t="inlineStr">
        <is>
          <t>Surface-blended Elo model; singles only, WTA+ATP market coverage, not yet locked-holdout qualified -- promoted by explicit operator directive, not genuine walk-forward validation.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NO_CALL_LOW_EDGE</t>
        </is>
      </c>
      <c r="AP176" s="24" t="inlineStr">
        <is>
          <t>Andrey Rublev</t>
        </is>
      </c>
      <c r="AQ176" s="24" t="inlineStr">
        <is>
          <t>Andrey Rublev</t>
        </is>
      </c>
      <c r="AR176" s="24" t="inlineStr">
        <is>
          <t>Andrey Rublev</t>
        </is>
      </c>
      <c r="AS176" s="24" t="inlineStr">
        <is>
          <t>Shang Juncheng</t>
        </is>
      </c>
      <c r="AT176" s="24" t="inlineStr">
        <is>
          <t>Shang Juncheng</t>
        </is>
      </c>
      <c r="AU176" s="24" t="inlineStr">
        <is>
          <t>Shang Juncheng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60749ecfb3f1405f12fbceda11b7e64f2473d40dd327256f9da20b2146b6ae03</t>
        </is>
      </c>
      <c r="BB176" s="24" t="inlineStr">
        <is>
          <t>surface_blended_elo</t>
        </is>
      </c>
      <c r="BC176" s="24" t="inlineStr">
        <is>
          <t>tennis-surface-elo-v1</t>
        </is>
      </c>
      <c r="BD176" s="24" t="inlineStr">
        <is>
          <t>60749ecfb3f1405f12fbceda11b7e64f2473d40dd327256f9da20b2146b6ae03</t>
        </is>
      </c>
      <c r="BE176" s="24" t="inlineStr">
        <is>
          <t>tennis-surface-elo-v1</t>
        </is>
      </c>
      <c r="BF176" s="24" t="inlineStr">
        <is>
          <t>1</t>
        </is>
      </c>
      <c r="BG176" s="24" t="inlineStr">
        <is>
          <t>60749ecfb3f1405f12fbceda11b7e64f2473d40dd327256f9da20b2146b6ae03</t>
        </is>
      </c>
      <c r="BH176" s="24" t="inlineStr">
        <is>
          <t>2026-08-04T16:50:44.221495Z</t>
        </is>
      </c>
      <c r="BI176" s="24" t="inlineStr">
        <is>
          <t>["same_event","same_team_same_day","same_league_same_day"]</t>
        </is>
      </c>
      <c r="BJ176" s="25" t="n"/>
      <c r="BK176" s="26" t="n">
        <v>-355</v>
      </c>
      <c r="BL176" s="27" t="n">
        <v>1.28169</v>
      </c>
      <c r="BM176" s="28" t="n">
        <v>0.78022</v>
      </c>
      <c r="BN176" s="28" t="n"/>
      <c r="BO176" s="28" t="n"/>
      <c r="BP176" s="25" t="n"/>
      <c r="BQ176" s="27" t="n">
        <v>1.28169</v>
      </c>
      <c r="BR176" s="28" t="n">
        <v>0.78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</row>
    <row r="177" ht="36" customHeight="1">
      <c r="A177" s="24" t="inlineStr">
        <is>
          <t>0cdb66ae7ceb4005</t>
        </is>
      </c>
      <c r="B177" s="24" t="inlineStr">
        <is>
          <t>2026-08-04T16:52:13.548572Z</t>
        </is>
      </c>
      <c r="C177" s="24" t="inlineStr">
        <is>
          <t>2026-08-04T18:00Z</t>
        </is>
      </c>
      <c r="D177" s="24" t="inlineStr">
        <is>
          <t>421-2026:181784</t>
        </is>
      </c>
      <c r="E177" s="24" t="inlineStr">
        <is>
          <t>TENNIS</t>
        </is>
      </c>
      <c r="F177" s="24" t="inlineStr">
        <is>
          <t>Tallon Griekspoor</t>
        </is>
      </c>
      <c r="G177" s="24" t="inlineStr">
        <is>
          <t>Lorenzo Sonego</t>
        </is>
      </c>
      <c r="H177" s="24" t="inlineStr">
        <is>
          <t>moneyline</t>
        </is>
      </c>
      <c r="I177" s="24" t="inlineStr">
        <is>
          <t>away</t>
        </is>
      </c>
      <c r="J177" s="25" t="n"/>
      <c r="K177" s="24" t="inlineStr">
        <is>
          <t>polymarket_us</t>
        </is>
      </c>
      <c r="L177" s="26" t="n">
        <v>-108</v>
      </c>
      <c r="M177" s="27" t="n">
        <v>1.925926</v>
      </c>
      <c r="N177" s="28" t="n">
        <v>0.519231</v>
      </c>
      <c r="O177" s="28" t="n">
        <v>0.506379</v>
      </c>
      <c r="P177" s="28" t="n">
        <v>0.05</v>
      </c>
      <c r="Q177" s="28" t="n">
        <v>-0.012852</v>
      </c>
      <c r="R177" s="26" t="n">
        <v>14</v>
      </c>
      <c r="S177" s="29" t="n">
        <v>1</v>
      </c>
      <c r="T177" s="24" t="inlineStr">
        <is>
          <t>tennis-surface-elo-v1</t>
        </is>
      </c>
      <c r="U177" s="24" t="inlineStr">
        <is>
          <t>settled</t>
        </is>
      </c>
      <c r="V177" s="24" t="inlineStr">
        <is>
          <t>win</t>
        </is>
      </c>
      <c r="W177" s="26" t="n">
        <v>1</v>
      </c>
      <c r="X177" s="26" t="n">
        <v>0</v>
      </c>
      <c r="Y177" s="25" t="n"/>
      <c r="Z177" s="26" t="n">
        <v>-108</v>
      </c>
      <c r="AA177" s="28" t="n">
        <v>0.52</v>
      </c>
      <c r="AB177" s="28" t="n">
        <v>0.000769</v>
      </c>
      <c r="AC177" s="30" t="n">
        <v>0.9258999999999999</v>
      </c>
      <c r="AD177" s="24" t="inlineStr">
        <is>
          <t>2026-08-04T21:58:53.385043Z</t>
        </is>
      </c>
      <c r="AE177" s="31" t="inlineStr">
        <is>
          <t>Surface-blended Elo on Hard: Tallon Griekspoor p=0.506 vs Lorenzo Sonego. Executable ask 0.5200 (aec-atp-lorson-talgri-2026-08-03).</t>
        </is>
      </c>
      <c r="AF177" s="31" t="inlineStr">
        <is>
          <t>Surface-blended Elo model; singles only, WTA+ATP market coverage, not yet locked-holdout qualified -- promoted by explicit operator directive, not genuine walk-forward validation.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NO_CALL_LOW_EDGE</t>
        </is>
      </c>
      <c r="AP177" s="24" t="inlineStr">
        <is>
          <t>Tallon Griekspoor</t>
        </is>
      </c>
      <c r="AQ177" s="24" t="inlineStr">
        <is>
          <t>Tallon Griekspoor</t>
        </is>
      </c>
      <c r="AR177" s="24" t="inlineStr">
        <is>
          <t>Tallon Griekspoor</t>
        </is>
      </c>
      <c r="AS177" s="24" t="inlineStr">
        <is>
          <t>Lorenzo Sonego</t>
        </is>
      </c>
      <c r="AT177" s="24" t="inlineStr">
        <is>
          <t>Lorenzo Sonego</t>
        </is>
      </c>
      <c r="AU177" s="24" t="inlineStr">
        <is>
          <t>Lorenzo Sonego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60749ecfb3f1405f12fbceda11b7e64f2473d40dd327256f9da20b2146b6ae03</t>
        </is>
      </c>
      <c r="BB177" s="24" t="inlineStr">
        <is>
          <t>surface_blended_elo</t>
        </is>
      </c>
      <c r="BC177" s="24" t="inlineStr">
        <is>
          <t>tennis-surface-elo-v1</t>
        </is>
      </c>
      <c r="BD177" s="24" t="inlineStr">
        <is>
          <t>60749ecfb3f1405f12fbceda11b7e64f2473d40dd327256f9da20b2146b6ae03</t>
        </is>
      </c>
      <c r="BE177" s="24" t="inlineStr">
        <is>
          <t>tennis-surface-elo-v1</t>
        </is>
      </c>
      <c r="BF177" s="24" t="inlineStr">
        <is>
          <t>1</t>
        </is>
      </c>
      <c r="BG177" s="24" t="inlineStr">
        <is>
          <t>60749ecfb3f1405f12fbceda11b7e64f2473d40dd327256f9da20b2146b6ae03</t>
        </is>
      </c>
      <c r="BH177" s="24" t="inlineStr">
        <is>
          <t>2026-08-04T16:50:47.141714Z</t>
        </is>
      </c>
      <c r="BI177" s="24" t="inlineStr">
        <is>
          <t>["same_event","same_team_same_day","same_league_same_day"]</t>
        </is>
      </c>
      <c r="BJ177" s="25" t="n"/>
      <c r="BK177" s="26" t="n">
        <v>-108</v>
      </c>
      <c r="BL177" s="27" t="n">
        <v>1.925926</v>
      </c>
      <c r="BM177" s="28" t="n">
        <v>0.519231</v>
      </c>
      <c r="BN177" s="28" t="n"/>
      <c r="BO177" s="28" t="n"/>
      <c r="BP177" s="25" t="n"/>
      <c r="BQ177" s="27" t="n">
        <v>1.925926</v>
      </c>
      <c r="BR177" s="28" t="n">
        <v>0.52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False</t>
        </is>
      </c>
    </row>
    <row r="178" ht="36" customHeight="1">
      <c r="A178" s="24" t="inlineStr">
        <is>
          <t>ffdcf10066004572</t>
        </is>
      </c>
      <c r="B178" s="24" t="inlineStr">
        <is>
          <t>2026-08-04T16:52:13.548572Z</t>
        </is>
      </c>
      <c r="C178" s="24" t="inlineStr">
        <is>
          <t>2026-08-04T18:00Z</t>
        </is>
      </c>
      <c r="D178" s="24" t="inlineStr">
        <is>
          <t>421-2026:181805</t>
        </is>
      </c>
      <c r="E178" s="24" t="inlineStr">
        <is>
          <t>TENNIS</t>
        </is>
      </c>
      <c r="F178" s="24" t="inlineStr">
        <is>
          <t>Botic Van De Zandschulp</t>
        </is>
      </c>
      <c r="G178" s="24" t="inlineStr">
        <is>
          <t>Giovanni Mpetshi Perricard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-133</v>
      </c>
      <c r="M178" s="27" t="n">
        <v>1.75188</v>
      </c>
      <c r="N178" s="28" t="n">
        <v>0.570815</v>
      </c>
      <c r="O178" s="28" t="n">
        <v>0.517974</v>
      </c>
      <c r="P178" s="28" t="n">
        <v>0.05</v>
      </c>
      <c r="Q178" s="28" t="n">
        <v>-0.052841</v>
      </c>
      <c r="R178" s="26" t="n">
        <v>0</v>
      </c>
      <c r="S178" s="29" t="n">
        <v>1</v>
      </c>
      <c r="T178" s="24" t="inlineStr">
        <is>
          <t>tennis-surface-elo-v1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0</v>
      </c>
      <c r="Y178" s="25" t="n"/>
      <c r="Z178" s="26" t="n">
        <v>-133</v>
      </c>
      <c r="AA178" s="28" t="n">
        <v>0.57</v>
      </c>
      <c r="AB178" s="28" t="n">
        <v>-0.000815</v>
      </c>
      <c r="AC178" s="30" t="n">
        <v>0.7519</v>
      </c>
      <c r="AD178" s="24" t="inlineStr">
        <is>
          <t>2026-08-04T21:58:54.310078Z</t>
        </is>
      </c>
      <c r="AE178" s="31" t="inlineStr">
        <is>
          <t>Surface-blended Elo on Hard: Botic Van De Zandschulp p=0.518 vs Giovanni Mpetshi Perricard. Executable ask 0.5700 (aec-atp-gioper-botzan-2026-08-03).</t>
        </is>
      </c>
      <c r="AF178" s="31" t="inlineStr">
        <is>
          <t>Surface-blended Elo model; singles only, WTA+ATP market coverage, not yet locked-holdout qualified -- promoted by explicit operator directive, not genuine walk-forward validation.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NO_CALL_LOW_EDGE</t>
        </is>
      </c>
      <c r="AP178" s="24" t="inlineStr">
        <is>
          <t>Botic Van De Zandschulp</t>
        </is>
      </c>
      <c r="AQ178" s="24" t="inlineStr">
        <is>
          <t>Botic Van De Zandschulp</t>
        </is>
      </c>
      <c r="AR178" s="24" t="inlineStr">
        <is>
          <t>Botic Van De Zandschulp</t>
        </is>
      </c>
      <c r="AS178" s="24" t="inlineStr">
        <is>
          <t>Giovanni Mpetshi Perricard</t>
        </is>
      </c>
      <c r="AT178" s="24" t="inlineStr">
        <is>
          <t>Giovanni Mpetshi Perricard</t>
        </is>
      </c>
      <c r="AU178" s="24" t="inlineStr">
        <is>
          <t>Giovanni Mpetshi Perricard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60749ecfb3f1405f12fbceda11b7e64f2473d40dd327256f9da20b2146b6ae03</t>
        </is>
      </c>
      <c r="BB178" s="24" t="inlineStr">
        <is>
          <t>surface_blended_elo</t>
        </is>
      </c>
      <c r="BC178" s="24" t="inlineStr">
        <is>
          <t>tennis-surface-elo-v1</t>
        </is>
      </c>
      <c r="BD178" s="24" t="inlineStr">
        <is>
          <t>60749ecfb3f1405f12fbceda11b7e64f2473d40dd327256f9da20b2146b6ae03</t>
        </is>
      </c>
      <c r="BE178" s="24" t="inlineStr">
        <is>
          <t>tennis-surface-elo-v1</t>
        </is>
      </c>
      <c r="BF178" s="24" t="inlineStr">
        <is>
          <t>1</t>
        </is>
      </c>
      <c r="BG178" s="24" t="inlineStr">
        <is>
          <t>60749ecfb3f1405f12fbceda11b7e64f2473d40dd327256f9da20b2146b6ae03</t>
        </is>
      </c>
      <c r="BH178" s="24" t="inlineStr">
        <is>
          <t>2026-08-04T16:50:45.767267Z</t>
        </is>
      </c>
      <c r="BI178" s="24" t="inlineStr">
        <is>
          <t>["same_event","same_team_same_day","same_league_same_day"]</t>
        </is>
      </c>
      <c r="BJ178" s="25" t="n"/>
      <c r="BK178" s="26" t="n">
        <v>-133</v>
      </c>
      <c r="BL178" s="27" t="n">
        <v>1.75188</v>
      </c>
      <c r="BM178" s="28" t="n">
        <v>0.570815</v>
      </c>
      <c r="BN178" s="28" t="n"/>
      <c r="BO178" s="28" t="n"/>
      <c r="BP178" s="25" t="n"/>
      <c r="BQ178" s="27" t="n">
        <v>1.75188</v>
      </c>
      <c r="BR178" s="28" t="n">
        <v>0.57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</row>
    <row r="179" ht="36" customHeight="1">
      <c r="A179" s="24" t="inlineStr">
        <is>
          <t>463a5b712797413e</t>
        </is>
      </c>
      <c r="B179" s="24" t="inlineStr">
        <is>
          <t>2026-08-04T16:52:13.548572Z</t>
        </is>
      </c>
      <c r="C179" s="24" t="inlineStr">
        <is>
          <t>2026-08-04T18:00Z</t>
        </is>
      </c>
      <c r="D179" s="24" t="inlineStr">
        <is>
          <t>421-2026:181810</t>
        </is>
      </c>
      <c r="E179" s="24" t="inlineStr">
        <is>
          <t>TENNIS</t>
        </is>
      </c>
      <c r="F179" s="24" t="inlineStr">
        <is>
          <t>Jack Draper</t>
        </is>
      </c>
      <c r="G179" s="24" t="inlineStr">
        <is>
          <t>Terence Atmane</t>
        </is>
      </c>
      <c r="H179" s="24" t="inlineStr">
        <is>
          <t>moneyline</t>
        </is>
      </c>
      <c r="I179" s="24" t="inlineStr">
        <is>
          <t>away</t>
        </is>
      </c>
      <c r="J179" s="25" t="n"/>
      <c r="K179" s="24" t="inlineStr">
        <is>
          <t>polymarket_us</t>
        </is>
      </c>
      <c r="L179" s="26" t="n">
        <v>-203</v>
      </c>
      <c r="M179" s="27" t="n">
        <v>1.492611</v>
      </c>
      <c r="N179" s="28" t="n">
        <v>0.669967</v>
      </c>
      <c r="O179" s="28" t="n">
        <v>0.781578</v>
      </c>
      <c r="P179" s="28" t="n">
        <v>0.05</v>
      </c>
      <c r="Q179" s="28" t="n">
        <v>0.111611</v>
      </c>
      <c r="R179" s="26" t="n">
        <v>76</v>
      </c>
      <c r="S179" s="29" t="n">
        <v>2</v>
      </c>
      <c r="T179" s="24" t="inlineStr">
        <is>
          <t>tennis-surface-elo-v1</t>
        </is>
      </c>
      <c r="U179" s="24" t="inlineStr">
        <is>
          <t>settled</t>
        </is>
      </c>
      <c r="V179" s="24" t="inlineStr">
        <is>
          <t>loss</t>
        </is>
      </c>
      <c r="W179" s="26" t="n">
        <v>0</v>
      </c>
      <c r="X179" s="26" t="n">
        <v>1</v>
      </c>
      <c r="Y179" s="25" t="n"/>
      <c r="Z179" s="26" t="n">
        <v>-203</v>
      </c>
      <c r="AA179" s="28" t="n">
        <v>0.67</v>
      </c>
      <c r="AB179" s="28" t="n">
        <v>3.3e-05</v>
      </c>
      <c r="AC179" s="30" t="n">
        <v>-2</v>
      </c>
      <c r="AD179" s="24" t="inlineStr">
        <is>
          <t>2026-08-04T21:58:55.280969Z</t>
        </is>
      </c>
      <c r="AE179" s="31" t="inlineStr">
        <is>
          <t>Surface-blended Elo on Hard: Jack Draper p=0.782 vs Terence Atmane. Executable ask 0.6700 (aec-atp-teratm-jacdra-2026-08-03).</t>
        </is>
      </c>
      <c r="AF179" s="31" t="inlineStr">
        <is>
          <t>Surface-blended Elo model; singles only, WTA+ATP market coverage, not yet locked-holdout qualified -- promoted by explicit operator directive, not genuine walk-forward validation.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Jack Draper</t>
        </is>
      </c>
      <c r="AQ179" s="24" t="inlineStr">
        <is>
          <t>Jack Draper</t>
        </is>
      </c>
      <c r="AR179" s="24" t="inlineStr">
        <is>
          <t>Jack Draper</t>
        </is>
      </c>
      <c r="AS179" s="24" t="inlineStr">
        <is>
          <t>Terence Atmane</t>
        </is>
      </c>
      <c r="AT179" s="24" t="inlineStr">
        <is>
          <t>Terence Atmane</t>
        </is>
      </c>
      <c r="AU179" s="24" t="inlineStr">
        <is>
          <t>Terence Atmane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60749ecfb3f1405f12fbceda11b7e64f2473d40dd327256f9da20b2146b6ae03</t>
        </is>
      </c>
      <c r="BB179" s="24" t="inlineStr">
        <is>
          <t>surface_blended_elo</t>
        </is>
      </c>
      <c r="BC179" s="24" t="inlineStr">
        <is>
          <t>tennis-surface-elo-v1</t>
        </is>
      </c>
      <c r="BD179" s="24" t="inlineStr">
        <is>
          <t>60749ecfb3f1405f12fbceda11b7e64f2473d40dd327256f9da20b2146b6ae03</t>
        </is>
      </c>
      <c r="BE179" s="24" t="inlineStr">
        <is>
          <t>tennis-surface-elo-v1</t>
        </is>
      </c>
      <c r="BF179" s="24" t="inlineStr">
        <is>
          <t>1</t>
        </is>
      </c>
      <c r="BG179" s="24" t="inlineStr">
        <is>
          <t>60749ecfb3f1405f12fbceda11b7e64f2473d40dd327256f9da20b2146b6ae03</t>
        </is>
      </c>
      <c r="BH179" s="24" t="inlineStr">
        <is>
          <t>2026-08-04T16:50:46.373890Z</t>
        </is>
      </c>
      <c r="BI179" s="24" t="inlineStr">
        <is>
          <t>["same_event","same_team_same_day","same_league_same_day"]</t>
        </is>
      </c>
      <c r="BJ179" s="25" t="n"/>
      <c r="BK179" s="26" t="n">
        <v>-203</v>
      </c>
      <c r="BL179" s="27" t="n">
        <v>1.492611</v>
      </c>
      <c r="BM179" s="28" t="n">
        <v>0.669967</v>
      </c>
      <c r="BN179" s="28" t="n"/>
      <c r="BO179" s="28" t="n"/>
      <c r="BP179" s="25" t="n"/>
      <c r="BQ179" s="27" t="n">
        <v>1.492611</v>
      </c>
      <c r="BR179" s="28" t="n">
        <v>0.67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</row>
    <row r="180" ht="36" customHeight="1">
      <c r="A180" s="24" t="inlineStr">
        <is>
          <t>367a1687df764c14</t>
        </is>
      </c>
      <c r="B180" s="24" t="inlineStr">
        <is>
          <t>2026-08-04T16:52:13.548572Z</t>
        </is>
      </c>
      <c r="C180" s="24" t="inlineStr">
        <is>
          <t>2026-08-04T18:00Z</t>
        </is>
      </c>
      <c r="D180" s="24" t="inlineStr">
        <is>
          <t>421-2026:181829</t>
        </is>
      </c>
      <c r="E180" s="24" t="inlineStr">
        <is>
          <t>TENNIS</t>
        </is>
      </c>
      <c r="F180" s="24" t="inlineStr">
        <is>
          <t>Hamad Medjedovic</t>
        </is>
      </c>
      <c r="G180" s="24" t="inlineStr">
        <is>
          <t>Juan Manuel Cerundolo</t>
        </is>
      </c>
      <c r="H180" s="24" t="inlineStr">
        <is>
          <t>moneyline</t>
        </is>
      </c>
      <c r="I180" s="24" t="inlineStr">
        <is>
          <t>away</t>
        </is>
      </c>
      <c r="J180" s="25" t="n"/>
      <c r="K180" s="24" t="inlineStr">
        <is>
          <t>polymarket_us</t>
        </is>
      </c>
      <c r="L180" s="26" t="n">
        <v>-163</v>
      </c>
      <c r="M180" s="27" t="n">
        <v>1.613497</v>
      </c>
      <c r="N180" s="28" t="n">
        <v>0.619772</v>
      </c>
      <c r="O180" s="28" t="n">
        <v>0.595125</v>
      </c>
      <c r="P180" s="28" t="n">
        <v>0.05</v>
      </c>
      <c r="Q180" s="28" t="n">
        <v>-0.024647</v>
      </c>
      <c r="R180" s="26" t="n">
        <v>8</v>
      </c>
      <c r="S180" s="29" t="n">
        <v>1.25</v>
      </c>
      <c r="T180" s="24" t="inlineStr">
        <is>
          <t>tennis-surface-elo-v1</t>
        </is>
      </c>
      <c r="U180" s="24" t="inlineStr">
        <is>
          <t>settled</t>
        </is>
      </c>
      <c r="V180" s="24" t="inlineStr">
        <is>
          <t>loss</t>
        </is>
      </c>
      <c r="W180" s="26" t="n">
        <v>0</v>
      </c>
      <c r="X180" s="26" t="n">
        <v>1</v>
      </c>
      <c r="Y180" s="25" t="n"/>
      <c r="Z180" s="26" t="n">
        <v>-163</v>
      </c>
      <c r="AA180" s="28" t="n">
        <v>0.62</v>
      </c>
      <c r="AB180" s="28" t="n">
        <v>0.000228</v>
      </c>
      <c r="AC180" s="30" t="n">
        <v>-1.25</v>
      </c>
      <c r="AD180" s="24" t="inlineStr">
        <is>
          <t>2026-08-04T21:58:56.212311Z</t>
        </is>
      </c>
      <c r="AE180" s="31" t="inlineStr">
        <is>
          <t>Surface-blended Elo on Hard: Hamad Medjedovic p=0.595 vs Juan Manuel Cerundolo. Executable ask 0.6200 (aec-atp-juacer-hammed-2026-08-03).</t>
        </is>
      </c>
      <c r="AF180" s="31" t="inlineStr">
        <is>
          <t>Surface-blended Elo model; singles only, WTA+ATP market coverage, not yet locked-holdout qualified -- promoted by explicit operator directive, not genuine walk-forward validation.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NO_CALL_LOW_EDGE</t>
        </is>
      </c>
      <c r="AP180" s="24" t="inlineStr">
        <is>
          <t>Hamad Medjedovic</t>
        </is>
      </c>
      <c r="AQ180" s="24" t="inlineStr">
        <is>
          <t>Hamad Medjedovic</t>
        </is>
      </c>
      <c r="AR180" s="24" t="inlineStr">
        <is>
          <t>Hamad Medjedovic</t>
        </is>
      </c>
      <c r="AS180" s="24" t="inlineStr">
        <is>
          <t>Juan Manuel Cerundolo</t>
        </is>
      </c>
      <c r="AT180" s="24" t="inlineStr">
        <is>
          <t>Juan Manuel Cerundolo</t>
        </is>
      </c>
      <c r="AU180" s="24" t="inlineStr">
        <is>
          <t>Juan Manuel Cerundolo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60749ecfb3f1405f12fbceda11b7e64f2473d40dd327256f9da20b2146b6ae03</t>
        </is>
      </c>
      <c r="BB180" s="24" t="inlineStr">
        <is>
          <t>surface_blended_elo</t>
        </is>
      </c>
      <c r="BC180" s="24" t="inlineStr">
        <is>
          <t>tennis-surface-elo-v1</t>
        </is>
      </c>
      <c r="BD180" s="24" t="inlineStr">
        <is>
          <t>60749ecfb3f1405f12fbceda11b7e64f2473d40dd327256f9da20b2146b6ae03</t>
        </is>
      </c>
      <c r="BE180" s="24" t="inlineStr">
        <is>
          <t>tennis-surface-elo-v1</t>
        </is>
      </c>
      <c r="BF180" s="24" t="inlineStr">
        <is>
          <t>1</t>
        </is>
      </c>
      <c r="BG180" s="24" t="inlineStr">
        <is>
          <t>60749ecfb3f1405f12fbceda11b7e64f2473d40dd327256f9da20b2146b6ae03</t>
        </is>
      </c>
      <c r="BH180" s="24" t="inlineStr">
        <is>
          <t>2026-08-04T16:50:45.093567Z</t>
        </is>
      </c>
      <c r="BI180" s="24" t="inlineStr">
        <is>
          <t>["same_event","same_team_same_day","same_league_same_day"]</t>
        </is>
      </c>
      <c r="BJ180" s="25" t="n"/>
      <c r="BK180" s="26" t="n">
        <v>-163</v>
      </c>
      <c r="BL180" s="27" t="n">
        <v>1.613497</v>
      </c>
      <c r="BM180" s="28" t="n">
        <v>0.619772</v>
      </c>
      <c r="BN180" s="28" t="n"/>
      <c r="BO180" s="28" t="n"/>
      <c r="BP180" s="25" t="n"/>
      <c r="BQ180" s="27" t="n">
        <v>1.613497</v>
      </c>
      <c r="BR180" s="28" t="n">
        <v>0.62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</row>
    <row r="181" ht="36" customHeight="1">
      <c r="A181" s="24" t="inlineStr">
        <is>
          <t>db90a42877214e28</t>
        </is>
      </c>
      <c r="B181" s="24" t="inlineStr">
        <is>
          <t>2026-08-04T18:06:48.134470Z</t>
        </is>
      </c>
      <c r="C181" s="24" t="inlineStr">
        <is>
          <t>2026-08-04T19:30Z</t>
        </is>
      </c>
      <c r="D181" s="24" t="inlineStr">
        <is>
          <t>421-2026:182203</t>
        </is>
      </c>
      <c r="E181" s="24" t="inlineStr">
        <is>
          <t>TENNIS</t>
        </is>
      </c>
      <c r="F181" s="24" t="inlineStr">
        <is>
          <t>Jelena Ostapenko</t>
        </is>
      </c>
      <c r="G181" s="24" t="inlineStr">
        <is>
          <t>Zhang Shuai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-213</v>
      </c>
      <c r="M181" s="27" t="n">
        <v>1.469484</v>
      </c>
      <c r="N181" s="28" t="n">
        <v>0.680511</v>
      </c>
      <c r="O181" s="28" t="n">
        <v>0.660541</v>
      </c>
      <c r="P181" s="28" t="n">
        <v>0.05</v>
      </c>
      <c r="Q181" s="28" t="n">
        <v>-0.01997</v>
      </c>
      <c r="R181" s="26" t="n">
        <v>10</v>
      </c>
      <c r="S181" s="29" t="n">
        <v>1.75</v>
      </c>
      <c r="T181" s="24" t="inlineStr">
        <is>
          <t>tennis-surface-elo-v1</t>
        </is>
      </c>
      <c r="U181" s="24" t="inlineStr">
        <is>
          <t>settled</t>
        </is>
      </c>
      <c r="V181" s="24" t="inlineStr">
        <is>
          <t>loss</t>
        </is>
      </c>
      <c r="W181" s="26" t="n">
        <v>0</v>
      </c>
      <c r="X181" s="26" t="n">
        <v>1</v>
      </c>
      <c r="Y181" s="25" t="n"/>
      <c r="Z181" s="26" t="n">
        <v>-213</v>
      </c>
      <c r="AA181" s="28" t="n">
        <v>0.68</v>
      </c>
      <c r="AB181" s="28" t="n">
        <v>-0.000511</v>
      </c>
      <c r="AC181" s="30" t="n">
        <v>-1.75</v>
      </c>
      <c r="AD181" s="24" t="inlineStr">
        <is>
          <t>2026-08-04T21:59:04.275093Z</t>
        </is>
      </c>
      <c r="AE181" s="31" t="inlineStr">
        <is>
          <t>Surface-blended Elo on Hard: Jelena Ostapenko p=0.661 vs Zhang Shuai. Executable ask 0.6800 (aec-wta-shuzha-jelost-2026-08-04).</t>
        </is>
      </c>
      <c r="AF181" s="31" t="inlineStr">
        <is>
          <t>Surface-blended Elo model; singles only, WTA+ATP market coverage, not yet locked-holdout qualified -- promoted by explicit operator directive, not genuine walk-forward validation.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NO_CALL_LOW_EDGE</t>
        </is>
      </c>
      <c r="AP181" s="24" t="inlineStr">
        <is>
          <t>Jelena Ostapenko</t>
        </is>
      </c>
      <c r="AQ181" s="24" t="inlineStr">
        <is>
          <t>Jelena Ostapenko</t>
        </is>
      </c>
      <c r="AR181" s="24" t="inlineStr">
        <is>
          <t>Jelena Ostapenko</t>
        </is>
      </c>
      <c r="AS181" s="24" t="inlineStr">
        <is>
          <t>Zhang Shuai</t>
        </is>
      </c>
      <c r="AT181" s="24" t="inlineStr">
        <is>
          <t>Zhang Shuai</t>
        </is>
      </c>
      <c r="AU181" s="24" t="inlineStr">
        <is>
          <t>Zhang Shuai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60749ecfb3f1405f12fbceda11b7e64f2473d40dd327256f9da20b2146b6ae03</t>
        </is>
      </c>
      <c r="BB181" s="24" t="inlineStr">
        <is>
          <t>surface_blended_elo</t>
        </is>
      </c>
      <c r="BC181" s="24" t="inlineStr">
        <is>
          <t>tennis-surface-elo-v1</t>
        </is>
      </c>
      <c r="BD181" s="24" t="inlineStr">
        <is>
          <t>60749ecfb3f1405f12fbceda11b7e64f2473d40dd327256f9da20b2146b6ae03</t>
        </is>
      </c>
      <c r="BE181" s="24" t="inlineStr">
        <is>
          <t>tennis-surface-elo-v1</t>
        </is>
      </c>
      <c r="BF181" s="24" t="inlineStr">
        <is>
          <t>1</t>
        </is>
      </c>
      <c r="BG181" s="24" t="inlineStr">
        <is>
          <t>60749ecfb3f1405f12fbceda11b7e64f2473d40dd327256f9da20b2146b6ae03</t>
        </is>
      </c>
      <c r="BH181" s="24" t="inlineStr">
        <is>
          <t>2026-08-04T18:05:34.464496Z</t>
        </is>
      </c>
      <c r="BI181" s="24" t="inlineStr">
        <is>
          <t>["same_event","same_team_same_day","same_league_same_day"]</t>
        </is>
      </c>
      <c r="BJ181" s="25" t="n"/>
      <c r="BK181" s="26" t="n">
        <v>-213</v>
      </c>
      <c r="BL181" s="27" t="n">
        <v>1.469484</v>
      </c>
      <c r="BM181" s="28" t="n">
        <v>0.680511</v>
      </c>
      <c r="BN181" s="28" t="n"/>
      <c r="BO181" s="28" t="n"/>
      <c r="BP181" s="25" t="n"/>
      <c r="BQ181" s="27" t="n">
        <v>1.469484</v>
      </c>
      <c r="BR181" s="28" t="n">
        <v>0.68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</row>
    <row r="182" ht="36" customHeight="1">
      <c r="A182" s="24" t="inlineStr">
        <is>
          <t>acec309ab25e418d</t>
        </is>
      </c>
      <c r="B182" s="24" t="inlineStr">
        <is>
          <t>2026-08-04T18:06:48.134470Z</t>
        </is>
      </c>
      <c r="C182" s="24" t="inlineStr">
        <is>
          <t>2026-08-04T21:00Z</t>
        </is>
      </c>
      <c r="D182" s="24" t="inlineStr">
        <is>
          <t>421-2026:182167</t>
        </is>
      </c>
      <c r="E182" s="24" t="inlineStr">
        <is>
          <t>TENNIS</t>
        </is>
      </c>
      <c r="F182" s="24" t="inlineStr">
        <is>
          <t>McCartney Kessler</t>
        </is>
      </c>
      <c r="G182" s="24" t="inlineStr">
        <is>
          <t>Anna Kalinskaya</t>
        </is>
      </c>
      <c r="H182" s="24" t="inlineStr">
        <is>
          <t>moneyline</t>
        </is>
      </c>
      <c r="I182" s="24" t="inlineStr">
        <is>
          <t>home</t>
        </is>
      </c>
      <c r="J182" s="25" t="n"/>
      <c r="K182" s="24" t="inlineStr">
        <is>
          <t>polymarket_us</t>
        </is>
      </c>
      <c r="L182" s="26" t="n">
        <v>-163</v>
      </c>
      <c r="M182" s="27" t="n">
        <v>1.613497</v>
      </c>
      <c r="N182" s="28" t="n">
        <v>0.619772</v>
      </c>
      <c r="O182" s="28" t="n">
        <v>0.605938</v>
      </c>
      <c r="P182" s="28" t="n">
        <v>0.05</v>
      </c>
      <c r="Q182" s="28" t="n">
        <v>-0.013834</v>
      </c>
      <c r="R182" s="26" t="n">
        <v>13</v>
      </c>
      <c r="S182" s="29" t="n">
        <v>1.25</v>
      </c>
      <c r="T182" s="24" t="inlineStr">
        <is>
          <t>tennis-surface-elo-v1</t>
        </is>
      </c>
      <c r="U182" s="24" t="inlineStr">
        <is>
          <t>settled</t>
        </is>
      </c>
      <c r="V182" s="24" t="inlineStr">
        <is>
          <t>win</t>
        </is>
      </c>
      <c r="W182" s="26" t="n">
        <v>0</v>
      </c>
      <c r="X182" s="26" t="n">
        <v>1</v>
      </c>
      <c r="Y182" s="25" t="n"/>
      <c r="Z182" s="26" t="n">
        <v>-163</v>
      </c>
      <c r="AA182" s="28" t="n">
        <v>0.62</v>
      </c>
      <c r="AB182" s="28" t="n">
        <v>0.000228</v>
      </c>
      <c r="AC182" s="30" t="n">
        <v>0.7669</v>
      </c>
      <c r="AD182" s="24" t="inlineStr">
        <is>
          <t>2026-08-05T01:05:40.253265Z</t>
        </is>
      </c>
      <c r="AE182" s="31" t="inlineStr">
        <is>
          <t>Surface-blended Elo on Hard: McCartney Kessler p=0.394 vs Anna Kalinskaya. Executable ask 0.6200 (aec-wta-annkal-mcckes-2026-08-04).</t>
        </is>
      </c>
      <c r="AF182" s="31" t="inlineStr">
        <is>
          <t>Surface-blended Elo model; singles only, WTA+ATP market coverage, not yet locked-holdout qualified -- promoted by explicit operator directive, not genuine walk-forward validation.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NO_CALL_LOW_EDGE</t>
        </is>
      </c>
      <c r="AP182" s="24" t="inlineStr">
        <is>
          <t>McCartney Kessler</t>
        </is>
      </c>
      <c r="AQ182" s="24" t="inlineStr">
        <is>
          <t>McCartney Kessler</t>
        </is>
      </c>
      <c r="AR182" s="24" t="inlineStr">
        <is>
          <t>McCartney Kessler</t>
        </is>
      </c>
      <c r="AS182" s="24" t="inlineStr">
        <is>
          <t>Anna Kalinskaya</t>
        </is>
      </c>
      <c r="AT182" s="24" t="inlineStr">
        <is>
          <t>Anna Kalinskaya</t>
        </is>
      </c>
      <c r="AU182" s="24" t="inlineStr">
        <is>
          <t>Anna Kalinskaya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60749ecfb3f1405f12fbceda11b7e64f2473d40dd327256f9da20b2146b6ae03</t>
        </is>
      </c>
      <c r="BB182" s="24" t="inlineStr">
        <is>
          <t>surface_blended_elo</t>
        </is>
      </c>
      <c r="BC182" s="24" t="inlineStr">
        <is>
          <t>tennis-surface-elo-v1</t>
        </is>
      </c>
      <c r="BD182" s="24" t="inlineStr">
        <is>
          <t>60749ecfb3f1405f12fbceda11b7e64f2473d40dd327256f9da20b2146b6ae03</t>
        </is>
      </c>
      <c r="BE182" s="24" t="inlineStr">
        <is>
          <t>tennis-surface-elo-v1</t>
        </is>
      </c>
      <c r="BF182" s="24" t="inlineStr">
        <is>
          <t>1</t>
        </is>
      </c>
      <c r="BG182" s="24" t="inlineStr">
        <is>
          <t>60749ecfb3f1405f12fbceda11b7e64f2473d40dd327256f9da20b2146b6ae03</t>
        </is>
      </c>
      <c r="BH182" s="24" t="inlineStr">
        <is>
          <t>2026-08-04T18:05:35.767018Z</t>
        </is>
      </c>
      <c r="BI182" s="24" t="inlineStr">
        <is>
          <t>["same_event","same_team_same_day","same_league_same_day"]</t>
        </is>
      </c>
      <c r="BJ182" s="25" t="n"/>
      <c r="BK182" s="26" t="n">
        <v>-163</v>
      </c>
      <c r="BL182" s="27" t="n">
        <v>1.613497</v>
      </c>
      <c r="BM182" s="28" t="n">
        <v>0.619772</v>
      </c>
      <c r="BN182" s="28" t="n"/>
      <c r="BO182" s="28" t="n"/>
      <c r="BP182" s="25" t="n"/>
      <c r="BQ182" s="27" t="n">
        <v>1.613497</v>
      </c>
      <c r="BR182" s="28" t="n">
        <v>0.62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</row>
    <row r="183" ht="36" customHeight="1">
      <c r="A183" s="24" t="inlineStr">
        <is>
          <t>fc1e5c151f954323</t>
        </is>
      </c>
      <c r="B183" s="24" t="inlineStr">
        <is>
          <t>2026-08-04T18:06:48.134470Z</t>
        </is>
      </c>
      <c r="C183" s="24" t="inlineStr">
        <is>
          <t>2026-08-04T21:00Z</t>
        </is>
      </c>
      <c r="D183" s="24" t="inlineStr">
        <is>
          <t>421-2026:182168</t>
        </is>
      </c>
      <c r="E183" s="24" t="inlineStr">
        <is>
          <t>TENNIS</t>
        </is>
      </c>
      <c r="F183" s="24" t="inlineStr">
        <is>
          <t>Katerina Siniakova</t>
        </is>
      </c>
      <c r="G183" s="24" t="inlineStr">
        <is>
          <t>Kamilla Rakhimova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-194</v>
      </c>
      <c r="M183" s="27" t="n">
        <v>1.515464</v>
      </c>
      <c r="N183" s="28" t="n">
        <v>0.659864</v>
      </c>
      <c r="O183" s="28" t="n">
        <v>0.66176</v>
      </c>
      <c r="P183" s="28" t="n">
        <v>0.05</v>
      </c>
      <c r="Q183" s="28" t="n">
        <v>0.001896</v>
      </c>
      <c r="R183" s="26" t="n">
        <v>21</v>
      </c>
      <c r="S183" s="29" t="n">
        <v>1.75</v>
      </c>
      <c r="T183" s="24" t="inlineStr">
        <is>
          <t>tennis-surface-elo-v1</t>
        </is>
      </c>
      <c r="U183" s="24" t="inlineStr">
        <is>
          <t>settled</t>
        </is>
      </c>
      <c r="V183" s="24" t="inlineStr">
        <is>
          <t>loss</t>
        </is>
      </c>
      <c r="W183" s="26" t="n">
        <v>0</v>
      </c>
      <c r="X183" s="26" t="n">
        <v>1</v>
      </c>
      <c r="Y183" s="25" t="n"/>
      <c r="Z183" s="26" t="n">
        <v>-194</v>
      </c>
      <c r="AA183" s="28" t="n">
        <v>0.66</v>
      </c>
      <c r="AB183" s="28" t="n">
        <v>0.000136</v>
      </c>
      <c r="AC183" s="30" t="n">
        <v>-1.75</v>
      </c>
      <c r="AD183" s="24" t="inlineStr">
        <is>
          <t>2026-08-05T01:05:41.172500Z</t>
        </is>
      </c>
      <c r="AE183" s="31" t="inlineStr">
        <is>
          <t>Surface-blended Elo on Hard: Katerina Siniakova p=0.662 vs Kamilla Rakhimova. Executable ask 0.6600 (aec-wta-kamrak-katsin-2026-08-03).</t>
        </is>
      </c>
      <c r="AF183" s="31" t="inlineStr">
        <is>
          <t>Surface-blended Elo model; singles only, WTA+ATP market coverage, not yet locked-holdout qualified -- promoted by explicit operator directive, not genuine walk-forward validation.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NO_CALL_LOW_EDGE</t>
        </is>
      </c>
      <c r="AP183" s="24" t="inlineStr">
        <is>
          <t>Katerina Siniakova</t>
        </is>
      </c>
      <c r="AQ183" s="24" t="inlineStr">
        <is>
          <t>Katerina Siniakova</t>
        </is>
      </c>
      <c r="AR183" s="24" t="inlineStr">
        <is>
          <t>Katerina Siniakova</t>
        </is>
      </c>
      <c r="AS183" s="24" t="inlineStr">
        <is>
          <t>Kamilla Rakhimova</t>
        </is>
      </c>
      <c r="AT183" s="24" t="inlineStr">
        <is>
          <t>Kamilla Rakhimova</t>
        </is>
      </c>
      <c r="AU183" s="24" t="inlineStr">
        <is>
          <t>Kamilla Rakhimova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60749ecfb3f1405f12fbceda11b7e64f2473d40dd327256f9da20b2146b6ae03</t>
        </is>
      </c>
      <c r="BB183" s="24" t="inlineStr">
        <is>
          <t>surface_blended_elo</t>
        </is>
      </c>
      <c r="BC183" s="24" t="inlineStr">
        <is>
          <t>tennis-surface-elo-v1</t>
        </is>
      </c>
      <c r="BD183" s="24" t="inlineStr">
        <is>
          <t>60749ecfb3f1405f12fbceda11b7e64f2473d40dd327256f9da20b2146b6ae03</t>
        </is>
      </c>
      <c r="BE183" s="24" t="inlineStr">
        <is>
          <t>tennis-surface-elo-v1</t>
        </is>
      </c>
      <c r="BF183" s="24" t="inlineStr">
        <is>
          <t>1</t>
        </is>
      </c>
      <c r="BG183" s="24" t="inlineStr">
        <is>
          <t>60749ecfb3f1405f12fbceda11b7e64f2473d40dd327256f9da20b2146b6ae03</t>
        </is>
      </c>
      <c r="BH183" s="24" t="inlineStr">
        <is>
          <t>2026-08-04T18:05:36.927401Z</t>
        </is>
      </c>
      <c r="BI183" s="24" t="inlineStr">
        <is>
          <t>["same_event","same_team_same_day","same_league_same_day"]</t>
        </is>
      </c>
      <c r="BJ183" s="25" t="n"/>
      <c r="BK183" s="26" t="n">
        <v>-194</v>
      </c>
      <c r="BL183" s="27" t="n">
        <v>1.515464</v>
      </c>
      <c r="BM183" s="28" t="n">
        <v>0.659864</v>
      </c>
      <c r="BN183" s="28" t="n"/>
      <c r="BO183" s="28" t="n"/>
      <c r="BP183" s="25" t="n"/>
      <c r="BQ183" s="27" t="n">
        <v>1.515464</v>
      </c>
      <c r="BR183" s="28" t="n">
        <v>0.66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</row>
    <row r="184" ht="36" customHeight="1">
      <c r="A184" s="24" t="inlineStr">
        <is>
          <t>32c57d0ea4b24537</t>
        </is>
      </c>
      <c r="B184" s="24" t="inlineStr">
        <is>
          <t>2026-08-04T18:06:48.134470Z</t>
        </is>
      </c>
      <c r="C184" s="24" t="inlineStr">
        <is>
          <t>2026-08-04T19:30Z</t>
        </is>
      </c>
      <c r="D184" s="24" t="inlineStr">
        <is>
          <t>421-2026:181778</t>
        </is>
      </c>
      <c r="E184" s="24" t="inlineStr">
        <is>
          <t>TENNIS</t>
        </is>
      </c>
      <c r="F184" s="24" t="inlineStr">
        <is>
          <t>Alexander Blockx</t>
        </is>
      </c>
      <c r="G184" s="24" t="inlineStr">
        <is>
          <t>Jaume Munar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144</v>
      </c>
      <c r="M184" s="27" t="n">
        <v>2.44</v>
      </c>
      <c r="N184" s="28" t="n">
        <v>0.409836</v>
      </c>
      <c r="O184" s="28" t="n">
        <v>0.523934</v>
      </c>
      <c r="P184" s="28" t="n">
        <v>0.05</v>
      </c>
      <c r="Q184" s="28" t="n">
        <v>0.114098</v>
      </c>
      <c r="R184" s="26" t="n">
        <v>77</v>
      </c>
      <c r="S184" s="29" t="n">
        <v>1</v>
      </c>
      <c r="T184" s="24" t="inlineStr">
        <is>
          <t>tennis-surface-elo-v1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</v>
      </c>
      <c r="X184" s="26" t="n">
        <v>0</v>
      </c>
      <c r="Y184" s="25" t="n"/>
      <c r="Z184" s="26" t="n">
        <v>144</v>
      </c>
      <c r="AA184" s="28" t="n">
        <v>0.41</v>
      </c>
      <c r="AB184" s="28" t="n">
        <v>0.000164</v>
      </c>
      <c r="AC184" s="30" t="n">
        <v>-1</v>
      </c>
      <c r="AD184" s="24" t="inlineStr">
        <is>
          <t>2026-08-04T21:59:05.213855Z</t>
        </is>
      </c>
      <c r="AE184" s="31" t="inlineStr">
        <is>
          <t>Surface-blended Elo on Hard: Alexander Blockx p=0.476 vs Jaume Munar. Executable ask 0.4100 (aec-atp-jaumun-aleblo-2026-08-03).</t>
        </is>
      </c>
      <c r="AF184" s="31" t="inlineStr">
        <is>
          <t>Surface-blended Elo model; singles only, WTA+ATP market coverage, not yet locked-holdout qualified -- promoted by explicit operator directive, not genuine walk-forward validation.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research_observation</t>
        </is>
      </c>
      <c r="AL184" s="26" t="n">
        <v>3</v>
      </c>
      <c r="AM184" s="24" t="inlineStr">
        <is>
          <t>RESEARCH_OBSERVATION</t>
        </is>
      </c>
      <c r="AN184" s="24" t="inlineStr">
        <is>
          <t>NO_CALL</t>
        </is>
      </c>
      <c r="AO184" s="24" t="inlineStr">
        <is>
          <t>NO_CALL_LOW_EDGE</t>
        </is>
      </c>
      <c r="AP184" s="24" t="inlineStr">
        <is>
          <t>Alexander Blockx</t>
        </is>
      </c>
      <c r="AQ184" s="24" t="inlineStr">
        <is>
          <t>Alexander Blockx</t>
        </is>
      </c>
      <c r="AR184" s="24" t="inlineStr">
        <is>
          <t>Alexander Blockx</t>
        </is>
      </c>
      <c r="AS184" s="24" t="inlineStr">
        <is>
          <t>Jaume Munar</t>
        </is>
      </c>
      <c r="AT184" s="24" t="inlineStr">
        <is>
          <t>Jaume Munar</t>
        </is>
      </c>
      <c r="AU184" s="24" t="inlineStr">
        <is>
          <t>Jaume Munar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60749ecfb3f1405f12fbceda11b7e64f2473d40dd327256f9da20b2146b6ae03</t>
        </is>
      </c>
      <c r="BB184" s="24" t="inlineStr">
        <is>
          <t>surface_blended_elo</t>
        </is>
      </c>
      <c r="BC184" s="24" t="inlineStr">
        <is>
          <t>tennis-surface-elo-v1</t>
        </is>
      </c>
      <c r="BD184" s="24" t="inlineStr">
        <is>
          <t>60749ecfb3f1405f12fbceda11b7e64f2473d40dd327256f9da20b2146b6ae03</t>
        </is>
      </c>
      <c r="BE184" s="24" t="inlineStr">
        <is>
          <t>tennis-surface-elo-v1</t>
        </is>
      </c>
      <c r="BF184" s="24" t="inlineStr">
        <is>
          <t>1</t>
        </is>
      </c>
      <c r="BG184" s="24" t="inlineStr">
        <is>
          <t>60749ecfb3f1405f12fbceda11b7e64f2473d40dd327256f9da20b2146b6ae03</t>
        </is>
      </c>
      <c r="BH184" s="24" t="inlineStr">
        <is>
          <t>2026-08-04T18:05:52.106058Z</t>
        </is>
      </c>
      <c r="BI184" s="24" t="inlineStr">
        <is>
          <t>["same_event","same_team_same_day","same_league_same_day"]</t>
        </is>
      </c>
      <c r="BJ184" s="25" t="n"/>
      <c r="BK184" s="26" t="n">
        <v>144</v>
      </c>
      <c r="BL184" s="27" t="n">
        <v>2.44</v>
      </c>
      <c r="BM184" s="28" t="n">
        <v>0.409836</v>
      </c>
      <c r="BN184" s="28" t="n"/>
      <c r="BO184" s="28" t="n"/>
      <c r="BP184" s="25" t="n"/>
      <c r="BQ184" s="27" t="n">
        <v>2.44</v>
      </c>
      <c r="BR184" s="28" t="n">
        <v>0.41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</row>
    <row r="185" ht="36" customHeight="1">
      <c r="A185" s="24" t="inlineStr">
        <is>
          <t>8d7baaad95e94c88</t>
        </is>
      </c>
      <c r="B185" s="24" t="inlineStr">
        <is>
          <t>2026-08-04T18:06:48.134470Z</t>
        </is>
      </c>
      <c r="C185" s="24" t="inlineStr">
        <is>
          <t>2026-08-04T19:30Z</t>
        </is>
      </c>
      <c r="D185" s="24" t="inlineStr">
        <is>
          <t>421-2026:181789</t>
        </is>
      </c>
      <c r="E185" s="24" t="inlineStr">
        <is>
          <t>TENNIS</t>
        </is>
      </c>
      <c r="F185" s="24" t="inlineStr">
        <is>
          <t>Fabian Marozsan</t>
        </is>
      </c>
      <c r="G185" s="24" t="inlineStr">
        <is>
          <t>Shintaro Mochizuki</t>
        </is>
      </c>
      <c r="H185" s="24" t="inlineStr">
        <is>
          <t>moneyline</t>
        </is>
      </c>
      <c r="I185" s="24" t="inlineStr">
        <is>
          <t>away</t>
        </is>
      </c>
      <c r="J185" s="25" t="n"/>
      <c r="K185" s="24" t="inlineStr">
        <is>
          <t>polymarket_us</t>
        </is>
      </c>
      <c r="L185" s="26" t="n">
        <v>-170</v>
      </c>
      <c r="M185" s="27" t="n">
        <v>1.588235</v>
      </c>
      <c r="N185" s="28" t="n">
        <v>0.62963</v>
      </c>
      <c r="O185" s="28" t="n">
        <v>0.654828</v>
      </c>
      <c r="P185" s="28" t="n">
        <v>0.05</v>
      </c>
      <c r="Q185" s="28" t="n">
        <v>0.025198</v>
      </c>
      <c r="R185" s="26" t="n">
        <v>33</v>
      </c>
      <c r="S185" s="29" t="n">
        <v>1.75</v>
      </c>
      <c r="T185" s="24" t="inlineStr">
        <is>
          <t>tennis-surface-elo-v1</t>
        </is>
      </c>
      <c r="U185" s="24" t="inlineStr">
        <is>
          <t>settled</t>
        </is>
      </c>
      <c r="V185" s="24" t="inlineStr">
        <is>
          <t>win</t>
        </is>
      </c>
      <c r="W185" s="26" t="n">
        <v>1</v>
      </c>
      <c r="X185" s="26" t="n">
        <v>0</v>
      </c>
      <c r="Y185" s="25" t="n"/>
      <c r="Z185" s="26" t="n">
        <v>-170</v>
      </c>
      <c r="AA185" s="28" t="n">
        <v>0.63</v>
      </c>
      <c r="AB185" s="28" t="n">
        <v>0.00037</v>
      </c>
      <c r="AC185" s="30" t="n">
        <v>1.0294</v>
      </c>
      <c r="AD185" s="24" t="inlineStr">
        <is>
          <t>2026-08-04T21:59:06.177559Z</t>
        </is>
      </c>
      <c r="AE185" s="31" t="inlineStr">
        <is>
          <t>Surface-blended Elo on Hard: Fabian Marozsan p=0.655 vs Shintaro Mochizuki. Executable ask 0.6300 (aec-atp-shimoc-fabmar-2026-08-03).</t>
        </is>
      </c>
      <c r="AF185" s="31" t="inlineStr">
        <is>
          <t>Surface-blended Elo model; singles only, WTA+ATP market coverage, not yet locked-holdout qualified -- promoted by explicit operator directive, not genuine walk-forward validation.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NO_CALL_LOW_EDGE</t>
        </is>
      </c>
      <c r="AP185" s="24" t="inlineStr">
        <is>
          <t>Fabian Marozsan</t>
        </is>
      </c>
      <c r="AQ185" s="24" t="inlineStr">
        <is>
          <t>Fabian Marozsan</t>
        </is>
      </c>
      <c r="AR185" s="24" t="inlineStr">
        <is>
          <t>Fabian Marozsan</t>
        </is>
      </c>
      <c r="AS185" s="24" t="inlineStr">
        <is>
          <t>Shintaro Mochizuki</t>
        </is>
      </c>
      <c r="AT185" s="24" t="inlineStr">
        <is>
          <t>Shintaro Mochizuki</t>
        </is>
      </c>
      <c r="AU185" s="24" t="inlineStr">
        <is>
          <t>Shintaro Mochizuki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60749ecfb3f1405f12fbceda11b7e64f2473d40dd327256f9da20b2146b6ae03</t>
        </is>
      </c>
      <c r="BB185" s="24" t="inlineStr">
        <is>
          <t>surface_blended_elo</t>
        </is>
      </c>
      <c r="BC185" s="24" t="inlineStr">
        <is>
          <t>tennis-surface-elo-v1</t>
        </is>
      </c>
      <c r="BD185" s="24" t="inlineStr">
        <is>
          <t>60749ecfb3f1405f12fbceda11b7e64f2473d40dd327256f9da20b2146b6ae03</t>
        </is>
      </c>
      <c r="BE185" s="24" t="inlineStr">
        <is>
          <t>tennis-surface-elo-v1</t>
        </is>
      </c>
      <c r="BF185" s="24" t="inlineStr">
        <is>
          <t>1</t>
        </is>
      </c>
      <c r="BG185" s="24" t="inlineStr">
        <is>
          <t>60749ecfb3f1405f12fbceda11b7e64f2473d40dd327256f9da20b2146b6ae03</t>
        </is>
      </c>
      <c r="BH185" s="24" t="inlineStr">
        <is>
          <t>2026-08-04T18:05:53.694544Z</t>
        </is>
      </c>
      <c r="BI185" s="24" t="inlineStr">
        <is>
          <t>["same_event","same_team_same_day","same_league_same_day"]</t>
        </is>
      </c>
      <c r="BJ185" s="25" t="n"/>
      <c r="BK185" s="26" t="n">
        <v>-170</v>
      </c>
      <c r="BL185" s="27" t="n">
        <v>1.588235</v>
      </c>
      <c r="BM185" s="28" t="n">
        <v>0.62963</v>
      </c>
      <c r="BN185" s="28" t="n"/>
      <c r="BO185" s="28" t="n"/>
      <c r="BP185" s="25" t="n"/>
      <c r="BQ185" s="27" t="n">
        <v>1.588235</v>
      </c>
      <c r="BR185" s="28" t="n">
        <v>0.63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</row>
    <row r="186" ht="36" customHeight="1">
      <c r="A186" s="24" t="inlineStr">
        <is>
          <t>49ba6cbe13374d68</t>
        </is>
      </c>
      <c r="B186" s="24" t="inlineStr">
        <is>
          <t>2026-08-04T18:06:48.134470Z</t>
        </is>
      </c>
      <c r="C186" s="24" t="inlineStr">
        <is>
          <t>2026-08-04T22:00Z</t>
        </is>
      </c>
      <c r="D186" s="24" t="inlineStr">
        <is>
          <t>421-2026:181737</t>
        </is>
      </c>
      <c r="E186" s="24" t="inlineStr">
        <is>
          <t>TENNIS</t>
        </is>
      </c>
      <c r="F186" s="24" t="inlineStr">
        <is>
          <t>Alex de Minaur</t>
        </is>
      </c>
      <c r="G186" s="24" t="inlineStr">
        <is>
          <t>James Duckworth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polymarket_us</t>
        </is>
      </c>
      <c r="L186" s="26" t="n">
        <v>-809</v>
      </c>
      <c r="M186" s="27" t="n">
        <v>1.123609</v>
      </c>
      <c r="N186" s="28" t="n">
        <v>0.889989</v>
      </c>
      <c r="O186" s="28" t="n">
        <v>0.843242</v>
      </c>
      <c r="P186" s="28" t="n">
        <v>0.05</v>
      </c>
      <c r="Q186" s="28" t="n">
        <v>-0.046747</v>
      </c>
      <c r="R186" s="26" t="n">
        <v>0</v>
      </c>
      <c r="S186" s="29" t="n">
        <v>2</v>
      </c>
      <c r="T186" s="24" t="inlineStr">
        <is>
          <t>tennis-surface-elo-v1</t>
        </is>
      </c>
      <c r="U186" s="24" t="inlineStr">
        <is>
          <t>settled</t>
        </is>
      </c>
      <c r="V186" s="24" t="inlineStr">
        <is>
          <t>win</t>
        </is>
      </c>
      <c r="W186" s="26" t="n">
        <v>1</v>
      </c>
      <c r="X186" s="26" t="n">
        <v>0</v>
      </c>
      <c r="Y186" s="25" t="n"/>
      <c r="Z186" s="26" t="n">
        <v>-809</v>
      </c>
      <c r="AA186" s="28" t="n">
        <v>0.89</v>
      </c>
      <c r="AB186" s="28" t="n">
        <v>1.1e-05</v>
      </c>
      <c r="AC186" s="30" t="n">
        <v>0.2472</v>
      </c>
      <c r="AD186" s="24" t="inlineStr">
        <is>
          <t>2026-08-05T04:21:30.026491Z</t>
        </is>
      </c>
      <c r="AE186" s="31" t="inlineStr">
        <is>
          <t>Surface-blended Elo on Hard: Alex de Minaur p=0.843 vs James Duckworth. Executable ask 0.8900 (aec-atp-jamduc-alemin-2026-08-04).</t>
        </is>
      </c>
      <c r="AF186" s="31" t="inlineStr">
        <is>
          <t>Surface-blended Elo model; singles only, WTA+ATP market coverage, not yet locked-holdout qualified -- promoted by explicit operator directive, not genuine walk-forward validation.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NO_CALL_LOW_EDGE</t>
        </is>
      </c>
      <c r="AP186" s="24" t="inlineStr">
        <is>
          <t>Alex de Minaur</t>
        </is>
      </c>
      <c r="AQ186" s="24" t="inlineStr">
        <is>
          <t>Alex de Minaur</t>
        </is>
      </c>
      <c r="AR186" s="24" t="inlineStr">
        <is>
          <t>Alex de Minaur</t>
        </is>
      </c>
      <c r="AS186" s="24" t="inlineStr">
        <is>
          <t>James Duckworth</t>
        </is>
      </c>
      <c r="AT186" s="24" t="inlineStr">
        <is>
          <t>James Duckworth</t>
        </is>
      </c>
      <c r="AU186" s="24" t="inlineStr">
        <is>
          <t>James Duckworth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60749ecfb3f1405f12fbceda11b7e64f2473d40dd327256f9da20b2146b6ae03</t>
        </is>
      </c>
      <c r="BB186" s="24" t="inlineStr">
        <is>
          <t>surface_blended_elo</t>
        </is>
      </c>
      <c r="BC186" s="24" t="inlineStr">
        <is>
          <t>tennis-surface-elo-v1</t>
        </is>
      </c>
      <c r="BD186" s="24" t="inlineStr">
        <is>
          <t>60749ecfb3f1405f12fbceda11b7e64f2473d40dd327256f9da20b2146b6ae03</t>
        </is>
      </c>
      <c r="BE186" s="24" t="inlineStr">
        <is>
          <t>tennis-surface-elo-v1</t>
        </is>
      </c>
      <c r="BF186" s="24" t="inlineStr">
        <is>
          <t>1</t>
        </is>
      </c>
      <c r="BG186" s="24" t="inlineStr">
        <is>
          <t>60749ecfb3f1405f12fbceda11b7e64f2473d40dd327256f9da20b2146b6ae03</t>
        </is>
      </c>
      <c r="BH186" s="24" t="inlineStr">
        <is>
          <t>2026-08-04T18:05:57.278248Z</t>
        </is>
      </c>
      <c r="BI186" s="24" t="inlineStr">
        <is>
          <t>["same_event","same_team_same_day","same_league_same_day"]</t>
        </is>
      </c>
      <c r="BJ186" s="25" t="n"/>
      <c r="BK186" s="26" t="n">
        <v>-809</v>
      </c>
      <c r="BL186" s="27" t="n">
        <v>1.123609</v>
      </c>
      <c r="BM186" s="28" t="n">
        <v>0.889989</v>
      </c>
      <c r="BN186" s="28" t="n"/>
      <c r="BO186" s="28" t="n"/>
      <c r="BP186" s="25" t="n"/>
      <c r="BQ186" s="27" t="n">
        <v>1.123609</v>
      </c>
      <c r="BR186" s="28" t="n">
        <v>0.89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</row>
    <row r="187" ht="36" customHeight="1">
      <c r="A187" s="24" t="inlineStr">
        <is>
          <t>d73910a299044111</t>
        </is>
      </c>
      <c r="B187" s="24" t="inlineStr">
        <is>
          <t>2026-08-04T18:06:48.134470Z</t>
        </is>
      </c>
      <c r="C187" s="24" t="inlineStr">
        <is>
          <t>2026-08-04T22:00Z</t>
        </is>
      </c>
      <c r="D187" s="24" t="inlineStr">
        <is>
          <t>421-2026:181759</t>
        </is>
      </c>
      <c r="E187" s="24" t="inlineStr">
        <is>
          <t>TENNIS</t>
        </is>
      </c>
      <c r="F187" s="24" t="inlineStr">
        <is>
          <t>Daniel Altmaier</t>
        </is>
      </c>
      <c r="G187" s="24" t="inlineStr">
        <is>
          <t>Brandon Nakashima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-317</v>
      </c>
      <c r="M187" s="27" t="n">
        <v>1.315457</v>
      </c>
      <c r="N187" s="28" t="n">
        <v>0.760192</v>
      </c>
      <c r="O187" s="28" t="n">
        <v>0.686447</v>
      </c>
      <c r="P187" s="28" t="n">
        <v>0.05</v>
      </c>
      <c r="Q187" s="28" t="n">
        <v>-0.073745</v>
      </c>
      <c r="R187" s="26" t="n">
        <v>0</v>
      </c>
      <c r="S187" s="29" t="n">
        <v>2</v>
      </c>
      <c r="T187" s="24" t="inlineStr">
        <is>
          <t>tennis-surface-elo-v1</t>
        </is>
      </c>
      <c r="U187" s="24" t="inlineStr">
        <is>
          <t>settled</t>
        </is>
      </c>
      <c r="V187" s="24" t="inlineStr">
        <is>
          <t>win</t>
        </is>
      </c>
      <c r="W187" s="26" t="n">
        <v>0</v>
      </c>
      <c r="X187" s="26" t="n">
        <v>1</v>
      </c>
      <c r="Y187" s="25" t="n"/>
      <c r="Z187" s="26" t="n">
        <v>-317</v>
      </c>
      <c r="AA187" s="28" t="n">
        <v>0.76</v>
      </c>
      <c r="AB187" s="28" t="n">
        <v>-0.000192</v>
      </c>
      <c r="AC187" s="30" t="n">
        <v>0.6309</v>
      </c>
      <c r="AD187" s="24" t="inlineStr">
        <is>
          <t>2026-08-05T01:05:42.052104Z</t>
        </is>
      </c>
      <c r="AE187" s="31" t="inlineStr">
        <is>
          <t>Surface-blended Elo on Hard: Daniel Altmaier p=0.314 vs Brandon Nakashima. Executable ask 0.7600 (aec-atp-branak-danalt-2026-08-05).</t>
        </is>
      </c>
      <c r="AF187" s="31" t="inlineStr">
        <is>
          <t>Surface-blended Elo model; singles only, WTA+ATP market coverage, not yet locked-holdout qualified -- promoted by explicit operator directive, not genuine walk-forward validation.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NO_CALL_LOW_EDGE</t>
        </is>
      </c>
      <c r="AP187" s="24" t="inlineStr">
        <is>
          <t>Daniel Altmaier</t>
        </is>
      </c>
      <c r="AQ187" s="24" t="inlineStr">
        <is>
          <t>Daniel Altmaier</t>
        </is>
      </c>
      <c r="AR187" s="24" t="inlineStr">
        <is>
          <t>Daniel Altmaier</t>
        </is>
      </c>
      <c r="AS187" s="24" t="inlineStr">
        <is>
          <t>Brandon Nakashima</t>
        </is>
      </c>
      <c r="AT187" s="24" t="inlineStr">
        <is>
          <t>Brandon Nakashima</t>
        </is>
      </c>
      <c r="AU187" s="24" t="inlineStr">
        <is>
          <t>Brandon Nakashima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60749ecfb3f1405f12fbceda11b7e64f2473d40dd327256f9da20b2146b6ae03</t>
        </is>
      </c>
      <c r="BB187" s="24" t="inlineStr">
        <is>
          <t>surface_blended_elo</t>
        </is>
      </c>
      <c r="BC187" s="24" t="inlineStr">
        <is>
          <t>tennis-surface-elo-v1</t>
        </is>
      </c>
      <c r="BD187" s="24" t="inlineStr">
        <is>
          <t>60749ecfb3f1405f12fbceda11b7e64f2473d40dd327256f9da20b2146b6ae03</t>
        </is>
      </c>
      <c r="BE187" s="24" t="inlineStr">
        <is>
          <t>tennis-surface-elo-v1</t>
        </is>
      </c>
      <c r="BF187" s="24" t="inlineStr">
        <is>
          <t>1</t>
        </is>
      </c>
      <c r="BG187" s="24" t="inlineStr">
        <is>
          <t>60749ecfb3f1405f12fbceda11b7e64f2473d40dd327256f9da20b2146b6ae03</t>
        </is>
      </c>
      <c r="BH187" s="24" t="inlineStr">
        <is>
          <t>2026-08-04T18:05:55.864883Z</t>
        </is>
      </c>
      <c r="BI187" s="24" t="inlineStr">
        <is>
          <t>["same_event","same_team_same_day","same_league_same_day"]</t>
        </is>
      </c>
      <c r="BJ187" s="25" t="n"/>
      <c r="BK187" s="26" t="n">
        <v>-317</v>
      </c>
      <c r="BL187" s="27" t="n">
        <v>1.315457</v>
      </c>
      <c r="BM187" s="28" t="n">
        <v>0.760192</v>
      </c>
      <c r="BN187" s="28" t="n"/>
      <c r="BO187" s="28" t="n"/>
      <c r="BP187" s="25" t="n"/>
      <c r="BQ187" s="27" t="n">
        <v>1.315457</v>
      </c>
      <c r="BR187" s="28" t="n">
        <v>0.76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</row>
    <row r="188" ht="36" customHeight="1">
      <c r="A188" s="24" t="inlineStr">
        <is>
          <t>bf3e250c3e5c4242</t>
        </is>
      </c>
      <c r="B188" s="24" t="inlineStr">
        <is>
          <t>2026-08-05T04:36:19.625619Z</t>
        </is>
      </c>
      <c r="C188" s="24" t="inlineStr">
        <is>
          <t>2026-08-05T15:00Z</t>
        </is>
      </c>
      <c r="D188" s="24" t="inlineStr">
        <is>
          <t>421-2026:182220</t>
        </is>
      </c>
      <c r="E188" s="24" t="inlineStr">
        <is>
          <t>TENNIS</t>
        </is>
      </c>
      <c r="F188" s="24" t="inlineStr">
        <is>
          <t>Kayla Cross</t>
        </is>
      </c>
      <c r="G188" s="24" t="inlineStr">
        <is>
          <t>Ann Li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-285</v>
      </c>
      <c r="M188" s="27" t="n">
        <v>1.350877</v>
      </c>
      <c r="N188" s="28" t="n">
        <v>0.74026</v>
      </c>
      <c r="O188" s="28" t="n">
        <v>0.795002</v>
      </c>
      <c r="P188" s="28" t="n">
        <v>0.05</v>
      </c>
      <c r="Q188" s="28" t="n">
        <v>0.054742</v>
      </c>
      <c r="R188" s="26" t="n">
        <v>47</v>
      </c>
      <c r="S188" s="29" t="n">
        <v>2</v>
      </c>
      <c r="T188" s="24" t="inlineStr">
        <is>
          <t>tennis-surface-elo-v1</t>
        </is>
      </c>
      <c r="U188" s="24" t="inlineStr">
        <is>
          <t>open</t>
        </is>
      </c>
      <c r="V188" s="24" t="n"/>
      <c r="W188" s="26" t="n"/>
      <c r="X188" s="26" t="n"/>
      <c r="Y188" s="25" t="n"/>
      <c r="Z188" s="26" t="n"/>
      <c r="AA188" s="28" t="n"/>
      <c r="AB188" s="28" t="n"/>
      <c r="AC188" s="30" t="n"/>
      <c r="AD188" s="24" t="n"/>
      <c r="AE188" s="31" t="inlineStr">
        <is>
          <t>Surface-blended Elo on Hard: Kayla Cross p=0.205 vs Ann Li. Executable ask 0.7400 (aec-wta-annli-kaycro-2026-08-04).</t>
        </is>
      </c>
      <c r="AF188" s="31" t="inlineStr">
        <is>
          <t>Surface-blended Elo model; singles only, WTA+ATP market coverage, not yet locked-holdout qualified -- promoted by explicit operator directive, not genuine walk-forward validation.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3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Kayla Cross</t>
        </is>
      </c>
      <c r="AQ188" s="24" t="inlineStr">
        <is>
          <t>Kayla Cross</t>
        </is>
      </c>
      <c r="AR188" s="24" t="inlineStr">
        <is>
          <t>Kayla Cross</t>
        </is>
      </c>
      <c r="AS188" s="24" t="inlineStr">
        <is>
          <t>Ann Li</t>
        </is>
      </c>
      <c r="AT188" s="24" t="inlineStr">
        <is>
          <t>Ann Li</t>
        </is>
      </c>
      <c r="AU188" s="24" t="inlineStr">
        <is>
          <t>Ann Li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3ab056fefe04713e3c294da76c8adb2866b0dc46556ed32322a0426dd344a0e4</t>
        </is>
      </c>
      <c r="BB188" s="24" t="inlineStr">
        <is>
          <t>surface_blended_elo</t>
        </is>
      </c>
      <c r="BC188" s="24" t="inlineStr">
        <is>
          <t>tennis-surface-elo-v1</t>
        </is>
      </c>
      <c r="BD188" s="24" t="inlineStr">
        <is>
          <t>3ab056fefe04713e3c294da76c8adb2866b0dc46556ed32322a0426dd344a0e4</t>
        </is>
      </c>
      <c r="BE188" s="24" t="inlineStr">
        <is>
          <t>tennis-surface-elo-v1</t>
        </is>
      </c>
      <c r="BF188" s="24" t="inlineStr">
        <is>
          <t>1</t>
        </is>
      </c>
      <c r="BG188" s="24" t="inlineStr">
        <is>
          <t>3ab056fefe04713e3c294da76c8adb2866b0dc46556ed32322a0426dd344a0e4</t>
        </is>
      </c>
      <c r="BH188" s="24" t="inlineStr">
        <is>
          <t>2026-08-05T04:34:10.491214Z</t>
        </is>
      </c>
      <c r="BI188" s="24" t="inlineStr">
        <is>
          <t>["same_event","same_team_same_day","same_league_same_day"]</t>
        </is>
      </c>
      <c r="BJ188" s="25" t="n"/>
      <c r="BK188" s="26" t="n">
        <v>-285</v>
      </c>
      <c r="BL188" s="27" t="n">
        <v>1.350877</v>
      </c>
      <c r="BM188" s="28" t="n">
        <v>0.74026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</row>
    <row r="189" ht="36" customHeight="1">
      <c r="A189" s="24" t="inlineStr">
        <is>
          <t>df942e31be214dee</t>
        </is>
      </c>
      <c r="B189" s="24" t="inlineStr">
        <is>
          <t>2026-08-05T04:36:19.625619Z</t>
        </is>
      </c>
      <c r="C189" s="24" t="inlineStr">
        <is>
          <t>2026-08-05T16:30Z</t>
        </is>
      </c>
      <c r="D189" s="24" t="inlineStr">
        <is>
          <t>421-2026:182196</t>
        </is>
      </c>
      <c r="E189" s="24" t="inlineStr">
        <is>
          <t>TENNIS</t>
        </is>
      </c>
      <c r="F189" s="24" t="inlineStr">
        <is>
          <t>Magdalena Frech</t>
        </is>
      </c>
      <c r="G189" s="24" t="inlineStr">
        <is>
          <t>Jessica Pegula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-733</v>
      </c>
      <c r="M189" s="27" t="n">
        <v>1.136426</v>
      </c>
      <c r="N189" s="28" t="n">
        <v>0.879952</v>
      </c>
      <c r="O189" s="28" t="n">
        <v>0.9137729999999999</v>
      </c>
      <c r="P189" s="28" t="n">
        <v>0.05</v>
      </c>
      <c r="Q189" s="28" t="n">
        <v>0.033821</v>
      </c>
      <c r="R189" s="26" t="n">
        <v>37</v>
      </c>
      <c r="S189" s="29" t="n">
        <v>2</v>
      </c>
      <c r="T189" s="24" t="inlineStr">
        <is>
          <t>tennis-surface-elo-v1</t>
        </is>
      </c>
      <c r="U189" s="24" t="inlineStr">
        <is>
          <t>open</t>
        </is>
      </c>
      <c r="V189" s="24" t="n"/>
      <c r="W189" s="26" t="n"/>
      <c r="X189" s="26" t="n"/>
      <c r="Y189" s="25" t="n"/>
      <c r="Z189" s="26" t="n"/>
      <c r="AA189" s="28" t="n"/>
      <c r="AB189" s="28" t="n"/>
      <c r="AC189" s="30" t="n"/>
      <c r="AD189" s="24" t="n"/>
      <c r="AE189" s="31" t="inlineStr">
        <is>
          <t>Surface-blended Elo on Hard: Magdalena Frech p=0.086 vs Jessica Pegula. Executable ask 0.8800 (aec-wta-jespeg-magfre-2026-08-04).</t>
        </is>
      </c>
      <c r="AF189" s="31" t="inlineStr">
        <is>
          <t>Surface-blended Elo model; singles only, WTA+ATP market coverage, not yet locked-holdout qualified -- promoted by explicit operator directive, not genuine walk-forward validation.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NO_CALL_LOW_EDGE</t>
        </is>
      </c>
      <c r="AP189" s="24" t="inlineStr">
        <is>
          <t>Magdalena Frech</t>
        </is>
      </c>
      <c r="AQ189" s="24" t="inlineStr">
        <is>
          <t>Magdalena Frech</t>
        </is>
      </c>
      <c r="AR189" s="24" t="inlineStr">
        <is>
          <t>Magdalena Frech</t>
        </is>
      </c>
      <c r="AS189" s="24" t="inlineStr">
        <is>
          <t>Jessica Pegula</t>
        </is>
      </c>
      <c r="AT189" s="24" t="inlineStr">
        <is>
          <t>Jessica Pegula</t>
        </is>
      </c>
      <c r="AU189" s="24" t="inlineStr">
        <is>
          <t>Jessica Pegula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3ab056fefe04713e3c294da76c8adb2866b0dc46556ed32322a0426dd344a0e4</t>
        </is>
      </c>
      <c r="BB189" s="24" t="inlineStr">
        <is>
          <t>surface_blended_elo</t>
        </is>
      </c>
      <c r="BC189" s="24" t="inlineStr">
        <is>
          <t>tennis-surface-elo-v1</t>
        </is>
      </c>
      <c r="BD189" s="24" t="inlineStr">
        <is>
          <t>3ab056fefe04713e3c294da76c8adb2866b0dc46556ed32322a0426dd344a0e4</t>
        </is>
      </c>
      <c r="BE189" s="24" t="inlineStr">
        <is>
          <t>tennis-surface-elo-v1</t>
        </is>
      </c>
      <c r="BF189" s="24" t="inlineStr">
        <is>
          <t>1</t>
        </is>
      </c>
      <c r="BG189" s="24" t="inlineStr">
        <is>
          <t>3ab056fefe04713e3c294da76c8adb2866b0dc46556ed32322a0426dd344a0e4</t>
        </is>
      </c>
      <c r="BH189" s="24" t="inlineStr">
        <is>
          <t>2026-08-05T04:34:11.907535Z</t>
        </is>
      </c>
      <c r="BI189" s="24" t="inlineStr">
        <is>
          <t>["same_event","same_team_same_day","same_league_same_day"]</t>
        </is>
      </c>
      <c r="BJ189" s="25" t="n"/>
      <c r="BK189" s="26" t="n">
        <v>-733</v>
      </c>
      <c r="BL189" s="27" t="n">
        <v>1.136426</v>
      </c>
      <c r="BM189" s="28" t="n">
        <v>0.879952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</row>
    <row r="190" ht="36" customHeight="1">
      <c r="A190" s="24" t="inlineStr">
        <is>
          <t>173a610e144b42f5</t>
        </is>
      </c>
      <c r="B190" s="24" t="inlineStr">
        <is>
          <t>2026-08-05T04:36:19.625619Z</t>
        </is>
      </c>
      <c r="C190" s="24" t="inlineStr">
        <is>
          <t>2026-08-05T16:30Z</t>
        </is>
      </c>
      <c r="D190" s="24" t="inlineStr">
        <is>
          <t>421-2026:182201</t>
        </is>
      </c>
      <c r="E190" s="24" t="inlineStr">
        <is>
          <t>TENNIS</t>
        </is>
      </c>
      <c r="F190" s="24" t="inlineStr">
        <is>
          <t>Belinda Bencic</t>
        </is>
      </c>
      <c r="G190" s="24" t="inlineStr">
        <is>
          <t>Sloane Stephens</t>
        </is>
      </c>
      <c r="H190" s="24" t="inlineStr">
        <is>
          <t>moneyline</t>
        </is>
      </c>
      <c r="I190" s="24" t="inlineStr">
        <is>
          <t>away</t>
        </is>
      </c>
      <c r="J190" s="25" t="n"/>
      <c r="K190" s="24" t="inlineStr">
        <is>
          <t>polymarket_us</t>
        </is>
      </c>
      <c r="L190" s="26" t="n">
        <v>-614</v>
      </c>
      <c r="M190" s="27" t="n">
        <v>1.162866</v>
      </c>
      <c r="N190" s="28" t="n">
        <v>0.859944</v>
      </c>
      <c r="O190" s="28" t="n">
        <v>0.887489</v>
      </c>
      <c r="P190" s="28" t="n">
        <v>0.05</v>
      </c>
      <c r="Q190" s="28" t="n">
        <v>0.027545</v>
      </c>
      <c r="R190" s="26" t="n">
        <v>34</v>
      </c>
      <c r="S190" s="29" t="n">
        <v>2</v>
      </c>
      <c r="T190" s="24" t="inlineStr">
        <is>
          <t>tennis-surface-elo-v1</t>
        </is>
      </c>
      <c r="U190" s="24" t="inlineStr">
        <is>
          <t>open</t>
        </is>
      </c>
      <c r="V190" s="24" t="n"/>
      <c r="W190" s="26" t="n"/>
      <c r="X190" s="26" t="n"/>
      <c r="Y190" s="25" t="n"/>
      <c r="Z190" s="26" t="n"/>
      <c r="AA190" s="28" t="n"/>
      <c r="AB190" s="28" t="n"/>
      <c r="AC190" s="30" t="n"/>
      <c r="AD190" s="24" t="n"/>
      <c r="AE190" s="31" t="inlineStr">
        <is>
          <t>Surface-blended Elo on Hard: Belinda Bencic p=0.887 vs Sloane Stephens. Executable ask 0.8600 (aec-wta-sloste-belben-2026-08-06).</t>
        </is>
      </c>
      <c r="AF190" s="31" t="inlineStr">
        <is>
          <t>Surface-blended Elo model; singles only, WTA+ATP market coverage, not yet locked-holdout qualified -- promoted by explicit operator directive, not genuine walk-forward validation.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NO_CALL_LOW_EDGE</t>
        </is>
      </c>
      <c r="AP190" s="24" t="inlineStr">
        <is>
          <t>Belinda Bencic</t>
        </is>
      </c>
      <c r="AQ190" s="24" t="inlineStr">
        <is>
          <t>Belinda Bencic</t>
        </is>
      </c>
      <c r="AR190" s="24" t="inlineStr">
        <is>
          <t>Belinda Bencic</t>
        </is>
      </c>
      <c r="AS190" s="24" t="inlineStr">
        <is>
          <t>Sloane Stephens</t>
        </is>
      </c>
      <c r="AT190" s="24" t="inlineStr">
        <is>
          <t>Sloane Stephens</t>
        </is>
      </c>
      <c r="AU190" s="24" t="inlineStr">
        <is>
          <t>Sloane Stephens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3ab056fefe04713e3c294da76c8adb2866b0dc46556ed32322a0426dd344a0e4</t>
        </is>
      </c>
      <c r="BB190" s="24" t="inlineStr">
        <is>
          <t>surface_blended_elo</t>
        </is>
      </c>
      <c r="BC190" s="24" t="inlineStr">
        <is>
          <t>tennis-surface-elo-v1</t>
        </is>
      </c>
      <c r="BD190" s="24" t="inlineStr">
        <is>
          <t>3ab056fefe04713e3c294da76c8adb2866b0dc46556ed32322a0426dd344a0e4</t>
        </is>
      </c>
      <c r="BE190" s="24" t="inlineStr">
        <is>
          <t>tennis-surface-elo-v1</t>
        </is>
      </c>
      <c r="BF190" s="24" t="inlineStr">
        <is>
          <t>1</t>
        </is>
      </c>
      <c r="BG190" s="24" t="inlineStr">
        <is>
          <t>3ab056fefe04713e3c294da76c8adb2866b0dc46556ed32322a0426dd344a0e4</t>
        </is>
      </c>
      <c r="BH190" s="24" t="inlineStr">
        <is>
          <t>2026-08-05T04:34:11.864845Z</t>
        </is>
      </c>
      <c r="BI190" s="24" t="inlineStr">
        <is>
          <t>["same_event","same_team_same_day","same_league_same_day"]</t>
        </is>
      </c>
      <c r="BJ190" s="25" t="n"/>
      <c r="BK190" s="26" t="n">
        <v>-614</v>
      </c>
      <c r="BL190" s="27" t="n">
        <v>1.162866</v>
      </c>
      <c r="BM190" s="28" t="n">
        <v>0.859944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</row>
    <row r="191" ht="36" customHeight="1">
      <c r="A191" s="24" t="inlineStr">
        <is>
          <t>2710521e2ce84118</t>
        </is>
      </c>
      <c r="B191" s="24" t="inlineStr">
        <is>
          <t>2026-08-05T04:36:19.625619Z</t>
        </is>
      </c>
      <c r="C191" s="24" t="inlineStr">
        <is>
          <t>2026-08-05T16:30Z</t>
        </is>
      </c>
      <c r="D191" s="24" t="inlineStr">
        <is>
          <t>421-2026:182218</t>
        </is>
      </c>
      <c r="E191" s="24" t="inlineStr">
        <is>
          <t>TENNIS</t>
        </is>
      </c>
      <c r="F191" s="24" t="inlineStr">
        <is>
          <t>Elena Rybakina</t>
        </is>
      </c>
      <c r="G191" s="24" t="inlineStr">
        <is>
          <t>Daria Kasatkina</t>
        </is>
      </c>
      <c r="H191" s="24" t="inlineStr">
        <is>
          <t>moneyline</t>
        </is>
      </c>
      <c r="I191" s="24" t="inlineStr">
        <is>
          <t>away</t>
        </is>
      </c>
      <c r="J191" s="25" t="n"/>
      <c r="K191" s="24" t="inlineStr">
        <is>
          <t>polymarket_us</t>
        </is>
      </c>
      <c r="L191" s="26" t="n">
        <v>-669</v>
      </c>
      <c r="M191" s="27" t="n">
        <v>1.149477</v>
      </c>
      <c r="N191" s="28" t="n">
        <v>0.869961</v>
      </c>
      <c r="O191" s="28" t="n">
        <v>0.8561839999999999</v>
      </c>
      <c r="P191" s="28" t="n">
        <v>0.05</v>
      </c>
      <c r="Q191" s="28" t="n">
        <v>-0.013777</v>
      </c>
      <c r="R191" s="26" t="n">
        <v>13</v>
      </c>
      <c r="S191" s="29" t="n">
        <v>2</v>
      </c>
      <c r="T191" s="24" t="inlineStr">
        <is>
          <t>tennis-surface-elo-v1</t>
        </is>
      </c>
      <c r="U191" s="24" t="inlineStr">
        <is>
          <t>open</t>
        </is>
      </c>
      <c r="V191" s="24" t="n"/>
      <c r="W191" s="26" t="n"/>
      <c r="X191" s="26" t="n"/>
      <c r="Y191" s="25" t="n"/>
      <c r="Z191" s="26" t="n"/>
      <c r="AA191" s="28" t="n"/>
      <c r="AB191" s="28" t="n"/>
      <c r="AC191" s="30" t="n"/>
      <c r="AD191" s="24" t="n"/>
      <c r="AE191" s="31" t="inlineStr">
        <is>
          <t>Surface-blended Elo on Hard: Elena Rybakina p=0.856 vs Daria Kasatkina. Executable ask 0.8700 (aec-wta-darkas-eleryb-2026-08-06).</t>
        </is>
      </c>
      <c r="AF191" s="31" t="inlineStr">
        <is>
          <t>Surface-blended Elo model; singles only, WTA+ATP market coverage, not yet locked-holdout qualified -- promoted by explicit operator directive, not genuine walk-forward validation.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NO_CALL_LOW_EDGE</t>
        </is>
      </c>
      <c r="AP191" s="24" t="inlineStr">
        <is>
          <t>Elena Rybakina</t>
        </is>
      </c>
      <c r="AQ191" s="24" t="inlineStr">
        <is>
          <t>Elena Rybakina</t>
        </is>
      </c>
      <c r="AR191" s="24" t="inlineStr">
        <is>
          <t>Elena Rybakina</t>
        </is>
      </c>
      <c r="AS191" s="24" t="inlineStr">
        <is>
          <t>Daria Kasatkina</t>
        </is>
      </c>
      <c r="AT191" s="24" t="inlineStr">
        <is>
          <t>Daria Kasatkina</t>
        </is>
      </c>
      <c r="AU191" s="24" t="inlineStr">
        <is>
          <t>Daria Kasatkina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3ab056fefe04713e3c294da76c8adb2866b0dc46556ed32322a0426dd344a0e4</t>
        </is>
      </c>
      <c r="BB191" s="24" t="inlineStr">
        <is>
          <t>surface_blended_elo</t>
        </is>
      </c>
      <c r="BC191" s="24" t="inlineStr">
        <is>
          <t>tennis-surface-elo-v1</t>
        </is>
      </c>
      <c r="BD191" s="24" t="inlineStr">
        <is>
          <t>3ab056fefe04713e3c294da76c8adb2866b0dc46556ed32322a0426dd344a0e4</t>
        </is>
      </c>
      <c r="BE191" s="24" t="inlineStr">
        <is>
          <t>tennis-surface-elo-v1</t>
        </is>
      </c>
      <c r="BF191" s="24" t="inlineStr">
        <is>
          <t>1</t>
        </is>
      </c>
      <c r="BG191" s="24" t="inlineStr">
        <is>
          <t>3ab056fefe04713e3c294da76c8adb2866b0dc46556ed32322a0426dd344a0e4</t>
        </is>
      </c>
      <c r="BH191" s="24" t="inlineStr">
        <is>
          <t>2026-08-05T04:34:13.912345Z</t>
        </is>
      </c>
      <c r="BI191" s="24" t="inlineStr">
        <is>
          <t>["same_event","same_team_same_day","same_league_same_day"]</t>
        </is>
      </c>
      <c r="BJ191" s="25" t="n"/>
      <c r="BK191" s="26" t="n">
        <v>-669</v>
      </c>
      <c r="BL191" s="27" t="n">
        <v>1.149477</v>
      </c>
      <c r="BM191" s="28" t="n">
        <v>0.869961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</row>
    <row r="192" ht="36" customHeight="1">
      <c r="A192" s="24" t="inlineStr">
        <is>
          <t>7544e69f01c549fc</t>
        </is>
      </c>
      <c r="B192" s="24" t="inlineStr">
        <is>
          <t>2026-08-05T04:36:19.625619Z</t>
        </is>
      </c>
      <c r="C192" s="24" t="inlineStr">
        <is>
          <t>2026-08-05T16:30Z</t>
        </is>
      </c>
      <c r="D192" s="24" t="inlineStr">
        <is>
          <t>421-2026:182225</t>
        </is>
      </c>
      <c r="E192" s="24" t="inlineStr">
        <is>
          <t>TENNIS</t>
        </is>
      </c>
      <c r="F192" s="24" t="inlineStr">
        <is>
          <t>Taylor Townsend</t>
        </is>
      </c>
      <c r="G192" s="24" t="inlineStr">
        <is>
          <t>Marie Bouzkova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-138</v>
      </c>
      <c r="M192" s="27" t="n">
        <v>1.724638</v>
      </c>
      <c r="N192" s="28" t="n">
        <v>0.579832</v>
      </c>
      <c r="O192" s="28" t="n">
        <v>0.56035</v>
      </c>
      <c r="P192" s="28" t="n">
        <v>0.05</v>
      </c>
      <c r="Q192" s="28" t="n">
        <v>-0.019482</v>
      </c>
      <c r="R192" s="26" t="n">
        <v>10</v>
      </c>
      <c r="S192" s="29" t="n">
        <v>1</v>
      </c>
      <c r="T192" s="24" t="inlineStr">
        <is>
          <t>tennis-surface-elo-v1</t>
        </is>
      </c>
      <c r="U192" s="24" t="inlineStr">
        <is>
          <t>open</t>
        </is>
      </c>
      <c r="V192" s="24" t="n"/>
      <c r="W192" s="26" t="n"/>
      <c r="X192" s="26" t="n"/>
      <c r="Y192" s="25" t="n"/>
      <c r="Z192" s="26" t="n"/>
      <c r="AA192" s="28" t="n"/>
      <c r="AB192" s="28" t="n"/>
      <c r="AC192" s="30" t="n"/>
      <c r="AD192" s="24" t="n"/>
      <c r="AE192" s="31" t="inlineStr">
        <is>
          <t>Surface-blended Elo on Hard: Taylor Townsend p=0.440 vs Marie Bouzkova. Executable ask 0.5800 (aec-wta-marbou-taytow-2026-08-06).</t>
        </is>
      </c>
      <c r="AF192" s="31" t="inlineStr">
        <is>
          <t>Surface-blended Elo model; singles only, WTA+ATP market coverage, not yet locked-holdout qualified -- promoted by explicit operator directive, not genuine walk-forward validation.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NO_CALL_LOW_EDGE</t>
        </is>
      </c>
      <c r="AP192" s="24" t="inlineStr">
        <is>
          <t>Taylor Townsend</t>
        </is>
      </c>
      <c r="AQ192" s="24" t="inlineStr">
        <is>
          <t>Taylor Townsend</t>
        </is>
      </c>
      <c r="AR192" s="24" t="inlineStr">
        <is>
          <t>Taylor Townsend</t>
        </is>
      </c>
      <c r="AS192" s="24" t="inlineStr">
        <is>
          <t>Marie Bouzkova</t>
        </is>
      </c>
      <c r="AT192" s="24" t="inlineStr">
        <is>
          <t>Marie Bouzkova</t>
        </is>
      </c>
      <c r="AU192" s="24" t="inlineStr">
        <is>
          <t>Marie Bouzkova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3ab056fefe04713e3c294da76c8adb2866b0dc46556ed32322a0426dd344a0e4</t>
        </is>
      </c>
      <c r="BB192" s="24" t="inlineStr">
        <is>
          <t>surface_blended_elo</t>
        </is>
      </c>
      <c r="BC192" s="24" t="inlineStr">
        <is>
          <t>tennis-surface-elo-v1</t>
        </is>
      </c>
      <c r="BD192" s="24" t="inlineStr">
        <is>
          <t>3ab056fefe04713e3c294da76c8adb2866b0dc46556ed32322a0426dd344a0e4</t>
        </is>
      </c>
      <c r="BE192" s="24" t="inlineStr">
        <is>
          <t>tennis-surface-elo-v1</t>
        </is>
      </c>
      <c r="BF192" s="24" t="inlineStr">
        <is>
          <t>1</t>
        </is>
      </c>
      <c r="BG192" s="24" t="inlineStr">
        <is>
          <t>3ab056fefe04713e3c294da76c8adb2866b0dc46556ed32322a0426dd344a0e4</t>
        </is>
      </c>
      <c r="BH192" s="24" t="inlineStr">
        <is>
          <t>2026-08-05T04:34:14.403627Z</t>
        </is>
      </c>
      <c r="BI192" s="24" t="inlineStr">
        <is>
          <t>["same_event","same_team_same_day","same_league_same_day"]</t>
        </is>
      </c>
      <c r="BJ192" s="25" t="n"/>
      <c r="BK192" s="26" t="n">
        <v>-138</v>
      </c>
      <c r="BL192" s="27" t="n">
        <v>1.724638</v>
      </c>
      <c r="BM192" s="28" t="n">
        <v>0.579832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False</t>
        </is>
      </c>
    </row>
    <row r="193" ht="36" customHeight="1">
      <c r="A193" s="24" t="inlineStr">
        <is>
          <t>2f5d6656b4d34dcd</t>
        </is>
      </c>
      <c r="B193" s="24" t="inlineStr">
        <is>
          <t>2026-08-05T04:36:19.625619Z</t>
        </is>
      </c>
      <c r="C193" s="24" t="inlineStr">
        <is>
          <t>2026-08-05T18:00Z</t>
        </is>
      </c>
      <c r="D193" s="24" t="inlineStr">
        <is>
          <t>421-2026:182190</t>
        </is>
      </c>
      <c r="E193" s="24" t="inlineStr">
        <is>
          <t>TENNIS</t>
        </is>
      </c>
      <c r="F193" s="24" t="inlineStr">
        <is>
          <t>Coco Gauff</t>
        </is>
      </c>
      <c r="G193" s="24" t="inlineStr">
        <is>
          <t>Kayla Day</t>
        </is>
      </c>
      <c r="H193" s="24" t="inlineStr">
        <is>
          <t>moneyline</t>
        </is>
      </c>
      <c r="I193" s="24" t="inlineStr">
        <is>
          <t>away</t>
        </is>
      </c>
      <c r="J193" s="25" t="n"/>
      <c r="K193" s="24" t="inlineStr">
        <is>
          <t>polymarket_us</t>
        </is>
      </c>
      <c r="L193" s="26" t="n">
        <v>-900</v>
      </c>
      <c r="M193" s="27" t="n">
        <v>1.111111</v>
      </c>
      <c r="N193" s="28" t="n">
        <v>0.9</v>
      </c>
      <c r="O193" s="28" t="n">
        <v>0.914779</v>
      </c>
      <c r="P193" s="28" t="n">
        <v>0.05</v>
      </c>
      <c r="Q193" s="28" t="n">
        <v>0.014779</v>
      </c>
      <c r="R193" s="26" t="n">
        <v>27</v>
      </c>
      <c r="S193" s="29" t="n">
        <v>2</v>
      </c>
      <c r="T193" s="24" t="inlineStr">
        <is>
          <t>tennis-surface-elo-v1</t>
        </is>
      </c>
      <c r="U193" s="24" t="inlineStr">
        <is>
          <t>open</t>
        </is>
      </c>
      <c r="V193" s="24" t="n"/>
      <c r="W193" s="26" t="n"/>
      <c r="X193" s="26" t="n"/>
      <c r="Y193" s="25" t="n"/>
      <c r="Z193" s="26" t="n"/>
      <c r="AA193" s="28" t="n"/>
      <c r="AB193" s="28" t="n"/>
      <c r="AC193" s="30" t="n"/>
      <c r="AD193" s="24" t="n"/>
      <c r="AE193" s="31" t="inlineStr">
        <is>
          <t>Surface-blended Elo on Hard: Coco Gauff p=0.915 vs Kayla Day. Executable ask 0.9000 (aec-wta-kayday-cocgau-2026-08-04).</t>
        </is>
      </c>
      <c r="AF193" s="31" t="inlineStr">
        <is>
          <t>Surface-blended Elo model; singles only, WTA+ATP market coverage, not yet locked-holdout qualified -- promoted by explicit operator directive, not genuine walk-forward validation.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NO_CALL_LOW_EDGE</t>
        </is>
      </c>
      <c r="AP193" s="24" t="inlineStr">
        <is>
          <t>Coco Gauff</t>
        </is>
      </c>
      <c r="AQ193" s="24" t="inlineStr">
        <is>
          <t>Coco Gauff</t>
        </is>
      </c>
      <c r="AR193" s="24" t="inlineStr">
        <is>
          <t>Coco Gauff</t>
        </is>
      </c>
      <c r="AS193" s="24" t="inlineStr">
        <is>
          <t>Kayla Day</t>
        </is>
      </c>
      <c r="AT193" s="24" t="inlineStr">
        <is>
          <t>Kayla Day</t>
        </is>
      </c>
      <c r="AU193" s="24" t="inlineStr">
        <is>
          <t>Kayla Day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3ab056fefe04713e3c294da76c8adb2866b0dc46556ed32322a0426dd344a0e4</t>
        </is>
      </c>
      <c r="BB193" s="24" t="inlineStr">
        <is>
          <t>surface_blended_elo</t>
        </is>
      </c>
      <c r="BC193" s="24" t="inlineStr">
        <is>
          <t>tennis-surface-elo-v1</t>
        </is>
      </c>
      <c r="BD193" s="24" t="inlineStr">
        <is>
          <t>3ab056fefe04713e3c294da76c8adb2866b0dc46556ed32322a0426dd344a0e4</t>
        </is>
      </c>
      <c r="BE193" s="24" t="inlineStr">
        <is>
          <t>tennis-surface-elo-v1</t>
        </is>
      </c>
      <c r="BF193" s="24" t="inlineStr">
        <is>
          <t>1</t>
        </is>
      </c>
      <c r="BG193" s="24" t="inlineStr">
        <is>
          <t>3ab056fefe04713e3c294da76c8adb2866b0dc46556ed32322a0426dd344a0e4</t>
        </is>
      </c>
      <c r="BH193" s="24" t="inlineStr">
        <is>
          <t>2026-08-05T04:34:16.374465Z</t>
        </is>
      </c>
      <c r="BI193" s="24" t="inlineStr">
        <is>
          <t>["same_event","same_team_same_day","same_league_same_day"]</t>
        </is>
      </c>
      <c r="BJ193" s="25" t="n"/>
      <c r="BK193" s="26" t="n">
        <v>-900</v>
      </c>
      <c r="BL193" s="27" t="n">
        <v>1.111111</v>
      </c>
      <c r="BM193" s="28" t="n">
        <v>0.9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</row>
    <row r="194" ht="36" customHeight="1">
      <c r="A194" s="24" t="inlineStr">
        <is>
          <t>94f2498a1e1d4725</t>
        </is>
      </c>
      <c r="B194" s="24" t="inlineStr">
        <is>
          <t>2026-08-05T04:36:19.625619Z</t>
        </is>
      </c>
      <c r="C194" s="24" t="inlineStr">
        <is>
          <t>2026-08-05T18:00Z</t>
        </is>
      </c>
      <c r="D194" s="24" t="inlineStr">
        <is>
          <t>421-2026:182192</t>
        </is>
      </c>
      <c r="E194" s="24" t="inlineStr">
        <is>
          <t>TENNIS</t>
        </is>
      </c>
      <c r="F194" s="24" t="inlineStr">
        <is>
          <t>Karolina Pliskova</t>
        </is>
      </c>
      <c r="G194" s="24" t="inlineStr">
        <is>
          <t>Mirra Andreeva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-335</v>
      </c>
      <c r="M194" s="27" t="n">
        <v>1.298507</v>
      </c>
      <c r="N194" s="28" t="n">
        <v>0.770115</v>
      </c>
      <c r="O194" s="28" t="n">
        <v>0.753053</v>
      </c>
      <c r="P194" s="28" t="n">
        <v>0.05</v>
      </c>
      <c r="Q194" s="28" t="n">
        <v>-0.017062</v>
      </c>
      <c r="R194" s="26" t="n">
        <v>11</v>
      </c>
      <c r="S194" s="29" t="n">
        <v>2</v>
      </c>
      <c r="T194" s="24" t="inlineStr">
        <is>
          <t>tennis-surface-elo-v1</t>
        </is>
      </c>
      <c r="U194" s="24" t="inlineStr">
        <is>
          <t>open</t>
        </is>
      </c>
      <c r="V194" s="24" t="n"/>
      <c r="W194" s="26" t="n"/>
      <c r="X194" s="26" t="n"/>
      <c r="Y194" s="25" t="n"/>
      <c r="Z194" s="26" t="n"/>
      <c r="AA194" s="28" t="n"/>
      <c r="AB194" s="28" t="n"/>
      <c r="AC194" s="30" t="n"/>
      <c r="AD194" s="24" t="n"/>
      <c r="AE194" s="31" t="inlineStr">
        <is>
          <t>Surface-blended Elo on Hard: Karolina Pliskova p=0.247 vs Mirra Andreeva. Executable ask 0.7700 (aec-wta-mirand-karpli-2026-08-04).</t>
        </is>
      </c>
      <c r="AF194" s="31" t="inlineStr">
        <is>
          <t>Surface-blended Elo model; singles only, WTA+ATP market coverage, not yet locked-holdout qualified -- promoted by explicit operator directive, not genuine walk-forward validation.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NO_CALL_LOW_EDGE</t>
        </is>
      </c>
      <c r="AP194" s="24" t="inlineStr">
        <is>
          <t>Karolina Pliskova</t>
        </is>
      </c>
      <c r="AQ194" s="24" t="inlineStr">
        <is>
          <t>Karolina Pliskova</t>
        </is>
      </c>
      <c r="AR194" s="24" t="inlineStr">
        <is>
          <t>Karolina Pliskova</t>
        </is>
      </c>
      <c r="AS194" s="24" t="inlineStr">
        <is>
          <t>Mirra Andreeva</t>
        </is>
      </c>
      <c r="AT194" s="24" t="inlineStr">
        <is>
          <t>Mirra Andreeva</t>
        </is>
      </c>
      <c r="AU194" s="24" t="inlineStr">
        <is>
          <t>Mirra Andreeva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3ab056fefe04713e3c294da76c8adb2866b0dc46556ed32322a0426dd344a0e4</t>
        </is>
      </c>
      <c r="BB194" s="24" t="inlineStr">
        <is>
          <t>surface_blended_elo</t>
        </is>
      </c>
      <c r="BC194" s="24" t="inlineStr">
        <is>
          <t>tennis-surface-elo-v1</t>
        </is>
      </c>
      <c r="BD194" s="24" t="inlineStr">
        <is>
          <t>3ab056fefe04713e3c294da76c8adb2866b0dc46556ed32322a0426dd344a0e4</t>
        </is>
      </c>
      <c r="BE194" s="24" t="inlineStr">
        <is>
          <t>tennis-surface-elo-v1</t>
        </is>
      </c>
      <c r="BF194" s="24" t="inlineStr">
        <is>
          <t>1</t>
        </is>
      </c>
      <c r="BG194" s="24" t="inlineStr">
        <is>
          <t>3ab056fefe04713e3c294da76c8adb2866b0dc46556ed32322a0426dd344a0e4</t>
        </is>
      </c>
      <c r="BH194" s="24" t="inlineStr">
        <is>
          <t>2026-08-05T04:34:15.932130Z</t>
        </is>
      </c>
      <c r="BI194" s="24" t="inlineStr">
        <is>
          <t>["same_event","same_team_same_day","same_league_same_day"]</t>
        </is>
      </c>
      <c r="BJ194" s="25" t="n"/>
      <c r="BK194" s="26" t="n">
        <v>-335</v>
      </c>
      <c r="BL194" s="27" t="n">
        <v>1.298507</v>
      </c>
      <c r="BM194" s="28" t="n">
        <v>0.770115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False</t>
        </is>
      </c>
    </row>
    <row r="195" ht="36" customHeight="1">
      <c r="A195" s="24" t="inlineStr">
        <is>
          <t>107ec83b7b5b4ab8</t>
        </is>
      </c>
      <c r="B195" s="24" t="inlineStr">
        <is>
          <t>2026-08-05T04:36:19.625619Z</t>
        </is>
      </c>
      <c r="C195" s="24" t="inlineStr">
        <is>
          <t>2026-08-05T18:00Z</t>
        </is>
      </c>
      <c r="D195" s="24" t="inlineStr">
        <is>
          <t>421-2026:182204</t>
        </is>
      </c>
      <c r="E195" s="24" t="inlineStr">
        <is>
          <t>TENNIS</t>
        </is>
      </c>
      <c r="F195" s="24" t="inlineStr">
        <is>
          <t>Magda Linette</t>
        </is>
      </c>
      <c r="G195" s="24" t="inlineStr">
        <is>
          <t>Iva Jovic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-335</v>
      </c>
      <c r="M195" s="27" t="n">
        <v>1.298507</v>
      </c>
      <c r="N195" s="28" t="n">
        <v>0.770115</v>
      </c>
      <c r="O195" s="28" t="n">
        <v>0.661686</v>
      </c>
      <c r="P195" s="28" t="n">
        <v>0.05</v>
      </c>
      <c r="Q195" s="28" t="n">
        <v>-0.108429</v>
      </c>
      <c r="R195" s="26" t="n">
        <v>0</v>
      </c>
      <c r="S195" s="29" t="n">
        <v>1.75</v>
      </c>
      <c r="T195" s="24" t="inlineStr">
        <is>
          <t>tennis-surface-elo-v1</t>
        </is>
      </c>
      <c r="U195" s="24" t="inlineStr">
        <is>
          <t>open</t>
        </is>
      </c>
      <c r="V195" s="24" t="n"/>
      <c r="W195" s="26" t="n"/>
      <c r="X195" s="26" t="n"/>
      <c r="Y195" s="25" t="n"/>
      <c r="Z195" s="26" t="n"/>
      <c r="AA195" s="28" t="n"/>
      <c r="AB195" s="28" t="n"/>
      <c r="AC195" s="30" t="n"/>
      <c r="AD195" s="24" t="n"/>
      <c r="AE195" s="31" t="inlineStr">
        <is>
          <t>Surface-blended Elo on Hard: Magda Linette p=0.338 vs Iva Jovic. Executable ask 0.7700 (aec-wta-ivajov-maglin-2026-08-04).</t>
        </is>
      </c>
      <c r="AF195" s="31" t="inlineStr">
        <is>
          <t>Surface-blended Elo model; singles only, WTA+ATP market coverage, not yet locked-holdout qualified -- promoted by explicit operator directive, not genuine walk-forward validation.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NO_CALL_LOW_EDGE</t>
        </is>
      </c>
      <c r="AP195" s="24" t="inlineStr">
        <is>
          <t>Magda Linette</t>
        </is>
      </c>
      <c r="AQ195" s="24" t="inlineStr">
        <is>
          <t>Magda Linette</t>
        </is>
      </c>
      <c r="AR195" s="24" t="inlineStr">
        <is>
          <t>Magda Linette</t>
        </is>
      </c>
      <c r="AS195" s="24" t="inlineStr">
        <is>
          <t>Iva Jovic</t>
        </is>
      </c>
      <c r="AT195" s="24" t="inlineStr">
        <is>
          <t>Iva Jovic</t>
        </is>
      </c>
      <c r="AU195" s="24" t="inlineStr">
        <is>
          <t>Iva Jovic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3ab056fefe04713e3c294da76c8adb2866b0dc46556ed32322a0426dd344a0e4</t>
        </is>
      </c>
      <c r="BB195" s="24" t="inlineStr">
        <is>
          <t>surface_blended_elo</t>
        </is>
      </c>
      <c r="BC195" s="24" t="inlineStr">
        <is>
          <t>tennis-surface-elo-v1</t>
        </is>
      </c>
      <c r="BD195" s="24" t="inlineStr">
        <is>
          <t>3ab056fefe04713e3c294da76c8adb2866b0dc46556ed32322a0426dd344a0e4</t>
        </is>
      </c>
      <c r="BE195" s="24" t="inlineStr">
        <is>
          <t>tennis-surface-elo-v1</t>
        </is>
      </c>
      <c r="BF195" s="24" t="inlineStr">
        <is>
          <t>1</t>
        </is>
      </c>
      <c r="BG195" s="24" t="inlineStr">
        <is>
          <t>3ab056fefe04713e3c294da76c8adb2866b0dc46556ed32322a0426dd344a0e4</t>
        </is>
      </c>
      <c r="BH195" s="24" t="inlineStr">
        <is>
          <t>2026-08-05T04:34:17.250454Z</t>
        </is>
      </c>
      <c r="BI195" s="24" t="inlineStr">
        <is>
          <t>["same_event","same_team_same_day","same_league_same_day"]</t>
        </is>
      </c>
      <c r="BJ195" s="25" t="n"/>
      <c r="BK195" s="26" t="n">
        <v>-335</v>
      </c>
      <c r="BL195" s="27" t="n">
        <v>1.298507</v>
      </c>
      <c r="BM195" s="28" t="n">
        <v>0.770115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</row>
    <row r="196" ht="36" customHeight="1">
      <c r="A196" s="24" t="inlineStr">
        <is>
          <t>a18df055a2094241</t>
        </is>
      </c>
      <c r="B196" s="24" t="inlineStr">
        <is>
          <t>2026-08-05T04:36:19.625619Z</t>
        </is>
      </c>
      <c r="C196" s="24" t="inlineStr">
        <is>
          <t>2026-08-05T18:00Z</t>
        </is>
      </c>
      <c r="D196" s="24" t="inlineStr">
        <is>
          <t>421-2026:182208</t>
        </is>
      </c>
      <c r="E196" s="24" t="inlineStr">
        <is>
          <t>TENNIS</t>
        </is>
      </c>
      <c r="F196" s="24" t="inlineStr">
        <is>
          <t>Emma Navarro</t>
        </is>
      </c>
      <c r="G196" s="24" t="inlineStr">
        <is>
          <t>Alina Korneeva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-122</v>
      </c>
      <c r="M196" s="27" t="n">
        <v>1.819672</v>
      </c>
      <c r="N196" s="28" t="n">
        <v>0.54955</v>
      </c>
      <c r="O196" s="28" t="n">
        <v>0.646211</v>
      </c>
      <c r="P196" s="28" t="n">
        <v>0.05</v>
      </c>
      <c r="Q196" s="28" t="n">
        <v>0.096661</v>
      </c>
      <c r="R196" s="26" t="n">
        <v>68</v>
      </c>
      <c r="S196" s="29" t="n">
        <v>1.75</v>
      </c>
      <c r="T196" s="24" t="inlineStr">
        <is>
          <t>tennis-surface-elo-v1</t>
        </is>
      </c>
      <c r="U196" s="24" t="inlineStr">
        <is>
          <t>open</t>
        </is>
      </c>
      <c r="V196" s="24" t="n"/>
      <c r="W196" s="26" t="n"/>
      <c r="X196" s="26" t="n"/>
      <c r="Y196" s="25" t="n"/>
      <c r="Z196" s="26" t="n"/>
      <c r="AA196" s="28" t="n"/>
      <c r="AB196" s="28" t="n"/>
      <c r="AC196" s="30" t="n"/>
      <c r="AD196" s="24" t="n"/>
      <c r="AE196" s="31" t="inlineStr">
        <is>
          <t>Surface-blended Elo on Hard: Emma Navarro p=0.646 vs Alina Korneeva. Executable ask 0.5500 (aec-wta-alikor-emmnav-2026-08-04).</t>
        </is>
      </c>
      <c r="AF196" s="31" t="inlineStr">
        <is>
          <t>Surface-blended Elo model; singles only, WTA+ATP market coverage, not yet locked-holdout qualified -- promoted by explicit operator directive, not genuine walk-forward validation.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3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Emma Navarro</t>
        </is>
      </c>
      <c r="AQ196" s="24" t="inlineStr">
        <is>
          <t>Emma Navarro</t>
        </is>
      </c>
      <c r="AR196" s="24" t="inlineStr">
        <is>
          <t>Emma Navarro</t>
        </is>
      </c>
      <c r="AS196" s="24" t="inlineStr">
        <is>
          <t>Alina Korneeva</t>
        </is>
      </c>
      <c r="AT196" s="24" t="inlineStr">
        <is>
          <t>Alina Korneeva</t>
        </is>
      </c>
      <c r="AU196" s="24" t="inlineStr">
        <is>
          <t>Alina Korneeva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3ab056fefe04713e3c294da76c8adb2866b0dc46556ed32322a0426dd344a0e4</t>
        </is>
      </c>
      <c r="BB196" s="24" t="inlineStr">
        <is>
          <t>surface_blended_elo</t>
        </is>
      </c>
      <c r="BC196" s="24" t="inlineStr">
        <is>
          <t>tennis-surface-elo-v1</t>
        </is>
      </c>
      <c r="BD196" s="24" t="inlineStr">
        <is>
          <t>3ab056fefe04713e3c294da76c8adb2866b0dc46556ed32322a0426dd344a0e4</t>
        </is>
      </c>
      <c r="BE196" s="24" t="inlineStr">
        <is>
          <t>tennis-surface-elo-v1</t>
        </is>
      </c>
      <c r="BF196" s="24" t="inlineStr">
        <is>
          <t>1</t>
        </is>
      </c>
      <c r="BG196" s="24" t="inlineStr">
        <is>
          <t>3ab056fefe04713e3c294da76c8adb2866b0dc46556ed32322a0426dd344a0e4</t>
        </is>
      </c>
      <c r="BH196" s="24" t="inlineStr">
        <is>
          <t>2026-08-05T04:34:15.073339Z</t>
        </is>
      </c>
      <c r="BI196" s="24" t="inlineStr">
        <is>
          <t>["same_event","same_team_same_day","same_league_same_day"]</t>
        </is>
      </c>
      <c r="BJ196" s="25" t="n"/>
      <c r="BK196" s="26" t="n">
        <v>-122</v>
      </c>
      <c r="BL196" s="27" t="n">
        <v>1.819672</v>
      </c>
      <c r="BM196" s="28" t="n">
        <v>0.54955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</row>
    <row r="197" ht="36" customHeight="1">
      <c r="A197" s="24" t="inlineStr">
        <is>
          <t>5377a590652b4ac8</t>
        </is>
      </c>
      <c r="B197" s="24" t="inlineStr">
        <is>
          <t>2026-08-05T04:36:19.625619Z</t>
        </is>
      </c>
      <c r="C197" s="24" t="inlineStr">
        <is>
          <t>2026-08-05T19:30Z</t>
        </is>
      </c>
      <c r="D197" s="24" t="inlineStr">
        <is>
          <t>421-2026:182178</t>
        </is>
      </c>
      <c r="E197" s="24" t="inlineStr">
        <is>
          <t>TENNIS</t>
        </is>
      </c>
      <c r="F197" s="24" t="inlineStr">
        <is>
          <t>Anna Bondar</t>
        </is>
      </c>
      <c r="G197" s="24" t="inlineStr">
        <is>
          <t>Elise Mertens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-317</v>
      </c>
      <c r="M197" s="27" t="n">
        <v>1.315457</v>
      </c>
      <c r="N197" s="28" t="n">
        <v>0.760192</v>
      </c>
      <c r="O197" s="28" t="n">
        <v>0.61543</v>
      </c>
      <c r="P197" s="28" t="n">
        <v>0.05</v>
      </c>
      <c r="Q197" s="28" t="n">
        <v>-0.144762</v>
      </c>
      <c r="R197" s="26" t="n">
        <v>0</v>
      </c>
      <c r="S197" s="29" t="n">
        <v>1.5</v>
      </c>
      <c r="T197" s="24" t="inlineStr">
        <is>
          <t>tennis-surface-elo-v1</t>
        </is>
      </c>
      <c r="U197" s="24" t="inlineStr">
        <is>
          <t>open</t>
        </is>
      </c>
      <c r="V197" s="24" t="n"/>
      <c r="W197" s="26" t="n"/>
      <c r="X197" s="26" t="n"/>
      <c r="Y197" s="25" t="n"/>
      <c r="Z197" s="26" t="n"/>
      <c r="AA197" s="28" t="n"/>
      <c r="AB197" s="28" t="n"/>
      <c r="AC197" s="30" t="n"/>
      <c r="AD197" s="24" t="n"/>
      <c r="AE197" s="31" t="inlineStr">
        <is>
          <t>Surface-blended Elo on Hard: Anna Bondar p=0.385 vs Elise Mertens. Executable ask 0.7600 (aec-wta-elimer-annbon-2026-08-04).</t>
        </is>
      </c>
      <c r="AF197" s="31" t="inlineStr">
        <is>
          <t>Surface-blended Elo model; singles only, WTA+ATP market coverage, not yet locked-holdout qualified -- promoted by explicit operator directive, not genuine walk-forward validation.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NO_CALL_LOW_EDGE</t>
        </is>
      </c>
      <c r="AP197" s="24" t="inlineStr">
        <is>
          <t>Anna Bondar</t>
        </is>
      </c>
      <c r="AQ197" s="24" t="inlineStr">
        <is>
          <t>Anna Bondar</t>
        </is>
      </c>
      <c r="AR197" s="24" t="inlineStr">
        <is>
          <t>Anna Bondar</t>
        </is>
      </c>
      <c r="AS197" s="24" t="inlineStr">
        <is>
          <t>Elise Mertens</t>
        </is>
      </c>
      <c r="AT197" s="24" t="inlineStr">
        <is>
          <t>Elise Mertens</t>
        </is>
      </c>
      <c r="AU197" s="24" t="inlineStr">
        <is>
          <t>Elise Mertens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3ab056fefe04713e3c294da76c8adb2866b0dc46556ed32322a0426dd344a0e4</t>
        </is>
      </c>
      <c r="BB197" s="24" t="inlineStr">
        <is>
          <t>surface_blended_elo</t>
        </is>
      </c>
      <c r="BC197" s="24" t="inlineStr">
        <is>
          <t>tennis-surface-elo-v1</t>
        </is>
      </c>
      <c r="BD197" s="24" t="inlineStr">
        <is>
          <t>3ab056fefe04713e3c294da76c8adb2866b0dc46556ed32322a0426dd344a0e4</t>
        </is>
      </c>
      <c r="BE197" s="24" t="inlineStr">
        <is>
          <t>tennis-surface-elo-v1</t>
        </is>
      </c>
      <c r="BF197" s="24" t="inlineStr">
        <is>
          <t>1</t>
        </is>
      </c>
      <c r="BG197" s="24" t="inlineStr">
        <is>
          <t>3ab056fefe04713e3c294da76c8adb2866b0dc46556ed32322a0426dd344a0e4</t>
        </is>
      </c>
      <c r="BH197" s="24" t="inlineStr">
        <is>
          <t>2026-08-05T04:34:18.350367Z</t>
        </is>
      </c>
      <c r="BI197" s="24" t="inlineStr">
        <is>
          <t>["same_event","same_team_same_day","same_league_same_day"]</t>
        </is>
      </c>
      <c r="BJ197" s="25" t="n"/>
      <c r="BK197" s="26" t="n">
        <v>-317</v>
      </c>
      <c r="BL197" s="27" t="n">
        <v>1.315457</v>
      </c>
      <c r="BM197" s="28" t="n">
        <v>0.760192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False</t>
        </is>
      </c>
    </row>
    <row r="198" ht="36" customHeight="1">
      <c r="A198" s="24" t="inlineStr">
        <is>
          <t>4573e4cbc91a4c92</t>
        </is>
      </c>
      <c r="B198" s="24" t="inlineStr">
        <is>
          <t>2026-08-05T04:36:19.625619Z</t>
        </is>
      </c>
      <c r="C198" s="24" t="inlineStr">
        <is>
          <t>2026-08-05T19:30Z</t>
        </is>
      </c>
      <c r="D198" s="24" t="inlineStr">
        <is>
          <t>421-2026:182191</t>
        </is>
      </c>
      <c r="E198" s="24" t="inlineStr">
        <is>
          <t>TENNIS</t>
        </is>
      </c>
      <c r="F198" s="24" t="inlineStr">
        <is>
          <t>Zeynep Sonmez</t>
        </is>
      </c>
      <c r="G198" s="24" t="inlineStr">
        <is>
          <t>Maria Sakkari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163</v>
      </c>
      <c r="M198" s="27" t="n">
        <v>2.63</v>
      </c>
      <c r="N198" s="28" t="n">
        <v>0.380228</v>
      </c>
      <c r="O198" s="28" t="n">
        <v>0.529381</v>
      </c>
      <c r="P198" s="28" t="n">
        <v>0.05</v>
      </c>
      <c r="Q198" s="28" t="n">
        <v>0.149153</v>
      </c>
      <c r="R198" s="26" t="n">
        <v>95</v>
      </c>
      <c r="S198" s="29" t="n">
        <v>1</v>
      </c>
      <c r="T198" s="24" t="inlineStr">
        <is>
          <t>tennis-surface-elo-v1</t>
        </is>
      </c>
      <c r="U198" s="24" t="inlineStr">
        <is>
          <t>open</t>
        </is>
      </c>
      <c r="V198" s="24" t="n"/>
      <c r="W198" s="26" t="n"/>
      <c r="X198" s="26" t="n"/>
      <c r="Y198" s="25" t="n"/>
      <c r="Z198" s="26" t="n"/>
      <c r="AA198" s="28" t="n"/>
      <c r="AB198" s="28" t="n"/>
      <c r="AC198" s="30" t="n"/>
      <c r="AD198" s="24" t="n"/>
      <c r="AE198" s="31" t="inlineStr">
        <is>
          <t>Surface-blended Elo on Hard: Zeynep Sonmez p=0.529 vs Maria Sakkari. Executable ask 0.3800 (aec-wta-marsak-zeyson-2026-08-06).</t>
        </is>
      </c>
      <c r="AF198" s="31" t="inlineStr">
        <is>
          <t>Surface-blended Elo model; singles only, WTA+ATP market coverage, not yet locked-holdout qualified -- promoted by explicit operator directive, not genuine walk-forward validation.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NO_CALL_LOW_EDGE</t>
        </is>
      </c>
      <c r="AP198" s="24" t="inlineStr">
        <is>
          <t>Zeynep Sonmez</t>
        </is>
      </c>
      <c r="AQ198" s="24" t="inlineStr">
        <is>
          <t>Zeynep Sonmez</t>
        </is>
      </c>
      <c r="AR198" s="24" t="inlineStr">
        <is>
          <t>Zeynep Sonmez</t>
        </is>
      </c>
      <c r="AS198" s="24" t="inlineStr">
        <is>
          <t>Maria Sakkari</t>
        </is>
      </c>
      <c r="AT198" s="24" t="inlineStr">
        <is>
          <t>Maria Sakkari</t>
        </is>
      </c>
      <c r="AU198" s="24" t="inlineStr">
        <is>
          <t>Maria Sakkari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3ab056fefe04713e3c294da76c8adb2866b0dc46556ed32322a0426dd344a0e4</t>
        </is>
      </c>
      <c r="BB198" s="24" t="inlineStr">
        <is>
          <t>surface_blended_elo</t>
        </is>
      </c>
      <c r="BC198" s="24" t="inlineStr">
        <is>
          <t>tennis-surface-elo-v1</t>
        </is>
      </c>
      <c r="BD198" s="24" t="inlineStr">
        <is>
          <t>3ab056fefe04713e3c294da76c8adb2866b0dc46556ed32322a0426dd344a0e4</t>
        </is>
      </c>
      <c r="BE198" s="24" t="inlineStr">
        <is>
          <t>tennis-surface-elo-v1</t>
        </is>
      </c>
      <c r="BF198" s="24" t="inlineStr">
        <is>
          <t>1</t>
        </is>
      </c>
      <c r="BG198" s="24" t="inlineStr">
        <is>
          <t>3ab056fefe04713e3c294da76c8adb2866b0dc46556ed32322a0426dd344a0e4</t>
        </is>
      </c>
      <c r="BH198" s="24" t="inlineStr">
        <is>
          <t>2026-08-05T04:34:18.087842Z</t>
        </is>
      </c>
      <c r="BI198" s="24" t="inlineStr">
        <is>
          <t>["same_event","same_team_same_day","same_league_same_day"]</t>
        </is>
      </c>
      <c r="BJ198" s="25" t="n"/>
      <c r="BK198" s="26" t="n">
        <v>163</v>
      </c>
      <c r="BL198" s="27" t="n">
        <v>2.63</v>
      </c>
      <c r="BM198" s="28" t="n">
        <v>0.380228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</row>
    <row r="199" ht="36" customHeight="1">
      <c r="A199" s="24" t="inlineStr">
        <is>
          <t>ba9c89d4caf74436</t>
        </is>
      </c>
      <c r="B199" s="24" t="inlineStr">
        <is>
          <t>2026-08-05T04:36:19.625619Z</t>
        </is>
      </c>
      <c r="C199" s="24" t="inlineStr">
        <is>
          <t>2026-08-05T21:00Z</t>
        </is>
      </c>
      <c r="D199" s="24" t="inlineStr">
        <is>
          <t>421-2026:182176</t>
        </is>
      </c>
      <c r="E199" s="24" t="inlineStr">
        <is>
          <t>TENNIS</t>
        </is>
      </c>
      <c r="F199" s="24" t="inlineStr">
        <is>
          <t>Naomi Osaka</t>
        </is>
      </c>
      <c r="G199" s="24" t="inlineStr">
        <is>
          <t>Panna Udvardy</t>
        </is>
      </c>
      <c r="H199" s="24" t="inlineStr">
        <is>
          <t>moneyline</t>
        </is>
      </c>
      <c r="I199" s="24" t="inlineStr">
        <is>
          <t>away</t>
        </is>
      </c>
      <c r="J199" s="25" t="n"/>
      <c r="K199" s="24" t="inlineStr">
        <is>
          <t>polymarket_us</t>
        </is>
      </c>
      <c r="L199" s="26" t="n">
        <v>-1011</v>
      </c>
      <c r="M199" s="27" t="n">
        <v>1.098912</v>
      </c>
      <c r="N199" s="28" t="n">
        <v>0.909991</v>
      </c>
      <c r="O199" s="28" t="n">
        <v>0.728504</v>
      </c>
      <c r="P199" s="28" t="n">
        <v>0.05</v>
      </c>
      <c r="Q199" s="28" t="n">
        <v>-0.181487</v>
      </c>
      <c r="R199" s="26" t="n">
        <v>0</v>
      </c>
      <c r="S199" s="29" t="n">
        <v>2</v>
      </c>
      <c r="T199" s="24" t="inlineStr">
        <is>
          <t>tennis-surface-elo-v1</t>
        </is>
      </c>
      <c r="U199" s="24" t="inlineStr">
        <is>
          <t>open</t>
        </is>
      </c>
      <c r="V199" s="24" t="n"/>
      <c r="W199" s="26" t="n"/>
      <c r="X199" s="26" t="n"/>
      <c r="Y199" s="25" t="n"/>
      <c r="Z199" s="26" t="n"/>
      <c r="AA199" s="28" t="n"/>
      <c r="AB199" s="28" t="n"/>
      <c r="AC199" s="30" t="n"/>
      <c r="AD199" s="24" t="n"/>
      <c r="AE199" s="31" t="inlineStr">
        <is>
          <t>Surface-blended Elo on Hard: Naomi Osaka p=0.729 vs Panna Udvardy. Executable ask 0.9100 (aec-wta-panudv-naoosa-2026-08-06).</t>
        </is>
      </c>
      <c r="AF199" s="31" t="inlineStr">
        <is>
          <t>Surface-blended Elo model; singles only, WTA+ATP market coverage, not yet locked-holdout qualified -- promoted by explicit operator directive, not genuine walk-forward validation.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NO_CALL_LOW_EDGE</t>
        </is>
      </c>
      <c r="AP199" s="24" t="inlineStr">
        <is>
          <t>Naomi Osaka</t>
        </is>
      </c>
      <c r="AQ199" s="24" t="inlineStr">
        <is>
          <t>Naomi Osaka</t>
        </is>
      </c>
      <c r="AR199" s="24" t="inlineStr">
        <is>
          <t>Naomi Osaka</t>
        </is>
      </c>
      <c r="AS199" s="24" t="inlineStr">
        <is>
          <t>Panna Udvardy</t>
        </is>
      </c>
      <c r="AT199" s="24" t="inlineStr">
        <is>
          <t>Panna Udvardy</t>
        </is>
      </c>
      <c r="AU199" s="24" t="inlineStr">
        <is>
          <t>Panna Udvardy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3ab056fefe04713e3c294da76c8adb2866b0dc46556ed32322a0426dd344a0e4</t>
        </is>
      </c>
      <c r="BB199" s="24" t="inlineStr">
        <is>
          <t>surface_blended_elo</t>
        </is>
      </c>
      <c r="BC199" s="24" t="inlineStr">
        <is>
          <t>tennis-surface-elo-v1</t>
        </is>
      </c>
      <c r="BD199" s="24" t="inlineStr">
        <is>
          <t>3ab056fefe04713e3c294da76c8adb2866b0dc46556ed32322a0426dd344a0e4</t>
        </is>
      </c>
      <c r="BE199" s="24" t="inlineStr">
        <is>
          <t>tennis-surface-elo-v1</t>
        </is>
      </c>
      <c r="BF199" s="24" t="inlineStr">
        <is>
          <t>1</t>
        </is>
      </c>
      <c r="BG199" s="24" t="inlineStr">
        <is>
          <t>3ab056fefe04713e3c294da76c8adb2866b0dc46556ed32322a0426dd344a0e4</t>
        </is>
      </c>
      <c r="BH199" s="24" t="inlineStr">
        <is>
          <t>2026-08-05T04:34:21.325844Z</t>
        </is>
      </c>
      <c r="BI199" s="24" t="inlineStr">
        <is>
          <t>["same_event","same_team_same_day","same_league_same_day"]</t>
        </is>
      </c>
      <c r="BJ199" s="25" t="n"/>
      <c r="BK199" s="26" t="n">
        <v>-1011</v>
      </c>
      <c r="BL199" s="27" t="n">
        <v>1.098912</v>
      </c>
      <c r="BM199" s="28" t="n">
        <v>0.909991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</row>
    <row r="200" ht="36" customHeight="1">
      <c r="A200" s="24" t="inlineStr">
        <is>
          <t>07b02fe2657c42e6</t>
        </is>
      </c>
      <c r="B200" s="24" t="inlineStr">
        <is>
          <t>2026-08-05T04:36:19.625619Z</t>
        </is>
      </c>
      <c r="C200" s="24" t="inlineStr">
        <is>
          <t>2026-08-05T21:00Z</t>
        </is>
      </c>
      <c r="D200" s="24" t="inlineStr">
        <is>
          <t>421-2026:182179</t>
        </is>
      </c>
      <c r="E200" s="24" t="inlineStr">
        <is>
          <t>TENNIS</t>
        </is>
      </c>
      <c r="F200" s="24" t="inlineStr">
        <is>
          <t>Maya Joint</t>
        </is>
      </c>
      <c r="G200" s="24" t="inlineStr">
        <is>
          <t>Sorana Cirstea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-335</v>
      </c>
      <c r="M200" s="27" t="n">
        <v>1.298507</v>
      </c>
      <c r="N200" s="28" t="n">
        <v>0.770115</v>
      </c>
      <c r="O200" s="28" t="n">
        <v>0.797746</v>
      </c>
      <c r="P200" s="28" t="n">
        <v>0.05</v>
      </c>
      <c r="Q200" s="28" t="n">
        <v>0.027631</v>
      </c>
      <c r="R200" s="26" t="n">
        <v>34</v>
      </c>
      <c r="S200" s="29" t="n">
        <v>2</v>
      </c>
      <c r="T200" s="24" t="inlineStr">
        <is>
          <t>tennis-surface-elo-v1</t>
        </is>
      </c>
      <c r="U200" s="24" t="inlineStr">
        <is>
          <t>open</t>
        </is>
      </c>
      <c r="V200" s="24" t="n"/>
      <c r="W200" s="26" t="n"/>
      <c r="X200" s="26" t="n"/>
      <c r="Y200" s="25" t="n"/>
      <c r="Z200" s="26" t="n"/>
      <c r="AA200" s="28" t="n"/>
      <c r="AB200" s="28" t="n"/>
      <c r="AC200" s="30" t="n"/>
      <c r="AD200" s="24" t="n"/>
      <c r="AE200" s="31" t="inlineStr">
        <is>
          <t>Surface-blended Elo on Hard: Maya Joint p=0.202 vs Sorana Cirstea. Executable ask 0.7700 (aec-wta-sorcir-mayjoi-2026-08-04).</t>
        </is>
      </c>
      <c r="AF200" s="31" t="inlineStr">
        <is>
          <t>Surface-blended Elo model; singles only, WTA+ATP market coverage, not yet locked-holdout qualified -- promoted by explicit operator directive, not genuine walk-forward validation.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NO_CALL_LOW_EDGE</t>
        </is>
      </c>
      <c r="AP200" s="24" t="inlineStr">
        <is>
          <t>Maya Joint</t>
        </is>
      </c>
      <c r="AQ200" s="24" t="inlineStr">
        <is>
          <t>Maya Joint</t>
        </is>
      </c>
      <c r="AR200" s="24" t="inlineStr">
        <is>
          <t>Maya Joint</t>
        </is>
      </c>
      <c r="AS200" s="24" t="inlineStr">
        <is>
          <t>Sorana Cirstea</t>
        </is>
      </c>
      <c r="AT200" s="24" t="inlineStr">
        <is>
          <t>Sorana Cirstea</t>
        </is>
      </c>
      <c r="AU200" s="24" t="inlineStr">
        <is>
          <t>Sorana Cirstea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3ab056fefe04713e3c294da76c8adb2866b0dc46556ed32322a0426dd344a0e4</t>
        </is>
      </c>
      <c r="BB200" s="24" t="inlineStr">
        <is>
          <t>surface_blended_elo</t>
        </is>
      </c>
      <c r="BC200" s="24" t="inlineStr">
        <is>
          <t>tennis-surface-elo-v1</t>
        </is>
      </c>
      <c r="BD200" s="24" t="inlineStr">
        <is>
          <t>3ab056fefe04713e3c294da76c8adb2866b0dc46556ed32322a0426dd344a0e4</t>
        </is>
      </c>
      <c r="BE200" s="24" t="inlineStr">
        <is>
          <t>tennis-surface-elo-v1</t>
        </is>
      </c>
      <c r="BF200" s="24" t="inlineStr">
        <is>
          <t>1</t>
        </is>
      </c>
      <c r="BG200" s="24" t="inlineStr">
        <is>
          <t>3ab056fefe04713e3c294da76c8adb2866b0dc46556ed32322a0426dd344a0e4</t>
        </is>
      </c>
      <c r="BH200" s="24" t="inlineStr">
        <is>
          <t>2026-08-05T04:34:19.844141Z</t>
        </is>
      </c>
      <c r="BI200" s="24" t="inlineStr">
        <is>
          <t>["same_event","same_team_same_day","same_league_same_day"]</t>
        </is>
      </c>
      <c r="BJ200" s="25" t="n"/>
      <c r="BK200" s="26" t="n">
        <v>-335</v>
      </c>
      <c r="BL200" s="27" t="n">
        <v>1.298507</v>
      </c>
      <c r="BM200" s="28" t="n">
        <v>0.770115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</row>
    <row r="201" ht="36" customHeight="1">
      <c r="A201" s="24" t="inlineStr">
        <is>
          <t>7f3d0080f41e4f2e</t>
        </is>
      </c>
      <c r="B201" s="24" t="inlineStr">
        <is>
          <t>2026-08-05T04:36:19.625619Z</t>
        </is>
      </c>
      <c r="C201" s="24" t="inlineStr">
        <is>
          <t>2026-08-05T21:00Z</t>
        </is>
      </c>
      <c r="D201" s="24" t="inlineStr">
        <is>
          <t>421-2026:182214</t>
        </is>
      </c>
      <c r="E201" s="24" t="inlineStr">
        <is>
          <t>TENNIS</t>
        </is>
      </c>
      <c r="F201" s="24" t="inlineStr">
        <is>
          <t>Barbora Krejcikova</t>
        </is>
      </c>
      <c r="G201" s="24" t="inlineStr">
        <is>
          <t>Liudmila Samsonova</t>
        </is>
      </c>
      <c r="H201" s="24" t="inlineStr">
        <is>
          <t>moneyline</t>
        </is>
      </c>
      <c r="I201" s="24" t="inlineStr">
        <is>
          <t>away</t>
        </is>
      </c>
      <c r="J201" s="25" t="n"/>
      <c r="K201" s="24" t="inlineStr">
        <is>
          <t>polymarket_us</t>
        </is>
      </c>
      <c r="L201" s="26" t="n">
        <v>-178</v>
      </c>
      <c r="M201" s="27" t="n">
        <v>1.561798</v>
      </c>
      <c r="N201" s="28" t="n">
        <v>0.640288</v>
      </c>
      <c r="O201" s="28" t="n">
        <v>0.733479</v>
      </c>
      <c r="P201" s="28" t="n">
        <v>0.05</v>
      </c>
      <c r="Q201" s="28" t="n">
        <v>0.093191</v>
      </c>
      <c r="R201" s="26" t="n">
        <v>67</v>
      </c>
      <c r="S201" s="29" t="n">
        <v>2</v>
      </c>
      <c r="T201" s="24" t="inlineStr">
        <is>
          <t>tennis-surface-elo-v1</t>
        </is>
      </c>
      <c r="U201" s="24" t="inlineStr">
        <is>
          <t>open</t>
        </is>
      </c>
      <c r="V201" s="24" t="n"/>
      <c r="W201" s="26" t="n"/>
      <c r="X201" s="26" t="n"/>
      <c r="Y201" s="25" t="n"/>
      <c r="Z201" s="26" t="n"/>
      <c r="AA201" s="28" t="n"/>
      <c r="AB201" s="28" t="n"/>
      <c r="AC201" s="30" t="n"/>
      <c r="AD201" s="24" t="n"/>
      <c r="AE201" s="31" t="inlineStr">
        <is>
          <t>Surface-blended Elo on Hard: Barbora Krejcikova p=0.733 vs Liudmila Samsonova. Executable ask 0.6400 (aec-wta-liusam-barkre-2026-08-06).</t>
        </is>
      </c>
      <c r="AF201" s="31" t="inlineStr">
        <is>
          <t>Surface-blended Elo model; singles only, WTA+ATP market coverage, not yet locked-holdout qualified -- promoted by explicit operator directive, not genuine walk-forward validation.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Barbora Krejcikova</t>
        </is>
      </c>
      <c r="AQ201" s="24" t="inlineStr">
        <is>
          <t>Barbora Krejcikova</t>
        </is>
      </c>
      <c r="AR201" s="24" t="inlineStr">
        <is>
          <t>Barbora Krejcikova</t>
        </is>
      </c>
      <c r="AS201" s="24" t="inlineStr">
        <is>
          <t>Liudmila Samsonova</t>
        </is>
      </c>
      <c r="AT201" s="24" t="inlineStr">
        <is>
          <t>Liudmila Samsonova</t>
        </is>
      </c>
      <c r="AU201" s="24" t="inlineStr">
        <is>
          <t>Liudmila Samsonova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3ab056fefe04713e3c294da76c8adb2866b0dc46556ed32322a0426dd344a0e4</t>
        </is>
      </c>
      <c r="BB201" s="24" t="inlineStr">
        <is>
          <t>surface_blended_elo</t>
        </is>
      </c>
      <c r="BC201" s="24" t="inlineStr">
        <is>
          <t>tennis-surface-elo-v1</t>
        </is>
      </c>
      <c r="BD201" s="24" t="inlineStr">
        <is>
          <t>3ab056fefe04713e3c294da76c8adb2866b0dc46556ed32322a0426dd344a0e4</t>
        </is>
      </c>
      <c r="BE201" s="24" t="inlineStr">
        <is>
          <t>tennis-surface-elo-v1</t>
        </is>
      </c>
      <c r="BF201" s="24" t="inlineStr">
        <is>
          <t>1</t>
        </is>
      </c>
      <c r="BG201" s="24" t="inlineStr">
        <is>
          <t>3ab056fefe04713e3c294da76c8adb2866b0dc46556ed32322a0426dd344a0e4</t>
        </is>
      </c>
      <c r="BH201" s="24" t="inlineStr">
        <is>
          <t>2026-08-05T04:34:19.786889Z</t>
        </is>
      </c>
      <c r="BI201" s="24" t="inlineStr">
        <is>
          <t>["same_event","same_team_same_day","same_league_same_day"]</t>
        </is>
      </c>
      <c r="BJ201" s="25" t="n"/>
      <c r="BK201" s="26" t="n">
        <v>-178</v>
      </c>
      <c r="BL201" s="27" t="n">
        <v>1.561798</v>
      </c>
      <c r="BM201" s="28" t="n">
        <v>0.640288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</row>
    <row r="202" ht="36" customHeight="1">
      <c r="A202" s="24" t="inlineStr">
        <is>
          <t>63d353c4612d4d70</t>
        </is>
      </c>
      <c r="B202" s="24" t="inlineStr">
        <is>
          <t>2026-08-05T04:36:19.625619Z</t>
        </is>
      </c>
      <c r="C202" s="24" t="inlineStr">
        <is>
          <t>2026-08-05T23:00Z</t>
        </is>
      </c>
      <c r="D202" s="24" t="inlineStr">
        <is>
          <t>421-2026:182170</t>
        </is>
      </c>
      <c r="E202" s="24" t="inlineStr">
        <is>
          <t>TENNIS</t>
        </is>
      </c>
      <c r="F202" s="24" t="inlineStr">
        <is>
          <t>Leylah Fernandez</t>
        </is>
      </c>
      <c r="G202" s="24" t="inlineStr">
        <is>
          <t>Renata Zarazua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polymarket_us</t>
        </is>
      </c>
      <c r="L202" s="26" t="n">
        <v>-233</v>
      </c>
      <c r="M202" s="27" t="n">
        <v>1.429185</v>
      </c>
      <c r="N202" s="28" t="n">
        <v>0.6997</v>
      </c>
      <c r="O202" s="28" t="n">
        <v>0.686095</v>
      </c>
      <c r="P202" s="28" t="n">
        <v>0.05</v>
      </c>
      <c r="Q202" s="28" t="n">
        <v>-0.013605</v>
      </c>
      <c r="R202" s="26" t="n">
        <v>13</v>
      </c>
      <c r="S202" s="29" t="n">
        <v>2</v>
      </c>
      <c r="T202" s="24" t="inlineStr">
        <is>
          <t>tennis-surface-elo-v1</t>
        </is>
      </c>
      <c r="U202" s="24" t="inlineStr">
        <is>
          <t>open</t>
        </is>
      </c>
      <c r="V202" s="24" t="n"/>
      <c r="W202" s="26" t="n"/>
      <c r="X202" s="26" t="n"/>
      <c r="Y202" s="25" t="n"/>
      <c r="Z202" s="26" t="n"/>
      <c r="AA202" s="28" t="n"/>
      <c r="AB202" s="28" t="n"/>
      <c r="AC202" s="30" t="n"/>
      <c r="AD202" s="24" t="n"/>
      <c r="AE202" s="31" t="inlineStr">
        <is>
          <t>Surface-blended Elo on Hard: Leylah Fernandez p=0.686 vs Renata Zarazua. Executable ask 0.7000 (aec-wta-renzar-leyfer-2026-08-05).</t>
        </is>
      </c>
      <c r="AF202" s="31" t="inlineStr">
        <is>
          <t>Surface-blended Elo model; singles only, WTA+ATP market coverage, not yet locked-holdout qualified -- promoted by explicit operator directive, not genuine walk-forward validation.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NO_CALL_LOW_EDGE</t>
        </is>
      </c>
      <c r="AP202" s="24" t="inlineStr">
        <is>
          <t>Leylah Fernandez</t>
        </is>
      </c>
      <c r="AQ202" s="24" t="inlineStr">
        <is>
          <t>Leylah Fernandez</t>
        </is>
      </c>
      <c r="AR202" s="24" t="inlineStr">
        <is>
          <t>Leylah Fernandez</t>
        </is>
      </c>
      <c r="AS202" s="24" t="inlineStr">
        <is>
          <t>Renata Zarazua</t>
        </is>
      </c>
      <c r="AT202" s="24" t="inlineStr">
        <is>
          <t>Renata Zarazua</t>
        </is>
      </c>
      <c r="AU202" s="24" t="inlineStr">
        <is>
          <t>Renata Zarazua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3ab056fefe04713e3c294da76c8adb2866b0dc46556ed32322a0426dd344a0e4</t>
        </is>
      </c>
      <c r="BB202" s="24" t="inlineStr">
        <is>
          <t>surface_blended_elo</t>
        </is>
      </c>
      <c r="BC202" s="24" t="inlineStr">
        <is>
          <t>tennis-surface-elo-v1</t>
        </is>
      </c>
      <c r="BD202" s="24" t="inlineStr">
        <is>
          <t>3ab056fefe04713e3c294da76c8adb2866b0dc46556ed32322a0426dd344a0e4</t>
        </is>
      </c>
      <c r="BE202" s="24" t="inlineStr">
        <is>
          <t>tennis-surface-elo-v1</t>
        </is>
      </c>
      <c r="BF202" s="24" t="inlineStr">
        <is>
          <t>1</t>
        </is>
      </c>
      <c r="BG202" s="24" t="inlineStr">
        <is>
          <t>3ab056fefe04713e3c294da76c8adb2866b0dc46556ed32322a0426dd344a0e4</t>
        </is>
      </c>
      <c r="BH202" s="24" t="inlineStr">
        <is>
          <t>2026-08-05T04:34:22.562389Z</t>
        </is>
      </c>
      <c r="BI202" s="24" t="inlineStr">
        <is>
          <t>["same_event","same_team_same_day","same_league_same_day"]</t>
        </is>
      </c>
      <c r="BJ202" s="25" t="n"/>
      <c r="BK202" s="26" t="n">
        <v>-233</v>
      </c>
      <c r="BL202" s="27" t="n">
        <v>1.429185</v>
      </c>
      <c r="BM202" s="28" t="n">
        <v>0.6997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False</t>
        </is>
      </c>
    </row>
    <row r="203" ht="36" customHeight="1">
      <c r="A203" s="24" t="inlineStr">
        <is>
          <t>b30671fb831e4c0d</t>
        </is>
      </c>
      <c r="B203" s="24" t="inlineStr">
        <is>
          <t>2026-08-05T04:36:19.625619Z</t>
        </is>
      </c>
      <c r="C203" s="24" t="inlineStr">
        <is>
          <t>2026-08-06T00:30Z</t>
        </is>
      </c>
      <c r="D203" s="24" t="inlineStr">
        <is>
          <t>421-2026:182216</t>
        </is>
      </c>
      <c r="E203" s="24" t="inlineStr">
        <is>
          <t>TENNIS</t>
        </is>
      </c>
      <c r="F203" s="24" t="inlineStr">
        <is>
          <t>Alexandra Eala</t>
        </is>
      </c>
      <c r="G203" s="24" t="inlineStr">
        <is>
          <t>Alycia Parks</t>
        </is>
      </c>
      <c r="H203" s="24" t="inlineStr">
        <is>
          <t>moneyline</t>
        </is>
      </c>
      <c r="I203" s="24" t="inlineStr">
        <is>
          <t>away</t>
        </is>
      </c>
      <c r="J203" s="25" t="n"/>
      <c r="K203" s="24" t="inlineStr">
        <is>
          <t>polymarket_us</t>
        </is>
      </c>
      <c r="L203" s="26" t="n">
        <v>-567</v>
      </c>
      <c r="M203" s="27" t="n">
        <v>1.176367</v>
      </c>
      <c r="N203" s="28" t="n">
        <v>0.850075</v>
      </c>
      <c r="O203" s="28" t="n">
        <v>0.699863</v>
      </c>
      <c r="P203" s="28" t="n">
        <v>0.05</v>
      </c>
      <c r="Q203" s="28" t="n">
        <v>-0.150212</v>
      </c>
      <c r="R203" s="26" t="n">
        <v>0</v>
      </c>
      <c r="S203" s="29" t="n">
        <v>2</v>
      </c>
      <c r="T203" s="24" t="inlineStr">
        <is>
          <t>tennis-surface-elo-v1</t>
        </is>
      </c>
      <c r="U203" s="24" t="inlineStr">
        <is>
          <t>open</t>
        </is>
      </c>
      <c r="V203" s="24" t="n"/>
      <c r="W203" s="26" t="n"/>
      <c r="X203" s="26" t="n"/>
      <c r="Y203" s="25" t="n"/>
      <c r="Z203" s="26" t="n"/>
      <c r="AA203" s="28" t="n"/>
      <c r="AB203" s="28" t="n"/>
      <c r="AC203" s="30" t="n"/>
      <c r="AD203" s="24" t="n"/>
      <c r="AE203" s="31" t="inlineStr">
        <is>
          <t>Surface-blended Elo on Hard: Alexandra Eala p=0.700 vs Alycia Parks. Executable ask 0.8500 (aec-wta-alypar-aleeal-2026-08-04).</t>
        </is>
      </c>
      <c r="AF203" s="31" t="inlineStr">
        <is>
          <t>Surface-blended Elo model; singles only, WTA+ATP market coverage, not yet locked-holdout qualified -- promoted by explicit operator directive, not genuine walk-forward validation.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research_observation</t>
        </is>
      </c>
      <c r="AL203" s="26" t="n">
        <v>3</v>
      </c>
      <c r="AM203" s="24" t="inlineStr">
        <is>
          <t>RESEARCH_OBSERVATION</t>
        </is>
      </c>
      <c r="AN203" s="24" t="inlineStr">
        <is>
          <t>NO_CALL</t>
        </is>
      </c>
      <c r="AO203" s="24" t="inlineStr">
        <is>
          <t>NO_CALL_LOW_EDGE</t>
        </is>
      </c>
      <c r="AP203" s="24" t="inlineStr">
        <is>
          <t>Alexandra Eala</t>
        </is>
      </c>
      <c r="AQ203" s="24" t="inlineStr">
        <is>
          <t>Alexandra Eala</t>
        </is>
      </c>
      <c r="AR203" s="24" t="inlineStr">
        <is>
          <t>Alexandra Eala</t>
        </is>
      </c>
      <c r="AS203" s="24" t="inlineStr">
        <is>
          <t>Alycia Parks</t>
        </is>
      </c>
      <c r="AT203" s="24" t="inlineStr">
        <is>
          <t>Alycia Parks</t>
        </is>
      </c>
      <c r="AU203" s="24" t="inlineStr">
        <is>
          <t>Alycia Parks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3ab056fefe04713e3c294da76c8adb2866b0dc46556ed32322a0426dd344a0e4</t>
        </is>
      </c>
      <c r="BB203" s="24" t="inlineStr">
        <is>
          <t>surface_blended_elo</t>
        </is>
      </c>
      <c r="BC203" s="24" t="inlineStr">
        <is>
          <t>tennis-surface-elo-v1</t>
        </is>
      </c>
      <c r="BD203" s="24" t="inlineStr">
        <is>
          <t>3ab056fefe04713e3c294da76c8adb2866b0dc46556ed32322a0426dd344a0e4</t>
        </is>
      </c>
      <c r="BE203" s="24" t="inlineStr">
        <is>
          <t>tennis-surface-elo-v1</t>
        </is>
      </c>
      <c r="BF203" s="24" t="inlineStr">
        <is>
          <t>1</t>
        </is>
      </c>
      <c r="BG203" s="24" t="inlineStr">
        <is>
          <t>3ab056fefe04713e3c294da76c8adb2866b0dc46556ed32322a0426dd344a0e4</t>
        </is>
      </c>
      <c r="BH203" s="24" t="inlineStr">
        <is>
          <t>2026-08-05T04:34:22.894133Z</t>
        </is>
      </c>
      <c r="BI203" s="24" t="inlineStr">
        <is>
          <t>["same_event","same_team_same_day","same_league_same_day"]</t>
        </is>
      </c>
      <c r="BJ203" s="25" t="n"/>
      <c r="BK203" s="26" t="n">
        <v>-567</v>
      </c>
      <c r="BL203" s="27" t="n">
        <v>1.176367</v>
      </c>
      <c r="BM203" s="28" t="n">
        <v>0.850075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</row>
    <row r="204" ht="36" customHeight="1">
      <c r="A204" s="24" t="inlineStr">
        <is>
          <t>639381b79e134a1a</t>
        </is>
      </c>
      <c r="B204" s="24" t="inlineStr">
        <is>
          <t>2026-08-05T04:36:19.625619Z</t>
        </is>
      </c>
      <c r="C204" s="24" t="inlineStr">
        <is>
          <t>2026-08-05T09:00Z</t>
        </is>
      </c>
      <c r="D204" s="24" t="inlineStr">
        <is>
          <t>961-2026:182103</t>
        </is>
      </c>
      <c r="E204" s="24" t="inlineStr">
        <is>
          <t>TENNIS</t>
        </is>
      </c>
      <c r="F204" s="24" t="inlineStr">
        <is>
          <t>Justina Mikulskyte</t>
        </is>
      </c>
      <c r="G204" s="24" t="inlineStr">
        <is>
          <t>Katarzyna Kawa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-317</v>
      </c>
      <c r="M204" s="27" t="n">
        <v>1.315457</v>
      </c>
      <c r="N204" s="28" t="n">
        <v>0.760192</v>
      </c>
      <c r="O204" s="28" t="n">
        <v>0.782547</v>
      </c>
      <c r="P204" s="28" t="n">
        <v>0.05</v>
      </c>
      <c r="Q204" s="28" t="n">
        <v>0.022355</v>
      </c>
      <c r="R204" s="26" t="n">
        <v>31</v>
      </c>
      <c r="S204" s="29" t="n">
        <v>2</v>
      </c>
      <c r="T204" s="24" t="inlineStr">
        <is>
          <t>tennis-surface-elo-v1</t>
        </is>
      </c>
      <c r="U204" s="24" t="inlineStr">
        <is>
          <t>open</t>
        </is>
      </c>
      <c r="V204" s="24" t="n"/>
      <c r="W204" s="26" t="n"/>
      <c r="X204" s="26" t="n"/>
      <c r="Y204" s="25" t="n"/>
      <c r="Z204" s="26" t="n"/>
      <c r="AA204" s="28" t="n"/>
      <c r="AB204" s="28" t="n"/>
      <c r="AC204" s="30" t="n"/>
      <c r="AD204" s="24" t="n"/>
      <c r="AE204" s="31" t="inlineStr">
        <is>
          <t>Surface-blended Elo on Hard: Justina Mikulskyte p=0.217 vs Katarzyna Kawa. Executable ask 0.7600 (aec-wta-katkaw-jusmik-2026-08-05).</t>
        </is>
      </c>
      <c r="AF204" s="31" t="inlineStr">
        <is>
          <t>Surface-blended Elo model; singles only, WTA+ATP market coverage, not yet locked-holdout qualified -- promoted by explicit operator directive, not genuine walk-forward validation.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research_observation</t>
        </is>
      </c>
      <c r="AL204" s="26" t="n">
        <v>3</v>
      </c>
      <c r="AM204" s="24" t="inlineStr">
        <is>
          <t>RESEARCH_OBSERVATION</t>
        </is>
      </c>
      <c r="AN204" s="24" t="inlineStr">
        <is>
          <t>NO_CALL</t>
        </is>
      </c>
      <c r="AO204" s="24" t="inlineStr">
        <is>
          <t>NO_CALL_LOW_EDGE</t>
        </is>
      </c>
      <c r="AP204" s="24" t="inlineStr">
        <is>
          <t>Justina Mikulskyte</t>
        </is>
      </c>
      <c r="AQ204" s="24" t="inlineStr">
        <is>
          <t>Justina Mikulskyte</t>
        </is>
      </c>
      <c r="AR204" s="24" t="inlineStr">
        <is>
          <t>Justina Mikulskyte</t>
        </is>
      </c>
      <c r="AS204" s="24" t="inlineStr">
        <is>
          <t>Katarzyna Kawa</t>
        </is>
      </c>
      <c r="AT204" s="24" t="inlineStr">
        <is>
          <t>Katarzyna Kawa</t>
        </is>
      </c>
      <c r="AU204" s="24" t="inlineStr">
        <is>
          <t>Katarzyna Kawa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3ab056fefe04713e3c294da76c8adb2866b0dc46556ed32322a0426dd344a0e4</t>
        </is>
      </c>
      <c r="BB204" s="24" t="inlineStr">
        <is>
          <t>surface_blended_elo</t>
        </is>
      </c>
      <c r="BC204" s="24" t="inlineStr">
        <is>
          <t>tennis-surface-elo-v1</t>
        </is>
      </c>
      <c r="BD204" s="24" t="inlineStr">
        <is>
          <t>3ab056fefe04713e3c294da76c8adb2866b0dc46556ed32322a0426dd344a0e4</t>
        </is>
      </c>
      <c r="BE204" s="24" t="inlineStr">
        <is>
          <t>tennis-surface-elo-v1</t>
        </is>
      </c>
      <c r="BF204" s="24" t="inlineStr">
        <is>
          <t>1</t>
        </is>
      </c>
      <c r="BG204" s="24" t="inlineStr">
        <is>
          <t>3ab056fefe04713e3c294da76c8adb2866b0dc46556ed32322a0426dd344a0e4</t>
        </is>
      </c>
      <c r="BH204" s="24" t="inlineStr">
        <is>
          <t>2026-08-05T04:34:10.082069Z</t>
        </is>
      </c>
      <c r="BI204" s="24" t="inlineStr">
        <is>
          <t>["same_event","same_team_same_day","same_league_same_day"]</t>
        </is>
      </c>
      <c r="BJ204" s="25" t="n"/>
      <c r="BK204" s="26" t="n">
        <v>-317</v>
      </c>
      <c r="BL204" s="27" t="n">
        <v>1.315457</v>
      </c>
      <c r="BM204" s="28" t="n">
        <v>0.760192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</row>
    <row r="205" ht="36" customHeight="1">
      <c r="A205" s="24" t="inlineStr">
        <is>
          <t>0428483b2fae4598</t>
        </is>
      </c>
      <c r="B205" s="24" t="inlineStr">
        <is>
          <t>2026-08-05T04:36:19.625619Z</t>
        </is>
      </c>
      <c r="C205" s="24" t="inlineStr">
        <is>
          <t>2026-08-05T09:00Z</t>
        </is>
      </c>
      <c r="D205" s="24" t="inlineStr">
        <is>
          <t>961-2026:182104</t>
        </is>
      </c>
      <c r="E205" s="24" t="inlineStr">
        <is>
          <t>TENNIS</t>
        </is>
      </c>
      <c r="F205" s="24" t="inlineStr">
        <is>
          <t>Aliona Falei</t>
        </is>
      </c>
      <c r="G205" s="24" t="inlineStr">
        <is>
          <t>Carol Young Suh Lee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-156</v>
      </c>
      <c r="M205" s="27" t="n">
        <v>1.641026</v>
      </c>
      <c r="N205" s="28" t="n">
        <v>0.609375</v>
      </c>
      <c r="O205" s="28" t="n">
        <v>0.589246</v>
      </c>
      <c r="P205" s="28" t="n">
        <v>0.05</v>
      </c>
      <c r="Q205" s="28" t="n">
        <v>-0.020129</v>
      </c>
      <c r="R205" s="26" t="n">
        <v>10</v>
      </c>
      <c r="S205" s="29" t="n">
        <v>1.25</v>
      </c>
      <c r="T205" s="24" t="inlineStr">
        <is>
          <t>tennis-surface-elo-v1</t>
        </is>
      </c>
      <c r="U205" s="24" t="inlineStr">
        <is>
          <t>open</t>
        </is>
      </c>
      <c r="V205" s="24" t="n"/>
      <c r="W205" s="26" t="n"/>
      <c r="X205" s="26" t="n"/>
      <c r="Y205" s="25" t="n"/>
      <c r="Z205" s="26" t="n"/>
      <c r="AA205" s="28" t="n"/>
      <c r="AB205" s="28" t="n"/>
      <c r="AC205" s="30" t="n"/>
      <c r="AD205" s="24" t="n"/>
      <c r="AE205" s="31" t="inlineStr">
        <is>
          <t>Surface-blended Elo on Hard: Aliona Falei p=0.411 vs Carol Young Suh Lee. Executable ask 0.6100 (aec-wta-carlee-alifal-2026-08-05).</t>
        </is>
      </c>
      <c r="AF205" s="31" t="inlineStr">
        <is>
          <t>Surface-blended Elo model; singles only, WTA+ATP market coverage, not yet locked-holdout qualified -- promoted by explicit operator directive, not genuine walk-forward validation.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research_observation</t>
        </is>
      </c>
      <c r="AL205" s="26" t="n">
        <v>3</v>
      </c>
      <c r="AM205" s="24" t="inlineStr">
        <is>
          <t>RESEARCH_OBSERVATION</t>
        </is>
      </c>
      <c r="AN205" s="24" t="inlineStr">
        <is>
          <t>NO_CALL</t>
        </is>
      </c>
      <c r="AO205" s="24" t="inlineStr">
        <is>
          <t>NO_CALL_LOW_EDGE</t>
        </is>
      </c>
      <c r="AP205" s="24" t="inlineStr">
        <is>
          <t>Aliona Falei</t>
        </is>
      </c>
      <c r="AQ205" s="24" t="inlineStr">
        <is>
          <t>Aliona Falei</t>
        </is>
      </c>
      <c r="AR205" s="24" t="inlineStr">
        <is>
          <t>Aliona Falei</t>
        </is>
      </c>
      <c r="AS205" s="24" t="inlineStr">
        <is>
          <t>Carol Young Suh Lee</t>
        </is>
      </c>
      <c r="AT205" s="24" t="inlineStr">
        <is>
          <t>Carol Young Suh Lee</t>
        </is>
      </c>
      <c r="AU205" s="24" t="inlineStr">
        <is>
          <t>Carol Young Suh Lee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3ab056fefe04713e3c294da76c8adb2866b0dc46556ed32322a0426dd344a0e4</t>
        </is>
      </c>
      <c r="BB205" s="24" t="inlineStr">
        <is>
          <t>surface_blended_elo</t>
        </is>
      </c>
      <c r="BC205" s="24" t="inlineStr">
        <is>
          <t>tennis-surface-elo-v1</t>
        </is>
      </c>
      <c r="BD205" s="24" t="inlineStr">
        <is>
          <t>3ab056fefe04713e3c294da76c8adb2866b0dc46556ed32322a0426dd344a0e4</t>
        </is>
      </c>
      <c r="BE205" s="24" t="inlineStr">
        <is>
          <t>tennis-surface-elo-v1</t>
        </is>
      </c>
      <c r="BF205" s="24" t="inlineStr">
        <is>
          <t>1</t>
        </is>
      </c>
      <c r="BG205" s="24" t="inlineStr">
        <is>
          <t>3ab056fefe04713e3c294da76c8adb2866b0dc46556ed32322a0426dd344a0e4</t>
        </is>
      </c>
      <c r="BH205" s="24" t="inlineStr">
        <is>
          <t>2026-08-05T04:34:10.066030Z</t>
        </is>
      </c>
      <c r="BI205" s="24" t="inlineStr">
        <is>
          <t>["same_event","same_team_same_day","same_league_same_day"]</t>
        </is>
      </c>
      <c r="BJ205" s="25" t="n"/>
      <c r="BK205" s="26" t="n">
        <v>-156</v>
      </c>
      <c r="BL205" s="27" t="n">
        <v>1.641026</v>
      </c>
      <c r="BM205" s="28" t="n">
        <v>0.609375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</row>
    <row r="206" ht="36" customHeight="1">
      <c r="A206" s="24" t="inlineStr">
        <is>
          <t>db3e3391389e499e</t>
        </is>
      </c>
      <c r="B206" s="24" t="inlineStr">
        <is>
          <t>2026-08-05T04:36:19.625619Z</t>
        </is>
      </c>
      <c r="C206" s="24" t="inlineStr">
        <is>
          <t>2026-08-05T10:30Z</t>
        </is>
      </c>
      <c r="D206" s="24" t="inlineStr">
        <is>
          <t>961-2026:182101</t>
        </is>
      </c>
      <c r="E206" s="24" t="inlineStr">
        <is>
          <t>TENNIS</t>
        </is>
      </c>
      <c r="F206" s="24" t="inlineStr">
        <is>
          <t>Ella Seidel</t>
        </is>
      </c>
      <c r="G206" s="24" t="inlineStr">
        <is>
          <t>Gabriela Knutson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186</v>
      </c>
      <c r="M206" s="27" t="n">
        <v>2.86</v>
      </c>
      <c r="N206" s="28" t="n">
        <v>0.34965</v>
      </c>
      <c r="O206" s="28" t="n">
        <v>0.518196</v>
      </c>
      <c r="P206" s="28" t="n">
        <v>0.05</v>
      </c>
      <c r="Q206" s="28" t="n">
        <v>0.168546</v>
      </c>
      <c r="R206" s="26" t="n">
        <v>100</v>
      </c>
      <c r="S206" s="29" t="n">
        <v>1</v>
      </c>
      <c r="T206" s="24" t="inlineStr">
        <is>
          <t>tennis-surface-elo-v1</t>
        </is>
      </c>
      <c r="U206" s="24" t="inlineStr">
        <is>
          <t>open</t>
        </is>
      </c>
      <c r="V206" s="24" t="n"/>
      <c r="W206" s="26" t="n"/>
      <c r="X206" s="26" t="n"/>
      <c r="Y206" s="25" t="n"/>
      <c r="Z206" s="26" t="n"/>
      <c r="AA206" s="28" t="n"/>
      <c r="AB206" s="28" t="n"/>
      <c r="AC206" s="30" t="n"/>
      <c r="AD206" s="24" t="n"/>
      <c r="AE206" s="31" t="inlineStr">
        <is>
          <t>Surface-blended Elo on Hard: Ella Seidel p=0.482 vs Gabriela Knutson. Executable ask 0.3500 (aec-wta-gabknu-ellsei-2026-08-05).</t>
        </is>
      </c>
      <c r="AF206" s="31" t="inlineStr">
        <is>
          <t>Surface-blended Elo model; singles only, WTA+ATP market coverage, not yet locked-holdout qualified -- promoted by explicit operator directive, not genuine walk-forward validation.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research_observation</t>
        </is>
      </c>
      <c r="AL206" s="26" t="n">
        <v>3</v>
      </c>
      <c r="AM206" s="24" t="inlineStr">
        <is>
          <t>RESEARCH_OBSERVATION</t>
        </is>
      </c>
      <c r="AN206" s="24" t="inlineStr">
        <is>
          <t>NO_CALL</t>
        </is>
      </c>
      <c r="AO206" s="24" t="inlineStr">
        <is>
          <t>NO_CALL_LOW_EDGE</t>
        </is>
      </c>
      <c r="AP206" s="24" t="inlineStr">
        <is>
          <t>Ella Seidel</t>
        </is>
      </c>
      <c r="AQ206" s="24" t="inlineStr">
        <is>
          <t>Ella Seidel</t>
        </is>
      </c>
      <c r="AR206" s="24" t="inlineStr">
        <is>
          <t>Ella Seidel</t>
        </is>
      </c>
      <c r="AS206" s="24" t="inlineStr">
        <is>
          <t>Gabriela Knutson</t>
        </is>
      </c>
      <c r="AT206" s="24" t="inlineStr">
        <is>
          <t>Gabriela Knutson</t>
        </is>
      </c>
      <c r="AU206" s="24" t="inlineStr">
        <is>
          <t>Gabriela Knutson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3ab056fefe04713e3c294da76c8adb2866b0dc46556ed32322a0426dd344a0e4</t>
        </is>
      </c>
      <c r="BB206" s="24" t="inlineStr">
        <is>
          <t>surface_blended_elo</t>
        </is>
      </c>
      <c r="BC206" s="24" t="inlineStr">
        <is>
          <t>tennis-surface-elo-v1</t>
        </is>
      </c>
      <c r="BD206" s="24" t="inlineStr">
        <is>
          <t>3ab056fefe04713e3c294da76c8adb2866b0dc46556ed32322a0426dd344a0e4</t>
        </is>
      </c>
      <c r="BE206" s="24" t="inlineStr">
        <is>
          <t>tennis-surface-elo-v1</t>
        </is>
      </c>
      <c r="BF206" s="24" t="inlineStr">
        <is>
          <t>1</t>
        </is>
      </c>
      <c r="BG206" s="24" t="inlineStr">
        <is>
          <t>3ab056fefe04713e3c294da76c8adb2866b0dc46556ed32322a0426dd344a0e4</t>
        </is>
      </c>
      <c r="BH206" s="24" t="inlineStr">
        <is>
          <t>2026-08-05T04:34:10.124922Z</t>
        </is>
      </c>
      <c r="BI206" s="24" t="inlineStr">
        <is>
          <t>["same_event","same_team_same_day","same_league_same_day"]</t>
        </is>
      </c>
      <c r="BJ206" s="25" t="n"/>
      <c r="BK206" s="26" t="n">
        <v>186</v>
      </c>
      <c r="BL206" s="27" t="n">
        <v>2.86</v>
      </c>
      <c r="BM206" s="28" t="n">
        <v>0.34965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</row>
    <row r="207" ht="36" customHeight="1">
      <c r="A207" s="24" t="inlineStr">
        <is>
          <t>7e97999756334cef</t>
        </is>
      </c>
      <c r="B207" s="24" t="inlineStr">
        <is>
          <t>2026-08-05T04:36:19.625619Z</t>
        </is>
      </c>
      <c r="C207" s="24" t="inlineStr">
        <is>
          <t>2026-08-05T10:30Z</t>
        </is>
      </c>
      <c r="D207" s="24" t="inlineStr">
        <is>
          <t>961-2026:182098</t>
        </is>
      </c>
      <c r="E207" s="24" t="inlineStr">
        <is>
          <t>TENNIS</t>
        </is>
      </c>
      <c r="F207" s="24" t="inlineStr">
        <is>
          <t>Mona Barthel</t>
        </is>
      </c>
      <c r="G207" s="24" t="inlineStr">
        <is>
          <t>Martyna Kubka</t>
        </is>
      </c>
      <c r="H207" s="24" t="inlineStr">
        <is>
          <t>moneyline</t>
        </is>
      </c>
      <c r="I207" s="24" t="inlineStr">
        <is>
          <t>away</t>
        </is>
      </c>
      <c r="J207" s="25" t="n"/>
      <c r="K207" s="24" t="inlineStr">
        <is>
          <t>polymarket_us</t>
        </is>
      </c>
      <c r="L207" s="26" t="n">
        <v>156</v>
      </c>
      <c r="M207" s="27" t="n">
        <v>2.56</v>
      </c>
      <c r="N207" s="28" t="n">
        <v>0.390625</v>
      </c>
      <c r="O207" s="28" t="n">
        <v>0.5849800000000001</v>
      </c>
      <c r="P207" s="28" t="n">
        <v>0.05</v>
      </c>
      <c r="Q207" s="28" t="n">
        <v>0.194355</v>
      </c>
      <c r="R207" s="26" t="n">
        <v>100</v>
      </c>
      <c r="S207" s="29" t="n">
        <v>1.25</v>
      </c>
      <c r="T207" s="24" t="inlineStr">
        <is>
          <t>tennis-surface-elo-v1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Surface-blended Elo on Hard: Mona Barthel p=0.585 vs Martyna Kubka. Executable ask 0.3900 (aec-wta-markub-monbar-2026-08-05).</t>
        </is>
      </c>
      <c r="AF207" s="31" t="inlineStr">
        <is>
          <t>Surface-blended Elo model; singles only, WTA+ATP market coverage, not yet locked-holdout qualified -- promoted by explicit operator directive, not genuine walk-forward validation.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3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Mona Barthel</t>
        </is>
      </c>
      <c r="AQ207" s="24" t="inlineStr">
        <is>
          <t>Mona Barthel</t>
        </is>
      </c>
      <c r="AR207" s="24" t="inlineStr">
        <is>
          <t>Mona Barthel</t>
        </is>
      </c>
      <c r="AS207" s="24" t="inlineStr">
        <is>
          <t>Martyna Kubka</t>
        </is>
      </c>
      <c r="AT207" s="24" t="inlineStr">
        <is>
          <t>Martyna Kubka</t>
        </is>
      </c>
      <c r="AU207" s="24" t="inlineStr">
        <is>
          <t>Martyna Kubka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3ab056fefe04713e3c294da76c8adb2866b0dc46556ed32322a0426dd344a0e4</t>
        </is>
      </c>
      <c r="BB207" s="24" t="inlineStr">
        <is>
          <t>surface_blended_elo</t>
        </is>
      </c>
      <c r="BC207" s="24" t="inlineStr">
        <is>
          <t>tennis-surface-elo-v1</t>
        </is>
      </c>
      <c r="BD207" s="24" t="inlineStr">
        <is>
          <t>3ab056fefe04713e3c294da76c8adb2866b0dc46556ed32322a0426dd344a0e4</t>
        </is>
      </c>
      <c r="BE207" s="24" t="inlineStr">
        <is>
          <t>tennis-surface-elo-v1</t>
        </is>
      </c>
      <c r="BF207" s="24" t="inlineStr">
        <is>
          <t>1</t>
        </is>
      </c>
      <c r="BG207" s="24" t="inlineStr">
        <is>
          <t>3ab056fefe04713e3c294da76c8adb2866b0dc46556ed32322a0426dd344a0e4</t>
        </is>
      </c>
      <c r="BH207" s="24" t="inlineStr">
        <is>
          <t>2026-08-05T04:34:10.279442Z</t>
        </is>
      </c>
      <c r="BI207" s="24" t="inlineStr">
        <is>
          <t>["same_event","same_team_same_day","same_league_same_day"]</t>
        </is>
      </c>
      <c r="BJ207" s="25" t="n"/>
      <c r="BK207" s="26" t="n">
        <v>156</v>
      </c>
      <c r="BL207" s="27" t="n">
        <v>2.56</v>
      </c>
      <c r="BM207" s="28" t="n">
        <v>0.390625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</row>
    <row r="208" ht="36" customHeight="1">
      <c r="A208" s="24" t="inlineStr">
        <is>
          <t>2d3f1b22f36b4ed1</t>
        </is>
      </c>
      <c r="B208" s="24" t="inlineStr">
        <is>
          <t>2026-08-05T04:36:19.625619Z</t>
        </is>
      </c>
      <c r="C208" s="24" t="inlineStr">
        <is>
          <t>2026-08-05T10:30Z</t>
        </is>
      </c>
      <c r="D208" s="24" t="inlineStr">
        <is>
          <t>961-2026:182102</t>
        </is>
      </c>
      <c r="E208" s="24" t="inlineStr">
        <is>
          <t>TENNIS</t>
        </is>
      </c>
      <c r="F208" s="24" t="inlineStr">
        <is>
          <t>Yuan Yue</t>
        </is>
      </c>
      <c r="G208" s="24" t="inlineStr">
        <is>
          <t>Elizara Yaneva</t>
        </is>
      </c>
      <c r="H208" s="24" t="inlineStr">
        <is>
          <t>moneyline</t>
        </is>
      </c>
      <c r="I208" s="24" t="inlineStr">
        <is>
          <t>away</t>
        </is>
      </c>
      <c r="J208" s="25" t="n"/>
      <c r="K208" s="24" t="inlineStr">
        <is>
          <t>polymarket_us</t>
        </is>
      </c>
      <c r="L208" s="26" t="n">
        <v>-144</v>
      </c>
      <c r="M208" s="27" t="n">
        <v>1.694444</v>
      </c>
      <c r="N208" s="28" t="n">
        <v>0.590164</v>
      </c>
      <c r="O208" s="28" t="n">
        <v>0.549241</v>
      </c>
      <c r="P208" s="28" t="n">
        <v>0.05</v>
      </c>
      <c r="Q208" s="28" t="n">
        <v>-0.040923</v>
      </c>
      <c r="R208" s="26" t="n">
        <v>0</v>
      </c>
      <c r="S208" s="29" t="n">
        <v>1</v>
      </c>
      <c r="T208" s="24" t="inlineStr">
        <is>
          <t>tennis-surface-elo-v1</t>
        </is>
      </c>
      <c r="U208" s="24" t="inlineStr">
        <is>
          <t>open</t>
        </is>
      </c>
      <c r="V208" s="24" t="n"/>
      <c r="W208" s="26" t="n"/>
      <c r="X208" s="26" t="n"/>
      <c r="Y208" s="25" t="n"/>
      <c r="Z208" s="26" t="n"/>
      <c r="AA208" s="28" t="n"/>
      <c r="AB208" s="28" t="n"/>
      <c r="AC208" s="30" t="n"/>
      <c r="AD208" s="24" t="n"/>
      <c r="AE208" s="31" t="inlineStr">
        <is>
          <t>Surface-blended Elo on Hard: Yuan Yue p=0.549 vs Elizara Yaneva. Executable ask 0.5900 (aec-wta-eliyan-yueyua-2026-08-05).</t>
        </is>
      </c>
      <c r="AF208" s="31" t="inlineStr">
        <is>
          <t>Surface-blended Elo model; singles only, WTA+ATP market coverage, not yet locked-holdout qualified -- promoted by explicit operator directive, not genuine walk-forward validation.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research_observation</t>
        </is>
      </c>
      <c r="AL208" s="26" t="n">
        <v>3</v>
      </c>
      <c r="AM208" s="24" t="inlineStr">
        <is>
          <t>RESEARCH_OBSERVATION</t>
        </is>
      </c>
      <c r="AN208" s="24" t="inlineStr">
        <is>
          <t>NO_CALL</t>
        </is>
      </c>
      <c r="AO208" s="24" t="inlineStr">
        <is>
          <t>NO_CALL_LOW_EDGE</t>
        </is>
      </c>
      <c r="AP208" s="24" t="inlineStr">
        <is>
          <t>Yuan Yue</t>
        </is>
      </c>
      <c r="AQ208" s="24" t="inlineStr">
        <is>
          <t>Yuan Yue</t>
        </is>
      </c>
      <c r="AR208" s="24" t="inlineStr">
        <is>
          <t>Yuan Yue</t>
        </is>
      </c>
      <c r="AS208" s="24" t="inlineStr">
        <is>
          <t>Elizara Yaneva</t>
        </is>
      </c>
      <c r="AT208" s="24" t="inlineStr">
        <is>
          <t>Elizara Yaneva</t>
        </is>
      </c>
      <c r="AU208" s="24" t="inlineStr">
        <is>
          <t>Elizara Yaneva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3ab056fefe04713e3c294da76c8adb2866b0dc46556ed32322a0426dd344a0e4</t>
        </is>
      </c>
      <c r="BB208" s="24" t="inlineStr">
        <is>
          <t>surface_blended_elo</t>
        </is>
      </c>
      <c r="BC208" s="24" t="inlineStr">
        <is>
          <t>tennis-surface-elo-v1</t>
        </is>
      </c>
      <c r="BD208" s="24" t="inlineStr">
        <is>
          <t>3ab056fefe04713e3c294da76c8adb2866b0dc46556ed32322a0426dd344a0e4</t>
        </is>
      </c>
      <c r="BE208" s="24" t="inlineStr">
        <is>
          <t>tennis-surface-elo-v1</t>
        </is>
      </c>
      <c r="BF208" s="24" t="inlineStr">
        <is>
          <t>1</t>
        </is>
      </c>
      <c r="BG208" s="24" t="inlineStr">
        <is>
          <t>3ab056fefe04713e3c294da76c8adb2866b0dc46556ed32322a0426dd344a0e4</t>
        </is>
      </c>
      <c r="BH208" s="24" t="inlineStr">
        <is>
          <t>2026-08-05T04:34:10.301877Z</t>
        </is>
      </c>
      <c r="BI208" s="24" t="inlineStr">
        <is>
          <t>["same_event","same_team_same_day","same_league_same_day"]</t>
        </is>
      </c>
      <c r="BJ208" s="25" t="n"/>
      <c r="BK208" s="26" t="n">
        <v>-144</v>
      </c>
      <c r="BL208" s="27" t="n">
        <v>1.694444</v>
      </c>
      <c r="BM208" s="28" t="n">
        <v>0.590164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False</t>
        </is>
      </c>
    </row>
    <row r="209" ht="36" customHeight="1">
      <c r="A209" s="24" t="inlineStr">
        <is>
          <t>9c5d8619c74348d8</t>
        </is>
      </c>
      <c r="B209" s="24" t="inlineStr">
        <is>
          <t>2026-08-05T04:36:19.625619Z</t>
        </is>
      </c>
      <c r="C209" s="24" t="inlineStr">
        <is>
          <t>2026-08-05T12:00Z</t>
        </is>
      </c>
      <c r="D209" s="24" t="inlineStr">
        <is>
          <t>961-2026:182099</t>
        </is>
      </c>
      <c r="E209" s="24" t="inlineStr">
        <is>
          <t>TENNIS</t>
        </is>
      </c>
      <c r="F209" s="24" t="inlineStr">
        <is>
          <t>Noma Noha Akugue</t>
        </is>
      </c>
      <c r="G209" s="24" t="inlineStr">
        <is>
          <t>Weronika Falkowska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156</v>
      </c>
      <c r="M209" s="27" t="n">
        <v>2.56</v>
      </c>
      <c r="N209" s="28" t="n">
        <v>0.390625</v>
      </c>
      <c r="O209" s="28" t="n">
        <v>0.513857</v>
      </c>
      <c r="P209" s="28" t="n">
        <v>0.05</v>
      </c>
      <c r="Q209" s="28" t="n">
        <v>0.123232</v>
      </c>
      <c r="R209" s="26" t="n">
        <v>82</v>
      </c>
      <c r="S209" s="29" t="n">
        <v>1</v>
      </c>
      <c r="T209" s="24" t="inlineStr">
        <is>
          <t>tennis-surface-elo-v1</t>
        </is>
      </c>
      <c r="U209" s="24" t="inlineStr">
        <is>
          <t>open</t>
        </is>
      </c>
      <c r="V209" s="24" t="n"/>
      <c r="W209" s="26" t="n"/>
      <c r="X209" s="26" t="n"/>
      <c r="Y209" s="25" t="n"/>
      <c r="Z209" s="26" t="n"/>
      <c r="AA209" s="28" t="n"/>
      <c r="AB209" s="28" t="n"/>
      <c r="AC209" s="30" t="n"/>
      <c r="AD209" s="24" t="n"/>
      <c r="AE209" s="31" t="inlineStr">
        <is>
          <t>Surface-blended Elo on Hard: Noma Noha Akugue p=0.486 vs Weronika Falkowska. Executable ask 0.3900 (aec-wta-werfal-nomaku-2026-08-05).</t>
        </is>
      </c>
      <c r="AF209" s="31" t="inlineStr">
        <is>
          <t>Surface-blended Elo model; singles only, WTA+ATP market coverage, not yet locked-holdout qualified -- promoted by explicit operator directive, not genuine walk-forward validation.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NO_CALL_LOW_EDGE</t>
        </is>
      </c>
      <c r="AP209" s="24" t="inlineStr">
        <is>
          <t>Noma Noha Akugue</t>
        </is>
      </c>
      <c r="AQ209" s="24" t="inlineStr">
        <is>
          <t>Noma Noha Akugue</t>
        </is>
      </c>
      <c r="AR209" s="24" t="inlineStr">
        <is>
          <t>Noma Noha Akugue</t>
        </is>
      </c>
      <c r="AS209" s="24" t="inlineStr">
        <is>
          <t>Weronika Falkowska</t>
        </is>
      </c>
      <c r="AT209" s="24" t="inlineStr">
        <is>
          <t>Weronika Falkowska</t>
        </is>
      </c>
      <c r="AU209" s="24" t="inlineStr">
        <is>
          <t>Weronika Falkowska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3ab056fefe04713e3c294da76c8adb2866b0dc46556ed32322a0426dd344a0e4</t>
        </is>
      </c>
      <c r="BB209" s="24" t="inlineStr">
        <is>
          <t>surface_blended_elo</t>
        </is>
      </c>
      <c r="BC209" s="24" t="inlineStr">
        <is>
          <t>tennis-surface-elo-v1</t>
        </is>
      </c>
      <c r="BD209" s="24" t="inlineStr">
        <is>
          <t>3ab056fefe04713e3c294da76c8adb2866b0dc46556ed32322a0426dd344a0e4</t>
        </is>
      </c>
      <c r="BE209" s="24" t="inlineStr">
        <is>
          <t>tennis-surface-elo-v1</t>
        </is>
      </c>
      <c r="BF209" s="24" t="inlineStr">
        <is>
          <t>1</t>
        </is>
      </c>
      <c r="BG209" s="24" t="inlineStr">
        <is>
          <t>3ab056fefe04713e3c294da76c8adb2866b0dc46556ed32322a0426dd344a0e4</t>
        </is>
      </c>
      <c r="BH209" s="24" t="inlineStr">
        <is>
          <t>2026-08-05T04:34:10.333050Z</t>
        </is>
      </c>
      <c r="BI209" s="24" t="inlineStr">
        <is>
          <t>["same_event","same_team_same_day","same_league_same_day"]</t>
        </is>
      </c>
      <c r="BJ209" s="25" t="n"/>
      <c r="BK209" s="26" t="n">
        <v>156</v>
      </c>
      <c r="BL209" s="27" t="n">
        <v>2.56</v>
      </c>
      <c r="BM209" s="28" t="n">
        <v>0.390625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</row>
    <row r="210" ht="36" customHeight="1">
      <c r="A210" s="24" t="inlineStr">
        <is>
          <t>095453c3a20a441e</t>
        </is>
      </c>
      <c r="B210" s="24" t="inlineStr">
        <is>
          <t>2026-08-05T04:36:19.625619Z</t>
        </is>
      </c>
      <c r="C210" s="24" t="inlineStr">
        <is>
          <t>2026-08-05T12:00Z</t>
        </is>
      </c>
      <c r="D210" s="24" t="inlineStr">
        <is>
          <t>961-2026:182097</t>
        </is>
      </c>
      <c r="E210" s="24" t="inlineStr">
        <is>
          <t>TENNIS</t>
        </is>
      </c>
      <c r="F210" s="24" t="inlineStr">
        <is>
          <t>Veronika Podrez</t>
        </is>
      </c>
      <c r="G210" s="24" t="inlineStr">
        <is>
          <t>Susan Bandecchi</t>
        </is>
      </c>
      <c r="H210" s="24" t="inlineStr">
        <is>
          <t>moneyline</t>
        </is>
      </c>
      <c r="I210" s="24" t="inlineStr">
        <is>
          <t>away</t>
        </is>
      </c>
      <c r="J210" s="25" t="n"/>
      <c r="K210" s="24" t="inlineStr">
        <is>
          <t>polymarket_us</t>
        </is>
      </c>
      <c r="L210" s="26" t="n">
        <v>-108</v>
      </c>
      <c r="M210" s="27" t="n">
        <v>1.925926</v>
      </c>
      <c r="N210" s="28" t="n">
        <v>0.519231</v>
      </c>
      <c r="O210" s="28" t="n">
        <v>0.684504</v>
      </c>
      <c r="P210" s="28" t="n">
        <v>0.05</v>
      </c>
      <c r="Q210" s="28" t="n">
        <v>0.165273</v>
      </c>
      <c r="R210" s="26" t="n">
        <v>100</v>
      </c>
      <c r="S210" s="29" t="n">
        <v>2</v>
      </c>
      <c r="T210" s="24" t="inlineStr">
        <is>
          <t>tennis-surface-elo-v1</t>
        </is>
      </c>
      <c r="U210" s="24" t="inlineStr">
        <is>
          <t>open</t>
        </is>
      </c>
      <c r="V210" s="24" t="n"/>
      <c r="W210" s="26" t="n"/>
      <c r="X210" s="26" t="n"/>
      <c r="Y210" s="25" t="n"/>
      <c r="Z210" s="26" t="n"/>
      <c r="AA210" s="28" t="n"/>
      <c r="AB210" s="28" t="n"/>
      <c r="AC210" s="30" t="n"/>
      <c r="AD210" s="24" t="n"/>
      <c r="AE210" s="31" t="inlineStr">
        <is>
          <t>Surface-blended Elo on Hard: Veronika Podrez p=0.685 vs Susan Bandecchi. Executable ask 0.5200 (aec-wta-susban-verpod-2026-08-05).</t>
        </is>
      </c>
      <c r="AF210" s="31" t="inlineStr">
        <is>
          <t>Surface-blended Elo model; singles only, WTA+ATP market coverage, not yet locked-holdout qualified -- promoted by explicit operator directive, not genuine walk-forward validation.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3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Veronika Podrez</t>
        </is>
      </c>
      <c r="AQ210" s="24" t="inlineStr">
        <is>
          <t>Veronika Podrez</t>
        </is>
      </c>
      <c r="AR210" s="24" t="inlineStr">
        <is>
          <t>Veronika Podrez</t>
        </is>
      </c>
      <c r="AS210" s="24" t="inlineStr">
        <is>
          <t>Susan Bandecchi</t>
        </is>
      </c>
      <c r="AT210" s="24" t="inlineStr">
        <is>
          <t>Susan Bandecchi</t>
        </is>
      </c>
      <c r="AU210" s="24" t="inlineStr">
        <is>
          <t>Susan Bandecchi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3ab056fefe04713e3c294da76c8adb2866b0dc46556ed32322a0426dd344a0e4</t>
        </is>
      </c>
      <c r="BB210" s="24" t="inlineStr">
        <is>
          <t>surface_blended_elo</t>
        </is>
      </c>
      <c r="BC210" s="24" t="inlineStr">
        <is>
          <t>tennis-surface-elo-v1</t>
        </is>
      </c>
      <c r="BD210" s="24" t="inlineStr">
        <is>
          <t>3ab056fefe04713e3c294da76c8adb2866b0dc46556ed32322a0426dd344a0e4</t>
        </is>
      </c>
      <c r="BE210" s="24" t="inlineStr">
        <is>
          <t>tennis-surface-elo-v1</t>
        </is>
      </c>
      <c r="BF210" s="24" t="inlineStr">
        <is>
          <t>1</t>
        </is>
      </c>
      <c r="BG210" s="24" t="inlineStr">
        <is>
          <t>3ab056fefe04713e3c294da76c8adb2866b0dc46556ed32322a0426dd344a0e4</t>
        </is>
      </c>
      <c r="BH210" s="24" t="inlineStr">
        <is>
          <t>2026-08-05T04:34:10.339946Z</t>
        </is>
      </c>
      <c r="BI210" s="24" t="inlineStr">
        <is>
          <t>["same_event","same_team_same_day","same_league_same_day"]</t>
        </is>
      </c>
      <c r="BJ210" s="25" t="n"/>
      <c r="BK210" s="26" t="n">
        <v>-108</v>
      </c>
      <c r="BL210" s="27" t="n">
        <v>1.925926</v>
      </c>
      <c r="BM210" s="28" t="n">
        <v>0.519231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</row>
    <row r="211" ht="36" customHeight="1">
      <c r="A211" s="24" t="inlineStr">
        <is>
          <t>9e2cab20b3a746a6</t>
        </is>
      </c>
      <c r="B211" s="24" t="inlineStr">
        <is>
          <t>2026-08-05T04:36:19.625619Z</t>
        </is>
      </c>
      <c r="C211" s="24" t="inlineStr">
        <is>
          <t>2026-08-05T14:30Z</t>
        </is>
      </c>
      <c r="D211" s="24" t="inlineStr">
        <is>
          <t>961-2026:182100</t>
        </is>
      </c>
      <c r="E211" s="24" t="inlineStr">
        <is>
          <t>TENNIS</t>
        </is>
      </c>
      <c r="F211" s="24" t="inlineStr">
        <is>
          <t>Zuzanna Pawlikowska</t>
        </is>
      </c>
      <c r="G211" s="24" t="inlineStr">
        <is>
          <t>Vendula Valdmannova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-669</v>
      </c>
      <c r="M211" s="27" t="n">
        <v>1.149477</v>
      </c>
      <c r="N211" s="28" t="n">
        <v>0.869961</v>
      </c>
      <c r="O211" s="28" t="n">
        <v>0.557355</v>
      </c>
      <c r="P211" s="28" t="n">
        <v>0.05</v>
      </c>
      <c r="Q211" s="28" t="n">
        <v>-0.312606</v>
      </c>
      <c r="R211" s="26" t="n">
        <v>0</v>
      </c>
      <c r="S211" s="29" t="n">
        <v>1</v>
      </c>
      <c r="T211" s="24" t="inlineStr">
        <is>
          <t>tennis-surface-elo-v1</t>
        </is>
      </c>
      <c r="U211" s="24" t="inlineStr">
        <is>
          <t>open</t>
        </is>
      </c>
      <c r="V211" s="24" t="n"/>
      <c r="W211" s="26" t="n"/>
      <c r="X211" s="26" t="n"/>
      <c r="Y211" s="25" t="n"/>
      <c r="Z211" s="26" t="n"/>
      <c r="AA211" s="28" t="n"/>
      <c r="AB211" s="28" t="n"/>
      <c r="AC211" s="30" t="n"/>
      <c r="AD211" s="24" t="n"/>
      <c r="AE211" s="31" t="inlineStr">
        <is>
          <t>Surface-blended Elo on Hard: Zuzanna Pawlikowska p=0.443 vs Vendula Valdmannova. Executable ask 0.8700 (aec-wta-venval-zuzpaw-2026-08-05).</t>
        </is>
      </c>
      <c r="AF211" s="31" t="inlineStr">
        <is>
          <t>Surface-blended Elo model; singles only, WTA+ATP market coverage, not yet locked-holdout qualified -- promoted by explicit operator directive, not genuine walk-forward validation.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research_observation</t>
        </is>
      </c>
      <c r="AL211" s="26" t="n">
        <v>3</v>
      </c>
      <c r="AM211" s="24" t="inlineStr">
        <is>
          <t>RESEARCH_OBSERVATION</t>
        </is>
      </c>
      <c r="AN211" s="24" t="inlineStr">
        <is>
          <t>NO_CALL</t>
        </is>
      </c>
      <c r="AO211" s="24" t="inlineStr">
        <is>
          <t>NO_CALL_MODEL_UNVALIDATED</t>
        </is>
      </c>
      <c r="AP211" s="24" t="inlineStr">
        <is>
          <t>Zuzanna Pawlikowska</t>
        </is>
      </c>
      <c r="AQ211" s="24" t="inlineStr">
        <is>
          <t>Zuzanna Pawlikowska</t>
        </is>
      </c>
      <c r="AR211" s="24" t="inlineStr">
        <is>
          <t>Zuzanna Pawlikowska</t>
        </is>
      </c>
      <c r="AS211" s="24" t="inlineStr">
        <is>
          <t>Vendula Valdmannova</t>
        </is>
      </c>
      <c r="AT211" s="24" t="inlineStr">
        <is>
          <t>Vendula Valdmannova</t>
        </is>
      </c>
      <c r="AU211" s="24" t="inlineStr">
        <is>
          <t>Vendula Valdmannova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3ab056fefe04713e3c294da76c8adb2866b0dc46556ed32322a0426dd344a0e4</t>
        </is>
      </c>
      <c r="BB211" s="24" t="inlineStr">
        <is>
          <t>surface_blended_elo</t>
        </is>
      </c>
      <c r="BC211" s="24" t="inlineStr">
        <is>
          <t>tennis-surface-elo-v1</t>
        </is>
      </c>
      <c r="BD211" s="24" t="inlineStr">
        <is>
          <t>3ab056fefe04713e3c294da76c8adb2866b0dc46556ed32322a0426dd344a0e4</t>
        </is>
      </c>
      <c r="BE211" s="24" t="inlineStr">
        <is>
          <t>tennis-surface-elo-v1</t>
        </is>
      </c>
      <c r="BF211" s="24" t="inlineStr">
        <is>
          <t>1</t>
        </is>
      </c>
      <c r="BG211" s="24" t="inlineStr">
        <is>
          <t>3ab056fefe04713e3c294da76c8adb2866b0dc46556ed32322a0426dd344a0e4</t>
        </is>
      </c>
      <c r="BH211" s="24" t="inlineStr">
        <is>
          <t>2026-08-05T04:34:10.144456Z</t>
        </is>
      </c>
      <c r="BI211" s="24" t="inlineStr">
        <is>
          <t>["same_event","same_team_same_day","same_league_same_day"]</t>
        </is>
      </c>
      <c r="BJ211" s="25" t="n"/>
      <c r="BK211" s="26" t="n">
        <v>-669</v>
      </c>
      <c r="BL211" s="27" t="n">
        <v>1.149477</v>
      </c>
      <c r="BM211" s="28" t="n">
        <v>0.869961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</row>
    <row r="212" ht="36" customHeight="1">
      <c r="A212" s="24" t="inlineStr">
        <is>
          <t>322d2ef952df4f82</t>
        </is>
      </c>
      <c r="B212" s="24" t="inlineStr">
        <is>
          <t>2026-08-05T04:36:19.625619Z</t>
        </is>
      </c>
      <c r="C212" s="24" t="inlineStr">
        <is>
          <t>2026-08-05T15:00Z</t>
        </is>
      </c>
      <c r="D212" s="24" t="inlineStr">
        <is>
          <t>421-2026:181726</t>
        </is>
      </c>
      <c r="E212" s="24" t="inlineStr">
        <is>
          <t>TENNIS</t>
        </is>
      </c>
      <c r="F212" s="24" t="inlineStr">
        <is>
          <t>Sebastian Baez</t>
        </is>
      </c>
      <c r="G212" s="24" t="inlineStr">
        <is>
          <t>Zizou Bergs</t>
        </is>
      </c>
      <c r="H212" s="24" t="inlineStr">
        <is>
          <t>moneyline</t>
        </is>
      </c>
      <c r="I212" s="24" t="inlineStr">
        <is>
          <t>home</t>
        </is>
      </c>
      <c r="J212" s="25" t="n"/>
      <c r="K212" s="24" t="inlineStr">
        <is>
          <t>polymarket_us</t>
        </is>
      </c>
      <c r="L212" s="26" t="n">
        <v>-163</v>
      </c>
      <c r="M212" s="27" t="n">
        <v>1.613497</v>
      </c>
      <c r="N212" s="28" t="n">
        <v>0.619772</v>
      </c>
      <c r="O212" s="28" t="n">
        <v>0.52297</v>
      </c>
      <c r="P212" s="28" t="n">
        <v>0.05</v>
      </c>
      <c r="Q212" s="28" t="n">
        <v>-0.096802</v>
      </c>
      <c r="R212" s="26" t="n">
        <v>0</v>
      </c>
      <c r="S212" s="29" t="n">
        <v>1</v>
      </c>
      <c r="T212" s="24" t="inlineStr">
        <is>
          <t>tennis-surface-elo-v1</t>
        </is>
      </c>
      <c r="U212" s="24" t="inlineStr">
        <is>
          <t>open</t>
        </is>
      </c>
      <c r="V212" s="24" t="n"/>
      <c r="W212" s="26" t="n"/>
      <c r="X212" s="26" t="n"/>
      <c r="Y212" s="25" t="n"/>
      <c r="Z212" s="26" t="n"/>
      <c r="AA212" s="28" t="n"/>
      <c r="AB212" s="28" t="n"/>
      <c r="AC212" s="30" t="n"/>
      <c r="AD212" s="24" t="n"/>
      <c r="AE212" s="31" t="inlineStr">
        <is>
          <t>Surface-blended Elo on Hard: Sebastian Baez p=0.477 vs Zizou Bergs. Executable ask 0.6200 (aec-atp-zizber-sebbae-2026-08-06).</t>
        </is>
      </c>
      <c r="AF212" s="31" t="inlineStr">
        <is>
          <t>Surface-blended Elo model; singles only, WTA+ATP market coverage, not yet locked-holdout qualified -- promoted by explicit operator directive, not genuine walk-forward validation.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research_observation</t>
        </is>
      </c>
      <c r="AL212" s="26" t="n">
        <v>3</v>
      </c>
      <c r="AM212" s="24" t="inlineStr">
        <is>
          <t>RESEARCH_OBSERVATION</t>
        </is>
      </c>
      <c r="AN212" s="24" t="inlineStr">
        <is>
          <t>NO_CALL</t>
        </is>
      </c>
      <c r="AO212" s="24" t="inlineStr">
        <is>
          <t>NO_CALL_LOW_EDGE</t>
        </is>
      </c>
      <c r="AP212" s="24" t="inlineStr">
        <is>
          <t>Sebastian Baez</t>
        </is>
      </c>
      <c r="AQ212" s="24" t="inlineStr">
        <is>
          <t>Sebastian Baez</t>
        </is>
      </c>
      <c r="AR212" s="24" t="inlineStr">
        <is>
          <t>Sebastian Baez</t>
        </is>
      </c>
      <c r="AS212" s="24" t="inlineStr">
        <is>
          <t>Zizou Bergs</t>
        </is>
      </c>
      <c r="AT212" s="24" t="inlineStr">
        <is>
          <t>Zizou Bergs</t>
        </is>
      </c>
      <c r="AU212" s="24" t="inlineStr">
        <is>
          <t>Zizou Bergs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3ab056fefe04713e3c294da76c8adb2866b0dc46556ed32322a0426dd344a0e4</t>
        </is>
      </c>
      <c r="BB212" s="24" t="inlineStr">
        <is>
          <t>surface_blended_elo</t>
        </is>
      </c>
      <c r="BC212" s="24" t="inlineStr">
        <is>
          <t>tennis-surface-elo-v1</t>
        </is>
      </c>
      <c r="BD212" s="24" t="inlineStr">
        <is>
          <t>3ab056fefe04713e3c294da76c8adb2866b0dc46556ed32322a0426dd344a0e4</t>
        </is>
      </c>
      <c r="BE212" s="24" t="inlineStr">
        <is>
          <t>tennis-surface-elo-v1</t>
        </is>
      </c>
      <c r="BF212" s="24" t="inlineStr">
        <is>
          <t>1</t>
        </is>
      </c>
      <c r="BG212" s="24" t="inlineStr">
        <is>
          <t>3ab056fefe04713e3c294da76c8adb2866b0dc46556ed32322a0426dd344a0e4</t>
        </is>
      </c>
      <c r="BH212" s="24" t="inlineStr">
        <is>
          <t>2026-08-05T04:34:24.697166Z</t>
        </is>
      </c>
      <c r="BI212" s="24" t="inlineStr">
        <is>
          <t>["same_event","same_team_same_day","same_league_same_day"]</t>
        </is>
      </c>
      <c r="BJ212" s="25" t="n"/>
      <c r="BK212" s="26" t="n">
        <v>-163</v>
      </c>
      <c r="BL212" s="27" t="n">
        <v>1.613497</v>
      </c>
      <c r="BM212" s="28" t="n">
        <v>0.619772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False</t>
        </is>
      </c>
    </row>
    <row r="213" ht="36" customHeight="1">
      <c r="A213" s="24" t="inlineStr">
        <is>
          <t>89904735d0104fa7</t>
        </is>
      </c>
      <c r="B213" s="24" t="inlineStr">
        <is>
          <t>2026-08-05T04:36:19.625619Z</t>
        </is>
      </c>
      <c r="C213" s="24" t="inlineStr">
        <is>
          <t>2026-08-05T15:00Z</t>
        </is>
      </c>
      <c r="D213" s="24" t="inlineStr">
        <is>
          <t>421-2026:181727</t>
        </is>
      </c>
      <c r="E213" s="24" t="inlineStr">
        <is>
          <t>TENNIS</t>
        </is>
      </c>
      <c r="F213" s="24" t="inlineStr">
        <is>
          <t>Joao Fonseca</t>
        </is>
      </c>
      <c r="G213" s="24" t="inlineStr">
        <is>
          <t>Stefanos Tsitsipas</t>
        </is>
      </c>
      <c r="H213" s="24" t="inlineStr">
        <is>
          <t>moneyline</t>
        </is>
      </c>
      <c r="I213" s="24" t="inlineStr">
        <is>
          <t>away</t>
        </is>
      </c>
      <c r="J213" s="25" t="n"/>
      <c r="K213" s="24" t="inlineStr">
        <is>
          <t>polymarket_us</t>
        </is>
      </c>
      <c r="L213" s="26" t="n">
        <v>-133</v>
      </c>
      <c r="M213" s="27" t="n">
        <v>1.75188</v>
      </c>
      <c r="N213" s="28" t="n">
        <v>0.570815</v>
      </c>
      <c r="O213" s="28" t="n">
        <v>0.629315</v>
      </c>
      <c r="P213" s="28" t="n">
        <v>0.05</v>
      </c>
      <c r="Q213" s="28" t="n">
        <v>0.0585</v>
      </c>
      <c r="R213" s="26" t="n">
        <v>49</v>
      </c>
      <c r="S213" s="29" t="n">
        <v>1.5</v>
      </c>
      <c r="T213" s="24" t="inlineStr">
        <is>
          <t>tennis-surface-elo-v1</t>
        </is>
      </c>
      <c r="U213" s="24" t="inlineStr">
        <is>
          <t>open</t>
        </is>
      </c>
      <c r="V213" s="24" t="n"/>
      <c r="W213" s="26" t="n"/>
      <c r="X213" s="26" t="n"/>
      <c r="Y213" s="25" t="n"/>
      <c r="Z213" s="26" t="n"/>
      <c r="AA213" s="28" t="n"/>
      <c r="AB213" s="28" t="n"/>
      <c r="AC213" s="30" t="n"/>
      <c r="AD213" s="24" t="n"/>
      <c r="AE213" s="31" t="inlineStr">
        <is>
          <t>Surface-blended Elo on Hard: Joao Fonseca p=0.629 vs Stefanos Tsitsipas. Executable ask 0.5700 (aec-atp-stetsi-joafon-2026-08-05).</t>
        </is>
      </c>
      <c r="AF213" s="31" t="inlineStr">
        <is>
          <t>Surface-blended Elo model; singles only, WTA+ATP market coverage, not yet locked-holdout qualified -- promoted by explicit operator directive, not genuine walk-forward validation.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3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Joao Fonseca</t>
        </is>
      </c>
      <c r="AQ213" s="24" t="inlineStr">
        <is>
          <t>Joao Fonseca</t>
        </is>
      </c>
      <c r="AR213" s="24" t="inlineStr">
        <is>
          <t>Joao Fonseca</t>
        </is>
      </c>
      <c r="AS213" s="24" t="inlineStr">
        <is>
          <t>Stefanos Tsitsipas</t>
        </is>
      </c>
      <c r="AT213" s="24" t="inlineStr">
        <is>
          <t>Stefanos Tsitsipas</t>
        </is>
      </c>
      <c r="AU213" s="24" t="inlineStr">
        <is>
          <t>Stefanos Tsitsipas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3ab056fefe04713e3c294da76c8adb2866b0dc46556ed32322a0426dd344a0e4</t>
        </is>
      </c>
      <c r="BB213" s="24" t="inlineStr">
        <is>
          <t>surface_blended_elo</t>
        </is>
      </c>
      <c r="BC213" s="24" t="inlineStr">
        <is>
          <t>tennis-surface-elo-v1</t>
        </is>
      </c>
      <c r="BD213" s="24" t="inlineStr">
        <is>
          <t>3ab056fefe04713e3c294da76c8adb2866b0dc46556ed32322a0426dd344a0e4</t>
        </is>
      </c>
      <c r="BE213" s="24" t="inlineStr">
        <is>
          <t>tennis-surface-elo-v1</t>
        </is>
      </c>
      <c r="BF213" s="24" t="inlineStr">
        <is>
          <t>1</t>
        </is>
      </c>
      <c r="BG213" s="24" t="inlineStr">
        <is>
          <t>3ab056fefe04713e3c294da76c8adb2866b0dc46556ed32322a0426dd344a0e4</t>
        </is>
      </c>
      <c r="BH213" s="24" t="inlineStr">
        <is>
          <t>2026-08-05T04:34:29.605345Z</t>
        </is>
      </c>
      <c r="BI213" s="24" t="inlineStr">
        <is>
          <t>["same_event","same_team_same_day","same_league_same_day"]</t>
        </is>
      </c>
      <c r="BJ213" s="25" t="n"/>
      <c r="BK213" s="26" t="n">
        <v>-133</v>
      </c>
      <c r="BL213" s="27" t="n">
        <v>1.75188</v>
      </c>
      <c r="BM213" s="28" t="n">
        <v>0.570815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True</t>
        </is>
      </c>
    </row>
    <row r="214" ht="36" customHeight="1">
      <c r="A214" s="24" t="inlineStr">
        <is>
          <t>f8db030794bc45c9</t>
        </is>
      </c>
      <c r="B214" s="24" t="inlineStr">
        <is>
          <t>2026-08-05T04:36:19.625619Z</t>
        </is>
      </c>
      <c r="C214" s="24" t="inlineStr">
        <is>
          <t>2026-08-05T15:00Z</t>
        </is>
      </c>
      <c r="D214" s="24" t="inlineStr">
        <is>
          <t>421-2026:181747</t>
        </is>
      </c>
      <c r="E214" s="24" t="inlineStr">
        <is>
          <t>TENNIS</t>
        </is>
      </c>
      <c r="F214" s="24" t="inlineStr">
        <is>
          <t>Lorenzo Musetti</t>
        </is>
      </c>
      <c r="G214" s="24" t="inlineStr">
        <is>
          <t>Nicolas Mejia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-809</v>
      </c>
      <c r="M214" s="27" t="n">
        <v>1.123609</v>
      </c>
      <c r="N214" s="28" t="n">
        <v>0.889989</v>
      </c>
      <c r="O214" s="28" t="n">
        <v>0.855919</v>
      </c>
      <c r="P214" s="28" t="n">
        <v>0.05</v>
      </c>
      <c r="Q214" s="28" t="n">
        <v>-0.03407</v>
      </c>
      <c r="R214" s="26" t="n">
        <v>3</v>
      </c>
      <c r="S214" s="29" t="n">
        <v>2</v>
      </c>
      <c r="T214" s="24" t="inlineStr">
        <is>
          <t>tennis-surface-elo-v1</t>
        </is>
      </c>
      <c r="U214" s="24" t="inlineStr">
        <is>
          <t>open</t>
        </is>
      </c>
      <c r="V214" s="24" t="n"/>
      <c r="W214" s="26" t="n"/>
      <c r="X214" s="26" t="n"/>
      <c r="Y214" s="25" t="n"/>
      <c r="Z214" s="26" t="n"/>
      <c r="AA214" s="28" t="n"/>
      <c r="AB214" s="28" t="n"/>
      <c r="AC214" s="30" t="n"/>
      <c r="AD214" s="24" t="n"/>
      <c r="AE214" s="31" t="inlineStr">
        <is>
          <t>Surface-blended Elo on Hard: Lorenzo Musetti p=0.856 vs Nicolas Mejia. Executable ask 0.8900 (aec-atp-nicmej-lormus-2026-08-04).</t>
        </is>
      </c>
      <c r="AF214" s="31" t="inlineStr">
        <is>
          <t>Surface-blended Elo model; singles only, WTA+ATP market coverage, not yet locked-holdout qualified -- promoted by explicit operator directive, not genuine walk-forward validation.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research_observation</t>
        </is>
      </c>
      <c r="AL214" s="26" t="n">
        <v>3</v>
      </c>
      <c r="AM214" s="24" t="inlineStr">
        <is>
          <t>RESEARCH_OBSERVATION</t>
        </is>
      </c>
      <c r="AN214" s="24" t="inlineStr">
        <is>
          <t>NO_CALL</t>
        </is>
      </c>
      <c r="AO214" s="24" t="inlineStr">
        <is>
          <t>NO_CALL_LOW_EDGE</t>
        </is>
      </c>
      <c r="AP214" s="24" t="inlineStr">
        <is>
          <t>Lorenzo Musetti</t>
        </is>
      </c>
      <c r="AQ214" s="24" t="inlineStr">
        <is>
          <t>Lorenzo Musetti</t>
        </is>
      </c>
      <c r="AR214" s="24" t="inlineStr">
        <is>
          <t>Lorenzo Musetti</t>
        </is>
      </c>
      <c r="AS214" s="24" t="inlineStr">
        <is>
          <t>Nicolas Mejia</t>
        </is>
      </c>
      <c r="AT214" s="24" t="inlineStr">
        <is>
          <t>Nicolas Mejia</t>
        </is>
      </c>
      <c r="AU214" s="24" t="inlineStr">
        <is>
          <t>Nicolas Mejia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3ab056fefe04713e3c294da76c8adb2866b0dc46556ed32322a0426dd344a0e4</t>
        </is>
      </c>
      <c r="BB214" s="24" t="inlineStr">
        <is>
          <t>surface_blended_elo</t>
        </is>
      </c>
      <c r="BC214" s="24" t="inlineStr">
        <is>
          <t>tennis-surface-elo-v1</t>
        </is>
      </c>
      <c r="BD214" s="24" t="inlineStr">
        <is>
          <t>3ab056fefe04713e3c294da76c8adb2866b0dc46556ed32322a0426dd344a0e4</t>
        </is>
      </c>
      <c r="BE214" s="24" t="inlineStr">
        <is>
          <t>tennis-surface-elo-v1</t>
        </is>
      </c>
      <c r="BF214" s="24" t="inlineStr">
        <is>
          <t>1</t>
        </is>
      </c>
      <c r="BG214" s="24" t="inlineStr">
        <is>
          <t>3ab056fefe04713e3c294da76c8adb2866b0dc46556ed32322a0426dd344a0e4</t>
        </is>
      </c>
      <c r="BH214" s="24" t="inlineStr">
        <is>
          <t>2026-08-05T04:34:26.818383Z</t>
        </is>
      </c>
      <c r="BI214" s="24" t="inlineStr">
        <is>
          <t>["same_event","same_team_same_day","same_league_same_day"]</t>
        </is>
      </c>
      <c r="BJ214" s="25" t="n"/>
      <c r="BK214" s="26" t="n">
        <v>-809</v>
      </c>
      <c r="BL214" s="27" t="n">
        <v>1.123609</v>
      </c>
      <c r="BM214" s="28" t="n">
        <v>0.889989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</row>
    <row r="215" ht="36" customHeight="1">
      <c r="A215" s="24" t="inlineStr">
        <is>
          <t>e872318348314bac</t>
        </is>
      </c>
      <c r="B215" s="24" t="inlineStr">
        <is>
          <t>2026-08-05T04:36:19.625619Z</t>
        </is>
      </c>
      <c r="C215" s="24" t="inlineStr">
        <is>
          <t>2026-08-05T15:00Z</t>
        </is>
      </c>
      <c r="D215" s="24" t="inlineStr">
        <is>
          <t>421-2026:181760</t>
        </is>
      </c>
      <c r="E215" s="24" t="inlineStr">
        <is>
          <t>TENNIS</t>
        </is>
      </c>
      <c r="F215" s="24" t="inlineStr">
        <is>
          <t>Mariano Navone</t>
        </is>
      </c>
      <c r="G215" s="24" t="inlineStr">
        <is>
          <t>Valentin Vacherot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polymarket_us</t>
        </is>
      </c>
      <c r="L215" s="26" t="n">
        <v>-178</v>
      </c>
      <c r="M215" s="27" t="n">
        <v>1.561798</v>
      </c>
      <c r="N215" s="28" t="n">
        <v>0.640288</v>
      </c>
      <c r="O215" s="28" t="n">
        <v>0.642108</v>
      </c>
      <c r="P215" s="28" t="n">
        <v>0.05</v>
      </c>
      <c r="Q215" s="28" t="n">
        <v>0.00182</v>
      </c>
      <c r="R215" s="26" t="n">
        <v>21</v>
      </c>
      <c r="S215" s="29" t="n">
        <v>1.5</v>
      </c>
      <c r="T215" s="24" t="inlineStr">
        <is>
          <t>tennis-surface-elo-v1</t>
        </is>
      </c>
      <c r="U215" s="24" t="inlineStr">
        <is>
          <t>open</t>
        </is>
      </c>
      <c r="V215" s="24" t="n"/>
      <c r="W215" s="26" t="n"/>
      <c r="X215" s="26" t="n"/>
      <c r="Y215" s="25" t="n"/>
      <c r="Z215" s="26" t="n"/>
      <c r="AA215" s="28" t="n"/>
      <c r="AB215" s="28" t="n"/>
      <c r="AC215" s="30" t="n"/>
      <c r="AD215" s="24" t="n"/>
      <c r="AE215" s="31" t="inlineStr">
        <is>
          <t>Surface-blended Elo on Hard: Mariano Navone p=0.358 vs Valentin Vacherot. Executable ask 0.6400 (aec-atp-valvac-marnav-2026-08-04).</t>
        </is>
      </c>
      <c r="AF215" s="31" t="inlineStr">
        <is>
          <t>Surface-blended Elo model; singles only, WTA+ATP market coverage, not yet locked-holdout qualified -- promoted by explicit operator directive, not genuine walk-forward validation.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NO_CALL_LOW_EDGE</t>
        </is>
      </c>
      <c r="AP215" s="24" t="inlineStr">
        <is>
          <t>Mariano Navone</t>
        </is>
      </c>
      <c r="AQ215" s="24" t="inlineStr">
        <is>
          <t>Mariano Navone</t>
        </is>
      </c>
      <c r="AR215" s="24" t="inlineStr">
        <is>
          <t>Mariano Navone</t>
        </is>
      </c>
      <c r="AS215" s="24" t="inlineStr">
        <is>
          <t>Valentin Vacherot</t>
        </is>
      </c>
      <c r="AT215" s="24" t="inlineStr">
        <is>
          <t>Valentin Vacherot</t>
        </is>
      </c>
      <c r="AU215" s="24" t="inlineStr">
        <is>
          <t>Valentin Vacherot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3ab056fefe04713e3c294da76c8adb2866b0dc46556ed32322a0426dd344a0e4</t>
        </is>
      </c>
      <c r="BB215" s="24" t="inlineStr">
        <is>
          <t>surface_blended_elo</t>
        </is>
      </c>
      <c r="BC215" s="24" t="inlineStr">
        <is>
          <t>tennis-surface-elo-v1</t>
        </is>
      </c>
      <c r="BD215" s="24" t="inlineStr">
        <is>
          <t>3ab056fefe04713e3c294da76c8adb2866b0dc46556ed32322a0426dd344a0e4</t>
        </is>
      </c>
      <c r="BE215" s="24" t="inlineStr">
        <is>
          <t>tennis-surface-elo-v1</t>
        </is>
      </c>
      <c r="BF215" s="24" t="inlineStr">
        <is>
          <t>1</t>
        </is>
      </c>
      <c r="BG215" s="24" t="inlineStr">
        <is>
          <t>3ab056fefe04713e3c294da76c8adb2866b0dc46556ed32322a0426dd344a0e4</t>
        </is>
      </c>
      <c r="BH215" s="24" t="inlineStr">
        <is>
          <t>2026-08-05T04:34:25.594765Z</t>
        </is>
      </c>
      <c r="BI215" s="24" t="inlineStr">
        <is>
          <t>["same_event","same_team_same_day","same_league_same_day"]</t>
        </is>
      </c>
      <c r="BJ215" s="25" t="n"/>
      <c r="BK215" s="26" t="n">
        <v>-178</v>
      </c>
      <c r="BL215" s="27" t="n">
        <v>1.561798</v>
      </c>
      <c r="BM215" s="28" t="n">
        <v>0.640288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</row>
    <row r="216" ht="36" customHeight="1">
      <c r="A216" s="24" t="inlineStr">
        <is>
          <t>d403b0bb55d74b0b</t>
        </is>
      </c>
      <c r="B216" s="24" t="inlineStr">
        <is>
          <t>2026-08-05T04:36:19.625619Z</t>
        </is>
      </c>
      <c r="C216" s="24" t="inlineStr">
        <is>
          <t>2026-08-05T16:30Z</t>
        </is>
      </c>
      <c r="D216" s="24" t="inlineStr">
        <is>
          <t>421-2026:181724</t>
        </is>
      </c>
      <c r="E216" s="24" t="inlineStr">
        <is>
          <t>TENNIS</t>
        </is>
      </c>
      <c r="F216" s="24" t="inlineStr">
        <is>
          <t>Juan Manuel Cerundolo</t>
        </is>
      </c>
      <c r="G216" s="24" t="inlineStr">
        <is>
          <t>Casper Ruud</t>
        </is>
      </c>
      <c r="H216" s="24" t="inlineStr">
        <is>
          <t>moneyline</t>
        </is>
      </c>
      <c r="I216" s="24" t="inlineStr">
        <is>
          <t>home</t>
        </is>
      </c>
      <c r="J216" s="25" t="n"/>
      <c r="K216" s="24" t="inlineStr">
        <is>
          <t>polymarket_us</t>
        </is>
      </c>
      <c r="L216" s="26" t="n">
        <v>-257</v>
      </c>
      <c r="M216" s="27" t="n">
        <v>1.389105</v>
      </c>
      <c r="N216" s="28" t="n">
        <v>0.719888</v>
      </c>
      <c r="O216" s="28" t="n">
        <v>0.735828</v>
      </c>
      <c r="P216" s="28" t="n">
        <v>0.05</v>
      </c>
      <c r="Q216" s="28" t="n">
        <v>0.01594</v>
      </c>
      <c r="R216" s="26" t="n">
        <v>28</v>
      </c>
      <c r="S216" s="29" t="n">
        <v>2</v>
      </c>
      <c r="T216" s="24" t="inlineStr">
        <is>
          <t>tennis-surface-elo-v1</t>
        </is>
      </c>
      <c r="U216" s="24" t="inlineStr">
        <is>
          <t>open</t>
        </is>
      </c>
      <c r="V216" s="24" t="n"/>
      <c r="W216" s="26" t="n"/>
      <c r="X216" s="26" t="n"/>
      <c r="Y216" s="25" t="n"/>
      <c r="Z216" s="26" t="n"/>
      <c r="AA216" s="28" t="n"/>
      <c r="AB216" s="28" t="n"/>
      <c r="AC216" s="30" t="n"/>
      <c r="AD216" s="24" t="n"/>
      <c r="AE216" s="31" t="inlineStr">
        <is>
          <t>Surface-blended Elo on Hard: Juan Manuel Cerundolo p=0.264 vs Casper Ruud. Executable ask 0.7200 (aec-atp-casruu-juacer-2026-08-06).</t>
        </is>
      </c>
      <c r="AF216" s="31" t="inlineStr">
        <is>
          <t>Surface-blended Elo model; singles only, WTA+ATP market coverage, not yet locked-holdout qualified -- promoted by explicit operator directive, not genuine walk-forward validation.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research_observation</t>
        </is>
      </c>
      <c r="AL216" s="26" t="n">
        <v>3</v>
      </c>
      <c r="AM216" s="24" t="inlineStr">
        <is>
          <t>RESEARCH_OBSERVATION</t>
        </is>
      </c>
      <c r="AN216" s="24" t="inlineStr">
        <is>
          <t>NO_CALL</t>
        </is>
      </c>
      <c r="AO216" s="24" t="inlineStr">
        <is>
          <t>NO_CALL_LOW_EDGE</t>
        </is>
      </c>
      <c r="AP216" s="24" t="inlineStr">
        <is>
          <t>Juan Manuel Cerundolo</t>
        </is>
      </c>
      <c r="AQ216" s="24" t="inlineStr">
        <is>
          <t>Juan Manuel Cerundolo</t>
        </is>
      </c>
      <c r="AR216" s="24" t="inlineStr">
        <is>
          <t>Juan Manuel Cerundolo</t>
        </is>
      </c>
      <c r="AS216" s="24" t="inlineStr">
        <is>
          <t>Casper Ruud</t>
        </is>
      </c>
      <c r="AT216" s="24" t="inlineStr">
        <is>
          <t>Casper Ruud</t>
        </is>
      </c>
      <c r="AU216" s="24" t="inlineStr">
        <is>
          <t>Casper Ruud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3ab056fefe04713e3c294da76c8adb2866b0dc46556ed32322a0426dd344a0e4</t>
        </is>
      </c>
      <c r="BB216" s="24" t="inlineStr">
        <is>
          <t>surface_blended_elo</t>
        </is>
      </c>
      <c r="BC216" s="24" t="inlineStr">
        <is>
          <t>tennis-surface-elo-v1</t>
        </is>
      </c>
      <c r="BD216" s="24" t="inlineStr">
        <is>
          <t>3ab056fefe04713e3c294da76c8adb2866b0dc46556ed32322a0426dd344a0e4</t>
        </is>
      </c>
      <c r="BE216" s="24" t="inlineStr">
        <is>
          <t>tennis-surface-elo-v1</t>
        </is>
      </c>
      <c r="BF216" s="24" t="inlineStr">
        <is>
          <t>1</t>
        </is>
      </c>
      <c r="BG216" s="24" t="inlineStr">
        <is>
          <t>3ab056fefe04713e3c294da76c8adb2866b0dc46556ed32322a0426dd344a0e4</t>
        </is>
      </c>
      <c r="BH216" s="24" t="inlineStr">
        <is>
          <t>2026-08-05T04:34:30.988159Z</t>
        </is>
      </c>
      <c r="BI216" s="24" t="inlineStr">
        <is>
          <t>["same_event","same_team_same_day","same_league_same_day"]</t>
        </is>
      </c>
      <c r="BJ216" s="25" t="n"/>
      <c r="BK216" s="26" t="n">
        <v>-257</v>
      </c>
      <c r="BL216" s="27" t="n">
        <v>1.389105</v>
      </c>
      <c r="BM216" s="28" t="n">
        <v>0.719888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</row>
    <row r="217" ht="36" customHeight="1">
      <c r="A217" s="24" t="inlineStr">
        <is>
          <t>6c096f6cc3314c23</t>
        </is>
      </c>
      <c r="B217" s="24" t="inlineStr">
        <is>
          <t>2026-08-05T04:36:19.625619Z</t>
        </is>
      </c>
      <c r="C217" s="24" t="inlineStr">
        <is>
          <t>2026-08-05T16:30Z</t>
        </is>
      </c>
      <c r="D217" s="24" t="inlineStr">
        <is>
          <t>421-2026:181732</t>
        </is>
      </c>
      <c r="E217" s="24" t="inlineStr">
        <is>
          <t>TENNIS</t>
        </is>
      </c>
      <c r="F217" s="24" t="inlineStr">
        <is>
          <t>Cameron Norrie</t>
        </is>
      </c>
      <c r="G217" s="24" t="inlineStr">
        <is>
          <t>Ignacio Buse</t>
        </is>
      </c>
      <c r="H217" s="24" t="inlineStr">
        <is>
          <t>moneyline</t>
        </is>
      </c>
      <c r="I217" s="24" t="inlineStr">
        <is>
          <t>away</t>
        </is>
      </c>
      <c r="J217" s="25" t="n"/>
      <c r="K217" s="24" t="inlineStr">
        <is>
          <t>polymarket_us</t>
        </is>
      </c>
      <c r="L217" s="26" t="n">
        <v>-194</v>
      </c>
      <c r="M217" s="27" t="n">
        <v>1.515464</v>
      </c>
      <c r="N217" s="28" t="n">
        <v>0.659864</v>
      </c>
      <c r="O217" s="28" t="n">
        <v>0.555985</v>
      </c>
      <c r="P217" s="28" t="n">
        <v>0.05</v>
      </c>
      <c r="Q217" s="28" t="n">
        <v>-0.103879</v>
      </c>
      <c r="R217" s="26" t="n">
        <v>0</v>
      </c>
      <c r="S217" s="29" t="n">
        <v>1</v>
      </c>
      <c r="T217" s="24" t="inlineStr">
        <is>
          <t>tennis-surface-elo-v1</t>
        </is>
      </c>
      <c r="U217" s="24" t="inlineStr">
        <is>
          <t>open</t>
        </is>
      </c>
      <c r="V217" s="24" t="n"/>
      <c r="W217" s="26" t="n"/>
      <c r="X217" s="26" t="n"/>
      <c r="Y217" s="25" t="n"/>
      <c r="Z217" s="26" t="n"/>
      <c r="AA217" s="28" t="n"/>
      <c r="AB217" s="28" t="n"/>
      <c r="AC217" s="30" t="n"/>
      <c r="AD217" s="24" t="n"/>
      <c r="AE217" s="31" t="inlineStr">
        <is>
          <t>Surface-blended Elo on Hard: Cameron Norrie p=0.556 vs Ignacio Buse. Executable ask 0.6600 (aec-atp-ignbus-camnor-2026-08-05).</t>
        </is>
      </c>
      <c r="AF217" s="31" t="inlineStr">
        <is>
          <t>Surface-blended Elo model; singles only, WTA+ATP market coverage, not yet locked-holdout qualified -- promoted by explicit operator directive, not genuine walk-forward validation.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research_observation</t>
        </is>
      </c>
      <c r="AL217" s="26" t="n">
        <v>3</v>
      </c>
      <c r="AM217" s="24" t="inlineStr">
        <is>
          <t>RESEARCH_OBSERVATION</t>
        </is>
      </c>
      <c r="AN217" s="24" t="inlineStr">
        <is>
          <t>NO_CALL</t>
        </is>
      </c>
      <c r="AO217" s="24" t="inlineStr">
        <is>
          <t>NO_CALL_LOW_EDGE</t>
        </is>
      </c>
      <c r="AP217" s="24" t="inlineStr">
        <is>
          <t>Cameron Norrie</t>
        </is>
      </c>
      <c r="AQ217" s="24" t="inlineStr">
        <is>
          <t>Cameron Norrie</t>
        </is>
      </c>
      <c r="AR217" s="24" t="inlineStr">
        <is>
          <t>Cameron Norrie</t>
        </is>
      </c>
      <c r="AS217" s="24" t="inlineStr">
        <is>
          <t>Ignacio Buse</t>
        </is>
      </c>
      <c r="AT217" s="24" t="inlineStr">
        <is>
          <t>Ignacio Buse</t>
        </is>
      </c>
      <c r="AU217" s="24" t="inlineStr">
        <is>
          <t>Ignacio Buse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3ab056fefe04713e3c294da76c8adb2866b0dc46556ed32322a0426dd344a0e4</t>
        </is>
      </c>
      <c r="BB217" s="24" t="inlineStr">
        <is>
          <t>surface_blended_elo</t>
        </is>
      </c>
      <c r="BC217" s="24" t="inlineStr">
        <is>
          <t>tennis-surface-elo-v1</t>
        </is>
      </c>
      <c r="BD217" s="24" t="inlineStr">
        <is>
          <t>3ab056fefe04713e3c294da76c8adb2866b0dc46556ed32322a0426dd344a0e4</t>
        </is>
      </c>
      <c r="BE217" s="24" t="inlineStr">
        <is>
          <t>tennis-surface-elo-v1</t>
        </is>
      </c>
      <c r="BF217" s="24" t="inlineStr">
        <is>
          <t>1</t>
        </is>
      </c>
      <c r="BG217" s="24" t="inlineStr">
        <is>
          <t>3ab056fefe04713e3c294da76c8adb2866b0dc46556ed32322a0426dd344a0e4</t>
        </is>
      </c>
      <c r="BH217" s="24" t="inlineStr">
        <is>
          <t>2026-08-05T04:34:31.743878Z</t>
        </is>
      </c>
      <c r="BI217" s="24" t="inlineStr">
        <is>
          <t>["same_event","same_team_same_day","same_league_same_day"]</t>
        </is>
      </c>
      <c r="BJ217" s="25" t="n"/>
      <c r="BK217" s="26" t="n">
        <v>-194</v>
      </c>
      <c r="BL217" s="27" t="n">
        <v>1.515464</v>
      </c>
      <c r="BM217" s="28" t="n">
        <v>0.659864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</row>
    <row r="218" ht="36" customHeight="1">
      <c r="A218" s="24" t="inlineStr">
        <is>
          <t>27c7bb13584f4d97</t>
        </is>
      </c>
      <c r="B218" s="24" t="inlineStr">
        <is>
          <t>2026-08-05T04:36:19.625619Z</t>
        </is>
      </c>
      <c r="C218" s="24" t="inlineStr">
        <is>
          <t>2026-08-05T16:30Z</t>
        </is>
      </c>
      <c r="D218" s="24" t="inlineStr">
        <is>
          <t>421-2026:181752</t>
        </is>
      </c>
      <c r="E218" s="24" t="inlineStr">
        <is>
          <t>TENNIS</t>
        </is>
      </c>
      <c r="F218" s="24" t="inlineStr">
        <is>
          <t>Arthur Rinderknech</t>
        </is>
      </c>
      <c r="G218" s="24" t="inlineStr">
        <is>
          <t>Miomir Kecmanovic</t>
        </is>
      </c>
      <c r="H218" s="24" t="inlineStr">
        <is>
          <t>moneyline</t>
        </is>
      </c>
      <c r="I218" s="24" t="inlineStr">
        <is>
          <t>away</t>
        </is>
      </c>
      <c r="J218" s="25" t="n"/>
      <c r="K218" s="24" t="inlineStr">
        <is>
          <t>polymarket_us</t>
        </is>
      </c>
      <c r="L218" s="26" t="n">
        <v>100</v>
      </c>
      <c r="M218" s="27" t="n">
        <v>2</v>
      </c>
      <c r="N218" s="28" t="n">
        <v>0.5</v>
      </c>
      <c r="O218" s="28" t="n">
        <v>0.5960220000000001</v>
      </c>
      <c r="P218" s="28" t="n">
        <v>0.05</v>
      </c>
      <c r="Q218" s="28" t="n">
        <v>0.096022</v>
      </c>
      <c r="R218" s="26" t="n">
        <v>68</v>
      </c>
      <c r="S218" s="29" t="n">
        <v>1.25</v>
      </c>
      <c r="T218" s="24" t="inlineStr">
        <is>
          <t>tennis-surface-elo-v1</t>
        </is>
      </c>
      <c r="U218" s="24" t="inlineStr">
        <is>
          <t>open</t>
        </is>
      </c>
      <c r="V218" s="24" t="n"/>
      <c r="W218" s="26" t="n"/>
      <c r="X218" s="26" t="n"/>
      <c r="Y218" s="25" t="n"/>
      <c r="Z218" s="26" t="n"/>
      <c r="AA218" s="28" t="n"/>
      <c r="AB218" s="28" t="n"/>
      <c r="AC218" s="30" t="n"/>
      <c r="AD218" s="24" t="n"/>
      <c r="AE218" s="31" t="inlineStr">
        <is>
          <t>Surface-blended Elo on Hard: Arthur Rinderknech p=0.596 vs Miomir Kecmanovic. Executable ask 0.5000 (aec-atp-miokec-artrin-2026-08-05).</t>
        </is>
      </c>
      <c r="AF218" s="31" t="inlineStr">
        <is>
          <t>Surface-blended Elo model; singles only, WTA+ATP market coverage, not yet locked-holdout qualified -- promoted by explicit operator directive, not genuine walk-forward validation.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3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Arthur Rinderknech</t>
        </is>
      </c>
      <c r="AQ218" s="24" t="inlineStr">
        <is>
          <t>Arthur Rinderknech</t>
        </is>
      </c>
      <c r="AR218" s="24" t="inlineStr">
        <is>
          <t>Arthur Rinderknech</t>
        </is>
      </c>
      <c r="AS218" s="24" t="inlineStr">
        <is>
          <t>Miomir Kecmanovic</t>
        </is>
      </c>
      <c r="AT218" s="24" t="inlineStr">
        <is>
          <t>Miomir Kecmanovic</t>
        </is>
      </c>
      <c r="AU218" s="24" t="inlineStr">
        <is>
          <t>Miomir Kecmanovic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3ab056fefe04713e3c294da76c8adb2866b0dc46556ed32322a0426dd344a0e4</t>
        </is>
      </c>
      <c r="BB218" s="24" t="inlineStr">
        <is>
          <t>surface_blended_elo</t>
        </is>
      </c>
      <c r="BC218" s="24" t="inlineStr">
        <is>
          <t>tennis-surface-elo-v1</t>
        </is>
      </c>
      <c r="BD218" s="24" t="inlineStr">
        <is>
          <t>3ab056fefe04713e3c294da76c8adb2866b0dc46556ed32322a0426dd344a0e4</t>
        </is>
      </c>
      <c r="BE218" s="24" t="inlineStr">
        <is>
          <t>tennis-surface-elo-v1</t>
        </is>
      </c>
      <c r="BF218" s="24" t="inlineStr">
        <is>
          <t>1</t>
        </is>
      </c>
      <c r="BG218" s="24" t="inlineStr">
        <is>
          <t>3ab056fefe04713e3c294da76c8adb2866b0dc46556ed32322a0426dd344a0e4</t>
        </is>
      </c>
      <c r="BH218" s="24" t="inlineStr">
        <is>
          <t>2026-08-05T04:34:30.228623Z</t>
        </is>
      </c>
      <c r="BI218" s="24" t="inlineStr">
        <is>
          <t>["same_event","same_team_same_day","same_league_same_day"]</t>
        </is>
      </c>
      <c r="BJ218" s="25" t="n"/>
      <c r="BK218" s="26" t="n">
        <v>100</v>
      </c>
      <c r="BL218" s="27" t="n">
        <v>2</v>
      </c>
      <c r="BM218" s="28" t="n">
        <v>0.5</v>
      </c>
      <c r="BN218" s="28" t="n"/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</row>
    <row r="219" ht="36" customHeight="1">
      <c r="A219" s="24" t="inlineStr">
        <is>
          <t>312dfa1e69714149</t>
        </is>
      </c>
      <c r="B219" s="24" t="inlineStr">
        <is>
          <t>2026-08-05T04:36:19.625619Z</t>
        </is>
      </c>
      <c r="C219" s="24" t="inlineStr">
        <is>
          <t>2026-08-05T16:30Z</t>
        </is>
      </c>
      <c r="D219" s="24" t="inlineStr">
        <is>
          <t>421-2026:181762</t>
        </is>
      </c>
      <c r="E219" s="24" t="inlineStr">
        <is>
          <t>TENNIS</t>
        </is>
      </c>
      <c r="F219" s="24" t="inlineStr">
        <is>
          <t>Arthur Fils</t>
        </is>
      </c>
      <c r="G219" s="24" t="inlineStr">
        <is>
          <t>Zachary Svajda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-300</v>
      </c>
      <c r="M219" s="27" t="n">
        <v>1.333333</v>
      </c>
      <c r="N219" s="28" t="n">
        <v>0.75</v>
      </c>
      <c r="O219" s="28" t="n">
        <v>0.781423</v>
      </c>
      <c r="P219" s="28" t="n">
        <v>0.05</v>
      </c>
      <c r="Q219" s="28" t="n">
        <v>0.031423</v>
      </c>
      <c r="R219" s="26" t="n">
        <v>36</v>
      </c>
      <c r="S219" s="29" t="n">
        <v>2</v>
      </c>
      <c r="T219" s="24" t="inlineStr">
        <is>
          <t>tennis-surface-elo-v1</t>
        </is>
      </c>
      <c r="U219" s="24" t="inlineStr">
        <is>
          <t>open</t>
        </is>
      </c>
      <c r="V219" s="24" t="n"/>
      <c r="W219" s="26" t="n"/>
      <c r="X219" s="26" t="n"/>
      <c r="Y219" s="25" t="n"/>
      <c r="Z219" s="26" t="n"/>
      <c r="AA219" s="28" t="n"/>
      <c r="AB219" s="28" t="n"/>
      <c r="AC219" s="30" t="n"/>
      <c r="AD219" s="24" t="n"/>
      <c r="AE219" s="31" t="inlineStr">
        <is>
          <t>Surface-blended Elo on Hard: Arthur Fils p=0.781 vs Zachary Svajda. Executable ask 0.7500 (aec-atp-zacsva-artfil-2026-08-06).</t>
        </is>
      </c>
      <c r="AF219" s="31" t="inlineStr">
        <is>
          <t>Surface-blended Elo model; singles only, WTA+ATP market coverage, not yet locked-holdout qualified -- promoted by explicit operator directive, not genuine walk-forward validation.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research_observation</t>
        </is>
      </c>
      <c r="AL219" s="26" t="n">
        <v>3</v>
      </c>
      <c r="AM219" s="24" t="inlineStr">
        <is>
          <t>RESEARCH_OBSERVATION</t>
        </is>
      </c>
      <c r="AN219" s="24" t="inlineStr">
        <is>
          <t>NO_CALL</t>
        </is>
      </c>
      <c r="AO219" s="24" t="inlineStr">
        <is>
          <t>NO_CALL_LOW_EDGE</t>
        </is>
      </c>
      <c r="AP219" s="24" t="inlineStr">
        <is>
          <t>Arthur Fils</t>
        </is>
      </c>
      <c r="AQ219" s="24" t="inlineStr">
        <is>
          <t>Arthur Fils</t>
        </is>
      </c>
      <c r="AR219" s="24" t="inlineStr">
        <is>
          <t>Arthur Fils</t>
        </is>
      </c>
      <c r="AS219" s="24" t="inlineStr">
        <is>
          <t>Zachary Svajda</t>
        </is>
      </c>
      <c r="AT219" s="24" t="inlineStr">
        <is>
          <t>Zachary Svajda</t>
        </is>
      </c>
      <c r="AU219" s="24" t="inlineStr">
        <is>
          <t>Zachary Svajda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3ab056fefe04713e3c294da76c8adb2866b0dc46556ed32322a0426dd344a0e4</t>
        </is>
      </c>
      <c r="BB219" s="24" t="inlineStr">
        <is>
          <t>surface_blended_elo</t>
        </is>
      </c>
      <c r="BC219" s="24" t="inlineStr">
        <is>
          <t>tennis-surface-elo-v1</t>
        </is>
      </c>
      <c r="BD219" s="24" t="inlineStr">
        <is>
          <t>3ab056fefe04713e3c294da76c8adb2866b0dc46556ed32322a0426dd344a0e4</t>
        </is>
      </c>
      <c r="BE219" s="24" t="inlineStr">
        <is>
          <t>tennis-surface-elo-v1</t>
        </is>
      </c>
      <c r="BF219" s="24" t="inlineStr">
        <is>
          <t>1</t>
        </is>
      </c>
      <c r="BG219" s="24" t="inlineStr">
        <is>
          <t>3ab056fefe04713e3c294da76c8adb2866b0dc46556ed32322a0426dd344a0e4</t>
        </is>
      </c>
      <c r="BH219" s="24" t="inlineStr">
        <is>
          <t>2026-08-05T04:34:33.623075Z</t>
        </is>
      </c>
      <c r="BI219" s="24" t="inlineStr">
        <is>
          <t>["same_event","same_team_same_day","same_league_same_day"]</t>
        </is>
      </c>
      <c r="BJ219" s="25" t="n"/>
      <c r="BK219" s="26" t="n">
        <v>-300</v>
      </c>
      <c r="BL219" s="27" t="n">
        <v>1.333333</v>
      </c>
      <c r="BM219" s="28" t="n">
        <v>0.75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</row>
    <row r="220" ht="36" customHeight="1">
      <c r="A220" s="24" t="inlineStr">
        <is>
          <t>d32dcf2b9d644d8f</t>
        </is>
      </c>
      <c r="B220" s="24" t="inlineStr">
        <is>
          <t>2026-08-05T04:36:19.625619Z</t>
        </is>
      </c>
      <c r="C220" s="24" t="inlineStr">
        <is>
          <t>2026-08-05T16:30Z</t>
        </is>
      </c>
      <c r="D220" s="24" t="inlineStr">
        <is>
          <t>421-2026:181765</t>
        </is>
      </c>
      <c r="E220" s="24" t="inlineStr">
        <is>
          <t>TENNIS</t>
        </is>
      </c>
      <c r="F220" s="24" t="inlineStr">
        <is>
          <t>Ben Shelton</t>
        </is>
      </c>
      <c r="G220" s="24" t="inlineStr">
        <is>
          <t>Jenson Brooksby</t>
        </is>
      </c>
      <c r="H220" s="24" t="inlineStr">
        <is>
          <t>moneyline</t>
        </is>
      </c>
      <c r="I220" s="24" t="inlineStr">
        <is>
          <t>away</t>
        </is>
      </c>
      <c r="J220" s="25" t="n"/>
      <c r="K220" s="24" t="inlineStr">
        <is>
          <t>polymarket_us</t>
        </is>
      </c>
      <c r="L220" s="26" t="n">
        <v>-355</v>
      </c>
      <c r="M220" s="27" t="n">
        <v>1.28169</v>
      </c>
      <c r="N220" s="28" t="n">
        <v>0.78022</v>
      </c>
      <c r="O220" s="28" t="n">
        <v>0.814392</v>
      </c>
      <c r="P220" s="28" t="n">
        <v>0.05</v>
      </c>
      <c r="Q220" s="28" t="n">
        <v>0.034172</v>
      </c>
      <c r="R220" s="26" t="n">
        <v>37</v>
      </c>
      <c r="S220" s="29" t="n">
        <v>2</v>
      </c>
      <c r="T220" s="24" t="inlineStr">
        <is>
          <t>tennis-surface-elo-v1</t>
        </is>
      </c>
      <c r="U220" s="24" t="inlineStr">
        <is>
          <t>open</t>
        </is>
      </c>
      <c r="V220" s="24" t="n"/>
      <c r="W220" s="26" t="n"/>
      <c r="X220" s="26" t="n"/>
      <c r="Y220" s="25" t="n"/>
      <c r="Z220" s="26" t="n"/>
      <c r="AA220" s="28" t="n"/>
      <c r="AB220" s="28" t="n"/>
      <c r="AC220" s="30" t="n"/>
      <c r="AD220" s="24" t="n"/>
      <c r="AE220" s="31" t="inlineStr">
        <is>
          <t>Surface-blended Elo on Hard: Ben Shelton p=0.814 vs Jenson Brooksby. Executable ask 0.7800 (aec-atp-jenbro-benshe-2026-08-06).</t>
        </is>
      </c>
      <c r="AF220" s="31" t="inlineStr">
        <is>
          <t>Surface-blended Elo model; singles only, WTA+ATP market coverage, not yet locked-holdout qualified -- promoted by explicit operator directive, not genuine walk-forward validation.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NO_CALL_LOW_EDGE</t>
        </is>
      </c>
      <c r="AP220" s="24" t="inlineStr">
        <is>
          <t>Ben Shelton</t>
        </is>
      </c>
      <c r="AQ220" s="24" t="inlineStr">
        <is>
          <t>Ben Shelton</t>
        </is>
      </c>
      <c r="AR220" s="24" t="inlineStr">
        <is>
          <t>Ben Shelton</t>
        </is>
      </c>
      <c r="AS220" s="24" t="inlineStr">
        <is>
          <t>Jenson Brooksby</t>
        </is>
      </c>
      <c r="AT220" s="24" t="inlineStr">
        <is>
          <t>Jenson Brooksby</t>
        </is>
      </c>
      <c r="AU220" s="24" t="inlineStr">
        <is>
          <t>Jenson Brooksby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3ab056fefe04713e3c294da76c8adb2866b0dc46556ed32322a0426dd344a0e4</t>
        </is>
      </c>
      <c r="BB220" s="24" t="inlineStr">
        <is>
          <t>surface_blended_elo</t>
        </is>
      </c>
      <c r="BC220" s="24" t="inlineStr">
        <is>
          <t>tennis-surface-elo-v1</t>
        </is>
      </c>
      <c r="BD220" s="24" t="inlineStr">
        <is>
          <t>3ab056fefe04713e3c294da76c8adb2866b0dc46556ed32322a0426dd344a0e4</t>
        </is>
      </c>
      <c r="BE220" s="24" t="inlineStr">
        <is>
          <t>tennis-surface-elo-v1</t>
        </is>
      </c>
      <c r="BF220" s="24" t="inlineStr">
        <is>
          <t>1</t>
        </is>
      </c>
      <c r="BG220" s="24" t="inlineStr">
        <is>
          <t>3ab056fefe04713e3c294da76c8adb2866b0dc46556ed32322a0426dd344a0e4</t>
        </is>
      </c>
      <c r="BH220" s="24" t="inlineStr">
        <is>
          <t>2026-08-05T04:34:32.617133Z</t>
        </is>
      </c>
      <c r="BI220" s="24" t="inlineStr">
        <is>
          <t>["same_event","same_team_same_day","same_league_same_day"]</t>
        </is>
      </c>
      <c r="BJ220" s="25" t="n"/>
      <c r="BK220" s="26" t="n">
        <v>-355</v>
      </c>
      <c r="BL220" s="27" t="n">
        <v>1.28169</v>
      </c>
      <c r="BM220" s="28" t="n">
        <v>0.78022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True</t>
        </is>
      </c>
    </row>
    <row r="221" ht="36" customHeight="1">
      <c r="A221" s="24" t="inlineStr">
        <is>
          <t>d504a64bd6174b3a</t>
        </is>
      </c>
      <c r="B221" s="24" t="inlineStr">
        <is>
          <t>2026-08-05T04:36:19.625619Z</t>
        </is>
      </c>
      <c r="C221" s="24" t="inlineStr">
        <is>
          <t>2026-08-05T18:00Z</t>
        </is>
      </c>
      <c r="D221" s="24" t="inlineStr">
        <is>
          <t>421-2026:181729</t>
        </is>
      </c>
      <c r="E221" s="24" t="inlineStr">
        <is>
          <t>TENNIS</t>
        </is>
      </c>
      <c r="F221" s="24" t="inlineStr">
        <is>
          <t>Alexei Popyrin</t>
        </is>
      </c>
      <c r="G221" s="24" t="inlineStr">
        <is>
          <t>Raphael Collignon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polymarket_us</t>
        </is>
      </c>
      <c r="L221" s="26" t="n">
        <v>-178</v>
      </c>
      <c r="M221" s="27" t="n">
        <v>1.561798</v>
      </c>
      <c r="N221" s="28" t="n">
        <v>0.640288</v>
      </c>
      <c r="O221" s="28" t="n">
        <v>0.57423</v>
      </c>
      <c r="P221" s="28" t="n">
        <v>0.05</v>
      </c>
      <c r="Q221" s="28" t="n">
        <v>-0.06605800000000001</v>
      </c>
      <c r="R221" s="26" t="n">
        <v>0</v>
      </c>
      <c r="S221" s="29" t="n">
        <v>1.25</v>
      </c>
      <c r="T221" s="24" t="inlineStr">
        <is>
          <t>tennis-surface-elo-v1</t>
        </is>
      </c>
      <c r="U221" s="24" t="inlineStr">
        <is>
          <t>open</t>
        </is>
      </c>
      <c r="V221" s="24" t="n"/>
      <c r="W221" s="26" t="n"/>
      <c r="X221" s="26" t="n"/>
      <c r="Y221" s="25" t="n"/>
      <c r="Z221" s="26" t="n"/>
      <c r="AA221" s="28" t="n"/>
      <c r="AB221" s="28" t="n"/>
      <c r="AC221" s="30" t="n"/>
      <c r="AD221" s="24" t="n"/>
      <c r="AE221" s="31" t="inlineStr">
        <is>
          <t>Surface-blended Elo on Hard: Alexei Popyrin p=0.426 vs Raphael Collignon. Executable ask 0.6400 (aec-atp-rapcol-alepop-2026-08-05).</t>
        </is>
      </c>
      <c r="AF221" s="31" t="inlineStr">
        <is>
          <t>Surface-blended Elo model; singles only, WTA+ATP market coverage, not yet locked-holdout qualified -- promoted by explicit operator directive, not genuine walk-forward validation.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research_observation</t>
        </is>
      </c>
      <c r="AL221" s="26" t="n">
        <v>3</v>
      </c>
      <c r="AM221" s="24" t="inlineStr">
        <is>
          <t>RESEARCH_OBSERVATION</t>
        </is>
      </c>
      <c r="AN221" s="24" t="inlineStr">
        <is>
          <t>NO_CALL</t>
        </is>
      </c>
      <c r="AO221" s="24" t="inlineStr">
        <is>
          <t>NO_CALL_LOW_EDGE</t>
        </is>
      </c>
      <c r="AP221" s="24" t="inlineStr">
        <is>
          <t>Alexei Popyrin</t>
        </is>
      </c>
      <c r="AQ221" s="24" t="inlineStr">
        <is>
          <t>Alexei Popyrin</t>
        </is>
      </c>
      <c r="AR221" s="24" t="inlineStr">
        <is>
          <t>Alexei Popyrin</t>
        </is>
      </c>
      <c r="AS221" s="24" t="inlineStr">
        <is>
          <t>Raphael Collignon</t>
        </is>
      </c>
      <c r="AT221" s="24" t="inlineStr">
        <is>
          <t>Raphael Collignon</t>
        </is>
      </c>
      <c r="AU221" s="24" t="inlineStr">
        <is>
          <t>Raphael Collignon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3ab056fefe04713e3c294da76c8adb2866b0dc46556ed32322a0426dd344a0e4</t>
        </is>
      </c>
      <c r="BB221" s="24" t="inlineStr">
        <is>
          <t>surface_blended_elo</t>
        </is>
      </c>
      <c r="BC221" s="24" t="inlineStr">
        <is>
          <t>tennis-surface-elo-v1</t>
        </is>
      </c>
      <c r="BD221" s="24" t="inlineStr">
        <is>
          <t>3ab056fefe04713e3c294da76c8adb2866b0dc46556ed32322a0426dd344a0e4</t>
        </is>
      </c>
      <c r="BE221" s="24" t="inlineStr">
        <is>
          <t>tennis-surface-elo-v1</t>
        </is>
      </c>
      <c r="BF221" s="24" t="inlineStr">
        <is>
          <t>1</t>
        </is>
      </c>
      <c r="BG221" s="24" t="inlineStr">
        <is>
          <t>3ab056fefe04713e3c294da76c8adb2866b0dc46556ed32322a0426dd344a0e4</t>
        </is>
      </c>
      <c r="BH221" s="24" t="inlineStr">
        <is>
          <t>2026-08-05T04:34:35.776227Z</t>
        </is>
      </c>
      <c r="BI221" s="24" t="inlineStr">
        <is>
          <t>["same_event","same_team_same_day","same_league_same_day"]</t>
        </is>
      </c>
      <c r="BJ221" s="25" t="n"/>
      <c r="BK221" s="26" t="n">
        <v>-178</v>
      </c>
      <c r="BL221" s="27" t="n">
        <v>1.561798</v>
      </c>
      <c r="BM221" s="28" t="n">
        <v>0.640288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</row>
    <row r="222" ht="36" customHeight="1">
      <c r="A222" s="24" t="inlineStr">
        <is>
          <t>4890a2553285485e</t>
        </is>
      </c>
      <c r="B222" s="24" t="inlineStr">
        <is>
          <t>2026-08-05T04:36:19.625619Z</t>
        </is>
      </c>
      <c r="C222" s="24" t="inlineStr">
        <is>
          <t>2026-08-05T18:00Z</t>
        </is>
      </c>
      <c r="D222" s="24" t="inlineStr">
        <is>
          <t>421-2026:181735</t>
        </is>
      </c>
      <c r="E222" s="24" t="inlineStr">
        <is>
          <t>TENNIS</t>
        </is>
      </c>
      <c r="F222" s="24" t="inlineStr">
        <is>
          <t>Taylor Fritz</t>
        </is>
      </c>
      <c r="G222" s="24" t="inlineStr">
        <is>
          <t>Thiago Agustin Tirante</t>
        </is>
      </c>
      <c r="H222" s="24" t="inlineStr">
        <is>
          <t>moneyline</t>
        </is>
      </c>
      <c r="I222" s="24" t="inlineStr">
        <is>
          <t>away</t>
        </is>
      </c>
      <c r="J222" s="25" t="n"/>
      <c r="K222" s="24" t="inlineStr">
        <is>
          <t>polymarket_us</t>
        </is>
      </c>
      <c r="L222" s="26" t="n">
        <v>-614</v>
      </c>
      <c r="M222" s="27" t="n">
        <v>1.162866</v>
      </c>
      <c r="N222" s="28" t="n">
        <v>0.859944</v>
      </c>
      <c r="O222" s="28" t="n">
        <v>0.744005</v>
      </c>
      <c r="P222" s="28" t="n">
        <v>0.05</v>
      </c>
      <c r="Q222" s="28" t="n">
        <v>-0.115939</v>
      </c>
      <c r="R222" s="26" t="n">
        <v>0</v>
      </c>
      <c r="S222" s="29" t="n">
        <v>2</v>
      </c>
      <c r="T222" s="24" t="inlineStr">
        <is>
          <t>tennis-surface-elo-v1</t>
        </is>
      </c>
      <c r="U222" s="24" t="inlineStr">
        <is>
          <t>open</t>
        </is>
      </c>
      <c r="V222" s="24" t="n"/>
      <c r="W222" s="26" t="n"/>
      <c r="X222" s="26" t="n"/>
      <c r="Y222" s="25" t="n"/>
      <c r="Z222" s="26" t="n"/>
      <c r="AA222" s="28" t="n"/>
      <c r="AB222" s="28" t="n"/>
      <c r="AC222" s="30" t="n"/>
      <c r="AD222" s="24" t="n"/>
      <c r="AE222" s="31" t="inlineStr">
        <is>
          <t>Surface-blended Elo on Hard: Taylor Fritz p=0.744 vs Thiago Agustin Tirante. Executable ask 0.8600 (aec-atp-thitir-tayfri-2026-08-05).</t>
        </is>
      </c>
      <c r="AF222" s="31" t="inlineStr">
        <is>
          <t>Surface-blended Elo model; singles only, WTA+ATP market coverage, not yet locked-holdout qualified -- promoted by explicit operator directive, not genuine walk-forward validation.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research_observation</t>
        </is>
      </c>
      <c r="AL222" s="26" t="n">
        <v>3</v>
      </c>
      <c r="AM222" s="24" t="inlineStr">
        <is>
          <t>RESEARCH_OBSERVATION</t>
        </is>
      </c>
      <c r="AN222" s="24" t="inlineStr">
        <is>
          <t>NO_CALL</t>
        </is>
      </c>
      <c r="AO222" s="24" t="inlineStr">
        <is>
          <t>NO_CALL_LOW_EDGE</t>
        </is>
      </c>
      <c r="AP222" s="24" t="inlineStr">
        <is>
          <t>Taylor Fritz</t>
        </is>
      </c>
      <c r="AQ222" s="24" t="inlineStr">
        <is>
          <t>Taylor Fritz</t>
        </is>
      </c>
      <c r="AR222" s="24" t="inlineStr">
        <is>
          <t>Taylor Fritz</t>
        </is>
      </c>
      <c r="AS222" s="24" t="inlineStr">
        <is>
          <t>Thiago Agustin Tirante</t>
        </is>
      </c>
      <c r="AT222" s="24" t="inlineStr">
        <is>
          <t>Thiago Agustin Tirante</t>
        </is>
      </c>
      <c r="AU222" s="24" t="inlineStr">
        <is>
          <t>Thiago Agustin Tirante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3ab056fefe04713e3c294da76c8adb2866b0dc46556ed32322a0426dd344a0e4</t>
        </is>
      </c>
      <c r="BB222" s="24" t="inlineStr">
        <is>
          <t>surface_blended_elo</t>
        </is>
      </c>
      <c r="BC222" s="24" t="inlineStr">
        <is>
          <t>tennis-surface-elo-v1</t>
        </is>
      </c>
      <c r="BD222" s="24" t="inlineStr">
        <is>
          <t>3ab056fefe04713e3c294da76c8adb2866b0dc46556ed32322a0426dd344a0e4</t>
        </is>
      </c>
      <c r="BE222" s="24" t="inlineStr">
        <is>
          <t>tennis-surface-elo-v1</t>
        </is>
      </c>
      <c r="BF222" s="24" t="inlineStr">
        <is>
          <t>1</t>
        </is>
      </c>
      <c r="BG222" s="24" t="inlineStr">
        <is>
          <t>3ab056fefe04713e3c294da76c8adb2866b0dc46556ed32322a0426dd344a0e4</t>
        </is>
      </c>
      <c r="BH222" s="24" t="inlineStr">
        <is>
          <t>2026-08-05T04:34:36.860956Z</t>
        </is>
      </c>
      <c r="BI222" s="24" t="inlineStr">
        <is>
          <t>["same_event","same_team_same_day","same_league_same_day"]</t>
        </is>
      </c>
      <c r="BJ222" s="25" t="n"/>
      <c r="BK222" s="26" t="n">
        <v>-614</v>
      </c>
      <c r="BL222" s="27" t="n">
        <v>1.162866</v>
      </c>
      <c r="BM222" s="28" t="n">
        <v>0.859944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</row>
    <row r="223" ht="36" customHeight="1">
      <c r="A223" s="24" t="inlineStr">
        <is>
          <t>b436f00b7ed040d7</t>
        </is>
      </c>
      <c r="B223" s="24" t="inlineStr">
        <is>
          <t>2026-08-05T04:36:19.625619Z</t>
        </is>
      </c>
      <c r="C223" s="24" t="inlineStr">
        <is>
          <t>2026-08-05T18:00Z</t>
        </is>
      </c>
      <c r="D223" s="24" t="inlineStr">
        <is>
          <t>421-2026:181743</t>
        </is>
      </c>
      <c r="E223" s="24" t="inlineStr">
        <is>
          <t>TENNIS</t>
        </is>
      </c>
      <c r="F223" s="24" t="inlineStr">
        <is>
          <t>Alejandro Tabilo</t>
        </is>
      </c>
      <c r="G223" s="24" t="inlineStr">
        <is>
          <t>Hubert Hurkacz</t>
        </is>
      </c>
      <c r="H223" s="24" t="inlineStr">
        <is>
          <t>moneyline</t>
        </is>
      </c>
      <c r="I223" s="24" t="inlineStr">
        <is>
          <t>away</t>
        </is>
      </c>
      <c r="J223" s="25" t="n"/>
      <c r="K223" s="24" t="inlineStr">
        <is>
          <t>polymarket_us</t>
        </is>
      </c>
      <c r="L223" s="26" t="n">
        <v>150</v>
      </c>
      <c r="M223" s="27" t="n">
        <v>2.5</v>
      </c>
      <c r="N223" s="28" t="n">
        <v>0.4</v>
      </c>
      <c r="O223" s="28" t="n">
        <v>0.584869</v>
      </c>
      <c r="P223" s="28" t="n">
        <v>0.05</v>
      </c>
      <c r="Q223" s="28" t="n">
        <v>0.184869</v>
      </c>
      <c r="R223" s="26" t="n">
        <v>100</v>
      </c>
      <c r="S223" s="29" t="n">
        <v>1.25</v>
      </c>
      <c r="T223" s="24" t="inlineStr">
        <is>
          <t>tennis-surface-elo-v1</t>
        </is>
      </c>
      <c r="U223" s="24" t="inlineStr">
        <is>
          <t>open</t>
        </is>
      </c>
      <c r="V223" s="24" t="n"/>
      <c r="W223" s="26" t="n"/>
      <c r="X223" s="26" t="n"/>
      <c r="Y223" s="25" t="n"/>
      <c r="Z223" s="26" t="n"/>
      <c r="AA223" s="28" t="n"/>
      <c r="AB223" s="28" t="n"/>
      <c r="AC223" s="30" t="n"/>
      <c r="AD223" s="24" t="n"/>
      <c r="AE223" s="31" t="inlineStr">
        <is>
          <t>Surface-blended Elo on Hard: Alejandro Tabilo p=0.585 vs Hubert Hurkacz. Executable ask 0.4000 (aec-atp-hubhur-aletab-2026-08-06).</t>
        </is>
      </c>
      <c r="AF223" s="31" t="inlineStr">
        <is>
          <t>Surface-blended Elo model; singles only, WTA+ATP market coverage, not yet locked-holdout qualified -- promoted by explicit operator directive, not genuine walk-forward validation.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3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Alejandro Tabilo</t>
        </is>
      </c>
      <c r="AQ223" s="24" t="inlineStr">
        <is>
          <t>Alejandro Tabilo</t>
        </is>
      </c>
      <c r="AR223" s="24" t="inlineStr">
        <is>
          <t>Alejandro Tabilo</t>
        </is>
      </c>
      <c r="AS223" s="24" t="inlineStr">
        <is>
          <t>Hubert Hurkacz</t>
        </is>
      </c>
      <c r="AT223" s="24" t="inlineStr">
        <is>
          <t>Hubert Hurkacz</t>
        </is>
      </c>
      <c r="AU223" s="24" t="inlineStr">
        <is>
          <t>Hubert Hurkacz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3ab056fefe04713e3c294da76c8adb2866b0dc46556ed32322a0426dd344a0e4</t>
        </is>
      </c>
      <c r="BB223" s="24" t="inlineStr">
        <is>
          <t>surface_blended_elo</t>
        </is>
      </c>
      <c r="BC223" s="24" t="inlineStr">
        <is>
          <t>tennis-surface-elo-v1</t>
        </is>
      </c>
      <c r="BD223" s="24" t="inlineStr">
        <is>
          <t>3ab056fefe04713e3c294da76c8adb2866b0dc46556ed32322a0426dd344a0e4</t>
        </is>
      </c>
      <c r="BE223" s="24" t="inlineStr">
        <is>
          <t>tennis-surface-elo-v1</t>
        </is>
      </c>
      <c r="BF223" s="24" t="inlineStr">
        <is>
          <t>1</t>
        </is>
      </c>
      <c r="BG223" s="24" t="inlineStr">
        <is>
          <t>3ab056fefe04713e3c294da76c8adb2866b0dc46556ed32322a0426dd344a0e4</t>
        </is>
      </c>
      <c r="BH223" s="24" t="inlineStr">
        <is>
          <t>2026-08-05T04:34:34.393571Z</t>
        </is>
      </c>
      <c r="BI223" s="24" t="inlineStr">
        <is>
          <t>["same_event","same_team_same_day","same_league_same_day"]</t>
        </is>
      </c>
      <c r="BJ223" s="25" t="n"/>
      <c r="BK223" s="26" t="n">
        <v>150</v>
      </c>
      <c r="BL223" s="27" t="n">
        <v>2.5</v>
      </c>
      <c r="BM223" s="28" t="n">
        <v>0.4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</row>
    <row r="224" ht="36" customHeight="1">
      <c r="A224" s="24" t="inlineStr">
        <is>
          <t>9ef0e1c9a5cf4237</t>
        </is>
      </c>
      <c r="B224" s="24" t="inlineStr">
        <is>
          <t>2026-08-05T04:36:19.625619Z</t>
        </is>
      </c>
      <c r="C224" s="24" t="inlineStr">
        <is>
          <t>2026-08-05T18:00Z</t>
        </is>
      </c>
      <c r="D224" s="24" t="inlineStr">
        <is>
          <t>421-2026:181749</t>
        </is>
      </c>
      <c r="E224" s="24" t="inlineStr">
        <is>
          <t>TENNIS</t>
        </is>
      </c>
      <c r="F224" s="24" t="inlineStr">
        <is>
          <t>Corentin Moutet</t>
        </is>
      </c>
      <c r="G224" s="24" t="inlineStr">
        <is>
          <t>Rafael Jodar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-285</v>
      </c>
      <c r="M224" s="27" t="n">
        <v>1.350877</v>
      </c>
      <c r="N224" s="28" t="n">
        <v>0.74026</v>
      </c>
      <c r="O224" s="28" t="n">
        <v>0.707792</v>
      </c>
      <c r="P224" s="28" t="n">
        <v>0.05</v>
      </c>
      <c r="Q224" s="28" t="n">
        <v>-0.032468</v>
      </c>
      <c r="R224" s="26" t="n">
        <v>4</v>
      </c>
      <c r="S224" s="29" t="n">
        <v>2</v>
      </c>
      <c r="T224" s="24" t="inlineStr">
        <is>
          <t>tennis-surface-elo-v1</t>
        </is>
      </c>
      <c r="U224" s="24" t="inlineStr">
        <is>
          <t>open</t>
        </is>
      </c>
      <c r="V224" s="24" t="n"/>
      <c r="W224" s="26" t="n"/>
      <c r="X224" s="26" t="n"/>
      <c r="Y224" s="25" t="n"/>
      <c r="Z224" s="26" t="n"/>
      <c r="AA224" s="28" t="n"/>
      <c r="AB224" s="28" t="n"/>
      <c r="AC224" s="30" t="n"/>
      <c r="AD224" s="24" t="n"/>
      <c r="AE224" s="31" t="inlineStr">
        <is>
          <t>Surface-blended Elo on Hard: Corentin Moutet p=0.292 vs Rafael Jodar. Executable ask 0.7400 (aec-atp-rafjod-cormou-2026-08-06).</t>
        </is>
      </c>
      <c r="AF224" s="31" t="inlineStr">
        <is>
          <t>Surface-blended Elo model; singles only, WTA+ATP market coverage, not yet locked-holdout qualified -- promoted by explicit operator directive, not genuine walk-forward validation.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NO_CALL_LOW_EDGE</t>
        </is>
      </c>
      <c r="AP224" s="24" t="inlineStr">
        <is>
          <t>Corentin Moutet</t>
        </is>
      </c>
      <c r="AQ224" s="24" t="inlineStr">
        <is>
          <t>Corentin Moutet</t>
        </is>
      </c>
      <c r="AR224" s="24" t="inlineStr">
        <is>
          <t>Corentin Moutet</t>
        </is>
      </c>
      <c r="AS224" s="24" t="inlineStr">
        <is>
          <t>Rafael Jodar</t>
        </is>
      </c>
      <c r="AT224" s="24" t="inlineStr">
        <is>
          <t>Rafael Jodar</t>
        </is>
      </c>
      <c r="AU224" s="24" t="inlineStr">
        <is>
          <t>Rafael Jodar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3ab056fefe04713e3c294da76c8adb2866b0dc46556ed32322a0426dd344a0e4</t>
        </is>
      </c>
      <c r="BB224" s="24" t="inlineStr">
        <is>
          <t>surface_blended_elo</t>
        </is>
      </c>
      <c r="BC224" s="24" t="inlineStr">
        <is>
          <t>tennis-surface-elo-v1</t>
        </is>
      </c>
      <c r="BD224" s="24" t="inlineStr">
        <is>
          <t>3ab056fefe04713e3c294da76c8adb2866b0dc46556ed32322a0426dd344a0e4</t>
        </is>
      </c>
      <c r="BE224" s="24" t="inlineStr">
        <is>
          <t>tennis-surface-elo-v1</t>
        </is>
      </c>
      <c r="BF224" s="24" t="inlineStr">
        <is>
          <t>1</t>
        </is>
      </c>
      <c r="BG224" s="24" t="inlineStr">
        <is>
          <t>3ab056fefe04713e3c294da76c8adb2866b0dc46556ed32322a0426dd344a0e4</t>
        </is>
      </c>
      <c r="BH224" s="24" t="inlineStr">
        <is>
          <t>2026-08-05T04:34:34.875536Z</t>
        </is>
      </c>
      <c r="BI224" s="24" t="inlineStr">
        <is>
          <t>["same_event","same_team_same_day","same_league_same_day"]</t>
        </is>
      </c>
      <c r="BJ224" s="25" t="n"/>
      <c r="BK224" s="26" t="n">
        <v>-285</v>
      </c>
      <c r="BL224" s="27" t="n">
        <v>1.350877</v>
      </c>
      <c r="BM224" s="28" t="n">
        <v>0.74026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</row>
    <row r="225" ht="36" customHeight="1">
      <c r="A225" s="24" t="inlineStr">
        <is>
          <t>2ae10845562b465c</t>
        </is>
      </c>
      <c r="B225" s="24" t="inlineStr">
        <is>
          <t>2026-08-05T04:36:19.625619Z</t>
        </is>
      </c>
      <c r="C225" s="24" t="inlineStr">
        <is>
          <t>2026-08-05T18:00Z</t>
        </is>
      </c>
      <c r="D225" s="24" t="inlineStr">
        <is>
          <t>421-2026:181750</t>
        </is>
      </c>
      <c r="E225" s="24" t="inlineStr">
        <is>
          <t>TENNIS</t>
        </is>
      </c>
      <c r="F225" s="24" t="inlineStr">
        <is>
          <t>Tallon Griekspoor</t>
        </is>
      </c>
      <c r="G225" s="24" t="inlineStr">
        <is>
          <t>Alexander Zverev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-1011</v>
      </c>
      <c r="M225" s="27" t="n">
        <v>1.098912</v>
      </c>
      <c r="N225" s="28" t="n">
        <v>0.909991</v>
      </c>
      <c r="O225" s="28" t="n">
        <v>0.873265</v>
      </c>
      <c r="P225" s="28" t="n">
        <v>0.05</v>
      </c>
      <c r="Q225" s="28" t="n">
        <v>-0.036726</v>
      </c>
      <c r="R225" s="26" t="n">
        <v>2</v>
      </c>
      <c r="S225" s="29" t="n">
        <v>2</v>
      </c>
      <c r="T225" s="24" t="inlineStr">
        <is>
          <t>tennis-surface-elo-v1</t>
        </is>
      </c>
      <c r="U225" s="24" t="inlineStr">
        <is>
          <t>open</t>
        </is>
      </c>
      <c r="V225" s="24" t="n"/>
      <c r="W225" s="26" t="n"/>
      <c r="X225" s="26" t="n"/>
      <c r="Y225" s="25" t="n"/>
      <c r="Z225" s="26" t="n"/>
      <c r="AA225" s="28" t="n"/>
      <c r="AB225" s="28" t="n"/>
      <c r="AC225" s="30" t="n"/>
      <c r="AD225" s="24" t="n"/>
      <c r="AE225" s="31" t="inlineStr">
        <is>
          <t>Surface-blended Elo on Hard: Tallon Griekspoor p=0.127 vs Alexander Zverev. Executable ask 0.9100 (aec-atp-alezve-talgri-2026-08-06).</t>
        </is>
      </c>
      <c r="AF225" s="31" t="inlineStr">
        <is>
          <t>Surface-blended Elo model; singles only, WTA+ATP market coverage, not yet locked-holdout qualified -- promoted by explicit operator directive, not genuine walk-forward validation.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research_observation</t>
        </is>
      </c>
      <c r="AL225" s="26" t="n">
        <v>3</v>
      </c>
      <c r="AM225" s="24" t="inlineStr">
        <is>
          <t>RESEARCH_OBSERVATION</t>
        </is>
      </c>
      <c r="AN225" s="24" t="inlineStr">
        <is>
          <t>NO_CALL</t>
        </is>
      </c>
      <c r="AO225" s="24" t="inlineStr">
        <is>
          <t>NO_CALL_LOW_EDGE</t>
        </is>
      </c>
      <c r="AP225" s="24" t="inlineStr">
        <is>
          <t>Tallon Griekspoor</t>
        </is>
      </c>
      <c r="AQ225" s="24" t="inlineStr">
        <is>
          <t>Tallon Griekspoor</t>
        </is>
      </c>
      <c r="AR225" s="24" t="inlineStr">
        <is>
          <t>Tallon Griekspoor</t>
        </is>
      </c>
      <c r="AS225" s="24" t="inlineStr">
        <is>
          <t>Alexander Zverev</t>
        </is>
      </c>
      <c r="AT225" s="24" t="inlineStr">
        <is>
          <t>Alexander Zverev</t>
        </is>
      </c>
      <c r="AU225" s="24" t="inlineStr">
        <is>
          <t>Alexander Zverev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3ab056fefe04713e3c294da76c8adb2866b0dc46556ed32322a0426dd344a0e4</t>
        </is>
      </c>
      <c r="BB225" s="24" t="inlineStr">
        <is>
          <t>surface_blended_elo</t>
        </is>
      </c>
      <c r="BC225" s="24" t="inlineStr">
        <is>
          <t>tennis-surface-elo-v1</t>
        </is>
      </c>
      <c r="BD225" s="24" t="inlineStr">
        <is>
          <t>3ab056fefe04713e3c294da76c8adb2866b0dc46556ed32322a0426dd344a0e4</t>
        </is>
      </c>
      <c r="BE225" s="24" t="inlineStr">
        <is>
          <t>tennis-surface-elo-v1</t>
        </is>
      </c>
      <c r="BF225" s="24" t="inlineStr">
        <is>
          <t>1</t>
        </is>
      </c>
      <c r="BG225" s="24" t="inlineStr">
        <is>
          <t>3ab056fefe04713e3c294da76c8adb2866b0dc46556ed32322a0426dd344a0e4</t>
        </is>
      </c>
      <c r="BH225" s="24" t="inlineStr">
        <is>
          <t>2026-08-05T04:34:37.236117Z</t>
        </is>
      </c>
      <c r="BI225" s="24" t="inlineStr">
        <is>
          <t>["same_event","same_team_same_day","same_league_same_day"]</t>
        </is>
      </c>
      <c r="BJ225" s="25" t="n"/>
      <c r="BK225" s="26" t="n">
        <v>-1011</v>
      </c>
      <c r="BL225" s="27" t="n">
        <v>1.098912</v>
      </c>
      <c r="BM225" s="28" t="n">
        <v>0.909991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False</t>
        </is>
      </c>
    </row>
    <row r="226" ht="36" customHeight="1">
      <c r="A226" s="24" t="inlineStr">
        <is>
          <t>28c64cab10954dea</t>
        </is>
      </c>
      <c r="B226" s="24" t="inlineStr">
        <is>
          <t>2026-08-05T04:36:19.625619Z</t>
        </is>
      </c>
      <c r="C226" s="24" t="inlineStr">
        <is>
          <t>2026-08-05T19:30Z</t>
        </is>
      </c>
      <c r="D226" s="24" t="inlineStr">
        <is>
          <t>421-2026:181741</t>
        </is>
      </c>
      <c r="E226" s="24" t="inlineStr">
        <is>
          <t>TENNIS</t>
        </is>
      </c>
      <c r="F226" s="24" t="inlineStr">
        <is>
          <t>Terence Atmane</t>
        </is>
      </c>
      <c r="G226" s="24" t="inlineStr">
        <is>
          <t>Karen Khachanov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-150</v>
      </c>
      <c r="M226" s="27" t="n">
        <v>1.666667</v>
      </c>
      <c r="N226" s="28" t="n">
        <v>0.6</v>
      </c>
      <c r="O226" s="28" t="n">
        <v>0.596987</v>
      </c>
      <c r="P226" s="28" t="n">
        <v>0.05</v>
      </c>
      <c r="Q226" s="28" t="n">
        <v>-0.003013</v>
      </c>
      <c r="R226" s="26" t="n">
        <v>18</v>
      </c>
      <c r="S226" s="29" t="n">
        <v>1.25</v>
      </c>
      <c r="T226" s="24" t="inlineStr">
        <is>
          <t>tennis-surface-elo-v1</t>
        </is>
      </c>
      <c r="U226" s="24" t="inlineStr">
        <is>
          <t>open</t>
        </is>
      </c>
      <c r="V226" s="24" t="n"/>
      <c r="W226" s="26" t="n"/>
      <c r="X226" s="26" t="n"/>
      <c r="Y226" s="25" t="n"/>
      <c r="Z226" s="26" t="n"/>
      <c r="AA226" s="28" t="n"/>
      <c r="AB226" s="28" t="n"/>
      <c r="AC226" s="30" t="n"/>
      <c r="AD226" s="24" t="n"/>
      <c r="AE226" s="31" t="inlineStr">
        <is>
          <t>Surface-blended Elo on Hard: Terence Atmane p=0.403 vs Karen Khachanov. Executable ask 0.6000 (aec-atp-karkha-teratm-2026-08-06).</t>
        </is>
      </c>
      <c r="AF226" s="31" t="inlineStr">
        <is>
          <t>Surface-blended Elo model; singles only, WTA+ATP market coverage, not yet locked-holdout qualified -- promoted by explicit operator directive, not genuine walk-forward validation.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research_observation</t>
        </is>
      </c>
      <c r="AL226" s="26" t="n">
        <v>3</v>
      </c>
      <c r="AM226" s="24" t="inlineStr">
        <is>
          <t>RESEARCH_OBSERVATION</t>
        </is>
      </c>
      <c r="AN226" s="24" t="inlineStr">
        <is>
          <t>NO_CALL</t>
        </is>
      </c>
      <c r="AO226" s="24" t="inlineStr">
        <is>
          <t>NO_CALL_LOW_EDGE</t>
        </is>
      </c>
      <c r="AP226" s="24" t="inlineStr">
        <is>
          <t>Terence Atmane</t>
        </is>
      </c>
      <c r="AQ226" s="24" t="inlineStr">
        <is>
          <t>Terence Atmane</t>
        </is>
      </c>
      <c r="AR226" s="24" t="inlineStr">
        <is>
          <t>Terence Atmane</t>
        </is>
      </c>
      <c r="AS226" s="24" t="inlineStr">
        <is>
          <t>Karen Khachanov</t>
        </is>
      </c>
      <c r="AT226" s="24" t="inlineStr">
        <is>
          <t>Karen Khachanov</t>
        </is>
      </c>
      <c r="AU226" s="24" t="inlineStr">
        <is>
          <t>Karen Khachanov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3ab056fefe04713e3c294da76c8adb2866b0dc46556ed32322a0426dd344a0e4</t>
        </is>
      </c>
      <c r="BB226" s="24" t="inlineStr">
        <is>
          <t>surface_blended_elo</t>
        </is>
      </c>
      <c r="BC226" s="24" t="inlineStr">
        <is>
          <t>tennis-surface-elo-v1</t>
        </is>
      </c>
      <c r="BD226" s="24" t="inlineStr">
        <is>
          <t>3ab056fefe04713e3c294da76c8adb2866b0dc46556ed32322a0426dd344a0e4</t>
        </is>
      </c>
      <c r="BE226" s="24" t="inlineStr">
        <is>
          <t>tennis-surface-elo-v1</t>
        </is>
      </c>
      <c r="BF226" s="24" t="inlineStr">
        <is>
          <t>1</t>
        </is>
      </c>
      <c r="BG226" s="24" t="inlineStr">
        <is>
          <t>3ab056fefe04713e3c294da76c8adb2866b0dc46556ed32322a0426dd344a0e4</t>
        </is>
      </c>
      <c r="BH226" s="24" t="inlineStr">
        <is>
          <t>2026-08-05T04:34:37.920386Z</t>
        </is>
      </c>
      <c r="BI226" s="24" t="inlineStr">
        <is>
          <t>["same_event","same_team_same_day","same_league_same_day"]</t>
        </is>
      </c>
      <c r="BJ226" s="25" t="n"/>
      <c r="BK226" s="26" t="n">
        <v>-150</v>
      </c>
      <c r="BL226" s="27" t="n">
        <v>1.666667</v>
      </c>
      <c r="BM226" s="28" t="n">
        <v>0.6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False</t>
        </is>
      </c>
    </row>
    <row r="227" ht="36" customHeight="1">
      <c r="A227" s="24" t="inlineStr">
        <is>
          <t>009b032ba67b45cf</t>
        </is>
      </c>
      <c r="B227" s="24" t="inlineStr">
        <is>
          <t>2026-08-05T04:36:19.625619Z</t>
        </is>
      </c>
      <c r="C227" s="24" t="inlineStr">
        <is>
          <t>2026-08-05T19:30Z</t>
        </is>
      </c>
      <c r="D227" s="24" t="inlineStr">
        <is>
          <t>421-2026:181746</t>
        </is>
      </c>
      <c r="E227" s="24" t="inlineStr">
        <is>
          <t>TENNIS</t>
        </is>
      </c>
      <c r="F227" s="24" t="inlineStr">
        <is>
          <t>Matteo Arnaldi</t>
        </is>
      </c>
      <c r="G227" s="24" t="inlineStr">
        <is>
          <t>Fabian Marozsan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polymarket_us</t>
        </is>
      </c>
      <c r="L227" s="26" t="n">
        <v>-163</v>
      </c>
      <c r="M227" s="27" t="n">
        <v>1.613497</v>
      </c>
      <c r="N227" s="28" t="n">
        <v>0.619772</v>
      </c>
      <c r="O227" s="28" t="n">
        <v>0.605216</v>
      </c>
      <c r="P227" s="28" t="n">
        <v>0.05</v>
      </c>
      <c r="Q227" s="28" t="n">
        <v>-0.014556</v>
      </c>
      <c r="R227" s="26" t="n">
        <v>13</v>
      </c>
      <c r="S227" s="29" t="n">
        <v>1.25</v>
      </c>
      <c r="T227" s="24" t="inlineStr">
        <is>
          <t>tennis-surface-elo-v1</t>
        </is>
      </c>
      <c r="U227" s="24" t="inlineStr">
        <is>
          <t>open</t>
        </is>
      </c>
      <c r="V227" s="24" t="n"/>
      <c r="W227" s="26" t="n"/>
      <c r="X227" s="26" t="n"/>
      <c r="Y227" s="25" t="n"/>
      <c r="Z227" s="26" t="n"/>
      <c r="AA227" s="28" t="n"/>
      <c r="AB227" s="28" t="n"/>
      <c r="AC227" s="30" t="n"/>
      <c r="AD227" s="24" t="n"/>
      <c r="AE227" s="31" t="inlineStr">
        <is>
          <t>Surface-blended Elo on Hard: Matteo Arnaldi p=0.395 vs Fabian Marozsan. Executable ask 0.6200 (aec-atp-fabmar-matarn-2026-08-05).</t>
        </is>
      </c>
      <c r="AF227" s="31" t="inlineStr">
        <is>
          <t>Surface-blended Elo model; singles only, WTA+ATP market coverage, not yet locked-holdout qualified -- promoted by explicit operator directive, not genuine walk-forward validation.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research_observation</t>
        </is>
      </c>
      <c r="AL227" s="26" t="n">
        <v>3</v>
      </c>
      <c r="AM227" s="24" t="inlineStr">
        <is>
          <t>RESEARCH_OBSERVATION</t>
        </is>
      </c>
      <c r="AN227" s="24" t="inlineStr">
        <is>
          <t>NO_CALL</t>
        </is>
      </c>
      <c r="AO227" s="24" t="inlineStr">
        <is>
          <t>NO_CALL_LOW_EDGE</t>
        </is>
      </c>
      <c r="AP227" s="24" t="inlineStr">
        <is>
          <t>Matteo Arnaldi</t>
        </is>
      </c>
      <c r="AQ227" s="24" t="inlineStr">
        <is>
          <t>Matteo Arnaldi</t>
        </is>
      </c>
      <c r="AR227" s="24" t="inlineStr">
        <is>
          <t>Matteo Arnaldi</t>
        </is>
      </c>
      <c r="AS227" s="24" t="inlineStr">
        <is>
          <t>Fabian Marozsan</t>
        </is>
      </c>
      <c r="AT227" s="24" t="inlineStr">
        <is>
          <t>Fabian Marozsan</t>
        </is>
      </c>
      <c r="AU227" s="24" t="inlineStr">
        <is>
          <t>Fabian Marozsan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3ab056fefe04713e3c294da76c8adb2866b0dc46556ed32322a0426dd344a0e4</t>
        </is>
      </c>
      <c r="BB227" s="24" t="inlineStr">
        <is>
          <t>surface_blended_elo</t>
        </is>
      </c>
      <c r="BC227" s="24" t="inlineStr">
        <is>
          <t>tennis-surface-elo-v1</t>
        </is>
      </c>
      <c r="BD227" s="24" t="inlineStr">
        <is>
          <t>3ab056fefe04713e3c294da76c8adb2866b0dc46556ed32322a0426dd344a0e4</t>
        </is>
      </c>
      <c r="BE227" s="24" t="inlineStr">
        <is>
          <t>tennis-surface-elo-v1</t>
        </is>
      </c>
      <c r="BF227" s="24" t="inlineStr">
        <is>
          <t>1</t>
        </is>
      </c>
      <c r="BG227" s="24" t="inlineStr">
        <is>
          <t>3ab056fefe04713e3c294da76c8adb2866b0dc46556ed32322a0426dd344a0e4</t>
        </is>
      </c>
      <c r="BH227" s="24" t="inlineStr">
        <is>
          <t>2026-08-05T04:34:38.565853Z</t>
        </is>
      </c>
      <c r="BI227" s="24" t="inlineStr">
        <is>
          <t>["same_event","same_team_same_day","same_league_same_day"]</t>
        </is>
      </c>
      <c r="BJ227" s="25" t="n"/>
      <c r="BK227" s="26" t="n">
        <v>-163</v>
      </c>
      <c r="BL227" s="27" t="n">
        <v>1.613497</v>
      </c>
      <c r="BM227" s="28" t="n">
        <v>0.619772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</row>
    <row r="228" ht="36" customHeight="1">
      <c r="A228" s="24" t="inlineStr">
        <is>
          <t>d4b169740ac44c87</t>
        </is>
      </c>
      <c r="B228" s="24" t="inlineStr">
        <is>
          <t>2026-08-05T04:36:19.625619Z</t>
        </is>
      </c>
      <c r="C228" s="24" t="inlineStr">
        <is>
          <t>2026-08-05T19:30Z</t>
        </is>
      </c>
      <c r="D228" s="24" t="inlineStr">
        <is>
          <t>421-2026:181753</t>
        </is>
      </c>
      <c r="E228" s="24" t="inlineStr">
        <is>
          <t>TENNIS</t>
        </is>
      </c>
      <c r="F228" s="24" t="inlineStr">
        <is>
          <t>Francisco Cerundolo</t>
        </is>
      </c>
      <c r="G228" s="24" t="inlineStr">
        <is>
          <t>Alex Michelsen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150</v>
      </c>
      <c r="M228" s="27" t="n">
        <v>2.5</v>
      </c>
      <c r="N228" s="28" t="n">
        <v>0.4</v>
      </c>
      <c r="O228" s="28" t="n">
        <v>0.657899</v>
      </c>
      <c r="P228" s="28" t="n">
        <v>0.05</v>
      </c>
      <c r="Q228" s="28" t="n">
        <v>0.257899</v>
      </c>
      <c r="R228" s="26" t="n">
        <v>100</v>
      </c>
      <c r="S228" s="29" t="n">
        <v>1.75</v>
      </c>
      <c r="T228" s="24" t="inlineStr">
        <is>
          <t>tennis-surface-elo-v1</t>
        </is>
      </c>
      <c r="U228" s="24" t="inlineStr">
        <is>
          <t>open</t>
        </is>
      </c>
      <c r="V228" s="24" t="n"/>
      <c r="W228" s="26" t="n"/>
      <c r="X228" s="26" t="n"/>
      <c r="Y228" s="25" t="n"/>
      <c r="Z228" s="26" t="n"/>
      <c r="AA228" s="28" t="n"/>
      <c r="AB228" s="28" t="n"/>
      <c r="AC228" s="30" t="n"/>
      <c r="AD228" s="24" t="n"/>
      <c r="AE228" s="31" t="inlineStr">
        <is>
          <t>Surface-blended Elo on Hard: Francisco Cerundolo p=0.658 vs Alex Michelsen. Executable ask 0.4000 (aec-atp-alemic-fracer-2026-08-06).</t>
        </is>
      </c>
      <c r="AF228" s="31" t="inlineStr">
        <is>
          <t>Surface-blended Elo model; singles only, WTA+ATP market coverage, not yet locked-holdout qualified -- promoted by explicit operator directive, not genuine walk-forward validation.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3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Francisco Cerundolo</t>
        </is>
      </c>
      <c r="AQ228" s="24" t="inlineStr">
        <is>
          <t>Francisco Cerundolo</t>
        </is>
      </c>
      <c r="AR228" s="24" t="inlineStr">
        <is>
          <t>Francisco Cerundolo</t>
        </is>
      </c>
      <c r="AS228" s="24" t="inlineStr">
        <is>
          <t>Alex Michelsen</t>
        </is>
      </c>
      <c r="AT228" s="24" t="inlineStr">
        <is>
          <t>Alex Michelsen</t>
        </is>
      </c>
      <c r="AU228" s="24" t="inlineStr">
        <is>
          <t>Alex Michelsen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3ab056fefe04713e3c294da76c8adb2866b0dc46556ed32322a0426dd344a0e4</t>
        </is>
      </c>
      <c r="BB228" s="24" t="inlineStr">
        <is>
          <t>surface_blended_elo</t>
        </is>
      </c>
      <c r="BC228" s="24" t="inlineStr">
        <is>
          <t>tennis-surface-elo-v1</t>
        </is>
      </c>
      <c r="BD228" s="24" t="inlineStr">
        <is>
          <t>3ab056fefe04713e3c294da76c8adb2866b0dc46556ed32322a0426dd344a0e4</t>
        </is>
      </c>
      <c r="BE228" s="24" t="inlineStr">
        <is>
          <t>tennis-surface-elo-v1</t>
        </is>
      </c>
      <c r="BF228" s="24" t="inlineStr">
        <is>
          <t>1</t>
        </is>
      </c>
      <c r="BG228" s="24" t="inlineStr">
        <is>
          <t>3ab056fefe04713e3c294da76c8adb2866b0dc46556ed32322a0426dd344a0e4</t>
        </is>
      </c>
      <c r="BH228" s="24" t="inlineStr">
        <is>
          <t>2026-08-05T04:34:39.206890Z</t>
        </is>
      </c>
      <c r="BI228" s="24" t="inlineStr">
        <is>
          <t>["same_event","same_team_same_day","same_league_same_day"]</t>
        </is>
      </c>
      <c r="BJ228" s="25" t="n"/>
      <c r="BK228" s="26" t="n">
        <v>150</v>
      </c>
      <c r="BL228" s="27" t="n">
        <v>2.5</v>
      </c>
      <c r="BM228" s="28" t="n">
        <v>0.4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</row>
    <row r="229" ht="36" customHeight="1">
      <c r="A229" s="24" t="inlineStr">
        <is>
          <t>4a915a49c32e4a37</t>
        </is>
      </c>
      <c r="B229" s="24" t="inlineStr">
        <is>
          <t>2026-08-05T04:36:19.625619Z</t>
        </is>
      </c>
      <c r="C229" s="24" t="inlineStr">
        <is>
          <t>2026-08-05T21:00Z</t>
        </is>
      </c>
      <c r="D229" s="24" t="inlineStr">
        <is>
          <t>421-2026:181719</t>
        </is>
      </c>
      <c r="E229" s="24" t="inlineStr">
        <is>
          <t>TENNIS</t>
        </is>
      </c>
      <c r="F229" s="24" t="inlineStr">
        <is>
          <t>Jakub Mensik</t>
        </is>
      </c>
      <c r="G229" s="24" t="inlineStr">
        <is>
          <t>Jacob Fearnley</t>
        </is>
      </c>
      <c r="H229" s="24" t="inlineStr">
        <is>
          <t>moneyline</t>
        </is>
      </c>
      <c r="I229" s="24" t="inlineStr">
        <is>
          <t>away</t>
        </is>
      </c>
      <c r="J229" s="25" t="n"/>
      <c r="K229" s="24" t="inlineStr">
        <is>
          <t>polymarket_us</t>
        </is>
      </c>
      <c r="L229" s="26" t="n">
        <v>-257</v>
      </c>
      <c r="M229" s="27" t="n">
        <v>1.389105</v>
      </c>
      <c r="N229" s="28" t="n">
        <v>0.719888</v>
      </c>
      <c r="O229" s="28" t="n">
        <v>0.742792</v>
      </c>
      <c r="P229" s="28" t="n">
        <v>0.05</v>
      </c>
      <c r="Q229" s="28" t="n">
        <v>0.022904</v>
      </c>
      <c r="R229" s="26" t="n">
        <v>31</v>
      </c>
      <c r="S229" s="29" t="n">
        <v>2</v>
      </c>
      <c r="T229" s="24" t="inlineStr">
        <is>
          <t>tennis-surface-elo-v1</t>
        </is>
      </c>
      <c r="U229" s="24" t="inlineStr">
        <is>
          <t>open</t>
        </is>
      </c>
      <c r="V229" s="24" t="n"/>
      <c r="W229" s="26" t="n"/>
      <c r="X229" s="26" t="n"/>
      <c r="Y229" s="25" t="n"/>
      <c r="Z229" s="26" t="n"/>
      <c r="AA229" s="28" t="n"/>
      <c r="AB229" s="28" t="n"/>
      <c r="AC229" s="30" t="n"/>
      <c r="AD229" s="24" t="n"/>
      <c r="AE229" s="31" t="inlineStr">
        <is>
          <t>Surface-blended Elo on Hard: Jakub Mensik p=0.743 vs Jacob Fearnley. Executable ask 0.7200 (aec-atp-jacfea-jakmen-2026-08-05).</t>
        </is>
      </c>
      <c r="AF229" s="31" t="inlineStr">
        <is>
          <t>Surface-blended Elo model; singles only, WTA+ATP market coverage, not yet locked-holdout qualified -- promoted by explicit operator directive, not genuine walk-forward validation.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research_observation</t>
        </is>
      </c>
      <c r="AL229" s="26" t="n">
        <v>3</v>
      </c>
      <c r="AM229" s="24" t="inlineStr">
        <is>
          <t>RESEARCH_OBSERVATION</t>
        </is>
      </c>
      <c r="AN229" s="24" t="inlineStr">
        <is>
          <t>NO_CALL</t>
        </is>
      </c>
      <c r="AO229" s="24" t="inlineStr">
        <is>
          <t>NO_CALL_LOW_EDGE</t>
        </is>
      </c>
      <c r="AP229" s="24" t="inlineStr">
        <is>
          <t>Jakub Mensik</t>
        </is>
      </c>
      <c r="AQ229" s="24" t="inlineStr">
        <is>
          <t>Jakub Mensik</t>
        </is>
      </c>
      <c r="AR229" s="24" t="inlineStr">
        <is>
          <t>Jakub Mensik</t>
        </is>
      </c>
      <c r="AS229" s="24" t="inlineStr">
        <is>
          <t>Jacob Fearnley</t>
        </is>
      </c>
      <c r="AT229" s="24" t="inlineStr">
        <is>
          <t>Jacob Fearnley</t>
        </is>
      </c>
      <c r="AU229" s="24" t="inlineStr">
        <is>
          <t>Jacob Fearnley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3ab056fefe04713e3c294da76c8adb2866b0dc46556ed32322a0426dd344a0e4</t>
        </is>
      </c>
      <c r="BB229" s="24" t="inlineStr">
        <is>
          <t>surface_blended_elo</t>
        </is>
      </c>
      <c r="BC229" s="24" t="inlineStr">
        <is>
          <t>tennis-surface-elo-v1</t>
        </is>
      </c>
      <c r="BD229" s="24" t="inlineStr">
        <is>
          <t>3ab056fefe04713e3c294da76c8adb2866b0dc46556ed32322a0426dd344a0e4</t>
        </is>
      </c>
      <c r="BE229" s="24" t="inlineStr">
        <is>
          <t>tennis-surface-elo-v1</t>
        </is>
      </c>
      <c r="BF229" s="24" t="inlineStr">
        <is>
          <t>1</t>
        </is>
      </c>
      <c r="BG229" s="24" t="inlineStr">
        <is>
          <t>3ab056fefe04713e3c294da76c8adb2866b0dc46556ed32322a0426dd344a0e4</t>
        </is>
      </c>
      <c r="BH229" s="24" t="inlineStr">
        <is>
          <t>2026-08-05T04:34:40.271203Z</t>
        </is>
      </c>
      <c r="BI229" s="24" t="inlineStr">
        <is>
          <t>["same_event","same_team_same_day","same_league_same_day"]</t>
        </is>
      </c>
      <c r="BJ229" s="25" t="n"/>
      <c r="BK229" s="26" t="n">
        <v>-257</v>
      </c>
      <c r="BL229" s="27" t="n">
        <v>1.389105</v>
      </c>
      <c r="BM229" s="28" t="n">
        <v>0.719888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</row>
    <row r="230" ht="36" customHeight="1">
      <c r="A230" s="24" t="inlineStr">
        <is>
          <t>d443095426d44eda</t>
        </is>
      </c>
      <c r="B230" s="24" t="inlineStr">
        <is>
          <t>2026-08-05T04:36:19.625619Z</t>
        </is>
      </c>
      <c r="C230" s="24" t="inlineStr">
        <is>
          <t>2026-08-05T21:00Z</t>
        </is>
      </c>
      <c r="D230" s="24" t="inlineStr">
        <is>
          <t>421-2026:181755</t>
        </is>
      </c>
      <c r="E230" s="24" t="inlineStr">
        <is>
          <t>TENNIS</t>
        </is>
      </c>
      <c r="F230" s="24" t="inlineStr">
        <is>
          <t>Daniel Merida</t>
        </is>
      </c>
      <c r="G230" s="24" t="inlineStr">
        <is>
          <t>Ugo Humbert</t>
        </is>
      </c>
      <c r="H230" s="24" t="inlineStr">
        <is>
          <t>moneyline</t>
        </is>
      </c>
      <c r="I230" s="24" t="inlineStr">
        <is>
          <t>home</t>
        </is>
      </c>
      <c r="J230" s="25" t="n"/>
      <c r="K230" s="24" t="inlineStr">
        <is>
          <t>polymarket_us</t>
        </is>
      </c>
      <c r="L230" s="26" t="n">
        <v>-285</v>
      </c>
      <c r="M230" s="27" t="n">
        <v>1.350877</v>
      </c>
      <c r="N230" s="28" t="n">
        <v>0.74026</v>
      </c>
      <c r="O230" s="28" t="n">
        <v>0.601922</v>
      </c>
      <c r="P230" s="28" t="n">
        <v>0.05</v>
      </c>
      <c r="Q230" s="28" t="n">
        <v>-0.138338</v>
      </c>
      <c r="R230" s="26" t="n">
        <v>0</v>
      </c>
      <c r="S230" s="29" t="n">
        <v>1.25</v>
      </c>
      <c r="T230" s="24" t="inlineStr">
        <is>
          <t>tennis-surface-elo-v1</t>
        </is>
      </c>
      <c r="U230" s="24" t="inlineStr">
        <is>
          <t>open</t>
        </is>
      </c>
      <c r="V230" s="24" t="n"/>
      <c r="W230" s="26" t="n"/>
      <c r="X230" s="26" t="n"/>
      <c r="Y230" s="25" t="n"/>
      <c r="Z230" s="26" t="n"/>
      <c r="AA230" s="28" t="n"/>
      <c r="AB230" s="28" t="n"/>
      <c r="AC230" s="30" t="n"/>
      <c r="AD230" s="24" t="n"/>
      <c r="AE230" s="31" t="inlineStr">
        <is>
          <t>Surface-blended Elo on Hard: Daniel Merida p=0.398 vs Ugo Humbert. Executable ask 0.7400 (aec-atp-ugohum-danagu-2026-08-06).</t>
        </is>
      </c>
      <c r="AF230" s="31" t="inlineStr">
        <is>
          <t>Surface-blended Elo model; singles only, WTA+ATP market coverage, not yet locked-holdout qualified -- promoted by explicit operator directive, not genuine walk-forward validation.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research_observation</t>
        </is>
      </c>
      <c r="AL230" s="26" t="n">
        <v>3</v>
      </c>
      <c r="AM230" s="24" t="inlineStr">
        <is>
          <t>RESEARCH_OBSERVATION</t>
        </is>
      </c>
      <c r="AN230" s="24" t="inlineStr">
        <is>
          <t>NO_CALL</t>
        </is>
      </c>
      <c r="AO230" s="24" t="inlineStr">
        <is>
          <t>NO_CALL_LOW_EDGE</t>
        </is>
      </c>
      <c r="AP230" s="24" t="inlineStr">
        <is>
          <t>Daniel Merida</t>
        </is>
      </c>
      <c r="AQ230" s="24" t="inlineStr">
        <is>
          <t>Daniel Merida</t>
        </is>
      </c>
      <c r="AR230" s="24" t="inlineStr">
        <is>
          <t>Daniel Merida</t>
        </is>
      </c>
      <c r="AS230" s="24" t="inlineStr">
        <is>
          <t>Ugo Humbert</t>
        </is>
      </c>
      <c r="AT230" s="24" t="inlineStr">
        <is>
          <t>Ugo Humbert</t>
        </is>
      </c>
      <c r="AU230" s="24" t="inlineStr">
        <is>
          <t>Ugo Humbert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3ab056fefe04713e3c294da76c8adb2866b0dc46556ed32322a0426dd344a0e4</t>
        </is>
      </c>
      <c r="BB230" s="24" t="inlineStr">
        <is>
          <t>surface_blended_elo</t>
        </is>
      </c>
      <c r="BC230" s="24" t="inlineStr">
        <is>
          <t>tennis-surface-elo-v1</t>
        </is>
      </c>
      <c r="BD230" s="24" t="inlineStr">
        <is>
          <t>3ab056fefe04713e3c294da76c8adb2866b0dc46556ed32322a0426dd344a0e4</t>
        </is>
      </c>
      <c r="BE230" s="24" t="inlineStr">
        <is>
          <t>tennis-surface-elo-v1</t>
        </is>
      </c>
      <c r="BF230" s="24" t="inlineStr">
        <is>
          <t>1</t>
        </is>
      </c>
      <c r="BG230" s="24" t="inlineStr">
        <is>
          <t>3ab056fefe04713e3c294da76c8adb2866b0dc46556ed32322a0426dd344a0e4</t>
        </is>
      </c>
      <c r="BH230" s="24" t="inlineStr">
        <is>
          <t>2026-08-05T04:34:41.277534Z</t>
        </is>
      </c>
      <c r="BI230" s="24" t="inlineStr">
        <is>
          <t>["same_event","same_team_same_day","same_league_same_day"]</t>
        </is>
      </c>
      <c r="BJ230" s="25" t="n"/>
      <c r="BK230" s="26" t="n">
        <v>-285</v>
      </c>
      <c r="BL230" s="27" t="n">
        <v>1.350877</v>
      </c>
      <c r="BM230" s="28" t="n">
        <v>0.74026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</row>
    <row r="231" ht="36" customHeight="1">
      <c r="A231" s="24" t="inlineStr">
        <is>
          <t>d6c591707d94465f</t>
        </is>
      </c>
      <c r="B231" s="24" t="inlineStr">
        <is>
          <t>2026-08-05T04:36:19.625619Z</t>
        </is>
      </c>
      <c r="C231" s="24" t="inlineStr">
        <is>
          <t>2026-08-05T22:00Z</t>
        </is>
      </c>
      <c r="D231" s="24" t="inlineStr">
        <is>
          <t>421-2026:181733</t>
        </is>
      </c>
      <c r="E231" s="24" t="inlineStr">
        <is>
          <t>TENNIS</t>
        </is>
      </c>
      <c r="F231" s="24" t="inlineStr">
        <is>
          <t>Botic Van De Zandschulp</t>
        </is>
      </c>
      <c r="G231" s="24" t="inlineStr">
        <is>
          <t>Daniil Medvedev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-270</v>
      </c>
      <c r="M231" s="27" t="n">
        <v>1.37037</v>
      </c>
      <c r="N231" s="28" t="n">
        <v>0.72973</v>
      </c>
      <c r="O231" s="28" t="n">
        <v>0.8122509999999999</v>
      </c>
      <c r="P231" s="28" t="n">
        <v>0.05</v>
      </c>
      <c r="Q231" s="28" t="n">
        <v>0.082521</v>
      </c>
      <c r="R231" s="26" t="n">
        <v>61</v>
      </c>
      <c r="S231" s="29" t="n">
        <v>2</v>
      </c>
      <c r="T231" s="24" t="inlineStr">
        <is>
          <t>tennis-surface-elo-v1</t>
        </is>
      </c>
      <c r="U231" s="24" t="inlineStr">
        <is>
          <t>open</t>
        </is>
      </c>
      <c r="V231" s="24" t="n"/>
      <c r="W231" s="26" t="n"/>
      <c r="X231" s="26" t="n"/>
      <c r="Y231" s="25" t="n"/>
      <c r="Z231" s="26" t="n"/>
      <c r="AA231" s="28" t="n"/>
      <c r="AB231" s="28" t="n"/>
      <c r="AC231" s="30" t="n"/>
      <c r="AD231" s="24" t="n"/>
      <c r="AE231" s="31" t="inlineStr">
        <is>
          <t>Surface-blended Elo on Hard: Botic Van De Zandschulp p=0.188 vs Daniil Medvedev. Executable ask 0.7300 (aec-atp-danmed-botzan-2026-08-06).</t>
        </is>
      </c>
      <c r="AF231" s="31" t="inlineStr">
        <is>
          <t>Surface-blended Elo model; singles only, WTA+ATP market coverage, not yet locked-holdout qualified -- promoted by explicit operator directive, not genuine walk-forward validation.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3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Botic Van De Zandschulp</t>
        </is>
      </c>
      <c r="AQ231" s="24" t="inlineStr">
        <is>
          <t>Botic Van De Zandschulp</t>
        </is>
      </c>
      <c r="AR231" s="24" t="inlineStr">
        <is>
          <t>Botic Van De Zandschulp</t>
        </is>
      </c>
      <c r="AS231" s="24" t="inlineStr">
        <is>
          <t>Daniil Medvedev</t>
        </is>
      </c>
      <c r="AT231" s="24" t="inlineStr">
        <is>
          <t>Daniil Medvedev</t>
        </is>
      </c>
      <c r="AU231" s="24" t="inlineStr">
        <is>
          <t>Daniil Medvedev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3ab056fefe04713e3c294da76c8adb2866b0dc46556ed32322a0426dd344a0e4</t>
        </is>
      </c>
      <c r="BB231" s="24" t="inlineStr">
        <is>
          <t>surface_blended_elo</t>
        </is>
      </c>
      <c r="BC231" s="24" t="inlineStr">
        <is>
          <t>tennis-surface-elo-v1</t>
        </is>
      </c>
      <c r="BD231" s="24" t="inlineStr">
        <is>
          <t>3ab056fefe04713e3c294da76c8adb2866b0dc46556ed32322a0426dd344a0e4</t>
        </is>
      </c>
      <c r="BE231" s="24" t="inlineStr">
        <is>
          <t>tennis-surface-elo-v1</t>
        </is>
      </c>
      <c r="BF231" s="24" t="inlineStr">
        <is>
          <t>1</t>
        </is>
      </c>
      <c r="BG231" s="24" t="inlineStr">
        <is>
          <t>3ab056fefe04713e3c294da76c8adb2866b0dc46556ed32322a0426dd344a0e4</t>
        </is>
      </c>
      <c r="BH231" s="24" t="inlineStr">
        <is>
          <t>2026-08-05T04:34:42.085885Z</t>
        </is>
      </c>
      <c r="BI231" s="24" t="inlineStr">
        <is>
          <t>["same_event","same_team_same_day","same_league_same_day"]</t>
        </is>
      </c>
      <c r="BJ231" s="25" t="n"/>
      <c r="BK231" s="26" t="n">
        <v>-270</v>
      </c>
      <c r="BL231" s="27" t="n">
        <v>1.37037</v>
      </c>
      <c r="BM231" s="28" t="n">
        <v>0.72973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True</t>
        </is>
      </c>
    </row>
    <row r="232" ht="36" customHeight="1">
      <c r="A232" s="24" t="inlineStr">
        <is>
          <t>d57b1d42fc71481b</t>
        </is>
      </c>
      <c r="B232" s="24" t="inlineStr">
        <is>
          <t>2026-08-05T04:36:19.625619Z</t>
        </is>
      </c>
      <c r="C232" s="24" t="inlineStr">
        <is>
          <t>2026-08-05T23:00Z</t>
        </is>
      </c>
      <c r="D232" s="24" t="inlineStr">
        <is>
          <t>421-2026:181757</t>
        </is>
      </c>
      <c r="E232" s="24" t="inlineStr">
        <is>
          <t>TENNIS</t>
        </is>
      </c>
      <c r="F232" s="24" t="inlineStr">
        <is>
          <t>Felix Auger-Aliassime</t>
        </is>
      </c>
      <c r="G232" s="24" t="inlineStr">
        <is>
          <t>Titouan Droguet</t>
        </is>
      </c>
      <c r="H232" s="24" t="inlineStr">
        <is>
          <t>moneyline</t>
        </is>
      </c>
      <c r="I232" s="24" t="inlineStr">
        <is>
          <t>away</t>
        </is>
      </c>
      <c r="J232" s="25" t="n"/>
      <c r="K232" s="24" t="inlineStr">
        <is>
          <t>polymarket_us</t>
        </is>
      </c>
      <c r="L232" s="26" t="n">
        <v>-426</v>
      </c>
      <c r="M232" s="27" t="n">
        <v>1.234742</v>
      </c>
      <c r="N232" s="28" t="n">
        <v>0.809886</v>
      </c>
      <c r="O232" s="28" t="n">
        <v>0.793621</v>
      </c>
      <c r="P232" s="28" t="n">
        <v>0.05</v>
      </c>
      <c r="Q232" s="28" t="n">
        <v>-0.016265</v>
      </c>
      <c r="R232" s="26" t="n">
        <v>12</v>
      </c>
      <c r="S232" s="29" t="n">
        <v>2</v>
      </c>
      <c r="T232" s="24" t="inlineStr">
        <is>
          <t>tennis-surface-elo-v1</t>
        </is>
      </c>
      <c r="U232" s="24" t="inlineStr">
        <is>
          <t>open</t>
        </is>
      </c>
      <c r="V232" s="24" t="n"/>
      <c r="W232" s="26" t="n"/>
      <c r="X232" s="26" t="n"/>
      <c r="Y232" s="25" t="n"/>
      <c r="Z232" s="26" t="n"/>
      <c r="AA232" s="28" t="n"/>
      <c r="AB232" s="28" t="n"/>
      <c r="AC232" s="30" t="n"/>
      <c r="AD232" s="24" t="n"/>
      <c r="AE232" s="31" t="inlineStr">
        <is>
          <t>Surface-blended Elo on Hard: Felix Auger-Aliassime p=0.794 vs Titouan Droguet. Executable ask 0.8100 (aec-atp-titdro-felaug-2026-08-04).</t>
        </is>
      </c>
      <c r="AF232" s="31" t="inlineStr">
        <is>
          <t>Surface-blended Elo model; singles only, WTA+ATP market coverage, not yet locked-holdout qualified -- promoted by explicit operator directive, not genuine walk-forward validation.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research_observation</t>
        </is>
      </c>
      <c r="AL232" s="26" t="n">
        <v>3</v>
      </c>
      <c r="AM232" s="24" t="inlineStr">
        <is>
          <t>RESEARCH_OBSERVATION</t>
        </is>
      </c>
      <c r="AN232" s="24" t="inlineStr">
        <is>
          <t>NO_CALL</t>
        </is>
      </c>
      <c r="AO232" s="24" t="inlineStr">
        <is>
          <t>NO_CALL_LOW_EDGE</t>
        </is>
      </c>
      <c r="AP232" s="24" t="inlineStr">
        <is>
          <t>Felix Auger-Aliassime</t>
        </is>
      </c>
      <c r="AQ232" s="24" t="inlineStr">
        <is>
          <t>Felix Auger-Aliassime</t>
        </is>
      </c>
      <c r="AR232" s="24" t="inlineStr">
        <is>
          <t>Felix Auger-Aliassime</t>
        </is>
      </c>
      <c r="AS232" s="24" t="inlineStr">
        <is>
          <t>Titouan Droguet</t>
        </is>
      </c>
      <c r="AT232" s="24" t="inlineStr">
        <is>
          <t>Titouan Droguet</t>
        </is>
      </c>
      <c r="AU232" s="24" t="inlineStr">
        <is>
          <t>Titouan Droguet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3ab056fefe04713e3c294da76c8adb2866b0dc46556ed32322a0426dd344a0e4</t>
        </is>
      </c>
      <c r="BB232" s="24" t="inlineStr">
        <is>
          <t>surface_blended_elo</t>
        </is>
      </c>
      <c r="BC232" s="24" t="inlineStr">
        <is>
          <t>tennis-surface-elo-v1</t>
        </is>
      </c>
      <c r="BD232" s="24" t="inlineStr">
        <is>
          <t>3ab056fefe04713e3c294da76c8adb2866b0dc46556ed32322a0426dd344a0e4</t>
        </is>
      </c>
      <c r="BE232" s="24" t="inlineStr">
        <is>
          <t>tennis-surface-elo-v1</t>
        </is>
      </c>
      <c r="BF232" s="24" t="inlineStr">
        <is>
          <t>1</t>
        </is>
      </c>
      <c r="BG232" s="24" t="inlineStr">
        <is>
          <t>3ab056fefe04713e3c294da76c8adb2866b0dc46556ed32322a0426dd344a0e4</t>
        </is>
      </c>
      <c r="BH232" s="24" t="inlineStr">
        <is>
          <t>2026-08-05T04:34:42.843341Z</t>
        </is>
      </c>
      <c r="BI232" s="24" t="inlineStr">
        <is>
          <t>["same_event","same_team_same_day","same_league_same_day"]</t>
        </is>
      </c>
      <c r="BJ232" s="25" t="n"/>
      <c r="BK232" s="26" t="n">
        <v>-426</v>
      </c>
      <c r="BL232" s="27" t="n">
        <v>1.234742</v>
      </c>
      <c r="BM232" s="28" t="n">
        <v>0.809886</v>
      </c>
      <c r="BN232" s="28" t="n"/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</row>
    <row r="233" ht="36" customHeight="1">
      <c r="A233" s="24" t="inlineStr">
        <is>
          <t>421b8457038f47d8</t>
        </is>
      </c>
      <c r="B233" s="24" t="inlineStr">
        <is>
          <t>2026-08-05T04:36:19.625619Z</t>
        </is>
      </c>
      <c r="C233" s="24" t="inlineStr">
        <is>
          <t>2026-08-05T23:30Z</t>
        </is>
      </c>
      <c r="D233" s="24" t="inlineStr">
        <is>
          <t>421-2026:181731</t>
        </is>
      </c>
      <c r="E233" s="24" t="inlineStr">
        <is>
          <t>TENNIS</t>
        </is>
      </c>
      <c r="F233" s="24" t="inlineStr">
        <is>
          <t>Tommy Paul</t>
        </is>
      </c>
      <c r="G233" s="24" t="inlineStr">
        <is>
          <t>Valentin Royer</t>
        </is>
      </c>
      <c r="H233" s="24" t="inlineStr">
        <is>
          <t>moneyline</t>
        </is>
      </c>
      <c r="I233" s="24" t="inlineStr">
        <is>
          <t>away</t>
        </is>
      </c>
      <c r="J233" s="25" t="n"/>
      <c r="K233" s="24" t="inlineStr">
        <is>
          <t>polymarket_us</t>
        </is>
      </c>
      <c r="L233" s="26" t="n">
        <v>-426</v>
      </c>
      <c r="M233" s="27" t="n">
        <v>1.234742</v>
      </c>
      <c r="N233" s="28" t="n">
        <v>0.809886</v>
      </c>
      <c r="O233" s="28" t="n">
        <v>0.855695</v>
      </c>
      <c r="P233" s="28" t="n">
        <v>0.05</v>
      </c>
      <c r="Q233" s="28" t="n">
        <v>0.045809</v>
      </c>
      <c r="R233" s="26" t="n">
        <v>43</v>
      </c>
      <c r="S233" s="29" t="n">
        <v>2</v>
      </c>
      <c r="T233" s="24" t="inlineStr">
        <is>
          <t>tennis-surface-elo-v1</t>
        </is>
      </c>
      <c r="U233" s="24" t="inlineStr">
        <is>
          <t>open</t>
        </is>
      </c>
      <c r="V233" s="24" t="n"/>
      <c r="W233" s="26" t="n"/>
      <c r="X233" s="26" t="n"/>
      <c r="Y233" s="25" t="n"/>
      <c r="Z233" s="26" t="n"/>
      <c r="AA233" s="28" t="n"/>
      <c r="AB233" s="28" t="n"/>
      <c r="AC233" s="30" t="n"/>
      <c r="AD233" s="24" t="n"/>
      <c r="AE233" s="31" t="inlineStr">
        <is>
          <t>Surface-blended Elo on Hard: Tommy Paul p=0.856 vs Valentin Royer. Executable ask 0.8100 (aec-atp-valroy-tompau-2026-08-05).</t>
        </is>
      </c>
      <c r="AF233" s="31" t="inlineStr">
        <is>
          <t>Surface-blended Elo model; singles only, WTA+ATP market coverage, not yet locked-holdout qualified -- promoted by explicit operator directive, not genuine walk-forward validation.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research_observation</t>
        </is>
      </c>
      <c r="AL233" s="26" t="n">
        <v>3</v>
      </c>
      <c r="AM233" s="24" t="inlineStr">
        <is>
          <t>RESEARCH_OBSERVATION</t>
        </is>
      </c>
      <c r="AN233" s="24" t="inlineStr">
        <is>
          <t>NO_CALL</t>
        </is>
      </c>
      <c r="AO233" s="24" t="inlineStr">
        <is>
          <t>NO_CALL_LOW_EDGE</t>
        </is>
      </c>
      <c r="AP233" s="24" t="inlineStr">
        <is>
          <t>Tommy Paul</t>
        </is>
      </c>
      <c r="AQ233" s="24" t="inlineStr">
        <is>
          <t>Tommy Paul</t>
        </is>
      </c>
      <c r="AR233" s="24" t="inlineStr">
        <is>
          <t>Tommy Paul</t>
        </is>
      </c>
      <c r="AS233" s="24" t="inlineStr">
        <is>
          <t>Valentin Royer</t>
        </is>
      </c>
      <c r="AT233" s="24" t="inlineStr">
        <is>
          <t>Valentin Royer</t>
        </is>
      </c>
      <c r="AU233" s="24" t="inlineStr">
        <is>
          <t>Valentin Royer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3ab056fefe04713e3c294da76c8adb2866b0dc46556ed32322a0426dd344a0e4</t>
        </is>
      </c>
      <c r="BB233" s="24" t="inlineStr">
        <is>
          <t>surface_blended_elo</t>
        </is>
      </c>
      <c r="BC233" s="24" t="inlineStr">
        <is>
          <t>tennis-surface-elo-v1</t>
        </is>
      </c>
      <c r="BD233" s="24" t="inlineStr">
        <is>
          <t>3ab056fefe04713e3c294da76c8adb2866b0dc46556ed32322a0426dd344a0e4</t>
        </is>
      </c>
      <c r="BE233" s="24" t="inlineStr">
        <is>
          <t>tennis-surface-elo-v1</t>
        </is>
      </c>
      <c r="BF233" s="24" t="inlineStr">
        <is>
          <t>1</t>
        </is>
      </c>
      <c r="BG233" s="24" t="inlineStr">
        <is>
          <t>3ab056fefe04713e3c294da76c8adb2866b0dc46556ed32322a0426dd344a0e4</t>
        </is>
      </c>
      <c r="BH233" s="24" t="inlineStr">
        <is>
          <t>2026-08-05T04:34:43.926469Z</t>
        </is>
      </c>
      <c r="BI233" s="24" t="inlineStr">
        <is>
          <t>["same_event","same_team_same_day","same_league_same_day"]</t>
        </is>
      </c>
      <c r="BJ233" s="25" t="n"/>
      <c r="BK233" s="26" t="n">
        <v>-426</v>
      </c>
      <c r="BL233" s="27" t="n">
        <v>1.234742</v>
      </c>
      <c r="BM233" s="28" t="n">
        <v>0.809886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</row>
    <row r="234" ht="36" customHeight="1">
      <c r="A234" s="24" t="inlineStr">
        <is>
          <t>974b6458e56e43a0</t>
        </is>
      </c>
      <c r="B234" s="24" t="inlineStr">
        <is>
          <t>2026-08-05T04:36:19.625619Z</t>
        </is>
      </c>
      <c r="C234" s="24" t="inlineStr">
        <is>
          <t>2026-08-06T00:30Z</t>
        </is>
      </c>
      <c r="D234" s="24" t="inlineStr">
        <is>
          <t>421-2026:181761</t>
        </is>
      </c>
      <c r="E234" s="24" t="inlineStr">
        <is>
          <t>TENNIS</t>
        </is>
      </c>
      <c r="F234" s="24" t="inlineStr">
        <is>
          <t>Gael Monfils</t>
        </is>
      </c>
      <c r="G234" s="24" t="inlineStr">
        <is>
          <t>Learner Tien</t>
        </is>
      </c>
      <c r="H234" s="24" t="inlineStr">
        <is>
          <t>moneyline</t>
        </is>
      </c>
      <c r="I234" s="24" t="inlineStr">
        <is>
          <t>home</t>
        </is>
      </c>
      <c r="J234" s="25" t="n"/>
      <c r="K234" s="24" t="inlineStr">
        <is>
          <t>polymarket_us</t>
        </is>
      </c>
      <c r="L234" s="26" t="n">
        <v>-270</v>
      </c>
      <c r="M234" s="27" t="n">
        <v>1.37037</v>
      </c>
      <c r="N234" s="28" t="n">
        <v>0.72973</v>
      </c>
      <c r="O234" s="28" t="n">
        <v>0.768099</v>
      </c>
      <c r="P234" s="28" t="n">
        <v>0.05</v>
      </c>
      <c r="Q234" s="28" t="n">
        <v>0.038369</v>
      </c>
      <c r="R234" s="26" t="n">
        <v>39</v>
      </c>
      <c r="S234" s="29" t="n">
        <v>2</v>
      </c>
      <c r="T234" s="24" t="inlineStr">
        <is>
          <t>tennis-surface-elo-v1</t>
        </is>
      </c>
      <c r="U234" s="24" t="inlineStr">
        <is>
          <t>open</t>
        </is>
      </c>
      <c r="V234" s="24" t="n"/>
      <c r="W234" s="26" t="n"/>
      <c r="X234" s="26" t="n"/>
      <c r="Y234" s="25" t="n"/>
      <c r="Z234" s="26" t="n"/>
      <c r="AA234" s="28" t="n"/>
      <c r="AB234" s="28" t="n"/>
      <c r="AC234" s="30" t="n"/>
      <c r="AD234" s="24" t="n"/>
      <c r="AE234" s="31" t="inlineStr">
        <is>
          <t>Surface-blended Elo on Hard: Gael Monfils p=0.232 vs Learner Tien. Executable ask 0.7300 (aec-atp-leatie-gaemon-2026-08-05).</t>
        </is>
      </c>
      <c r="AF234" s="31" t="inlineStr">
        <is>
          <t>Surface-blended Elo model; singles only, WTA+ATP market coverage, not yet locked-holdout qualified -- promoted by explicit operator directive, not genuine walk-forward validation.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research_observation</t>
        </is>
      </c>
      <c r="AL234" s="26" t="n">
        <v>3</v>
      </c>
      <c r="AM234" s="24" t="inlineStr">
        <is>
          <t>RESEARCH_OBSERVATION</t>
        </is>
      </c>
      <c r="AN234" s="24" t="inlineStr">
        <is>
          <t>NO_CALL</t>
        </is>
      </c>
      <c r="AO234" s="24" t="inlineStr">
        <is>
          <t>NO_CALL_LOW_EDGE</t>
        </is>
      </c>
      <c r="AP234" s="24" t="inlineStr">
        <is>
          <t>Gael Monfils</t>
        </is>
      </c>
      <c r="AQ234" s="24" t="inlineStr">
        <is>
          <t>Gael Monfils</t>
        </is>
      </c>
      <c r="AR234" s="24" t="inlineStr">
        <is>
          <t>Gael Monfils</t>
        </is>
      </c>
      <c r="AS234" s="24" t="inlineStr">
        <is>
          <t>Learner Tien</t>
        </is>
      </c>
      <c r="AT234" s="24" t="inlineStr">
        <is>
          <t>Learner Tien</t>
        </is>
      </c>
      <c r="AU234" s="24" t="inlineStr">
        <is>
          <t>Learner Tien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3ab056fefe04713e3c294da76c8adb2866b0dc46556ed32322a0426dd344a0e4</t>
        </is>
      </c>
      <c r="BB234" s="24" t="inlineStr">
        <is>
          <t>surface_blended_elo</t>
        </is>
      </c>
      <c r="BC234" s="24" t="inlineStr">
        <is>
          <t>tennis-surface-elo-v1</t>
        </is>
      </c>
      <c r="BD234" s="24" t="inlineStr">
        <is>
          <t>3ab056fefe04713e3c294da76c8adb2866b0dc46556ed32322a0426dd344a0e4</t>
        </is>
      </c>
      <c r="BE234" s="24" t="inlineStr">
        <is>
          <t>tennis-surface-elo-v1</t>
        </is>
      </c>
      <c r="BF234" s="24" t="inlineStr">
        <is>
          <t>1</t>
        </is>
      </c>
      <c r="BG234" s="24" t="inlineStr">
        <is>
          <t>3ab056fefe04713e3c294da76c8adb2866b0dc46556ed32322a0426dd344a0e4</t>
        </is>
      </c>
      <c r="BH234" s="24" t="inlineStr">
        <is>
          <t>2026-08-05T04:34:44.249516Z</t>
        </is>
      </c>
      <c r="BI234" s="24" t="inlineStr">
        <is>
          <t>["same_event","same_team_same_day","same_league_same_day"]</t>
        </is>
      </c>
      <c r="BJ234" s="25" t="n"/>
      <c r="BK234" s="26" t="n">
        <v>-270</v>
      </c>
      <c r="BL234" s="27" t="n">
        <v>1.37037</v>
      </c>
      <c r="BM234" s="28" t="n">
        <v>0.72973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2026-08-05T04:37:26Z</dcterms:created>
  <dcterms:modified xsi:type="dcterms:W3CDTF">2026-08-05T04:37:26Z</dcterms:modified>
</cp:coreProperties>
</file>