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18" headerRowCount="1">
  <autoFilter ref="A1:CS31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COUNTA('Picks'!$A$2:$A$318)</f>
        <v/>
      </c>
      <c r="C4" s="6">
        <f>COUNTIF('Picks'!$U$2:$U$318,"open")</f>
        <v/>
      </c>
      <c r="E4" s="6">
        <f>COUNTIF('Picks'!$U$2:$U$318,"settled")</f>
        <v/>
      </c>
      <c r="G4" s="6">
        <f>IF(COUNTIFS('Picks'!$U$2:$U$318,"settled",'Picks'!$V$2:$V$318,"win")+COUNTIFS('Picks'!$U$2:$U$318,"settled",'Picks'!$V$2:$V$318,"loss")&gt;=$L$2,"Ready","Insufficient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COUNTIF('Picks'!$BX$2:$BX$318,"&gt;0")</f>
        <v/>
      </c>
      <c r="C7" s="6">
        <f>COUNTIFS('Picks'!$BX$2:$BX$318,"&gt;0",'Picks'!$V$2:$V$318,"win")&amp;"-"&amp;COUNTIFS('Picks'!$BX$2:$BX$318,"&gt;0",'Picks'!$V$2:$V$318,"loss")</f>
        <v/>
      </c>
      <c r="E7" s="7">
        <f>IFERROR(COUNTIFS('Picks'!$BX$2:$BX$318,"&gt;0",'Picks'!$V$2:$V$318,"win")/(COUNTIFS('Picks'!$BX$2:$BX$318,"&gt;0",'Picks'!$V$2:$V$318,"win")+COUNTIFS('Picks'!$BX$2:$BX$318,"&gt;0",'Picks'!$V$2:$V$318,"loss")),0)</f>
        <v/>
      </c>
      <c r="G7" s="7">
        <f>IFERROR(SUM('Picks'!$BY$2:$BY$318)/SUM('Picks'!$BX$2:$BX$318),0)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SUM('Picks'!$BY$2:$BY$318)</f>
        <v/>
      </c>
      <c r="C10" s="9">
        <f>IFERROR(AVERAGEIF('Picks'!$AB$2:$AB$318,"&lt;&gt;",'Picks'!$AB$2:$AB$318),0)</f>
        <v/>
      </c>
      <c r="E10" s="6">
        <f>COUNTIFS('Picks'!$AM$2:$AM$318,"QUALIFIED_SHADOW_CALL",'Picks'!$U$2:$U$318,"settled")</f>
        <v/>
      </c>
      <c r="G10" s="8">
        <f>SUMIFS('Picks'!$AC$2:$AC$318,'Picks'!$AM$2:$AM$318,"QUALIFIED_SHADOW_CALL")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COUNTIFS('Picks'!$H$2:$H$318,$A14,'Picks'!$U$2:$U$318,"settled")</f>
        <v/>
      </c>
      <c r="C14" s="13">
        <f>COUNTIFS('Picks'!$H$2:$H$318,$A14,'Picks'!$U$2:$U$318,"settled",'Picks'!$V$2:$V$318,"win")</f>
        <v/>
      </c>
      <c r="D14" s="13">
        <f>COUNTIFS('Picks'!$H$2:$H$318,$A14,'Picks'!$U$2:$U$318,"settled",'Picks'!$V$2:$V$318,"loss")</f>
        <v/>
      </c>
      <c r="E14" s="14">
        <f>IFERROR(C14/(C14+D14),0)</f>
        <v/>
      </c>
      <c r="F14" s="15">
        <f>SUMIFS('Picks'!$BY$2:$BY$318,'Picks'!$H$2:$H$318,$A14)</f>
        <v/>
      </c>
      <c r="G14" s="16">
        <f>IFERROR(AVERAGEIFS('Picks'!$AB$2:$AB$318,'Picks'!$H$2:$H$318,$A14,'Picks'!$U$2:$U$318,"settled"),0)</f>
        <v/>
      </c>
    </row>
    <row r="15">
      <c r="A15" s="17" t="inlineStr">
        <is>
          <t>spread</t>
        </is>
      </c>
      <c r="B15" s="18">
        <f>COUNTIFS('Picks'!$H$2:$H$318,$A15,'Picks'!$U$2:$U$318,"settled")</f>
        <v/>
      </c>
      <c r="C15" s="18">
        <f>COUNTIFS('Picks'!$H$2:$H$318,$A15,'Picks'!$U$2:$U$318,"settled",'Picks'!$V$2:$V$318,"win")</f>
        <v/>
      </c>
      <c r="D15" s="18">
        <f>COUNTIFS('Picks'!$H$2:$H$318,$A15,'Picks'!$U$2:$U$318,"settled",'Picks'!$V$2:$V$318,"loss")</f>
        <v/>
      </c>
      <c r="E15" s="19">
        <f>IFERROR(C15/(C15+D15),0)</f>
        <v/>
      </c>
      <c r="F15" s="20">
        <f>SUMIFS('Picks'!$BY$2:$BY$318,'Picks'!$H$2:$H$318,$A15)</f>
        <v/>
      </c>
      <c r="G15" s="21">
        <f>IFERROR(AVERAGEIFS('Picks'!$AB$2:$AB$318,'Picks'!$H$2:$H$318,$A15,'Picks'!$U$2:$U$318,"settled"),0)</f>
        <v/>
      </c>
    </row>
    <row r="16">
      <c r="A16" s="12" t="inlineStr">
        <is>
          <t>total</t>
        </is>
      </c>
      <c r="B16" s="13">
        <f>COUNTIFS('Picks'!$H$2:$H$318,$A16,'Picks'!$U$2:$U$318,"settled")</f>
        <v/>
      </c>
      <c r="C16" s="13">
        <f>COUNTIFS('Picks'!$H$2:$H$318,$A16,'Picks'!$U$2:$U$318,"settled",'Picks'!$V$2:$V$318,"win")</f>
        <v/>
      </c>
      <c r="D16" s="13">
        <f>COUNTIFS('Picks'!$H$2:$H$318,$A16,'Picks'!$U$2:$U$318,"settled",'Picks'!$V$2:$V$318,"loss")</f>
        <v/>
      </c>
      <c r="E16" s="14">
        <f>IFERROR(C16/(C16+D16),0)</f>
        <v/>
      </c>
      <c r="F16" s="15">
        <f>SUMIFS('Picks'!$BY$2:$BY$318,'Picks'!$H$2:$H$318,$A16)</f>
        <v/>
      </c>
      <c r="G16" s="16">
        <f>IFERROR(AVERAGEIFS('Picks'!$AB$2:$AB$318,'Picks'!$H$2:$H$318,$A16,'Picks'!$U$2:$U$318,"settled"),0)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-2</v>
      </c>
      <c r="AD100" s="24" t="inlineStr">
        <is>
          <t>2026-08-03T17:05:42.429228Z</t>
        </is>
      </c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-108</v>
      </c>
      <c r="AA101" s="28" t="n">
        <v>0.52</v>
      </c>
      <c r="AB101" s="28" t="n">
        <v>0.000769</v>
      </c>
      <c r="AC101" s="30" t="n">
        <v>-1</v>
      </c>
      <c r="AD101" s="24" t="inlineStr">
        <is>
          <t>2026-08-02T23:11:58.041480Z</t>
        </is>
      </c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>
        <v>1.925926</v>
      </c>
      <c r="BR101" s="28" t="n">
        <v>0.52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-144</v>
      </c>
      <c r="AA102" s="28" t="n">
        <v>0.59</v>
      </c>
      <c r="AB102" s="28" t="n">
        <v>-0.000164</v>
      </c>
      <c r="AC102" s="30" t="n">
        <v>0.8681</v>
      </c>
      <c r="AD102" s="24" t="inlineStr">
        <is>
          <t>2026-08-02T23:11:59.093635Z</t>
        </is>
      </c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>
        <v>1.694444</v>
      </c>
      <c r="BR102" s="28" t="n">
        <v>0.59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3df15dfb8dc44a9e</t>
        </is>
      </c>
      <c r="B103" s="24" t="inlineStr">
        <is>
          <t>2026-08-02T18:48:04.752130Z</t>
        </is>
      </c>
      <c r="C103" s="24" t="inlineStr">
        <is>
          <t>2026-08-02T19:00Z</t>
        </is>
      </c>
      <c r="D103" s="24" t="inlineStr">
        <is>
          <t>421-2026:182290</t>
        </is>
      </c>
      <c r="E103" s="24" t="inlineStr">
        <is>
          <t>TENNIS</t>
        </is>
      </c>
      <c r="F103" s="24" t="inlineStr">
        <is>
          <t>Ariana Arseneault</t>
        </is>
      </c>
      <c r="G103" s="24" t="inlineStr">
        <is>
          <t>Jessica Bouzas Maneiro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-733</v>
      </c>
      <c r="M103" s="27" t="n">
        <v>1.136426</v>
      </c>
      <c r="N103" s="28" t="n">
        <v>0.879952</v>
      </c>
      <c r="O103" s="28" t="n">
        <v>0.577857</v>
      </c>
      <c r="P103" s="28" t="n">
        <v>0.05</v>
      </c>
      <c r="Q103" s="28" t="n">
        <v>-0.302095</v>
      </c>
      <c r="R103" s="26" t="n">
        <v>0</v>
      </c>
      <c r="S103" s="29" t="n">
        <v>1.25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-733</v>
      </c>
      <c r="AA103" s="28" t="n">
        <v>0.88</v>
      </c>
      <c r="AB103" s="28" t="n">
        <v>4.8e-05</v>
      </c>
      <c r="AC103" s="30" t="n">
        <v>0.1705</v>
      </c>
      <c r="AD103" s="24" t="inlineStr">
        <is>
          <t>2026-08-02T23:12:38.814555Z</t>
        </is>
      </c>
      <c r="AE103" s="31" t="inlineStr">
        <is>
          <t>Surface-blended Elo on Hard: Ariana Arseneault p=0.422 vs Jessica Bouzas Maneiro. Executable ask 0.8800 (aec-wta-jesman-ariars-2026-08-02).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NO_CALL_LOW_EDGE</t>
        </is>
      </c>
      <c r="AP103" s="24" t="inlineStr">
        <is>
          <t>Ariana Arseneault</t>
        </is>
      </c>
      <c r="AQ103" s="24" t="inlineStr">
        <is>
          <t>Ariana Arseneault</t>
        </is>
      </c>
      <c r="AR103" s="24" t="inlineStr">
        <is>
          <t>Ariana Arseneault</t>
        </is>
      </c>
      <c r="AS103" s="24" t="inlineStr">
        <is>
          <t>Jessica Bouzas Maneiro</t>
        </is>
      </c>
      <c r="AT103" s="24" t="inlineStr">
        <is>
          <t>Jessica Bouzas Maneiro</t>
        </is>
      </c>
      <c r="AU103" s="24" t="inlineStr">
        <is>
          <t>Jessica Bouzas Maneiro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2026-08-02T18:45:03.578329Z</t>
        </is>
      </c>
      <c r="BI103" s="24" t="inlineStr">
        <is>
          <t>["same_event","same_team_same_day","same_league_same_day"]</t>
        </is>
      </c>
      <c r="BJ103" s="25" t="n"/>
      <c r="BK103" s="26" t="n">
        <v>-733</v>
      </c>
      <c r="BL103" s="27" t="n">
        <v>1.136426</v>
      </c>
      <c r="BM103" s="28" t="n">
        <v>0.879952</v>
      </c>
      <c r="BN103" s="28" t="n"/>
      <c r="BO103" s="28" t="n"/>
      <c r="BP103" s="25" t="n"/>
      <c r="BQ103" s="27" t="n">
        <v>1.136426</v>
      </c>
      <c r="BR103" s="28" t="n">
        <v>0.88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</row>
    <row r="104" ht="36" customHeight="1">
      <c r="A104" s="24" t="inlineStr">
        <is>
          <t>624ae2422a9d4393</t>
        </is>
      </c>
      <c r="B104" s="24" t="inlineStr">
        <is>
          <t>2026-08-02T19:29:54.752777Z</t>
        </is>
      </c>
      <c r="C104" s="24" t="inlineStr">
        <is>
          <t>2026-08-02T19:45Z</t>
        </is>
      </c>
      <c r="D104" s="24" t="inlineStr">
        <is>
          <t>421-2026:182268</t>
        </is>
      </c>
      <c r="E104" s="24" t="inlineStr">
        <is>
          <t>TENNIS</t>
        </is>
      </c>
      <c r="F104" s="24" t="inlineStr">
        <is>
          <t>Katherine Sebov</t>
        </is>
      </c>
      <c r="G104" s="24" t="inlineStr">
        <is>
          <t>Aoi Ito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0.52927</v>
      </c>
      <c r="P104" s="28" t="n">
        <v>0.05</v>
      </c>
      <c r="Q104" s="28" t="n">
        <v>-0.07073</v>
      </c>
      <c r="R104" s="26" t="n">
        <v>0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-150</v>
      </c>
      <c r="AA104" s="28" t="n">
        <v>0.6</v>
      </c>
      <c r="AB104" s="28" t="n">
        <v>0</v>
      </c>
      <c r="AC104" s="30" t="n">
        <v>-1</v>
      </c>
      <c r="AD104" s="24" t="inlineStr">
        <is>
          <t>2026-08-02T23:12:57.592963Z</t>
        </is>
      </c>
      <c r="AE104" s="31" t="inlineStr">
        <is>
          <t>Surface-blended Elo on Hard: Katherine Sebov p=0.471 vs Aoi Ito. Executable ask 0.6000 (aec-wta-aoiito-katseb-2026-08-02).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Katherine Sebov</t>
        </is>
      </c>
      <c r="AQ104" s="24" t="inlineStr">
        <is>
          <t>Katherine Sebov</t>
        </is>
      </c>
      <c r="AR104" s="24" t="inlineStr">
        <is>
          <t>Katherine Sebov</t>
        </is>
      </c>
      <c r="AS104" s="24" t="inlineStr">
        <is>
          <t>Aoi Ito</t>
        </is>
      </c>
      <c r="AT104" s="24" t="inlineStr">
        <is>
          <t>Aoi Ito</t>
        </is>
      </c>
      <c r="AU104" s="24" t="inlineStr">
        <is>
          <t>Aoi Ito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2026-08-02T19:27:57.038278Z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>
        <v>1.666667</v>
      </c>
      <c r="BR104" s="28" t="n">
        <v>0.6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778b7ffd5e0a409e</t>
        </is>
      </c>
      <c r="B105" s="24" t="inlineStr">
        <is>
          <t>2026-08-02T19:29:54.752777Z</t>
        </is>
      </c>
      <c r="C105" s="24" t="inlineStr">
        <is>
          <t>2026-08-02T20:30Z</t>
        </is>
      </c>
      <c r="D105" s="24" t="inlineStr">
        <is>
          <t>421-2026:182257</t>
        </is>
      </c>
      <c r="E105" s="24" t="inlineStr">
        <is>
          <t>TENNIS</t>
        </is>
      </c>
      <c r="F105" s="24" t="inlineStr">
        <is>
          <t>Antonia Ruzic</t>
        </is>
      </c>
      <c r="G105" s="24" t="inlineStr">
        <is>
          <t>Lois Boisson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0.549832</v>
      </c>
      <c r="P105" s="28" t="n">
        <v>0.05</v>
      </c>
      <c r="Q105" s="28" t="n">
        <v>0.040028</v>
      </c>
      <c r="R105" s="26" t="n">
        <v>40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-104</v>
      </c>
      <c r="AA105" s="28" t="n">
        <v>0.51</v>
      </c>
      <c r="AB105" s="28" t="n">
        <v>0.000196</v>
      </c>
      <c r="AC105" s="30" t="n">
        <v>0.9615</v>
      </c>
      <c r="AD105" s="24" t="inlineStr">
        <is>
          <t>2026-08-03T22:55:16.906344Z</t>
        </is>
      </c>
      <c r="AE105" s="31" t="inlineStr">
        <is>
          <t>Surface-blended Elo on Hard: Antonia Ruzic p=0.550 vs Lois Boisson. Executable ask 0.5100 (aec-wta-loiboi-antruz-2026-08-02).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Antonia Ruzic</t>
        </is>
      </c>
      <c r="AQ105" s="24" t="inlineStr">
        <is>
          <t>Antonia Ruzic</t>
        </is>
      </c>
      <c r="AR105" s="24" t="inlineStr">
        <is>
          <t>Antonia Ruzic</t>
        </is>
      </c>
      <c r="AS105" s="24" t="inlineStr">
        <is>
          <t>Lois Boisson</t>
        </is>
      </c>
      <c r="AT105" s="24" t="inlineStr">
        <is>
          <t>Lois Boisson</t>
        </is>
      </c>
      <c r="AU105" s="24" t="inlineStr">
        <is>
          <t>Lois Boisson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2026-08-02T19:28:00.007951Z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>
        <v>1.961538</v>
      </c>
      <c r="BR105" s="28" t="n">
        <v>0.51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</row>
    <row r="106" ht="36" customHeight="1">
      <c r="A106" s="24" t="inlineStr">
        <is>
          <t>3f8947a50943414d</t>
        </is>
      </c>
      <c r="B106" s="24" t="inlineStr">
        <is>
          <t>2026-08-02T19:29:54.752777Z</t>
        </is>
      </c>
      <c r="C106" s="24" t="inlineStr">
        <is>
          <t>2026-08-02T20:30Z</t>
        </is>
      </c>
      <c r="D106" s="24" t="inlineStr">
        <is>
          <t>421-2026:182279</t>
        </is>
      </c>
      <c r="E106" s="24" t="inlineStr">
        <is>
          <t>TENNIS</t>
        </is>
      </c>
      <c r="F106" s="24" t="inlineStr">
        <is>
          <t>Cristina Bucsa</t>
        </is>
      </c>
      <c r="G106" s="24" t="inlineStr">
        <is>
          <t>Moyuka Uchijima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1.75188</v>
      </c>
      <c r="N106" s="28" t="n">
        <v>0.570815</v>
      </c>
      <c r="O106" s="28" t="n">
        <v>0.548768</v>
      </c>
      <c r="P106" s="28" t="n">
        <v>0.05</v>
      </c>
      <c r="Q106" s="28" t="n">
        <v>-0.022047</v>
      </c>
      <c r="R106" s="26" t="n">
        <v>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-0.000815</v>
      </c>
      <c r="AC106" s="30" t="n">
        <v>-1</v>
      </c>
      <c r="AD106" s="24" t="inlineStr">
        <is>
          <t>2026-08-02T23:12:58.762672Z</t>
        </is>
      </c>
      <c r="AE106" s="31" t="inlineStr">
        <is>
          <t>Surface-blended Elo on Hard: Cristina Bucsa p=0.549 vs Moyuka Uchijima. Executable ask 0.5700 (aec-wta-moyuch-cribuc-2026-08-02).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NO_CALL_LOW_EDGE</t>
        </is>
      </c>
      <c r="AP106" s="24" t="inlineStr">
        <is>
          <t>Cristina Bucsa</t>
        </is>
      </c>
      <c r="AQ106" s="24" t="inlineStr">
        <is>
          <t>Cristina Bucsa</t>
        </is>
      </c>
      <c r="AR106" s="24" t="inlineStr">
        <is>
          <t>Cristina Bucsa</t>
        </is>
      </c>
      <c r="AS106" s="24" t="inlineStr">
        <is>
          <t>Moyuka Uchijima</t>
        </is>
      </c>
      <c r="AT106" s="24" t="inlineStr">
        <is>
          <t>Moyuka Uchijima</t>
        </is>
      </c>
      <c r="AU106" s="24" t="inlineStr">
        <is>
          <t>Moyuka Uchijima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2026-08-02T19:28:02.236385Z</t>
        </is>
      </c>
      <c r="BI106" s="24" t="inlineStr">
        <is>
          <t>["same_event","same_team_same_day","same_league_same_day"]</t>
        </is>
      </c>
      <c r="BJ106" s="25" t="n"/>
      <c r="BK106" s="26" t="n">
        <v>-133</v>
      </c>
      <c r="BL106" s="27" t="n">
        <v>1.75188</v>
      </c>
      <c r="BM106" s="28" t="n">
        <v>0.570815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</row>
    <row r="107" ht="36" customHeight="1">
      <c r="A107" s="24" t="inlineStr">
        <is>
          <t>6704815582d842ed</t>
        </is>
      </c>
      <c r="B107" s="24" t="inlineStr">
        <is>
          <t>2026-08-02T19:29:54.752777Z</t>
        </is>
      </c>
      <c r="C107" s="24" t="inlineStr">
        <is>
          <t>2026-08-02T20:30Z</t>
        </is>
      </c>
      <c r="D107" s="24" t="inlineStr">
        <is>
          <t>421-2026:182284</t>
        </is>
      </c>
      <c r="E107" s="24" t="inlineStr">
        <is>
          <t>TENNIS</t>
        </is>
      </c>
      <c r="F107" s="24" t="inlineStr">
        <is>
          <t>Camila Osorio</t>
        </is>
      </c>
      <c r="G107" s="24" t="inlineStr">
        <is>
          <t>Lucrezia Stefanini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-233</v>
      </c>
      <c r="M107" s="27" t="n">
        <v>1.429185</v>
      </c>
      <c r="N107" s="28" t="n">
        <v>0.6997</v>
      </c>
      <c r="O107" s="28" t="n">
        <v>0.736958</v>
      </c>
      <c r="P107" s="28" t="n">
        <v>0.05</v>
      </c>
      <c r="Q107" s="28" t="n">
        <v>0.037258</v>
      </c>
      <c r="R107" s="26" t="n">
        <v>39</v>
      </c>
      <c r="S107" s="29" t="n">
        <v>2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-233</v>
      </c>
      <c r="AA107" s="28" t="n">
        <v>0.7</v>
      </c>
      <c r="AB107" s="28" t="n">
        <v>0.0003</v>
      </c>
      <c r="AC107" s="30" t="n">
        <v>0.8584000000000001</v>
      </c>
      <c r="AD107" s="24" t="inlineStr">
        <is>
          <t>2026-08-02T23:12:59.971095Z</t>
        </is>
      </c>
      <c r="AE107" s="31" t="inlineStr">
        <is>
          <t>Surface-blended Elo on Hard: Camila Osorio p=0.737 vs Lucrezia Stefanini. Executable ask 0.7000 (aec-wta-lucste-camoso-2026-08-02).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NO_CALL_LOW_EDGE</t>
        </is>
      </c>
      <c r="AP107" s="24" t="inlineStr">
        <is>
          <t>Camila Osorio</t>
        </is>
      </c>
      <c r="AQ107" s="24" t="inlineStr">
        <is>
          <t>Camila Osorio</t>
        </is>
      </c>
      <c r="AR107" s="24" t="inlineStr">
        <is>
          <t>Camila Osorio</t>
        </is>
      </c>
      <c r="AS107" s="24" t="inlineStr">
        <is>
          <t>Lucrezia Stefanini</t>
        </is>
      </c>
      <c r="AT107" s="24" t="inlineStr">
        <is>
          <t>Lucrezia Stefanini</t>
        </is>
      </c>
      <c r="AU107" s="24" t="inlineStr">
        <is>
          <t>Lucrezia Stefanini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2026-08-02T19:27:58.857037Z</t>
        </is>
      </c>
      <c r="BI107" s="24" t="inlineStr">
        <is>
          <t>["same_event","same_team_same_day","same_league_same_day"]</t>
        </is>
      </c>
      <c r="BJ107" s="25" t="n"/>
      <c r="BK107" s="26" t="n">
        <v>-233</v>
      </c>
      <c r="BL107" s="27" t="n">
        <v>1.429185</v>
      </c>
      <c r="BM107" s="28" t="n">
        <v>0.6997</v>
      </c>
      <c r="BN107" s="28" t="n"/>
      <c r="BO107" s="28" t="n"/>
      <c r="BP107" s="25" t="n"/>
      <c r="BQ107" s="27" t="n">
        <v>1.429185</v>
      </c>
      <c r="BR107" s="28" t="n">
        <v>0.7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4e0724edfcf5445f</t>
        </is>
      </c>
      <c r="B108" s="24" t="inlineStr">
        <is>
          <t>2026-08-02T19:29:54.752777Z</t>
        </is>
      </c>
      <c r="C108" s="24" t="inlineStr">
        <is>
          <t>2026-08-02T22:00Z</t>
        </is>
      </c>
      <c r="D108" s="24" t="inlineStr">
        <is>
          <t>421-2026:182236</t>
        </is>
      </c>
      <c r="E108" s="24" t="inlineStr">
        <is>
          <t>TENNIS</t>
        </is>
      </c>
      <c r="F108" s="24" t="inlineStr">
        <is>
          <t>Leolia Jeanjean</t>
        </is>
      </c>
      <c r="G108" s="24" t="inlineStr">
        <is>
          <t>Magdalena Frech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163</v>
      </c>
      <c r="M108" s="27" t="n">
        <v>2.63</v>
      </c>
      <c r="N108" s="28" t="n">
        <v>0.380228</v>
      </c>
      <c r="O108" s="28" t="n">
        <v>0.504343</v>
      </c>
      <c r="P108" s="28" t="n">
        <v>0.05</v>
      </c>
      <c r="Q108" s="28" t="n">
        <v>0.124115</v>
      </c>
      <c r="R108" s="26" t="n">
        <v>82</v>
      </c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163</v>
      </c>
      <c r="AA108" s="28" t="n">
        <v>0.38</v>
      </c>
      <c r="AB108" s="28" t="n">
        <v>-0.000228</v>
      </c>
      <c r="AC108" s="30" t="n">
        <v>-1</v>
      </c>
      <c r="AD108" s="24" t="inlineStr">
        <is>
          <t>2026-08-03T22:55:17.543120Z</t>
        </is>
      </c>
      <c r="AE108" s="31" t="inlineStr">
        <is>
          <t>Surface-blended Elo on Hard: Leolia Jeanjean p=0.504 vs Magdalena Frech. Executable ask 0.3800 (aec-wta-magfre-leojea-2026-08-02).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Leolia Jeanjean</t>
        </is>
      </c>
      <c r="AQ108" s="24" t="inlineStr">
        <is>
          <t>Leolia Jeanjean</t>
        </is>
      </c>
      <c r="AR108" s="24" t="inlineStr">
        <is>
          <t>Leolia Jeanjean</t>
        </is>
      </c>
      <c r="AS108" s="24" t="inlineStr">
        <is>
          <t>Magdalena Frech</t>
        </is>
      </c>
      <c r="AT108" s="24" t="inlineStr">
        <is>
          <t>Magdalena Frech</t>
        </is>
      </c>
      <c r="AU108" s="24" t="inlineStr">
        <is>
          <t>Magdalena Frech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2026-08-02T19:28:03.404917Z</t>
        </is>
      </c>
      <c r="BI108" s="24" t="inlineStr">
        <is>
          <t>["same_event","same_team_same_day","same_league_same_day"]</t>
        </is>
      </c>
      <c r="BJ108" s="25" t="n"/>
      <c r="BK108" s="26" t="n">
        <v>163</v>
      </c>
      <c r="BL108" s="27" t="n">
        <v>2.63</v>
      </c>
      <c r="BM108" s="28" t="n">
        <v>0.380228</v>
      </c>
      <c r="BN108" s="28" t="n"/>
      <c r="BO108" s="28" t="n"/>
      <c r="BP108" s="25" t="n"/>
      <c r="BQ108" s="27" t="n">
        <v>2.63</v>
      </c>
      <c r="BR108" s="28" t="n">
        <v>0.38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807ba87cca404fda</t>
        </is>
      </c>
      <c r="B109" s="24" t="inlineStr">
        <is>
          <t>2026-08-02T19:29:54.752777Z</t>
        </is>
      </c>
      <c r="C109" s="24" t="inlineStr">
        <is>
          <t>2026-08-02T22:00Z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122</v>
      </c>
      <c r="M109" s="27" t="n">
        <v>2.22</v>
      </c>
      <c r="N109" s="28" t="n">
        <v>0.45045</v>
      </c>
      <c r="O109" s="28" t="n">
        <v>0.53051</v>
      </c>
      <c r="P109" s="28" t="n">
        <v>0.05</v>
      </c>
      <c r="Q109" s="28" t="n">
        <v>0.08006000000000001</v>
      </c>
      <c r="R109" s="26" t="n">
        <v>60</v>
      </c>
      <c r="S109" s="29" t="n">
        <v>1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122</v>
      </c>
      <c r="AA109" s="28" t="n">
        <v>0.45</v>
      </c>
      <c r="AB109" s="28" t="n">
        <v>-0.00045</v>
      </c>
      <c r="AC109" s="30" t="n">
        <v>1.22</v>
      </c>
      <c r="AD109" s="24" t="inlineStr">
        <is>
          <t>2026-08-03T19:51:45.993877Z</t>
        </is>
      </c>
      <c r="AE109" s="31" t="inlineStr">
        <is>
          <t>Surface-blended Elo on Hard: Anna Blinkova p=0.469 vs Rebecca Sramkova. Executable ask 0.4500 (aec-wta-rebsra-annbli-2026-08-02).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2026-08-02T19:28:05.838822Z</t>
        </is>
      </c>
      <c r="BI109" s="24" t="inlineStr">
        <is>
          <t>["same_event","same_team_same_day","same_league_same_day"]</t>
        </is>
      </c>
      <c r="BJ109" s="25" t="n"/>
      <c r="BK109" s="26" t="n">
        <v>122</v>
      </c>
      <c r="BL109" s="27" t="n">
        <v>2.22</v>
      </c>
      <c r="BM109" s="28" t="n">
        <v>0.45045</v>
      </c>
      <c r="BN109" s="28" t="n"/>
      <c r="BO109" s="28" t="n"/>
      <c r="BP109" s="25" t="n"/>
      <c r="BQ109" s="27" t="n">
        <v>2.22</v>
      </c>
      <c r="BR109" s="28" t="n">
        <v>0.45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ecfc16f9de7e44dc</t>
        </is>
      </c>
      <c r="B110" s="24" t="inlineStr">
        <is>
          <t>2026-08-02T19:29:54.752777Z</t>
        </is>
      </c>
      <c r="C110" s="24" t="inlineStr">
        <is>
          <t>2026-08-02T22:00Z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0.756798</v>
      </c>
      <c r="P110" s="28" t="n">
        <v>0.05</v>
      </c>
      <c r="Q110" s="28" t="n">
        <v>0.08683100000000001</v>
      </c>
      <c r="R110" s="26" t="n">
        <v>63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>
        <v>-203</v>
      </c>
      <c r="AA110" s="28" t="n">
        <v>0.67</v>
      </c>
      <c r="AB110" s="28" t="n">
        <v>3.3e-05</v>
      </c>
      <c r="AC110" s="30" t="n">
        <v>0.9852</v>
      </c>
      <c r="AD110" s="24" t="inlineStr">
        <is>
          <t>2026-08-03T22:55:18.213207Z</t>
        </is>
      </c>
      <c r="AE110" s="31" t="inlineStr">
        <is>
          <t>Surface-blended Elo on Hard: Lanlana Tararudee p=0.757 vs Emerson Jones. Executable ask 0.6700 (aec-wta-emejon-lantar-2026-08-02).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2026-08-02T19:28:08.485925Z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>
        <v>1.492611</v>
      </c>
      <c r="BR110" s="28" t="n">
        <v>0.67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12f8df947c034fbf</t>
        </is>
      </c>
      <c r="B111" s="24" t="inlineStr">
        <is>
          <t>2026-08-02T19:29:54.752777Z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-150</v>
      </c>
      <c r="AA111" s="28" t="n">
        <v>0.6</v>
      </c>
      <c r="AB111" s="28" t="n">
        <v>0</v>
      </c>
      <c r="AC111" s="30" t="n">
        <v>1</v>
      </c>
      <c r="AD111" s="24" t="inlineStr">
        <is>
          <t>2026-08-03T22:55:18.851928Z</t>
        </is>
      </c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2026-08-02T19:28:09.004921Z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>
        <v>1.666667</v>
      </c>
      <c r="BR111" s="28" t="n">
        <v>0.6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</row>
    <row r="112" ht="36" customHeight="1">
      <c r="A112" s="24" t="inlineStr">
        <is>
          <t>f7fcadfe3a0b4144</t>
        </is>
      </c>
      <c r="B112" s="24" t="inlineStr">
        <is>
          <t>2026-08-02T19:29:54.752777Z</t>
        </is>
      </c>
      <c r="C112" s="24" t="inlineStr">
        <is>
          <t>2026-08-02T22:00Z</t>
        </is>
      </c>
      <c r="D112" s="24" t="inlineStr">
        <is>
          <t>421-2026:181781</t>
        </is>
      </c>
      <c r="E112" s="24" t="inlineStr">
        <is>
          <t>TENNIS</t>
        </is>
      </c>
      <c r="F112" s="24" t="inlineStr">
        <is>
          <t>Marin Cilic</t>
        </is>
      </c>
      <c r="G112" s="24" t="inlineStr">
        <is>
          <t>Sho Shimabukuro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0.529427</v>
      </c>
      <c r="P112" s="28" t="n">
        <v>0.05</v>
      </c>
      <c r="Q112" s="28" t="n">
        <v>-0.041388</v>
      </c>
      <c r="R112" s="26" t="n">
        <v>0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2026-08-04T01:58:24.708909Z</t>
        </is>
      </c>
      <c r="AE112" s="31" t="inlineStr">
        <is>
          <t>Surface-blended Elo on Hard: Marin Cilic p=0.529 vs Sho Shimabukuro. Executable ask 0.5700 (aec-atp-shoshi-marcil-2026-08-02).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Marin Cilic</t>
        </is>
      </c>
      <c r="AQ112" s="24" t="inlineStr">
        <is>
          <t>Marin Cilic</t>
        </is>
      </c>
      <c r="AR112" s="24" t="inlineStr">
        <is>
          <t>Marin Cilic</t>
        </is>
      </c>
      <c r="AS112" s="24" t="inlineStr">
        <is>
          <t>Sho Shimabukuro</t>
        </is>
      </c>
      <c r="AT112" s="24" t="inlineStr">
        <is>
          <t>Sho Shimabukuro</t>
        </is>
      </c>
      <c r="AU112" s="24" t="inlineStr">
        <is>
          <t>Sho Shimabukuro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2026-08-02T19:28:25.674118Z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  <row r="113" ht="36" customHeight="1">
      <c r="A113" s="24" t="inlineStr">
        <is>
          <t>5f45a6922d024782</t>
        </is>
      </c>
      <c r="B113" s="24" t="inlineStr">
        <is>
          <t>2026-08-02T19:29:54.752777Z</t>
        </is>
      </c>
      <c r="C113" s="24" t="inlineStr">
        <is>
          <t>2026-08-02T23:00Z</t>
        </is>
      </c>
      <c r="D113" s="24" t="inlineStr">
        <is>
          <t>421-2026:181801</t>
        </is>
      </c>
      <c r="E113" s="24" t="inlineStr">
        <is>
          <t>TENNIS</t>
        </is>
      </c>
      <c r="F113" s="24" t="inlineStr">
        <is>
          <t>Kyrian Jacquet</t>
        </is>
      </c>
      <c r="G113" s="24" t="inlineStr">
        <is>
          <t>Gabriel Diallo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0.5845590000000001</v>
      </c>
      <c r="P113" s="28" t="n">
        <v>0.05</v>
      </c>
      <c r="Q113" s="28" t="n">
        <v>0.045388</v>
      </c>
      <c r="R113" s="26" t="n">
        <v>43</v>
      </c>
      <c r="S113" s="29" t="n">
        <v>1.25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1.0684</v>
      </c>
      <c r="AD113" s="24" t="inlineStr">
        <is>
          <t>2026-08-04T03:57:49.431787Z</t>
        </is>
      </c>
      <c r="AE113" s="31" t="inlineStr">
        <is>
          <t>Surface-blended Elo on Hard: Kyrian Jacquet p=0.415 vs Gabriel Diallo. Executable ask 0.5400 (aec-atp-gabdia-kyrjac-2026-08-02).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Kyrian Jacquet</t>
        </is>
      </c>
      <c r="AQ113" s="24" t="inlineStr">
        <is>
          <t>Kyrian Jacquet</t>
        </is>
      </c>
      <c r="AR113" s="24" t="inlineStr">
        <is>
          <t>Kyrian Jacquet</t>
        </is>
      </c>
      <c r="AS113" s="24" t="inlineStr">
        <is>
          <t>Gabriel Diallo</t>
        </is>
      </c>
      <c r="AT113" s="24" t="inlineStr">
        <is>
          <t>Gabriel Diallo</t>
        </is>
      </c>
      <c r="AU113" s="24" t="inlineStr">
        <is>
          <t>Gabriel Diallo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2026-08-02T19:28:27.060091Z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c28fa2c4b30e4090</t>
        </is>
      </c>
      <c r="B114" s="24" t="inlineStr">
        <is>
          <t>2026-08-02T23:15:07.472650Z</t>
        </is>
      </c>
      <c r="C114" s="24" t="inlineStr">
        <is>
          <t>2026-08-02T23:30Z</t>
        </is>
      </c>
      <c r="D114" s="24" t="inlineStr">
        <is>
          <t>421-2026:182240</t>
        </is>
      </c>
      <c r="E114" s="24" t="inlineStr">
        <is>
          <t>TENNIS</t>
        </is>
      </c>
      <c r="F114" s="24" t="inlineStr">
        <is>
          <t>Cadence Brace</t>
        </is>
      </c>
      <c r="G114" s="24" t="inlineStr">
        <is>
          <t>McCartney Kessler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-567</v>
      </c>
      <c r="M114" s="27" t="n">
        <v>1.176367</v>
      </c>
      <c r="N114" s="28" t="n">
        <v>0.850075</v>
      </c>
      <c r="O114" s="28" t="n">
        <v>0.7637620000000001</v>
      </c>
      <c r="P114" s="28" t="n">
        <v>0.05</v>
      </c>
      <c r="Q114" s="28" t="n">
        <v>-0.086313</v>
      </c>
      <c r="R114" s="26" t="n">
        <v>0</v>
      </c>
      <c r="S114" s="29" t="n">
        <v>2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-567</v>
      </c>
      <c r="AA114" s="28" t="n">
        <v>0.85</v>
      </c>
      <c r="AB114" s="28" t="n">
        <v>-7.499999999999999e-05</v>
      </c>
      <c r="AC114" s="30" t="n">
        <v>0.3527</v>
      </c>
      <c r="AD114" s="24" t="inlineStr">
        <is>
          <t>2026-08-03T19:51:46.656550Z</t>
        </is>
      </c>
      <c r="AE114" s="31" t="inlineStr">
        <is>
          <t>Surface-blended Elo on Hard: Cadence Brace p=0.236 vs McCartney Kessler. Executable ask 0.8500 (aec-wta-mcckes-cadbra-2026-08-02).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Cadence Brace</t>
        </is>
      </c>
      <c r="AQ114" s="24" t="inlineStr">
        <is>
          <t>Cadence Brace</t>
        </is>
      </c>
      <c r="AR114" s="24" t="inlineStr">
        <is>
          <t>Cadence Brace</t>
        </is>
      </c>
      <c r="AS114" s="24" t="inlineStr">
        <is>
          <t>McCartney Kessler</t>
        </is>
      </c>
      <c r="AT114" s="24" t="inlineStr">
        <is>
          <t>McCartney Kessler</t>
        </is>
      </c>
      <c r="AU114" s="24" t="inlineStr">
        <is>
          <t>McCartney Kessler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2026-08-02T23:14:14.033498Z</t>
        </is>
      </c>
      <c r="BI114" s="24" t="inlineStr">
        <is>
          <t>["same_event","same_team_same_day","same_league_same_day"]</t>
        </is>
      </c>
      <c r="BJ114" s="25" t="n"/>
      <c r="BK114" s="26" t="n">
        <v>-567</v>
      </c>
      <c r="BL114" s="27" t="n">
        <v>1.176367</v>
      </c>
      <c r="BM114" s="28" t="n">
        <v>0.850075</v>
      </c>
      <c r="BN114" s="28" t="n"/>
      <c r="BO114" s="28" t="n"/>
      <c r="BP114" s="25" t="n"/>
      <c r="BQ114" s="27" t="n">
        <v>1.176367</v>
      </c>
      <c r="BR114" s="28" t="n">
        <v>0.85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</row>
    <row r="115" ht="36" customHeight="1">
      <c r="A115" s="24" t="inlineStr">
        <is>
          <t>50a9769a771546da</t>
        </is>
      </c>
      <c r="B115" s="24" t="inlineStr">
        <is>
          <t>2026-08-02T23:15:07.472650Z</t>
        </is>
      </c>
      <c r="C115" s="24" t="inlineStr">
        <is>
          <t>2026-08-03T00:10Z</t>
        </is>
      </c>
      <c r="D115" s="24" t="inlineStr">
        <is>
          <t>421-2026:182283</t>
        </is>
      </c>
      <c r="E115" s="24" t="inlineStr">
        <is>
          <t>TENNIS</t>
        </is>
      </c>
      <c r="F115" s="24" t="inlineStr">
        <is>
          <t>Elisabetta Cocciaretto</t>
        </is>
      </c>
      <c r="G115" s="24" t="inlineStr">
        <is>
          <t>Talia Gibson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0.578226</v>
      </c>
      <c r="P115" s="28" t="n">
        <v>0.05</v>
      </c>
      <c r="Q115" s="28" t="n">
        <v>-0.011938</v>
      </c>
      <c r="R115" s="26" t="n">
        <v>14</v>
      </c>
      <c r="S115" s="29" t="n">
        <v>1.25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-144</v>
      </c>
      <c r="AA115" s="28" t="n">
        <v>0.59</v>
      </c>
      <c r="AB115" s="28" t="n">
        <v>-0.000164</v>
      </c>
      <c r="AC115" s="30" t="n">
        <v>-1.25</v>
      </c>
      <c r="AD115" s="24" t="inlineStr">
        <is>
          <t>2026-08-03T19:51:47.344375Z</t>
        </is>
      </c>
      <c r="AE115" s="31" t="inlineStr">
        <is>
          <t>Surface-blended Elo on Hard: Elisabetta Cocciaretto p=0.578 vs Talia Gibson. Executable ask 0.5900 (aec-wta-talgib-elicoc-2026-08-02).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Elisabetta Cocciaretto</t>
        </is>
      </c>
      <c r="AQ115" s="24" t="inlineStr">
        <is>
          <t>Elisabetta Cocciaretto</t>
        </is>
      </c>
      <c r="AR115" s="24" t="inlineStr">
        <is>
          <t>Elisabetta Cocciaretto</t>
        </is>
      </c>
      <c r="AS115" s="24" t="inlineStr">
        <is>
          <t>Talia Gibson</t>
        </is>
      </c>
      <c r="AT115" s="24" t="inlineStr">
        <is>
          <t>Talia Gibson</t>
        </is>
      </c>
      <c r="AU115" s="24" t="inlineStr">
        <is>
          <t>Talia Gibson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2026-08-02T23:14:15.722899Z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1.694444</v>
      </c>
      <c r="BR115" s="28" t="n">
        <v>0.59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</row>
    <row r="116" ht="36" customHeight="1">
      <c r="A116" s="24" t="inlineStr">
        <is>
          <t>04523026a0c54f5f</t>
        </is>
      </c>
      <c r="B116" s="24" t="inlineStr">
        <is>
          <t>2026-08-02T23:15:07.472650Z</t>
        </is>
      </c>
      <c r="C116" s="24" t="inlineStr">
        <is>
          <t>2026-08-03T00:30Z</t>
        </is>
      </c>
      <c r="D116" s="24" t="inlineStr">
        <is>
          <t>421-2026:182281</t>
        </is>
      </c>
      <c r="E116" s="24" t="inlineStr">
        <is>
          <t>TENNIS</t>
        </is>
      </c>
      <c r="F116" s="24" t="inlineStr">
        <is>
          <t>Zhang Shuai</t>
        </is>
      </c>
      <c r="G116" s="24" t="inlineStr">
        <is>
          <t>Yulia Putintseva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0.630736</v>
      </c>
      <c r="P116" s="28" t="n">
        <v>0.05</v>
      </c>
      <c r="Q116" s="28" t="n">
        <v>-0.029128</v>
      </c>
      <c r="R116" s="26" t="n">
        <v>5</v>
      </c>
      <c r="S116" s="29" t="n">
        <v>1.5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-1.5</v>
      </c>
      <c r="AD116" s="24" t="inlineStr">
        <is>
          <t>2026-08-03T19:51:47.996605Z</t>
        </is>
      </c>
      <c r="AE116" s="31" t="inlineStr">
        <is>
          <t>Surface-blended Elo on Hard: Zhang Shuai p=0.369 vs Yulia Putintseva. Executable ask 0.6600 (aec-wta-yulput-shuzha-2026-08-02).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Zhang Shuai</t>
        </is>
      </c>
      <c r="AQ116" s="24" t="inlineStr">
        <is>
          <t>Zhang Shuai</t>
        </is>
      </c>
      <c r="AR116" s="24" t="inlineStr">
        <is>
          <t>Zhang Shuai</t>
        </is>
      </c>
      <c r="AS116" s="24" t="inlineStr">
        <is>
          <t>Yulia Putintseva</t>
        </is>
      </c>
      <c r="AT116" s="24" t="inlineStr">
        <is>
          <t>Yulia Putintseva</t>
        </is>
      </c>
      <c r="AU116" s="24" t="inlineStr">
        <is>
          <t>Yulia Putintseva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2026-08-02T23:14:16.187248Z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</row>
    <row r="117" ht="36" customHeight="1">
      <c r="A117" s="24" t="inlineStr">
        <is>
          <t>93584daeac574ccd</t>
        </is>
      </c>
      <c r="B117" s="24" t="inlineStr">
        <is>
          <t>2026-08-03T06:27:55.084267Z</t>
        </is>
      </c>
      <c r="C117" s="24" t="inlineStr">
        <is>
          <t>2026-08-03T09:00Z</t>
        </is>
      </c>
      <c r="D117" s="24" t="inlineStr">
        <is>
          <t>961-2026:182085</t>
        </is>
      </c>
      <c r="E117" s="24" t="inlineStr">
        <is>
          <t>TENNIS</t>
        </is>
      </c>
      <c r="F117" s="24" t="inlineStr">
        <is>
          <t>Urszula Radwanska</t>
        </is>
      </c>
      <c r="G117" s="24" t="inlineStr">
        <is>
          <t>Aliona Falei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-1011</v>
      </c>
      <c r="M117" s="27" t="n">
        <v>1.098912</v>
      </c>
      <c r="N117" s="28" t="n">
        <v>0.909991</v>
      </c>
      <c r="O117" s="28" t="n">
        <v>0.542282</v>
      </c>
      <c r="P117" s="28" t="n">
        <v>0.05</v>
      </c>
      <c r="Q117" s="28" t="n">
        <v>-0.367709</v>
      </c>
      <c r="R117" s="26" t="n">
        <v>0</v>
      </c>
      <c r="S117" s="29" t="n">
        <v>1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-1011</v>
      </c>
      <c r="AA117" s="28" t="n">
        <v>0.91</v>
      </c>
      <c r="AB117" s="28" t="n">
        <v>9e-06</v>
      </c>
      <c r="AC117" s="30" t="n">
        <v>0.0989</v>
      </c>
      <c r="AD117" s="24" t="inlineStr">
        <is>
          <t>2026-08-03T10:55:33.371134Z</t>
        </is>
      </c>
      <c r="AE117" s="31" t="inlineStr">
        <is>
          <t>Surface-blended Elo on Hard: Urszula Radwanska p=0.458 vs Aliona Falei. Executable ask 0.9100 (aec-wta-alifal-ursrad-2026-08-03).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Urszula Radwanska</t>
        </is>
      </c>
      <c r="AQ117" s="24" t="inlineStr">
        <is>
          <t>Urszula Radwanska</t>
        </is>
      </c>
      <c r="AR117" s="24" t="inlineStr">
        <is>
          <t>Urszula Radwanska</t>
        </is>
      </c>
      <c r="AS117" s="24" t="inlineStr">
        <is>
          <t>Aliona Falei</t>
        </is>
      </c>
      <c r="AT117" s="24" t="inlineStr">
        <is>
          <t>Aliona Falei</t>
        </is>
      </c>
      <c r="AU117" s="24" t="inlineStr">
        <is>
          <t>Aliona Falei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2026-08-03T06:24:02.597792Z</t>
        </is>
      </c>
      <c r="BI117" s="24" t="inlineStr">
        <is>
          <t>["same_event","same_team_same_day","same_league_same_day"]</t>
        </is>
      </c>
      <c r="BJ117" s="25" t="n"/>
      <c r="BK117" s="26" t="n">
        <v>-1011</v>
      </c>
      <c r="BL117" s="27" t="n">
        <v>1.098912</v>
      </c>
      <c r="BM117" s="28" t="n">
        <v>0.909991</v>
      </c>
      <c r="BN117" s="28" t="n"/>
      <c r="BO117" s="28" t="n"/>
      <c r="BP117" s="25" t="n"/>
      <c r="BQ117" s="27" t="n">
        <v>1.098912</v>
      </c>
      <c r="BR117" s="28" t="n">
        <v>0.91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</row>
    <row r="118" ht="36" customHeight="1">
      <c r="A118" s="24" t="inlineStr">
        <is>
          <t>99fed0ec01a746ab</t>
        </is>
      </c>
      <c r="B118" s="24" t="inlineStr">
        <is>
          <t>2026-08-03T06:27:55.084267Z</t>
        </is>
      </c>
      <c r="C118" s="24" t="inlineStr">
        <is>
          <t>2026-08-03T09:00Z</t>
        </is>
      </c>
      <c r="D118" s="24" t="inlineStr">
        <is>
          <t>961-2026:182095</t>
        </is>
      </c>
      <c r="E118" s="24" t="inlineStr">
        <is>
          <t>TENNIS</t>
        </is>
      </c>
      <c r="F118" s="24" t="inlineStr">
        <is>
          <t>Noma Noha Akugue</t>
        </is>
      </c>
      <c r="G118" s="24" t="inlineStr">
        <is>
          <t>Julia Avdeeva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0.593929</v>
      </c>
      <c r="P118" s="28" t="n">
        <v>0.05</v>
      </c>
      <c r="Q118" s="28" t="n">
        <v>0.003765</v>
      </c>
      <c r="R118" s="26" t="n">
        <v>22</v>
      </c>
      <c r="S118" s="29" t="n">
        <v>1.25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-144</v>
      </c>
      <c r="AA118" s="28" t="n">
        <v>0.59</v>
      </c>
      <c r="AB118" s="28" t="n">
        <v>-0.000164</v>
      </c>
      <c r="AC118" s="30" t="n">
        <v>0.8681</v>
      </c>
      <c r="AD118" s="24" t="inlineStr">
        <is>
          <t>2026-08-03T10:45:15.905948Z</t>
        </is>
      </c>
      <c r="AE118" s="31" t="inlineStr">
        <is>
          <t>Surface-blended Elo on Hard: Noma Noha Akugue p=0.594 vs Julia Avdeeva. Executable ask 0.5900 (aec-wta-julavd-nomaku-2026-08-03).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Noma Noha Akugue</t>
        </is>
      </c>
      <c r="AQ118" s="24" t="inlineStr">
        <is>
          <t>Noma Noha Akugue</t>
        </is>
      </c>
      <c r="AR118" s="24" t="inlineStr">
        <is>
          <t>Noma Noha Akugue</t>
        </is>
      </c>
      <c r="AS118" s="24" t="inlineStr">
        <is>
          <t>Julia Avdeeva</t>
        </is>
      </c>
      <c r="AT118" s="24" t="inlineStr">
        <is>
          <t>Julia Avdeeva</t>
        </is>
      </c>
      <c r="AU118" s="24" t="inlineStr">
        <is>
          <t>Julia Avdeeva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1c05a3c4f76bde5de709ff6bb1937b3c4c67149c2ea621b7c90ca07898e048e8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1c05a3c4f76bde5de709ff6bb1937b3c4c67149c2ea621b7c90ca07898e048e8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1c05a3c4f76bde5de709ff6bb1937b3c4c67149c2ea621b7c90ca07898e048e8</t>
        </is>
      </c>
      <c r="BH118" s="24" t="inlineStr">
        <is>
          <t>2026-08-03T06:24:02.533380Z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>
        <v>1.694444</v>
      </c>
      <c r="BR118" s="28" t="n">
        <v>0.59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</row>
    <row r="119" ht="36" customHeight="1">
      <c r="A119" s="24" t="inlineStr">
        <is>
          <t>0f349e7a062d4df1</t>
        </is>
      </c>
      <c r="B119" s="24" t="inlineStr">
        <is>
          <t>2026-08-03T10:11:30.218358Z</t>
        </is>
      </c>
      <c r="C119" s="24" t="inlineStr">
        <is>
          <t>2026-08-03T10:30Z</t>
        </is>
      </c>
      <c r="D119" s="24" t="inlineStr">
        <is>
          <t>961-2026:182084</t>
        </is>
      </c>
      <c r="E119" s="24" t="inlineStr">
        <is>
          <t>TENNIS</t>
        </is>
      </c>
      <c r="F119" s="24" t="inlineStr">
        <is>
          <t>Veronika Podrez</t>
        </is>
      </c>
      <c r="G119" s="24" t="inlineStr">
        <is>
          <t>Elena Micic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0.636428</v>
      </c>
      <c r="P119" s="28" t="n">
        <v>0.05</v>
      </c>
      <c r="Q119" s="28" t="n">
        <v>-0.023436</v>
      </c>
      <c r="R119" s="26" t="n">
        <v>8</v>
      </c>
      <c r="S119" s="29" t="n">
        <v>1.5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-194</v>
      </c>
      <c r="AA119" s="28" t="n">
        <v>0.66</v>
      </c>
      <c r="AB119" s="28" t="n">
        <v>0.000136</v>
      </c>
      <c r="AC119" s="30" t="n">
        <v>0.7732</v>
      </c>
      <c r="AD119" s="24" t="inlineStr">
        <is>
          <t>2026-08-03T13:27:04.811378Z</t>
        </is>
      </c>
      <c r="AE119" s="31" t="inlineStr">
        <is>
          <t>Surface-blended Elo on Hard: Veronika Podrez p=0.636 vs Elena Micic. Executable ask 0.6600 (aec-wta-elemic-verpod-2026-08-03).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Veronika Podrez</t>
        </is>
      </c>
      <c r="AQ119" s="24" t="inlineStr">
        <is>
          <t>Veronika Podrez</t>
        </is>
      </c>
      <c r="AR119" s="24" t="inlineStr">
        <is>
          <t>Veronika Podrez</t>
        </is>
      </c>
      <c r="AS119" s="24" t="inlineStr">
        <is>
          <t>Elena Micic</t>
        </is>
      </c>
      <c r="AT119" s="24" t="inlineStr">
        <is>
          <t>Elena Micic</t>
        </is>
      </c>
      <c r="AU119" s="24" t="inlineStr">
        <is>
          <t>Elena Micic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1c05a3c4f76bde5de709ff6bb1937b3c4c67149c2ea621b7c90ca07898e048e8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1c05a3c4f76bde5de709ff6bb1937b3c4c67149c2ea621b7c90ca07898e048e8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1c05a3c4f76bde5de709ff6bb1937b3c4c67149c2ea621b7c90ca07898e048e8</t>
        </is>
      </c>
      <c r="BH119" s="24" t="inlineStr">
        <is>
          <t>2026-08-03T10:07:44.935152Z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>
        <v>1.515464</v>
      </c>
      <c r="BR119" s="28" t="n">
        <v>0.66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388b5037c50b410d</t>
        </is>
      </c>
      <c r="B120" s="24" t="inlineStr">
        <is>
          <t>2026-08-03T10:58:25.846671Z</t>
        </is>
      </c>
      <c r="C120" s="24" t="inlineStr">
        <is>
          <t>2026-08-03T12:00Z</t>
        </is>
      </c>
      <c r="D120" s="24" t="inlineStr">
        <is>
          <t>961-2026:182086</t>
        </is>
      </c>
      <c r="E120" s="24" t="inlineStr">
        <is>
          <t>TENNIS</t>
        </is>
      </c>
      <c r="F120" s="24" t="inlineStr">
        <is>
          <t>Linda Fruhvirtova</t>
        </is>
      </c>
      <c r="G120" s="24" t="inlineStr">
        <is>
          <t>Katarzyna Kawa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138</v>
      </c>
      <c r="M120" s="27" t="n">
        <v>2.38</v>
      </c>
      <c r="N120" s="28" t="n">
        <v>0.420168</v>
      </c>
      <c r="O120" s="28" t="n">
        <v>0.696908</v>
      </c>
      <c r="P120" s="28" t="n">
        <v>0.05</v>
      </c>
      <c r="Q120" s="28" t="n">
        <v>0.27674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138</v>
      </c>
      <c r="AA120" s="28" t="n">
        <v>0.42</v>
      </c>
      <c r="AB120" s="28" t="n">
        <v>-0.000168</v>
      </c>
      <c r="AC120" s="30" t="n">
        <v>2.76</v>
      </c>
      <c r="AD120" s="24" t="inlineStr">
        <is>
          <t>2026-08-03T15:52:09.076998Z</t>
        </is>
      </c>
      <c r="AE120" s="31" t="inlineStr">
        <is>
          <t>Surface-blended Elo on Hard: Linda Fruhvirtova p=0.303 vs Katarzyna Kawa. Executable ask 0.4200 (aec-wta-katkaw-linfru-2026-08-03).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Linda Fruhvirtova</t>
        </is>
      </c>
      <c r="AQ120" s="24" t="inlineStr">
        <is>
          <t>Linda Fruhvirtova</t>
        </is>
      </c>
      <c r="AR120" s="24" t="inlineStr">
        <is>
          <t>Linda Fruhvirtova</t>
        </is>
      </c>
      <c r="AS120" s="24" t="inlineStr">
        <is>
          <t>Katarzyna Kawa</t>
        </is>
      </c>
      <c r="AT120" s="24" t="inlineStr">
        <is>
          <t>Katarzyna Kawa</t>
        </is>
      </c>
      <c r="AU120" s="24" t="inlineStr">
        <is>
          <t>Katarzyna Kawa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1c05a3c4f76bde5de709ff6bb1937b3c4c67149c2ea621b7c90ca07898e048e8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1c05a3c4f76bde5de709ff6bb1937b3c4c67149c2ea621b7c90ca07898e048e8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1c05a3c4f76bde5de709ff6bb1937b3c4c67149c2ea621b7c90ca07898e048e8</t>
        </is>
      </c>
      <c r="BH120" s="24" t="inlineStr">
        <is>
          <t>2026-08-03T10:56:35.022679Z</t>
        </is>
      </c>
      <c r="BI120" s="24" t="inlineStr">
        <is>
          <t>["same_event","same_team_same_day","same_league_same_day"]</t>
        </is>
      </c>
      <c r="BJ120" s="25" t="n"/>
      <c r="BK120" s="26" t="n">
        <v>138</v>
      </c>
      <c r="BL120" s="27" t="n">
        <v>2.38</v>
      </c>
      <c r="BM120" s="28" t="n">
        <v>0.420168</v>
      </c>
      <c r="BN120" s="28" t="n"/>
      <c r="BO120" s="28" t="n"/>
      <c r="BP120" s="25" t="n"/>
      <c r="BQ120" s="27" t="n">
        <v>2.38</v>
      </c>
      <c r="BR120" s="28" t="n">
        <v>0.42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</row>
    <row r="121" ht="36" customHeight="1">
      <c r="A121" s="24" t="inlineStr">
        <is>
          <t>ec07b4d332a9454c</t>
        </is>
      </c>
      <c r="B121" s="24" t="inlineStr">
        <is>
          <t>2026-08-03T10:58:25.846671Z</t>
        </is>
      </c>
      <c r="C121" s="24" t="inlineStr">
        <is>
          <t>2026-08-03T12:00Z</t>
        </is>
      </c>
      <c r="D121" s="24" t="inlineStr">
        <is>
          <t>961-2026:182090</t>
        </is>
      </c>
      <c r="E121" s="24" t="inlineStr">
        <is>
          <t>TENNIS</t>
        </is>
      </c>
      <c r="F121" s="24" t="inlineStr">
        <is>
          <t>Yuan Yue</t>
        </is>
      </c>
      <c r="G121" s="24" t="inlineStr">
        <is>
          <t>Alana Smith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-567</v>
      </c>
      <c r="M121" s="27" t="n">
        <v>1.176367</v>
      </c>
      <c r="N121" s="28" t="n">
        <v>0.850075</v>
      </c>
      <c r="O121" s="28" t="n">
        <v>0.560204</v>
      </c>
      <c r="P121" s="28" t="n">
        <v>0.05</v>
      </c>
      <c r="Q121" s="28" t="n">
        <v>-0.289871</v>
      </c>
      <c r="R121" s="26" t="n">
        <v>0</v>
      </c>
      <c r="S121" s="29" t="n">
        <v>1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0.1764</v>
      </c>
      <c r="AD121" s="24" t="inlineStr">
        <is>
          <t>2026-08-03T15:52:10.417095Z</t>
        </is>
      </c>
      <c r="AE121" s="31" t="inlineStr">
        <is>
          <t>Surface-blended Elo on Hard: Yuan Yue p=0.560 vs Alana Smith. Executable ask 0.8500 (aec-wta-alasmi-yueyua-2026-08-03).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Yuan Yue</t>
        </is>
      </c>
      <c r="AQ121" s="24" t="inlineStr">
        <is>
          <t>Yuan Yue</t>
        </is>
      </c>
      <c r="AR121" s="24" t="inlineStr">
        <is>
          <t>Yuan Yue</t>
        </is>
      </c>
      <c r="AS121" s="24" t="inlineStr">
        <is>
          <t>Alana Smith</t>
        </is>
      </c>
      <c r="AT121" s="24" t="inlineStr">
        <is>
          <t>Alana Smith</t>
        </is>
      </c>
      <c r="AU121" s="24" t="inlineStr">
        <is>
          <t>Alana Smith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1c05a3c4f76bde5de709ff6bb1937b3c4c67149c2ea621b7c90ca07898e048e8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1c05a3c4f76bde5de709ff6bb1937b3c4c67149c2ea621b7c90ca07898e048e8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1c05a3c4f76bde5de709ff6bb1937b3c4c67149c2ea621b7c90ca07898e048e8</t>
        </is>
      </c>
      <c r="BH121" s="24" t="inlineStr">
        <is>
          <t>2026-08-03T10:56:35.029167Z</t>
        </is>
      </c>
      <c r="BI121" s="24" t="inlineStr">
        <is>
          <t>["same_event","same_team_same_day","same_league_same_day"]</t>
        </is>
      </c>
      <c r="BJ121" s="25" t="n"/>
      <c r="BK121" s="26" t="n">
        <v>-567</v>
      </c>
      <c r="BL121" s="27" t="n">
        <v>1.176367</v>
      </c>
      <c r="BM121" s="28" t="n">
        <v>0.850075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061f9b4ac7de4876</t>
        </is>
      </c>
      <c r="B122" s="24" t="inlineStr">
        <is>
          <t>2026-08-03T13:29:16.279005Z</t>
        </is>
      </c>
      <c r="C122" s="24" t="inlineStr">
        <is>
          <t>2026-08-03T15:00Z</t>
        </is>
      </c>
      <c r="D122" s="24" t="inlineStr">
        <is>
          <t>421-2026:182232</t>
        </is>
      </c>
      <c r="E122" s="24" t="inlineStr">
        <is>
          <t>TENNIS</t>
        </is>
      </c>
      <c r="F122" s="24" t="inlineStr">
        <is>
          <t>Polina Kudermetova</t>
        </is>
      </c>
      <c r="G122" s="24" t="inlineStr">
        <is>
          <t>Alina Korneeva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186</v>
      </c>
      <c r="M122" s="27" t="n">
        <v>2.86</v>
      </c>
      <c r="N122" s="28" t="n">
        <v>0.34965</v>
      </c>
      <c r="O122" s="28" t="n">
        <v>0.551272</v>
      </c>
      <c r="P122" s="28" t="n">
        <v>0.05</v>
      </c>
      <c r="Q122" s="28" t="n">
        <v>0.201622</v>
      </c>
      <c r="R122" s="26" t="n">
        <v>100</v>
      </c>
      <c r="S122" s="29" t="n">
        <v>1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186</v>
      </c>
      <c r="AA122" s="28" t="n">
        <v>0.35</v>
      </c>
      <c r="AB122" s="28" t="n">
        <v>0.00035</v>
      </c>
      <c r="AC122" s="30" t="n">
        <v>-1</v>
      </c>
      <c r="AD122" s="24" t="inlineStr">
        <is>
          <t>2026-08-03T15:52:11.822240Z</t>
        </is>
      </c>
      <c r="AE122" s="31" t="inlineStr">
        <is>
          <t>Surface-blended Elo on Hard: Polina Kudermetova p=0.551 vs Alina Korneeva. Executable ask 0.3500 (aec-wta-alikor-polkud-2026-08-03).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Polina Kudermetova</t>
        </is>
      </c>
      <c r="AQ122" s="24" t="inlineStr">
        <is>
          <t>Polina Kudermetova</t>
        </is>
      </c>
      <c r="AR122" s="24" t="inlineStr">
        <is>
          <t>Polina Kudermetova</t>
        </is>
      </c>
      <c r="AS122" s="24" t="inlineStr">
        <is>
          <t>Alina Korneeva</t>
        </is>
      </c>
      <c r="AT122" s="24" t="inlineStr">
        <is>
          <t>Alina Korneeva</t>
        </is>
      </c>
      <c r="AU122" s="24" t="inlineStr">
        <is>
          <t>Alina Korneeva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1c05a3c4f76bde5de709ff6bb1937b3c4c67149c2ea621b7c90ca07898e048e8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1c05a3c4f76bde5de709ff6bb1937b3c4c67149c2ea621b7c90ca07898e048e8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1c05a3c4f76bde5de709ff6bb1937b3c4c67149c2ea621b7c90ca07898e048e8</t>
        </is>
      </c>
      <c r="BH122" s="24" t="inlineStr">
        <is>
          <t>2026-08-03T13:27:56.449177Z</t>
        </is>
      </c>
      <c r="BI122" s="24" t="inlineStr">
        <is>
          <t>["same_event","same_team_same_day","same_league_same_day"]</t>
        </is>
      </c>
      <c r="BJ122" s="25" t="n"/>
      <c r="BK122" s="26" t="n">
        <v>186</v>
      </c>
      <c r="BL122" s="27" t="n">
        <v>2.86</v>
      </c>
      <c r="BM122" s="28" t="n">
        <v>0.34965</v>
      </c>
      <c r="BN122" s="28" t="n"/>
      <c r="BO122" s="28" t="n"/>
      <c r="BP122" s="25" t="n"/>
      <c r="BQ122" s="27" t="n">
        <v>2.86</v>
      </c>
      <c r="BR122" s="28" t="n">
        <v>0.35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488db09ac6c94217</t>
        </is>
      </c>
      <c r="B123" s="24" t="inlineStr">
        <is>
          <t>2026-08-03T13:29:16.279005Z</t>
        </is>
      </c>
      <c r="C123" s="24" t="inlineStr">
        <is>
          <t>2026-08-03T15:00Z</t>
        </is>
      </c>
      <c r="D123" s="24" t="inlineStr">
        <is>
          <t>421-2026:182246</t>
        </is>
      </c>
      <c r="E123" s="24" t="inlineStr">
        <is>
          <t>TENNIS</t>
        </is>
      </c>
      <c r="F123" s="24" t="inlineStr">
        <is>
          <t>Karolina Pliskova</t>
        </is>
      </c>
      <c r="G123" s="24" t="inlineStr">
        <is>
          <t>Oleksandra Oliynykova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300</v>
      </c>
      <c r="M123" s="27" t="n">
        <v>4</v>
      </c>
      <c r="N123" s="28" t="n">
        <v>0.25</v>
      </c>
      <c r="O123" s="28" t="n">
        <v>0.521651</v>
      </c>
      <c r="P123" s="28" t="n">
        <v>0.05</v>
      </c>
      <c r="Q123" s="28" t="n">
        <v>0.271651</v>
      </c>
      <c r="R123" s="26" t="n">
        <v>100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300</v>
      </c>
      <c r="AA123" s="28" t="n">
        <v>0.25</v>
      </c>
      <c r="AB123" s="28" t="n">
        <v>0</v>
      </c>
      <c r="AC123" s="30" t="n">
        <v>-1</v>
      </c>
      <c r="AD123" s="24" t="inlineStr">
        <is>
          <t>2026-08-03T16:48:03.046410Z</t>
        </is>
      </c>
      <c r="AE123" s="31" t="inlineStr">
        <is>
          <t>Surface-blended Elo on Hard: Karolina Pliskova p=0.478 vs Oleksandra Oliynykova. Executable ask 0.2500 (aec-wta-oleoli-karpli-2026-08-02).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Karolina Pliskova</t>
        </is>
      </c>
      <c r="AQ123" s="24" t="inlineStr">
        <is>
          <t>Karolina Pliskova</t>
        </is>
      </c>
      <c r="AR123" s="24" t="inlineStr">
        <is>
          <t>Karolina Pliskova</t>
        </is>
      </c>
      <c r="AS123" s="24" t="inlineStr">
        <is>
          <t>Oleksandra Oliynykova</t>
        </is>
      </c>
      <c r="AT123" s="24" t="inlineStr">
        <is>
          <t>Oleksandra Oliynykova</t>
        </is>
      </c>
      <c r="AU123" s="24" t="inlineStr">
        <is>
          <t>Oleksandra Oliynykova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1c05a3c4f76bde5de709ff6bb1937b3c4c67149c2ea621b7c90ca07898e048e8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1c05a3c4f76bde5de709ff6bb1937b3c4c67149c2ea621b7c90ca07898e048e8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1c05a3c4f76bde5de709ff6bb1937b3c4c67149c2ea621b7c90ca07898e048e8</t>
        </is>
      </c>
      <c r="BH123" s="24" t="inlineStr">
        <is>
          <t>2026-08-03T13:27:55.265193Z</t>
        </is>
      </c>
      <c r="BI123" s="24" t="inlineStr">
        <is>
          <t>["same_event","same_team_same_day","same_league_same_day"]</t>
        </is>
      </c>
      <c r="BJ123" s="25" t="n"/>
      <c r="BK123" s="26" t="n">
        <v>300</v>
      </c>
      <c r="BL123" s="27" t="n">
        <v>4</v>
      </c>
      <c r="BM123" s="28" t="n">
        <v>0.25</v>
      </c>
      <c r="BN123" s="28" t="n"/>
      <c r="BO123" s="28" t="n"/>
      <c r="BP123" s="25" t="n"/>
      <c r="BQ123" s="27" t="n">
        <v>4</v>
      </c>
      <c r="BR123" s="28" t="n">
        <v>0.25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af38cc8811bc431d</t>
        </is>
      </c>
      <c r="B124" s="24" t="inlineStr">
        <is>
          <t>2026-08-03T13:29:16.279005Z</t>
        </is>
      </c>
      <c r="C124" s="24" t="inlineStr">
        <is>
          <t>2026-08-03T15:00Z</t>
        </is>
      </c>
      <c r="D124" s="24" t="inlineStr">
        <is>
          <t>421-2026:182249</t>
        </is>
      </c>
      <c r="E124" s="24" t="inlineStr">
        <is>
          <t>TENNIS</t>
        </is>
      </c>
      <c r="F124" s="24" t="inlineStr">
        <is>
          <t>Anna Bondar</t>
        </is>
      </c>
      <c r="G124" s="24" t="inlineStr">
        <is>
          <t>Anhelina Kalinina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0.601429</v>
      </c>
      <c r="P124" s="28" t="n">
        <v>0.05</v>
      </c>
      <c r="Q124" s="28" t="n">
        <v>-0.038859</v>
      </c>
      <c r="R124" s="26" t="n">
        <v>1</v>
      </c>
      <c r="S124" s="29" t="n">
        <v>1.25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-178</v>
      </c>
      <c r="AA124" s="28" t="n">
        <v>0.64</v>
      </c>
      <c r="AB124" s="28" t="n">
        <v>-0.000288</v>
      </c>
      <c r="AC124" s="30" t="n">
        <v>-1.25</v>
      </c>
      <c r="AD124" s="24" t="inlineStr">
        <is>
          <t>2026-08-03T19:51:48.972641Z</t>
        </is>
      </c>
      <c r="AE124" s="31" t="inlineStr">
        <is>
          <t>Surface-blended Elo on Hard: Anna Bondar p=0.399 vs Anhelina Kalinina. Executable ask 0.6400 (aec-wta-anhkal-annbon-2026-08-02).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Anna Bondar</t>
        </is>
      </c>
      <c r="AQ124" s="24" t="inlineStr">
        <is>
          <t>Anna Bondar</t>
        </is>
      </c>
      <c r="AR124" s="24" t="inlineStr">
        <is>
          <t>Anna Bondar</t>
        </is>
      </c>
      <c r="AS124" s="24" t="inlineStr">
        <is>
          <t>Anhelina Kalinina</t>
        </is>
      </c>
      <c r="AT124" s="24" t="inlineStr">
        <is>
          <t>Anhelina Kalinina</t>
        </is>
      </c>
      <c r="AU124" s="24" t="inlineStr">
        <is>
          <t>Anhelina Kalinina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1c05a3c4f76bde5de709ff6bb1937b3c4c67149c2ea621b7c90ca07898e048e8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1c05a3c4f76bde5de709ff6bb1937b3c4c67149c2ea621b7c90ca07898e048e8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1c05a3c4f76bde5de709ff6bb1937b3c4c67149c2ea621b7c90ca07898e048e8</t>
        </is>
      </c>
      <c r="BH124" s="24" t="inlineStr">
        <is>
          <t>2026-08-03T13:27:55.519067Z</t>
        </is>
      </c>
      <c r="BI124" s="24" t="inlineStr">
        <is>
          <t>["same_event","same_team_same_day","same_league_same_day"]</t>
        </is>
      </c>
      <c r="BJ124" s="25" t="n"/>
      <c r="BK124" s="26" t="n">
        <v>-178</v>
      </c>
      <c r="BL124" s="27" t="n">
        <v>1.561798</v>
      </c>
      <c r="BM124" s="28" t="n">
        <v>0.640288</v>
      </c>
      <c r="BN124" s="28" t="n"/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13aa891d72d147d6</t>
        </is>
      </c>
      <c r="B125" s="24" t="inlineStr">
        <is>
          <t>2026-08-03T13:29:16.279005Z</t>
        </is>
      </c>
      <c r="C125" s="24" t="inlineStr">
        <is>
          <t>2026-08-03T15:00Z</t>
        </is>
      </c>
      <c r="D125" s="24" t="inlineStr">
        <is>
          <t>421-2026:182253</t>
        </is>
      </c>
      <c r="E125" s="24" t="inlineStr">
        <is>
          <t>TENNIS</t>
        </is>
      </c>
      <c r="F125" s="24" t="inlineStr">
        <is>
          <t>Kayla Day</t>
        </is>
      </c>
      <c r="G125" s="24" t="inlineStr">
        <is>
          <t>Diane Parry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138</v>
      </c>
      <c r="M125" s="27" t="n">
        <v>2.38</v>
      </c>
      <c r="N125" s="28" t="n">
        <v>0.420168</v>
      </c>
      <c r="O125" s="28" t="n">
        <v>0.6722669999999999</v>
      </c>
      <c r="P125" s="28" t="n">
        <v>0.05</v>
      </c>
      <c r="Q125" s="28" t="n">
        <v>0.252099</v>
      </c>
      <c r="R125" s="26" t="n">
        <v>100</v>
      </c>
      <c r="S125" s="29" t="n">
        <v>1.75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138</v>
      </c>
      <c r="AA125" s="28" t="n">
        <v>0.42</v>
      </c>
      <c r="AB125" s="28" t="n">
        <v>-0.000168</v>
      </c>
      <c r="AC125" s="30" t="n">
        <v>-1.75</v>
      </c>
      <c r="AD125" s="24" t="inlineStr">
        <is>
          <t>2026-08-03T19:51:49.675750Z</t>
        </is>
      </c>
      <c r="AE125" s="31" t="inlineStr">
        <is>
          <t>Surface-blended Elo on Hard: Kayla Day p=0.328 vs Diane Parry. Executable ask 0.4200 (aec-wta-diapar-kayday-2026-08-03).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Kayla Day</t>
        </is>
      </c>
      <c r="AQ125" s="24" t="inlineStr">
        <is>
          <t>Kayla Day</t>
        </is>
      </c>
      <c r="AR125" s="24" t="inlineStr">
        <is>
          <t>Kayla Day</t>
        </is>
      </c>
      <c r="AS125" s="24" t="inlineStr">
        <is>
          <t>Diane Parry</t>
        </is>
      </c>
      <c r="AT125" s="24" t="inlineStr">
        <is>
          <t>Diane Parry</t>
        </is>
      </c>
      <c r="AU125" s="24" t="inlineStr">
        <is>
          <t>Diane Parry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1c05a3c4f76bde5de709ff6bb1937b3c4c67149c2ea621b7c90ca07898e048e8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1c05a3c4f76bde5de709ff6bb1937b3c4c67149c2ea621b7c90ca07898e048e8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1c05a3c4f76bde5de709ff6bb1937b3c4c67149c2ea621b7c90ca07898e048e8</t>
        </is>
      </c>
      <c r="BH125" s="24" t="inlineStr">
        <is>
          <t>2026-08-03T13:27:57.284803Z</t>
        </is>
      </c>
      <c r="BI125" s="24" t="inlineStr">
        <is>
          <t>["same_event","same_team_same_day","same_league_same_day"]</t>
        </is>
      </c>
      <c r="BJ125" s="25" t="n"/>
      <c r="BK125" s="26" t="n">
        <v>138</v>
      </c>
      <c r="BL125" s="27" t="n">
        <v>2.38</v>
      </c>
      <c r="BM125" s="28" t="n">
        <v>0.420168</v>
      </c>
      <c r="BN125" s="28" t="n"/>
      <c r="BO125" s="28" t="n"/>
      <c r="BP125" s="25" t="n"/>
      <c r="BQ125" s="27" t="n">
        <v>2.38</v>
      </c>
      <c r="BR125" s="28" t="n">
        <v>0.42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36cdc610ed364d2b</t>
        </is>
      </c>
      <c r="B126" s="24" t="inlineStr">
        <is>
          <t>2026-08-03T13:29:16.279005Z</t>
        </is>
      </c>
      <c r="C126" s="24" t="inlineStr">
        <is>
          <t>2026-08-03T13:50Z</t>
        </is>
      </c>
      <c r="D126" s="24" t="inlineStr">
        <is>
          <t>961-2026:182081</t>
        </is>
      </c>
      <c r="E126" s="24" t="inlineStr">
        <is>
          <t>TENNIS</t>
        </is>
      </c>
      <c r="F126" s="24" t="inlineStr">
        <is>
          <t>Martyna Kubka</t>
        </is>
      </c>
      <c r="G126" s="24" t="inlineStr">
        <is>
          <t>Teodora Kostovic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-127</v>
      </c>
      <c r="M126" s="27" t="n">
        <v>1.787402</v>
      </c>
      <c r="N126" s="28" t="n">
        <v>0.5594710000000001</v>
      </c>
      <c r="O126" s="28" t="n">
        <v>0.615699</v>
      </c>
      <c r="P126" s="28" t="n">
        <v>0.05</v>
      </c>
      <c r="Q126" s="28" t="n">
        <v>0.056228</v>
      </c>
      <c r="R126" s="26" t="n">
        <v>48</v>
      </c>
      <c r="S126" s="29" t="n">
        <v>1.5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-127</v>
      </c>
      <c r="AA126" s="28" t="n">
        <v>0.5600000000000001</v>
      </c>
      <c r="AB126" s="28" t="n">
        <v>0.000529</v>
      </c>
      <c r="AC126" s="30" t="n">
        <v>-1.5</v>
      </c>
      <c r="AD126" s="24" t="inlineStr">
        <is>
          <t>2026-08-03T19:51:50.332994Z</t>
        </is>
      </c>
      <c r="AE126" s="31" t="inlineStr">
        <is>
          <t>Surface-blended Elo on Hard: Martyna Kubka p=0.384 vs Teodora Kostovic. Executable ask 0.5600 (aec-wta-teokos-markub-2026-08-03).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Martyna Kubka</t>
        </is>
      </c>
      <c r="AQ126" s="24" t="inlineStr">
        <is>
          <t>Martyna Kubka</t>
        </is>
      </c>
      <c r="AR126" s="24" t="inlineStr">
        <is>
          <t>Martyna Kubka</t>
        </is>
      </c>
      <c r="AS126" s="24" t="inlineStr">
        <is>
          <t>Teodora Kostovic</t>
        </is>
      </c>
      <c r="AT126" s="24" t="inlineStr">
        <is>
          <t>Teodora Kostovic</t>
        </is>
      </c>
      <c r="AU126" s="24" t="inlineStr">
        <is>
          <t>Teodora Kostovic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1c05a3c4f76bde5de709ff6bb1937b3c4c67149c2ea621b7c90ca07898e048e8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1c05a3c4f76bde5de709ff6bb1937b3c4c67149c2ea621b7c90ca07898e048e8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1c05a3c4f76bde5de709ff6bb1937b3c4c67149c2ea621b7c90ca07898e048e8</t>
        </is>
      </c>
      <c r="BH126" s="24" t="inlineStr">
        <is>
          <t>2026-08-03T13:27:55.032374Z</t>
        </is>
      </c>
      <c r="BI126" s="24" t="inlineStr">
        <is>
          <t>["same_event","same_team_same_day","same_league_same_day"]</t>
        </is>
      </c>
      <c r="BJ126" s="25" t="n"/>
      <c r="BK126" s="26" t="n">
        <v>-127</v>
      </c>
      <c r="BL126" s="27" t="n">
        <v>1.787402</v>
      </c>
      <c r="BM126" s="28" t="n">
        <v>0.5594710000000001</v>
      </c>
      <c r="BN126" s="28" t="n"/>
      <c r="BO126" s="28" t="n"/>
      <c r="BP126" s="25" t="n"/>
      <c r="BQ126" s="27" t="n">
        <v>1.787402</v>
      </c>
      <c r="BR126" s="28" t="n">
        <v>0.5600000000000001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</row>
    <row r="127" ht="36" customHeight="1">
      <c r="A127" s="24" t="inlineStr">
        <is>
          <t>6c0e21fa9ed24a17</t>
        </is>
      </c>
      <c r="B127" s="24" t="inlineStr">
        <is>
          <t>2026-08-03T13:29:16.279005Z</t>
        </is>
      </c>
      <c r="C127" s="24" t="inlineStr">
        <is>
          <t>2026-08-03T15:00Z</t>
        </is>
      </c>
      <c r="D127" s="24" t="inlineStr">
        <is>
          <t>421-2026:181785</t>
        </is>
      </c>
      <c r="E127" s="24" t="inlineStr">
        <is>
          <t>TENNIS</t>
        </is>
      </c>
      <c r="F127" s="24" t="inlineStr">
        <is>
          <t>Titouan Droguet</t>
        </is>
      </c>
      <c r="G127" s="24" t="inlineStr">
        <is>
          <t>Luca Van Assche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0.561017</v>
      </c>
      <c r="P127" s="28" t="n">
        <v>0.05</v>
      </c>
      <c r="Q127" s="28" t="n">
        <v>0.080248</v>
      </c>
      <c r="R127" s="26" t="n">
        <v>60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2026-08-04T01:58:25.768880Z</t>
        </is>
      </c>
      <c r="AE127" s="31" t="inlineStr">
        <is>
          <t>Surface-blended Elo on Hard: Titouan Droguet p=0.561 vs Luca Van Assche. Executable ask 0.4800 (aec-atp-lucass-titdro-2026-08-02).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Titouan Droguet</t>
        </is>
      </c>
      <c r="AQ127" s="24" t="inlineStr">
        <is>
          <t>Titouan Droguet</t>
        </is>
      </c>
      <c r="AR127" s="24" t="inlineStr">
        <is>
          <t>Titouan Droguet</t>
        </is>
      </c>
      <c r="AS127" s="24" t="inlineStr">
        <is>
          <t>Luca Van Assche</t>
        </is>
      </c>
      <c r="AT127" s="24" t="inlineStr">
        <is>
          <t>Luca Van Assche</t>
        </is>
      </c>
      <c r="AU127" s="24" t="inlineStr">
        <is>
          <t>Luca Van Assche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1c05a3c4f76bde5de709ff6bb1937b3c4c67149c2ea621b7c90ca07898e048e8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1c05a3c4f76bde5de709ff6bb1937b3c4c67149c2ea621b7c90ca07898e048e8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1c05a3c4f76bde5de709ff6bb1937b3c4c67149c2ea621b7c90ca07898e048e8</t>
        </is>
      </c>
      <c r="BH127" s="24" t="inlineStr">
        <is>
          <t>2026-08-03T13:28:16.478602Z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38ebc435ab304632</t>
        </is>
      </c>
      <c r="B128" s="24" t="inlineStr">
        <is>
          <t>2026-08-03T13:29:16.279005Z</t>
        </is>
      </c>
      <c r="C128" s="24" t="inlineStr">
        <is>
          <t>2026-08-03T15:00Z</t>
        </is>
      </c>
      <c r="D128" s="24" t="inlineStr">
        <is>
          <t>421-2026:181804</t>
        </is>
      </c>
      <c r="E128" s="24" t="inlineStr">
        <is>
          <t>TENNIS</t>
        </is>
      </c>
      <c r="F128" s="24" t="inlineStr">
        <is>
          <t>Mariano Navone</t>
        </is>
      </c>
      <c r="G128" s="24" t="inlineStr">
        <is>
          <t>Matteo Berrettini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0.585776</v>
      </c>
      <c r="P128" s="28" t="n">
        <v>0.05</v>
      </c>
      <c r="Q128" s="28" t="n">
        <v>-0.06457400000000001</v>
      </c>
      <c r="R128" s="26" t="n">
        <v>0</v>
      </c>
      <c r="S128" s="29" t="n">
        <v>1.25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-186</v>
      </c>
      <c r="AA128" s="28" t="n">
        <v>0.65</v>
      </c>
      <c r="AB128" s="28" t="n">
        <v>-0.00035</v>
      </c>
      <c r="AC128" s="30" t="n">
        <v>-1.25</v>
      </c>
      <c r="AD128" s="24" t="inlineStr">
        <is>
          <t>2026-08-04T01:58:26.445942Z</t>
        </is>
      </c>
      <c r="AE128" s="31" t="inlineStr">
        <is>
          <t>Surface-blended Elo on Hard: Mariano Navone p=0.414 vs Matteo Berrettini. Executable ask 0.6500 (aec-atp-matber-marnav-2026-08-03).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NO_CALL_LOW_EDGE</t>
        </is>
      </c>
      <c r="AP128" s="24" t="inlineStr">
        <is>
          <t>Mariano Navone</t>
        </is>
      </c>
      <c r="AQ128" s="24" t="inlineStr">
        <is>
          <t>Mariano Navone</t>
        </is>
      </c>
      <c r="AR128" s="24" t="inlineStr">
        <is>
          <t>Mariano Navone</t>
        </is>
      </c>
      <c r="AS128" s="24" t="inlineStr">
        <is>
          <t>Matteo Berrettini</t>
        </is>
      </c>
      <c r="AT128" s="24" t="inlineStr">
        <is>
          <t>Matteo Berrettini</t>
        </is>
      </c>
      <c r="AU128" s="24" t="inlineStr">
        <is>
          <t>Matteo Berrettini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1c05a3c4f76bde5de709ff6bb1937b3c4c67149c2ea621b7c90ca07898e048e8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1c05a3c4f76bde5de709ff6bb1937b3c4c67149c2ea621b7c90ca07898e048e8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1c05a3c4f76bde5de709ff6bb1937b3c4c67149c2ea621b7c90ca07898e048e8</t>
        </is>
      </c>
      <c r="BH128" s="24" t="inlineStr">
        <is>
          <t>2026-08-03T13:28:15.057882Z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>
        <v>1.537634</v>
      </c>
      <c r="BR128" s="28" t="n">
        <v>0.65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89272ae44fcf48d0</t>
        </is>
      </c>
      <c r="B129" s="24" t="inlineStr">
        <is>
          <t>2026-08-03T13:29:16.279005Z</t>
        </is>
      </c>
      <c r="C129" s="24" t="inlineStr">
        <is>
          <t>2026-08-03T15:00Z</t>
        </is>
      </c>
      <c r="D129" s="24" t="inlineStr">
        <is>
          <t>421-2026:181834</t>
        </is>
      </c>
      <c r="E129" s="24" t="inlineStr">
        <is>
          <t>TENNIS</t>
        </is>
      </c>
      <c r="F129" s="24" t="inlineStr">
        <is>
          <t>Christopher O'Connell</t>
        </is>
      </c>
      <c r="G129" s="24" t="inlineStr">
        <is>
          <t>James Duckworth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-144</v>
      </c>
      <c r="M129" s="27" t="n">
        <v>1.694444</v>
      </c>
      <c r="N129" s="28" t="n">
        <v>0.590164</v>
      </c>
      <c r="O129" s="28" t="n">
        <v>0.519869</v>
      </c>
      <c r="P129" s="28" t="n">
        <v>0.05</v>
      </c>
      <c r="Q129" s="28" t="n">
        <v>-0.070295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-144</v>
      </c>
      <c r="AA129" s="28" t="n">
        <v>0.59</v>
      </c>
      <c r="AB129" s="28" t="n">
        <v>-0.000164</v>
      </c>
      <c r="AC129" s="30" t="n">
        <v>-1</v>
      </c>
      <c r="AD129" s="24" t="inlineStr">
        <is>
          <t>2026-08-03T22:55:19.829628Z</t>
        </is>
      </c>
      <c r="AE129" s="31" t="inlineStr">
        <is>
          <t>Surface-blended Elo on Hard: Christopher O'Connell p=0.520 vs James Duckworth. Executable ask 0.5900 (aec-atp-jamduc-chroco-2026-08-02).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Christopher O'Connell</t>
        </is>
      </c>
      <c r="AQ129" s="24" t="inlineStr">
        <is>
          <t>Christopher O'Connell</t>
        </is>
      </c>
      <c r="AR129" s="24" t="inlineStr">
        <is>
          <t>Christopher O'Connell</t>
        </is>
      </c>
      <c r="AS129" s="24" t="inlineStr">
        <is>
          <t>James Duckworth</t>
        </is>
      </c>
      <c r="AT129" s="24" t="inlineStr">
        <is>
          <t>James Duckworth</t>
        </is>
      </c>
      <c r="AU129" s="24" t="inlineStr">
        <is>
          <t>James Duckworth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1c05a3c4f76bde5de709ff6bb1937b3c4c67149c2ea621b7c90ca07898e048e8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1c05a3c4f76bde5de709ff6bb1937b3c4c67149c2ea621b7c90ca07898e048e8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1c05a3c4f76bde5de709ff6bb1937b3c4c67149c2ea621b7c90ca07898e048e8</t>
        </is>
      </c>
      <c r="BH129" s="24" t="inlineStr">
        <is>
          <t>2026-08-03T13:28:15.557056Z</t>
        </is>
      </c>
      <c r="BI129" s="24" t="inlineStr">
        <is>
          <t>["same_event","same_team_same_day","same_league_same_day"]</t>
        </is>
      </c>
      <c r="BJ129" s="25" t="n"/>
      <c r="BK129" s="26" t="n">
        <v>-144</v>
      </c>
      <c r="BL129" s="27" t="n">
        <v>1.694444</v>
      </c>
      <c r="BM129" s="28" t="n">
        <v>0.590164</v>
      </c>
      <c r="BN129" s="28" t="n"/>
      <c r="BO129" s="28" t="n"/>
      <c r="BP129" s="25" t="n"/>
      <c r="BQ129" s="27" t="n">
        <v>1.694444</v>
      </c>
      <c r="BR129" s="28" t="n">
        <v>0.59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</row>
    <row r="130" ht="36" customHeight="1">
      <c r="A130" s="24" t="inlineStr">
        <is>
          <t>c401b2ffe76d4163</t>
        </is>
      </c>
      <c r="B130" s="24" t="inlineStr">
        <is>
          <t>2026-08-03T13:29:16.279005Z</t>
        </is>
      </c>
      <c r="C130" s="24" t="inlineStr">
        <is>
          <t>2026-08-03T15:00Z</t>
        </is>
      </c>
      <c r="D130" s="24" t="inlineStr">
        <is>
          <t>421-2026:181837</t>
        </is>
      </c>
      <c r="E130" s="24" t="inlineStr">
        <is>
          <t>TENNIS</t>
        </is>
      </c>
      <c r="F130" s="24" t="inlineStr">
        <is>
          <t>Martin Landaluce</t>
        </is>
      </c>
      <c r="G130" s="24" t="inlineStr">
        <is>
          <t>Nicolas Mejia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-233</v>
      </c>
      <c r="M130" s="27" t="n">
        <v>1.429185</v>
      </c>
      <c r="N130" s="28" t="n">
        <v>0.6997</v>
      </c>
      <c r="O130" s="28" t="n">
        <v>0.6750350000000001</v>
      </c>
      <c r="P130" s="28" t="n">
        <v>0.05</v>
      </c>
      <c r="Q130" s="28" t="n">
        <v>-0.024665</v>
      </c>
      <c r="R130" s="26" t="n">
        <v>8</v>
      </c>
      <c r="S130" s="29" t="n">
        <v>1.75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-233</v>
      </c>
      <c r="AA130" s="28" t="n">
        <v>0.7</v>
      </c>
      <c r="AB130" s="28" t="n">
        <v>0.0003</v>
      </c>
      <c r="AC130" s="30" t="n">
        <v>-1.75</v>
      </c>
      <c r="AD130" s="24" t="inlineStr">
        <is>
          <t>2026-08-04T01:58:27.120342Z</t>
        </is>
      </c>
      <c r="AE130" s="31" t="inlineStr">
        <is>
          <t>Surface-blended Elo on Hard: Martin Landaluce p=0.675 vs Nicolas Mejia. Executable ask 0.7000 (aec-atp-nicmej-marlan-2026-08-02).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Martin Landaluce</t>
        </is>
      </c>
      <c r="AQ130" s="24" t="inlineStr">
        <is>
          <t>Martin Landaluce</t>
        </is>
      </c>
      <c r="AR130" s="24" t="inlineStr">
        <is>
          <t>Martin Landaluce</t>
        </is>
      </c>
      <c r="AS130" s="24" t="inlineStr">
        <is>
          <t>Nicolas Mejia</t>
        </is>
      </c>
      <c r="AT130" s="24" t="inlineStr">
        <is>
          <t>Nicolas Mejia</t>
        </is>
      </c>
      <c r="AU130" s="24" t="inlineStr">
        <is>
          <t>Nicolas Mejia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1c05a3c4f76bde5de709ff6bb1937b3c4c67149c2ea621b7c90ca07898e048e8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1c05a3c4f76bde5de709ff6bb1937b3c4c67149c2ea621b7c90ca07898e048e8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1c05a3c4f76bde5de709ff6bb1937b3c4c67149c2ea621b7c90ca07898e048e8</t>
        </is>
      </c>
      <c r="BH130" s="24" t="inlineStr">
        <is>
          <t>2026-08-03T13:28:13.602189Z</t>
        </is>
      </c>
      <c r="BI130" s="24" t="inlineStr">
        <is>
          <t>["same_event","same_team_same_day","same_league_same_day"]</t>
        </is>
      </c>
      <c r="BJ130" s="25" t="n"/>
      <c r="BK130" s="26" t="n">
        <v>-233</v>
      </c>
      <c r="BL130" s="27" t="n">
        <v>1.429185</v>
      </c>
      <c r="BM130" s="28" t="n">
        <v>0.6997</v>
      </c>
      <c r="BN130" s="28" t="n"/>
      <c r="BO130" s="28" t="n"/>
      <c r="BP130" s="25" t="n"/>
      <c r="BQ130" s="27" t="n">
        <v>1.429185</v>
      </c>
      <c r="BR130" s="28" t="n">
        <v>0.7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</row>
    <row r="131" ht="36" customHeight="1">
      <c r="A131" s="24" t="inlineStr">
        <is>
          <t>6966a957909e4130</t>
        </is>
      </c>
      <c r="B131" s="24" t="inlineStr">
        <is>
          <t>2026-08-03T13:29:16.279005Z</t>
        </is>
      </c>
      <c r="C131" s="24" t="inlineStr">
        <is>
          <t>2026-08-03T15:00Z</t>
        </is>
      </c>
      <c r="D131" s="24" t="inlineStr">
        <is>
          <t>421-2026:181839</t>
        </is>
      </c>
      <c r="E131" s="24" t="inlineStr">
        <is>
          <t>TENNIS</t>
        </is>
      </c>
      <c r="F131" s="24" t="inlineStr">
        <is>
          <t>Vit Kopriva</t>
        </is>
      </c>
      <c r="G131" s="24" t="inlineStr">
        <is>
          <t>Alexis Galarneau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0.57909</v>
      </c>
      <c r="P131" s="28" t="n">
        <v>0.05</v>
      </c>
      <c r="Q131" s="28" t="n">
        <v>0.09832100000000001</v>
      </c>
      <c r="R131" s="26" t="n">
        <v>69</v>
      </c>
      <c r="S131" s="29" t="n">
        <v>1.25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108</v>
      </c>
      <c r="AA131" s="28" t="n">
        <v>0.48</v>
      </c>
      <c r="AB131" s="28" t="n">
        <v>-0.000769</v>
      </c>
      <c r="AC131" s="30" t="n">
        <v>1.35</v>
      </c>
      <c r="AD131" s="24" t="inlineStr">
        <is>
          <t>2026-08-03T22:55:20.517443Z</t>
        </is>
      </c>
      <c r="AE131" s="31" t="inlineStr">
        <is>
          <t>Surface-blended Elo on Hard: Vit Kopriva p=0.579 vs Alexis Galarneau. Executable ask 0.4800 (aec-atp-alegal-vitkop-2026-08-03).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Vit Kopriva</t>
        </is>
      </c>
      <c r="AQ131" s="24" t="inlineStr">
        <is>
          <t>Vit Kopriva</t>
        </is>
      </c>
      <c r="AR131" s="24" t="inlineStr">
        <is>
          <t>Vit Kopriva</t>
        </is>
      </c>
      <c r="AS131" s="24" t="inlineStr">
        <is>
          <t>Alexis Galarneau</t>
        </is>
      </c>
      <c r="AT131" s="24" t="inlineStr">
        <is>
          <t>Alexis Galarneau</t>
        </is>
      </c>
      <c r="AU131" s="24" t="inlineStr">
        <is>
          <t>Alexis Galarneau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1c05a3c4f76bde5de709ff6bb1937b3c4c67149c2ea621b7c90ca07898e048e8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1c05a3c4f76bde5de709ff6bb1937b3c4c67149c2ea621b7c90ca07898e048e8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1c05a3c4f76bde5de709ff6bb1937b3c4c67149c2ea621b7c90ca07898e048e8</t>
        </is>
      </c>
      <c r="BH131" s="24" t="inlineStr">
        <is>
          <t>2026-08-03T13:28:14.309797Z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>
        <v>2.08</v>
      </c>
      <c r="BR131" s="28" t="n">
        <v>0.48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</row>
    <row r="132" ht="36" customHeight="1">
      <c r="A132" s="24" t="inlineStr">
        <is>
          <t>bab63346269f4016</t>
        </is>
      </c>
      <c r="B132" s="24" t="inlineStr">
        <is>
          <t>2026-08-03T16:29:20.960477Z</t>
        </is>
      </c>
      <c r="C132" s="24" t="inlineStr">
        <is>
          <t>2026-08-03T16:30Z</t>
        </is>
      </c>
      <c r="D132" s="24" t="inlineStr">
        <is>
          <t>421-2026:182266</t>
        </is>
      </c>
      <c r="E132" s="24" t="inlineStr">
        <is>
          <t>TENNIS</t>
        </is>
      </c>
      <c r="F132" s="24" t="inlineStr">
        <is>
          <t>Kayla Cross</t>
        </is>
      </c>
      <c r="G132" s="24" t="inlineStr">
        <is>
          <t>Katie Boulter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-285</v>
      </c>
      <c r="M132" s="27" t="n">
        <v>1.350877</v>
      </c>
      <c r="N132" s="28" t="n">
        <v>0.74026</v>
      </c>
      <c r="O132" s="28" t="n">
        <v>0.830003</v>
      </c>
      <c r="P132" s="28" t="n">
        <v>0.05</v>
      </c>
      <c r="Q132" s="28" t="n">
        <v>0.089743</v>
      </c>
      <c r="R132" s="26" t="n">
        <v>65</v>
      </c>
      <c r="S132" s="29" t="n">
        <v>2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-285</v>
      </c>
      <c r="AA132" s="28" t="n">
        <v>0.74</v>
      </c>
      <c r="AB132" s="28" t="n">
        <v>-0.00026</v>
      </c>
      <c r="AC132" s="30" t="n">
        <v>-2</v>
      </c>
      <c r="AD132" s="24" t="inlineStr">
        <is>
          <t>2026-08-03T19:51:51.011916Z</t>
        </is>
      </c>
      <c r="AE132" s="31" t="inlineStr">
        <is>
          <t>Surface-blended Elo on Hard: Kayla Cross p=0.170 vs Katie Boulter. Executable ask 0.7400 (aec-wta-katbou-kaycro-2026-08-02).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Kayla Cross</t>
        </is>
      </c>
      <c r="AQ132" s="24" t="inlineStr">
        <is>
          <t>Kayla Cross</t>
        </is>
      </c>
      <c r="AR132" s="24" t="inlineStr">
        <is>
          <t>Kayla Cross</t>
        </is>
      </c>
      <c r="AS132" s="24" t="inlineStr">
        <is>
          <t>Katie Boulter</t>
        </is>
      </c>
      <c r="AT132" s="24" t="inlineStr">
        <is>
          <t>Katie Boulter</t>
        </is>
      </c>
      <c r="AU132" s="24" t="inlineStr">
        <is>
          <t>Katie Boulter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60749ecfb3f1405f12fbceda11b7e64f2473d40dd327256f9da20b2146b6ae03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60749ecfb3f1405f12fbceda11b7e64f2473d40dd327256f9da20b2146b6ae03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60749ecfb3f1405f12fbceda11b7e64f2473d40dd327256f9da20b2146b6ae03</t>
        </is>
      </c>
      <c r="BH132" s="24" t="inlineStr">
        <is>
          <t>2026-08-03T16:28:14.928463Z</t>
        </is>
      </c>
      <c r="BI132" s="24" t="inlineStr">
        <is>
          <t>["same_event","same_team_same_day","same_league_same_day"]</t>
        </is>
      </c>
      <c r="BJ132" s="25" t="n"/>
      <c r="BK132" s="26" t="n">
        <v>-285</v>
      </c>
      <c r="BL132" s="27" t="n">
        <v>1.350877</v>
      </c>
      <c r="BM132" s="28" t="n">
        <v>0.74026</v>
      </c>
      <c r="BN132" s="28" t="n"/>
      <c r="BO132" s="28" t="n"/>
      <c r="BP132" s="25" t="n"/>
      <c r="BQ132" s="27" t="n">
        <v>1.350877</v>
      </c>
      <c r="BR132" s="28" t="n">
        <v>0.74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</row>
    <row r="133" ht="36" customHeight="1">
      <c r="A133" s="24" t="inlineStr">
        <is>
          <t>b04932b2a1f846a1</t>
        </is>
      </c>
      <c r="B133" s="24" t="inlineStr">
        <is>
          <t>2026-08-03T16:49:52.211440Z</t>
        </is>
      </c>
      <c r="C133" s="24" t="inlineStr">
        <is>
          <t>2026-08-03T17:00Z</t>
        </is>
      </c>
      <c r="D133" s="24" t="inlineStr">
        <is>
          <t>888-2026:178979</t>
        </is>
      </c>
      <c r="E133" s="24" t="inlineStr">
        <is>
          <t>TENNIS</t>
        </is>
      </c>
      <c r="F133" s="24" t="inlineStr">
        <is>
          <t>Rafael Jodar</t>
        </is>
      </c>
      <c r="G133" s="24" t="inlineStr">
        <is>
          <t>Taylor Fritz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0.592585</v>
      </c>
      <c r="P133" s="28" t="n">
        <v>0.05</v>
      </c>
      <c r="Q133" s="28" t="n">
        <v>-0.037045</v>
      </c>
      <c r="R133" s="26" t="n">
        <v>1</v>
      </c>
      <c r="S133" s="29" t="n">
        <v>1.25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-170</v>
      </c>
      <c r="AA133" s="28" t="n">
        <v>0.63</v>
      </c>
      <c r="AB133" s="28" t="n">
        <v>0.00037</v>
      </c>
      <c r="AC133" s="30" t="n">
        <v>0.7353</v>
      </c>
      <c r="AD133" s="24" t="inlineStr">
        <is>
          <t>2026-08-03T19:51:51.702123Z</t>
        </is>
      </c>
      <c r="AE133" s="31" t="inlineStr">
        <is>
          <t>Surface-blended Elo on Hard: Rafael Jodar p=0.407 vs Taylor Fritz. Executable ask 0.6300 (aec-atp-tayfri-rafjod-2026-08-02).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NO_CALL_LOW_EDGE</t>
        </is>
      </c>
      <c r="AP133" s="24" t="inlineStr">
        <is>
          <t>Rafael Jodar</t>
        </is>
      </c>
      <c r="AQ133" s="24" t="inlineStr">
        <is>
          <t>Rafael Jodar</t>
        </is>
      </c>
      <c r="AR133" s="24" t="inlineStr">
        <is>
          <t>Rafael Jodar</t>
        </is>
      </c>
      <c r="AS133" s="24" t="inlineStr">
        <is>
          <t>Taylor Fritz</t>
        </is>
      </c>
      <c r="AT133" s="24" t="inlineStr">
        <is>
          <t>Taylor Fritz</t>
        </is>
      </c>
      <c r="AU133" s="24" t="inlineStr">
        <is>
          <t>Taylor Fritz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60749ecfb3f1405f12fbceda11b7e64f2473d40dd327256f9da20b2146b6ae03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60749ecfb3f1405f12fbceda11b7e64f2473d40dd327256f9da20b2146b6ae03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60749ecfb3f1405f12fbceda11b7e64f2473d40dd327256f9da20b2146b6ae03</t>
        </is>
      </c>
      <c r="BH133" s="24" t="inlineStr">
        <is>
          <t>2026-08-03T16:49:04.770856Z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>
        <v>1.588235</v>
      </c>
      <c r="BR133" s="28" t="n">
        <v>0.63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</row>
    <row r="134" ht="36" customHeight="1">
      <c r="A134" s="24" t="inlineStr">
        <is>
          <t>0760e59638604666</t>
        </is>
      </c>
      <c r="B134" s="24" t="inlineStr">
        <is>
          <t>2026-08-03T17:14:13.914291Z</t>
        </is>
      </c>
      <c r="C134" s="24" t="inlineStr">
        <is>
          <t>2026-08-03T19:30Z</t>
        </is>
      </c>
      <c r="D134" s="24" t="inlineStr">
        <is>
          <t>421-2026:182230</t>
        </is>
      </c>
      <c r="E134" s="24" t="inlineStr">
        <is>
          <t>TENNIS</t>
        </is>
      </c>
      <c r="F134" s="24" t="inlineStr">
        <is>
          <t>Magda Linette</t>
        </is>
      </c>
      <c r="G134" s="24" t="inlineStr">
        <is>
          <t>Carol Zhao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-1150</v>
      </c>
      <c r="M134" s="27" t="n">
        <v>1.086957</v>
      </c>
      <c r="N134" s="28" t="n">
        <v>0.92</v>
      </c>
      <c r="O134" s="28" t="n">
        <v>0.8328140000000001</v>
      </c>
      <c r="P134" s="28" t="n">
        <v>0.05</v>
      </c>
      <c r="Q134" s="28" t="n">
        <v>-0.087186</v>
      </c>
      <c r="R134" s="26" t="n">
        <v>0</v>
      </c>
      <c r="S134" s="29" t="n">
        <v>2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-1150</v>
      </c>
      <c r="AA134" s="28" t="n">
        <v>0.92</v>
      </c>
      <c r="AB134" s="28" t="n">
        <v>0</v>
      </c>
      <c r="AC134" s="30" t="n">
        <v>0.1739</v>
      </c>
      <c r="AD134" s="24" t="inlineStr">
        <is>
          <t>2026-08-03T22:55:21.183851Z</t>
        </is>
      </c>
      <c r="AE134" s="31" t="inlineStr">
        <is>
          <t>Surface-blended Elo on Hard: Magda Linette p=0.833 vs Carol Zhao. Executable ask 0.9200 (aec-wta-carzha-maglin-2026-08-02).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NO_CALL_LOW_EDGE</t>
        </is>
      </c>
      <c r="AP134" s="24" t="inlineStr">
        <is>
          <t>Magda Linette</t>
        </is>
      </c>
      <c r="AQ134" s="24" t="inlineStr">
        <is>
          <t>Magda Linette</t>
        </is>
      </c>
      <c r="AR134" s="24" t="inlineStr">
        <is>
          <t>Magda Linette</t>
        </is>
      </c>
      <c r="AS134" s="24" t="inlineStr">
        <is>
          <t>Carol Zhao</t>
        </is>
      </c>
      <c r="AT134" s="24" t="inlineStr">
        <is>
          <t>Carol Zhao</t>
        </is>
      </c>
      <c r="AU134" s="24" t="inlineStr">
        <is>
          <t>Carol Zhao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60749ecfb3f1405f12fbceda11b7e64f2473d40dd327256f9da20b2146b6ae03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60749ecfb3f1405f12fbceda11b7e64f2473d40dd327256f9da20b2146b6ae03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60749ecfb3f1405f12fbceda11b7e64f2473d40dd327256f9da20b2146b6ae03</t>
        </is>
      </c>
      <c r="BH134" s="24" t="inlineStr">
        <is>
          <t>2026-08-03T17:06:34.373543Z</t>
        </is>
      </c>
      <c r="BI134" s="24" t="inlineStr">
        <is>
          <t>["same_event","same_team_same_day","same_league_same_day"]</t>
        </is>
      </c>
      <c r="BJ134" s="25" t="n"/>
      <c r="BK134" s="26" t="n">
        <v>-1150</v>
      </c>
      <c r="BL134" s="27" t="n">
        <v>1.086957</v>
      </c>
      <c r="BM134" s="28" t="n">
        <v>0.92</v>
      </c>
      <c r="BN134" s="28" t="n"/>
      <c r="BO134" s="28" t="n"/>
      <c r="BP134" s="25" t="n"/>
      <c r="BQ134" s="27" t="n">
        <v>1.086957</v>
      </c>
      <c r="BR134" s="28" t="n">
        <v>0.92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2a44f8e1e32e4fbc</t>
        </is>
      </c>
      <c r="B135" s="24" t="inlineStr">
        <is>
          <t>2026-08-03T17:14:13.914291Z</t>
        </is>
      </c>
      <c r="C135" s="24" t="inlineStr">
        <is>
          <t>2026-08-03T19:30Z</t>
        </is>
      </c>
      <c r="D135" s="24" t="inlineStr">
        <is>
          <t>421-2026:182263</t>
        </is>
      </c>
      <c r="E135" s="24" t="inlineStr">
        <is>
          <t>TENNIS</t>
        </is>
      </c>
      <c r="F135" s="24" t="inlineStr">
        <is>
          <t>Liudmila Samsonova</t>
        </is>
      </c>
      <c r="G135" s="24" t="inlineStr">
        <is>
          <t>Janice Tjen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156</v>
      </c>
      <c r="M135" s="27" t="n">
        <v>2.56</v>
      </c>
      <c r="N135" s="28" t="n">
        <v>0.390625</v>
      </c>
      <c r="O135" s="28" t="n">
        <v>0.5165999999999999</v>
      </c>
      <c r="P135" s="28" t="n">
        <v>0.05</v>
      </c>
      <c r="Q135" s="28" t="n">
        <v>0.125975</v>
      </c>
      <c r="R135" s="26" t="n">
        <v>83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156</v>
      </c>
      <c r="AA135" s="28" t="n">
        <v>0.39</v>
      </c>
      <c r="AB135" s="28" t="n">
        <v>-0.000625</v>
      </c>
      <c r="AC135" s="30" t="n">
        <v>-1</v>
      </c>
      <c r="AD135" s="24" t="inlineStr">
        <is>
          <t>2026-08-03T22:55:21.867837Z</t>
        </is>
      </c>
      <c r="AE135" s="31" t="inlineStr">
        <is>
          <t>Surface-blended Elo on Hard: Liudmila Samsonova p=0.483 vs Janice Tjen. Executable ask 0.3900 (aec-wta-jantje-liusam-2026-08-02).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Liudmila Samsonova</t>
        </is>
      </c>
      <c r="AQ135" s="24" t="inlineStr">
        <is>
          <t>Liudmila Samsonova</t>
        </is>
      </c>
      <c r="AR135" s="24" t="inlineStr">
        <is>
          <t>Liudmila Samsonova</t>
        </is>
      </c>
      <c r="AS135" s="24" t="inlineStr">
        <is>
          <t>Janice Tjen</t>
        </is>
      </c>
      <c r="AT135" s="24" t="inlineStr">
        <is>
          <t>Janice Tjen</t>
        </is>
      </c>
      <c r="AU135" s="24" t="inlineStr">
        <is>
          <t>Janice Tjen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60749ecfb3f1405f12fbceda11b7e64f2473d40dd327256f9da20b2146b6ae03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60749ecfb3f1405f12fbceda11b7e64f2473d40dd327256f9da20b2146b6ae03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60749ecfb3f1405f12fbceda11b7e64f2473d40dd327256f9da20b2146b6ae03</t>
        </is>
      </c>
      <c r="BH135" s="24" t="inlineStr">
        <is>
          <t>2026-08-03T17:06:35.491695Z</t>
        </is>
      </c>
      <c r="BI135" s="24" t="inlineStr">
        <is>
          <t>["same_event","same_team_same_day","same_league_same_day"]</t>
        </is>
      </c>
      <c r="BJ135" s="25" t="n"/>
      <c r="BK135" s="26" t="n">
        <v>156</v>
      </c>
      <c r="BL135" s="27" t="n">
        <v>2.56</v>
      </c>
      <c r="BM135" s="28" t="n">
        <v>0.390625</v>
      </c>
      <c r="BN135" s="28" t="n"/>
      <c r="BO135" s="28" t="n"/>
      <c r="BP135" s="25" t="n"/>
      <c r="BQ135" s="27" t="n">
        <v>2.56</v>
      </c>
      <c r="BR135" s="28" t="n">
        <v>0.39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019313b47f6a4a82</t>
        </is>
      </c>
      <c r="B136" s="24" t="inlineStr">
        <is>
          <t>2026-08-03T17:14:13.914291Z</t>
        </is>
      </c>
      <c r="C136" s="24" t="inlineStr">
        <is>
          <t>2026-08-03T19:30Z</t>
        </is>
      </c>
      <c r="D136" s="24" t="inlineStr">
        <is>
          <t>421-2026:182276</t>
        </is>
      </c>
      <c r="E136" s="24" t="inlineStr">
        <is>
          <t>TENNIS</t>
        </is>
      </c>
      <c r="F136" s="24" t="inlineStr">
        <is>
          <t>Alycia Parks</t>
        </is>
      </c>
      <c r="G136" s="24" t="inlineStr">
        <is>
          <t>Victoria Jimenez Kasintseva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0.544148</v>
      </c>
      <c r="P136" s="28" t="n">
        <v>0.05</v>
      </c>
      <c r="Q136" s="28" t="n">
        <v>-0.046016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2026-08-03T22:55:22.548775Z</t>
        </is>
      </c>
      <c r="AE136" s="31" t="inlineStr">
        <is>
          <t>Surface-blended Elo on Hard: Alycia Parks p=0.544 vs Victoria Jimenez Kasintseva. Executable ask 0.5900 (aec-wta-vickas-alypar-2026-08-03).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NO_CALL_LOW_EDGE</t>
        </is>
      </c>
      <c r="AP136" s="24" t="inlineStr">
        <is>
          <t>Alycia Parks</t>
        </is>
      </c>
      <c r="AQ136" s="24" t="inlineStr">
        <is>
          <t>Alycia Parks</t>
        </is>
      </c>
      <c r="AR136" s="24" t="inlineStr">
        <is>
          <t>Alycia Parks</t>
        </is>
      </c>
      <c r="AS136" s="24" t="inlineStr">
        <is>
          <t>Victoria Jimenez Kasintseva</t>
        </is>
      </c>
      <c r="AT136" s="24" t="inlineStr">
        <is>
          <t>Victoria Jimenez Kasintseva</t>
        </is>
      </c>
      <c r="AU136" s="24" t="inlineStr">
        <is>
          <t>Victoria Jimenez Kasintseva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60749ecfb3f1405f12fbceda11b7e64f2473d40dd327256f9da20b2146b6ae03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60749ecfb3f1405f12fbceda11b7e64f2473d40dd327256f9da20b2146b6ae03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60749ecfb3f1405f12fbceda11b7e64f2473d40dd327256f9da20b2146b6ae03</t>
        </is>
      </c>
      <c r="BH136" s="24" t="inlineStr">
        <is>
          <t>2026-08-03T17:06:36.132167Z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2e6043376fdd4142</t>
        </is>
      </c>
      <c r="B137" s="24" t="inlineStr">
        <is>
          <t>2026-08-03T17:14:13.914291Z</t>
        </is>
      </c>
      <c r="C137" s="24" t="inlineStr">
        <is>
          <t>2026-08-03T18:00Z</t>
        </is>
      </c>
      <c r="D137" s="24" t="inlineStr">
        <is>
          <t>421-2026:181779</t>
        </is>
      </c>
      <c r="E137" s="24" t="inlineStr">
        <is>
          <t>TENNIS</t>
        </is>
      </c>
      <c r="F137" s="24" t="inlineStr">
        <is>
          <t>Miomir Kecmanovic</t>
        </is>
      </c>
      <c r="G137" s="24" t="inlineStr">
        <is>
          <t>Michael Zheng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0.537166</v>
      </c>
      <c r="P137" s="28" t="n">
        <v>0.05</v>
      </c>
      <c r="Q137" s="28" t="n">
        <v>-0.033649</v>
      </c>
      <c r="R137" s="26" t="n">
        <v>3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-133</v>
      </c>
      <c r="AA137" s="28" t="n">
        <v>0.57</v>
      </c>
      <c r="AB137" s="28" t="n">
        <v>-0.000815</v>
      </c>
      <c r="AC137" s="30" t="n">
        <v>-1</v>
      </c>
      <c r="AD137" s="24" t="inlineStr">
        <is>
          <t>2026-08-04T01:58:27.838352Z</t>
        </is>
      </c>
      <c r="AE137" s="31" t="inlineStr">
        <is>
          <t>Surface-blended Elo on Hard: Miomir Kecmanovic p=0.463 vs Michael Zheng. Executable ask 0.5700 (aec-atp-miczhe-miokec-2026-08-02).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NO_CALL_LOW_EDGE</t>
        </is>
      </c>
      <c r="AP137" s="24" t="inlineStr">
        <is>
          <t>Miomir Kecmanovic</t>
        </is>
      </c>
      <c r="AQ137" s="24" t="inlineStr">
        <is>
          <t>Miomir Kecmanovic</t>
        </is>
      </c>
      <c r="AR137" s="24" t="inlineStr">
        <is>
          <t>Miomir Kecmanovic</t>
        </is>
      </c>
      <c r="AS137" s="24" t="inlineStr">
        <is>
          <t>Michael Zheng</t>
        </is>
      </c>
      <c r="AT137" s="24" t="inlineStr">
        <is>
          <t>Michael Zheng</t>
        </is>
      </c>
      <c r="AU137" s="24" t="inlineStr">
        <is>
          <t>Michael Zheng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60749ecfb3f1405f12fbceda11b7e64f2473d40dd327256f9da20b2146b6ae03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60749ecfb3f1405f12fbceda11b7e64f2473d40dd327256f9da20b2146b6ae03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60749ecfb3f1405f12fbceda11b7e64f2473d40dd327256f9da20b2146b6ae03</t>
        </is>
      </c>
      <c r="BH137" s="24" t="inlineStr">
        <is>
          <t>2026-08-03T17:06:48.092968Z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>
        <v>1.75188</v>
      </c>
      <c r="BR137" s="28" t="n">
        <v>0.57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</row>
    <row r="138" ht="36" customHeight="1">
      <c r="A138" s="24" t="inlineStr">
        <is>
          <t>f6b47ff5c22743f5</t>
        </is>
      </c>
      <c r="B138" s="24" t="inlineStr">
        <is>
          <t>2026-08-03T17:14:13.914291Z</t>
        </is>
      </c>
      <c r="C138" s="24" t="inlineStr">
        <is>
          <t>2026-08-03T18:00Z</t>
        </is>
      </c>
      <c r="D138" s="24" t="inlineStr">
        <is>
          <t>421-2026:181783</t>
        </is>
      </c>
      <c r="E138" s="24" t="inlineStr">
        <is>
          <t>TENNIS</t>
        </is>
      </c>
      <c r="F138" s="24" t="inlineStr">
        <is>
          <t>Daniel Altmaier</t>
        </is>
      </c>
      <c r="G138" s="24" t="inlineStr">
        <is>
          <t>Aleksandar Vukic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0.5040750000000001</v>
      </c>
      <c r="P138" s="28" t="n">
        <v>0.05</v>
      </c>
      <c r="Q138" s="28" t="n">
        <v>0.094239</v>
      </c>
      <c r="R138" s="26" t="n">
        <v>67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144</v>
      </c>
      <c r="AA138" s="28" t="n">
        <v>0.41</v>
      </c>
      <c r="AB138" s="28" t="n">
        <v>0.000164</v>
      </c>
      <c r="AC138" s="30" t="n">
        <v>1.44</v>
      </c>
      <c r="AD138" s="24" t="inlineStr">
        <is>
          <t>2026-08-04T03:57:50.487161Z</t>
        </is>
      </c>
      <c r="AE138" s="31" t="inlineStr">
        <is>
          <t>Surface-blended Elo on Hard: Daniel Altmaier p=0.504 vs Aleksandar Vukic. Executable ask 0.4100 (aec-atp-alevuk-danalt-2026-08-02).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Daniel Altmaier</t>
        </is>
      </c>
      <c r="AQ138" s="24" t="inlineStr">
        <is>
          <t>Daniel Altmaier</t>
        </is>
      </c>
      <c r="AR138" s="24" t="inlineStr">
        <is>
          <t>Daniel Altmaier</t>
        </is>
      </c>
      <c r="AS138" s="24" t="inlineStr">
        <is>
          <t>Aleksandar Vukic</t>
        </is>
      </c>
      <c r="AT138" s="24" t="inlineStr">
        <is>
          <t>Aleksandar Vukic</t>
        </is>
      </c>
      <c r="AU138" s="24" t="inlineStr">
        <is>
          <t>Aleksandar Vukic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60749ecfb3f1405f12fbceda11b7e64f2473d40dd327256f9da20b2146b6ae03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60749ecfb3f1405f12fbceda11b7e64f2473d40dd327256f9da20b2146b6ae03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60749ecfb3f1405f12fbceda11b7e64f2473d40dd327256f9da20b2146b6ae03</t>
        </is>
      </c>
      <c r="BH138" s="24" t="inlineStr">
        <is>
          <t>2026-08-03T17:06:49.314441Z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>
        <v>2.44</v>
      </c>
      <c r="BR138" s="28" t="n">
        <v>0.41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</row>
    <row r="139" ht="36" customHeight="1">
      <c r="A139" s="24" t="inlineStr">
        <is>
          <t>fcd89a854aa248c7</t>
        </is>
      </c>
      <c r="B139" s="24" t="inlineStr">
        <is>
          <t>2026-08-03T17:14:13.914291Z</t>
        </is>
      </c>
      <c r="C139" s="24" t="inlineStr">
        <is>
          <t>2026-08-03T18:00Z</t>
        </is>
      </c>
      <c r="D139" s="24" t="inlineStr">
        <is>
          <t>421-2026:181794</t>
        </is>
      </c>
      <c r="E139" s="24" t="inlineStr">
        <is>
          <t>TENNIS</t>
        </is>
      </c>
      <c r="F139" s="24" t="inlineStr">
        <is>
          <t>Nuno Borges</t>
        </is>
      </c>
      <c r="G139" s="24" t="inlineStr">
        <is>
          <t>Aleksandar Kovacevic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-317</v>
      </c>
      <c r="M139" s="27" t="n">
        <v>1.315457</v>
      </c>
      <c r="N139" s="28" t="n">
        <v>0.760192</v>
      </c>
      <c r="O139" s="28" t="n">
        <v>0.654976</v>
      </c>
      <c r="P139" s="28" t="n">
        <v>0.05</v>
      </c>
      <c r="Q139" s="28" t="n">
        <v>-0.105216</v>
      </c>
      <c r="R139" s="26" t="n">
        <v>0</v>
      </c>
      <c r="S139" s="29" t="n">
        <v>1.75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-317</v>
      </c>
      <c r="AA139" s="28" t="n">
        <v>0.76</v>
      </c>
      <c r="AB139" s="28" t="n">
        <v>-0.000192</v>
      </c>
      <c r="AC139" s="30" t="n">
        <v>0.552</v>
      </c>
      <c r="AD139" s="24" t="inlineStr">
        <is>
          <t>2026-08-04T01:58:28.547350Z</t>
        </is>
      </c>
      <c r="AE139" s="31" t="inlineStr">
        <is>
          <t>Surface-blended Elo on Hard: Nuno Borges p=0.655 vs Aleksandar Kovacevic. Executable ask 0.7600 (aec-atp-alekov-nunbor-2026-08-03).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NO_CALL_LOW_EDGE</t>
        </is>
      </c>
      <c r="AP139" s="24" t="inlineStr">
        <is>
          <t>Nuno Borges</t>
        </is>
      </c>
      <c r="AQ139" s="24" t="inlineStr">
        <is>
          <t>Nuno Borges</t>
        </is>
      </c>
      <c r="AR139" s="24" t="inlineStr">
        <is>
          <t>Nuno Borges</t>
        </is>
      </c>
      <c r="AS139" s="24" t="inlineStr">
        <is>
          <t>Aleksandar Kovacevic</t>
        </is>
      </c>
      <c r="AT139" s="24" t="inlineStr">
        <is>
          <t>Aleksandar Kovacevic</t>
        </is>
      </c>
      <c r="AU139" s="24" t="inlineStr">
        <is>
          <t>Aleksandar Kovacevic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60749ecfb3f1405f12fbceda11b7e64f2473d40dd327256f9da20b2146b6ae03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60749ecfb3f1405f12fbceda11b7e64f2473d40dd327256f9da20b2146b6ae03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60749ecfb3f1405f12fbceda11b7e64f2473d40dd327256f9da20b2146b6ae03</t>
        </is>
      </c>
      <c r="BH139" s="24" t="inlineStr">
        <is>
          <t>2026-08-03T17:06:46.594408Z</t>
        </is>
      </c>
      <c r="BI139" s="24" t="inlineStr">
        <is>
          <t>["same_event","same_team_same_day","same_league_same_day"]</t>
        </is>
      </c>
      <c r="BJ139" s="25" t="n"/>
      <c r="BK139" s="26" t="n">
        <v>-317</v>
      </c>
      <c r="BL139" s="27" t="n">
        <v>1.315457</v>
      </c>
      <c r="BM139" s="28" t="n">
        <v>0.760192</v>
      </c>
      <c r="BN139" s="28" t="n"/>
      <c r="BO139" s="28" t="n"/>
      <c r="BP139" s="25" t="n"/>
      <c r="BQ139" s="27" t="n">
        <v>1.315457</v>
      </c>
      <c r="BR139" s="28" t="n">
        <v>0.76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</row>
    <row r="140" ht="36" customHeight="1">
      <c r="A140" s="24" t="inlineStr">
        <is>
          <t>0f2e7d8cb81b4def</t>
        </is>
      </c>
      <c r="B140" s="24" t="inlineStr">
        <is>
          <t>2026-08-03T17:14:13.914291Z</t>
        </is>
      </c>
      <c r="C140" s="24" t="inlineStr">
        <is>
          <t>2026-08-03T18:00Z</t>
        </is>
      </c>
      <c r="D140" s="24" t="inlineStr">
        <is>
          <t>421-2026:181798</t>
        </is>
      </c>
      <c r="E140" s="24" t="inlineStr">
        <is>
          <t>TENNIS</t>
        </is>
      </c>
      <c r="F140" s="24" t="inlineStr">
        <is>
          <t>Yannick Hanfmann</t>
        </is>
      </c>
      <c r="G140" s="24" t="inlineStr">
        <is>
          <t>Benjamin Bonzi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-117</v>
      </c>
      <c r="M140" s="27" t="n">
        <v>1.854701</v>
      </c>
      <c r="N140" s="28" t="n">
        <v>0.539171</v>
      </c>
      <c r="O140" s="28" t="n">
        <v>0.552246</v>
      </c>
      <c r="P140" s="28" t="n">
        <v>0.05</v>
      </c>
      <c r="Q140" s="28" t="n">
        <v>0.013075</v>
      </c>
      <c r="R140" s="26" t="n">
        <v>27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-117</v>
      </c>
      <c r="AA140" s="28" t="n">
        <v>0.54</v>
      </c>
      <c r="AB140" s="28" t="n">
        <v>0.000829</v>
      </c>
      <c r="AC140" s="30" t="n">
        <v>0.8547</v>
      </c>
      <c r="AD140" s="24" t="inlineStr">
        <is>
          <t>2026-08-04T01:58:29.260517Z</t>
        </is>
      </c>
      <c r="AE140" s="31" t="inlineStr">
        <is>
          <t>Surface-blended Elo on Hard: Yannick Hanfmann p=0.552 vs Benjamin Bonzi. Executable ask 0.5400 (aec-atp-benbon-yanhan-2026-08-02).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NO_CALL_LOW_EDGE</t>
        </is>
      </c>
      <c r="AP140" s="24" t="inlineStr">
        <is>
          <t>Yannick Hanfmann</t>
        </is>
      </c>
      <c r="AQ140" s="24" t="inlineStr">
        <is>
          <t>Yannick Hanfmann</t>
        </is>
      </c>
      <c r="AR140" s="24" t="inlineStr">
        <is>
          <t>Yannick Hanfmann</t>
        </is>
      </c>
      <c r="AS140" s="24" t="inlineStr">
        <is>
          <t>Benjamin Bonzi</t>
        </is>
      </c>
      <c r="AT140" s="24" t="inlineStr">
        <is>
          <t>Benjamin Bonzi</t>
        </is>
      </c>
      <c r="AU140" s="24" t="inlineStr">
        <is>
          <t>Benjamin Bonzi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60749ecfb3f1405f12fbceda11b7e64f2473d40dd327256f9da20b2146b6ae03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60749ecfb3f1405f12fbceda11b7e64f2473d40dd327256f9da20b2146b6ae03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60749ecfb3f1405f12fbceda11b7e64f2473d40dd327256f9da20b2146b6ae03</t>
        </is>
      </c>
      <c r="BH140" s="24" t="inlineStr">
        <is>
          <t>2026-08-03T17:06:47.159099Z</t>
        </is>
      </c>
      <c r="BI140" s="24" t="inlineStr">
        <is>
          <t>["same_event","same_team_same_day","same_league_same_day"]</t>
        </is>
      </c>
      <c r="BJ140" s="25" t="n"/>
      <c r="BK140" s="26" t="n">
        <v>-117</v>
      </c>
      <c r="BL140" s="27" t="n">
        <v>1.854701</v>
      </c>
      <c r="BM140" s="28" t="n">
        <v>0.539171</v>
      </c>
      <c r="BN140" s="28" t="n"/>
      <c r="BO140" s="28" t="n"/>
      <c r="BP140" s="25" t="n"/>
      <c r="BQ140" s="27" t="n">
        <v>1.854701</v>
      </c>
      <c r="BR140" s="28" t="n">
        <v>0.54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c6c4aeca1e56491f</t>
        </is>
      </c>
      <c r="B141" s="24" t="inlineStr">
        <is>
          <t>2026-08-03T17:14:13.914291Z</t>
        </is>
      </c>
      <c r="C141" s="24" t="inlineStr">
        <is>
          <t>2026-08-03T19:30Z</t>
        </is>
      </c>
      <c r="D141" s="24" t="inlineStr">
        <is>
          <t>421-2026:181814</t>
        </is>
      </c>
      <c r="E141" s="24" t="inlineStr">
        <is>
          <t>TENNIS</t>
        </is>
      </c>
      <c r="F141" s="24" t="inlineStr">
        <is>
          <t>Jan-Lennard Struff</t>
        </is>
      </c>
      <c r="G141" s="24" t="inlineStr">
        <is>
          <t>Alex Michelsen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-285</v>
      </c>
      <c r="M141" s="27" t="n">
        <v>1.350877</v>
      </c>
      <c r="N141" s="28" t="n">
        <v>0.74026</v>
      </c>
      <c r="O141" s="28" t="n">
        <v>0.601492</v>
      </c>
      <c r="P141" s="28" t="n">
        <v>0.05</v>
      </c>
      <c r="Q141" s="28" t="n">
        <v>-0.138768</v>
      </c>
      <c r="R141" s="26" t="n">
        <v>0</v>
      </c>
      <c r="S141" s="29" t="n">
        <v>1.25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-285</v>
      </c>
      <c r="AA141" s="28" t="n">
        <v>0.74</v>
      </c>
      <c r="AB141" s="28" t="n">
        <v>-0.00026</v>
      </c>
      <c r="AC141" s="30" t="n">
        <v>0.4386</v>
      </c>
      <c r="AD141" s="24" t="inlineStr">
        <is>
          <t>2026-08-04T03:57:51.249046Z</t>
        </is>
      </c>
      <c r="AE141" s="31" t="inlineStr">
        <is>
          <t>Surface-blended Elo on Hard: Jan-Lennard Struff p=0.399 vs Alex Michelsen. Executable ask 0.7400 (aec-atp-alemic-janstr-2026-08-03).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NO_CALL_LOW_EDGE</t>
        </is>
      </c>
      <c r="AP141" s="24" t="inlineStr">
        <is>
          <t>Jan-Lennard Struff</t>
        </is>
      </c>
      <c r="AQ141" s="24" t="inlineStr">
        <is>
          <t>Jan-Lennard Struff</t>
        </is>
      </c>
      <c r="AR141" s="24" t="inlineStr">
        <is>
          <t>Jan-Lennard Struff</t>
        </is>
      </c>
      <c r="AS141" s="24" t="inlineStr">
        <is>
          <t>Alex Michelsen</t>
        </is>
      </c>
      <c r="AT141" s="24" t="inlineStr">
        <is>
          <t>Alex Michelsen</t>
        </is>
      </c>
      <c r="AU141" s="24" t="inlineStr">
        <is>
          <t>Alex Michelsen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60749ecfb3f1405f12fbceda11b7e64f2473d40dd327256f9da20b2146b6ae03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60749ecfb3f1405f12fbceda11b7e64f2473d40dd327256f9da20b2146b6ae03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60749ecfb3f1405f12fbceda11b7e64f2473d40dd327256f9da20b2146b6ae03</t>
        </is>
      </c>
      <c r="BH141" s="24" t="inlineStr">
        <is>
          <t>2026-08-03T17:06:53.846578Z</t>
        </is>
      </c>
      <c r="BI141" s="24" t="inlineStr">
        <is>
          <t>["same_event","same_team_same_day","same_league_same_day"]</t>
        </is>
      </c>
      <c r="BJ141" s="25" t="n"/>
      <c r="BK141" s="26" t="n">
        <v>-285</v>
      </c>
      <c r="BL141" s="27" t="n">
        <v>1.350877</v>
      </c>
      <c r="BM141" s="28" t="n">
        <v>0.74026</v>
      </c>
      <c r="BN141" s="28" t="n"/>
      <c r="BO141" s="28" t="n"/>
      <c r="BP141" s="25" t="n"/>
      <c r="BQ141" s="27" t="n">
        <v>1.350877</v>
      </c>
      <c r="BR141" s="28" t="n">
        <v>0.74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</row>
    <row r="142" ht="36" customHeight="1">
      <c r="A142" s="24" t="inlineStr">
        <is>
          <t>c09c666090d04f68</t>
        </is>
      </c>
      <c r="B142" s="24" t="inlineStr">
        <is>
          <t>2026-08-03T17:14:13.914291Z</t>
        </is>
      </c>
      <c r="C142" s="24" t="inlineStr">
        <is>
          <t>2026-08-03T19:30Z</t>
        </is>
      </c>
      <c r="D142" s="24" t="inlineStr">
        <is>
          <t>421-2026:181828</t>
        </is>
      </c>
      <c r="E142" s="24" t="inlineStr">
        <is>
          <t>TENNIS</t>
        </is>
      </c>
      <c r="F142" s="24" t="inlineStr">
        <is>
          <t>Adrian Mannarino</t>
        </is>
      </c>
      <c r="G142" s="24" t="inlineStr">
        <is>
          <t>Jacob Fearnley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150</v>
      </c>
      <c r="M142" s="27" t="n">
        <v>2.5</v>
      </c>
      <c r="N142" s="28" t="n">
        <v>0.4</v>
      </c>
      <c r="O142" s="28" t="n">
        <v>0.564895</v>
      </c>
      <c r="P142" s="28" t="n">
        <v>0.05</v>
      </c>
      <c r="Q142" s="28" t="n">
        <v>0.164895</v>
      </c>
      <c r="R142" s="26" t="n">
        <v>100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>
        <v>150</v>
      </c>
      <c r="AA142" s="28" t="n">
        <v>0.4</v>
      </c>
      <c r="AB142" s="28" t="n">
        <v>0</v>
      </c>
      <c r="AC142" s="30" t="n">
        <v>-1</v>
      </c>
      <c r="AD142" s="24" t="inlineStr">
        <is>
          <t>2026-08-04T21:58:41.993395Z</t>
        </is>
      </c>
      <c r="AE142" s="31" t="inlineStr">
        <is>
          <t>Surface-blended Elo on Hard: Adrian Mannarino p=0.565 vs Jacob Fearnley. Executable ask 0.4000 (aec-atp-jacfea-adrman-2026-08-03).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Adrian Mannarino</t>
        </is>
      </c>
      <c r="AQ142" s="24" t="inlineStr">
        <is>
          <t>Adrian Mannarino</t>
        </is>
      </c>
      <c r="AR142" s="24" t="inlineStr">
        <is>
          <t>Adrian Mannarino</t>
        </is>
      </c>
      <c r="AS142" s="24" t="inlineStr">
        <is>
          <t>Jacob Fearnley</t>
        </is>
      </c>
      <c r="AT142" s="24" t="inlineStr">
        <is>
          <t>Jacob Fearnley</t>
        </is>
      </c>
      <c r="AU142" s="24" t="inlineStr">
        <is>
          <t>Jacob Fearnley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60749ecfb3f1405f12fbceda11b7e64f2473d40dd327256f9da20b2146b6ae03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60749ecfb3f1405f12fbceda11b7e64f2473d40dd327256f9da20b2146b6ae03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60749ecfb3f1405f12fbceda11b7e64f2473d40dd327256f9da20b2146b6ae03</t>
        </is>
      </c>
      <c r="BH142" s="24" t="inlineStr">
        <is>
          <t>2026-08-03T17:06:52.299848Z</t>
        </is>
      </c>
      <c r="BI142" s="24" t="inlineStr">
        <is>
          <t>["same_event","same_team_same_day","same_league_same_day"]</t>
        </is>
      </c>
      <c r="BJ142" s="25" t="n"/>
      <c r="BK142" s="26" t="n">
        <v>150</v>
      </c>
      <c r="BL142" s="27" t="n">
        <v>2.5</v>
      </c>
      <c r="BM142" s="28" t="n">
        <v>0.4</v>
      </c>
      <c r="BN142" s="28" t="n"/>
      <c r="BO142" s="28" t="n"/>
      <c r="BP142" s="25" t="n"/>
      <c r="BQ142" s="27" t="n">
        <v>2.5</v>
      </c>
      <c r="BR142" s="28" t="n">
        <v>0.4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c46b7d7960934c4f</t>
        </is>
      </c>
      <c r="B143" s="24" t="inlineStr">
        <is>
          <t>2026-08-03T17:14:13.914291Z</t>
        </is>
      </c>
      <c r="C143" s="24" t="inlineStr">
        <is>
          <t>2026-08-03T19:30Z</t>
        </is>
      </c>
      <c r="D143" s="24" t="inlineStr">
        <is>
          <t>421-2026:181842</t>
        </is>
      </c>
      <c r="E143" s="24" t="inlineStr">
        <is>
          <t>TENNIS</t>
        </is>
      </c>
      <c r="F143" s="24" t="inlineStr">
        <is>
          <t>Cameron Norrie</t>
        </is>
      </c>
      <c r="G143" s="24" t="inlineStr">
        <is>
          <t>Camilo Ugo Carabelli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-376</v>
      </c>
      <c r="M143" s="27" t="n">
        <v>1.265957</v>
      </c>
      <c r="N143" s="28" t="n">
        <v>0.789916</v>
      </c>
      <c r="O143" s="28" t="n">
        <v>0.615806</v>
      </c>
      <c r="P143" s="28" t="n">
        <v>0.05</v>
      </c>
      <c r="Q143" s="28" t="n">
        <v>-0.17411</v>
      </c>
      <c r="R143" s="26" t="n">
        <v>0</v>
      </c>
      <c r="S143" s="29" t="n">
        <v>1.5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-376</v>
      </c>
      <c r="AA143" s="28" t="n">
        <v>0.79</v>
      </c>
      <c r="AB143" s="28" t="n">
        <v>8.4e-05</v>
      </c>
      <c r="AC143" s="30" t="n">
        <v>0.3989</v>
      </c>
      <c r="AD143" s="24" t="inlineStr">
        <is>
          <t>2026-08-04T04:08:30.869584Z</t>
        </is>
      </c>
      <c r="AE143" s="31" t="inlineStr">
        <is>
          <t>Surface-blended Elo on Hard: Cameron Norrie p=0.616 vs Camilo Ugo Carabelli. Executable ask 0.7900 (aec-atp-camcar-camnor-2026-08-03).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NO_CALL_LOW_EDGE</t>
        </is>
      </c>
      <c r="AP143" s="24" t="inlineStr">
        <is>
          <t>Cameron Norrie</t>
        </is>
      </c>
      <c r="AQ143" s="24" t="inlineStr">
        <is>
          <t>Cameron Norrie</t>
        </is>
      </c>
      <c r="AR143" s="24" t="inlineStr">
        <is>
          <t>Cameron Norrie</t>
        </is>
      </c>
      <c r="AS143" s="24" t="inlineStr">
        <is>
          <t>Camilo Ugo Carabelli</t>
        </is>
      </c>
      <c r="AT143" s="24" t="inlineStr">
        <is>
          <t>Camilo Ugo Carabelli</t>
        </is>
      </c>
      <c r="AU143" s="24" t="inlineStr">
        <is>
          <t>Camilo Ugo Carabelli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60749ecfb3f1405f12fbceda11b7e64f2473d40dd327256f9da20b2146b6ae03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60749ecfb3f1405f12fbceda11b7e64f2473d40dd327256f9da20b2146b6ae03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60749ecfb3f1405f12fbceda11b7e64f2473d40dd327256f9da20b2146b6ae03</t>
        </is>
      </c>
      <c r="BH143" s="24" t="inlineStr">
        <is>
          <t>2026-08-03T17:06:53.334657Z</t>
        </is>
      </c>
      <c r="BI143" s="24" t="inlineStr">
        <is>
          <t>["same_event","same_team_same_day","same_league_same_day"]</t>
        </is>
      </c>
      <c r="BJ143" s="25" t="n"/>
      <c r="BK143" s="26" t="n">
        <v>-376</v>
      </c>
      <c r="BL143" s="27" t="n">
        <v>1.265957</v>
      </c>
      <c r="BM143" s="28" t="n">
        <v>0.789916</v>
      </c>
      <c r="BN143" s="28" t="n"/>
      <c r="BO143" s="28" t="n"/>
      <c r="BP143" s="25" t="n"/>
      <c r="BQ143" s="27" t="n">
        <v>1.265957</v>
      </c>
      <c r="BR143" s="28" t="n">
        <v>0.79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</row>
    <row r="144" ht="36" customHeight="1">
      <c r="A144" s="24" t="inlineStr">
        <is>
          <t>ecae86fc339b4e57</t>
        </is>
      </c>
      <c r="B144" s="24" t="inlineStr">
        <is>
          <t>2026-08-03T19:53:29.938738Z</t>
        </is>
      </c>
      <c r="C144" s="24" t="inlineStr">
        <is>
          <t>2026-08-03T21:00Z</t>
        </is>
      </c>
      <c r="D144" s="24" t="inlineStr">
        <is>
          <t>421-2026:182239</t>
        </is>
      </c>
      <c r="E144" s="24" t="inlineStr">
        <is>
          <t>TENNIS</t>
        </is>
      </c>
      <c r="F144" s="24" t="inlineStr">
        <is>
          <t>Taylor Townsend</t>
        </is>
      </c>
      <c r="G144" s="24" t="inlineStr">
        <is>
          <t>Tereza Valentova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-194</v>
      </c>
      <c r="M144" s="27" t="n">
        <v>1.515464</v>
      </c>
      <c r="N144" s="28" t="n">
        <v>0.659864</v>
      </c>
      <c r="O144" s="28" t="n">
        <v>0.548685</v>
      </c>
      <c r="P144" s="28" t="n">
        <v>0.05</v>
      </c>
      <c r="Q144" s="28" t="n">
        <v>-0.111179</v>
      </c>
      <c r="R144" s="26" t="n">
        <v>0</v>
      </c>
      <c r="S144" s="29" t="n">
        <v>1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-194</v>
      </c>
      <c r="AA144" s="28" t="n">
        <v>0.66</v>
      </c>
      <c r="AB144" s="28" t="n">
        <v>0.000136</v>
      </c>
      <c r="AC144" s="30" t="n">
        <v>-1</v>
      </c>
      <c r="AD144" s="24" t="inlineStr">
        <is>
          <t>2026-08-04T01:58:32.389030Z</t>
        </is>
      </c>
      <c r="AE144" s="31" t="inlineStr">
        <is>
          <t>Surface-blended Elo on Hard: Taylor Townsend p=0.451 vs Tereza Valentova. Executable ask 0.6600 (aec-wta-terval-taytow-2026-08-02).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NO_CALL_LOW_EDGE</t>
        </is>
      </c>
      <c r="AP144" s="24" t="inlineStr">
        <is>
          <t>Taylor Townsend</t>
        </is>
      </c>
      <c r="AQ144" s="24" t="inlineStr">
        <is>
          <t>Taylor Townsend</t>
        </is>
      </c>
      <c r="AR144" s="24" t="inlineStr">
        <is>
          <t>Taylor Townsend</t>
        </is>
      </c>
      <c r="AS144" s="24" t="inlineStr">
        <is>
          <t>Tereza Valentova</t>
        </is>
      </c>
      <c r="AT144" s="24" t="inlineStr">
        <is>
          <t>Tereza Valentova</t>
        </is>
      </c>
      <c r="AU144" s="24" t="inlineStr">
        <is>
          <t>Tereza Valentova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60749ecfb3f1405f12fbceda11b7e64f2473d40dd327256f9da20b2146b6ae03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60749ecfb3f1405f12fbceda11b7e64f2473d40dd327256f9da20b2146b6ae03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60749ecfb3f1405f12fbceda11b7e64f2473d40dd327256f9da20b2146b6ae03</t>
        </is>
      </c>
      <c r="BH144" s="24" t="inlineStr">
        <is>
          <t>2026-08-03T19:52:41.709499Z</t>
        </is>
      </c>
      <c r="BI144" s="24" t="inlineStr">
        <is>
          <t>["same_event","same_team_same_day","same_league_same_day"]</t>
        </is>
      </c>
      <c r="BJ144" s="25" t="n"/>
      <c r="BK144" s="26" t="n">
        <v>-194</v>
      </c>
      <c r="BL144" s="27" t="n">
        <v>1.515464</v>
      </c>
      <c r="BM144" s="28" t="n">
        <v>0.659864</v>
      </c>
      <c r="BN144" s="28" t="n"/>
      <c r="BO144" s="28" t="n"/>
      <c r="BP144" s="25" t="n"/>
      <c r="BQ144" s="27" t="n">
        <v>1.515464</v>
      </c>
      <c r="BR144" s="28" t="n">
        <v>0.66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</row>
    <row r="145" ht="36" customHeight="1">
      <c r="A145" s="24" t="inlineStr">
        <is>
          <t>0f074ce53b694a61</t>
        </is>
      </c>
      <c r="B145" s="24" t="inlineStr">
        <is>
          <t>2026-08-03T19:53:29.938738Z</t>
        </is>
      </c>
      <c r="C145" s="24" t="inlineStr">
        <is>
          <t>2026-08-03T21:00Z</t>
        </is>
      </c>
      <c r="D145" s="24" t="inlineStr">
        <is>
          <t>421-2026:182244</t>
        </is>
      </c>
      <c r="E145" s="24" t="inlineStr">
        <is>
          <t>TENNIS</t>
        </is>
      </c>
      <c r="F145" s="24" t="inlineStr">
        <is>
          <t>Tamara Korpatsch</t>
        </is>
      </c>
      <c r="G145" s="24" t="inlineStr">
        <is>
          <t>Renata Zarazua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138</v>
      </c>
      <c r="M145" s="27" t="n">
        <v>2.38</v>
      </c>
      <c r="N145" s="28" t="n">
        <v>0.420168</v>
      </c>
      <c r="O145" s="28" t="n">
        <v>0.643669</v>
      </c>
      <c r="P145" s="28" t="n">
        <v>0.05</v>
      </c>
      <c r="Q145" s="28" t="n">
        <v>0.223501</v>
      </c>
      <c r="R145" s="26" t="n">
        <v>100</v>
      </c>
      <c r="S145" s="29" t="n">
        <v>1.5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1</v>
      </c>
      <c r="Y145" s="25" t="n"/>
      <c r="Z145" s="26" t="n">
        <v>138</v>
      </c>
      <c r="AA145" s="28" t="n">
        <v>0.42</v>
      </c>
      <c r="AB145" s="28" t="n">
        <v>-0.000168</v>
      </c>
      <c r="AC145" s="30" t="n">
        <v>-1.5</v>
      </c>
      <c r="AD145" s="24" t="inlineStr">
        <is>
          <t>2026-08-04T01:58:33.152116Z</t>
        </is>
      </c>
      <c r="AE145" s="31" t="inlineStr">
        <is>
          <t>Surface-blended Elo on Hard: Tamara Korpatsch p=0.644 vs Renata Zarazua. Executable ask 0.4200 (aec-wta-renzar-tamkor-2026-08-02).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Tamara Korpatsch</t>
        </is>
      </c>
      <c r="AQ145" s="24" t="inlineStr">
        <is>
          <t>Tamara Korpatsch</t>
        </is>
      </c>
      <c r="AR145" s="24" t="inlineStr">
        <is>
          <t>Tamara Korpatsch</t>
        </is>
      </c>
      <c r="AS145" s="24" t="inlineStr">
        <is>
          <t>Renata Zarazua</t>
        </is>
      </c>
      <c r="AT145" s="24" t="inlineStr">
        <is>
          <t>Renata Zarazua</t>
        </is>
      </c>
      <c r="AU145" s="24" t="inlineStr">
        <is>
          <t>Renata Zarazua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60749ecfb3f1405f12fbceda11b7e64f2473d40dd327256f9da20b2146b6ae03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60749ecfb3f1405f12fbceda11b7e64f2473d40dd327256f9da20b2146b6ae03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60749ecfb3f1405f12fbceda11b7e64f2473d40dd327256f9da20b2146b6ae03</t>
        </is>
      </c>
      <c r="BH145" s="24" t="inlineStr">
        <is>
          <t>2026-08-03T19:52:43.186533Z</t>
        </is>
      </c>
      <c r="BI145" s="24" t="inlineStr">
        <is>
          <t>["same_event","same_team_same_day","same_league_same_day"]</t>
        </is>
      </c>
      <c r="BJ145" s="25" t="n"/>
      <c r="BK145" s="26" t="n">
        <v>138</v>
      </c>
      <c r="BL145" s="27" t="n">
        <v>2.38</v>
      </c>
      <c r="BM145" s="28" t="n">
        <v>0.420168</v>
      </c>
      <c r="BN145" s="28" t="n"/>
      <c r="BO145" s="28" t="n"/>
      <c r="BP145" s="25" t="n"/>
      <c r="BQ145" s="27" t="n">
        <v>2.38</v>
      </c>
      <c r="BR145" s="28" t="n">
        <v>0.42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</row>
    <row r="146" ht="36" customHeight="1">
      <c r="A146" s="24" t="inlineStr">
        <is>
          <t>2f419fef908e4110</t>
        </is>
      </c>
      <c r="B146" s="24" t="inlineStr">
        <is>
          <t>2026-08-03T19:53:29.938738Z</t>
        </is>
      </c>
      <c r="C146" s="24" t="inlineStr">
        <is>
          <t>2026-08-03T21:00Z</t>
        </is>
      </c>
      <c r="D146" s="24" t="inlineStr">
        <is>
          <t>421-2026:182247</t>
        </is>
      </c>
      <c r="E146" s="24" t="inlineStr">
        <is>
          <t>TENNIS</t>
        </is>
      </c>
      <c r="F146" s="24" t="inlineStr">
        <is>
          <t>Eva Lys</t>
        </is>
      </c>
      <c r="G146" s="24" t="inlineStr">
        <is>
          <t>Panna Udvardy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170</v>
      </c>
      <c r="M146" s="27" t="n">
        <v>2.7</v>
      </c>
      <c r="N146" s="28" t="n">
        <v>0.37037</v>
      </c>
      <c r="O146" s="28" t="n">
        <v>0.532606</v>
      </c>
      <c r="P146" s="28" t="n">
        <v>0.05</v>
      </c>
      <c r="Q146" s="28" t="n">
        <v>0.162236</v>
      </c>
      <c r="R146" s="26" t="n">
        <v>100</v>
      </c>
      <c r="S146" s="29" t="n">
        <v>1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>
        <v>170</v>
      </c>
      <c r="AA146" s="28" t="n">
        <v>0.37</v>
      </c>
      <c r="AB146" s="28" t="n">
        <v>-0.00037</v>
      </c>
      <c r="AC146" s="30" t="n">
        <v>1.7</v>
      </c>
      <c r="AD146" s="24" t="inlineStr">
        <is>
          <t>2026-08-04T01:58:33.865194Z</t>
        </is>
      </c>
      <c r="AE146" s="31" t="inlineStr">
        <is>
          <t>Surface-blended Elo on Hard: Eva Lys p=0.467 vs Panna Udvardy. Executable ask 0.3700 (aec-wta-panudv-evalys-2026-08-02).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NO_CALL_LOW_EDGE</t>
        </is>
      </c>
      <c r="AP146" s="24" t="inlineStr">
        <is>
          <t>Eva Lys</t>
        </is>
      </c>
      <c r="AQ146" s="24" t="inlineStr">
        <is>
          <t>Eva Lys</t>
        </is>
      </c>
      <c r="AR146" s="24" t="inlineStr">
        <is>
          <t>Eva Lys</t>
        </is>
      </c>
      <c r="AS146" s="24" t="inlineStr">
        <is>
          <t>Panna Udvardy</t>
        </is>
      </c>
      <c r="AT146" s="24" t="inlineStr">
        <is>
          <t>Panna Udvardy</t>
        </is>
      </c>
      <c r="AU146" s="24" t="inlineStr">
        <is>
          <t>Panna Udvardy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60749ecfb3f1405f12fbceda11b7e64f2473d40dd327256f9da20b2146b6ae03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60749ecfb3f1405f12fbceda11b7e64f2473d40dd327256f9da20b2146b6ae03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60749ecfb3f1405f12fbceda11b7e64f2473d40dd327256f9da20b2146b6ae03</t>
        </is>
      </c>
      <c r="BH146" s="24" t="inlineStr">
        <is>
          <t>2026-08-03T19:52:41.243432Z</t>
        </is>
      </c>
      <c r="BI146" s="24" t="inlineStr">
        <is>
          <t>["same_event","same_team_same_day","same_league_same_day"]</t>
        </is>
      </c>
      <c r="BJ146" s="25" t="n"/>
      <c r="BK146" s="26" t="n">
        <v>170</v>
      </c>
      <c r="BL146" s="27" t="n">
        <v>2.7</v>
      </c>
      <c r="BM146" s="28" t="n">
        <v>0.37037</v>
      </c>
      <c r="BN146" s="28" t="n"/>
      <c r="BO146" s="28" t="n"/>
      <c r="BP146" s="25" t="n"/>
      <c r="BQ146" s="27" t="n">
        <v>2.7</v>
      </c>
      <c r="BR146" s="28" t="n">
        <v>0.37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</row>
    <row r="147" ht="36" customHeight="1">
      <c r="A147" s="24" t="inlineStr">
        <is>
          <t>c99512c3dfd34165</t>
        </is>
      </c>
      <c r="B147" s="24" t="inlineStr">
        <is>
          <t>2026-08-03T19:53:29.938738Z</t>
        </is>
      </c>
      <c r="C147" s="24" t="inlineStr">
        <is>
          <t>2026-08-03T22:30Z</t>
        </is>
      </c>
      <c r="D147" s="24" t="inlineStr">
        <is>
          <t>421-2026:182243</t>
        </is>
      </c>
      <c r="E147" s="24" t="inlineStr">
        <is>
          <t>TENNIS</t>
        </is>
      </c>
      <c r="F147" s="24" t="inlineStr">
        <is>
          <t>Sloane Stephens</t>
        </is>
      </c>
      <c r="G147" s="24" t="inlineStr">
        <is>
          <t>Solana Sierra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-117</v>
      </c>
      <c r="M147" s="27" t="n">
        <v>1.854701</v>
      </c>
      <c r="N147" s="28" t="n">
        <v>0.539171</v>
      </c>
      <c r="O147" s="28" t="n">
        <v>0.701639</v>
      </c>
      <c r="P147" s="28" t="n">
        <v>0.05</v>
      </c>
      <c r="Q147" s="28" t="n">
        <v>0.162468</v>
      </c>
      <c r="R147" s="26" t="n">
        <v>100</v>
      </c>
      <c r="S147" s="29" t="n">
        <v>2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-117</v>
      </c>
      <c r="AA147" s="28" t="n">
        <v>0.54</v>
      </c>
      <c r="AB147" s="28" t="n">
        <v>0.000829</v>
      </c>
      <c r="AC147" s="30" t="n">
        <v>-2</v>
      </c>
      <c r="AD147" s="24" t="inlineStr">
        <is>
          <t>2026-08-04T03:57:52.039552Z</t>
        </is>
      </c>
      <c r="AE147" s="31" t="inlineStr">
        <is>
          <t>Surface-blended Elo on Hard: Sloane Stephens p=0.298 vs Solana Sierra. Executable ask 0.5400 (aec-wta-solsie-sloste-2026-08-03).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Sloane Stephens</t>
        </is>
      </c>
      <c r="AQ147" s="24" t="inlineStr">
        <is>
          <t>Sloane Stephens</t>
        </is>
      </c>
      <c r="AR147" s="24" t="inlineStr">
        <is>
          <t>Sloane Stephens</t>
        </is>
      </c>
      <c r="AS147" s="24" t="inlineStr">
        <is>
          <t>Solana Sierra</t>
        </is>
      </c>
      <c r="AT147" s="24" t="inlineStr">
        <is>
          <t>Solana Sierra</t>
        </is>
      </c>
      <c r="AU147" s="24" t="inlineStr">
        <is>
          <t>Solana Sierra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60749ecfb3f1405f12fbceda11b7e64f2473d40dd327256f9da20b2146b6ae03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60749ecfb3f1405f12fbceda11b7e64f2473d40dd327256f9da20b2146b6ae03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60749ecfb3f1405f12fbceda11b7e64f2473d40dd327256f9da20b2146b6ae03</t>
        </is>
      </c>
      <c r="BH147" s="24" t="inlineStr">
        <is>
          <t>2026-08-03T19:52:44.196885Z</t>
        </is>
      </c>
      <c r="BI147" s="24" t="inlineStr">
        <is>
          <t>["same_event","same_team_same_day","same_league_same_day"]</t>
        </is>
      </c>
      <c r="BJ147" s="25" t="n"/>
      <c r="BK147" s="26" t="n">
        <v>-117</v>
      </c>
      <c r="BL147" s="27" t="n">
        <v>1.854701</v>
      </c>
      <c r="BM147" s="28" t="n">
        <v>0.539171</v>
      </c>
      <c r="BN147" s="28" t="n"/>
      <c r="BO147" s="28" t="n"/>
      <c r="BP147" s="25" t="n"/>
      <c r="BQ147" s="27" t="n">
        <v>1.854701</v>
      </c>
      <c r="BR147" s="28" t="n">
        <v>0.54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</row>
    <row r="148" ht="36" customHeight="1">
      <c r="A148" s="24" t="inlineStr">
        <is>
          <t>3f8d91f7160f44df</t>
        </is>
      </c>
      <c r="B148" s="24" t="inlineStr">
        <is>
          <t>2026-08-03T22:56:40.367668Z</t>
        </is>
      </c>
      <c r="C148" s="24" t="inlineStr">
        <is>
          <t>2026-08-03T23:00Z</t>
        </is>
      </c>
      <c r="D148" s="24" t="inlineStr">
        <is>
          <t>421-2026:182252</t>
        </is>
      </c>
      <c r="E148" s="24" t="inlineStr">
        <is>
          <t>TENNIS</t>
        </is>
      </c>
      <c r="F148" s="24" t="inlineStr">
        <is>
          <t>Zeynep Sonmez</t>
        </is>
      </c>
      <c r="G148" s="24" t="inlineStr">
        <is>
          <t>Rebecca Marino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-300</v>
      </c>
      <c r="M148" s="27" t="n">
        <v>1.333333</v>
      </c>
      <c r="N148" s="28" t="n">
        <v>0.75</v>
      </c>
      <c r="O148" s="28" t="n">
        <v>0.687948</v>
      </c>
      <c r="P148" s="28" t="n">
        <v>0.05</v>
      </c>
      <c r="Q148" s="28" t="n">
        <v>-0.062052</v>
      </c>
      <c r="R148" s="26" t="n">
        <v>0</v>
      </c>
      <c r="S148" s="29" t="n">
        <v>2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-300</v>
      </c>
      <c r="AA148" s="28" t="n">
        <v>0.75</v>
      </c>
      <c r="AB148" s="28" t="n">
        <v>0</v>
      </c>
      <c r="AC148" s="30" t="n">
        <v>0.6667</v>
      </c>
      <c r="AD148" s="24" t="inlineStr">
        <is>
          <t>2026-08-04T01:58:39.701811Z</t>
        </is>
      </c>
      <c r="AE148" s="31" t="inlineStr">
        <is>
          <t>Surface-blended Elo on Hard: Zeynep Sonmez p=0.688 vs Rebecca Marino. Executable ask 0.7500 (aec-wta-rebmar-zeyson-2026-08-03).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NO_CALL_LOW_EDGE</t>
        </is>
      </c>
      <c r="AP148" s="24" t="inlineStr">
        <is>
          <t>Zeynep Sonmez</t>
        </is>
      </c>
      <c r="AQ148" s="24" t="inlineStr">
        <is>
          <t>Zeynep Sonmez</t>
        </is>
      </c>
      <c r="AR148" s="24" t="inlineStr">
        <is>
          <t>Zeynep Sonmez</t>
        </is>
      </c>
      <c r="AS148" s="24" t="inlineStr">
        <is>
          <t>Rebecca Marino</t>
        </is>
      </c>
      <c r="AT148" s="24" t="inlineStr">
        <is>
          <t>Rebecca Marino</t>
        </is>
      </c>
      <c r="AU148" s="24" t="inlineStr">
        <is>
          <t>Rebecca Marino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60749ecfb3f1405f12fbceda11b7e64f2473d40dd327256f9da20b2146b6ae03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60749ecfb3f1405f12fbceda11b7e64f2473d40dd327256f9da20b2146b6ae03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60749ecfb3f1405f12fbceda11b7e64f2473d40dd327256f9da20b2146b6ae03</t>
        </is>
      </c>
      <c r="BH148" s="24" t="inlineStr">
        <is>
          <t>2026-08-03T22:56:09.703406Z</t>
        </is>
      </c>
      <c r="BI148" s="24" t="inlineStr">
        <is>
          <t>["same_event","same_team_same_day","same_league_same_day"]</t>
        </is>
      </c>
      <c r="BJ148" s="25" t="n"/>
      <c r="BK148" s="26" t="n">
        <v>-300</v>
      </c>
      <c r="BL148" s="27" t="n">
        <v>1.333333</v>
      </c>
      <c r="BM148" s="28" t="n">
        <v>0.75</v>
      </c>
      <c r="BN148" s="28" t="n"/>
      <c r="BO148" s="28" t="n"/>
      <c r="BP148" s="25" t="n"/>
      <c r="BQ148" s="27" t="n">
        <v>1.333333</v>
      </c>
      <c r="BR148" s="28" t="n">
        <v>0.75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404a73830d834cd6</t>
        </is>
      </c>
      <c r="B149" s="24" t="inlineStr">
        <is>
          <t>2026-08-03T22:56:40.367668Z</t>
        </is>
      </c>
      <c r="C149" s="24" t="inlineStr">
        <is>
          <t>2026-08-04T00:30Z</t>
        </is>
      </c>
      <c r="D149" s="24" t="inlineStr">
        <is>
          <t>421-2026:182267</t>
        </is>
      </c>
      <c r="E149" s="24" t="inlineStr">
        <is>
          <t>TENNIS</t>
        </is>
      </c>
      <c r="F149" s="24" t="inlineStr">
        <is>
          <t>Daria Kasatkina</t>
        </is>
      </c>
      <c r="G149" s="24" t="inlineStr">
        <is>
          <t>Wang Xinyu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-104</v>
      </c>
      <c r="M149" s="27" t="n">
        <v>1.961538</v>
      </c>
      <c r="N149" s="28" t="n">
        <v>0.509804</v>
      </c>
      <c r="O149" s="28" t="n">
        <v>0.524111</v>
      </c>
      <c r="P149" s="28" t="n">
        <v>0.05</v>
      </c>
      <c r="Q149" s="28" t="n">
        <v>0.014307</v>
      </c>
      <c r="R149" s="26" t="n">
        <v>27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-104</v>
      </c>
      <c r="AA149" s="28" t="n">
        <v>0.51</v>
      </c>
      <c r="AB149" s="28" t="n">
        <v>0.000196</v>
      </c>
      <c r="AC149" s="30" t="n">
        <v>0.9615</v>
      </c>
      <c r="AD149" s="24" t="inlineStr">
        <is>
          <t>2026-08-04T03:58:07.060448Z</t>
        </is>
      </c>
      <c r="AE149" s="31" t="inlineStr">
        <is>
          <t>Surface-blended Elo on Hard: Daria Kasatkina p=0.524 vs Wang Xinyu. Executable ask 0.5100 (aec-wta-xinwan-darkas-2026-08-02).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NO_CALL_LOW_EDGE</t>
        </is>
      </c>
      <c r="AP149" s="24" t="inlineStr">
        <is>
          <t>Daria Kasatkina</t>
        </is>
      </c>
      <c r="AQ149" s="24" t="inlineStr">
        <is>
          <t>Daria Kasatkina</t>
        </is>
      </c>
      <c r="AR149" s="24" t="inlineStr">
        <is>
          <t>Daria Kasatkina</t>
        </is>
      </c>
      <c r="AS149" s="24" t="inlineStr">
        <is>
          <t>Wang Xinyu</t>
        </is>
      </c>
      <c r="AT149" s="24" t="inlineStr">
        <is>
          <t>Wang Xinyu</t>
        </is>
      </c>
      <c r="AU149" s="24" t="inlineStr">
        <is>
          <t>Wang Xinyu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60749ecfb3f1405f12fbceda11b7e64f2473d40dd327256f9da20b2146b6ae03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60749ecfb3f1405f12fbceda11b7e64f2473d40dd327256f9da20b2146b6ae03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60749ecfb3f1405f12fbceda11b7e64f2473d40dd327256f9da20b2146b6ae03</t>
        </is>
      </c>
      <c r="BH149" s="24" t="inlineStr">
        <is>
          <t>2026-08-03T22:56:10.108615Z</t>
        </is>
      </c>
      <c r="BI149" s="24" t="inlineStr">
        <is>
          <t>["same_event","same_team_same_day","same_league_same_day"]</t>
        </is>
      </c>
      <c r="BJ149" s="25" t="n"/>
      <c r="BK149" s="26" t="n">
        <v>-104</v>
      </c>
      <c r="BL149" s="27" t="n">
        <v>1.961538</v>
      </c>
      <c r="BM149" s="28" t="n">
        <v>0.509804</v>
      </c>
      <c r="BN149" s="28" t="n"/>
      <c r="BO149" s="28" t="n"/>
      <c r="BP149" s="25" t="n"/>
      <c r="BQ149" s="27" t="n">
        <v>1.961538</v>
      </c>
      <c r="BR149" s="28" t="n">
        <v>0.51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</row>
    <row r="150" ht="36" customHeight="1">
      <c r="A150" s="24" t="inlineStr">
        <is>
          <t>6dc437d9e91b474e</t>
        </is>
      </c>
      <c r="B150" s="24" t="inlineStr">
        <is>
          <t>2026-08-03T22:56:40.367668Z</t>
        </is>
      </c>
      <c r="C150" s="24" t="inlineStr">
        <is>
          <t>2026-08-04T00:30Z</t>
        </is>
      </c>
      <c r="D150" s="24" t="inlineStr">
        <is>
          <t>421-2026:181817</t>
        </is>
      </c>
      <c r="E150" s="24" t="inlineStr">
        <is>
          <t>TENNIS</t>
        </is>
      </c>
      <c r="F150" s="24" t="inlineStr">
        <is>
          <t>Gael Monfils</t>
        </is>
      </c>
      <c r="G150" s="24" t="inlineStr">
        <is>
          <t>Kamil Majchrzak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-285</v>
      </c>
      <c r="M150" s="27" t="n">
        <v>1.350877</v>
      </c>
      <c r="N150" s="28" t="n">
        <v>0.74026</v>
      </c>
      <c r="O150" s="28" t="n">
        <v>0.679751</v>
      </c>
      <c r="P150" s="28" t="n">
        <v>0.05</v>
      </c>
      <c r="Q150" s="28" t="n">
        <v>-0.060509</v>
      </c>
      <c r="R150" s="26" t="n">
        <v>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-285</v>
      </c>
      <c r="AA150" s="28" t="n">
        <v>0.74</v>
      </c>
      <c r="AB150" s="28" t="n">
        <v>-0.00026</v>
      </c>
      <c r="AC150" s="30" t="n">
        <v>-1.75</v>
      </c>
      <c r="AD150" s="24" t="inlineStr">
        <is>
          <t>2026-08-04T03:58:07.952035Z</t>
        </is>
      </c>
      <c r="AE150" s="31" t="inlineStr">
        <is>
          <t>Surface-blended Elo on Hard: Gael Monfils p=0.320 vs Kamil Majchrzak. Executable ask 0.7400 (aec-atp-kammaj-gaemon-2026-08-03).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NO_CALL_LOW_EDGE</t>
        </is>
      </c>
      <c r="AP150" s="24" t="inlineStr">
        <is>
          <t>Gael Monfils</t>
        </is>
      </c>
      <c r="AQ150" s="24" t="inlineStr">
        <is>
          <t>Gael Monfils</t>
        </is>
      </c>
      <c r="AR150" s="24" t="inlineStr">
        <is>
          <t>Gael Monfils</t>
        </is>
      </c>
      <c r="AS150" s="24" t="inlineStr">
        <is>
          <t>Kamil Majchrzak</t>
        </is>
      </c>
      <c r="AT150" s="24" t="inlineStr">
        <is>
          <t>Kamil Majchrzak</t>
        </is>
      </c>
      <c r="AU150" s="24" t="inlineStr">
        <is>
          <t>Kamil Majchrzak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60749ecfb3f1405f12fbceda11b7e64f2473d40dd327256f9da20b2146b6ae03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60749ecfb3f1405f12fbceda11b7e64f2473d40dd327256f9da20b2146b6ae03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60749ecfb3f1405f12fbceda11b7e64f2473d40dd327256f9da20b2146b6ae03</t>
        </is>
      </c>
      <c r="BH150" s="24" t="inlineStr">
        <is>
          <t>2026-08-03T22:56:20.392064Z</t>
        </is>
      </c>
      <c r="BI150" s="24" t="inlineStr">
        <is>
          <t>["same_event","same_team_same_day","same_league_same_day"]</t>
        </is>
      </c>
      <c r="BJ150" s="25" t="n"/>
      <c r="BK150" s="26" t="n">
        <v>-285</v>
      </c>
      <c r="BL150" s="27" t="n">
        <v>1.350877</v>
      </c>
      <c r="BM150" s="28" t="n">
        <v>0.74026</v>
      </c>
      <c r="BN150" s="28" t="n"/>
      <c r="BO150" s="28" t="n"/>
      <c r="BP150" s="25" t="n"/>
      <c r="BQ150" s="27" t="n">
        <v>1.350877</v>
      </c>
      <c r="BR150" s="28" t="n">
        <v>0.74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</row>
    <row r="151" ht="36" customHeight="1">
      <c r="A151" s="24" t="inlineStr">
        <is>
          <t>b89c107ad5ba4209</t>
        </is>
      </c>
      <c r="B151" s="24" t="inlineStr">
        <is>
          <t>2026-08-04T08:54:59.561456Z</t>
        </is>
      </c>
      <c r="C151" s="24" t="inlineStr">
        <is>
          <t>2026-08-04T09:00Z</t>
        </is>
      </c>
      <c r="D151" s="24" t="inlineStr">
        <is>
          <t>961-2026:182094</t>
        </is>
      </c>
      <c r="E151" s="24" t="inlineStr">
        <is>
          <t>TENNIS</t>
        </is>
      </c>
      <c r="F151" s="24" t="inlineStr">
        <is>
          <t>Justina Mikulskyte</t>
        </is>
      </c>
      <c r="G151" s="24" t="inlineStr">
        <is>
          <t>Weronika Ewald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127</v>
      </c>
      <c r="M151" s="27" t="n">
        <v>2.27</v>
      </c>
      <c r="N151" s="28" t="n">
        <v>0.440529</v>
      </c>
      <c r="O151" s="28" t="n">
        <v>0.589516</v>
      </c>
      <c r="P151" s="28" t="n">
        <v>0.05</v>
      </c>
      <c r="Q151" s="28" t="n">
        <v>0.148987</v>
      </c>
      <c r="R151" s="26" t="n">
        <v>94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>
        <v>127</v>
      </c>
      <c r="AA151" s="28" t="n">
        <v>0.44</v>
      </c>
      <c r="AB151" s="28" t="n">
        <v>-0.000529</v>
      </c>
      <c r="AC151" s="30" t="n">
        <v>-1.25</v>
      </c>
      <c r="AD151" s="24" t="inlineStr">
        <is>
          <t>2026-08-04T11:57:31.690972Z</t>
        </is>
      </c>
      <c r="AE151" s="31" t="inlineStr">
        <is>
          <t>Surface-blended Elo on Hard: Justina Mikulskyte p=0.410 vs Weronika Ewald. Executable ask 0.4400 (aec-wta-werewa-jusmik-2026-08-03).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Justina Mikulskyte</t>
        </is>
      </c>
      <c r="AQ151" s="24" t="inlineStr">
        <is>
          <t>Justina Mikulskyte</t>
        </is>
      </c>
      <c r="AR151" s="24" t="inlineStr">
        <is>
          <t>Justina Mikulskyte</t>
        </is>
      </c>
      <c r="AS151" s="24" t="inlineStr">
        <is>
          <t>Weronika Ewald</t>
        </is>
      </c>
      <c r="AT151" s="24" t="inlineStr">
        <is>
          <t>Weronika Ewald</t>
        </is>
      </c>
      <c r="AU151" s="24" t="inlineStr">
        <is>
          <t>Weronika Ewald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60749ecfb3f1405f12fbceda11b7e64f2473d40dd327256f9da20b2146b6ae03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60749ecfb3f1405f12fbceda11b7e64f2473d40dd327256f9da20b2146b6ae03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60749ecfb3f1405f12fbceda11b7e64f2473d40dd327256f9da20b2146b6ae03</t>
        </is>
      </c>
      <c r="BH151" s="24" t="inlineStr">
        <is>
          <t>2026-08-04T08:53:31.682126Z</t>
        </is>
      </c>
      <c r="BI151" s="24" t="inlineStr">
        <is>
          <t>["same_event","same_team_same_day","same_league_same_day"]</t>
        </is>
      </c>
      <c r="BJ151" s="25" t="n"/>
      <c r="BK151" s="26" t="n">
        <v>127</v>
      </c>
      <c r="BL151" s="27" t="n">
        <v>2.27</v>
      </c>
      <c r="BM151" s="28" t="n">
        <v>0.440529</v>
      </c>
      <c r="BN151" s="28" t="n"/>
      <c r="BO151" s="28" t="n"/>
      <c r="BP151" s="25" t="n"/>
      <c r="BQ151" s="27" t="n">
        <v>2.27</v>
      </c>
      <c r="BR151" s="28" t="n">
        <v>0.44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</row>
    <row r="152" ht="36" customHeight="1">
      <c r="A152" s="24" t="inlineStr">
        <is>
          <t>8612244b5fd64414</t>
        </is>
      </c>
      <c r="B152" s="24" t="inlineStr">
        <is>
          <t>2026-08-04T08:54:59.561456Z</t>
        </is>
      </c>
      <c r="C152" s="24" t="inlineStr">
        <is>
          <t>2026-08-04T09:00Z</t>
        </is>
      </c>
      <c r="D152" s="24" t="inlineStr">
        <is>
          <t>961-2026:182089</t>
        </is>
      </c>
      <c r="E152" s="24" t="inlineStr">
        <is>
          <t>TENNIS</t>
        </is>
      </c>
      <c r="F152" s="24" t="inlineStr">
        <is>
          <t>Carol Young Suh Lee</t>
        </is>
      </c>
      <c r="G152" s="24" t="inlineStr">
        <is>
          <t>Elsa Jacquemot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-163</v>
      </c>
      <c r="M152" s="27" t="n">
        <v>1.613497</v>
      </c>
      <c r="N152" s="28" t="n">
        <v>0.619772</v>
      </c>
      <c r="O152" s="28" t="n">
        <v>0.60078</v>
      </c>
      <c r="P152" s="28" t="n">
        <v>0.05</v>
      </c>
      <c r="Q152" s="28" t="n">
        <v>-0.018992</v>
      </c>
      <c r="R152" s="26" t="n">
        <v>11</v>
      </c>
      <c r="S152" s="29" t="n">
        <v>1.25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-163</v>
      </c>
      <c r="AA152" s="28" t="n">
        <v>0.62</v>
      </c>
      <c r="AB152" s="28" t="n">
        <v>0.000228</v>
      </c>
      <c r="AC152" s="30" t="n">
        <v>0.7669</v>
      </c>
      <c r="AD152" s="24" t="inlineStr">
        <is>
          <t>2026-08-04T11:57:32.547692Z</t>
        </is>
      </c>
      <c r="AE152" s="31" t="inlineStr">
        <is>
          <t>Surface-blended Elo on Hard: Carol Young Suh Lee p=0.601 vs Elsa Jacquemot. Executable ask 0.6200 (aec-wta-elsjac-carlee-2026-08-03).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NO_CALL_LOW_EDGE</t>
        </is>
      </c>
      <c r="AP152" s="24" t="inlineStr">
        <is>
          <t>Carol Young Suh Lee</t>
        </is>
      </c>
      <c r="AQ152" s="24" t="inlineStr">
        <is>
          <t>Carol Young Suh Lee</t>
        </is>
      </c>
      <c r="AR152" s="24" t="inlineStr">
        <is>
          <t>Carol Young Suh Lee</t>
        </is>
      </c>
      <c r="AS152" s="24" t="inlineStr">
        <is>
          <t>Elsa Jacquemot</t>
        </is>
      </c>
      <c r="AT152" s="24" t="inlineStr">
        <is>
          <t>Elsa Jacquemot</t>
        </is>
      </c>
      <c r="AU152" s="24" t="inlineStr">
        <is>
          <t>Elsa Jacquemot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60749ecfb3f1405f12fbceda11b7e64f2473d40dd327256f9da20b2146b6ae03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60749ecfb3f1405f12fbceda11b7e64f2473d40dd327256f9da20b2146b6ae03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60749ecfb3f1405f12fbceda11b7e64f2473d40dd327256f9da20b2146b6ae03</t>
        </is>
      </c>
      <c r="BH152" s="24" t="inlineStr">
        <is>
          <t>2026-08-04T08:53:31.683641Z</t>
        </is>
      </c>
      <c r="BI152" s="24" t="inlineStr">
        <is>
          <t>["same_event","same_team_same_day","same_league_same_day"]</t>
        </is>
      </c>
      <c r="BJ152" s="25" t="n"/>
      <c r="BK152" s="26" t="n">
        <v>-163</v>
      </c>
      <c r="BL152" s="27" t="n">
        <v>1.613497</v>
      </c>
      <c r="BM152" s="28" t="n">
        <v>0.619772</v>
      </c>
      <c r="BN152" s="28" t="n"/>
      <c r="BO152" s="28" t="n"/>
      <c r="BP152" s="25" t="n"/>
      <c r="BQ152" s="27" t="n">
        <v>1.613497</v>
      </c>
      <c r="BR152" s="28" t="n">
        <v>0.62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</row>
    <row r="153" ht="36" customHeight="1">
      <c r="A153" s="24" t="inlineStr">
        <is>
          <t>a89260ea60b44bd5</t>
        </is>
      </c>
      <c r="B153" s="24" t="inlineStr">
        <is>
          <t>2026-08-04T08:54:59.561456Z</t>
        </is>
      </c>
      <c r="C153" s="24" t="inlineStr">
        <is>
          <t>2026-08-04T09:00Z</t>
        </is>
      </c>
      <c r="D153" s="24" t="inlineStr">
        <is>
          <t>961-2026:182083</t>
        </is>
      </c>
      <c r="E153" s="24" t="inlineStr">
        <is>
          <t>TENNIS</t>
        </is>
      </c>
      <c r="F153" s="24" t="inlineStr">
        <is>
          <t>Susan Bandecchi</t>
        </is>
      </c>
      <c r="G153" s="24" t="inlineStr">
        <is>
          <t>Viktoria Hruncakova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100</v>
      </c>
      <c r="M153" s="27" t="n">
        <v>2</v>
      </c>
      <c r="N153" s="28" t="n">
        <v>0.5</v>
      </c>
      <c r="O153" s="28" t="n">
        <v>0.548768</v>
      </c>
      <c r="P153" s="28" t="n">
        <v>0.05</v>
      </c>
      <c r="Q153" s="28" t="n">
        <v>0.048768</v>
      </c>
      <c r="R153" s="26" t="n">
        <v>44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100</v>
      </c>
      <c r="AA153" s="28" t="n">
        <v>0.5</v>
      </c>
      <c r="AB153" s="28" t="n">
        <v>0</v>
      </c>
      <c r="AC153" s="30" t="n">
        <v>1</v>
      </c>
      <c r="AD153" s="24" t="inlineStr">
        <is>
          <t>2026-08-04T11:57:33.428422Z</t>
        </is>
      </c>
      <c r="AE153" s="31" t="inlineStr">
        <is>
          <t>Surface-blended Elo on Hard: Susan Bandecchi p=0.549 vs Viktoria Hruncakova. Executable ask 0.5000 (aec-wta-vikhru-susban-2026-08-03).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NO_CALL_LOW_EDGE</t>
        </is>
      </c>
      <c r="AP153" s="24" t="inlineStr">
        <is>
          <t>Susan Bandecchi</t>
        </is>
      </c>
      <c r="AQ153" s="24" t="inlineStr">
        <is>
          <t>Susan Bandecchi</t>
        </is>
      </c>
      <c r="AR153" s="24" t="inlineStr">
        <is>
          <t>Susan Bandecchi</t>
        </is>
      </c>
      <c r="AS153" s="24" t="inlineStr">
        <is>
          <t>Viktoria Hruncakova</t>
        </is>
      </c>
      <c r="AT153" s="24" t="inlineStr">
        <is>
          <t>Viktoria Hruncakova</t>
        </is>
      </c>
      <c r="AU153" s="24" t="inlineStr">
        <is>
          <t>Viktoria Hruncakova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60749ecfb3f1405f12fbceda11b7e64f2473d40dd327256f9da20b2146b6ae03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60749ecfb3f1405f12fbceda11b7e64f2473d40dd327256f9da20b2146b6ae03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60749ecfb3f1405f12fbceda11b7e64f2473d40dd327256f9da20b2146b6ae03</t>
        </is>
      </c>
      <c r="BH153" s="24" t="inlineStr">
        <is>
          <t>2026-08-04T08:53:31.509930Z</t>
        </is>
      </c>
      <c r="BI153" s="24" t="inlineStr">
        <is>
          <t>["same_event","same_team_same_day","same_league_same_day"]</t>
        </is>
      </c>
      <c r="BJ153" s="25" t="n"/>
      <c r="BK153" s="26" t="n">
        <v>100</v>
      </c>
      <c r="BL153" s="27" t="n">
        <v>2</v>
      </c>
      <c r="BM153" s="28" t="n">
        <v>0.5</v>
      </c>
      <c r="BN153" s="28" t="n"/>
      <c r="BO153" s="28" t="n"/>
      <c r="BP153" s="25" t="n"/>
      <c r="BQ153" s="27" t="n">
        <v>2</v>
      </c>
      <c r="BR153" s="28" t="n">
        <v>0.5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</row>
    <row r="154" ht="36" customHeight="1">
      <c r="A154" s="24" t="inlineStr">
        <is>
          <t>1b49058ee90f436d</t>
        </is>
      </c>
      <c r="B154" s="24" t="inlineStr">
        <is>
          <t>2026-08-04T08:54:59.561456Z</t>
        </is>
      </c>
      <c r="C154" s="24" t="inlineStr">
        <is>
          <t>2026-08-04T10:30Z</t>
        </is>
      </c>
      <c r="D154" s="24" t="inlineStr">
        <is>
          <t>961-2026:182091</t>
        </is>
      </c>
      <c r="E154" s="24" t="inlineStr">
        <is>
          <t>TENNIS</t>
        </is>
      </c>
      <c r="F154" s="24" t="inlineStr">
        <is>
          <t>Vendula Valdmannova</t>
        </is>
      </c>
      <c r="G154" s="24" t="inlineStr">
        <is>
          <t>Marcelina Podlinska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-525</v>
      </c>
      <c r="M154" s="27" t="n">
        <v>1.190476</v>
      </c>
      <c r="N154" s="28" t="n">
        <v>0.84</v>
      </c>
      <c r="O154" s="28" t="n">
        <v>0.601999</v>
      </c>
      <c r="P154" s="28" t="n">
        <v>0.05</v>
      </c>
      <c r="Q154" s="28" t="n">
        <v>-0.238001</v>
      </c>
      <c r="R154" s="26" t="n">
        <v>0</v>
      </c>
      <c r="S154" s="29" t="n">
        <v>1.25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-525</v>
      </c>
      <c r="AA154" s="28" t="n">
        <v>0.84</v>
      </c>
      <c r="AB154" s="28" t="n">
        <v>0</v>
      </c>
      <c r="AC154" s="30" t="n">
        <v>0.2381</v>
      </c>
      <c r="AD154" s="24" t="inlineStr">
        <is>
          <t>2026-08-04T14:02:58.204431Z</t>
        </is>
      </c>
      <c r="AE154" s="31" t="inlineStr">
        <is>
          <t>Surface-blended Elo on Hard: Vendula Valdmannova p=0.602 vs Marcelina Podlinska. Executable ask 0.8400 (aec-wta-marpod-venval-2026-08-04).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Vendula Valdmannova</t>
        </is>
      </c>
      <c r="AQ154" s="24" t="inlineStr">
        <is>
          <t>Vendula Valdmannova</t>
        </is>
      </c>
      <c r="AR154" s="24" t="inlineStr">
        <is>
          <t>Vendula Valdmannova</t>
        </is>
      </c>
      <c r="AS154" s="24" t="inlineStr">
        <is>
          <t>Marcelina Podlinska</t>
        </is>
      </c>
      <c r="AT154" s="24" t="inlineStr">
        <is>
          <t>Marcelina Podlinska</t>
        </is>
      </c>
      <c r="AU154" s="24" t="inlineStr">
        <is>
          <t>Marcelina Podlinska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60749ecfb3f1405f12fbceda11b7e64f2473d40dd327256f9da20b2146b6ae03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60749ecfb3f1405f12fbceda11b7e64f2473d40dd327256f9da20b2146b6ae03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60749ecfb3f1405f12fbceda11b7e64f2473d40dd327256f9da20b2146b6ae03</t>
        </is>
      </c>
      <c r="BH154" s="24" t="inlineStr">
        <is>
          <t>2026-08-04T08:53:31.401094Z</t>
        </is>
      </c>
      <c r="BI154" s="24" t="inlineStr">
        <is>
          <t>["same_event","same_team_same_day","same_league_same_day"]</t>
        </is>
      </c>
      <c r="BJ154" s="25" t="n"/>
      <c r="BK154" s="26" t="n">
        <v>-525</v>
      </c>
      <c r="BL154" s="27" t="n">
        <v>1.190476</v>
      </c>
      <c r="BM154" s="28" t="n">
        <v>0.84</v>
      </c>
      <c r="BN154" s="28" t="n"/>
      <c r="BO154" s="28" t="n"/>
      <c r="BP154" s="25" t="n"/>
      <c r="BQ154" s="27" t="n">
        <v>1.190476</v>
      </c>
      <c r="BR154" s="28" t="n">
        <v>0.84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</row>
    <row r="155" ht="36" customHeight="1">
      <c r="A155" s="24" t="inlineStr">
        <is>
          <t>947f11183dd046dd</t>
        </is>
      </c>
      <c r="B155" s="24" t="inlineStr">
        <is>
          <t>2026-08-04T08:54:59.561456Z</t>
        </is>
      </c>
      <c r="C155" s="24" t="inlineStr">
        <is>
          <t>2026-08-04T10:30Z</t>
        </is>
      </c>
      <c r="D155" s="24" t="inlineStr">
        <is>
          <t>961-2026:182092</t>
        </is>
      </c>
      <c r="E155" s="24" t="inlineStr">
        <is>
          <t>TENNIS</t>
        </is>
      </c>
      <c r="F155" s="24" t="inlineStr">
        <is>
          <t>Ella Seidel</t>
        </is>
      </c>
      <c r="G155" s="24" t="inlineStr">
        <is>
          <t>Dalma Galfi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0.511713</v>
      </c>
      <c r="P155" s="28" t="n">
        <v>0.05</v>
      </c>
      <c r="Q155" s="28" t="n">
        <v>0.011713</v>
      </c>
      <c r="R155" s="26" t="n">
        <v>26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100</v>
      </c>
      <c r="AA155" s="28" t="n">
        <v>0.5</v>
      </c>
      <c r="AB155" s="28" t="n">
        <v>0</v>
      </c>
      <c r="AC155" s="30" t="n">
        <v>-1</v>
      </c>
      <c r="AD155" s="24" t="inlineStr">
        <is>
          <t>2026-08-04T14:02:59.155087Z</t>
        </is>
      </c>
      <c r="AE155" s="31" t="inlineStr">
        <is>
          <t>Surface-blended Elo on Hard: Ella Seidel p=0.488 vs Dalma Galfi. Executable ask 0.5000 (aec-wta-dalgal-ellsei-2026-08-03).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NO_CALL_LOW_EDGE</t>
        </is>
      </c>
      <c r="AP155" s="24" t="inlineStr">
        <is>
          <t>Ella Seidel</t>
        </is>
      </c>
      <c r="AQ155" s="24" t="inlineStr">
        <is>
          <t>Ella Seidel</t>
        </is>
      </c>
      <c r="AR155" s="24" t="inlineStr">
        <is>
          <t>Ella Seidel</t>
        </is>
      </c>
      <c r="AS155" s="24" t="inlineStr">
        <is>
          <t>Dalma Galfi</t>
        </is>
      </c>
      <c r="AT155" s="24" t="inlineStr">
        <is>
          <t>Dalma Galfi</t>
        </is>
      </c>
      <c r="AU155" s="24" t="inlineStr">
        <is>
          <t>Dalma Galfi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60749ecfb3f1405f12fbceda11b7e64f2473d40dd327256f9da20b2146b6ae03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60749ecfb3f1405f12fbceda11b7e64f2473d40dd327256f9da20b2146b6ae03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60749ecfb3f1405f12fbceda11b7e64f2473d40dd327256f9da20b2146b6ae03</t>
        </is>
      </c>
      <c r="BH155" s="24" t="inlineStr">
        <is>
          <t>2026-08-04T08:53:31.615874Z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f525da2ffd0e4936</t>
        </is>
      </c>
      <c r="B156" s="24" t="inlineStr">
        <is>
          <t>2026-08-04T08:54:59.561456Z</t>
        </is>
      </c>
      <c r="C156" s="24" t="inlineStr">
        <is>
          <t>2026-08-04T10:30Z</t>
        </is>
      </c>
      <c r="D156" s="24" t="inlineStr">
        <is>
          <t>961-2026:182088</t>
        </is>
      </c>
      <c r="E156" s="24" t="inlineStr">
        <is>
          <t>TENNIS</t>
        </is>
      </c>
      <c r="F156" s="24" t="inlineStr">
        <is>
          <t>Elizara Yaneva</t>
        </is>
      </c>
      <c r="G156" s="24" t="inlineStr">
        <is>
          <t>Linda Klimovicova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-104</v>
      </c>
      <c r="M156" s="27" t="n">
        <v>1.961538</v>
      </c>
      <c r="N156" s="28" t="n">
        <v>0.509804</v>
      </c>
      <c r="O156" s="28" t="n">
        <v>0.578623</v>
      </c>
      <c r="P156" s="28" t="n">
        <v>0.05</v>
      </c>
      <c r="Q156" s="28" t="n">
        <v>0.06881900000000001</v>
      </c>
      <c r="R156" s="26" t="n">
        <v>54</v>
      </c>
      <c r="S156" s="29" t="n">
        <v>1.25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1</v>
      </c>
      <c r="X156" s="26" t="n">
        <v>0</v>
      </c>
      <c r="Y156" s="25" t="n"/>
      <c r="Z156" s="26" t="n">
        <v>-104</v>
      </c>
      <c r="AA156" s="28" t="n">
        <v>0.51</v>
      </c>
      <c r="AB156" s="28" t="n">
        <v>0.000196</v>
      </c>
      <c r="AC156" s="30" t="n">
        <v>-1.25</v>
      </c>
      <c r="AD156" s="24" t="inlineStr">
        <is>
          <t>2026-08-04T14:03:00.110823Z</t>
        </is>
      </c>
      <c r="AE156" s="31" t="inlineStr">
        <is>
          <t>Surface-blended Elo on Hard: Elizara Yaneva p=0.421 vs Linda Klimovicova. Executable ask 0.5100 (aec-wta-linkli-eliyan-2026-08-03).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Elizara Yaneva</t>
        </is>
      </c>
      <c r="AQ156" s="24" t="inlineStr">
        <is>
          <t>Elizara Yaneva</t>
        </is>
      </c>
      <c r="AR156" s="24" t="inlineStr">
        <is>
          <t>Elizara Yaneva</t>
        </is>
      </c>
      <c r="AS156" s="24" t="inlineStr">
        <is>
          <t>Linda Klimovicova</t>
        </is>
      </c>
      <c r="AT156" s="24" t="inlineStr">
        <is>
          <t>Linda Klimovicova</t>
        </is>
      </c>
      <c r="AU156" s="24" t="inlineStr">
        <is>
          <t>Linda Klimovicova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60749ecfb3f1405f12fbceda11b7e64f2473d40dd327256f9da20b2146b6ae03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60749ecfb3f1405f12fbceda11b7e64f2473d40dd327256f9da20b2146b6ae03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60749ecfb3f1405f12fbceda11b7e64f2473d40dd327256f9da20b2146b6ae03</t>
        </is>
      </c>
      <c r="BH156" s="24" t="inlineStr">
        <is>
          <t>2026-08-04T08:53:31.464146Z</t>
        </is>
      </c>
      <c r="BI156" s="24" t="inlineStr">
        <is>
          <t>["same_event","same_team_same_day","same_league_same_day"]</t>
        </is>
      </c>
      <c r="BJ156" s="25" t="n"/>
      <c r="BK156" s="26" t="n">
        <v>-104</v>
      </c>
      <c r="BL156" s="27" t="n">
        <v>1.961538</v>
      </c>
      <c r="BM156" s="28" t="n">
        <v>0.509804</v>
      </c>
      <c r="BN156" s="28" t="n"/>
      <c r="BO156" s="28" t="n"/>
      <c r="BP156" s="25" t="n"/>
      <c r="BQ156" s="27" t="n">
        <v>1.961538</v>
      </c>
      <c r="BR156" s="28" t="n">
        <v>0.51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</row>
    <row r="157" ht="36" customHeight="1">
      <c r="A157" s="24" t="inlineStr">
        <is>
          <t>4d47856d25dc49a4</t>
        </is>
      </c>
      <c r="B157" s="24" t="inlineStr">
        <is>
          <t>2026-08-04T12:00:14.325736Z</t>
        </is>
      </c>
      <c r="C157" s="24" t="inlineStr">
        <is>
          <t>2026-08-04T12:20Z</t>
        </is>
      </c>
      <c r="D157" s="24" t="inlineStr">
        <is>
          <t>961-2026:182096</t>
        </is>
      </c>
      <c r="E157" s="24" t="inlineStr">
        <is>
          <t>TENNIS</t>
        </is>
      </c>
      <c r="F157" s="24" t="inlineStr">
        <is>
          <t>Sofia Costoulas</t>
        </is>
      </c>
      <c r="G157" s="24" t="inlineStr">
        <is>
          <t>Gabriela Knutson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-170</v>
      </c>
      <c r="M157" s="27" t="n">
        <v>1.588235</v>
      </c>
      <c r="N157" s="28" t="n">
        <v>0.62963</v>
      </c>
      <c r="O157" s="28" t="n">
        <v>0.5347150000000001</v>
      </c>
      <c r="P157" s="28" t="n">
        <v>0.05</v>
      </c>
      <c r="Q157" s="28" t="n">
        <v>-0.094915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loss</t>
        </is>
      </c>
      <c r="W157" s="26" t="n">
        <v>0</v>
      </c>
      <c r="X157" s="26" t="n">
        <v>1</v>
      </c>
      <c r="Y157" s="25" t="n"/>
      <c r="Z157" s="26" t="n">
        <v>-170</v>
      </c>
      <c r="AA157" s="28" t="n">
        <v>0.63</v>
      </c>
      <c r="AB157" s="28" t="n">
        <v>0.00037</v>
      </c>
      <c r="AC157" s="30" t="n">
        <v>-1</v>
      </c>
      <c r="AD157" s="24" t="inlineStr">
        <is>
          <t>2026-08-04T14:03:01.006466Z</t>
        </is>
      </c>
      <c r="AE157" s="31" t="inlineStr">
        <is>
          <t>Surface-blended Elo on Hard: Sofia Costoulas p=0.535 vs Gabriela Knutson. Executable ask 0.6300 (aec-wta-gabknu-sofcos-2026-08-03).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NO_CALL_LOW_EDGE</t>
        </is>
      </c>
      <c r="AP157" s="24" t="inlineStr">
        <is>
          <t>Sofia Costoulas</t>
        </is>
      </c>
      <c r="AQ157" s="24" t="inlineStr">
        <is>
          <t>Sofia Costoulas</t>
        </is>
      </c>
      <c r="AR157" s="24" t="inlineStr">
        <is>
          <t>Sofia Costoulas</t>
        </is>
      </c>
      <c r="AS157" s="24" t="inlineStr">
        <is>
          <t>Gabriela Knutson</t>
        </is>
      </c>
      <c r="AT157" s="24" t="inlineStr">
        <is>
          <t>Gabriela Knutson</t>
        </is>
      </c>
      <c r="AU157" s="24" t="inlineStr">
        <is>
          <t>Gabriela Knutson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60749ecfb3f1405f12fbceda11b7e64f2473d40dd327256f9da20b2146b6ae03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60749ecfb3f1405f12fbceda11b7e64f2473d40dd327256f9da20b2146b6ae03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60749ecfb3f1405f12fbceda11b7e64f2473d40dd327256f9da20b2146b6ae03</t>
        </is>
      </c>
      <c r="BH157" s="24" t="inlineStr">
        <is>
          <t>2026-08-04T11:58:51.342720Z</t>
        </is>
      </c>
      <c r="BI157" s="24" t="inlineStr">
        <is>
          <t>["same_event","same_team_same_day","same_league_same_day"]</t>
        </is>
      </c>
      <c r="BJ157" s="25" t="n"/>
      <c r="BK157" s="26" t="n">
        <v>-170</v>
      </c>
      <c r="BL157" s="27" t="n">
        <v>1.588235</v>
      </c>
      <c r="BM157" s="28" t="n">
        <v>0.62963</v>
      </c>
      <c r="BN157" s="28" t="n"/>
      <c r="BO157" s="28" t="n"/>
      <c r="BP157" s="25" t="n"/>
      <c r="BQ157" s="27" t="n">
        <v>1.588235</v>
      </c>
      <c r="BR157" s="28" t="n">
        <v>0.63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</row>
    <row r="158" ht="36" customHeight="1">
      <c r="A158" s="24" t="inlineStr">
        <is>
          <t>bfb700c9bc36404e</t>
        </is>
      </c>
      <c r="B158" s="24" t="inlineStr">
        <is>
          <t>2026-08-04T12:00:14.325736Z</t>
        </is>
      </c>
      <c r="C158" s="24" t="inlineStr">
        <is>
          <t>2026-08-04T12:30Z</t>
        </is>
      </c>
      <c r="D158" s="24" t="inlineStr">
        <is>
          <t>961-2026:182082</t>
        </is>
      </c>
      <c r="E158" s="24" t="inlineStr">
        <is>
          <t>TENNIS</t>
        </is>
      </c>
      <c r="F158" s="24" t="inlineStr">
        <is>
          <t>Mona Barthel</t>
        </is>
      </c>
      <c r="G158" s="24" t="inlineStr">
        <is>
          <t>Laura Samson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-223</v>
      </c>
      <c r="M158" s="27" t="n">
        <v>1.44843</v>
      </c>
      <c r="N158" s="28" t="n">
        <v>0.690402</v>
      </c>
      <c r="O158" s="28" t="n">
        <v>0.523723</v>
      </c>
      <c r="P158" s="28" t="n">
        <v>0.05</v>
      </c>
      <c r="Q158" s="28" t="n">
        <v>-0.166679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>
        <v>-223</v>
      </c>
      <c r="AA158" s="28" t="n">
        <v>0.6899999999999999</v>
      </c>
      <c r="AB158" s="28" t="n">
        <v>-0.000402</v>
      </c>
      <c r="AC158" s="30" t="n">
        <v>-1</v>
      </c>
      <c r="AD158" s="24" t="inlineStr">
        <is>
          <t>2026-08-04T14:21:54.127318Z</t>
        </is>
      </c>
      <c r="AE158" s="31" t="inlineStr">
        <is>
          <t>Surface-blended Elo on Hard: Mona Barthel p=0.476 vs Laura Samson. Executable ask 0.6900 (aec-wta-lausam-monbar-2026-08-03).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NO_CALL_LOW_EDGE</t>
        </is>
      </c>
      <c r="AP158" s="24" t="inlineStr">
        <is>
          <t>Mona Barthel</t>
        </is>
      </c>
      <c r="AQ158" s="24" t="inlineStr">
        <is>
          <t>Mona Barthel</t>
        </is>
      </c>
      <c r="AR158" s="24" t="inlineStr">
        <is>
          <t>Mona Barthel</t>
        </is>
      </c>
      <c r="AS158" s="24" t="inlineStr">
        <is>
          <t>Laura Samson</t>
        </is>
      </c>
      <c r="AT158" s="24" t="inlineStr">
        <is>
          <t>Laura Samson</t>
        </is>
      </c>
      <c r="AU158" s="24" t="inlineStr">
        <is>
          <t>Laura Samson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60749ecfb3f1405f12fbceda11b7e64f2473d40dd327256f9da20b2146b6ae03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60749ecfb3f1405f12fbceda11b7e64f2473d40dd327256f9da20b2146b6ae03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60749ecfb3f1405f12fbceda11b7e64f2473d40dd327256f9da20b2146b6ae03</t>
        </is>
      </c>
      <c r="BH158" s="24" t="inlineStr">
        <is>
          <t>2026-08-04T11:58:51.378485Z</t>
        </is>
      </c>
      <c r="BI158" s="24" t="inlineStr">
        <is>
          <t>["same_event","same_team_same_day","same_league_same_day"]</t>
        </is>
      </c>
      <c r="BJ158" s="25" t="n"/>
      <c r="BK158" s="26" t="n">
        <v>-223</v>
      </c>
      <c r="BL158" s="27" t="n">
        <v>1.44843</v>
      </c>
      <c r="BM158" s="28" t="n">
        <v>0.690402</v>
      </c>
      <c r="BN158" s="28" t="n"/>
      <c r="BO158" s="28" t="n"/>
      <c r="BP158" s="25" t="n"/>
      <c r="BQ158" s="27" t="n">
        <v>1.44843</v>
      </c>
      <c r="BR158" s="28" t="n">
        <v>0.6899999999999999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</row>
    <row r="159" ht="36" customHeight="1">
      <c r="A159" s="24" t="inlineStr">
        <is>
          <t>82d8ca996b744234</t>
        </is>
      </c>
      <c r="B159" s="24" t="inlineStr">
        <is>
          <t>2026-08-04T12:00:14.325736Z</t>
        </is>
      </c>
      <c r="C159" s="24" t="inlineStr">
        <is>
          <t>2026-08-04T12:30Z</t>
        </is>
      </c>
      <c r="D159" s="24" t="inlineStr">
        <is>
          <t>961-2026:182093</t>
        </is>
      </c>
      <c r="E159" s="24" t="inlineStr">
        <is>
          <t>TENNIS</t>
        </is>
      </c>
      <c r="F159" s="24" t="inlineStr">
        <is>
          <t>Lia Karatancheva</t>
        </is>
      </c>
      <c r="G159" s="24" t="inlineStr">
        <is>
          <t>Zuzanna Pawlikowska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203</v>
      </c>
      <c r="M159" s="27" t="n">
        <v>3.03</v>
      </c>
      <c r="N159" s="28" t="n">
        <v>0.330033</v>
      </c>
      <c r="O159" s="28" t="n">
        <v>0.6278049999999999</v>
      </c>
      <c r="P159" s="28" t="n">
        <v>0.05</v>
      </c>
      <c r="Q159" s="28" t="n">
        <v>0.297772</v>
      </c>
      <c r="R159" s="26" t="n">
        <v>100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>
        <v>203</v>
      </c>
      <c r="AA159" s="28" t="n">
        <v>0.33</v>
      </c>
      <c r="AB159" s="28" t="n">
        <v>-3.3e-05</v>
      </c>
      <c r="AC159" s="30" t="n">
        <v>3.045</v>
      </c>
      <c r="AD159" s="24" t="inlineStr">
        <is>
          <t>2026-08-04T14:59:30.723358Z</t>
        </is>
      </c>
      <c r="AE159" s="31" t="inlineStr">
        <is>
          <t>Surface-blended Elo on Hard: Lia Karatancheva p=0.372 vs Zuzanna Pawlikowska. Executable ask 0.3300 (aec-wta-zuzpaw-liakar-2026-08-04).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Lia Karatancheva</t>
        </is>
      </c>
      <c r="AQ159" s="24" t="inlineStr">
        <is>
          <t>Lia Karatancheva</t>
        </is>
      </c>
      <c r="AR159" s="24" t="inlineStr">
        <is>
          <t>Lia Karatancheva</t>
        </is>
      </c>
      <c r="AS159" s="24" t="inlineStr">
        <is>
          <t>Zuzanna Pawlikowska</t>
        </is>
      </c>
      <c r="AT159" s="24" t="inlineStr">
        <is>
          <t>Zuzanna Pawlikowska</t>
        </is>
      </c>
      <c r="AU159" s="24" t="inlineStr">
        <is>
          <t>Zuzanna Pawlikowska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60749ecfb3f1405f12fbceda11b7e64f2473d40dd327256f9da20b2146b6ae03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60749ecfb3f1405f12fbceda11b7e64f2473d40dd327256f9da20b2146b6ae03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60749ecfb3f1405f12fbceda11b7e64f2473d40dd327256f9da20b2146b6ae03</t>
        </is>
      </c>
      <c r="BH159" s="24" t="inlineStr">
        <is>
          <t>2026-08-04T11:58:51.460940Z</t>
        </is>
      </c>
      <c r="BI159" s="24" t="inlineStr">
        <is>
          <t>["same_event","same_team_same_day","same_league_same_day"]</t>
        </is>
      </c>
      <c r="BJ159" s="25" t="n"/>
      <c r="BK159" s="26" t="n">
        <v>203</v>
      </c>
      <c r="BL159" s="27" t="n">
        <v>3.03</v>
      </c>
      <c r="BM159" s="28" t="n">
        <v>0.330033</v>
      </c>
      <c r="BN159" s="28" t="n"/>
      <c r="BO159" s="28" t="n"/>
      <c r="BP159" s="25" t="n"/>
      <c r="BQ159" s="27" t="n">
        <v>3.03</v>
      </c>
      <c r="BR159" s="28" t="n">
        <v>0.33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</row>
    <row r="160" ht="36" customHeight="1">
      <c r="A160" s="24" t="inlineStr">
        <is>
          <t>f96416c790394c01</t>
        </is>
      </c>
      <c r="B160" s="24" t="inlineStr">
        <is>
          <t>2026-08-04T14:25:17.456036Z</t>
        </is>
      </c>
      <c r="C160" s="24" t="inlineStr">
        <is>
          <t>2026-08-04T15:00Z</t>
        </is>
      </c>
      <c r="D160" s="24" t="inlineStr">
        <is>
          <t>421-2026:182185</t>
        </is>
      </c>
      <c r="E160" s="24" t="inlineStr">
        <is>
          <t>TENNIS</t>
        </is>
      </c>
      <c r="F160" s="24" t="inlineStr">
        <is>
          <t>Jessica Bouzas Maneiro</t>
        </is>
      </c>
      <c r="G160" s="24" t="inlineStr">
        <is>
          <t>Elina Svitolina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-567</v>
      </c>
      <c r="M160" s="27" t="n">
        <v>1.176367</v>
      </c>
      <c r="N160" s="28" t="n">
        <v>0.850075</v>
      </c>
      <c r="O160" s="28" t="n">
        <v>0.855057</v>
      </c>
      <c r="P160" s="28" t="n">
        <v>0.05</v>
      </c>
      <c r="Q160" s="28" t="n">
        <v>0.004982</v>
      </c>
      <c r="R160" s="26" t="n">
        <v>22</v>
      </c>
      <c r="S160" s="29" t="n">
        <v>2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-567</v>
      </c>
      <c r="AA160" s="28" t="n">
        <v>0.85</v>
      </c>
      <c r="AB160" s="28" t="n">
        <v>-7.499999999999999e-05</v>
      </c>
      <c r="AC160" s="30" t="n">
        <v>0.3527</v>
      </c>
      <c r="AD160" s="24" t="inlineStr">
        <is>
          <t>2026-08-04T18:03:15.233736Z</t>
        </is>
      </c>
      <c r="AE160" s="31" t="inlineStr">
        <is>
          <t>Surface-blended Elo on Hard: Jessica Bouzas Maneiro p=0.145 vs Elina Svitolina. Executable ask 0.8500 (aec-wta-elisvi-jesman-2026-08-03).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NO_CALL_LOW_EDGE</t>
        </is>
      </c>
      <c r="AP160" s="24" t="inlineStr">
        <is>
          <t>Jessica Bouzas Maneiro</t>
        </is>
      </c>
      <c r="AQ160" s="24" t="inlineStr">
        <is>
          <t>Jessica Bouzas Maneiro</t>
        </is>
      </c>
      <c r="AR160" s="24" t="inlineStr">
        <is>
          <t>Jessica Bouzas Maneiro</t>
        </is>
      </c>
      <c r="AS160" s="24" t="inlineStr">
        <is>
          <t>Elina Svitolina</t>
        </is>
      </c>
      <c r="AT160" s="24" t="inlineStr">
        <is>
          <t>Elina Svitolina</t>
        </is>
      </c>
      <c r="AU160" s="24" t="inlineStr">
        <is>
          <t>Elina Svitolina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60749ecfb3f1405f12fbceda11b7e64f2473d40dd327256f9da20b2146b6ae03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60749ecfb3f1405f12fbceda11b7e64f2473d40dd327256f9da20b2146b6ae03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60749ecfb3f1405f12fbceda11b7e64f2473d40dd327256f9da20b2146b6ae03</t>
        </is>
      </c>
      <c r="BH160" s="24" t="inlineStr">
        <is>
          <t>2026-08-04T14:23:21.702360Z</t>
        </is>
      </c>
      <c r="BI160" s="24" t="inlineStr">
        <is>
          <t>["same_event","same_team_same_day","same_league_same_day"]</t>
        </is>
      </c>
      <c r="BJ160" s="25" t="n"/>
      <c r="BK160" s="26" t="n">
        <v>-567</v>
      </c>
      <c r="BL160" s="27" t="n">
        <v>1.176367</v>
      </c>
      <c r="BM160" s="28" t="n">
        <v>0.850075</v>
      </c>
      <c r="BN160" s="28" t="n"/>
      <c r="BO160" s="28" t="n"/>
      <c r="BP160" s="25" t="n"/>
      <c r="BQ160" s="27" t="n">
        <v>1.176367</v>
      </c>
      <c r="BR160" s="28" t="n">
        <v>0.85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</row>
    <row r="161" ht="36" customHeight="1">
      <c r="A161" s="24" t="inlineStr">
        <is>
          <t>d4594d4187e045ac</t>
        </is>
      </c>
      <c r="B161" s="24" t="inlineStr">
        <is>
          <t>2026-08-04T14:25:17.456036Z</t>
        </is>
      </c>
      <c r="C161" s="24" t="inlineStr">
        <is>
          <t>2026-08-04T15:00Z</t>
        </is>
      </c>
      <c r="D161" s="24" t="inlineStr">
        <is>
          <t>421-2026:181808</t>
        </is>
      </c>
      <c r="E161" s="24" t="inlineStr">
        <is>
          <t>TENNIS</t>
        </is>
      </c>
      <c r="F161" s="24" t="inlineStr">
        <is>
          <t>Marcos Giron</t>
        </is>
      </c>
      <c r="G161" s="24" t="inlineStr">
        <is>
          <t>Hubert Hurkacz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-170</v>
      </c>
      <c r="M161" s="27" t="n">
        <v>1.588235</v>
      </c>
      <c r="N161" s="28" t="n">
        <v>0.62963</v>
      </c>
      <c r="O161" s="28" t="n">
        <v>0.503757</v>
      </c>
      <c r="P161" s="28" t="n">
        <v>0.05</v>
      </c>
      <c r="Q161" s="28" t="n">
        <v>-0.125873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>
        <v>-170</v>
      </c>
      <c r="AA161" s="28" t="n">
        <v>0.63</v>
      </c>
      <c r="AB161" s="28" t="n">
        <v>0.00037</v>
      </c>
      <c r="AC161" s="30" t="n">
        <v>0.5881999999999999</v>
      </c>
      <c r="AD161" s="24" t="inlineStr">
        <is>
          <t>2026-08-04T18:03:16.231367Z</t>
        </is>
      </c>
      <c r="AE161" s="31" t="inlineStr">
        <is>
          <t>Surface-blended Elo on Hard: Marcos Giron p=0.496 vs Hubert Hurkacz. Executable ask 0.6300 (aec-atp-hubhur-margir-2026-08-03).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NO_CALL_LOW_EDGE</t>
        </is>
      </c>
      <c r="AP161" s="24" t="inlineStr">
        <is>
          <t>Marcos Giron</t>
        </is>
      </c>
      <c r="AQ161" s="24" t="inlineStr">
        <is>
          <t>Marcos Giron</t>
        </is>
      </c>
      <c r="AR161" s="24" t="inlineStr">
        <is>
          <t>Marcos Giron</t>
        </is>
      </c>
      <c r="AS161" s="24" t="inlineStr">
        <is>
          <t>Hubert Hurkacz</t>
        </is>
      </c>
      <c r="AT161" s="24" t="inlineStr">
        <is>
          <t>Hubert Hurkacz</t>
        </is>
      </c>
      <c r="AU161" s="24" t="inlineStr">
        <is>
          <t>Hubert Hurkacz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60749ecfb3f1405f12fbceda11b7e64f2473d40dd327256f9da20b2146b6ae03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60749ecfb3f1405f12fbceda11b7e64f2473d40dd327256f9da20b2146b6ae03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60749ecfb3f1405f12fbceda11b7e64f2473d40dd327256f9da20b2146b6ae03</t>
        </is>
      </c>
      <c r="BH161" s="24" t="inlineStr">
        <is>
          <t>2026-08-04T14:23:37.811283Z</t>
        </is>
      </c>
      <c r="BI161" s="24" t="inlineStr">
        <is>
          <t>["same_event","same_team_same_day","same_league_same_day"]</t>
        </is>
      </c>
      <c r="BJ161" s="25" t="n"/>
      <c r="BK161" s="26" t="n">
        <v>-170</v>
      </c>
      <c r="BL161" s="27" t="n">
        <v>1.588235</v>
      </c>
      <c r="BM161" s="28" t="n">
        <v>0.62963</v>
      </c>
      <c r="BN161" s="28" t="n"/>
      <c r="BO161" s="28" t="n"/>
      <c r="BP161" s="25" t="n"/>
      <c r="BQ161" s="27" t="n">
        <v>1.588235</v>
      </c>
      <c r="BR161" s="28" t="n">
        <v>0.63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</row>
    <row r="162" ht="36" customHeight="1">
      <c r="A162" s="24" t="inlineStr">
        <is>
          <t>b1e7434525d24f1d</t>
        </is>
      </c>
      <c r="B162" s="24" t="inlineStr">
        <is>
          <t>2026-08-04T14:25:17.456036Z</t>
        </is>
      </c>
      <c r="C162" s="24" t="inlineStr">
        <is>
          <t>2026-08-04T15:00Z</t>
        </is>
      </c>
      <c r="D162" s="24" t="inlineStr">
        <is>
          <t>421-2026:181822</t>
        </is>
      </c>
      <c r="E162" s="24" t="inlineStr">
        <is>
          <t>TENNIS</t>
        </is>
      </c>
      <c r="F162" s="24" t="inlineStr">
        <is>
          <t>Mattia Bellucci</t>
        </is>
      </c>
      <c r="G162" s="24" t="inlineStr">
        <is>
          <t>Sebastian Baez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0.559835</v>
      </c>
      <c r="P162" s="28" t="n">
        <v>0.05</v>
      </c>
      <c r="Q162" s="28" t="n">
        <v>0.020664</v>
      </c>
      <c r="R162" s="26" t="n">
        <v>30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win</t>
        </is>
      </c>
      <c r="W162" s="26" t="n">
        <v>0</v>
      </c>
      <c r="X162" s="26" t="n">
        <v>1</v>
      </c>
      <c r="Y162" s="25" t="n"/>
      <c r="Z162" s="26" t="n">
        <v>-117</v>
      </c>
      <c r="AA162" s="28" t="n">
        <v>0.54</v>
      </c>
      <c r="AB162" s="28" t="n">
        <v>0.000829</v>
      </c>
      <c r="AC162" s="30" t="n">
        <v>0.8547</v>
      </c>
      <c r="AD162" s="24" t="inlineStr">
        <is>
          <t>2026-08-04T16:48:35.481106Z</t>
        </is>
      </c>
      <c r="AE162" s="31" t="inlineStr">
        <is>
          <t>Surface-blended Elo on Hard: Mattia Bellucci p=0.440 vs Sebastian Baez. Executable ask 0.5400 (aec-atp-sebbae-matbel-2026-08-03).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NO_CALL_LOW_EDGE</t>
        </is>
      </c>
      <c r="AP162" s="24" t="inlineStr">
        <is>
          <t>Mattia Bellucci</t>
        </is>
      </c>
      <c r="AQ162" s="24" t="inlineStr">
        <is>
          <t>Mattia Bellucci</t>
        </is>
      </c>
      <c r="AR162" s="24" t="inlineStr">
        <is>
          <t>Mattia Bellucci</t>
        </is>
      </c>
      <c r="AS162" s="24" t="inlineStr">
        <is>
          <t>Sebastian Baez</t>
        </is>
      </c>
      <c r="AT162" s="24" t="inlineStr">
        <is>
          <t>Sebastian Baez</t>
        </is>
      </c>
      <c r="AU162" s="24" t="inlineStr">
        <is>
          <t>Sebastian Baez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60749ecfb3f1405f12fbceda11b7e64f2473d40dd327256f9da20b2146b6ae03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60749ecfb3f1405f12fbceda11b7e64f2473d40dd327256f9da20b2146b6ae03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60749ecfb3f1405f12fbceda11b7e64f2473d40dd327256f9da20b2146b6ae03</t>
        </is>
      </c>
      <c r="BH162" s="24" t="inlineStr">
        <is>
          <t>2026-08-04T14:23:36.155240Z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>
        <v>1.854701</v>
      </c>
      <c r="BR162" s="28" t="n">
        <v>0.54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</row>
    <row r="163" ht="36" customHeight="1">
      <c r="A163" s="24" t="inlineStr">
        <is>
          <t>219c58a8b2b245b8</t>
        </is>
      </c>
      <c r="B163" s="24" t="inlineStr">
        <is>
          <t>2026-08-04T14:25:17.456036Z</t>
        </is>
      </c>
      <c r="C163" s="24" t="inlineStr">
        <is>
          <t>2026-08-04T15:00Z</t>
        </is>
      </c>
      <c r="D163" s="24" t="inlineStr">
        <is>
          <t>421-2026:181825</t>
        </is>
      </c>
      <c r="E163" s="24" t="inlineStr">
        <is>
          <t>TENNIS</t>
        </is>
      </c>
      <c r="F163" s="24" t="inlineStr">
        <is>
          <t>Jenson Brooksby</t>
        </is>
      </c>
      <c r="G163" s="24" t="inlineStr">
        <is>
          <t>Adam Walton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0.568221</v>
      </c>
      <c r="P163" s="28" t="n">
        <v>0.05</v>
      </c>
      <c r="Q163" s="28" t="n">
        <v>0.008750000000000001</v>
      </c>
      <c r="R163" s="26" t="n">
        <v>24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0.7874</v>
      </c>
      <c r="AD163" s="24" t="inlineStr">
        <is>
          <t>2026-08-04T16:48:37.405890Z</t>
        </is>
      </c>
      <c r="AE163" s="31" t="inlineStr">
        <is>
          <t>Surface-blended Elo on Hard: Jenson Brooksby p=0.568 vs Adam Walton. Executable ask 0.5600 (aec-atp-adawal-jenbro-2026-08-03).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NO_CALL_LOW_EDGE</t>
        </is>
      </c>
      <c r="AP163" s="24" t="inlineStr">
        <is>
          <t>Jenson Brooksby</t>
        </is>
      </c>
      <c r="AQ163" s="24" t="inlineStr">
        <is>
          <t>Jenson Brooksby</t>
        </is>
      </c>
      <c r="AR163" s="24" t="inlineStr">
        <is>
          <t>Jenson Brooksby</t>
        </is>
      </c>
      <c r="AS163" s="24" t="inlineStr">
        <is>
          <t>Adam Walton</t>
        </is>
      </c>
      <c r="AT163" s="24" t="inlineStr">
        <is>
          <t>Adam Walton</t>
        </is>
      </c>
      <c r="AU163" s="24" t="inlineStr">
        <is>
          <t>Adam Walton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60749ecfb3f1405f12fbceda11b7e64f2473d40dd327256f9da20b2146b6ae03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60749ecfb3f1405f12fbceda11b7e64f2473d40dd327256f9da20b2146b6ae03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60749ecfb3f1405f12fbceda11b7e64f2473d40dd327256f9da20b2146b6ae03</t>
        </is>
      </c>
      <c r="BH163" s="24" t="inlineStr">
        <is>
          <t>2026-08-04T14:23:39.663692Z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/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</row>
    <row r="164" ht="36" customHeight="1">
      <c r="A164" s="24" t="inlineStr">
        <is>
          <t>db06ce7fe7e84145</t>
        </is>
      </c>
      <c r="B164" s="24" t="inlineStr">
        <is>
          <t>2026-08-04T14:25:17.456036Z</t>
        </is>
      </c>
      <c r="C164" s="24" t="inlineStr">
        <is>
          <t>2026-08-04T15:00Z</t>
        </is>
      </c>
      <c r="D164" s="24" t="inlineStr">
        <is>
          <t>421-2026:181831</t>
        </is>
      </c>
      <c r="E164" s="24" t="inlineStr">
        <is>
          <t>TENNIS</t>
        </is>
      </c>
      <c r="F164" s="24" t="inlineStr">
        <is>
          <t>Stefanos Tsitsipas</t>
        </is>
      </c>
      <c r="G164" s="24" t="inlineStr">
        <is>
          <t>Martin Damm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-186</v>
      </c>
      <c r="M164" s="27" t="n">
        <v>1.537634</v>
      </c>
      <c r="N164" s="28" t="n">
        <v>0.65035</v>
      </c>
      <c r="O164" s="28" t="n">
        <v>0.514482</v>
      </c>
      <c r="P164" s="28" t="n">
        <v>0.05</v>
      </c>
      <c r="Q164" s="28" t="n">
        <v>-0.135868</v>
      </c>
      <c r="R164" s="26" t="n">
        <v>0</v>
      </c>
      <c r="S164" s="29" t="n">
        <v>1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-186</v>
      </c>
      <c r="AA164" s="28" t="n">
        <v>0.65</v>
      </c>
      <c r="AB164" s="28" t="n">
        <v>-0.00035</v>
      </c>
      <c r="AC164" s="30" t="n">
        <v>0.5376</v>
      </c>
      <c r="AD164" s="24" t="inlineStr">
        <is>
          <t>2026-08-04T16:48:39.362893Z</t>
        </is>
      </c>
      <c r="AE164" s="31" t="inlineStr">
        <is>
          <t>Surface-blended Elo on Hard: Stefanos Tsitsipas p=0.514 vs Martin Damm. Executable ask 0.6500 (aec-atp-mardam-stetsi-2026-08-03).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NO_CALL_LOW_EDGE</t>
        </is>
      </c>
      <c r="AP164" s="24" t="inlineStr">
        <is>
          <t>Stefanos Tsitsipas</t>
        </is>
      </c>
      <c r="AQ164" s="24" t="inlineStr">
        <is>
          <t>Stefanos Tsitsipas</t>
        </is>
      </c>
      <c r="AR164" s="24" t="inlineStr">
        <is>
          <t>Stefanos Tsitsipas</t>
        </is>
      </c>
      <c r="AS164" s="24" t="inlineStr">
        <is>
          <t>Martin Damm</t>
        </is>
      </c>
      <c r="AT164" s="24" t="inlineStr">
        <is>
          <t>Martin Damm</t>
        </is>
      </c>
      <c r="AU164" s="24" t="inlineStr">
        <is>
          <t>Martin Damm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60749ecfb3f1405f12fbceda11b7e64f2473d40dd327256f9da20b2146b6ae03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60749ecfb3f1405f12fbceda11b7e64f2473d40dd327256f9da20b2146b6ae03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60749ecfb3f1405f12fbceda11b7e64f2473d40dd327256f9da20b2146b6ae03</t>
        </is>
      </c>
      <c r="BH164" s="24" t="inlineStr">
        <is>
          <t>2026-08-04T14:23:38.853444Z</t>
        </is>
      </c>
      <c r="BI164" s="24" t="inlineStr">
        <is>
          <t>["same_event","same_team_same_day","same_league_same_day"]</t>
        </is>
      </c>
      <c r="BJ164" s="25" t="n"/>
      <c r="BK164" s="26" t="n">
        <v>-186</v>
      </c>
      <c r="BL164" s="27" t="n">
        <v>1.537634</v>
      </c>
      <c r="BM164" s="28" t="n">
        <v>0.65035</v>
      </c>
      <c r="BN164" s="28" t="n"/>
      <c r="BO164" s="28" t="n"/>
      <c r="BP164" s="25" t="n"/>
      <c r="BQ164" s="27" t="n">
        <v>1.537634</v>
      </c>
      <c r="BR164" s="28" t="n">
        <v>0.65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</row>
    <row r="165" ht="36" customHeight="1">
      <c r="A165" s="24" t="inlineStr">
        <is>
          <t>947d8eec81804259</t>
        </is>
      </c>
      <c r="B165" s="24" t="inlineStr">
        <is>
          <t>2026-08-04T15:02:48.664333Z</t>
        </is>
      </c>
      <c r="C165" s="24" t="inlineStr">
        <is>
          <t>2026-08-04T16:30Z</t>
        </is>
      </c>
      <c r="D165" s="24" t="inlineStr">
        <is>
          <t>421-2026:182173</t>
        </is>
      </c>
      <c r="E165" s="24" t="inlineStr">
        <is>
          <t>TENNIS</t>
        </is>
      </c>
      <c r="F165" s="24" t="inlineStr">
        <is>
          <t>Diana Shnaider</t>
        </is>
      </c>
      <c r="G165" s="24" t="inlineStr">
        <is>
          <t>Rebecca Sramkova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-400</v>
      </c>
      <c r="M165" s="27" t="n">
        <v>1.25</v>
      </c>
      <c r="N165" s="28" t="n">
        <v>0.8</v>
      </c>
      <c r="O165" s="28" t="n">
        <v>0.69013</v>
      </c>
      <c r="P165" s="28" t="n">
        <v>0.05</v>
      </c>
      <c r="Q165" s="28" t="n">
        <v>-0.10987</v>
      </c>
      <c r="R165" s="26" t="n">
        <v>0</v>
      </c>
      <c r="S165" s="29" t="n">
        <v>2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-400</v>
      </c>
      <c r="AA165" s="28" t="n">
        <v>0.8</v>
      </c>
      <c r="AB165" s="28" t="n">
        <v>0</v>
      </c>
      <c r="AC165" s="30" t="n">
        <v>0.5</v>
      </c>
      <c r="AD165" s="24" t="inlineStr">
        <is>
          <t>2026-08-04T21:58:43.074455Z</t>
        </is>
      </c>
      <c r="AE165" s="31" t="inlineStr">
        <is>
          <t>Surface-blended Elo on Hard: Diana Shnaider p=0.690 vs Rebecca Sramkova. Executable ask 0.8000 (aec-wta-rebsra-diashn-2026-08-04).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NO_CALL_LOW_EDGE</t>
        </is>
      </c>
      <c r="AP165" s="24" t="inlineStr">
        <is>
          <t>Diana Shnaider</t>
        </is>
      </c>
      <c r="AQ165" s="24" t="inlineStr">
        <is>
          <t>Diana Shnaider</t>
        </is>
      </c>
      <c r="AR165" s="24" t="inlineStr">
        <is>
          <t>Diana Shnaider</t>
        </is>
      </c>
      <c r="AS165" s="24" t="inlineStr">
        <is>
          <t>Rebecca Sramkova</t>
        </is>
      </c>
      <c r="AT165" s="24" t="inlineStr">
        <is>
          <t>Rebecca Sramkova</t>
        </is>
      </c>
      <c r="AU165" s="24" t="inlineStr">
        <is>
          <t>Rebecca Sramkova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60749ecfb3f1405f12fbceda11b7e64f2473d40dd327256f9da20b2146b6ae03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60749ecfb3f1405f12fbceda11b7e64f2473d40dd327256f9da20b2146b6ae03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60749ecfb3f1405f12fbceda11b7e64f2473d40dd327256f9da20b2146b6ae03</t>
        </is>
      </c>
      <c r="BH165" s="24" t="inlineStr">
        <is>
          <t>2026-08-04T15:00:57.838206Z</t>
        </is>
      </c>
      <c r="BI165" s="24" t="inlineStr">
        <is>
          <t>["same_event","same_team_same_day","same_league_same_day"]</t>
        </is>
      </c>
      <c r="BJ165" s="25" t="n"/>
      <c r="BK165" s="26" t="n">
        <v>-400</v>
      </c>
      <c r="BL165" s="27" t="n">
        <v>1.25</v>
      </c>
      <c r="BM165" s="28" t="n">
        <v>0.8</v>
      </c>
      <c r="BN165" s="28" t="n"/>
      <c r="BO165" s="28" t="n"/>
      <c r="BP165" s="25" t="n"/>
      <c r="BQ165" s="27" t="n">
        <v>1.25</v>
      </c>
      <c r="BR165" s="28" t="n">
        <v>0.8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</row>
    <row r="166" ht="36" customHeight="1">
      <c r="A166" s="24" t="inlineStr">
        <is>
          <t>8fb6fa2483204498</t>
        </is>
      </c>
      <c r="B166" s="24" t="inlineStr">
        <is>
          <t>2026-08-04T15:02:48.664333Z</t>
        </is>
      </c>
      <c r="C166" s="24" t="inlineStr">
        <is>
          <t>2026-08-04T16:30Z</t>
        </is>
      </c>
      <c r="D166" s="24" t="inlineStr">
        <is>
          <t>421-2026:182175</t>
        </is>
      </c>
      <c r="E166" s="24" t="inlineStr">
        <is>
          <t>TENNIS</t>
        </is>
      </c>
      <c r="F166" s="24" t="inlineStr">
        <is>
          <t>Viktorija Golubic</t>
        </is>
      </c>
      <c r="G166" s="24" t="inlineStr">
        <is>
          <t>Donna Vekic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-127</v>
      </c>
      <c r="M166" s="27" t="n">
        <v>1.787402</v>
      </c>
      <c r="N166" s="28" t="n">
        <v>0.5594710000000001</v>
      </c>
      <c r="O166" s="28" t="n">
        <v>0.600871</v>
      </c>
      <c r="P166" s="28" t="n">
        <v>0.05</v>
      </c>
      <c r="Q166" s="28" t="n">
        <v>0.0414</v>
      </c>
      <c r="R166" s="26" t="n">
        <v>41</v>
      </c>
      <c r="S166" s="29" t="n">
        <v>1.25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-127</v>
      </c>
      <c r="AA166" s="28" t="n">
        <v>0.5600000000000001</v>
      </c>
      <c r="AB166" s="28" t="n">
        <v>0.000529</v>
      </c>
      <c r="AC166" s="30" t="n">
        <v>-1.25</v>
      </c>
      <c r="AD166" s="24" t="inlineStr">
        <is>
          <t>2026-08-04T21:58:43.975280Z</t>
        </is>
      </c>
      <c r="AE166" s="31" t="inlineStr">
        <is>
          <t>Surface-blended Elo on Hard: Viktorija Golubic p=0.399 vs Donna Vekic. Executable ask 0.5600 (aec-wta-donvek-vikgol-2026-08-03).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NO_CALL_LOW_EDGE</t>
        </is>
      </c>
      <c r="AP166" s="24" t="inlineStr">
        <is>
          <t>Viktorija Golubic</t>
        </is>
      </c>
      <c r="AQ166" s="24" t="inlineStr">
        <is>
          <t>Viktorija Golubic</t>
        </is>
      </c>
      <c r="AR166" s="24" t="inlineStr">
        <is>
          <t>Viktorija Golubic</t>
        </is>
      </c>
      <c r="AS166" s="24" t="inlineStr">
        <is>
          <t>Donna Vekic</t>
        </is>
      </c>
      <c r="AT166" s="24" t="inlineStr">
        <is>
          <t>Donna Vekic</t>
        </is>
      </c>
      <c r="AU166" s="24" t="inlineStr">
        <is>
          <t>Donna Vekic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60749ecfb3f1405f12fbceda11b7e64f2473d40dd327256f9da20b2146b6ae03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60749ecfb3f1405f12fbceda11b7e64f2473d40dd327256f9da20b2146b6ae03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60749ecfb3f1405f12fbceda11b7e64f2473d40dd327256f9da20b2146b6ae03</t>
        </is>
      </c>
      <c r="BH166" s="24" t="inlineStr">
        <is>
          <t>2026-08-04T15:00:55.301853Z</t>
        </is>
      </c>
      <c r="BI166" s="24" t="inlineStr">
        <is>
          <t>["same_event","same_team_same_day","same_league_same_day"]</t>
        </is>
      </c>
      <c r="BJ166" s="25" t="n"/>
      <c r="BK166" s="26" t="n">
        <v>-127</v>
      </c>
      <c r="BL166" s="27" t="n">
        <v>1.787402</v>
      </c>
      <c r="BM166" s="28" t="n">
        <v>0.5594710000000001</v>
      </c>
      <c r="BN166" s="28" t="n"/>
      <c r="BO166" s="28" t="n"/>
      <c r="BP166" s="25" t="n"/>
      <c r="BQ166" s="27" t="n">
        <v>1.787402</v>
      </c>
      <c r="BR166" s="28" t="n">
        <v>0.5600000000000001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147abbf3ba034505</t>
        </is>
      </c>
      <c r="B167" s="24" t="inlineStr">
        <is>
          <t>2026-08-04T15:02:48.664333Z</t>
        </is>
      </c>
      <c r="C167" s="24" t="inlineStr">
        <is>
          <t>2026-08-04T16:30Z</t>
        </is>
      </c>
      <c r="D167" s="24" t="inlineStr">
        <is>
          <t>421-2026:182182</t>
        </is>
      </c>
      <c r="E167" s="24" t="inlineStr">
        <is>
          <t>TENNIS</t>
        </is>
      </c>
      <c r="F167" s="24" t="inlineStr">
        <is>
          <t>Iga Swiatek</t>
        </is>
      </c>
      <c r="G167" s="24" t="inlineStr">
        <is>
          <t>Sara Bejlek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-809</v>
      </c>
      <c r="M167" s="27" t="n">
        <v>1.123609</v>
      </c>
      <c r="N167" s="28" t="n">
        <v>0.889989</v>
      </c>
      <c r="O167" s="28" t="n">
        <v>0.745582</v>
      </c>
      <c r="P167" s="28" t="n">
        <v>0.05</v>
      </c>
      <c r="Q167" s="28" t="n">
        <v>-0.144407</v>
      </c>
      <c r="R167" s="26" t="n">
        <v>0</v>
      </c>
      <c r="S167" s="29" t="n">
        <v>2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0</v>
      </c>
      <c r="Y167" s="25" t="n"/>
      <c r="Z167" s="26" t="n">
        <v>-809</v>
      </c>
      <c r="AA167" s="28" t="n">
        <v>0.89</v>
      </c>
      <c r="AB167" s="28" t="n">
        <v>1.1e-05</v>
      </c>
      <c r="AC167" s="30" t="n">
        <v>0.2472</v>
      </c>
      <c r="AD167" s="24" t="inlineStr">
        <is>
          <t>2026-08-04T21:58:44.936757Z</t>
        </is>
      </c>
      <c r="AE167" s="31" t="inlineStr">
        <is>
          <t>Surface-blended Elo on Hard: Iga Swiatek p=0.746 vs Sara Bejlek. Executable ask 0.8900 (aec-wta-sarbej-igaswi-2026-08-03).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NO_CALL_LOW_EDGE</t>
        </is>
      </c>
      <c r="AP167" s="24" t="inlineStr">
        <is>
          <t>Iga Swiatek</t>
        </is>
      </c>
      <c r="AQ167" s="24" t="inlineStr">
        <is>
          <t>Iga Swiatek</t>
        </is>
      </c>
      <c r="AR167" s="24" t="inlineStr">
        <is>
          <t>Iga Swiatek</t>
        </is>
      </c>
      <c r="AS167" s="24" t="inlineStr">
        <is>
          <t>Sara Bejlek</t>
        </is>
      </c>
      <c r="AT167" s="24" t="inlineStr">
        <is>
          <t>Sara Bejlek</t>
        </is>
      </c>
      <c r="AU167" s="24" t="inlineStr">
        <is>
          <t>Sara Bejlek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60749ecfb3f1405f12fbceda11b7e64f2473d40dd327256f9da20b2146b6ae03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60749ecfb3f1405f12fbceda11b7e64f2473d40dd327256f9da20b2146b6ae03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60749ecfb3f1405f12fbceda11b7e64f2473d40dd327256f9da20b2146b6ae03</t>
        </is>
      </c>
      <c r="BH167" s="24" t="inlineStr">
        <is>
          <t>2026-08-04T15:00:55.849660Z</t>
        </is>
      </c>
      <c r="BI167" s="24" t="inlineStr">
        <is>
          <t>["same_event","same_team_same_day","same_league_same_day"]</t>
        </is>
      </c>
      <c r="BJ167" s="25" t="n"/>
      <c r="BK167" s="26" t="n">
        <v>-809</v>
      </c>
      <c r="BL167" s="27" t="n">
        <v>1.123609</v>
      </c>
      <c r="BM167" s="28" t="n">
        <v>0.889989</v>
      </c>
      <c r="BN167" s="28" t="n"/>
      <c r="BO167" s="28" t="n"/>
      <c r="BP167" s="25" t="n"/>
      <c r="BQ167" s="27" t="n">
        <v>1.123609</v>
      </c>
      <c r="BR167" s="28" t="n">
        <v>0.89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</row>
    <row r="168" ht="36" customHeight="1">
      <c r="A168" s="24" t="inlineStr">
        <is>
          <t>e86f7c77ecdb4d89</t>
        </is>
      </c>
      <c r="B168" s="24" t="inlineStr">
        <is>
          <t>2026-08-04T15:02:48.664333Z</t>
        </is>
      </c>
      <c r="C168" s="24" t="inlineStr">
        <is>
          <t>2026-08-04T16:30Z</t>
        </is>
      </c>
      <c r="D168" s="24" t="inlineStr">
        <is>
          <t>421-2026:182207</t>
        </is>
      </c>
      <c r="E168" s="24" t="inlineStr">
        <is>
          <t>TENNIS</t>
        </is>
      </c>
      <c r="F168" s="24" t="inlineStr">
        <is>
          <t>Ekaterina Alexandrova</t>
        </is>
      </c>
      <c r="G168" s="24" t="inlineStr">
        <is>
          <t>Camila Osorio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-117</v>
      </c>
      <c r="M168" s="27" t="n">
        <v>1.854701</v>
      </c>
      <c r="N168" s="28" t="n">
        <v>0.539171</v>
      </c>
      <c r="O168" s="28" t="n">
        <v>0.533657</v>
      </c>
      <c r="P168" s="28" t="n">
        <v>0.05</v>
      </c>
      <c r="Q168" s="28" t="n">
        <v>-0.005514</v>
      </c>
      <c r="R168" s="26" t="n">
        <v>17</v>
      </c>
      <c r="S168" s="29" t="n">
        <v>1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1</v>
      </c>
      <c r="X168" s="26" t="n">
        <v>0</v>
      </c>
      <c r="Y168" s="25" t="n"/>
      <c r="Z168" s="26" t="n">
        <v>-117</v>
      </c>
      <c r="AA168" s="28" t="n">
        <v>0.54</v>
      </c>
      <c r="AB168" s="28" t="n">
        <v>0.000829</v>
      </c>
      <c r="AC168" s="30" t="n">
        <v>-1</v>
      </c>
      <c r="AD168" s="24" t="inlineStr">
        <is>
          <t>2026-08-04T21:58:45.852895Z</t>
        </is>
      </c>
      <c r="AE168" s="31" t="inlineStr">
        <is>
          <t>Surface-blended Elo on Hard: Ekaterina Alexandrova p=0.466 vs Camila Osorio. Executable ask 0.5400 (aec-wta-camoso-ekaale-2026-08-03).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NO_CALL_LOW_EDGE</t>
        </is>
      </c>
      <c r="AP168" s="24" t="inlineStr">
        <is>
          <t>Ekaterina Alexandrova</t>
        </is>
      </c>
      <c r="AQ168" s="24" t="inlineStr">
        <is>
          <t>Ekaterina Alexandrova</t>
        </is>
      </c>
      <c r="AR168" s="24" t="inlineStr">
        <is>
          <t>Ekaterina Alexandrova</t>
        </is>
      </c>
      <c r="AS168" s="24" t="inlineStr">
        <is>
          <t>Camila Osorio</t>
        </is>
      </c>
      <c r="AT168" s="24" t="inlineStr">
        <is>
          <t>Camila Osorio</t>
        </is>
      </c>
      <c r="AU168" s="24" t="inlineStr">
        <is>
          <t>Camila Osorio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60749ecfb3f1405f12fbceda11b7e64f2473d40dd327256f9da20b2146b6ae03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60749ecfb3f1405f12fbceda11b7e64f2473d40dd327256f9da20b2146b6ae03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60749ecfb3f1405f12fbceda11b7e64f2473d40dd327256f9da20b2146b6ae03</t>
        </is>
      </c>
      <c r="BH168" s="24" t="inlineStr">
        <is>
          <t>2026-08-04T15:00:56.573467Z</t>
        </is>
      </c>
      <c r="BI168" s="24" t="inlineStr">
        <is>
          <t>["same_event","same_team_same_day","same_league_same_day"]</t>
        </is>
      </c>
      <c r="BJ168" s="25" t="n"/>
      <c r="BK168" s="26" t="n">
        <v>-117</v>
      </c>
      <c r="BL168" s="27" t="n">
        <v>1.854701</v>
      </c>
      <c r="BM168" s="28" t="n">
        <v>0.539171</v>
      </c>
      <c r="BN168" s="28" t="n"/>
      <c r="BO168" s="28" t="n"/>
      <c r="BP168" s="25" t="n"/>
      <c r="BQ168" s="27" t="n">
        <v>1.854701</v>
      </c>
      <c r="BR168" s="28" t="n">
        <v>0.54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</row>
    <row r="169" ht="36" customHeight="1">
      <c r="A169" s="24" t="inlineStr">
        <is>
          <t>ac855c25fd4d4616</t>
        </is>
      </c>
      <c r="B169" s="24" t="inlineStr">
        <is>
          <t>2026-08-04T15:02:48.664333Z</t>
        </is>
      </c>
      <c r="C169" s="24" t="inlineStr">
        <is>
          <t>2026-08-04T16:30Z</t>
        </is>
      </c>
      <c r="D169" s="24" t="inlineStr">
        <is>
          <t>421-2026:181780</t>
        </is>
      </c>
      <c r="E169" s="24" t="inlineStr">
        <is>
          <t>TENNIS</t>
        </is>
      </c>
      <c r="F169" s="24" t="inlineStr">
        <is>
          <t>Denis Shapovalov</t>
        </is>
      </c>
      <c r="G169" s="24" t="inlineStr">
        <is>
          <t>Zachary Svajda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-138</v>
      </c>
      <c r="M169" s="27" t="n">
        <v>1.724638</v>
      </c>
      <c r="N169" s="28" t="n">
        <v>0.579832</v>
      </c>
      <c r="O169" s="28" t="n">
        <v>0.533424</v>
      </c>
      <c r="P169" s="28" t="n">
        <v>0.05</v>
      </c>
      <c r="Q169" s="28" t="n">
        <v>-0.046408</v>
      </c>
      <c r="R169" s="26" t="n">
        <v>0</v>
      </c>
      <c r="S169" s="29" t="n">
        <v>1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loss</t>
        </is>
      </c>
      <c r="W169" s="26" t="n">
        <v>0</v>
      </c>
      <c r="X169" s="26" t="n">
        <v>1</v>
      </c>
      <c r="Y169" s="25" t="n"/>
      <c r="Z169" s="26" t="n">
        <v>-138</v>
      </c>
      <c r="AA169" s="28" t="n">
        <v>0.58</v>
      </c>
      <c r="AB169" s="28" t="n">
        <v>0.000168</v>
      </c>
      <c r="AC169" s="30" t="n">
        <v>-1</v>
      </c>
      <c r="AD169" s="24" t="inlineStr">
        <is>
          <t>2026-08-04T21:58:46.821359Z</t>
        </is>
      </c>
      <c r="AE169" s="31" t="inlineStr">
        <is>
          <t>Surface-blended Elo on Hard: Denis Shapovalov p=0.533 vs Zachary Svajda. Executable ask 0.5800 (aec-atp-zacsva-densha-2026-08-03).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NO_CALL_LOW_EDGE</t>
        </is>
      </c>
      <c r="AP169" s="24" t="inlineStr">
        <is>
          <t>Denis Shapovalov</t>
        </is>
      </c>
      <c r="AQ169" s="24" t="inlineStr">
        <is>
          <t>Denis Shapovalov</t>
        </is>
      </c>
      <c r="AR169" s="24" t="inlineStr">
        <is>
          <t>Denis Shapovalov</t>
        </is>
      </c>
      <c r="AS169" s="24" t="inlineStr">
        <is>
          <t>Zachary Svajda</t>
        </is>
      </c>
      <c r="AT169" s="24" t="inlineStr">
        <is>
          <t>Zachary Svajda</t>
        </is>
      </c>
      <c r="AU169" s="24" t="inlineStr">
        <is>
          <t>Zachary Svajda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60749ecfb3f1405f12fbceda11b7e64f2473d40dd327256f9da20b2146b6ae03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60749ecfb3f1405f12fbceda11b7e64f2473d40dd327256f9da20b2146b6ae03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60749ecfb3f1405f12fbceda11b7e64f2473d40dd327256f9da20b2146b6ae03</t>
        </is>
      </c>
      <c r="BH169" s="24" t="inlineStr">
        <is>
          <t>2026-08-04T15:01:12.664700Z</t>
        </is>
      </c>
      <c r="BI169" s="24" t="inlineStr">
        <is>
          <t>["same_event","same_team_same_day","same_league_same_day"]</t>
        </is>
      </c>
      <c r="BJ169" s="25" t="n"/>
      <c r="BK169" s="26" t="n">
        <v>-138</v>
      </c>
      <c r="BL169" s="27" t="n">
        <v>1.724638</v>
      </c>
      <c r="BM169" s="28" t="n">
        <v>0.579832</v>
      </c>
      <c r="BN169" s="28" t="n"/>
      <c r="BO169" s="28" t="n"/>
      <c r="BP169" s="25" t="n"/>
      <c r="BQ169" s="27" t="n">
        <v>1.724638</v>
      </c>
      <c r="BR169" s="28" t="n">
        <v>0.58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</row>
    <row r="170" ht="36" customHeight="1">
      <c r="A170" s="24" t="inlineStr">
        <is>
          <t>c0db19f4295045f8</t>
        </is>
      </c>
      <c r="B170" s="24" t="inlineStr">
        <is>
          <t>2026-08-04T15:02:48.664333Z</t>
        </is>
      </c>
      <c r="C170" s="24" t="inlineStr">
        <is>
          <t>2026-08-04T16:30Z</t>
        </is>
      </c>
      <c r="D170" s="24" t="inlineStr">
        <is>
          <t>421-2026:181813</t>
        </is>
      </c>
      <c r="E170" s="24" t="inlineStr">
        <is>
          <t>TENNIS</t>
        </is>
      </c>
      <c r="F170" s="24" t="inlineStr">
        <is>
          <t>Liam Draxl</t>
        </is>
      </c>
      <c r="G170" s="24" t="inlineStr">
        <is>
          <t>Daniel Merida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-144</v>
      </c>
      <c r="M170" s="27" t="n">
        <v>1.694444</v>
      </c>
      <c r="N170" s="28" t="n">
        <v>0.590164</v>
      </c>
      <c r="O170" s="28" t="n">
        <v>0.69073</v>
      </c>
      <c r="P170" s="28" t="n">
        <v>0.05</v>
      </c>
      <c r="Q170" s="28" t="n">
        <v>0.100566</v>
      </c>
      <c r="R170" s="26" t="n">
        <v>70</v>
      </c>
      <c r="S170" s="29" t="n">
        <v>2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>
        <v>-144</v>
      </c>
      <c r="AA170" s="28" t="n">
        <v>0.59</v>
      </c>
      <c r="AB170" s="28" t="n">
        <v>-0.000164</v>
      </c>
      <c r="AC170" s="30" t="n">
        <v>1.3889</v>
      </c>
      <c r="AD170" s="24" t="inlineStr">
        <is>
          <t>2026-08-04T21:58:47.731499Z</t>
        </is>
      </c>
      <c r="AE170" s="31" t="inlineStr">
        <is>
          <t>Surface-blended Elo on Hard: Liam Draxl p=0.309 vs Daniel Merida. Executable ask 0.5900 (aec-atp-danagu-liadra-2026-08-03).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Liam Draxl</t>
        </is>
      </c>
      <c r="AQ170" s="24" t="inlineStr">
        <is>
          <t>Liam Draxl</t>
        </is>
      </c>
      <c r="AR170" s="24" t="inlineStr">
        <is>
          <t>Liam Draxl</t>
        </is>
      </c>
      <c r="AS170" s="24" t="inlineStr">
        <is>
          <t>Daniel Merida</t>
        </is>
      </c>
      <c r="AT170" s="24" t="inlineStr">
        <is>
          <t>Daniel Merida</t>
        </is>
      </c>
      <c r="AU170" s="24" t="inlineStr">
        <is>
          <t>Daniel Merida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60749ecfb3f1405f12fbceda11b7e64f2473d40dd327256f9da20b2146b6ae03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60749ecfb3f1405f12fbceda11b7e64f2473d40dd327256f9da20b2146b6ae03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60749ecfb3f1405f12fbceda11b7e64f2473d40dd327256f9da20b2146b6ae03</t>
        </is>
      </c>
      <c r="BH170" s="24" t="inlineStr">
        <is>
          <t>2026-08-04T15:01:10.821337Z</t>
        </is>
      </c>
      <c r="BI170" s="24" t="inlineStr">
        <is>
          <t>["same_event","same_team_same_day","same_league_same_day"]</t>
        </is>
      </c>
      <c r="BJ170" s="25" t="n"/>
      <c r="BK170" s="26" t="n">
        <v>-144</v>
      </c>
      <c r="BL170" s="27" t="n">
        <v>1.694444</v>
      </c>
      <c r="BM170" s="28" t="n">
        <v>0.590164</v>
      </c>
      <c r="BN170" s="28" t="n"/>
      <c r="BO170" s="28" t="n"/>
      <c r="BP170" s="25" t="n"/>
      <c r="BQ170" s="27" t="n">
        <v>1.694444</v>
      </c>
      <c r="BR170" s="28" t="n">
        <v>0.59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</row>
    <row r="171" ht="36" customHeight="1">
      <c r="A171" s="24" t="inlineStr">
        <is>
          <t>8ead636b7a9e4345</t>
        </is>
      </c>
      <c r="B171" s="24" t="inlineStr">
        <is>
          <t>2026-08-04T15:02:48.664333Z</t>
        </is>
      </c>
      <c r="C171" s="24" t="inlineStr">
        <is>
          <t>2026-08-04T16:30Z</t>
        </is>
      </c>
      <c r="D171" s="24" t="inlineStr">
        <is>
          <t>421-2026:181818</t>
        </is>
      </c>
      <c r="E171" s="24" t="inlineStr">
        <is>
          <t>TENNIS</t>
        </is>
      </c>
      <c r="F171" s="24" t="inlineStr">
        <is>
          <t>Valentin Royer</t>
        </is>
      </c>
      <c r="G171" s="24" t="inlineStr">
        <is>
          <t>Pablo Carreno Busta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-203</v>
      </c>
      <c r="M171" s="27" t="n">
        <v>1.492611</v>
      </c>
      <c r="N171" s="28" t="n">
        <v>0.669967</v>
      </c>
      <c r="O171" s="28" t="n">
        <v>0.627342</v>
      </c>
      <c r="P171" s="28" t="n">
        <v>0.05</v>
      </c>
      <c r="Q171" s="28" t="n">
        <v>-0.042625</v>
      </c>
      <c r="R171" s="26" t="n">
        <v>0</v>
      </c>
      <c r="S171" s="29" t="n">
        <v>1.5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-203</v>
      </c>
      <c r="AA171" s="28" t="n">
        <v>0.67</v>
      </c>
      <c r="AB171" s="28" t="n">
        <v>3.3e-05</v>
      </c>
      <c r="AC171" s="30" t="n">
        <v>-1.5</v>
      </c>
      <c r="AD171" s="24" t="inlineStr">
        <is>
          <t>2026-08-04T21:58:48.690690Z</t>
        </is>
      </c>
      <c r="AE171" s="31" t="inlineStr">
        <is>
          <t>Surface-blended Elo on Hard: Valentin Royer p=0.373 vs Pablo Carreno Busta. Executable ask 0.6700 (aec-atp-pabbus-valroy-2026-08-03).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NO_CALL_LOW_EDGE</t>
        </is>
      </c>
      <c r="AP171" s="24" t="inlineStr">
        <is>
          <t>Valentin Royer</t>
        </is>
      </c>
      <c r="AQ171" s="24" t="inlineStr">
        <is>
          <t>Valentin Royer</t>
        </is>
      </c>
      <c r="AR171" s="24" t="inlineStr">
        <is>
          <t>Valentin Royer</t>
        </is>
      </c>
      <c r="AS171" s="24" t="inlineStr">
        <is>
          <t>Pablo Carreno Busta</t>
        </is>
      </c>
      <c r="AT171" s="24" t="inlineStr">
        <is>
          <t>Pablo Carreno Busta</t>
        </is>
      </c>
      <c r="AU171" s="24" t="inlineStr">
        <is>
          <t>Pablo Carreno Busta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60749ecfb3f1405f12fbceda11b7e64f2473d40dd327256f9da20b2146b6ae03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60749ecfb3f1405f12fbceda11b7e64f2473d40dd327256f9da20b2146b6ae03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60749ecfb3f1405f12fbceda11b7e64f2473d40dd327256f9da20b2146b6ae03</t>
        </is>
      </c>
      <c r="BH171" s="24" t="inlineStr">
        <is>
          <t>2026-08-04T15:01:11.574649Z</t>
        </is>
      </c>
      <c r="BI171" s="24" t="inlineStr">
        <is>
          <t>["same_event","same_team_same_day","same_league_same_day"]</t>
        </is>
      </c>
      <c r="BJ171" s="25" t="n"/>
      <c r="BK171" s="26" t="n">
        <v>-203</v>
      </c>
      <c r="BL171" s="27" t="n">
        <v>1.492611</v>
      </c>
      <c r="BM171" s="28" t="n">
        <v>0.669967</v>
      </c>
      <c r="BN171" s="28" t="n"/>
      <c r="BO171" s="28" t="n"/>
      <c r="BP171" s="25" t="n"/>
      <c r="BQ171" s="27" t="n">
        <v>1.492611</v>
      </c>
      <c r="BR171" s="28" t="n">
        <v>0.67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4ace1908198c4aa4</t>
        </is>
      </c>
      <c r="B172" s="24" t="inlineStr">
        <is>
          <t>2026-08-04T15:02:48.664333Z</t>
        </is>
      </c>
      <c r="C172" s="24" t="inlineStr">
        <is>
          <t>2026-08-04T16:30Z</t>
        </is>
      </c>
      <c r="D172" s="24" t="inlineStr">
        <is>
          <t>421-2026:181819</t>
        </is>
      </c>
      <c r="E172" s="24" t="inlineStr">
        <is>
          <t>TENNIS</t>
        </is>
      </c>
      <c r="F172" s="24" t="inlineStr">
        <is>
          <t>Roman Andres Burruchaga</t>
        </is>
      </c>
      <c r="G172" s="24" t="inlineStr">
        <is>
          <t>Alexei Popyrin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156</v>
      </c>
      <c r="M172" s="27" t="n">
        <v>2.56</v>
      </c>
      <c r="N172" s="28" t="n">
        <v>0.390625</v>
      </c>
      <c r="O172" s="28" t="n">
        <v>0.51802</v>
      </c>
      <c r="P172" s="28" t="n">
        <v>0.05</v>
      </c>
      <c r="Q172" s="28" t="n">
        <v>0.127395</v>
      </c>
      <c r="R172" s="26" t="n">
        <v>84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loss</t>
        </is>
      </c>
      <c r="W172" s="26" t="n">
        <v>0</v>
      </c>
      <c r="X172" s="26" t="n">
        <v>1</v>
      </c>
      <c r="Y172" s="25" t="n"/>
      <c r="Z172" s="26" t="n">
        <v>156</v>
      </c>
      <c r="AA172" s="28" t="n">
        <v>0.39</v>
      </c>
      <c r="AB172" s="28" t="n">
        <v>-0.000625</v>
      </c>
      <c r="AC172" s="30" t="n">
        <v>-1</v>
      </c>
      <c r="AD172" s="24" t="inlineStr">
        <is>
          <t>2026-08-04T21:58:49.617033Z</t>
        </is>
      </c>
      <c r="AE172" s="31" t="inlineStr">
        <is>
          <t>Surface-blended Elo on Hard: Roman Andres Burruchaga p=0.518 vs Alexei Popyrin. Executable ask 0.3900 (aec-atp-alepop-rombur-2026-08-03).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NO_CALL_LOW_EDGE</t>
        </is>
      </c>
      <c r="AP172" s="24" t="inlineStr">
        <is>
          <t>Roman Andres Burruchaga</t>
        </is>
      </c>
      <c r="AQ172" s="24" t="inlineStr">
        <is>
          <t>Roman Andres Burruchaga</t>
        </is>
      </c>
      <c r="AR172" s="24" t="inlineStr">
        <is>
          <t>Roman Andres Burruchaga</t>
        </is>
      </c>
      <c r="AS172" s="24" t="inlineStr">
        <is>
          <t>Alexei Popyrin</t>
        </is>
      </c>
      <c r="AT172" s="24" t="inlineStr">
        <is>
          <t>Alexei Popyrin</t>
        </is>
      </c>
      <c r="AU172" s="24" t="inlineStr">
        <is>
          <t>Alexei Popyrin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60749ecfb3f1405f12fbceda11b7e64f2473d40dd327256f9da20b2146b6ae03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60749ecfb3f1405f12fbceda11b7e64f2473d40dd327256f9da20b2146b6ae03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60749ecfb3f1405f12fbceda11b7e64f2473d40dd327256f9da20b2146b6ae03</t>
        </is>
      </c>
      <c r="BH172" s="24" t="inlineStr">
        <is>
          <t>2026-08-04T15:01:13.690070Z</t>
        </is>
      </c>
      <c r="BI172" s="24" t="inlineStr">
        <is>
          <t>["same_event","same_team_same_day","same_league_same_day"]</t>
        </is>
      </c>
      <c r="BJ172" s="25" t="n"/>
      <c r="BK172" s="26" t="n">
        <v>156</v>
      </c>
      <c r="BL172" s="27" t="n">
        <v>2.56</v>
      </c>
      <c r="BM172" s="28" t="n">
        <v>0.390625</v>
      </c>
      <c r="BN172" s="28" t="n"/>
      <c r="BO172" s="28" t="n"/>
      <c r="BP172" s="25" t="n"/>
      <c r="BQ172" s="27" t="n">
        <v>2.56</v>
      </c>
      <c r="BR172" s="28" t="n">
        <v>0.39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9d77eb467aa14330</t>
        </is>
      </c>
      <c r="B173" s="24" t="inlineStr">
        <is>
          <t>2026-08-04T16:52:13.548572Z</t>
        </is>
      </c>
      <c r="C173" s="24" t="inlineStr">
        <is>
          <t>2026-08-04T18:00Z</t>
        </is>
      </c>
      <c r="D173" s="24" t="inlineStr">
        <is>
          <t>421-2026:182166</t>
        </is>
      </c>
      <c r="E173" s="24" t="inlineStr">
        <is>
          <t>TENNIS</t>
        </is>
      </c>
      <c r="F173" s="24" t="inlineStr">
        <is>
          <t>Madison Keys</t>
        </is>
      </c>
      <c r="G173" s="24" t="inlineStr">
        <is>
          <t>Antonia Ruzic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-456</v>
      </c>
      <c r="M173" s="27" t="n">
        <v>1.219298</v>
      </c>
      <c r="N173" s="28" t="n">
        <v>0.820144</v>
      </c>
      <c r="O173" s="28" t="n">
        <v>0.771595</v>
      </c>
      <c r="P173" s="28" t="n">
        <v>0.05</v>
      </c>
      <c r="Q173" s="28" t="n">
        <v>-0.048549</v>
      </c>
      <c r="R173" s="26" t="n">
        <v>0</v>
      </c>
      <c r="S173" s="29" t="n">
        <v>2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win</t>
        </is>
      </c>
      <c r="W173" s="26" t="n">
        <v>1</v>
      </c>
      <c r="X173" s="26" t="n">
        <v>0</v>
      </c>
      <c r="Y173" s="25" t="n"/>
      <c r="Z173" s="26" t="n">
        <v>-456</v>
      </c>
      <c r="AA173" s="28" t="n">
        <v>0.82</v>
      </c>
      <c r="AB173" s="28" t="n">
        <v>-0.000144</v>
      </c>
      <c r="AC173" s="30" t="n">
        <v>0.4386</v>
      </c>
      <c r="AD173" s="24" t="inlineStr">
        <is>
          <t>2026-08-04T21:58:50.571345Z</t>
        </is>
      </c>
      <c r="AE173" s="31" t="inlineStr">
        <is>
          <t>Surface-blended Elo on Hard: Madison Keys p=0.772 vs Antonia Ruzic. Executable ask 0.8200 (aec-wta-antruz-madkey-2026-08-04).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NO_CALL_LOW_EDGE</t>
        </is>
      </c>
      <c r="AP173" s="24" t="inlineStr">
        <is>
          <t>Madison Keys</t>
        </is>
      </c>
      <c r="AQ173" s="24" t="inlineStr">
        <is>
          <t>Madison Keys</t>
        </is>
      </c>
      <c r="AR173" s="24" t="inlineStr">
        <is>
          <t>Madison Keys</t>
        </is>
      </c>
      <c r="AS173" s="24" t="inlineStr">
        <is>
          <t>Antonia Ruzic</t>
        </is>
      </c>
      <c r="AT173" s="24" t="inlineStr">
        <is>
          <t>Antonia Ruzic</t>
        </is>
      </c>
      <c r="AU173" s="24" t="inlineStr">
        <is>
          <t>Antonia Ruzic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60749ecfb3f1405f12fbceda11b7e64f2473d40dd327256f9da20b2146b6ae03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60749ecfb3f1405f12fbceda11b7e64f2473d40dd327256f9da20b2146b6ae03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60749ecfb3f1405f12fbceda11b7e64f2473d40dd327256f9da20b2146b6ae03</t>
        </is>
      </c>
      <c r="BH173" s="24" t="inlineStr">
        <is>
          <t>2026-08-04T16:50:32.218437Z</t>
        </is>
      </c>
      <c r="BI173" s="24" t="inlineStr">
        <is>
          <t>["same_event","same_team_same_day","same_league_same_day"]</t>
        </is>
      </c>
      <c r="BJ173" s="25" t="n"/>
      <c r="BK173" s="26" t="n">
        <v>-456</v>
      </c>
      <c r="BL173" s="27" t="n">
        <v>1.219298</v>
      </c>
      <c r="BM173" s="28" t="n">
        <v>0.820144</v>
      </c>
      <c r="BN173" s="28" t="n"/>
      <c r="BO173" s="28" t="n"/>
      <c r="BP173" s="25" t="n"/>
      <c r="BQ173" s="27" t="n">
        <v>1.219298</v>
      </c>
      <c r="BR173" s="28" t="n">
        <v>0.82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</row>
    <row r="174" ht="36" customHeight="1">
      <c r="A174" s="24" t="inlineStr">
        <is>
          <t>6b9b651ef36a437e</t>
        </is>
      </c>
      <c r="B174" s="24" t="inlineStr">
        <is>
          <t>2026-08-04T16:52:13.548572Z</t>
        </is>
      </c>
      <c r="C174" s="24" t="inlineStr">
        <is>
          <t>2026-08-04T18:00Z</t>
        </is>
      </c>
      <c r="D174" s="24" t="inlineStr">
        <is>
          <t>421-2026:182194</t>
        </is>
      </c>
      <c r="E174" s="24" t="inlineStr">
        <is>
          <t>TENNIS</t>
        </is>
      </c>
      <c r="F174" s="24" t="inlineStr">
        <is>
          <t>Katherine Sebov</t>
        </is>
      </c>
      <c r="G174" s="24" t="inlineStr">
        <is>
          <t>Marta Kostyuk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-1900</v>
      </c>
      <c r="M174" s="27" t="n">
        <v>1.052632</v>
      </c>
      <c r="N174" s="28" t="n">
        <v>0.95</v>
      </c>
      <c r="O174" s="28" t="n">
        <v>0.886886</v>
      </c>
      <c r="P174" s="28" t="n">
        <v>0.05</v>
      </c>
      <c r="Q174" s="28" t="n">
        <v>-0.063114</v>
      </c>
      <c r="R174" s="26" t="n">
        <v>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>
        <v>-1900</v>
      </c>
      <c r="AA174" s="28" t="n">
        <v>0.95</v>
      </c>
      <c r="AB174" s="28" t="n">
        <v>0</v>
      </c>
      <c r="AC174" s="30" t="n">
        <v>0.1053</v>
      </c>
      <c r="AD174" s="24" t="inlineStr">
        <is>
          <t>2026-08-04T21:58:51.495000Z</t>
        </is>
      </c>
      <c r="AE174" s="31" t="inlineStr">
        <is>
          <t>Surface-blended Elo on Hard: Katherine Sebov p=0.113 vs Marta Kostyuk. Executable ask 0.9500 (aec-wta-markos-katseb-2026-08-03).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NO_CALL_LOW_EDGE</t>
        </is>
      </c>
      <c r="AP174" s="24" t="inlineStr">
        <is>
          <t>Katherine Sebov</t>
        </is>
      </c>
      <c r="AQ174" s="24" t="inlineStr">
        <is>
          <t>Katherine Sebov</t>
        </is>
      </c>
      <c r="AR174" s="24" t="inlineStr">
        <is>
          <t>Katherine Sebov</t>
        </is>
      </c>
      <c r="AS174" s="24" t="inlineStr">
        <is>
          <t>Marta Kostyuk</t>
        </is>
      </c>
      <c r="AT174" s="24" t="inlineStr">
        <is>
          <t>Marta Kostyuk</t>
        </is>
      </c>
      <c r="AU174" s="24" t="inlineStr">
        <is>
          <t>Marta Kostyuk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60749ecfb3f1405f12fbceda11b7e64f2473d40dd327256f9da20b2146b6ae03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60749ecfb3f1405f12fbceda11b7e64f2473d40dd327256f9da20b2146b6ae03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60749ecfb3f1405f12fbceda11b7e64f2473d40dd327256f9da20b2146b6ae03</t>
        </is>
      </c>
      <c r="BH174" s="24" t="inlineStr">
        <is>
          <t>2026-08-04T16:50:30.668064Z</t>
        </is>
      </c>
      <c r="BI174" s="24" t="inlineStr">
        <is>
          <t>["same_event","same_team_same_day","same_league_same_day"]</t>
        </is>
      </c>
      <c r="BJ174" s="25" t="n"/>
      <c r="BK174" s="26" t="n">
        <v>-1900</v>
      </c>
      <c r="BL174" s="27" t="n">
        <v>1.052632</v>
      </c>
      <c r="BM174" s="28" t="n">
        <v>0.95</v>
      </c>
      <c r="BN174" s="28" t="n"/>
      <c r="BO174" s="28" t="n"/>
      <c r="BP174" s="25" t="n"/>
      <c r="BQ174" s="27" t="n">
        <v>1.052632</v>
      </c>
      <c r="BR174" s="28" t="n">
        <v>0.95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c11f98c206f149b4</t>
        </is>
      </c>
      <c r="B175" s="24" t="inlineStr">
        <is>
          <t>2026-08-04T16:52:13.548572Z</t>
        </is>
      </c>
      <c r="C175" s="24" t="inlineStr">
        <is>
          <t>2026-08-04T18:00Z</t>
        </is>
      </c>
      <c r="D175" s="24" t="inlineStr">
        <is>
          <t>421-2026:182202</t>
        </is>
      </c>
      <c r="E175" s="24" t="inlineStr">
        <is>
          <t>TENNIS</t>
        </is>
      </c>
      <c r="F175" s="24" t="inlineStr">
        <is>
          <t>Talia Gibson</t>
        </is>
      </c>
      <c r="G175" s="24" t="inlineStr">
        <is>
          <t>Maja Chwalinska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122</v>
      </c>
      <c r="M175" s="27" t="n">
        <v>2.22</v>
      </c>
      <c r="N175" s="28" t="n">
        <v>0.45045</v>
      </c>
      <c r="O175" s="28" t="n">
        <v>0.623502</v>
      </c>
      <c r="P175" s="28" t="n">
        <v>0.05</v>
      </c>
      <c r="Q175" s="28" t="n">
        <v>0.173052</v>
      </c>
      <c r="R175" s="26" t="n">
        <v>100</v>
      </c>
      <c r="S175" s="29" t="n">
        <v>1.5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122</v>
      </c>
      <c r="AA175" s="28" t="n">
        <v>0.45</v>
      </c>
      <c r="AB175" s="28" t="n">
        <v>-0.00045</v>
      </c>
      <c r="AC175" s="30" t="n">
        <v>-1.5</v>
      </c>
      <c r="AD175" s="24" t="inlineStr">
        <is>
          <t>2026-08-04T21:58:52.417030Z</t>
        </is>
      </c>
      <c r="AE175" s="31" t="inlineStr">
        <is>
          <t>Surface-blended Elo on Hard: Talia Gibson p=0.376 vs Maja Chwalinska. Executable ask 0.4500 (aec-wta-majchw-talgib-2026-08-04).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Talia Gibson</t>
        </is>
      </c>
      <c r="AQ175" s="24" t="inlineStr">
        <is>
          <t>Talia Gibson</t>
        </is>
      </c>
      <c r="AR175" s="24" t="inlineStr">
        <is>
          <t>Talia Gibson</t>
        </is>
      </c>
      <c r="AS175" s="24" t="inlineStr">
        <is>
          <t>Maja Chwalinska</t>
        </is>
      </c>
      <c r="AT175" s="24" t="inlineStr">
        <is>
          <t>Maja Chwalinska</t>
        </is>
      </c>
      <c r="AU175" s="24" t="inlineStr">
        <is>
          <t>Maja Chwalinska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60749ecfb3f1405f12fbceda11b7e64f2473d40dd327256f9da20b2146b6ae03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60749ecfb3f1405f12fbceda11b7e64f2473d40dd327256f9da20b2146b6ae03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60749ecfb3f1405f12fbceda11b7e64f2473d40dd327256f9da20b2146b6ae03</t>
        </is>
      </c>
      <c r="BH175" s="24" t="inlineStr">
        <is>
          <t>2026-08-04T16:50:30.241150Z</t>
        </is>
      </c>
      <c r="BI175" s="24" t="inlineStr">
        <is>
          <t>["same_event","same_team_same_day","same_league_same_day"]</t>
        </is>
      </c>
      <c r="BJ175" s="25" t="n"/>
      <c r="BK175" s="26" t="n">
        <v>122</v>
      </c>
      <c r="BL175" s="27" t="n">
        <v>2.22</v>
      </c>
      <c r="BM175" s="28" t="n">
        <v>0.45045</v>
      </c>
      <c r="BN175" s="28" t="n"/>
      <c r="BO175" s="28" t="n"/>
      <c r="BP175" s="25" t="n"/>
      <c r="BQ175" s="27" t="n">
        <v>2.22</v>
      </c>
      <c r="BR175" s="28" t="n">
        <v>0.45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</row>
    <row r="176" ht="36" customHeight="1">
      <c r="A176" s="24" t="inlineStr">
        <is>
          <t>85bc42cc03554db8</t>
        </is>
      </c>
      <c r="B176" s="24" t="inlineStr">
        <is>
          <t>2026-08-04T16:52:13.548572Z</t>
        </is>
      </c>
      <c r="C176" s="24" t="inlineStr">
        <is>
          <t>2026-08-04T18:00Z</t>
        </is>
      </c>
      <c r="D176" s="24" t="inlineStr">
        <is>
          <t>421-2026:181773</t>
        </is>
      </c>
      <c r="E176" s="24" t="inlineStr">
        <is>
          <t>TENNIS</t>
        </is>
      </c>
      <c r="F176" s="24" t="inlineStr">
        <is>
          <t>Andrey Rublev</t>
        </is>
      </c>
      <c r="G176" s="24" t="inlineStr">
        <is>
          <t>Shang Juncheng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-355</v>
      </c>
      <c r="M176" s="27" t="n">
        <v>1.28169</v>
      </c>
      <c r="N176" s="28" t="n">
        <v>0.78022</v>
      </c>
      <c r="O176" s="28" t="n">
        <v>0.734849</v>
      </c>
      <c r="P176" s="28" t="n">
        <v>0.05</v>
      </c>
      <c r="Q176" s="28" t="n">
        <v>-0.045371</v>
      </c>
      <c r="R176" s="26" t="n">
        <v>0</v>
      </c>
      <c r="S176" s="29" t="n">
        <v>2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loss</t>
        </is>
      </c>
      <c r="W176" s="26" t="n">
        <v>0</v>
      </c>
      <c r="X176" s="26" t="n">
        <v>1</v>
      </c>
      <c r="Y176" s="25" t="n"/>
      <c r="Z176" s="26" t="n">
        <v>-355</v>
      </c>
      <c r="AA176" s="28" t="n">
        <v>0.78</v>
      </c>
      <c r="AB176" s="28" t="n">
        <v>-0.00022</v>
      </c>
      <c r="AC176" s="30" t="n">
        <v>-2</v>
      </c>
      <c r="AD176" s="24" t="inlineStr">
        <is>
          <t>2026-08-05T01:05:39.351665Z</t>
        </is>
      </c>
      <c r="AE176" s="31" t="inlineStr">
        <is>
          <t>Surface-blended Elo on Hard: Andrey Rublev p=0.735 vs Shang Juncheng. Executable ask 0.7800 (aec-atp-junsha-andrub-2026-08-03).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NO_CALL_LOW_EDGE</t>
        </is>
      </c>
      <c r="AP176" s="24" t="inlineStr">
        <is>
          <t>Andrey Rublev</t>
        </is>
      </c>
      <c r="AQ176" s="24" t="inlineStr">
        <is>
          <t>Andrey Rublev</t>
        </is>
      </c>
      <c r="AR176" s="24" t="inlineStr">
        <is>
          <t>Andrey Rublev</t>
        </is>
      </c>
      <c r="AS176" s="24" t="inlineStr">
        <is>
          <t>Shang Juncheng</t>
        </is>
      </c>
      <c r="AT176" s="24" t="inlineStr">
        <is>
          <t>Shang Juncheng</t>
        </is>
      </c>
      <c r="AU176" s="24" t="inlineStr">
        <is>
          <t>Shang Juncheng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60749ecfb3f1405f12fbceda11b7e64f2473d40dd327256f9da20b2146b6ae03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60749ecfb3f1405f12fbceda11b7e64f2473d40dd327256f9da20b2146b6ae03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60749ecfb3f1405f12fbceda11b7e64f2473d40dd327256f9da20b2146b6ae03</t>
        </is>
      </c>
      <c r="BH176" s="24" t="inlineStr">
        <is>
          <t>2026-08-04T16:50:44.221495Z</t>
        </is>
      </c>
      <c r="BI176" s="24" t="inlineStr">
        <is>
          <t>["same_event","same_team_same_day","same_league_same_day"]</t>
        </is>
      </c>
      <c r="BJ176" s="25" t="n"/>
      <c r="BK176" s="26" t="n">
        <v>-355</v>
      </c>
      <c r="BL176" s="27" t="n">
        <v>1.28169</v>
      </c>
      <c r="BM176" s="28" t="n">
        <v>0.78022</v>
      </c>
      <c r="BN176" s="28" t="n"/>
      <c r="BO176" s="28" t="n"/>
      <c r="BP176" s="25" t="n"/>
      <c r="BQ176" s="27" t="n">
        <v>1.28169</v>
      </c>
      <c r="BR176" s="28" t="n">
        <v>0.78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</row>
    <row r="177" ht="36" customHeight="1">
      <c r="A177" s="24" t="inlineStr">
        <is>
          <t>0cdb66ae7ceb4005</t>
        </is>
      </c>
      <c r="B177" s="24" t="inlineStr">
        <is>
          <t>2026-08-04T16:52:13.548572Z</t>
        </is>
      </c>
      <c r="C177" s="24" t="inlineStr">
        <is>
          <t>2026-08-04T18:00Z</t>
        </is>
      </c>
      <c r="D177" s="24" t="inlineStr">
        <is>
          <t>421-2026:181784</t>
        </is>
      </c>
      <c r="E177" s="24" t="inlineStr">
        <is>
          <t>TENNIS</t>
        </is>
      </c>
      <c r="F177" s="24" t="inlineStr">
        <is>
          <t>Tallon Griekspoor</t>
        </is>
      </c>
      <c r="G177" s="24" t="inlineStr">
        <is>
          <t>Lorenzo Sonego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-108</v>
      </c>
      <c r="M177" s="27" t="n">
        <v>1.925926</v>
      </c>
      <c r="N177" s="28" t="n">
        <v>0.519231</v>
      </c>
      <c r="O177" s="28" t="n">
        <v>0.506379</v>
      </c>
      <c r="P177" s="28" t="n">
        <v>0.05</v>
      </c>
      <c r="Q177" s="28" t="n">
        <v>-0.012852</v>
      </c>
      <c r="R177" s="26" t="n">
        <v>14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-108</v>
      </c>
      <c r="AA177" s="28" t="n">
        <v>0.52</v>
      </c>
      <c r="AB177" s="28" t="n">
        <v>0.000769</v>
      </c>
      <c r="AC177" s="30" t="n">
        <v>0.9258999999999999</v>
      </c>
      <c r="AD177" s="24" t="inlineStr">
        <is>
          <t>2026-08-04T21:58:53.385043Z</t>
        </is>
      </c>
      <c r="AE177" s="31" t="inlineStr">
        <is>
          <t>Surface-blended Elo on Hard: Tallon Griekspoor p=0.506 vs Lorenzo Sonego. Executable ask 0.5200 (aec-atp-lorson-talgri-2026-08-03).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NO_CALL_LOW_EDGE</t>
        </is>
      </c>
      <c r="AP177" s="24" t="inlineStr">
        <is>
          <t>Tallon Griekspoor</t>
        </is>
      </c>
      <c r="AQ177" s="24" t="inlineStr">
        <is>
          <t>Tallon Griekspoor</t>
        </is>
      </c>
      <c r="AR177" s="24" t="inlineStr">
        <is>
          <t>Tallon Griekspoor</t>
        </is>
      </c>
      <c r="AS177" s="24" t="inlineStr">
        <is>
          <t>Lorenzo Sonego</t>
        </is>
      </c>
      <c r="AT177" s="24" t="inlineStr">
        <is>
          <t>Lorenzo Sonego</t>
        </is>
      </c>
      <c r="AU177" s="24" t="inlineStr">
        <is>
          <t>Lorenzo Sonego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60749ecfb3f1405f12fbceda11b7e64f2473d40dd327256f9da20b2146b6ae03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60749ecfb3f1405f12fbceda11b7e64f2473d40dd327256f9da20b2146b6ae03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60749ecfb3f1405f12fbceda11b7e64f2473d40dd327256f9da20b2146b6ae03</t>
        </is>
      </c>
      <c r="BH177" s="24" t="inlineStr">
        <is>
          <t>2026-08-04T16:50:47.141714Z</t>
        </is>
      </c>
      <c r="BI177" s="24" t="inlineStr">
        <is>
          <t>["same_event","same_team_same_day","same_league_same_day"]</t>
        </is>
      </c>
      <c r="BJ177" s="25" t="n"/>
      <c r="BK177" s="26" t="n">
        <v>-108</v>
      </c>
      <c r="BL177" s="27" t="n">
        <v>1.925926</v>
      </c>
      <c r="BM177" s="28" t="n">
        <v>0.519231</v>
      </c>
      <c r="BN177" s="28" t="n"/>
      <c r="BO177" s="28" t="n"/>
      <c r="BP177" s="25" t="n"/>
      <c r="BQ177" s="27" t="n">
        <v>1.925926</v>
      </c>
      <c r="BR177" s="28" t="n">
        <v>0.52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</row>
    <row r="178" ht="36" customHeight="1">
      <c r="A178" s="24" t="inlineStr">
        <is>
          <t>ffdcf10066004572</t>
        </is>
      </c>
      <c r="B178" s="24" t="inlineStr">
        <is>
          <t>2026-08-04T16:52:13.548572Z</t>
        </is>
      </c>
      <c r="C178" s="24" t="inlineStr">
        <is>
          <t>2026-08-04T18:00Z</t>
        </is>
      </c>
      <c r="D178" s="24" t="inlineStr">
        <is>
          <t>421-2026:181805</t>
        </is>
      </c>
      <c r="E178" s="24" t="inlineStr">
        <is>
          <t>TENNIS</t>
        </is>
      </c>
      <c r="F178" s="24" t="inlineStr">
        <is>
          <t>Botic Van De Zandschulp</t>
        </is>
      </c>
      <c r="G178" s="24" t="inlineStr">
        <is>
          <t>Giovanni Mpetshi Perricard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-133</v>
      </c>
      <c r="M178" s="27" t="n">
        <v>1.75188</v>
      </c>
      <c r="N178" s="28" t="n">
        <v>0.570815</v>
      </c>
      <c r="O178" s="28" t="n">
        <v>0.517974</v>
      </c>
      <c r="P178" s="28" t="n">
        <v>0.05</v>
      </c>
      <c r="Q178" s="28" t="n">
        <v>-0.052841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-133</v>
      </c>
      <c r="AA178" s="28" t="n">
        <v>0.57</v>
      </c>
      <c r="AB178" s="28" t="n">
        <v>-0.000815</v>
      </c>
      <c r="AC178" s="30" t="n">
        <v>0.7519</v>
      </c>
      <c r="AD178" s="24" t="inlineStr">
        <is>
          <t>2026-08-04T21:58:54.310078Z</t>
        </is>
      </c>
      <c r="AE178" s="31" t="inlineStr">
        <is>
          <t>Surface-blended Elo on Hard: Botic Van De Zandschulp p=0.518 vs Giovanni Mpetshi Perricard. Executable ask 0.5700 (aec-atp-gioper-botzan-2026-08-03).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NO_CALL_LOW_EDGE</t>
        </is>
      </c>
      <c r="AP178" s="24" t="inlineStr">
        <is>
          <t>Botic Van De Zandschulp</t>
        </is>
      </c>
      <c r="AQ178" s="24" t="inlineStr">
        <is>
          <t>Botic Van De Zandschulp</t>
        </is>
      </c>
      <c r="AR178" s="24" t="inlineStr">
        <is>
          <t>Botic Van De Zandschulp</t>
        </is>
      </c>
      <c r="AS178" s="24" t="inlineStr">
        <is>
          <t>Giovanni Mpetshi Perricard</t>
        </is>
      </c>
      <c r="AT178" s="24" t="inlineStr">
        <is>
          <t>Giovanni Mpetshi Perricard</t>
        </is>
      </c>
      <c r="AU178" s="24" t="inlineStr">
        <is>
          <t>Giovanni Mpetshi Perricard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60749ecfb3f1405f12fbceda11b7e64f2473d40dd327256f9da20b2146b6ae03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60749ecfb3f1405f12fbceda11b7e64f2473d40dd327256f9da20b2146b6ae03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60749ecfb3f1405f12fbceda11b7e64f2473d40dd327256f9da20b2146b6ae03</t>
        </is>
      </c>
      <c r="BH178" s="24" t="inlineStr">
        <is>
          <t>2026-08-04T16:50:45.767267Z</t>
        </is>
      </c>
      <c r="BI178" s="24" t="inlineStr">
        <is>
          <t>["same_event","same_team_same_day","same_league_same_day"]</t>
        </is>
      </c>
      <c r="BJ178" s="25" t="n"/>
      <c r="BK178" s="26" t="n">
        <v>-133</v>
      </c>
      <c r="BL178" s="27" t="n">
        <v>1.75188</v>
      </c>
      <c r="BM178" s="28" t="n">
        <v>0.570815</v>
      </c>
      <c r="BN178" s="28" t="n"/>
      <c r="BO178" s="28" t="n"/>
      <c r="BP178" s="25" t="n"/>
      <c r="BQ178" s="27" t="n">
        <v>1.75188</v>
      </c>
      <c r="BR178" s="28" t="n">
        <v>0.57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463a5b712797413e</t>
        </is>
      </c>
      <c r="B179" s="24" t="inlineStr">
        <is>
          <t>2026-08-04T16:52:13.548572Z</t>
        </is>
      </c>
      <c r="C179" s="24" t="inlineStr">
        <is>
          <t>2026-08-04T18:00Z</t>
        </is>
      </c>
      <c r="D179" s="24" t="inlineStr">
        <is>
          <t>421-2026:181810</t>
        </is>
      </c>
      <c r="E179" s="24" t="inlineStr">
        <is>
          <t>TENNIS</t>
        </is>
      </c>
      <c r="F179" s="24" t="inlineStr">
        <is>
          <t>Jack Draper</t>
        </is>
      </c>
      <c r="G179" s="24" t="inlineStr">
        <is>
          <t>Terence Atmane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-203</v>
      </c>
      <c r="M179" s="27" t="n">
        <v>1.492611</v>
      </c>
      <c r="N179" s="28" t="n">
        <v>0.669967</v>
      </c>
      <c r="O179" s="28" t="n">
        <v>0.781578</v>
      </c>
      <c r="P179" s="28" t="n">
        <v>0.05</v>
      </c>
      <c r="Q179" s="28" t="n">
        <v>0.111611</v>
      </c>
      <c r="R179" s="26" t="n">
        <v>76</v>
      </c>
      <c r="S179" s="29" t="n">
        <v>2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-203</v>
      </c>
      <c r="AA179" s="28" t="n">
        <v>0.67</v>
      </c>
      <c r="AB179" s="28" t="n">
        <v>3.3e-05</v>
      </c>
      <c r="AC179" s="30" t="n">
        <v>-2</v>
      </c>
      <c r="AD179" s="24" t="inlineStr">
        <is>
          <t>2026-08-04T21:58:55.280969Z</t>
        </is>
      </c>
      <c r="AE179" s="31" t="inlineStr">
        <is>
          <t>Surface-blended Elo on Hard: Jack Draper p=0.782 vs Terence Atmane. Executable ask 0.6700 (aec-atp-teratm-jacdra-2026-08-03).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Jack Draper</t>
        </is>
      </c>
      <c r="AQ179" s="24" t="inlineStr">
        <is>
          <t>Jack Draper</t>
        </is>
      </c>
      <c r="AR179" s="24" t="inlineStr">
        <is>
          <t>Jack Draper</t>
        </is>
      </c>
      <c r="AS179" s="24" t="inlineStr">
        <is>
          <t>Terence Atmane</t>
        </is>
      </c>
      <c r="AT179" s="24" t="inlineStr">
        <is>
          <t>Terence Atmane</t>
        </is>
      </c>
      <c r="AU179" s="24" t="inlineStr">
        <is>
          <t>Terence Atmane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60749ecfb3f1405f12fbceda11b7e64f2473d40dd327256f9da20b2146b6ae03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60749ecfb3f1405f12fbceda11b7e64f2473d40dd327256f9da20b2146b6ae03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60749ecfb3f1405f12fbceda11b7e64f2473d40dd327256f9da20b2146b6ae03</t>
        </is>
      </c>
      <c r="BH179" s="24" t="inlineStr">
        <is>
          <t>2026-08-04T16:50:46.373890Z</t>
        </is>
      </c>
      <c r="BI179" s="24" t="inlineStr">
        <is>
          <t>["same_event","same_team_same_day","same_league_same_day"]</t>
        </is>
      </c>
      <c r="BJ179" s="25" t="n"/>
      <c r="BK179" s="26" t="n">
        <v>-203</v>
      </c>
      <c r="BL179" s="27" t="n">
        <v>1.492611</v>
      </c>
      <c r="BM179" s="28" t="n">
        <v>0.669967</v>
      </c>
      <c r="BN179" s="28" t="n"/>
      <c r="BO179" s="28" t="n"/>
      <c r="BP179" s="25" t="n"/>
      <c r="BQ179" s="27" t="n">
        <v>1.492611</v>
      </c>
      <c r="BR179" s="28" t="n">
        <v>0.67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367a1687df764c14</t>
        </is>
      </c>
      <c r="B180" s="24" t="inlineStr">
        <is>
          <t>2026-08-04T16:52:13.548572Z</t>
        </is>
      </c>
      <c r="C180" s="24" t="inlineStr">
        <is>
          <t>2026-08-04T18:00Z</t>
        </is>
      </c>
      <c r="D180" s="24" t="inlineStr">
        <is>
          <t>421-2026:181829</t>
        </is>
      </c>
      <c r="E180" s="24" t="inlineStr">
        <is>
          <t>TENNIS</t>
        </is>
      </c>
      <c r="F180" s="24" t="inlineStr">
        <is>
          <t>Hamad Medjedovic</t>
        </is>
      </c>
      <c r="G180" s="24" t="inlineStr">
        <is>
          <t>Juan Manuel Cerundolo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-163</v>
      </c>
      <c r="M180" s="27" t="n">
        <v>1.613497</v>
      </c>
      <c r="N180" s="28" t="n">
        <v>0.619772</v>
      </c>
      <c r="O180" s="28" t="n">
        <v>0.595125</v>
      </c>
      <c r="P180" s="28" t="n">
        <v>0.05</v>
      </c>
      <c r="Q180" s="28" t="n">
        <v>-0.024647</v>
      </c>
      <c r="R180" s="26" t="n">
        <v>8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>
        <v>-163</v>
      </c>
      <c r="AA180" s="28" t="n">
        <v>0.62</v>
      </c>
      <c r="AB180" s="28" t="n">
        <v>0.000228</v>
      </c>
      <c r="AC180" s="30" t="n">
        <v>-1.25</v>
      </c>
      <c r="AD180" s="24" t="inlineStr">
        <is>
          <t>2026-08-04T21:58:56.212311Z</t>
        </is>
      </c>
      <c r="AE180" s="31" t="inlineStr">
        <is>
          <t>Surface-blended Elo on Hard: Hamad Medjedovic p=0.595 vs Juan Manuel Cerundolo. Executable ask 0.6200 (aec-atp-juacer-hammed-2026-08-03).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NO_CALL_LOW_EDGE</t>
        </is>
      </c>
      <c r="AP180" s="24" t="inlineStr">
        <is>
          <t>Hamad Medjedovic</t>
        </is>
      </c>
      <c r="AQ180" s="24" t="inlineStr">
        <is>
          <t>Hamad Medjedovic</t>
        </is>
      </c>
      <c r="AR180" s="24" t="inlineStr">
        <is>
          <t>Hamad Medjedovic</t>
        </is>
      </c>
      <c r="AS180" s="24" t="inlineStr">
        <is>
          <t>Juan Manuel Cerundolo</t>
        </is>
      </c>
      <c r="AT180" s="24" t="inlineStr">
        <is>
          <t>Juan Manuel Cerundolo</t>
        </is>
      </c>
      <c r="AU180" s="24" t="inlineStr">
        <is>
          <t>Juan Manuel Cerundolo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60749ecfb3f1405f12fbceda11b7e64f2473d40dd327256f9da20b2146b6ae03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60749ecfb3f1405f12fbceda11b7e64f2473d40dd327256f9da20b2146b6ae03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60749ecfb3f1405f12fbceda11b7e64f2473d40dd327256f9da20b2146b6ae03</t>
        </is>
      </c>
      <c r="BH180" s="24" t="inlineStr">
        <is>
          <t>2026-08-04T16:50:45.093567Z</t>
        </is>
      </c>
      <c r="BI180" s="24" t="inlineStr">
        <is>
          <t>["same_event","same_team_same_day","same_league_same_day"]</t>
        </is>
      </c>
      <c r="BJ180" s="25" t="n"/>
      <c r="BK180" s="26" t="n">
        <v>-163</v>
      </c>
      <c r="BL180" s="27" t="n">
        <v>1.613497</v>
      </c>
      <c r="BM180" s="28" t="n">
        <v>0.619772</v>
      </c>
      <c r="BN180" s="28" t="n"/>
      <c r="BO180" s="28" t="n"/>
      <c r="BP180" s="25" t="n"/>
      <c r="BQ180" s="27" t="n">
        <v>1.613497</v>
      </c>
      <c r="BR180" s="28" t="n">
        <v>0.62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</row>
    <row r="181" ht="36" customHeight="1">
      <c r="A181" s="24" t="inlineStr">
        <is>
          <t>db90a42877214e28</t>
        </is>
      </c>
      <c r="B181" s="24" t="inlineStr">
        <is>
          <t>2026-08-04T18:06:48.134470Z</t>
        </is>
      </c>
      <c r="C181" s="24" t="inlineStr">
        <is>
          <t>2026-08-04T19:30Z</t>
        </is>
      </c>
      <c r="D181" s="24" t="inlineStr">
        <is>
          <t>421-2026:182203</t>
        </is>
      </c>
      <c r="E181" s="24" t="inlineStr">
        <is>
          <t>TENNIS</t>
        </is>
      </c>
      <c r="F181" s="24" t="inlineStr">
        <is>
          <t>Jelena Ostapenko</t>
        </is>
      </c>
      <c r="G181" s="24" t="inlineStr">
        <is>
          <t>Zhang Shuai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-213</v>
      </c>
      <c r="M181" s="27" t="n">
        <v>1.469484</v>
      </c>
      <c r="N181" s="28" t="n">
        <v>0.680511</v>
      </c>
      <c r="O181" s="28" t="n">
        <v>0.660541</v>
      </c>
      <c r="P181" s="28" t="n">
        <v>0.05</v>
      </c>
      <c r="Q181" s="28" t="n">
        <v>-0.01997</v>
      </c>
      <c r="R181" s="26" t="n">
        <v>10</v>
      </c>
      <c r="S181" s="29" t="n">
        <v>1.75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-213</v>
      </c>
      <c r="AA181" s="28" t="n">
        <v>0.68</v>
      </c>
      <c r="AB181" s="28" t="n">
        <v>-0.000511</v>
      </c>
      <c r="AC181" s="30" t="n">
        <v>-1.75</v>
      </c>
      <c r="AD181" s="24" t="inlineStr">
        <is>
          <t>2026-08-04T21:59:04.275093Z</t>
        </is>
      </c>
      <c r="AE181" s="31" t="inlineStr">
        <is>
          <t>Surface-blended Elo on Hard: Jelena Ostapenko p=0.661 vs Zhang Shuai. Executable ask 0.6800 (aec-wta-shuzha-jelost-2026-08-04).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Jelena Ostapenko</t>
        </is>
      </c>
      <c r="AQ181" s="24" t="inlineStr">
        <is>
          <t>Jelena Ostapenko</t>
        </is>
      </c>
      <c r="AR181" s="24" t="inlineStr">
        <is>
          <t>Jelena Ostapenko</t>
        </is>
      </c>
      <c r="AS181" s="24" t="inlineStr">
        <is>
          <t>Zhang Shuai</t>
        </is>
      </c>
      <c r="AT181" s="24" t="inlineStr">
        <is>
          <t>Zhang Shuai</t>
        </is>
      </c>
      <c r="AU181" s="24" t="inlineStr">
        <is>
          <t>Zhang Shuai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60749ecfb3f1405f12fbceda11b7e64f2473d40dd327256f9da20b2146b6ae03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60749ecfb3f1405f12fbceda11b7e64f2473d40dd327256f9da20b2146b6ae03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60749ecfb3f1405f12fbceda11b7e64f2473d40dd327256f9da20b2146b6ae03</t>
        </is>
      </c>
      <c r="BH181" s="24" t="inlineStr">
        <is>
          <t>2026-08-04T18:05:34.464496Z</t>
        </is>
      </c>
      <c r="BI181" s="24" t="inlineStr">
        <is>
          <t>["same_event","same_team_same_day","same_league_same_day"]</t>
        </is>
      </c>
      <c r="BJ181" s="25" t="n"/>
      <c r="BK181" s="26" t="n">
        <v>-213</v>
      </c>
      <c r="BL181" s="27" t="n">
        <v>1.469484</v>
      </c>
      <c r="BM181" s="28" t="n">
        <v>0.680511</v>
      </c>
      <c r="BN181" s="28" t="n"/>
      <c r="BO181" s="28" t="n"/>
      <c r="BP181" s="25" t="n"/>
      <c r="BQ181" s="27" t="n">
        <v>1.469484</v>
      </c>
      <c r="BR181" s="28" t="n">
        <v>0.68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</row>
    <row r="182" ht="36" customHeight="1">
      <c r="A182" s="24" t="inlineStr">
        <is>
          <t>acec309ab25e418d</t>
        </is>
      </c>
      <c r="B182" s="24" t="inlineStr">
        <is>
          <t>2026-08-04T18:06:48.134470Z</t>
        </is>
      </c>
      <c r="C182" s="24" t="inlineStr">
        <is>
          <t>2026-08-04T21:00Z</t>
        </is>
      </c>
      <c r="D182" s="24" t="inlineStr">
        <is>
          <t>421-2026:182167</t>
        </is>
      </c>
      <c r="E182" s="24" t="inlineStr">
        <is>
          <t>TENNIS</t>
        </is>
      </c>
      <c r="F182" s="24" t="inlineStr">
        <is>
          <t>McCartney Kessler</t>
        </is>
      </c>
      <c r="G182" s="24" t="inlineStr">
        <is>
          <t>Anna Kalinskaya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-163</v>
      </c>
      <c r="M182" s="27" t="n">
        <v>1.613497</v>
      </c>
      <c r="N182" s="28" t="n">
        <v>0.619772</v>
      </c>
      <c r="O182" s="28" t="n">
        <v>0.605938</v>
      </c>
      <c r="P182" s="28" t="n">
        <v>0.05</v>
      </c>
      <c r="Q182" s="28" t="n">
        <v>-0.013834</v>
      </c>
      <c r="R182" s="26" t="n">
        <v>13</v>
      </c>
      <c r="S182" s="29" t="n">
        <v>1.25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0</v>
      </c>
      <c r="X182" s="26" t="n">
        <v>1</v>
      </c>
      <c r="Y182" s="25" t="n"/>
      <c r="Z182" s="26" t="n">
        <v>-163</v>
      </c>
      <c r="AA182" s="28" t="n">
        <v>0.62</v>
      </c>
      <c r="AB182" s="28" t="n">
        <v>0.000228</v>
      </c>
      <c r="AC182" s="30" t="n">
        <v>0.7669</v>
      </c>
      <c r="AD182" s="24" t="inlineStr">
        <is>
          <t>2026-08-05T01:05:40.253265Z</t>
        </is>
      </c>
      <c r="AE182" s="31" t="inlineStr">
        <is>
          <t>Surface-blended Elo on Hard: McCartney Kessler p=0.394 vs Anna Kalinskaya. Executable ask 0.6200 (aec-wta-annkal-mcckes-2026-08-04).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NO_CALL_LOW_EDGE</t>
        </is>
      </c>
      <c r="AP182" s="24" t="inlineStr">
        <is>
          <t>McCartney Kessler</t>
        </is>
      </c>
      <c r="AQ182" s="24" t="inlineStr">
        <is>
          <t>McCartney Kessler</t>
        </is>
      </c>
      <c r="AR182" s="24" t="inlineStr">
        <is>
          <t>McCartney Kessler</t>
        </is>
      </c>
      <c r="AS182" s="24" t="inlineStr">
        <is>
          <t>Anna Kalinskaya</t>
        </is>
      </c>
      <c r="AT182" s="24" t="inlineStr">
        <is>
          <t>Anna Kalinskaya</t>
        </is>
      </c>
      <c r="AU182" s="24" t="inlineStr">
        <is>
          <t>Anna Kalinskaya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60749ecfb3f1405f12fbceda11b7e64f2473d40dd327256f9da20b2146b6ae03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60749ecfb3f1405f12fbceda11b7e64f2473d40dd327256f9da20b2146b6ae03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60749ecfb3f1405f12fbceda11b7e64f2473d40dd327256f9da20b2146b6ae03</t>
        </is>
      </c>
      <c r="BH182" s="24" t="inlineStr">
        <is>
          <t>2026-08-04T18:05:35.767018Z</t>
        </is>
      </c>
      <c r="BI182" s="24" t="inlineStr">
        <is>
          <t>["same_event","same_team_same_day","same_league_same_day"]</t>
        </is>
      </c>
      <c r="BJ182" s="25" t="n"/>
      <c r="BK182" s="26" t="n">
        <v>-163</v>
      </c>
      <c r="BL182" s="27" t="n">
        <v>1.613497</v>
      </c>
      <c r="BM182" s="28" t="n">
        <v>0.619772</v>
      </c>
      <c r="BN182" s="28" t="n"/>
      <c r="BO182" s="28" t="n"/>
      <c r="BP182" s="25" t="n"/>
      <c r="BQ182" s="27" t="n">
        <v>1.613497</v>
      </c>
      <c r="BR182" s="28" t="n">
        <v>0.62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</row>
    <row r="183" ht="36" customHeight="1">
      <c r="A183" s="24" t="inlineStr">
        <is>
          <t>fc1e5c151f954323</t>
        </is>
      </c>
      <c r="B183" s="24" t="inlineStr">
        <is>
          <t>2026-08-04T18:06:48.134470Z</t>
        </is>
      </c>
      <c r="C183" s="24" t="inlineStr">
        <is>
          <t>2026-08-04T21:00Z</t>
        </is>
      </c>
      <c r="D183" s="24" t="inlineStr">
        <is>
          <t>421-2026:182168</t>
        </is>
      </c>
      <c r="E183" s="24" t="inlineStr">
        <is>
          <t>TENNIS</t>
        </is>
      </c>
      <c r="F183" s="24" t="inlineStr">
        <is>
          <t>Katerina Siniakova</t>
        </is>
      </c>
      <c r="G183" s="24" t="inlineStr">
        <is>
          <t>Kamilla Rakhimova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-194</v>
      </c>
      <c r="M183" s="27" t="n">
        <v>1.515464</v>
      </c>
      <c r="N183" s="28" t="n">
        <v>0.659864</v>
      </c>
      <c r="O183" s="28" t="n">
        <v>0.66176</v>
      </c>
      <c r="P183" s="28" t="n">
        <v>0.05</v>
      </c>
      <c r="Q183" s="28" t="n">
        <v>0.001896</v>
      </c>
      <c r="R183" s="26" t="n">
        <v>21</v>
      </c>
      <c r="S183" s="29" t="n">
        <v>1.75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-194</v>
      </c>
      <c r="AA183" s="28" t="n">
        <v>0.66</v>
      </c>
      <c r="AB183" s="28" t="n">
        <v>0.000136</v>
      </c>
      <c r="AC183" s="30" t="n">
        <v>-1.75</v>
      </c>
      <c r="AD183" s="24" t="inlineStr">
        <is>
          <t>2026-08-05T01:05:41.172500Z</t>
        </is>
      </c>
      <c r="AE183" s="31" t="inlineStr">
        <is>
          <t>Surface-blended Elo on Hard: Katerina Siniakova p=0.662 vs Kamilla Rakhimova. Executable ask 0.6600 (aec-wta-kamrak-katsin-2026-08-03).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Katerina Siniakova</t>
        </is>
      </c>
      <c r="AQ183" s="24" t="inlineStr">
        <is>
          <t>Katerina Siniakova</t>
        </is>
      </c>
      <c r="AR183" s="24" t="inlineStr">
        <is>
          <t>Katerina Siniakova</t>
        </is>
      </c>
      <c r="AS183" s="24" t="inlineStr">
        <is>
          <t>Kamilla Rakhimova</t>
        </is>
      </c>
      <c r="AT183" s="24" t="inlineStr">
        <is>
          <t>Kamilla Rakhimova</t>
        </is>
      </c>
      <c r="AU183" s="24" t="inlineStr">
        <is>
          <t>Kamilla Rakhimova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60749ecfb3f1405f12fbceda11b7e64f2473d40dd327256f9da20b2146b6ae03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60749ecfb3f1405f12fbceda11b7e64f2473d40dd327256f9da20b2146b6ae03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60749ecfb3f1405f12fbceda11b7e64f2473d40dd327256f9da20b2146b6ae03</t>
        </is>
      </c>
      <c r="BH183" s="24" t="inlineStr">
        <is>
          <t>2026-08-04T18:05:36.927401Z</t>
        </is>
      </c>
      <c r="BI183" s="24" t="inlineStr">
        <is>
          <t>["same_event","same_team_same_day","same_league_same_day"]</t>
        </is>
      </c>
      <c r="BJ183" s="25" t="n"/>
      <c r="BK183" s="26" t="n">
        <v>-194</v>
      </c>
      <c r="BL183" s="27" t="n">
        <v>1.515464</v>
      </c>
      <c r="BM183" s="28" t="n">
        <v>0.659864</v>
      </c>
      <c r="BN183" s="28" t="n"/>
      <c r="BO183" s="28" t="n"/>
      <c r="BP183" s="25" t="n"/>
      <c r="BQ183" s="27" t="n">
        <v>1.515464</v>
      </c>
      <c r="BR183" s="28" t="n">
        <v>0.66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</row>
    <row r="184" ht="36" customHeight="1">
      <c r="A184" s="24" t="inlineStr">
        <is>
          <t>32c57d0ea4b24537</t>
        </is>
      </c>
      <c r="B184" s="24" t="inlineStr">
        <is>
          <t>2026-08-04T18:06:48.134470Z</t>
        </is>
      </c>
      <c r="C184" s="24" t="inlineStr">
        <is>
          <t>2026-08-04T19:30Z</t>
        </is>
      </c>
      <c r="D184" s="24" t="inlineStr">
        <is>
          <t>421-2026:181778</t>
        </is>
      </c>
      <c r="E184" s="24" t="inlineStr">
        <is>
          <t>TENNIS</t>
        </is>
      </c>
      <c r="F184" s="24" t="inlineStr">
        <is>
          <t>Alexander Blockx</t>
        </is>
      </c>
      <c r="G184" s="24" t="inlineStr">
        <is>
          <t>Jaume Munar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144</v>
      </c>
      <c r="M184" s="27" t="n">
        <v>2.44</v>
      </c>
      <c r="N184" s="28" t="n">
        <v>0.409836</v>
      </c>
      <c r="O184" s="28" t="n">
        <v>0.523934</v>
      </c>
      <c r="P184" s="28" t="n">
        <v>0.05</v>
      </c>
      <c r="Q184" s="28" t="n">
        <v>0.114098</v>
      </c>
      <c r="R184" s="26" t="n">
        <v>77</v>
      </c>
      <c r="S184" s="29" t="n">
        <v>1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0</v>
      </c>
      <c r="Y184" s="25" t="n"/>
      <c r="Z184" s="26" t="n">
        <v>144</v>
      </c>
      <c r="AA184" s="28" t="n">
        <v>0.41</v>
      </c>
      <c r="AB184" s="28" t="n">
        <v>0.000164</v>
      </c>
      <c r="AC184" s="30" t="n">
        <v>-1</v>
      </c>
      <c r="AD184" s="24" t="inlineStr">
        <is>
          <t>2026-08-04T21:59:05.213855Z</t>
        </is>
      </c>
      <c r="AE184" s="31" t="inlineStr">
        <is>
          <t>Surface-blended Elo on Hard: Alexander Blockx p=0.476 vs Jaume Munar. Executable ask 0.4100 (aec-atp-jaumun-aleblo-2026-08-03).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Alexander Blockx</t>
        </is>
      </c>
      <c r="AQ184" s="24" t="inlineStr">
        <is>
          <t>Alexander Blockx</t>
        </is>
      </c>
      <c r="AR184" s="24" t="inlineStr">
        <is>
          <t>Alexander Blockx</t>
        </is>
      </c>
      <c r="AS184" s="24" t="inlineStr">
        <is>
          <t>Jaume Munar</t>
        </is>
      </c>
      <c r="AT184" s="24" t="inlineStr">
        <is>
          <t>Jaume Munar</t>
        </is>
      </c>
      <c r="AU184" s="24" t="inlineStr">
        <is>
          <t>Jaume Munar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60749ecfb3f1405f12fbceda11b7e64f2473d40dd327256f9da20b2146b6ae03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60749ecfb3f1405f12fbceda11b7e64f2473d40dd327256f9da20b2146b6ae03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60749ecfb3f1405f12fbceda11b7e64f2473d40dd327256f9da20b2146b6ae03</t>
        </is>
      </c>
      <c r="BH184" s="24" t="inlineStr">
        <is>
          <t>2026-08-04T18:05:52.106058Z</t>
        </is>
      </c>
      <c r="BI184" s="24" t="inlineStr">
        <is>
          <t>["same_event","same_team_same_day","same_league_same_day"]</t>
        </is>
      </c>
      <c r="BJ184" s="25" t="n"/>
      <c r="BK184" s="26" t="n">
        <v>144</v>
      </c>
      <c r="BL184" s="27" t="n">
        <v>2.44</v>
      </c>
      <c r="BM184" s="28" t="n">
        <v>0.409836</v>
      </c>
      <c r="BN184" s="28" t="n"/>
      <c r="BO184" s="28" t="n"/>
      <c r="BP184" s="25" t="n"/>
      <c r="BQ184" s="27" t="n">
        <v>2.44</v>
      </c>
      <c r="BR184" s="28" t="n">
        <v>0.41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8d7baaad95e94c88</t>
        </is>
      </c>
      <c r="B185" s="24" t="inlineStr">
        <is>
          <t>2026-08-04T18:06:48.134470Z</t>
        </is>
      </c>
      <c r="C185" s="24" t="inlineStr">
        <is>
          <t>2026-08-04T19:30Z</t>
        </is>
      </c>
      <c r="D185" s="24" t="inlineStr">
        <is>
          <t>421-2026:181789</t>
        </is>
      </c>
      <c r="E185" s="24" t="inlineStr">
        <is>
          <t>TENNIS</t>
        </is>
      </c>
      <c r="F185" s="24" t="inlineStr">
        <is>
          <t>Fabian Marozsan</t>
        </is>
      </c>
      <c r="G185" s="24" t="inlineStr">
        <is>
          <t>Shintaro Mochizuki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-170</v>
      </c>
      <c r="M185" s="27" t="n">
        <v>1.588235</v>
      </c>
      <c r="N185" s="28" t="n">
        <v>0.62963</v>
      </c>
      <c r="O185" s="28" t="n">
        <v>0.654828</v>
      </c>
      <c r="P185" s="28" t="n">
        <v>0.05</v>
      </c>
      <c r="Q185" s="28" t="n">
        <v>0.025198</v>
      </c>
      <c r="R185" s="26" t="n">
        <v>33</v>
      </c>
      <c r="S185" s="29" t="n">
        <v>1.75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>
        <v>-170</v>
      </c>
      <c r="AA185" s="28" t="n">
        <v>0.63</v>
      </c>
      <c r="AB185" s="28" t="n">
        <v>0.00037</v>
      </c>
      <c r="AC185" s="30" t="n">
        <v>1.0294</v>
      </c>
      <c r="AD185" s="24" t="inlineStr">
        <is>
          <t>2026-08-04T21:59:06.177559Z</t>
        </is>
      </c>
      <c r="AE185" s="31" t="inlineStr">
        <is>
          <t>Surface-blended Elo on Hard: Fabian Marozsan p=0.655 vs Shintaro Mochizuki. Executable ask 0.6300 (aec-atp-shimoc-fabmar-2026-08-03).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Fabian Marozsan</t>
        </is>
      </c>
      <c r="AQ185" s="24" t="inlineStr">
        <is>
          <t>Fabian Marozsan</t>
        </is>
      </c>
      <c r="AR185" s="24" t="inlineStr">
        <is>
          <t>Fabian Marozsan</t>
        </is>
      </c>
      <c r="AS185" s="24" t="inlineStr">
        <is>
          <t>Shintaro Mochizuki</t>
        </is>
      </c>
      <c r="AT185" s="24" t="inlineStr">
        <is>
          <t>Shintaro Mochizuki</t>
        </is>
      </c>
      <c r="AU185" s="24" t="inlineStr">
        <is>
          <t>Shintaro Mochizuki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60749ecfb3f1405f12fbceda11b7e64f2473d40dd327256f9da20b2146b6ae03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60749ecfb3f1405f12fbceda11b7e64f2473d40dd327256f9da20b2146b6ae03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60749ecfb3f1405f12fbceda11b7e64f2473d40dd327256f9da20b2146b6ae03</t>
        </is>
      </c>
      <c r="BH185" s="24" t="inlineStr">
        <is>
          <t>2026-08-04T18:05:53.694544Z</t>
        </is>
      </c>
      <c r="BI185" s="24" t="inlineStr">
        <is>
          <t>["same_event","same_team_same_day","same_league_same_day"]</t>
        </is>
      </c>
      <c r="BJ185" s="25" t="n"/>
      <c r="BK185" s="26" t="n">
        <v>-170</v>
      </c>
      <c r="BL185" s="27" t="n">
        <v>1.588235</v>
      </c>
      <c r="BM185" s="28" t="n">
        <v>0.62963</v>
      </c>
      <c r="BN185" s="28" t="n"/>
      <c r="BO185" s="28" t="n"/>
      <c r="BP185" s="25" t="n"/>
      <c r="BQ185" s="27" t="n">
        <v>1.588235</v>
      </c>
      <c r="BR185" s="28" t="n">
        <v>0.63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</row>
    <row r="186" ht="36" customHeight="1">
      <c r="A186" s="24" t="inlineStr">
        <is>
          <t>49ba6cbe13374d68</t>
        </is>
      </c>
      <c r="B186" s="24" t="inlineStr">
        <is>
          <t>2026-08-04T18:06:48.134470Z</t>
        </is>
      </c>
      <c r="C186" s="24" t="inlineStr">
        <is>
          <t>2026-08-04T22:00Z</t>
        </is>
      </c>
      <c r="D186" s="24" t="inlineStr">
        <is>
          <t>421-2026:181737</t>
        </is>
      </c>
      <c r="E186" s="24" t="inlineStr">
        <is>
          <t>TENNIS</t>
        </is>
      </c>
      <c r="F186" s="24" t="inlineStr">
        <is>
          <t>Alex de Minaur</t>
        </is>
      </c>
      <c r="G186" s="24" t="inlineStr">
        <is>
          <t>James Duckworth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-809</v>
      </c>
      <c r="M186" s="27" t="n">
        <v>1.123609</v>
      </c>
      <c r="N186" s="28" t="n">
        <v>0.889989</v>
      </c>
      <c r="O186" s="28" t="n">
        <v>0.843242</v>
      </c>
      <c r="P186" s="28" t="n">
        <v>0.05</v>
      </c>
      <c r="Q186" s="28" t="n">
        <v>-0.046747</v>
      </c>
      <c r="R186" s="26" t="n">
        <v>0</v>
      </c>
      <c r="S186" s="29" t="n">
        <v>2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-809</v>
      </c>
      <c r="AA186" s="28" t="n">
        <v>0.89</v>
      </c>
      <c r="AB186" s="28" t="n">
        <v>1.1e-05</v>
      </c>
      <c r="AC186" s="30" t="n">
        <v>0.2472</v>
      </c>
      <c r="AD186" s="24" t="inlineStr">
        <is>
          <t>2026-08-05T04:21:30.026491Z</t>
        </is>
      </c>
      <c r="AE186" s="31" t="inlineStr">
        <is>
          <t>Surface-blended Elo on Hard: Alex de Minaur p=0.843 vs James Duckworth. Executable ask 0.8900 (aec-atp-jamduc-alemin-2026-08-04).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NO_CALL_LOW_EDGE</t>
        </is>
      </c>
      <c r="AP186" s="24" t="inlineStr">
        <is>
          <t>Alex de Minaur</t>
        </is>
      </c>
      <c r="AQ186" s="24" t="inlineStr">
        <is>
          <t>Alex de Minaur</t>
        </is>
      </c>
      <c r="AR186" s="24" t="inlineStr">
        <is>
          <t>Alex de Minaur</t>
        </is>
      </c>
      <c r="AS186" s="24" t="inlineStr">
        <is>
          <t>James Duckworth</t>
        </is>
      </c>
      <c r="AT186" s="24" t="inlineStr">
        <is>
          <t>James Duckworth</t>
        </is>
      </c>
      <c r="AU186" s="24" t="inlineStr">
        <is>
          <t>James Duckworth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60749ecfb3f1405f12fbceda11b7e64f2473d40dd327256f9da20b2146b6ae03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60749ecfb3f1405f12fbceda11b7e64f2473d40dd327256f9da20b2146b6ae03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60749ecfb3f1405f12fbceda11b7e64f2473d40dd327256f9da20b2146b6ae03</t>
        </is>
      </c>
      <c r="BH186" s="24" t="inlineStr">
        <is>
          <t>2026-08-04T18:05:57.278248Z</t>
        </is>
      </c>
      <c r="BI186" s="24" t="inlineStr">
        <is>
          <t>["same_event","same_team_same_day","same_league_same_day"]</t>
        </is>
      </c>
      <c r="BJ186" s="25" t="n"/>
      <c r="BK186" s="26" t="n">
        <v>-809</v>
      </c>
      <c r="BL186" s="27" t="n">
        <v>1.123609</v>
      </c>
      <c r="BM186" s="28" t="n">
        <v>0.889989</v>
      </c>
      <c r="BN186" s="28" t="n"/>
      <c r="BO186" s="28" t="n"/>
      <c r="BP186" s="25" t="n"/>
      <c r="BQ186" s="27" t="n">
        <v>1.123609</v>
      </c>
      <c r="BR186" s="28" t="n">
        <v>0.89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</row>
    <row r="187" ht="36" customHeight="1">
      <c r="A187" s="24" t="inlineStr">
        <is>
          <t>d73910a299044111</t>
        </is>
      </c>
      <c r="B187" s="24" t="inlineStr">
        <is>
          <t>2026-08-04T18:06:48.134470Z</t>
        </is>
      </c>
      <c r="C187" s="24" t="inlineStr">
        <is>
          <t>2026-08-04T22:00Z</t>
        </is>
      </c>
      <c r="D187" s="24" t="inlineStr">
        <is>
          <t>421-2026:181759</t>
        </is>
      </c>
      <c r="E187" s="24" t="inlineStr">
        <is>
          <t>TENNIS</t>
        </is>
      </c>
      <c r="F187" s="24" t="inlineStr">
        <is>
          <t>Daniel Altmaier</t>
        </is>
      </c>
      <c r="G187" s="24" t="inlineStr">
        <is>
          <t>Brandon Nakashima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-317</v>
      </c>
      <c r="M187" s="27" t="n">
        <v>1.315457</v>
      </c>
      <c r="N187" s="28" t="n">
        <v>0.760192</v>
      </c>
      <c r="O187" s="28" t="n">
        <v>0.686447</v>
      </c>
      <c r="P187" s="28" t="n">
        <v>0.05</v>
      </c>
      <c r="Q187" s="28" t="n">
        <v>-0.073745</v>
      </c>
      <c r="R187" s="26" t="n">
        <v>0</v>
      </c>
      <c r="S187" s="29" t="n">
        <v>2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-317</v>
      </c>
      <c r="AA187" s="28" t="n">
        <v>0.76</v>
      </c>
      <c r="AB187" s="28" t="n">
        <v>-0.000192</v>
      </c>
      <c r="AC187" s="30" t="n">
        <v>0.6309</v>
      </c>
      <c r="AD187" s="24" t="inlineStr">
        <is>
          <t>2026-08-05T01:05:42.052104Z</t>
        </is>
      </c>
      <c r="AE187" s="31" t="inlineStr">
        <is>
          <t>Surface-blended Elo on Hard: Daniel Altmaier p=0.314 vs Brandon Nakashima. Executable ask 0.7600 (aec-atp-branak-danalt-2026-08-05).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NO_CALL_LOW_EDGE</t>
        </is>
      </c>
      <c r="AP187" s="24" t="inlineStr">
        <is>
          <t>Daniel Altmaier</t>
        </is>
      </c>
      <c r="AQ187" s="24" t="inlineStr">
        <is>
          <t>Daniel Altmaier</t>
        </is>
      </c>
      <c r="AR187" s="24" t="inlineStr">
        <is>
          <t>Daniel Altmaier</t>
        </is>
      </c>
      <c r="AS187" s="24" t="inlineStr">
        <is>
          <t>Brandon Nakashima</t>
        </is>
      </c>
      <c r="AT187" s="24" t="inlineStr">
        <is>
          <t>Brandon Nakashima</t>
        </is>
      </c>
      <c r="AU187" s="24" t="inlineStr">
        <is>
          <t>Brandon Nakashima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60749ecfb3f1405f12fbceda11b7e64f2473d40dd327256f9da20b2146b6ae03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60749ecfb3f1405f12fbceda11b7e64f2473d40dd327256f9da20b2146b6ae03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60749ecfb3f1405f12fbceda11b7e64f2473d40dd327256f9da20b2146b6ae03</t>
        </is>
      </c>
      <c r="BH187" s="24" t="inlineStr">
        <is>
          <t>2026-08-04T18:05:55.864883Z</t>
        </is>
      </c>
      <c r="BI187" s="24" t="inlineStr">
        <is>
          <t>["same_event","same_team_same_day","same_league_same_day"]</t>
        </is>
      </c>
      <c r="BJ187" s="25" t="n"/>
      <c r="BK187" s="26" t="n">
        <v>-317</v>
      </c>
      <c r="BL187" s="27" t="n">
        <v>1.315457</v>
      </c>
      <c r="BM187" s="28" t="n">
        <v>0.760192</v>
      </c>
      <c r="BN187" s="28" t="n"/>
      <c r="BO187" s="28" t="n"/>
      <c r="BP187" s="25" t="n"/>
      <c r="BQ187" s="27" t="n">
        <v>1.315457</v>
      </c>
      <c r="BR187" s="28" t="n">
        <v>0.76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</row>
    <row r="188" ht="36" customHeight="1">
      <c r="A188" s="24" t="inlineStr">
        <is>
          <t>639381b79e134a1a</t>
        </is>
      </c>
      <c r="B188" s="24" t="inlineStr">
        <is>
          <t>2026-08-05T04:36:19.625619Z</t>
        </is>
      </c>
      <c r="C188" s="24" t="inlineStr">
        <is>
          <t>2026-08-05T09:00Z</t>
        </is>
      </c>
      <c r="D188" s="24" t="inlineStr">
        <is>
          <t>961-2026:182103</t>
        </is>
      </c>
      <c r="E188" s="24" t="inlineStr">
        <is>
          <t>TENNIS</t>
        </is>
      </c>
      <c r="F188" s="24" t="inlineStr">
        <is>
          <t>Justina Mikulskyte</t>
        </is>
      </c>
      <c r="G188" s="24" t="inlineStr">
        <is>
          <t>Katarzyna Kawa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-317</v>
      </c>
      <c r="M188" s="27" t="n">
        <v>1.315457</v>
      </c>
      <c r="N188" s="28" t="n">
        <v>0.760192</v>
      </c>
      <c r="O188" s="28" t="n">
        <v>0.782547</v>
      </c>
      <c r="P188" s="28" t="n">
        <v>0.05</v>
      </c>
      <c r="Q188" s="28" t="n">
        <v>0.022355</v>
      </c>
      <c r="R188" s="26" t="n">
        <v>31</v>
      </c>
      <c r="S188" s="29" t="n">
        <v>2</v>
      </c>
      <c r="T188" s="24" t="inlineStr">
        <is>
          <t>tennis-surface-elo-v1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0</v>
      </c>
      <c r="Y188" s="25" t="n"/>
      <c r="Z188" s="26" t="n">
        <v>-317</v>
      </c>
      <c r="AA188" s="28" t="n">
        <v>0.76</v>
      </c>
      <c r="AB188" s="28" t="n">
        <v>-0.000192</v>
      </c>
      <c r="AC188" s="30" t="n">
        <v>-2</v>
      </c>
      <c r="AD188" s="24" t="inlineStr">
        <is>
          <t>2026-08-05T13:50:01.101421Z</t>
        </is>
      </c>
      <c r="AE188" s="31" t="inlineStr">
        <is>
          <t>Surface-blended Elo on Hard: Justina Mikulskyte p=0.217 vs Katarzyna Kawa. Executable ask 0.7600 (aec-wta-katkaw-jusmik-2026-08-05).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NO_CALL_LOW_EDGE</t>
        </is>
      </c>
      <c r="AP188" s="24" t="inlineStr">
        <is>
          <t>Justina Mikulskyte</t>
        </is>
      </c>
      <c r="AQ188" s="24" t="inlineStr">
        <is>
          <t>Justina Mikulskyte</t>
        </is>
      </c>
      <c r="AR188" s="24" t="inlineStr">
        <is>
          <t>Justina Mikulskyte</t>
        </is>
      </c>
      <c r="AS188" s="24" t="inlineStr">
        <is>
          <t>Katarzyna Kawa</t>
        </is>
      </c>
      <c r="AT188" s="24" t="inlineStr">
        <is>
          <t>Katarzyna Kawa</t>
        </is>
      </c>
      <c r="AU188" s="24" t="inlineStr">
        <is>
          <t>Katarzyna Kawa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3ab056fefe04713e3c294da76c8adb2866b0dc46556ed32322a0426dd344a0e4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3ab056fefe04713e3c294da76c8adb2866b0dc46556ed32322a0426dd344a0e4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3ab056fefe04713e3c294da76c8adb2866b0dc46556ed32322a0426dd344a0e4</t>
        </is>
      </c>
      <c r="BH188" s="24" t="inlineStr">
        <is>
          <t>2026-08-05T04:34:10.082069Z</t>
        </is>
      </c>
      <c r="BI188" s="24" t="inlineStr">
        <is>
          <t>["same_event","same_team_same_day","same_league_same_day"]</t>
        </is>
      </c>
      <c r="BJ188" s="25" t="n"/>
      <c r="BK188" s="26" t="n">
        <v>-317</v>
      </c>
      <c r="BL188" s="27" t="n">
        <v>1.315457</v>
      </c>
      <c r="BM188" s="28" t="n">
        <v>0.760192</v>
      </c>
      <c r="BN188" s="28" t="n"/>
      <c r="BO188" s="28" t="n"/>
      <c r="BP188" s="25" t="n"/>
      <c r="BQ188" s="27" t="n">
        <v>1.315457</v>
      </c>
      <c r="BR188" s="28" t="n">
        <v>0.76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</row>
    <row r="189" ht="36" customHeight="1">
      <c r="A189" s="24" t="inlineStr">
        <is>
          <t>0428483b2fae4598</t>
        </is>
      </c>
      <c r="B189" s="24" t="inlineStr">
        <is>
          <t>2026-08-05T04:36:19.625619Z</t>
        </is>
      </c>
      <c r="C189" s="24" t="inlineStr">
        <is>
          <t>2026-08-05T09:00Z</t>
        </is>
      </c>
      <c r="D189" s="24" t="inlineStr">
        <is>
          <t>961-2026:182104</t>
        </is>
      </c>
      <c r="E189" s="24" t="inlineStr">
        <is>
          <t>TENNIS</t>
        </is>
      </c>
      <c r="F189" s="24" t="inlineStr">
        <is>
          <t>Aliona Falei</t>
        </is>
      </c>
      <c r="G189" s="24" t="inlineStr">
        <is>
          <t>Carol Young Suh Lee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-156</v>
      </c>
      <c r="M189" s="27" t="n">
        <v>1.641026</v>
      </c>
      <c r="N189" s="28" t="n">
        <v>0.609375</v>
      </c>
      <c r="O189" s="28" t="n">
        <v>0.589246</v>
      </c>
      <c r="P189" s="28" t="n">
        <v>0.05</v>
      </c>
      <c r="Q189" s="28" t="n">
        <v>-0.020129</v>
      </c>
      <c r="R189" s="26" t="n">
        <v>10</v>
      </c>
      <c r="S189" s="29" t="n">
        <v>1.25</v>
      </c>
      <c r="T189" s="24" t="inlineStr">
        <is>
          <t>tennis-surface-elo-v1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-156</v>
      </c>
      <c r="AA189" s="28" t="n">
        <v>0.61</v>
      </c>
      <c r="AB189" s="28" t="n">
        <v>0.000625</v>
      </c>
      <c r="AC189" s="30" t="n">
        <v>0.8013</v>
      </c>
      <c r="AD189" s="24" t="inlineStr">
        <is>
          <t>2026-08-05T13:50:03.420509Z</t>
        </is>
      </c>
      <c r="AE189" s="31" t="inlineStr">
        <is>
          <t>Surface-blended Elo on Hard: Aliona Falei p=0.411 vs Carol Young Suh Lee. Executable ask 0.6100 (aec-wta-carlee-alifal-2026-08-05).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NO_CALL_LOW_EDGE</t>
        </is>
      </c>
      <c r="AP189" s="24" t="inlineStr">
        <is>
          <t>Aliona Falei</t>
        </is>
      </c>
      <c r="AQ189" s="24" t="inlineStr">
        <is>
          <t>Aliona Falei</t>
        </is>
      </c>
      <c r="AR189" s="24" t="inlineStr">
        <is>
          <t>Aliona Falei</t>
        </is>
      </c>
      <c r="AS189" s="24" t="inlineStr">
        <is>
          <t>Carol Young Suh Lee</t>
        </is>
      </c>
      <c r="AT189" s="24" t="inlineStr">
        <is>
          <t>Carol Young Suh Lee</t>
        </is>
      </c>
      <c r="AU189" s="24" t="inlineStr">
        <is>
          <t>Carol Young Suh Lee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3ab056fefe04713e3c294da76c8adb2866b0dc46556ed32322a0426dd344a0e4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3ab056fefe04713e3c294da76c8adb2866b0dc46556ed32322a0426dd344a0e4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3ab056fefe04713e3c294da76c8adb2866b0dc46556ed32322a0426dd344a0e4</t>
        </is>
      </c>
      <c r="BH189" s="24" t="inlineStr">
        <is>
          <t>2026-08-05T04:34:10.066030Z</t>
        </is>
      </c>
      <c r="BI189" s="24" t="inlineStr">
        <is>
          <t>["same_event","same_team_same_day","same_league_same_day"]</t>
        </is>
      </c>
      <c r="BJ189" s="25" t="n"/>
      <c r="BK189" s="26" t="n">
        <v>-156</v>
      </c>
      <c r="BL189" s="27" t="n">
        <v>1.641026</v>
      </c>
      <c r="BM189" s="28" t="n">
        <v>0.609375</v>
      </c>
      <c r="BN189" s="28" t="n"/>
      <c r="BO189" s="28" t="n"/>
      <c r="BP189" s="25" t="n"/>
      <c r="BQ189" s="27" t="n">
        <v>1.641026</v>
      </c>
      <c r="BR189" s="28" t="n">
        <v>0.61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</row>
    <row r="190" ht="36" customHeight="1">
      <c r="A190" s="24" t="inlineStr">
        <is>
          <t>bc559a134fa74fa9</t>
        </is>
      </c>
      <c r="B190" s="24" t="inlineStr">
        <is>
          <t>2026-08-05T10:21:33.669433Z</t>
        </is>
      </c>
      <c r="C190" s="24" t="inlineStr">
        <is>
          <t>2026-08-05T10:30Z</t>
        </is>
      </c>
      <c r="D190" s="24" t="inlineStr">
        <is>
          <t>961-2026:182101</t>
        </is>
      </c>
      <c r="E190" s="24" t="inlineStr">
        <is>
          <t>TENNIS</t>
        </is>
      </c>
      <c r="F190" s="24" t="inlineStr">
        <is>
          <t>Ella Seidel</t>
        </is>
      </c>
      <c r="G190" s="24" t="inlineStr">
        <is>
          <t>Gabriela Knutson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178</v>
      </c>
      <c r="M190" s="27" t="n">
        <v>2.78</v>
      </c>
      <c r="N190" s="28" t="n">
        <v>0.359712</v>
      </c>
      <c r="O190" s="28" t="n">
        <v>0.518196</v>
      </c>
      <c r="P190" s="28" t="n">
        <v>0.05</v>
      </c>
      <c r="Q190" s="28" t="n">
        <v>0.158484</v>
      </c>
      <c r="R190" s="26" t="n">
        <v>99</v>
      </c>
      <c r="S190" s="29" t="n">
        <v>1</v>
      </c>
      <c r="T190" s="24" t="inlineStr">
        <is>
          <t>tennis-surface-elo-v1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178</v>
      </c>
      <c r="AA190" s="28" t="n">
        <v>0.36</v>
      </c>
      <c r="AB190" s="28" t="n">
        <v>0.000288</v>
      </c>
      <c r="AC190" s="30" t="n">
        <v>1.78</v>
      </c>
      <c r="AD190" s="24" t="inlineStr">
        <is>
          <t>2026-08-05T13:50:05.648156Z</t>
        </is>
      </c>
      <c r="AE190" s="31" t="inlineStr">
        <is>
          <t>Surface-blended Elo on Hard: Ella Seidel p=0.482 vs Gabriela Knutson. Executable ask 0.3600 (aec-wta-gabknu-ellsei-2026-08-05).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NO_CALL_LOW_EDGE</t>
        </is>
      </c>
      <c r="AP190" s="24" t="inlineStr">
        <is>
          <t>Ella Seidel</t>
        </is>
      </c>
      <c r="AQ190" s="24" t="inlineStr">
        <is>
          <t>Ella Seidel</t>
        </is>
      </c>
      <c r="AR190" s="24" t="inlineStr">
        <is>
          <t>Ella Seidel</t>
        </is>
      </c>
      <c r="AS190" s="24" t="inlineStr">
        <is>
          <t>Gabriela Knutson</t>
        </is>
      </c>
      <c r="AT190" s="24" t="inlineStr">
        <is>
          <t>Gabriela Knutson</t>
        </is>
      </c>
      <c r="AU190" s="24" t="inlineStr">
        <is>
          <t>Gabriela Knutson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3ab056fefe04713e3c294da76c8adb2866b0dc46556ed32322a0426dd344a0e4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3ab056fefe04713e3c294da76c8adb2866b0dc46556ed32322a0426dd344a0e4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3ab056fefe04713e3c294da76c8adb2866b0dc46556ed32322a0426dd344a0e4</t>
        </is>
      </c>
      <c r="BH190" s="24" t="inlineStr">
        <is>
          <t>2026-08-05T10:19:06.147146Z</t>
        </is>
      </c>
      <c r="BI190" s="24" t="inlineStr">
        <is>
          <t>["same_event","same_team_same_day","same_league_same_day"]</t>
        </is>
      </c>
      <c r="BJ190" s="25" t="n"/>
      <c r="BK190" s="26" t="n">
        <v>178</v>
      </c>
      <c r="BL190" s="27" t="n">
        <v>2.78</v>
      </c>
      <c r="BM190" s="28" t="n">
        <v>0.359712</v>
      </c>
      <c r="BN190" s="28" t="n"/>
      <c r="BO190" s="28" t="n"/>
      <c r="BP190" s="25" t="n"/>
      <c r="BQ190" s="27" t="n">
        <v>2.78</v>
      </c>
      <c r="BR190" s="28" t="n">
        <v>0.36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</row>
    <row r="191" ht="36" customHeight="1">
      <c r="A191" s="24" t="inlineStr">
        <is>
          <t>d3c5b1d1eaf54153</t>
        </is>
      </c>
      <c r="B191" s="24" t="inlineStr">
        <is>
          <t>2026-08-05T10:21:33.669433Z</t>
        </is>
      </c>
      <c r="C191" s="24" t="inlineStr">
        <is>
          <t>2026-08-05T10:30Z</t>
        </is>
      </c>
      <c r="D191" s="24" t="inlineStr">
        <is>
          <t>961-2026:182098</t>
        </is>
      </c>
      <c r="E191" s="24" t="inlineStr">
        <is>
          <t>TENNIS</t>
        </is>
      </c>
      <c r="F191" s="24" t="inlineStr">
        <is>
          <t>Mona Barthel</t>
        </is>
      </c>
      <c r="G191" s="24" t="inlineStr">
        <is>
          <t>Martyna Kubka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156</v>
      </c>
      <c r="M191" s="27" t="n">
        <v>2.56</v>
      </c>
      <c r="N191" s="28" t="n">
        <v>0.390625</v>
      </c>
      <c r="O191" s="28" t="n">
        <v>0.5849800000000001</v>
      </c>
      <c r="P191" s="28" t="n">
        <v>0.05</v>
      </c>
      <c r="Q191" s="28" t="n">
        <v>0.194355</v>
      </c>
      <c r="R191" s="26" t="n">
        <v>100</v>
      </c>
      <c r="S191" s="29" t="n">
        <v>1.25</v>
      </c>
      <c r="T191" s="24" t="inlineStr">
        <is>
          <t>tennis-surface-elo-v1</t>
        </is>
      </c>
      <c r="U191" s="24" t="inlineStr">
        <is>
          <t>settled</t>
        </is>
      </c>
      <c r="V191" s="24" t="inlineStr">
        <is>
          <t>win</t>
        </is>
      </c>
      <c r="W191" s="26" t="n">
        <v>1</v>
      </c>
      <c r="X191" s="26" t="n">
        <v>0</v>
      </c>
      <c r="Y191" s="25" t="n"/>
      <c r="Z191" s="26" t="n">
        <v>156</v>
      </c>
      <c r="AA191" s="28" t="n">
        <v>0.39</v>
      </c>
      <c r="AB191" s="28" t="n">
        <v>-0.000625</v>
      </c>
      <c r="AC191" s="30" t="n">
        <v>1.95</v>
      </c>
      <c r="AD191" s="24" t="inlineStr">
        <is>
          <t>2026-08-05T13:50:07.965679Z</t>
        </is>
      </c>
      <c r="AE191" s="31" t="inlineStr">
        <is>
          <t>Surface-blended Elo on Hard: Mona Barthel p=0.585 vs Martyna Kubka. Executable ask 0.3900 (aec-wta-markub-monbar-2026-08-05).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Mona Barthel</t>
        </is>
      </c>
      <c r="AQ191" s="24" t="inlineStr">
        <is>
          <t>Mona Barthel</t>
        </is>
      </c>
      <c r="AR191" s="24" t="inlineStr">
        <is>
          <t>Mona Barthel</t>
        </is>
      </c>
      <c r="AS191" s="24" t="inlineStr">
        <is>
          <t>Martyna Kubka</t>
        </is>
      </c>
      <c r="AT191" s="24" t="inlineStr">
        <is>
          <t>Martyna Kubka</t>
        </is>
      </c>
      <c r="AU191" s="24" t="inlineStr">
        <is>
          <t>Martyna Kubka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3ab056fefe04713e3c294da76c8adb2866b0dc46556ed32322a0426dd344a0e4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3ab056fefe04713e3c294da76c8adb2866b0dc46556ed32322a0426dd344a0e4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3ab056fefe04713e3c294da76c8adb2866b0dc46556ed32322a0426dd344a0e4</t>
        </is>
      </c>
      <c r="BH191" s="24" t="inlineStr">
        <is>
          <t>2026-08-05T10:19:06.246493Z</t>
        </is>
      </c>
      <c r="BI191" s="24" t="inlineStr">
        <is>
          <t>["same_event","same_team_same_day","same_league_same_day"]</t>
        </is>
      </c>
      <c r="BJ191" s="25" t="n"/>
      <c r="BK191" s="26" t="n">
        <v>156</v>
      </c>
      <c r="BL191" s="27" t="n">
        <v>2.56</v>
      </c>
      <c r="BM191" s="28" t="n">
        <v>0.390625</v>
      </c>
      <c r="BN191" s="28" t="n"/>
      <c r="BO191" s="28" t="n"/>
      <c r="BP191" s="25" t="n"/>
      <c r="BQ191" s="27" t="n">
        <v>2.56</v>
      </c>
      <c r="BR191" s="28" t="n">
        <v>0.39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</row>
    <row r="192" ht="36" customHeight="1">
      <c r="A192" s="24" t="inlineStr">
        <is>
          <t>27f1b617c765418f</t>
        </is>
      </c>
      <c r="B192" s="24" t="inlineStr">
        <is>
          <t>2026-08-05T10:21:33.669433Z</t>
        </is>
      </c>
      <c r="C192" s="24" t="inlineStr">
        <is>
          <t>2026-08-05T10:30Z</t>
        </is>
      </c>
      <c r="D192" s="24" t="inlineStr">
        <is>
          <t>961-2026:182102</t>
        </is>
      </c>
      <c r="E192" s="24" t="inlineStr">
        <is>
          <t>TENNIS</t>
        </is>
      </c>
      <c r="F192" s="24" t="inlineStr">
        <is>
          <t>Yuan Yue</t>
        </is>
      </c>
      <c r="G192" s="24" t="inlineStr">
        <is>
          <t>Elizara Yaneva</t>
        </is>
      </c>
      <c r="H192" s="24" t="inlineStr">
        <is>
          <t>moneyline</t>
        </is>
      </c>
      <c r="I192" s="24" t="inlineStr">
        <is>
          <t>away</t>
        </is>
      </c>
      <c r="J192" s="25" t="n"/>
      <c r="K192" s="24" t="inlineStr">
        <is>
          <t>polymarket_us</t>
        </is>
      </c>
      <c r="L192" s="26" t="n">
        <v>-150</v>
      </c>
      <c r="M192" s="27" t="n">
        <v>1.666667</v>
      </c>
      <c r="N192" s="28" t="n">
        <v>0.6</v>
      </c>
      <c r="O192" s="28" t="n">
        <v>0.549241</v>
      </c>
      <c r="P192" s="28" t="n">
        <v>0.05</v>
      </c>
      <c r="Q192" s="28" t="n">
        <v>-0.050759</v>
      </c>
      <c r="R192" s="26" t="n">
        <v>0</v>
      </c>
      <c r="S192" s="29" t="n">
        <v>1</v>
      </c>
      <c r="T192" s="24" t="inlineStr">
        <is>
          <t>tennis-surface-elo-v1</t>
        </is>
      </c>
      <c r="U192" s="24" t="inlineStr">
        <is>
          <t>settled</t>
        </is>
      </c>
      <c r="V192" s="24" t="inlineStr">
        <is>
          <t>loss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2026-08-05T16:59:40.046286Z</t>
        </is>
      </c>
      <c r="AE192" s="31" t="inlineStr">
        <is>
          <t>Surface-blended Elo on Hard: Yuan Yue p=0.549 vs Elizara Yaneva. Executable ask 0.6000 (aec-wta-eliyan-yueyua-2026-08-05).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NO_CALL_LOW_EDGE</t>
        </is>
      </c>
      <c r="AP192" s="24" t="inlineStr">
        <is>
          <t>Yuan Yue</t>
        </is>
      </c>
      <c r="AQ192" s="24" t="inlineStr">
        <is>
          <t>Yuan Yue</t>
        </is>
      </c>
      <c r="AR192" s="24" t="inlineStr">
        <is>
          <t>Yuan Yue</t>
        </is>
      </c>
      <c r="AS192" s="24" t="inlineStr">
        <is>
          <t>Elizara Yaneva</t>
        </is>
      </c>
      <c r="AT192" s="24" t="inlineStr">
        <is>
          <t>Elizara Yaneva</t>
        </is>
      </c>
      <c r="AU192" s="24" t="inlineStr">
        <is>
          <t>Elizara Yaneva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3ab056fefe04713e3c294da76c8adb2866b0dc46556ed32322a0426dd344a0e4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3ab056fefe04713e3c294da76c8adb2866b0dc46556ed32322a0426dd344a0e4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3ab056fefe04713e3c294da76c8adb2866b0dc46556ed32322a0426dd344a0e4</t>
        </is>
      </c>
      <c r="BH192" s="24" t="inlineStr">
        <is>
          <t>2026-08-05T10:19:06.257511Z</t>
        </is>
      </c>
      <c r="BI192" s="24" t="inlineStr">
        <is>
          <t>["same_event","same_team_same_day","same_league_same_day"]</t>
        </is>
      </c>
      <c r="BJ192" s="25" t="n"/>
      <c r="BK192" s="26" t="n">
        <v>-150</v>
      </c>
      <c r="BL192" s="27" t="n">
        <v>1.666667</v>
      </c>
      <c r="BM192" s="28" t="n">
        <v>0.6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</row>
    <row r="193" ht="36" customHeight="1">
      <c r="A193" s="24" t="inlineStr">
        <is>
          <t>9527e5d3364349b3</t>
        </is>
      </c>
      <c r="B193" s="24" t="inlineStr">
        <is>
          <t>2026-08-05T10:44:49.997481Z</t>
        </is>
      </c>
      <c r="C193" s="24" t="inlineStr">
        <is>
          <t>2026-08-05T12:00Z</t>
        </is>
      </c>
      <c r="D193" s="24" t="inlineStr">
        <is>
          <t>961-2026:182099</t>
        </is>
      </c>
      <c r="E193" s="24" t="inlineStr">
        <is>
          <t>TENNIS</t>
        </is>
      </c>
      <c r="F193" s="24" t="inlineStr">
        <is>
          <t>Noma Noha Akugue</t>
        </is>
      </c>
      <c r="G193" s="24" t="inlineStr">
        <is>
          <t>Weronika Falkowska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150</v>
      </c>
      <c r="M193" s="27" t="n">
        <v>2.5</v>
      </c>
      <c r="N193" s="28" t="n">
        <v>0.4</v>
      </c>
      <c r="O193" s="28" t="n">
        <v>0.513857</v>
      </c>
      <c r="P193" s="28" t="n">
        <v>0.05</v>
      </c>
      <c r="Q193" s="28" t="n">
        <v>0.113857</v>
      </c>
      <c r="R193" s="26" t="n">
        <v>77</v>
      </c>
      <c r="S193" s="29" t="n">
        <v>1</v>
      </c>
      <c r="T193" s="24" t="inlineStr">
        <is>
          <t>tennis-surface-elo-v1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1</v>
      </c>
      <c r="Y193" s="25" t="n"/>
      <c r="Z193" s="26" t="n">
        <v>150</v>
      </c>
      <c r="AA193" s="28" t="n">
        <v>0.4</v>
      </c>
      <c r="AB193" s="28" t="n">
        <v>0</v>
      </c>
      <c r="AC193" s="30" t="n">
        <v>1.5</v>
      </c>
      <c r="AD193" s="24" t="inlineStr">
        <is>
          <t>2026-08-05T16:59:41.306763Z</t>
        </is>
      </c>
      <c r="AE193" s="31" t="inlineStr">
        <is>
          <t>Surface-blended Elo on Hard: Noma Noha Akugue p=0.486 vs Weronika Falkowska. Executable ask 0.4000 (aec-wta-werfal-nomaku-2026-08-05).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NO_CALL_LOW_EDGE</t>
        </is>
      </c>
      <c r="AP193" s="24" t="inlineStr">
        <is>
          <t>Noma Noha Akugue</t>
        </is>
      </c>
      <c r="AQ193" s="24" t="inlineStr">
        <is>
          <t>Noma Noha Akugue</t>
        </is>
      </c>
      <c r="AR193" s="24" t="inlineStr">
        <is>
          <t>Noma Noha Akugue</t>
        </is>
      </c>
      <c r="AS193" s="24" t="inlineStr">
        <is>
          <t>Weronika Falkowska</t>
        </is>
      </c>
      <c r="AT193" s="24" t="inlineStr">
        <is>
          <t>Weronika Falkowska</t>
        </is>
      </c>
      <c r="AU193" s="24" t="inlineStr">
        <is>
          <t>Weronika Falkowska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3ab056fefe04713e3c294da76c8adb2866b0dc46556ed32322a0426dd344a0e4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3ab056fefe04713e3c294da76c8adb2866b0dc46556ed32322a0426dd344a0e4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3ab056fefe04713e3c294da76c8adb2866b0dc46556ed32322a0426dd344a0e4</t>
        </is>
      </c>
      <c r="BH193" s="24" t="inlineStr">
        <is>
          <t>2026-08-05T10:42:35.362081Z</t>
        </is>
      </c>
      <c r="BI193" s="24" t="inlineStr">
        <is>
          <t>["same_event","same_team_same_day","same_league_same_day"]</t>
        </is>
      </c>
      <c r="BJ193" s="25" t="n"/>
      <c r="BK193" s="26" t="n">
        <v>150</v>
      </c>
      <c r="BL193" s="27" t="n">
        <v>2.5</v>
      </c>
      <c r="BM193" s="28" t="n">
        <v>0.4</v>
      </c>
      <c r="BN193" s="28" t="n"/>
      <c r="BO193" s="28" t="n"/>
      <c r="BP193" s="25" t="n"/>
      <c r="BQ193" s="27" t="n">
        <v>2.5</v>
      </c>
      <c r="BR193" s="28" t="n">
        <v>0.4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</row>
    <row r="194" ht="36" customHeight="1">
      <c r="A194" s="24" t="inlineStr">
        <is>
          <t>9bf1639f6c1a421e</t>
        </is>
      </c>
      <c r="B194" s="24" t="inlineStr">
        <is>
          <t>2026-08-05T10:44:49.997481Z</t>
        </is>
      </c>
      <c r="C194" s="24" t="inlineStr">
        <is>
          <t>2026-08-05T12:00Z</t>
        </is>
      </c>
      <c r="D194" s="24" t="inlineStr">
        <is>
          <t>961-2026:182097</t>
        </is>
      </c>
      <c r="E194" s="24" t="inlineStr">
        <is>
          <t>TENNIS</t>
        </is>
      </c>
      <c r="F194" s="24" t="inlineStr">
        <is>
          <t>Veronika Podrez</t>
        </is>
      </c>
      <c r="G194" s="24" t="inlineStr">
        <is>
          <t>Susan Bandecchi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-113</v>
      </c>
      <c r="M194" s="27" t="n">
        <v>1.884956</v>
      </c>
      <c r="N194" s="28" t="n">
        <v>0.530516</v>
      </c>
      <c r="O194" s="28" t="n">
        <v>0.684504</v>
      </c>
      <c r="P194" s="28" t="n">
        <v>0.05</v>
      </c>
      <c r="Q194" s="28" t="n">
        <v>0.153988</v>
      </c>
      <c r="R194" s="26" t="n">
        <v>97</v>
      </c>
      <c r="S194" s="29" t="n">
        <v>2</v>
      </c>
      <c r="T194" s="24" t="inlineStr">
        <is>
          <t>tennis-surface-elo-v1</t>
        </is>
      </c>
      <c r="U194" s="24" t="inlineStr">
        <is>
          <t>settled</t>
        </is>
      </c>
      <c r="V194" s="24" t="inlineStr">
        <is>
          <t>loss</t>
        </is>
      </c>
      <c r="W194" s="26" t="n">
        <v>0</v>
      </c>
      <c r="X194" s="26" t="n">
        <v>1</v>
      </c>
      <c r="Y194" s="25" t="n"/>
      <c r="Z194" s="26" t="n">
        <v>-113</v>
      </c>
      <c r="AA194" s="28" t="n">
        <v>0.53</v>
      </c>
      <c r="AB194" s="28" t="n">
        <v>-0.000516</v>
      </c>
      <c r="AC194" s="30" t="n">
        <v>-2</v>
      </c>
      <c r="AD194" s="24" t="inlineStr">
        <is>
          <t>2026-08-05T16:59:42.507417Z</t>
        </is>
      </c>
      <c r="AE194" s="31" t="inlineStr">
        <is>
          <t>Surface-blended Elo on Hard: Veronika Podrez p=0.685 vs Susan Bandecchi. Executable ask 0.5300 (aec-wta-susban-verpod-2026-08-05).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Veronika Podrez</t>
        </is>
      </c>
      <c r="AQ194" s="24" t="inlineStr">
        <is>
          <t>Veronika Podrez</t>
        </is>
      </c>
      <c r="AR194" s="24" t="inlineStr">
        <is>
          <t>Veronika Podrez</t>
        </is>
      </c>
      <c r="AS194" s="24" t="inlineStr">
        <is>
          <t>Susan Bandecchi</t>
        </is>
      </c>
      <c r="AT194" s="24" t="inlineStr">
        <is>
          <t>Susan Bandecchi</t>
        </is>
      </c>
      <c r="AU194" s="24" t="inlineStr">
        <is>
          <t>Susan Bandecchi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3ab056fefe04713e3c294da76c8adb2866b0dc46556ed32322a0426dd344a0e4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3ab056fefe04713e3c294da76c8adb2866b0dc46556ed32322a0426dd344a0e4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3ab056fefe04713e3c294da76c8adb2866b0dc46556ed32322a0426dd344a0e4</t>
        </is>
      </c>
      <c r="BH194" s="24" t="inlineStr">
        <is>
          <t>2026-08-05T10:42:35.161195Z</t>
        </is>
      </c>
      <c r="BI194" s="24" t="inlineStr">
        <is>
          <t>["same_event","same_team_same_day","same_league_same_day"]</t>
        </is>
      </c>
      <c r="BJ194" s="25" t="n"/>
      <c r="BK194" s="26" t="n">
        <v>-113</v>
      </c>
      <c r="BL194" s="27" t="n">
        <v>1.884956</v>
      </c>
      <c r="BM194" s="28" t="n">
        <v>0.530516</v>
      </c>
      <c r="BN194" s="28" t="n"/>
      <c r="BO194" s="28" t="n"/>
      <c r="BP194" s="25" t="n"/>
      <c r="BQ194" s="27" t="n">
        <v>1.884956</v>
      </c>
      <c r="BR194" s="28" t="n">
        <v>0.53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</row>
    <row r="195" ht="36" customHeight="1">
      <c r="A195" s="24" t="inlineStr">
        <is>
          <t>a16c7bca38f7476f</t>
        </is>
      </c>
      <c r="B195" s="24" t="inlineStr">
        <is>
          <t>2026-08-05T13:54:48.712587Z</t>
        </is>
      </c>
      <c r="C195" s="24" t="inlineStr">
        <is>
          <t>2026-08-05T15:00Z</t>
        </is>
      </c>
      <c r="D195" s="24" t="inlineStr">
        <is>
          <t>421-2026:182220</t>
        </is>
      </c>
      <c r="E195" s="24" t="inlineStr">
        <is>
          <t>TENNIS</t>
        </is>
      </c>
      <c r="F195" s="24" t="inlineStr">
        <is>
          <t>Kayla Cross</t>
        </is>
      </c>
      <c r="G195" s="24" t="inlineStr">
        <is>
          <t>Ann Li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-335</v>
      </c>
      <c r="M195" s="27" t="n">
        <v>1.298507</v>
      </c>
      <c r="N195" s="28" t="n">
        <v>0.770115</v>
      </c>
      <c r="O195" s="28" t="n">
        <v>0.795002</v>
      </c>
      <c r="P195" s="28" t="n">
        <v>0.05</v>
      </c>
      <c r="Q195" s="28" t="n">
        <v>0.024887</v>
      </c>
      <c r="R195" s="26" t="n">
        <v>32</v>
      </c>
      <c r="S195" s="29" t="n">
        <v>2</v>
      </c>
      <c r="T195" s="24" t="inlineStr">
        <is>
          <t>tennis-surface-elo-v1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1</v>
      </c>
      <c r="Y195" s="25" t="n"/>
      <c r="Z195" s="26" t="n">
        <v>-335</v>
      </c>
      <c r="AA195" s="28" t="n">
        <v>0.77</v>
      </c>
      <c r="AB195" s="28" t="n">
        <v>-0.000115</v>
      </c>
      <c r="AC195" s="30" t="n">
        <v>0.597</v>
      </c>
      <c r="AD195" s="24" t="inlineStr">
        <is>
          <t>2026-08-05T16:59:43.760127Z</t>
        </is>
      </c>
      <c r="AE195" s="31" t="inlineStr">
        <is>
          <t>Surface-blended Elo on Hard: Kayla Cross p=0.205 vs Ann Li. Executable ask 0.7700 (aec-wta-annli-kaycro-2026-08-04).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NO_CALL_LOW_EDGE</t>
        </is>
      </c>
      <c r="AP195" s="24" t="inlineStr">
        <is>
          <t>Kayla Cross</t>
        </is>
      </c>
      <c r="AQ195" s="24" t="inlineStr">
        <is>
          <t>Kayla Cross</t>
        </is>
      </c>
      <c r="AR195" s="24" t="inlineStr">
        <is>
          <t>Kayla Cross</t>
        </is>
      </c>
      <c r="AS195" s="24" t="inlineStr">
        <is>
          <t>Ann Li</t>
        </is>
      </c>
      <c r="AT195" s="24" t="inlineStr">
        <is>
          <t>Ann Li</t>
        </is>
      </c>
      <c r="AU195" s="24" t="inlineStr">
        <is>
          <t>Ann Li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3ab056fefe04713e3c294da76c8adb2866b0dc46556ed32322a0426dd344a0e4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3ab056fefe04713e3c294da76c8adb2866b0dc46556ed32322a0426dd344a0e4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3ab056fefe04713e3c294da76c8adb2866b0dc46556ed32322a0426dd344a0e4</t>
        </is>
      </c>
      <c r="BH195" s="24" t="inlineStr">
        <is>
          <t>2026-08-05T13:52:38.380096Z</t>
        </is>
      </c>
      <c r="BI195" s="24" t="inlineStr">
        <is>
          <t>["same_event","same_team_same_day","same_league_same_day"]</t>
        </is>
      </c>
      <c r="BJ195" s="25" t="n"/>
      <c r="BK195" s="26" t="n">
        <v>-335</v>
      </c>
      <c r="BL195" s="27" t="n">
        <v>1.298507</v>
      </c>
      <c r="BM195" s="28" t="n">
        <v>0.770115</v>
      </c>
      <c r="BN195" s="28" t="n"/>
      <c r="BO195" s="28" t="n"/>
      <c r="BP195" s="25" t="n"/>
      <c r="BQ195" s="27" t="n">
        <v>1.298507</v>
      </c>
      <c r="BR195" s="28" t="n">
        <v>0.77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</row>
    <row r="196" ht="36" customHeight="1">
      <c r="A196" s="24" t="inlineStr">
        <is>
          <t>6ddd668cdefb4366</t>
        </is>
      </c>
      <c r="B196" s="24" t="inlineStr">
        <is>
          <t>2026-08-05T13:54:48.712587Z</t>
        </is>
      </c>
      <c r="C196" s="24" t="inlineStr">
        <is>
          <t>2026-08-05T16:30Z</t>
        </is>
      </c>
      <c r="D196" s="24" t="inlineStr">
        <is>
          <t>421-2026:182196</t>
        </is>
      </c>
      <c r="E196" s="24" t="inlineStr">
        <is>
          <t>TENNIS</t>
        </is>
      </c>
      <c r="F196" s="24" t="inlineStr">
        <is>
          <t>Magdalena Frech</t>
        </is>
      </c>
      <c r="G196" s="24" t="inlineStr">
        <is>
          <t>Jessica Pegula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-900</v>
      </c>
      <c r="M196" s="27" t="n">
        <v>1.111111</v>
      </c>
      <c r="N196" s="28" t="n">
        <v>0.9</v>
      </c>
      <c r="O196" s="28" t="n">
        <v>0.9137729999999999</v>
      </c>
      <c r="P196" s="28" t="n">
        <v>0.05</v>
      </c>
      <c r="Q196" s="28" t="n">
        <v>0.013773</v>
      </c>
      <c r="R196" s="26" t="n">
        <v>27</v>
      </c>
      <c r="S196" s="29" t="n">
        <v>2</v>
      </c>
      <c r="T196" s="24" t="inlineStr">
        <is>
          <t>tennis-surface-elo-v1</t>
        </is>
      </c>
      <c r="U196" s="24" t="inlineStr">
        <is>
          <t>settled</t>
        </is>
      </c>
      <c r="V196" s="24" t="inlineStr">
        <is>
          <t>win</t>
        </is>
      </c>
      <c r="W196" s="26" t="n">
        <v>0</v>
      </c>
      <c r="X196" s="26" t="n">
        <v>1</v>
      </c>
      <c r="Y196" s="25" t="n"/>
      <c r="Z196" s="26" t="n">
        <v>-900</v>
      </c>
      <c r="AA196" s="28" t="n">
        <v>0.9</v>
      </c>
      <c r="AB196" s="28" t="n">
        <v>0</v>
      </c>
      <c r="AC196" s="30" t="n">
        <v>0.2222</v>
      </c>
      <c r="AD196" s="24" t="inlineStr">
        <is>
          <t>2026-08-05T20:58:01.229413Z</t>
        </is>
      </c>
      <c r="AE196" s="31" t="inlineStr">
        <is>
          <t>Surface-blended Elo on Hard: Magdalena Frech p=0.086 vs Jessica Pegula. Executable ask 0.9000 (aec-wta-jespeg-magfre-2026-08-04).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NO_CALL_LOW_EDGE</t>
        </is>
      </c>
      <c r="AP196" s="24" t="inlineStr">
        <is>
          <t>Magdalena Frech</t>
        </is>
      </c>
      <c r="AQ196" s="24" t="inlineStr">
        <is>
          <t>Magdalena Frech</t>
        </is>
      </c>
      <c r="AR196" s="24" t="inlineStr">
        <is>
          <t>Magdalena Frech</t>
        </is>
      </c>
      <c r="AS196" s="24" t="inlineStr">
        <is>
          <t>Jessica Pegula</t>
        </is>
      </c>
      <c r="AT196" s="24" t="inlineStr">
        <is>
          <t>Jessica Pegula</t>
        </is>
      </c>
      <c r="AU196" s="24" t="inlineStr">
        <is>
          <t>Jessica Pegula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3ab056fefe04713e3c294da76c8adb2866b0dc46556ed32322a0426dd344a0e4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3ab056fefe04713e3c294da76c8adb2866b0dc46556ed32322a0426dd344a0e4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3ab056fefe04713e3c294da76c8adb2866b0dc46556ed32322a0426dd344a0e4</t>
        </is>
      </c>
      <c r="BH196" s="24" t="inlineStr">
        <is>
          <t>2026-08-05T13:52:39.841560Z</t>
        </is>
      </c>
      <c r="BI196" s="24" t="inlineStr">
        <is>
          <t>["same_event","same_team_same_day","same_league_same_day"]</t>
        </is>
      </c>
      <c r="BJ196" s="25" t="n"/>
      <c r="BK196" s="26" t="n">
        <v>-900</v>
      </c>
      <c r="BL196" s="27" t="n">
        <v>1.111111</v>
      </c>
      <c r="BM196" s="28" t="n">
        <v>0.9</v>
      </c>
      <c r="BN196" s="28" t="n"/>
      <c r="BO196" s="28" t="n"/>
      <c r="BP196" s="25" t="n"/>
      <c r="BQ196" s="27" t="n">
        <v>1.111111</v>
      </c>
      <c r="BR196" s="28" t="n">
        <v>0.9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</row>
    <row r="197" ht="36" customHeight="1">
      <c r="A197" s="24" t="inlineStr">
        <is>
          <t>39ddf50ddbbd4653</t>
        </is>
      </c>
      <c r="B197" s="24" t="inlineStr">
        <is>
          <t>2026-08-05T13:54:48.712587Z</t>
        </is>
      </c>
      <c r="C197" s="24" t="inlineStr">
        <is>
          <t>2026-08-05T16:30Z</t>
        </is>
      </c>
      <c r="D197" s="24" t="inlineStr">
        <is>
          <t>421-2026:182201</t>
        </is>
      </c>
      <c r="E197" s="24" t="inlineStr">
        <is>
          <t>TENNIS</t>
        </is>
      </c>
      <c r="F197" s="24" t="inlineStr">
        <is>
          <t>Belinda Bencic</t>
        </is>
      </c>
      <c r="G197" s="24" t="inlineStr">
        <is>
          <t>Sloane Stephens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polymarket_us</t>
        </is>
      </c>
      <c r="L197" s="26" t="n">
        <v>-733</v>
      </c>
      <c r="M197" s="27" t="n">
        <v>1.136426</v>
      </c>
      <c r="N197" s="28" t="n">
        <v>0.879952</v>
      </c>
      <c r="O197" s="28" t="n">
        <v>0.887489</v>
      </c>
      <c r="P197" s="28" t="n">
        <v>0.05</v>
      </c>
      <c r="Q197" s="28" t="n">
        <v>0.007537</v>
      </c>
      <c r="R197" s="26" t="n">
        <v>24</v>
      </c>
      <c r="S197" s="29" t="n">
        <v>2</v>
      </c>
      <c r="T197" s="24" t="inlineStr">
        <is>
          <t>tennis-surface-elo-v1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0</v>
      </c>
      <c r="Y197" s="25" t="n"/>
      <c r="Z197" s="26" t="n">
        <v>-733</v>
      </c>
      <c r="AA197" s="28" t="n">
        <v>0.88</v>
      </c>
      <c r="AB197" s="28" t="n">
        <v>4.8e-05</v>
      </c>
      <c r="AC197" s="30" t="n">
        <v>0.2729</v>
      </c>
      <c r="AD197" s="24" t="inlineStr">
        <is>
          <t>2026-08-05T20:58:02.341123Z</t>
        </is>
      </c>
      <c r="AE197" s="31" t="inlineStr">
        <is>
          <t>Surface-blended Elo on Hard: Belinda Bencic p=0.887 vs Sloane Stephens. Executable ask 0.8800 (aec-wta-sloste-belben-2026-08-06).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NO_CALL_LOW_EDGE</t>
        </is>
      </c>
      <c r="AP197" s="24" t="inlineStr">
        <is>
          <t>Belinda Bencic</t>
        </is>
      </c>
      <c r="AQ197" s="24" t="inlineStr">
        <is>
          <t>Belinda Bencic</t>
        </is>
      </c>
      <c r="AR197" s="24" t="inlineStr">
        <is>
          <t>Belinda Bencic</t>
        </is>
      </c>
      <c r="AS197" s="24" t="inlineStr">
        <is>
          <t>Sloane Stephens</t>
        </is>
      </c>
      <c r="AT197" s="24" t="inlineStr">
        <is>
          <t>Sloane Stephens</t>
        </is>
      </c>
      <c r="AU197" s="24" t="inlineStr">
        <is>
          <t>Sloane Stephens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3ab056fefe04713e3c294da76c8adb2866b0dc46556ed32322a0426dd344a0e4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3ab056fefe04713e3c294da76c8adb2866b0dc46556ed32322a0426dd344a0e4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3ab056fefe04713e3c294da76c8adb2866b0dc46556ed32322a0426dd344a0e4</t>
        </is>
      </c>
      <c r="BH197" s="24" t="inlineStr">
        <is>
          <t>2026-08-05T13:52:41.012065Z</t>
        </is>
      </c>
      <c r="BI197" s="24" t="inlineStr">
        <is>
          <t>["same_event","same_team_same_day","same_league_same_day"]</t>
        </is>
      </c>
      <c r="BJ197" s="25" t="n"/>
      <c r="BK197" s="26" t="n">
        <v>-733</v>
      </c>
      <c r="BL197" s="27" t="n">
        <v>1.136426</v>
      </c>
      <c r="BM197" s="28" t="n">
        <v>0.879952</v>
      </c>
      <c r="BN197" s="28" t="n"/>
      <c r="BO197" s="28" t="n"/>
      <c r="BP197" s="25" t="n"/>
      <c r="BQ197" s="27" t="n">
        <v>1.136426</v>
      </c>
      <c r="BR197" s="28" t="n">
        <v>0.88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</row>
    <row r="198" ht="36" customHeight="1">
      <c r="A198" s="24" t="inlineStr">
        <is>
          <t>f465d39b412e4847</t>
        </is>
      </c>
      <c r="B198" s="24" t="inlineStr">
        <is>
          <t>2026-08-05T13:54:48.712587Z</t>
        </is>
      </c>
      <c r="C198" s="24" t="inlineStr">
        <is>
          <t>2026-08-05T16:30Z</t>
        </is>
      </c>
      <c r="D198" s="24" t="inlineStr">
        <is>
          <t>421-2026:182218</t>
        </is>
      </c>
      <c r="E198" s="24" t="inlineStr">
        <is>
          <t>TENNIS</t>
        </is>
      </c>
      <c r="F198" s="24" t="inlineStr">
        <is>
          <t>Elena Rybakina</t>
        </is>
      </c>
      <c r="G198" s="24" t="inlineStr">
        <is>
          <t>Daria Kasatkina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-669</v>
      </c>
      <c r="M198" s="27" t="n">
        <v>1.149477</v>
      </c>
      <c r="N198" s="28" t="n">
        <v>0.869961</v>
      </c>
      <c r="O198" s="28" t="n">
        <v>0.8561839999999999</v>
      </c>
      <c r="P198" s="28" t="n">
        <v>0.05</v>
      </c>
      <c r="Q198" s="28" t="n">
        <v>-0.013777</v>
      </c>
      <c r="R198" s="26" t="n">
        <v>13</v>
      </c>
      <c r="S198" s="29" t="n">
        <v>2</v>
      </c>
      <c r="T198" s="24" t="inlineStr">
        <is>
          <t>tennis-surface-elo-v1</t>
        </is>
      </c>
      <c r="U198" s="24" t="inlineStr">
        <is>
          <t>settled</t>
        </is>
      </c>
      <c r="V198" s="24" t="inlineStr">
        <is>
          <t>win</t>
        </is>
      </c>
      <c r="W198" s="26" t="n">
        <v>1</v>
      </c>
      <c r="X198" s="26" t="n">
        <v>0</v>
      </c>
      <c r="Y198" s="25" t="n"/>
      <c r="Z198" s="26" t="n">
        <v>-669</v>
      </c>
      <c r="AA198" s="28" t="n">
        <v>0.87</v>
      </c>
      <c r="AB198" s="28" t="n">
        <v>3.9e-05</v>
      </c>
      <c r="AC198" s="30" t="n">
        <v>0.299</v>
      </c>
      <c r="AD198" s="24" t="inlineStr">
        <is>
          <t>2026-08-05T20:58:03.504667Z</t>
        </is>
      </c>
      <c r="AE198" s="31" t="inlineStr">
        <is>
          <t>Surface-blended Elo on Hard: Elena Rybakina p=0.856 vs Daria Kasatkina. Executable ask 0.8700 (aec-wta-darkas-eleryb-2026-08-06).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NO_CALL_LOW_EDGE</t>
        </is>
      </c>
      <c r="AP198" s="24" t="inlineStr">
        <is>
          <t>Elena Rybakina</t>
        </is>
      </c>
      <c r="AQ198" s="24" t="inlineStr">
        <is>
          <t>Elena Rybakina</t>
        </is>
      </c>
      <c r="AR198" s="24" t="inlineStr">
        <is>
          <t>Elena Rybakina</t>
        </is>
      </c>
      <c r="AS198" s="24" t="inlineStr">
        <is>
          <t>Daria Kasatkina</t>
        </is>
      </c>
      <c r="AT198" s="24" t="inlineStr">
        <is>
          <t>Daria Kasatkina</t>
        </is>
      </c>
      <c r="AU198" s="24" t="inlineStr">
        <is>
          <t>Daria Kasatkina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3ab056fefe04713e3c294da76c8adb2866b0dc46556ed32322a0426dd344a0e4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3ab056fefe04713e3c294da76c8adb2866b0dc46556ed32322a0426dd344a0e4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3ab056fefe04713e3c294da76c8adb2866b0dc46556ed32322a0426dd344a0e4</t>
        </is>
      </c>
      <c r="BH198" s="24" t="inlineStr">
        <is>
          <t>2026-08-05T13:52:41.872950Z</t>
        </is>
      </c>
      <c r="BI198" s="24" t="inlineStr">
        <is>
          <t>["same_event","same_team_same_day","same_league_same_day"]</t>
        </is>
      </c>
      <c r="BJ198" s="25" t="n"/>
      <c r="BK198" s="26" t="n">
        <v>-669</v>
      </c>
      <c r="BL198" s="27" t="n">
        <v>1.149477</v>
      </c>
      <c r="BM198" s="28" t="n">
        <v>0.869961</v>
      </c>
      <c r="BN198" s="28" t="n"/>
      <c r="BO198" s="28" t="n"/>
      <c r="BP198" s="25" t="n"/>
      <c r="BQ198" s="27" t="n">
        <v>1.149477</v>
      </c>
      <c r="BR198" s="28" t="n">
        <v>0.87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</row>
    <row r="199" ht="36" customHeight="1">
      <c r="A199" s="24" t="inlineStr">
        <is>
          <t>c01d22a58c78482c</t>
        </is>
      </c>
      <c r="B199" s="24" t="inlineStr">
        <is>
          <t>2026-08-05T13:54:48.712587Z</t>
        </is>
      </c>
      <c r="C199" s="24" t="inlineStr">
        <is>
          <t>2026-08-05T16:30Z</t>
        </is>
      </c>
      <c r="D199" s="24" t="inlineStr">
        <is>
          <t>421-2026:182225</t>
        </is>
      </c>
      <c r="E199" s="24" t="inlineStr">
        <is>
          <t>TENNIS</t>
        </is>
      </c>
      <c r="F199" s="24" t="inlineStr">
        <is>
          <t>Taylor Townsend</t>
        </is>
      </c>
      <c r="G199" s="24" t="inlineStr">
        <is>
          <t>Marie Bouzkova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-133</v>
      </c>
      <c r="M199" s="27" t="n">
        <v>1.75188</v>
      </c>
      <c r="N199" s="28" t="n">
        <v>0.570815</v>
      </c>
      <c r="O199" s="28" t="n">
        <v>0.56035</v>
      </c>
      <c r="P199" s="28" t="n">
        <v>0.05</v>
      </c>
      <c r="Q199" s="28" t="n">
        <v>-0.010465</v>
      </c>
      <c r="R199" s="26" t="n">
        <v>15</v>
      </c>
      <c r="S199" s="29" t="n">
        <v>1</v>
      </c>
      <c r="T199" s="24" t="inlineStr">
        <is>
          <t>tennis-surface-elo-v1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0</v>
      </c>
      <c r="Y199" s="25" t="n"/>
      <c r="Z199" s="26" t="n">
        <v>-133</v>
      </c>
      <c r="AA199" s="28" t="n">
        <v>0.57</v>
      </c>
      <c r="AB199" s="28" t="n">
        <v>-0.000815</v>
      </c>
      <c r="AC199" s="30" t="n">
        <v>-1</v>
      </c>
      <c r="AD199" s="24" t="inlineStr">
        <is>
          <t>2026-08-05T20:58:04.618067Z</t>
        </is>
      </c>
      <c r="AE199" s="31" t="inlineStr">
        <is>
          <t>Surface-blended Elo on Hard: Taylor Townsend p=0.440 vs Marie Bouzkova. Executable ask 0.5700 (aec-wta-marbou-taytow-2026-08-06).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NO_CALL_LOW_EDGE</t>
        </is>
      </c>
      <c r="AP199" s="24" t="inlineStr">
        <is>
          <t>Taylor Townsend</t>
        </is>
      </c>
      <c r="AQ199" s="24" t="inlineStr">
        <is>
          <t>Taylor Townsend</t>
        </is>
      </c>
      <c r="AR199" s="24" t="inlineStr">
        <is>
          <t>Taylor Townsend</t>
        </is>
      </c>
      <c r="AS199" s="24" t="inlineStr">
        <is>
          <t>Marie Bouzkova</t>
        </is>
      </c>
      <c r="AT199" s="24" t="inlineStr">
        <is>
          <t>Marie Bouzkova</t>
        </is>
      </c>
      <c r="AU199" s="24" t="inlineStr">
        <is>
          <t>Marie Bouzkova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3ab056fefe04713e3c294da76c8adb2866b0dc46556ed32322a0426dd344a0e4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3ab056fefe04713e3c294da76c8adb2866b0dc46556ed32322a0426dd344a0e4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3ab056fefe04713e3c294da76c8adb2866b0dc46556ed32322a0426dd344a0e4</t>
        </is>
      </c>
      <c r="BH199" s="24" t="inlineStr">
        <is>
          <t>2026-08-05T13:52:39.163501Z</t>
        </is>
      </c>
      <c r="BI199" s="24" t="inlineStr">
        <is>
          <t>["same_event","same_team_same_day","same_league_same_day"]</t>
        </is>
      </c>
      <c r="BJ199" s="25" t="n"/>
      <c r="BK199" s="26" t="n">
        <v>-133</v>
      </c>
      <c r="BL199" s="27" t="n">
        <v>1.75188</v>
      </c>
      <c r="BM199" s="28" t="n">
        <v>0.570815</v>
      </c>
      <c r="BN199" s="28" t="n"/>
      <c r="BO199" s="28" t="n"/>
      <c r="BP199" s="25" t="n"/>
      <c r="BQ199" s="27" t="n">
        <v>1.75188</v>
      </c>
      <c r="BR199" s="28" t="n">
        <v>0.57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</row>
    <row r="200" ht="36" customHeight="1">
      <c r="A200" s="24" t="inlineStr">
        <is>
          <t>2811cb0a91b94e15</t>
        </is>
      </c>
      <c r="B200" s="24" t="inlineStr">
        <is>
          <t>2026-08-05T13:54:48.712587Z</t>
        </is>
      </c>
      <c r="C200" s="24" t="inlineStr">
        <is>
          <t>2026-08-05T15:00Z</t>
        </is>
      </c>
      <c r="D200" s="24" t="inlineStr">
        <is>
          <t>421-2026:181726</t>
        </is>
      </c>
      <c r="E200" s="24" t="inlineStr">
        <is>
          <t>TENNIS</t>
        </is>
      </c>
      <c r="F200" s="24" t="inlineStr">
        <is>
          <t>Sebastian Baez</t>
        </is>
      </c>
      <c r="G200" s="24" t="inlineStr">
        <is>
          <t>Zizou Bergs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-144</v>
      </c>
      <c r="M200" s="27" t="n">
        <v>1.694444</v>
      </c>
      <c r="N200" s="28" t="n">
        <v>0.590164</v>
      </c>
      <c r="O200" s="28" t="n">
        <v>0.52297</v>
      </c>
      <c r="P200" s="28" t="n">
        <v>0.05</v>
      </c>
      <c r="Q200" s="28" t="n">
        <v>-0.067194</v>
      </c>
      <c r="R200" s="26" t="n">
        <v>0</v>
      </c>
      <c r="S200" s="29" t="n">
        <v>1</v>
      </c>
      <c r="T200" s="24" t="inlineStr">
        <is>
          <t>tennis-surface-elo-v1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>
        <v>-144</v>
      </c>
      <c r="AA200" s="28" t="n">
        <v>0.59</v>
      </c>
      <c r="AB200" s="28" t="n">
        <v>-0.000164</v>
      </c>
      <c r="AC200" s="30" t="n">
        <v>0.6944</v>
      </c>
      <c r="AD200" s="24" t="inlineStr">
        <is>
          <t>2026-08-05T20:58:05.784696Z</t>
        </is>
      </c>
      <c r="AE200" s="31" t="inlineStr">
        <is>
          <t>Surface-blended Elo on Hard: Sebastian Baez p=0.477 vs Zizou Bergs. Executable ask 0.5900 (aec-atp-zizber-sebbae-2026-08-06).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NO_CALL_LOW_EDGE</t>
        </is>
      </c>
      <c r="AP200" s="24" t="inlineStr">
        <is>
          <t>Sebastian Baez</t>
        </is>
      </c>
      <c r="AQ200" s="24" t="inlineStr">
        <is>
          <t>Sebastian Baez</t>
        </is>
      </c>
      <c r="AR200" s="24" t="inlineStr">
        <is>
          <t>Sebastian Baez</t>
        </is>
      </c>
      <c r="AS200" s="24" t="inlineStr">
        <is>
          <t>Zizou Bergs</t>
        </is>
      </c>
      <c r="AT200" s="24" t="inlineStr">
        <is>
          <t>Zizou Bergs</t>
        </is>
      </c>
      <c r="AU200" s="24" t="inlineStr">
        <is>
          <t>Zizou Bergs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3ab056fefe04713e3c294da76c8adb2866b0dc46556ed32322a0426dd344a0e4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3ab056fefe04713e3c294da76c8adb2866b0dc46556ed32322a0426dd344a0e4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3ab056fefe04713e3c294da76c8adb2866b0dc46556ed32322a0426dd344a0e4</t>
        </is>
      </c>
      <c r="BH200" s="24" t="inlineStr">
        <is>
          <t>2026-08-05T13:52:51.067876Z</t>
        </is>
      </c>
      <c r="BI200" s="24" t="inlineStr">
        <is>
          <t>["same_event","same_team_same_day","same_league_same_day"]</t>
        </is>
      </c>
      <c r="BJ200" s="25" t="n"/>
      <c r="BK200" s="26" t="n">
        <v>-144</v>
      </c>
      <c r="BL200" s="27" t="n">
        <v>1.694444</v>
      </c>
      <c r="BM200" s="28" t="n">
        <v>0.590164</v>
      </c>
      <c r="BN200" s="28" t="n"/>
      <c r="BO200" s="28" t="n"/>
      <c r="BP200" s="25" t="n"/>
      <c r="BQ200" s="27" t="n">
        <v>1.694444</v>
      </c>
      <c r="BR200" s="28" t="n">
        <v>0.59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</row>
    <row r="201" ht="36" customHeight="1">
      <c r="A201" s="24" t="inlineStr">
        <is>
          <t>06ce4b5381084b0a</t>
        </is>
      </c>
      <c r="B201" s="24" t="inlineStr">
        <is>
          <t>2026-08-05T13:54:48.712587Z</t>
        </is>
      </c>
      <c r="C201" s="24" t="inlineStr">
        <is>
          <t>2026-08-05T15:00Z</t>
        </is>
      </c>
      <c r="D201" s="24" t="inlineStr">
        <is>
          <t>421-2026:181727</t>
        </is>
      </c>
      <c r="E201" s="24" t="inlineStr">
        <is>
          <t>TENNIS</t>
        </is>
      </c>
      <c r="F201" s="24" t="inlineStr">
        <is>
          <t>Joao Fonseca</t>
        </is>
      </c>
      <c r="G201" s="24" t="inlineStr">
        <is>
          <t>Stefanos Tsitsipas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-150</v>
      </c>
      <c r="M201" s="27" t="n">
        <v>1.666667</v>
      </c>
      <c r="N201" s="28" t="n">
        <v>0.6</v>
      </c>
      <c r="O201" s="28" t="n">
        <v>0.629315</v>
      </c>
      <c r="P201" s="28" t="n">
        <v>0.05</v>
      </c>
      <c r="Q201" s="28" t="n">
        <v>0.029315</v>
      </c>
      <c r="R201" s="26" t="n">
        <v>35</v>
      </c>
      <c r="S201" s="29" t="n">
        <v>1.5</v>
      </c>
      <c r="T201" s="24" t="inlineStr">
        <is>
          <t>tennis-surface-elo-v1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0</v>
      </c>
      <c r="Y201" s="25" t="n"/>
      <c r="Z201" s="26" t="n">
        <v>-150</v>
      </c>
      <c r="AA201" s="28" t="n">
        <v>0.6</v>
      </c>
      <c r="AB201" s="28" t="n">
        <v>0</v>
      </c>
      <c r="AC201" s="30" t="n">
        <v>1</v>
      </c>
      <c r="AD201" s="24" t="inlineStr">
        <is>
          <t>2026-08-05T20:58:06.956089Z</t>
        </is>
      </c>
      <c r="AE201" s="31" t="inlineStr">
        <is>
          <t>Surface-blended Elo on Hard: Joao Fonseca p=0.629 vs Stefanos Tsitsipas. Executable ask 0.6000 (aec-atp-stetsi-joafon-2026-08-05).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research_observation</t>
        </is>
      </c>
      <c r="AL201" s="26" t="n">
        <v>3</v>
      </c>
      <c r="AM201" s="24" t="inlineStr">
        <is>
          <t>RESEARCH_OBSERVATION</t>
        </is>
      </c>
      <c r="AN201" s="24" t="inlineStr">
        <is>
          <t>NO_CALL</t>
        </is>
      </c>
      <c r="AO201" s="24" t="inlineStr">
        <is>
          <t>NO_CALL_LOW_EDGE</t>
        </is>
      </c>
      <c r="AP201" s="24" t="inlineStr">
        <is>
          <t>Joao Fonseca</t>
        </is>
      </c>
      <c r="AQ201" s="24" t="inlineStr">
        <is>
          <t>Joao Fonseca</t>
        </is>
      </c>
      <c r="AR201" s="24" t="inlineStr">
        <is>
          <t>Joao Fonseca</t>
        </is>
      </c>
      <c r="AS201" s="24" t="inlineStr">
        <is>
          <t>Stefanos Tsitsipas</t>
        </is>
      </c>
      <c r="AT201" s="24" t="inlineStr">
        <is>
          <t>Stefanos Tsitsipas</t>
        </is>
      </c>
      <c r="AU201" s="24" t="inlineStr">
        <is>
          <t>Stefanos Tsitsipas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3ab056fefe04713e3c294da76c8adb2866b0dc46556ed32322a0426dd344a0e4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3ab056fefe04713e3c294da76c8adb2866b0dc46556ed32322a0426dd344a0e4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3ab056fefe04713e3c294da76c8adb2866b0dc46556ed32322a0426dd344a0e4</t>
        </is>
      </c>
      <c r="BH201" s="24" t="inlineStr">
        <is>
          <t>2026-08-05T13:52:53.241498Z</t>
        </is>
      </c>
      <c r="BI201" s="24" t="inlineStr">
        <is>
          <t>["same_event","same_team_same_day","same_league_same_day"]</t>
        </is>
      </c>
      <c r="BJ201" s="25" t="n"/>
      <c r="BK201" s="26" t="n">
        <v>-150</v>
      </c>
      <c r="BL201" s="27" t="n">
        <v>1.666667</v>
      </c>
      <c r="BM201" s="28" t="n">
        <v>0.6</v>
      </c>
      <c r="BN201" s="28" t="n"/>
      <c r="BO201" s="28" t="n"/>
      <c r="BP201" s="25" t="n"/>
      <c r="BQ201" s="27" t="n">
        <v>1.666667</v>
      </c>
      <c r="BR201" s="28" t="n">
        <v>0.6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</row>
    <row r="202" ht="36" customHeight="1">
      <c r="A202" s="24" t="inlineStr">
        <is>
          <t>a4438889fb85473c</t>
        </is>
      </c>
      <c r="B202" s="24" t="inlineStr">
        <is>
          <t>2026-08-05T13:54:48.712587Z</t>
        </is>
      </c>
      <c r="C202" s="24" t="inlineStr">
        <is>
          <t>2026-08-05T15:00Z</t>
        </is>
      </c>
      <c r="D202" s="24" t="inlineStr">
        <is>
          <t>421-2026:181747</t>
        </is>
      </c>
      <c r="E202" s="24" t="inlineStr">
        <is>
          <t>TENNIS</t>
        </is>
      </c>
      <c r="F202" s="24" t="inlineStr">
        <is>
          <t>Lorenzo Musetti</t>
        </is>
      </c>
      <c r="G202" s="24" t="inlineStr">
        <is>
          <t>Nicolas Mejia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-669</v>
      </c>
      <c r="M202" s="27" t="n">
        <v>1.149477</v>
      </c>
      <c r="N202" s="28" t="n">
        <v>0.869961</v>
      </c>
      <c r="O202" s="28" t="n">
        <v>0.855919</v>
      </c>
      <c r="P202" s="28" t="n">
        <v>0.05</v>
      </c>
      <c r="Q202" s="28" t="n">
        <v>-0.014042</v>
      </c>
      <c r="R202" s="26" t="n">
        <v>13</v>
      </c>
      <c r="S202" s="29" t="n">
        <v>2</v>
      </c>
      <c r="T202" s="24" t="inlineStr">
        <is>
          <t>tennis-surface-elo-v1</t>
        </is>
      </c>
      <c r="U202" s="24" t="inlineStr">
        <is>
          <t>settled</t>
        </is>
      </c>
      <c r="V202" s="24" t="inlineStr">
        <is>
          <t>win</t>
        </is>
      </c>
      <c r="W202" s="26" t="n">
        <v>1</v>
      </c>
      <c r="X202" s="26" t="n">
        <v>0</v>
      </c>
      <c r="Y202" s="25" t="n"/>
      <c r="Z202" s="26" t="n">
        <v>-669</v>
      </c>
      <c r="AA202" s="28" t="n">
        <v>0.87</v>
      </c>
      <c r="AB202" s="28" t="n">
        <v>3.9e-05</v>
      </c>
      <c r="AC202" s="30" t="n">
        <v>0.299</v>
      </c>
      <c r="AD202" s="24" t="inlineStr">
        <is>
          <t>2026-08-05T20:58:08.071881Z</t>
        </is>
      </c>
      <c r="AE202" s="31" t="inlineStr">
        <is>
          <t>Surface-blended Elo on Hard: Lorenzo Musetti p=0.856 vs Nicolas Mejia. Executable ask 0.8700 (aec-atp-nicmej-lormus-2026-08-04).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Lorenzo Musetti</t>
        </is>
      </c>
      <c r="AQ202" s="24" t="inlineStr">
        <is>
          <t>Lorenzo Musetti</t>
        </is>
      </c>
      <c r="AR202" s="24" t="inlineStr">
        <is>
          <t>Lorenzo Musetti</t>
        </is>
      </c>
      <c r="AS202" s="24" t="inlineStr">
        <is>
          <t>Nicolas Mejia</t>
        </is>
      </c>
      <c r="AT202" s="24" t="inlineStr">
        <is>
          <t>Nicolas Mejia</t>
        </is>
      </c>
      <c r="AU202" s="24" t="inlineStr">
        <is>
          <t>Nicolas Mejia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3ab056fefe04713e3c294da76c8adb2866b0dc46556ed32322a0426dd344a0e4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3ab056fefe04713e3c294da76c8adb2866b0dc46556ed32322a0426dd344a0e4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3ab056fefe04713e3c294da76c8adb2866b0dc46556ed32322a0426dd344a0e4</t>
        </is>
      </c>
      <c r="BH202" s="24" t="inlineStr">
        <is>
          <t>2026-08-05T13:52:49.651695Z</t>
        </is>
      </c>
      <c r="BI202" s="24" t="inlineStr">
        <is>
          <t>["same_event","same_team_same_day","same_league_same_day"]</t>
        </is>
      </c>
      <c r="BJ202" s="25" t="n"/>
      <c r="BK202" s="26" t="n">
        <v>-669</v>
      </c>
      <c r="BL202" s="27" t="n">
        <v>1.149477</v>
      </c>
      <c r="BM202" s="28" t="n">
        <v>0.869961</v>
      </c>
      <c r="BN202" s="28" t="n"/>
      <c r="BO202" s="28" t="n"/>
      <c r="BP202" s="25" t="n"/>
      <c r="BQ202" s="27" t="n">
        <v>1.149477</v>
      </c>
      <c r="BR202" s="28" t="n">
        <v>0.87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</row>
    <row r="203" ht="36" customHeight="1">
      <c r="A203" s="24" t="inlineStr">
        <is>
          <t>6f49f42d5b724416</t>
        </is>
      </c>
      <c r="B203" s="24" t="inlineStr">
        <is>
          <t>2026-08-05T13:54:48.712587Z</t>
        </is>
      </c>
      <c r="C203" s="24" t="inlineStr">
        <is>
          <t>2026-08-05T15:00Z</t>
        </is>
      </c>
      <c r="D203" s="24" t="inlineStr">
        <is>
          <t>421-2026:181760</t>
        </is>
      </c>
      <c r="E203" s="24" t="inlineStr">
        <is>
          <t>TENNIS</t>
        </is>
      </c>
      <c r="F203" s="24" t="inlineStr">
        <is>
          <t>Mariano Navone</t>
        </is>
      </c>
      <c r="G203" s="24" t="inlineStr">
        <is>
          <t>Valentin Vacherot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-156</v>
      </c>
      <c r="M203" s="27" t="n">
        <v>1.641026</v>
      </c>
      <c r="N203" s="28" t="n">
        <v>0.609375</v>
      </c>
      <c r="O203" s="28" t="n">
        <v>0.642108</v>
      </c>
      <c r="P203" s="28" t="n">
        <v>0.05</v>
      </c>
      <c r="Q203" s="28" t="n">
        <v>0.032733</v>
      </c>
      <c r="R203" s="26" t="n">
        <v>36</v>
      </c>
      <c r="S203" s="29" t="n">
        <v>1.5</v>
      </c>
      <c r="T203" s="24" t="inlineStr">
        <is>
          <t>tennis-surface-elo-v1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0</v>
      </c>
      <c r="Y203" s="25" t="n"/>
      <c r="Z203" s="26" t="n">
        <v>-156</v>
      </c>
      <c r="AA203" s="28" t="n">
        <v>0.61</v>
      </c>
      <c r="AB203" s="28" t="n">
        <v>0.000625</v>
      </c>
      <c r="AC203" s="30" t="n">
        <v>-1.5</v>
      </c>
      <c r="AD203" s="24" t="inlineStr">
        <is>
          <t>2026-08-05T20:58:09.240641Z</t>
        </is>
      </c>
      <c r="AE203" s="31" t="inlineStr">
        <is>
          <t>Surface-blended Elo on Hard: Mariano Navone p=0.358 vs Valentin Vacherot. Executable ask 0.6100 (aec-atp-valvac-marnav-2026-08-04).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research_observation</t>
        </is>
      </c>
      <c r="AL203" s="26" t="n">
        <v>3</v>
      </c>
      <c r="AM203" s="24" t="inlineStr">
        <is>
          <t>RESEARCH_OBSERVATION</t>
        </is>
      </c>
      <c r="AN203" s="24" t="inlineStr">
        <is>
          <t>NO_CALL</t>
        </is>
      </c>
      <c r="AO203" s="24" t="inlineStr">
        <is>
          <t>NO_CALL_LOW_EDGE</t>
        </is>
      </c>
      <c r="AP203" s="24" t="inlineStr">
        <is>
          <t>Mariano Navone</t>
        </is>
      </c>
      <c r="AQ203" s="24" t="inlineStr">
        <is>
          <t>Mariano Navone</t>
        </is>
      </c>
      <c r="AR203" s="24" t="inlineStr">
        <is>
          <t>Mariano Navone</t>
        </is>
      </c>
      <c r="AS203" s="24" t="inlineStr">
        <is>
          <t>Valentin Vacherot</t>
        </is>
      </c>
      <c r="AT203" s="24" t="inlineStr">
        <is>
          <t>Valentin Vacherot</t>
        </is>
      </c>
      <c r="AU203" s="24" t="inlineStr">
        <is>
          <t>Valentin Vacherot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3ab056fefe04713e3c294da76c8adb2866b0dc46556ed32322a0426dd344a0e4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3ab056fefe04713e3c294da76c8adb2866b0dc46556ed32322a0426dd344a0e4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3ab056fefe04713e3c294da76c8adb2866b0dc46556ed32322a0426dd344a0e4</t>
        </is>
      </c>
      <c r="BH203" s="24" t="inlineStr">
        <is>
          <t>2026-08-05T13:52:50.187567Z</t>
        </is>
      </c>
      <c r="BI203" s="24" t="inlineStr">
        <is>
          <t>["same_event","same_team_same_day","same_league_same_day"]</t>
        </is>
      </c>
      <c r="BJ203" s="25" t="n"/>
      <c r="BK203" s="26" t="n">
        <v>-156</v>
      </c>
      <c r="BL203" s="27" t="n">
        <v>1.641026</v>
      </c>
      <c r="BM203" s="28" t="n">
        <v>0.609375</v>
      </c>
      <c r="BN203" s="28" t="n"/>
      <c r="BO203" s="28" t="n"/>
      <c r="BP203" s="25" t="n"/>
      <c r="BQ203" s="27" t="n">
        <v>1.641026</v>
      </c>
      <c r="BR203" s="28" t="n">
        <v>0.61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</row>
    <row r="204" ht="36" customHeight="1">
      <c r="A204" s="24" t="inlineStr">
        <is>
          <t>6fbba5bf31bc4f32</t>
        </is>
      </c>
      <c r="B204" s="24" t="inlineStr">
        <is>
          <t>2026-08-05T13:54:48.712587Z</t>
        </is>
      </c>
      <c r="C204" s="24" t="inlineStr">
        <is>
          <t>2026-08-05T16:30Z</t>
        </is>
      </c>
      <c r="D204" s="24" t="inlineStr">
        <is>
          <t>421-2026:181724</t>
        </is>
      </c>
      <c r="E204" s="24" t="inlineStr">
        <is>
          <t>TENNIS</t>
        </is>
      </c>
      <c r="F204" s="24" t="inlineStr">
        <is>
          <t>Juan Manuel Cerundolo</t>
        </is>
      </c>
      <c r="G204" s="24" t="inlineStr">
        <is>
          <t>Casper Ruud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-245</v>
      </c>
      <c r="M204" s="27" t="n">
        <v>1.408163</v>
      </c>
      <c r="N204" s="28" t="n">
        <v>0.710145</v>
      </c>
      <c r="O204" s="28" t="n">
        <v>0.735828</v>
      </c>
      <c r="P204" s="28" t="n">
        <v>0.05</v>
      </c>
      <c r="Q204" s="28" t="n">
        <v>0.025683</v>
      </c>
      <c r="R204" s="26" t="n">
        <v>33</v>
      </c>
      <c r="S204" s="29" t="n">
        <v>2</v>
      </c>
      <c r="T204" s="24" t="inlineStr">
        <is>
          <t>tennis-surface-elo-v1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-245</v>
      </c>
      <c r="AA204" s="28" t="n">
        <v>0.71</v>
      </c>
      <c r="AB204" s="28" t="n">
        <v>-0.000145</v>
      </c>
      <c r="AC204" s="30" t="n">
        <v>0.8163</v>
      </c>
      <c r="AD204" s="24" t="inlineStr">
        <is>
          <t>2026-08-05T20:58:10.365727Z</t>
        </is>
      </c>
      <c r="AE204" s="31" t="inlineStr">
        <is>
          <t>Surface-blended Elo on Hard: Juan Manuel Cerundolo p=0.264 vs Casper Ruud. Executable ask 0.7100 (aec-atp-casruu-juacer-2026-08-06).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NO_CALL_LOW_EDGE</t>
        </is>
      </c>
      <c r="AP204" s="24" t="inlineStr">
        <is>
          <t>Juan Manuel Cerundolo</t>
        </is>
      </c>
      <c r="AQ204" s="24" t="inlineStr">
        <is>
          <t>Juan Manuel Cerundolo</t>
        </is>
      </c>
      <c r="AR204" s="24" t="inlineStr">
        <is>
          <t>Juan Manuel Cerundolo</t>
        </is>
      </c>
      <c r="AS204" s="24" t="inlineStr">
        <is>
          <t>Casper Ruud</t>
        </is>
      </c>
      <c r="AT204" s="24" t="inlineStr">
        <is>
          <t>Casper Ruud</t>
        </is>
      </c>
      <c r="AU204" s="24" t="inlineStr">
        <is>
          <t>Casper Ruud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3ab056fefe04713e3c294da76c8adb2866b0dc46556ed32322a0426dd344a0e4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3ab056fefe04713e3c294da76c8adb2866b0dc46556ed32322a0426dd344a0e4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3ab056fefe04713e3c294da76c8adb2866b0dc46556ed32322a0426dd344a0e4</t>
        </is>
      </c>
      <c r="BH204" s="24" t="inlineStr">
        <is>
          <t>2026-08-05T13:52:53.800312Z</t>
        </is>
      </c>
      <c r="BI204" s="24" t="inlineStr">
        <is>
          <t>["same_event","same_team_same_day","same_league_same_day"]</t>
        </is>
      </c>
      <c r="BJ204" s="25" t="n"/>
      <c r="BK204" s="26" t="n">
        <v>-245</v>
      </c>
      <c r="BL204" s="27" t="n">
        <v>1.408163</v>
      </c>
      <c r="BM204" s="28" t="n">
        <v>0.710145</v>
      </c>
      <c r="BN204" s="28" t="n"/>
      <c r="BO204" s="28" t="n"/>
      <c r="BP204" s="25" t="n"/>
      <c r="BQ204" s="27" t="n">
        <v>1.408163</v>
      </c>
      <c r="BR204" s="28" t="n">
        <v>0.71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</row>
    <row r="205" ht="36" customHeight="1">
      <c r="A205" s="24" t="inlineStr">
        <is>
          <t>df1b39de672f43dc</t>
        </is>
      </c>
      <c r="B205" s="24" t="inlineStr">
        <is>
          <t>2026-08-05T13:54:48.712587Z</t>
        </is>
      </c>
      <c r="C205" s="24" t="inlineStr">
        <is>
          <t>2026-08-05T16:30Z</t>
        </is>
      </c>
      <c r="D205" s="24" t="inlineStr">
        <is>
          <t>421-2026:181732</t>
        </is>
      </c>
      <c r="E205" s="24" t="inlineStr">
        <is>
          <t>TENNIS</t>
        </is>
      </c>
      <c r="F205" s="24" t="inlineStr">
        <is>
          <t>Cameron Norrie</t>
        </is>
      </c>
      <c r="G205" s="24" t="inlineStr">
        <is>
          <t>Ignacio Buse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-223</v>
      </c>
      <c r="M205" s="27" t="n">
        <v>1.44843</v>
      </c>
      <c r="N205" s="28" t="n">
        <v>0.690402</v>
      </c>
      <c r="O205" s="28" t="n">
        <v>0.555985</v>
      </c>
      <c r="P205" s="28" t="n">
        <v>0.05</v>
      </c>
      <c r="Q205" s="28" t="n">
        <v>-0.134417</v>
      </c>
      <c r="R205" s="26" t="n">
        <v>0</v>
      </c>
      <c r="S205" s="29" t="n">
        <v>1</v>
      </c>
      <c r="T205" s="24" t="inlineStr">
        <is>
          <t>tennis-surface-elo-v1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-223</v>
      </c>
      <c r="AA205" s="28" t="n">
        <v>0.6899999999999999</v>
      </c>
      <c r="AB205" s="28" t="n">
        <v>-0.000402</v>
      </c>
      <c r="AC205" s="30" t="n">
        <v>0.4484</v>
      </c>
      <c r="AD205" s="24" t="inlineStr">
        <is>
          <t>2026-08-05T20:58:11.549364Z</t>
        </is>
      </c>
      <c r="AE205" s="31" t="inlineStr">
        <is>
          <t>Surface-blended Elo on Hard: Cameron Norrie p=0.556 vs Ignacio Buse. Executable ask 0.6900 (aec-atp-ignbus-camnor-2026-08-05).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NO_CALL_LOW_EDGE</t>
        </is>
      </c>
      <c r="AP205" s="24" t="inlineStr">
        <is>
          <t>Cameron Norrie</t>
        </is>
      </c>
      <c r="AQ205" s="24" t="inlineStr">
        <is>
          <t>Cameron Norrie</t>
        </is>
      </c>
      <c r="AR205" s="24" t="inlineStr">
        <is>
          <t>Cameron Norrie</t>
        </is>
      </c>
      <c r="AS205" s="24" t="inlineStr">
        <is>
          <t>Ignacio Buse</t>
        </is>
      </c>
      <c r="AT205" s="24" t="inlineStr">
        <is>
          <t>Ignacio Buse</t>
        </is>
      </c>
      <c r="AU205" s="24" t="inlineStr">
        <is>
          <t>Ignacio Buse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3ab056fefe04713e3c294da76c8adb2866b0dc46556ed32322a0426dd344a0e4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3ab056fefe04713e3c294da76c8adb2866b0dc46556ed32322a0426dd344a0e4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3ab056fefe04713e3c294da76c8adb2866b0dc46556ed32322a0426dd344a0e4</t>
        </is>
      </c>
      <c r="BH205" s="24" t="inlineStr">
        <is>
          <t>2026-08-05T13:52:55.689355Z</t>
        </is>
      </c>
      <c r="BI205" s="24" t="inlineStr">
        <is>
          <t>["same_event","same_team_same_day","same_league_same_day"]</t>
        </is>
      </c>
      <c r="BJ205" s="25" t="n"/>
      <c r="BK205" s="26" t="n">
        <v>-223</v>
      </c>
      <c r="BL205" s="27" t="n">
        <v>1.44843</v>
      </c>
      <c r="BM205" s="28" t="n">
        <v>0.690402</v>
      </c>
      <c r="BN205" s="28" t="n"/>
      <c r="BO205" s="28" t="n"/>
      <c r="BP205" s="25" t="n"/>
      <c r="BQ205" s="27" t="n">
        <v>1.44843</v>
      </c>
      <c r="BR205" s="28" t="n">
        <v>0.6899999999999999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</row>
    <row r="206" ht="36" customHeight="1">
      <c r="A206" s="24" t="inlineStr">
        <is>
          <t>8f935c82cbf44be9</t>
        </is>
      </c>
      <c r="B206" s="24" t="inlineStr">
        <is>
          <t>2026-08-05T13:54:48.712587Z</t>
        </is>
      </c>
      <c r="C206" s="24" t="inlineStr">
        <is>
          <t>2026-08-05T16:30Z</t>
        </is>
      </c>
      <c r="D206" s="24" t="inlineStr">
        <is>
          <t>421-2026:181752</t>
        </is>
      </c>
      <c r="E206" s="24" t="inlineStr">
        <is>
          <t>TENNIS</t>
        </is>
      </c>
      <c r="F206" s="24" t="inlineStr">
        <is>
          <t>Arthur Rinderknech</t>
        </is>
      </c>
      <c r="G206" s="24" t="inlineStr">
        <is>
          <t>Miomir Kecmanovic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104</v>
      </c>
      <c r="M206" s="27" t="n">
        <v>2.04</v>
      </c>
      <c r="N206" s="28" t="n">
        <v>0.490196</v>
      </c>
      <c r="O206" s="28" t="n">
        <v>0.5960220000000001</v>
      </c>
      <c r="P206" s="28" t="n">
        <v>0.05</v>
      </c>
      <c r="Q206" s="28" t="n">
        <v>0.105826</v>
      </c>
      <c r="R206" s="26" t="n">
        <v>73</v>
      </c>
      <c r="S206" s="29" t="n">
        <v>1.25</v>
      </c>
      <c r="T206" s="24" t="inlineStr">
        <is>
          <t>tennis-surface-elo-v1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0</v>
      </c>
      <c r="Y206" s="25" t="n"/>
      <c r="Z206" s="26" t="n">
        <v>104</v>
      </c>
      <c r="AA206" s="28" t="n">
        <v>0.49</v>
      </c>
      <c r="AB206" s="28" t="n">
        <v>-0.000196</v>
      </c>
      <c r="AC206" s="30" t="n">
        <v>1.3</v>
      </c>
      <c r="AD206" s="24" t="inlineStr">
        <is>
          <t>2026-08-05T20:58:12.723358Z</t>
        </is>
      </c>
      <c r="AE206" s="31" t="inlineStr">
        <is>
          <t>Surface-blended Elo on Hard: Arthur Rinderknech p=0.596 vs Miomir Kecmanovic. Executable ask 0.4900 (aec-atp-miokec-artrin-2026-08-05).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Arthur Rinderknech</t>
        </is>
      </c>
      <c r="AQ206" s="24" t="inlineStr">
        <is>
          <t>Arthur Rinderknech</t>
        </is>
      </c>
      <c r="AR206" s="24" t="inlineStr">
        <is>
          <t>Arthur Rinderknech</t>
        </is>
      </c>
      <c r="AS206" s="24" t="inlineStr">
        <is>
          <t>Miomir Kecmanovic</t>
        </is>
      </c>
      <c r="AT206" s="24" t="inlineStr">
        <is>
          <t>Miomir Kecmanovic</t>
        </is>
      </c>
      <c r="AU206" s="24" t="inlineStr">
        <is>
          <t>Miomir Kecmanovic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3ab056fefe04713e3c294da76c8adb2866b0dc46556ed32322a0426dd344a0e4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3ab056fefe04713e3c294da76c8adb2866b0dc46556ed32322a0426dd344a0e4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3ab056fefe04713e3c294da76c8adb2866b0dc46556ed32322a0426dd344a0e4</t>
        </is>
      </c>
      <c r="BH206" s="24" t="inlineStr">
        <is>
          <t>2026-08-05T13:52:54.747914Z</t>
        </is>
      </c>
      <c r="BI206" s="24" t="inlineStr">
        <is>
          <t>["same_event","same_team_same_day","same_league_same_day"]</t>
        </is>
      </c>
      <c r="BJ206" s="25" t="n"/>
      <c r="BK206" s="26" t="n">
        <v>104</v>
      </c>
      <c r="BL206" s="27" t="n">
        <v>2.04</v>
      </c>
      <c r="BM206" s="28" t="n">
        <v>0.490196</v>
      </c>
      <c r="BN206" s="28" t="n"/>
      <c r="BO206" s="28" t="n"/>
      <c r="BP206" s="25" t="n"/>
      <c r="BQ206" s="27" t="n">
        <v>2.04</v>
      </c>
      <c r="BR206" s="28" t="n">
        <v>0.49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</row>
    <row r="207" ht="36" customHeight="1">
      <c r="A207" s="24" t="inlineStr">
        <is>
          <t>65d319e932d34bc7</t>
        </is>
      </c>
      <c r="B207" s="24" t="inlineStr">
        <is>
          <t>2026-08-05T13:54:48.712587Z</t>
        </is>
      </c>
      <c r="C207" s="24" t="inlineStr">
        <is>
          <t>2026-08-05T16:30Z</t>
        </is>
      </c>
      <c r="D207" s="24" t="inlineStr">
        <is>
          <t>421-2026:181762</t>
        </is>
      </c>
      <c r="E207" s="24" t="inlineStr">
        <is>
          <t>TENNIS</t>
        </is>
      </c>
      <c r="F207" s="24" t="inlineStr">
        <is>
          <t>Arthur Fils</t>
        </is>
      </c>
      <c r="G207" s="24" t="inlineStr">
        <is>
          <t>Zachary Svajda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-300</v>
      </c>
      <c r="M207" s="27" t="n">
        <v>1.333333</v>
      </c>
      <c r="N207" s="28" t="n">
        <v>0.75</v>
      </c>
      <c r="O207" s="28" t="n">
        <v>0.781423</v>
      </c>
      <c r="P207" s="28" t="n">
        <v>0.05</v>
      </c>
      <c r="Q207" s="28" t="n">
        <v>0.031423</v>
      </c>
      <c r="R207" s="26" t="n">
        <v>36</v>
      </c>
      <c r="S207" s="29" t="n">
        <v>2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win</t>
        </is>
      </c>
      <c r="W207" s="26" t="n">
        <v>1</v>
      </c>
      <c r="X207" s="26" t="n">
        <v>0</v>
      </c>
      <c r="Y207" s="25" t="n"/>
      <c r="Z207" s="26" t="n">
        <v>-300</v>
      </c>
      <c r="AA207" s="28" t="n">
        <v>0.75</v>
      </c>
      <c r="AB207" s="28" t="n">
        <v>0</v>
      </c>
      <c r="AC207" s="30" t="n">
        <v>0.6667</v>
      </c>
      <c r="AD207" s="24" t="inlineStr">
        <is>
          <t>2026-08-05T20:58:13.850320Z</t>
        </is>
      </c>
      <c r="AE207" s="31" t="inlineStr">
        <is>
          <t>Surface-blended Elo on Hard: Arthur Fils p=0.781 vs Zachary Svajda. Executable ask 0.7500 (aec-atp-zacsva-artfil-2026-08-06).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research_observation</t>
        </is>
      </c>
      <c r="AL207" s="26" t="n">
        <v>3</v>
      </c>
      <c r="AM207" s="24" t="inlineStr">
        <is>
          <t>RESEARCH_OBSERVATION</t>
        </is>
      </c>
      <c r="AN207" s="24" t="inlineStr">
        <is>
          <t>NO_CALL</t>
        </is>
      </c>
      <c r="AO207" s="24" t="inlineStr">
        <is>
          <t>NO_CALL_LOW_EDGE</t>
        </is>
      </c>
      <c r="AP207" s="24" t="inlineStr">
        <is>
          <t>Arthur Fils</t>
        </is>
      </c>
      <c r="AQ207" s="24" t="inlineStr">
        <is>
          <t>Arthur Fils</t>
        </is>
      </c>
      <c r="AR207" s="24" t="inlineStr">
        <is>
          <t>Arthur Fils</t>
        </is>
      </c>
      <c r="AS207" s="24" t="inlineStr">
        <is>
          <t>Zachary Svajda</t>
        </is>
      </c>
      <c r="AT207" s="24" t="inlineStr">
        <is>
          <t>Zachary Svajda</t>
        </is>
      </c>
      <c r="AU207" s="24" t="inlineStr">
        <is>
          <t>Zachary Svajda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3ab056fefe04713e3c294da76c8adb2866b0dc46556ed32322a0426dd344a0e4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3ab056fefe04713e3c294da76c8adb2866b0dc46556ed32322a0426dd344a0e4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3ab056fefe04713e3c294da76c8adb2866b0dc46556ed32322a0426dd344a0e4</t>
        </is>
      </c>
      <c r="BH207" s="24" t="inlineStr">
        <is>
          <t>2026-08-05T13:52:56.392048Z</t>
        </is>
      </c>
      <c r="BI207" s="24" t="inlineStr">
        <is>
          <t>["same_event","same_team_same_day","same_league_same_day"]</t>
        </is>
      </c>
      <c r="BJ207" s="25" t="n"/>
      <c r="BK207" s="26" t="n">
        <v>-300</v>
      </c>
      <c r="BL207" s="27" t="n">
        <v>1.333333</v>
      </c>
      <c r="BM207" s="28" t="n">
        <v>0.75</v>
      </c>
      <c r="BN207" s="28" t="n"/>
      <c r="BO207" s="28" t="n"/>
      <c r="BP207" s="25" t="n"/>
      <c r="BQ207" s="27" t="n">
        <v>1.333333</v>
      </c>
      <c r="BR207" s="28" t="n">
        <v>0.75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d1a68a02d83f47ba</t>
        </is>
      </c>
      <c r="B208" s="24" t="inlineStr">
        <is>
          <t>2026-08-05T13:54:48.712587Z</t>
        </is>
      </c>
      <c r="C208" s="24" t="inlineStr">
        <is>
          <t>2026-08-05T16:30Z</t>
        </is>
      </c>
      <c r="D208" s="24" t="inlineStr">
        <is>
          <t>421-2026:181765</t>
        </is>
      </c>
      <c r="E208" s="24" t="inlineStr">
        <is>
          <t>TENNIS</t>
        </is>
      </c>
      <c r="F208" s="24" t="inlineStr">
        <is>
          <t>Ben Shelton</t>
        </is>
      </c>
      <c r="G208" s="24" t="inlineStr">
        <is>
          <t>Jenson Brooksby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-300</v>
      </c>
      <c r="M208" s="27" t="n">
        <v>1.333333</v>
      </c>
      <c r="N208" s="28" t="n">
        <v>0.75</v>
      </c>
      <c r="O208" s="28" t="n">
        <v>0.814392</v>
      </c>
      <c r="P208" s="28" t="n">
        <v>0.05</v>
      </c>
      <c r="Q208" s="28" t="n">
        <v>0.064392</v>
      </c>
      <c r="R208" s="26" t="n">
        <v>52</v>
      </c>
      <c r="S208" s="29" t="n">
        <v>2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0</v>
      </c>
      <c r="Y208" s="25" t="n"/>
      <c r="Z208" s="26" t="n">
        <v>-300</v>
      </c>
      <c r="AA208" s="28" t="n">
        <v>0.75</v>
      </c>
      <c r="AB208" s="28" t="n">
        <v>0</v>
      </c>
      <c r="AC208" s="30" t="n">
        <v>0.6667</v>
      </c>
      <c r="AD208" s="24" t="inlineStr">
        <is>
          <t>2026-08-05T20:58:15.031461Z</t>
        </is>
      </c>
      <c r="AE208" s="31" t="inlineStr">
        <is>
          <t>Surface-blended Elo on Hard: Ben Shelton p=0.814 vs Jenson Brooksby. Executable ask 0.7500 (aec-atp-jenbro-benshe-2026-08-06).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Ben Shelton</t>
        </is>
      </c>
      <c r="AQ208" s="24" t="inlineStr">
        <is>
          <t>Ben Shelton</t>
        </is>
      </c>
      <c r="AR208" s="24" t="inlineStr">
        <is>
          <t>Ben Shelton</t>
        </is>
      </c>
      <c r="AS208" s="24" t="inlineStr">
        <is>
          <t>Jenson Brooksby</t>
        </is>
      </c>
      <c r="AT208" s="24" t="inlineStr">
        <is>
          <t>Jenson Brooksby</t>
        </is>
      </c>
      <c r="AU208" s="24" t="inlineStr">
        <is>
          <t>Jenson Brooksby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3ab056fefe04713e3c294da76c8adb2866b0dc46556ed32322a0426dd344a0e4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3ab056fefe04713e3c294da76c8adb2866b0dc46556ed32322a0426dd344a0e4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3ab056fefe04713e3c294da76c8adb2866b0dc46556ed32322a0426dd344a0e4</t>
        </is>
      </c>
      <c r="BH208" s="24" t="inlineStr">
        <is>
          <t>2026-08-05T13:52:57.128543Z</t>
        </is>
      </c>
      <c r="BI208" s="24" t="inlineStr">
        <is>
          <t>["same_event","same_team_same_day","same_league_same_day"]</t>
        </is>
      </c>
      <c r="BJ208" s="25" t="n"/>
      <c r="BK208" s="26" t="n">
        <v>-300</v>
      </c>
      <c r="BL208" s="27" t="n">
        <v>1.333333</v>
      </c>
      <c r="BM208" s="28" t="n">
        <v>0.75</v>
      </c>
      <c r="BN208" s="28" t="n"/>
      <c r="BO208" s="28" t="n"/>
      <c r="BP208" s="25" t="n"/>
      <c r="BQ208" s="27" t="n">
        <v>1.333333</v>
      </c>
      <c r="BR208" s="28" t="n">
        <v>0.75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</row>
    <row r="209" ht="36" customHeight="1">
      <c r="A209" s="24" t="inlineStr">
        <is>
          <t>5c84c712c851463e</t>
        </is>
      </c>
      <c r="B209" s="24" t="inlineStr">
        <is>
          <t>2026-08-05T17:03:22.897552Z</t>
        </is>
      </c>
      <c r="C209" s="24" t="inlineStr">
        <is>
          <t>2026-08-05T18:00Z</t>
        </is>
      </c>
      <c r="D209" s="24" t="inlineStr">
        <is>
          <t>421-2026:182190</t>
        </is>
      </c>
      <c r="E209" s="24" t="inlineStr">
        <is>
          <t>TENNIS</t>
        </is>
      </c>
      <c r="F209" s="24" t="inlineStr">
        <is>
          <t>Coco Gauff</t>
        </is>
      </c>
      <c r="G209" s="24" t="inlineStr">
        <is>
          <t>Kayla Day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-1011</v>
      </c>
      <c r="M209" s="27" t="n">
        <v>1.098912</v>
      </c>
      <c r="N209" s="28" t="n">
        <v>0.909991</v>
      </c>
      <c r="O209" s="28" t="n">
        <v>0.914779</v>
      </c>
      <c r="P209" s="28" t="n">
        <v>0.05</v>
      </c>
      <c r="Q209" s="28" t="n">
        <v>0.004788</v>
      </c>
      <c r="R209" s="26" t="n">
        <v>22</v>
      </c>
      <c r="S209" s="29" t="n">
        <v>2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0</v>
      </c>
      <c r="Y209" s="25" t="n"/>
      <c r="Z209" s="26" t="n">
        <v>-1011</v>
      </c>
      <c r="AA209" s="28" t="n">
        <v>0.91</v>
      </c>
      <c r="AB209" s="28" t="n">
        <v>9e-06</v>
      </c>
      <c r="AC209" s="30" t="n">
        <v>0.1978</v>
      </c>
      <c r="AD209" s="24" t="inlineStr">
        <is>
          <t>2026-08-06T00:20:31.732729Z</t>
        </is>
      </c>
      <c r="AE209" s="31" t="inlineStr">
        <is>
          <t>Surface-blended Elo on Hard: Coco Gauff p=0.915 vs Kayla Day. Executable ask 0.9100 (aec-wta-kayday-cocgau-2026-08-04).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not_applicable</t>
        </is>
      </c>
      <c r="AH209" s="24" t="n"/>
      <c r="AI209" s="31" t="n"/>
      <c r="AJ20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NO_CALL_WINNER_OVERVALUED</t>
        </is>
      </c>
      <c r="AP209" s="24" t="inlineStr">
        <is>
          <t>Coco Gauff</t>
        </is>
      </c>
      <c r="AQ209" s="24" t="inlineStr">
        <is>
          <t>Coco Gauff</t>
        </is>
      </c>
      <c r="AR209" s="24" t="inlineStr">
        <is>
          <t>Coco Gauff</t>
        </is>
      </c>
      <c r="AS209" s="24" t="inlineStr">
        <is>
          <t>Kayla Day</t>
        </is>
      </c>
      <c r="AT209" s="24" t="inlineStr">
        <is>
          <t>Kayla Day</t>
        </is>
      </c>
      <c r="AU209" s="24" t="inlineStr">
        <is>
          <t>Kayla Day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3ab056fefe04713e3c294da76c8adb2866b0dc46556ed32322a0426dd344a0e4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3ab056fefe04713e3c294da76c8adb2866b0dc46556ed32322a0426dd344a0e4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3ab056fefe04713e3c294da76c8adb2866b0dc46556ed32322a0426dd344a0e4</t>
        </is>
      </c>
      <c r="BH209" s="24" t="inlineStr">
        <is>
          <t>2026-08-05T17:02:01.226700Z</t>
        </is>
      </c>
      <c r="BI209" s="24" t="inlineStr">
        <is>
          <t>["same_event","same_team_same_day","same_league_same_day"]</t>
        </is>
      </c>
      <c r="BJ209" s="25" t="n"/>
      <c r="BK209" s="26" t="n">
        <v>-1011</v>
      </c>
      <c r="BL209" s="27" t="n">
        <v>1.098912</v>
      </c>
      <c r="BM209" s="28" t="n">
        <v>0.909991</v>
      </c>
      <c r="BN209" s="28" t="n"/>
      <c r="BO209" s="28" t="n"/>
      <c r="BP209" s="25" t="n"/>
      <c r="BQ209" s="27" t="n">
        <v>1.098912</v>
      </c>
      <c r="BR209" s="28" t="n">
        <v>0.91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</row>
    <row r="210" ht="36" customHeight="1">
      <c r="A210" s="24" t="inlineStr">
        <is>
          <t>5c9912c759bf4acd</t>
        </is>
      </c>
      <c r="B210" s="24" t="inlineStr">
        <is>
          <t>2026-08-05T17:03:22.897552Z</t>
        </is>
      </c>
      <c r="C210" s="24" t="inlineStr">
        <is>
          <t>2026-08-05T18:00Z</t>
        </is>
      </c>
      <c r="D210" s="24" t="inlineStr">
        <is>
          <t>421-2026:182192</t>
        </is>
      </c>
      <c r="E210" s="24" t="inlineStr">
        <is>
          <t>TENNIS</t>
        </is>
      </c>
      <c r="F210" s="24" t="inlineStr">
        <is>
          <t>Karolina Pliskova</t>
        </is>
      </c>
      <c r="G210" s="24" t="inlineStr">
        <is>
          <t>Mirra Andreeva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-426</v>
      </c>
      <c r="M210" s="27" t="n">
        <v>1.234742</v>
      </c>
      <c r="N210" s="28" t="n">
        <v>0.809886</v>
      </c>
      <c r="O210" s="28" t="n">
        <v>0.753053</v>
      </c>
      <c r="P210" s="28" t="n">
        <v>0.05</v>
      </c>
      <c r="Q210" s="28" t="n">
        <v>-0.056833</v>
      </c>
      <c r="R210" s="26" t="n">
        <v>0</v>
      </c>
      <c r="S210" s="29" t="n">
        <v>2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-426</v>
      </c>
      <c r="AA210" s="28" t="n">
        <v>0.8100000000000001</v>
      </c>
      <c r="AB210" s="28" t="n">
        <v>0.000114</v>
      </c>
      <c r="AC210" s="30" t="n">
        <v>0.4695</v>
      </c>
      <c r="AD210" s="24" t="inlineStr">
        <is>
          <t>2026-08-05T20:58:17.243055Z</t>
        </is>
      </c>
      <c r="AE210" s="31" t="inlineStr">
        <is>
          <t>Surface-blended Elo on Hard: Karolina Pliskova p=0.247 vs Mirra Andreeva. Executable ask 0.8100 (aec-wta-mirand-karpli-2026-08-04).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NO_CALL_WINNER_OVERVALUED</t>
        </is>
      </c>
      <c r="AP210" s="24" t="inlineStr">
        <is>
          <t>Karolina Pliskova</t>
        </is>
      </c>
      <c r="AQ210" s="24" t="inlineStr">
        <is>
          <t>Karolina Pliskova</t>
        </is>
      </c>
      <c r="AR210" s="24" t="inlineStr">
        <is>
          <t>Karolina Pliskova</t>
        </is>
      </c>
      <c r="AS210" s="24" t="inlineStr">
        <is>
          <t>Mirra Andreeva</t>
        </is>
      </c>
      <c r="AT210" s="24" t="inlineStr">
        <is>
          <t>Mirra Andreeva</t>
        </is>
      </c>
      <c r="AU210" s="24" t="inlineStr">
        <is>
          <t>Mirra Andreeva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3ab056fefe04713e3c294da76c8adb2866b0dc46556ed32322a0426dd344a0e4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3ab056fefe04713e3c294da76c8adb2866b0dc46556ed32322a0426dd344a0e4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3ab056fefe04713e3c294da76c8adb2866b0dc46556ed32322a0426dd344a0e4</t>
        </is>
      </c>
      <c r="BH210" s="24" t="inlineStr">
        <is>
          <t>2026-08-05T17:02:00.605938Z</t>
        </is>
      </c>
      <c r="BI210" s="24" t="inlineStr">
        <is>
          <t>["same_event","same_team_same_day","same_league_same_day"]</t>
        </is>
      </c>
      <c r="BJ210" s="25" t="n"/>
      <c r="BK210" s="26" t="n">
        <v>-426</v>
      </c>
      <c r="BL210" s="27" t="n">
        <v>1.234742</v>
      </c>
      <c r="BM210" s="28" t="n">
        <v>0.809886</v>
      </c>
      <c r="BN210" s="28" t="n"/>
      <c r="BO210" s="28" t="n"/>
      <c r="BP210" s="25" t="n"/>
      <c r="BQ210" s="27" t="n">
        <v>1.234742</v>
      </c>
      <c r="BR210" s="28" t="n">
        <v>0.8100000000000001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</row>
    <row r="211" ht="36" customHeight="1">
      <c r="A211" s="24" t="inlineStr">
        <is>
          <t>f90a0045a7fa4b02</t>
        </is>
      </c>
      <c r="B211" s="24" t="inlineStr">
        <is>
          <t>2026-08-05T17:03:22.897552Z</t>
        </is>
      </c>
      <c r="C211" s="24" t="inlineStr">
        <is>
          <t>2026-08-05T18:00Z</t>
        </is>
      </c>
      <c r="D211" s="24" t="inlineStr">
        <is>
          <t>421-2026:182204</t>
        </is>
      </c>
      <c r="E211" s="24" t="inlineStr">
        <is>
          <t>TENNIS</t>
        </is>
      </c>
      <c r="F211" s="24" t="inlineStr">
        <is>
          <t>Magda Linette</t>
        </is>
      </c>
      <c r="G211" s="24" t="inlineStr">
        <is>
          <t>Iva Jovic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-376</v>
      </c>
      <c r="M211" s="27" t="n">
        <v>1.265957</v>
      </c>
      <c r="N211" s="28" t="n">
        <v>0.789916</v>
      </c>
      <c r="O211" s="28" t="n">
        <v>0.661686</v>
      </c>
      <c r="P211" s="28" t="n">
        <v>0.05</v>
      </c>
      <c r="Q211" s="28" t="n">
        <v>-0.12823</v>
      </c>
      <c r="R211" s="26" t="n">
        <v>0</v>
      </c>
      <c r="S211" s="29" t="n">
        <v>1.75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-376</v>
      </c>
      <c r="AA211" s="28" t="n">
        <v>0.79</v>
      </c>
      <c r="AB211" s="28" t="n">
        <v>8.4e-05</v>
      </c>
      <c r="AC211" s="30" t="n">
        <v>0.4654</v>
      </c>
      <c r="AD211" s="24" t="inlineStr">
        <is>
          <t>2026-08-05T20:58:18.431486Z</t>
        </is>
      </c>
      <c r="AE211" s="31" t="inlineStr">
        <is>
          <t>Surface-blended Elo on Hard: Magda Linette p=0.338 vs Iva Jovic. Executable ask 0.7900 (aec-wta-ivajov-maglin-2026-08-04).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not_applicable</t>
        </is>
      </c>
      <c r="AH211" s="24" t="n"/>
      <c r="AI211" s="31" t="n"/>
      <c r="AJ2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NO_CALL_WINNER_OVERVALUED</t>
        </is>
      </c>
      <c r="AP211" s="24" t="inlineStr">
        <is>
          <t>Magda Linette</t>
        </is>
      </c>
      <c r="AQ211" s="24" t="inlineStr">
        <is>
          <t>Magda Linette</t>
        </is>
      </c>
      <c r="AR211" s="24" t="inlineStr">
        <is>
          <t>Magda Linette</t>
        </is>
      </c>
      <c r="AS211" s="24" t="inlineStr">
        <is>
          <t>Iva Jovic</t>
        </is>
      </c>
      <c r="AT211" s="24" t="inlineStr">
        <is>
          <t>Iva Jovic</t>
        </is>
      </c>
      <c r="AU211" s="24" t="inlineStr">
        <is>
          <t>Iva Jovic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3ab056fefe04713e3c294da76c8adb2866b0dc46556ed32322a0426dd344a0e4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3ab056fefe04713e3c294da76c8adb2866b0dc46556ed32322a0426dd344a0e4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3ab056fefe04713e3c294da76c8adb2866b0dc46556ed32322a0426dd344a0e4</t>
        </is>
      </c>
      <c r="BH211" s="24" t="inlineStr">
        <is>
          <t>2026-08-05T17:02:01.679276Z</t>
        </is>
      </c>
      <c r="BI211" s="24" t="inlineStr">
        <is>
          <t>["same_event","same_team_same_day","same_league_same_day"]</t>
        </is>
      </c>
      <c r="BJ211" s="25" t="n"/>
      <c r="BK211" s="26" t="n">
        <v>-376</v>
      </c>
      <c r="BL211" s="27" t="n">
        <v>1.265957</v>
      </c>
      <c r="BM211" s="28" t="n">
        <v>0.789916</v>
      </c>
      <c r="BN211" s="28" t="n"/>
      <c r="BO211" s="28" t="n"/>
      <c r="BP211" s="25" t="n"/>
      <c r="BQ211" s="27" t="n">
        <v>1.265957</v>
      </c>
      <c r="BR211" s="28" t="n">
        <v>0.79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</row>
    <row r="212" ht="36" customHeight="1">
      <c r="A212" s="24" t="inlineStr">
        <is>
          <t>89626f4145754f4f</t>
        </is>
      </c>
      <c r="B212" s="24" t="inlineStr">
        <is>
          <t>2026-08-05T17:03:22.897552Z</t>
        </is>
      </c>
      <c r="C212" s="24" t="inlineStr">
        <is>
          <t>2026-08-05T18:00Z</t>
        </is>
      </c>
      <c r="D212" s="24" t="inlineStr">
        <is>
          <t>421-2026:182208</t>
        </is>
      </c>
      <c r="E212" s="24" t="inlineStr">
        <is>
          <t>TENNIS</t>
        </is>
      </c>
      <c r="F212" s="24" t="inlineStr">
        <is>
          <t>Emma Navarro</t>
        </is>
      </c>
      <c r="G212" s="24" t="inlineStr">
        <is>
          <t>Alina Korneeva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-113</v>
      </c>
      <c r="M212" s="27" t="n">
        <v>1.884956</v>
      </c>
      <c r="N212" s="28" t="n">
        <v>0.530516</v>
      </c>
      <c r="O212" s="28" t="n">
        <v>0.646211</v>
      </c>
      <c r="P212" s="28" t="n">
        <v>0.05</v>
      </c>
      <c r="Q212" s="28" t="n">
        <v>0.115695</v>
      </c>
      <c r="R212" s="26" t="n">
        <v>78</v>
      </c>
      <c r="S212" s="29" t="n">
        <v>1.75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loss</t>
        </is>
      </c>
      <c r="W212" s="26" t="n">
        <v>0</v>
      </c>
      <c r="X212" s="26" t="n">
        <v>1</v>
      </c>
      <c r="Y212" s="25" t="n"/>
      <c r="Z212" s="26" t="n">
        <v>-113</v>
      </c>
      <c r="AA212" s="28" t="n">
        <v>0.53</v>
      </c>
      <c r="AB212" s="28" t="n">
        <v>-0.000516</v>
      </c>
      <c r="AC212" s="30" t="n">
        <v>-1.75</v>
      </c>
      <c r="AD212" s="24" t="inlineStr">
        <is>
          <t>2026-08-05T20:58:19.638573Z</t>
        </is>
      </c>
      <c r="AE212" s="31" t="inlineStr">
        <is>
          <t>Surface-blended Elo on Hard: Emma Navarro p=0.646 vs Alina Korneeva. Executable ask 0.5300 (aec-wta-alikor-emmnav-2026-08-04).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Emma Navarro</t>
        </is>
      </c>
      <c r="AQ212" s="24" t="inlineStr">
        <is>
          <t>Emma Navarro</t>
        </is>
      </c>
      <c r="AR212" s="24" t="inlineStr">
        <is>
          <t>Emma Navarro</t>
        </is>
      </c>
      <c r="AS212" s="24" t="inlineStr">
        <is>
          <t>Alina Korneeva</t>
        </is>
      </c>
      <c r="AT212" s="24" t="inlineStr">
        <is>
          <t>Alina Korneeva</t>
        </is>
      </c>
      <c r="AU212" s="24" t="inlineStr">
        <is>
          <t>Alina Korneeva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3ab056fefe04713e3c294da76c8adb2866b0dc46556ed32322a0426dd344a0e4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3ab056fefe04713e3c294da76c8adb2866b0dc46556ed32322a0426dd344a0e4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3ab056fefe04713e3c294da76c8adb2866b0dc46556ed32322a0426dd344a0e4</t>
        </is>
      </c>
      <c r="BH212" s="24" t="inlineStr">
        <is>
          <t>2026-08-05T17:01:59.688625Z</t>
        </is>
      </c>
      <c r="BI212" s="24" t="inlineStr">
        <is>
          <t>["same_event","same_team_same_day","same_league_same_day"]</t>
        </is>
      </c>
      <c r="BJ212" s="25" t="n"/>
      <c r="BK212" s="26" t="n">
        <v>-113</v>
      </c>
      <c r="BL212" s="27" t="n">
        <v>1.884956</v>
      </c>
      <c r="BM212" s="28" t="n">
        <v>0.530516</v>
      </c>
      <c r="BN212" s="28" t="n"/>
      <c r="BO212" s="28" t="n"/>
      <c r="BP212" s="25" t="n"/>
      <c r="BQ212" s="27" t="n">
        <v>1.884956</v>
      </c>
      <c r="BR212" s="28" t="n">
        <v>0.53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eb19a3d135374f11</t>
        </is>
      </c>
      <c r="B213" s="24" t="inlineStr">
        <is>
          <t>2026-08-05T17:03:22.897552Z</t>
        </is>
      </c>
      <c r="C213" s="24" t="inlineStr">
        <is>
          <t>2026-08-05T19:30Z</t>
        </is>
      </c>
      <c r="D213" s="24" t="inlineStr">
        <is>
          <t>421-2026:182178</t>
        </is>
      </c>
      <c r="E213" s="24" t="inlineStr">
        <is>
          <t>TENNIS</t>
        </is>
      </c>
      <c r="F213" s="24" t="inlineStr">
        <is>
          <t>Anna Bondar</t>
        </is>
      </c>
      <c r="G213" s="24" t="inlineStr">
        <is>
          <t>Elise Mertens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-270</v>
      </c>
      <c r="M213" s="27" t="n">
        <v>1.37037</v>
      </c>
      <c r="N213" s="28" t="n">
        <v>0.72973</v>
      </c>
      <c r="O213" s="28" t="n">
        <v>0.61543</v>
      </c>
      <c r="P213" s="28" t="n">
        <v>0.05</v>
      </c>
      <c r="Q213" s="28" t="n">
        <v>-0.1143</v>
      </c>
      <c r="R213" s="26" t="n">
        <v>0</v>
      </c>
      <c r="S213" s="29" t="n">
        <v>1.5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>
        <v>-270</v>
      </c>
      <c r="AA213" s="28" t="n">
        <v>0.73</v>
      </c>
      <c r="AB213" s="28" t="n">
        <v>0.00027</v>
      </c>
      <c r="AC213" s="30" t="n">
        <v>0.5556</v>
      </c>
      <c r="AD213" s="24" t="inlineStr">
        <is>
          <t>2026-08-06T00:20:32.940906Z</t>
        </is>
      </c>
      <c r="AE213" s="31" t="inlineStr">
        <is>
          <t>Surface-blended Elo on Hard: Anna Bondar p=0.385 vs Elise Mertens. Executable ask 0.7300 (aec-wta-elimer-annbon-2026-08-04).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NO_CALL_WINNER_OVERVALUED</t>
        </is>
      </c>
      <c r="AP213" s="24" t="inlineStr">
        <is>
          <t>Anna Bondar</t>
        </is>
      </c>
      <c r="AQ213" s="24" t="inlineStr">
        <is>
          <t>Anna Bondar</t>
        </is>
      </c>
      <c r="AR213" s="24" t="inlineStr">
        <is>
          <t>Anna Bondar</t>
        </is>
      </c>
      <c r="AS213" s="24" t="inlineStr">
        <is>
          <t>Elise Mertens</t>
        </is>
      </c>
      <c r="AT213" s="24" t="inlineStr">
        <is>
          <t>Elise Mertens</t>
        </is>
      </c>
      <c r="AU213" s="24" t="inlineStr">
        <is>
          <t>Elise Mertens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3ab056fefe04713e3c294da76c8adb2866b0dc46556ed32322a0426dd344a0e4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3ab056fefe04713e3c294da76c8adb2866b0dc46556ed32322a0426dd344a0e4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3ab056fefe04713e3c294da76c8adb2866b0dc46556ed32322a0426dd344a0e4</t>
        </is>
      </c>
      <c r="BH213" s="24" t="inlineStr">
        <is>
          <t>2026-08-05T17:02:02.673243Z</t>
        </is>
      </c>
      <c r="BI213" s="24" t="inlineStr">
        <is>
          <t>["same_event","same_team_same_day","same_league_same_day"]</t>
        </is>
      </c>
      <c r="BJ213" s="25" t="n"/>
      <c r="BK213" s="26" t="n">
        <v>-270</v>
      </c>
      <c r="BL213" s="27" t="n">
        <v>1.37037</v>
      </c>
      <c r="BM213" s="28" t="n">
        <v>0.72973</v>
      </c>
      <c r="BN213" s="28" t="n"/>
      <c r="BO213" s="28" t="n"/>
      <c r="BP213" s="25" t="n"/>
      <c r="BQ213" s="27" t="n">
        <v>1.37037</v>
      </c>
      <c r="BR213" s="28" t="n">
        <v>0.73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2c6c243fd0cf4dbb</t>
        </is>
      </c>
      <c r="B214" s="24" t="inlineStr">
        <is>
          <t>2026-08-05T17:03:22.897552Z</t>
        </is>
      </c>
      <c r="C214" s="24" t="inlineStr">
        <is>
          <t>2026-08-05T19:30Z</t>
        </is>
      </c>
      <c r="D214" s="24" t="inlineStr">
        <is>
          <t>421-2026:182191</t>
        </is>
      </c>
      <c r="E214" s="24" t="inlineStr">
        <is>
          <t>TENNIS</t>
        </is>
      </c>
      <c r="F214" s="24" t="inlineStr">
        <is>
          <t>Zeynep Sonmez</t>
        </is>
      </c>
      <c r="G214" s="24" t="inlineStr">
        <is>
          <t>Maria Sakkari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156</v>
      </c>
      <c r="M214" s="27" t="n">
        <v>2.56</v>
      </c>
      <c r="N214" s="28" t="n">
        <v>0.390625</v>
      </c>
      <c r="O214" s="28" t="n">
        <v>0.529381</v>
      </c>
      <c r="P214" s="28" t="n">
        <v>0.05</v>
      </c>
      <c r="Q214" s="28" t="n">
        <v>0.138756</v>
      </c>
      <c r="R214" s="26" t="n">
        <v>89</v>
      </c>
      <c r="S214" s="29" t="n">
        <v>1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loss</t>
        </is>
      </c>
      <c r="W214" s="26" t="n">
        <v>0</v>
      </c>
      <c r="X214" s="26" t="n">
        <v>1</v>
      </c>
      <c r="Y214" s="25" t="n"/>
      <c r="Z214" s="26" t="n">
        <v>156</v>
      </c>
      <c r="AA214" s="28" t="n">
        <v>0.39</v>
      </c>
      <c r="AB214" s="28" t="n">
        <v>-0.000625</v>
      </c>
      <c r="AC214" s="30" t="n">
        <v>-1</v>
      </c>
      <c r="AD214" s="24" t="inlineStr">
        <is>
          <t>2026-08-06T00:20:34.119638Z</t>
        </is>
      </c>
      <c r="AE214" s="31" t="inlineStr">
        <is>
          <t>Surface-blended Elo on Hard: Zeynep Sonmez p=0.529 vs Maria Sakkari. Executable ask 0.3900 (aec-wta-marsak-zeyson-2026-08-06).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NO_CALL_LOW_EDGE</t>
        </is>
      </c>
      <c r="AP214" s="24" t="inlineStr">
        <is>
          <t>Zeynep Sonmez</t>
        </is>
      </c>
      <c r="AQ214" s="24" t="inlineStr">
        <is>
          <t>Zeynep Sonmez</t>
        </is>
      </c>
      <c r="AR214" s="24" t="inlineStr">
        <is>
          <t>Zeynep Sonmez</t>
        </is>
      </c>
      <c r="AS214" s="24" t="inlineStr">
        <is>
          <t>Maria Sakkari</t>
        </is>
      </c>
      <c r="AT214" s="24" t="inlineStr">
        <is>
          <t>Maria Sakkari</t>
        </is>
      </c>
      <c r="AU214" s="24" t="inlineStr">
        <is>
          <t>Maria Sakkari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3ab056fefe04713e3c294da76c8adb2866b0dc46556ed32322a0426dd344a0e4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3ab056fefe04713e3c294da76c8adb2866b0dc46556ed32322a0426dd344a0e4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3ab056fefe04713e3c294da76c8adb2866b0dc46556ed32322a0426dd344a0e4</t>
        </is>
      </c>
      <c r="BH214" s="24" t="inlineStr">
        <is>
          <t>2026-08-05T17:02:02.173972Z</t>
        </is>
      </c>
      <c r="BI214" s="24" t="inlineStr">
        <is>
          <t>["same_event","same_team_same_day","same_league_same_day"]</t>
        </is>
      </c>
      <c r="BJ214" s="25" t="n"/>
      <c r="BK214" s="26" t="n">
        <v>156</v>
      </c>
      <c r="BL214" s="27" t="n">
        <v>2.56</v>
      </c>
      <c r="BM214" s="28" t="n">
        <v>0.390625</v>
      </c>
      <c r="BN214" s="28" t="n"/>
      <c r="BO214" s="28" t="n"/>
      <c r="BP214" s="25" t="n"/>
      <c r="BQ214" s="27" t="n">
        <v>2.56</v>
      </c>
      <c r="BR214" s="28" t="n">
        <v>0.39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</row>
    <row r="215" ht="36" customHeight="1">
      <c r="A215" s="24" t="inlineStr">
        <is>
          <t>a156a39dfc43411d</t>
        </is>
      </c>
      <c r="B215" s="24" t="inlineStr">
        <is>
          <t>2026-08-05T17:03:22.897552Z</t>
        </is>
      </c>
      <c r="C215" s="24" t="inlineStr">
        <is>
          <t>2026-08-05T21:00Z</t>
        </is>
      </c>
      <c r="D215" s="24" t="inlineStr">
        <is>
          <t>421-2026:182176</t>
        </is>
      </c>
      <c r="E215" s="24" t="inlineStr">
        <is>
          <t>TENNIS</t>
        </is>
      </c>
      <c r="F215" s="24" t="inlineStr">
        <is>
          <t>Naomi Osaka</t>
        </is>
      </c>
      <c r="G215" s="24" t="inlineStr">
        <is>
          <t>Panna Udvardy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-1150</v>
      </c>
      <c r="M215" s="27" t="n">
        <v>1.086957</v>
      </c>
      <c r="N215" s="28" t="n">
        <v>0.92</v>
      </c>
      <c r="O215" s="28" t="n">
        <v>0.728504</v>
      </c>
      <c r="P215" s="28" t="n">
        <v>0.05</v>
      </c>
      <c r="Q215" s="28" t="n">
        <v>-0.191496</v>
      </c>
      <c r="R215" s="26" t="n">
        <v>0</v>
      </c>
      <c r="S215" s="29" t="n">
        <v>2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>
        <v>-1150</v>
      </c>
      <c r="AA215" s="28" t="n">
        <v>0.92</v>
      </c>
      <c r="AB215" s="28" t="n">
        <v>0</v>
      </c>
      <c r="AC215" s="30" t="n">
        <v>0.1739</v>
      </c>
      <c r="AD215" s="24" t="inlineStr">
        <is>
          <t>2026-08-06T00:20:35.293382Z</t>
        </is>
      </c>
      <c r="AE215" s="31" t="inlineStr">
        <is>
          <t>Surface-blended Elo on Hard: Naomi Osaka p=0.729 vs Panna Udvardy. Executable ask 0.9200 (aec-wta-panudv-naoosa-2026-08-06).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NO_CALL_WINNER_OVERVALUED</t>
        </is>
      </c>
      <c r="AP215" s="24" t="inlineStr">
        <is>
          <t>Naomi Osaka</t>
        </is>
      </c>
      <c r="AQ215" s="24" t="inlineStr">
        <is>
          <t>Naomi Osaka</t>
        </is>
      </c>
      <c r="AR215" s="24" t="inlineStr">
        <is>
          <t>Naomi Osaka</t>
        </is>
      </c>
      <c r="AS215" s="24" t="inlineStr">
        <is>
          <t>Panna Udvardy</t>
        </is>
      </c>
      <c r="AT215" s="24" t="inlineStr">
        <is>
          <t>Panna Udvardy</t>
        </is>
      </c>
      <c r="AU215" s="24" t="inlineStr">
        <is>
          <t>Panna Udvardy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3ab056fefe04713e3c294da76c8adb2866b0dc46556ed32322a0426dd344a0e4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3ab056fefe04713e3c294da76c8adb2866b0dc46556ed32322a0426dd344a0e4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3ab056fefe04713e3c294da76c8adb2866b0dc46556ed32322a0426dd344a0e4</t>
        </is>
      </c>
      <c r="BH215" s="24" t="inlineStr">
        <is>
          <t>2026-08-05T17:02:05.036007Z</t>
        </is>
      </c>
      <c r="BI215" s="24" t="inlineStr">
        <is>
          <t>["same_event","same_team_same_day","same_league_same_day"]</t>
        </is>
      </c>
      <c r="BJ215" s="25" t="n"/>
      <c r="BK215" s="26" t="n">
        <v>-1150</v>
      </c>
      <c r="BL215" s="27" t="n">
        <v>1.086957</v>
      </c>
      <c r="BM215" s="28" t="n">
        <v>0.92</v>
      </c>
      <c r="BN215" s="28" t="n"/>
      <c r="BO215" s="28" t="n"/>
      <c r="BP215" s="25" t="n"/>
      <c r="BQ215" s="27" t="n">
        <v>1.086957</v>
      </c>
      <c r="BR215" s="28" t="n">
        <v>0.92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</row>
    <row r="216" ht="36" customHeight="1">
      <c r="A216" s="24" t="inlineStr">
        <is>
          <t>f67df7871cb8414f</t>
        </is>
      </c>
      <c r="B216" s="24" t="inlineStr">
        <is>
          <t>2026-08-05T17:03:22.897552Z</t>
        </is>
      </c>
      <c r="C216" s="24" t="inlineStr">
        <is>
          <t>2026-08-05T21:00Z</t>
        </is>
      </c>
      <c r="D216" s="24" t="inlineStr">
        <is>
          <t>421-2026:182179</t>
        </is>
      </c>
      <c r="E216" s="24" t="inlineStr">
        <is>
          <t>TENNIS</t>
        </is>
      </c>
      <c r="F216" s="24" t="inlineStr">
        <is>
          <t>Maya Joint</t>
        </is>
      </c>
      <c r="G216" s="24" t="inlineStr">
        <is>
          <t>Sorana Cirstea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-270</v>
      </c>
      <c r="M216" s="27" t="n">
        <v>1.37037</v>
      </c>
      <c r="N216" s="28" t="n">
        <v>0.72973</v>
      </c>
      <c r="O216" s="28" t="n">
        <v>0.797746</v>
      </c>
      <c r="P216" s="28" t="n">
        <v>0.05</v>
      </c>
      <c r="Q216" s="28" t="n">
        <v>0.06801599999999999</v>
      </c>
      <c r="R216" s="26" t="n">
        <v>54</v>
      </c>
      <c r="S216" s="29" t="n">
        <v>2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-270</v>
      </c>
      <c r="AA216" s="28" t="n">
        <v>0.73</v>
      </c>
      <c r="AB216" s="28" t="n">
        <v>0.00027</v>
      </c>
      <c r="AC216" s="30" t="n">
        <v>-2</v>
      </c>
      <c r="AD216" s="24" t="inlineStr">
        <is>
          <t>2026-08-06T03:25:29.468196Z</t>
        </is>
      </c>
      <c r="AE216" s="31" t="inlineStr">
        <is>
          <t>Surface-blended Elo on Hard: Maya Joint p=0.202 vs Sorana Cirstea. Executable ask 0.7300 (aec-wta-sorcir-mayjoi-2026-08-04).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review_required</t>
        </is>
      </c>
      <c r="AH216" s="24" t="n"/>
      <c r="AI216" s="31" t="n"/>
      <c r="AJ2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NO_CALL_WINNER_OVERVALUED</t>
        </is>
      </c>
      <c r="AP216" s="24" t="inlineStr">
        <is>
          <t>Maya Joint</t>
        </is>
      </c>
      <c r="AQ216" s="24" t="inlineStr">
        <is>
          <t>Maya Joint</t>
        </is>
      </c>
      <c r="AR216" s="24" t="inlineStr">
        <is>
          <t>Maya Joint</t>
        </is>
      </c>
      <c r="AS216" s="24" t="inlineStr">
        <is>
          <t>Sorana Cirstea</t>
        </is>
      </c>
      <c r="AT216" s="24" t="inlineStr">
        <is>
          <t>Sorana Cirstea</t>
        </is>
      </c>
      <c r="AU216" s="24" t="inlineStr">
        <is>
          <t>Sorana Cirstea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3ab056fefe04713e3c294da76c8adb2866b0dc46556ed32322a0426dd344a0e4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3ab056fefe04713e3c294da76c8adb2866b0dc46556ed32322a0426dd344a0e4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3ab056fefe04713e3c294da76c8adb2866b0dc46556ed32322a0426dd344a0e4</t>
        </is>
      </c>
      <c r="BH216" s="24" t="inlineStr">
        <is>
          <t>2026-08-05T17:02:03.456518Z</t>
        </is>
      </c>
      <c r="BI216" s="24" t="inlineStr">
        <is>
          <t>["same_event","same_team_same_day","same_league_same_day"]</t>
        </is>
      </c>
      <c r="BJ216" s="25" t="n"/>
      <c r="BK216" s="26" t="n">
        <v>-270</v>
      </c>
      <c r="BL216" s="27" t="n">
        <v>1.37037</v>
      </c>
      <c r="BM216" s="28" t="n">
        <v>0.72973</v>
      </c>
      <c r="BN216" s="28" t="n"/>
      <c r="BO216" s="28" t="n"/>
      <c r="BP216" s="25" t="n"/>
      <c r="BQ216" s="27" t="n">
        <v>1.37037</v>
      </c>
      <c r="BR216" s="28" t="n">
        <v>0.73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631adf3b5f484806</t>
        </is>
      </c>
      <c r="B217" s="24" t="inlineStr">
        <is>
          <t>2026-08-05T17:03:22.897552Z</t>
        </is>
      </c>
      <c r="C217" s="24" t="inlineStr">
        <is>
          <t>2026-08-05T21:00Z</t>
        </is>
      </c>
      <c r="D217" s="24" t="inlineStr">
        <is>
          <t>421-2026:182214</t>
        </is>
      </c>
      <c r="E217" s="24" t="inlineStr">
        <is>
          <t>TENNIS</t>
        </is>
      </c>
      <c r="F217" s="24" t="inlineStr">
        <is>
          <t>Barbora Krejcikova</t>
        </is>
      </c>
      <c r="G217" s="24" t="inlineStr">
        <is>
          <t>Liudmila Samsonova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-144</v>
      </c>
      <c r="M217" s="27" t="n">
        <v>1.694444</v>
      </c>
      <c r="N217" s="28" t="n">
        <v>0.590164</v>
      </c>
      <c r="O217" s="28" t="n">
        <v>0.733479</v>
      </c>
      <c r="P217" s="28" t="n">
        <v>0.05</v>
      </c>
      <c r="Q217" s="28" t="n">
        <v>0.143315</v>
      </c>
      <c r="R217" s="26" t="n">
        <v>92</v>
      </c>
      <c r="S217" s="29" t="n">
        <v>2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loss</t>
        </is>
      </c>
      <c r="W217" s="26" t="n">
        <v>0</v>
      </c>
      <c r="X217" s="26" t="n">
        <v>1</v>
      </c>
      <c r="Y217" s="25" t="n"/>
      <c r="Z217" s="26" t="n">
        <v>-144</v>
      </c>
      <c r="AA217" s="28" t="n">
        <v>0.59</v>
      </c>
      <c r="AB217" s="28" t="n">
        <v>-0.000164</v>
      </c>
      <c r="AC217" s="30" t="n">
        <v>-2</v>
      </c>
      <c r="AD217" s="24" t="inlineStr">
        <is>
          <t>2026-08-06T00:20:36.468350Z</t>
        </is>
      </c>
      <c r="AE217" s="31" t="inlineStr">
        <is>
          <t>Surface-blended Elo on Hard: Barbora Krejcikova p=0.733 vs Liudmila Samsonova. Executable ask 0.5900 (aec-wta-liusam-barkre-2026-08-06).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Barbora Krejcikova</t>
        </is>
      </c>
      <c r="AQ217" s="24" t="inlineStr">
        <is>
          <t>Barbora Krejcikova</t>
        </is>
      </c>
      <c r="AR217" s="24" t="inlineStr">
        <is>
          <t>Barbora Krejcikova</t>
        </is>
      </c>
      <c r="AS217" s="24" t="inlineStr">
        <is>
          <t>Liudmila Samsonova</t>
        </is>
      </c>
      <c r="AT217" s="24" t="inlineStr">
        <is>
          <t>Liudmila Samsonova</t>
        </is>
      </c>
      <c r="AU217" s="24" t="inlineStr">
        <is>
          <t>Liudmila Samsonova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3ab056fefe04713e3c294da76c8adb2866b0dc46556ed32322a0426dd344a0e4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3ab056fefe04713e3c294da76c8adb2866b0dc46556ed32322a0426dd344a0e4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3ab056fefe04713e3c294da76c8adb2866b0dc46556ed32322a0426dd344a0e4</t>
        </is>
      </c>
      <c r="BH217" s="24" t="inlineStr">
        <is>
          <t>2026-08-05T17:02:04.621209Z</t>
        </is>
      </c>
      <c r="BI217" s="24" t="inlineStr">
        <is>
          <t>["same_event","same_team_same_day","same_league_same_day"]</t>
        </is>
      </c>
      <c r="BJ217" s="25" t="n"/>
      <c r="BK217" s="26" t="n">
        <v>-144</v>
      </c>
      <c r="BL217" s="27" t="n">
        <v>1.694444</v>
      </c>
      <c r="BM217" s="28" t="n">
        <v>0.590164</v>
      </c>
      <c r="BN217" s="28" t="n"/>
      <c r="BO217" s="28" t="n"/>
      <c r="BP217" s="25" t="n"/>
      <c r="BQ217" s="27" t="n">
        <v>1.694444</v>
      </c>
      <c r="BR217" s="28" t="n">
        <v>0.59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</row>
    <row r="218" ht="36" customHeight="1">
      <c r="A218" s="24" t="inlineStr">
        <is>
          <t>e958adc6a61346a3</t>
        </is>
      </c>
      <c r="B218" s="24" t="inlineStr">
        <is>
          <t>2026-08-05T17:03:22.897552Z</t>
        </is>
      </c>
      <c r="C218" s="24" t="inlineStr">
        <is>
          <t>2026-08-05T18:00Z</t>
        </is>
      </c>
      <c r="D218" s="24" t="inlineStr">
        <is>
          <t>421-2026:181729</t>
        </is>
      </c>
      <c r="E218" s="24" t="inlineStr">
        <is>
          <t>TENNIS</t>
        </is>
      </c>
      <c r="F218" s="24" t="inlineStr">
        <is>
          <t>Alexei Popyrin</t>
        </is>
      </c>
      <c r="G218" s="24" t="inlineStr">
        <is>
          <t>Raphael Collignon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-156</v>
      </c>
      <c r="M218" s="27" t="n">
        <v>1.641026</v>
      </c>
      <c r="N218" s="28" t="n">
        <v>0.609375</v>
      </c>
      <c r="O218" s="28" t="n">
        <v>0.57423</v>
      </c>
      <c r="P218" s="28" t="n">
        <v>0.05</v>
      </c>
      <c r="Q218" s="28" t="n">
        <v>-0.035145</v>
      </c>
      <c r="R218" s="26" t="n">
        <v>2</v>
      </c>
      <c r="S218" s="29" t="n">
        <v>1.25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loss</t>
        </is>
      </c>
      <c r="W218" s="26" t="n">
        <v>1</v>
      </c>
      <c r="X218" s="26" t="n">
        <v>0</v>
      </c>
      <c r="Y218" s="25" t="n"/>
      <c r="Z218" s="26" t="n">
        <v>-156</v>
      </c>
      <c r="AA218" s="28" t="n">
        <v>0.61</v>
      </c>
      <c r="AB218" s="28" t="n">
        <v>0.000625</v>
      </c>
      <c r="AC218" s="30" t="n">
        <v>-1.25</v>
      </c>
      <c r="AD218" s="24" t="inlineStr">
        <is>
          <t>2026-08-06T00:20:37.606905Z</t>
        </is>
      </c>
      <c r="AE218" s="31" t="inlineStr">
        <is>
          <t>Surface-blended Elo on Hard: Alexei Popyrin p=0.426 vs Raphael Collignon. Executable ask 0.6100 (aec-atp-rapcol-alepop-2026-08-05).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review_required</t>
        </is>
      </c>
      <c r="AH218" s="24" t="n"/>
      <c r="AI218" s="31" t="n"/>
      <c r="AJ2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NO_CALL_WINNER_OVERVALUED</t>
        </is>
      </c>
      <c r="AP218" s="24" t="inlineStr">
        <is>
          <t>Alexei Popyrin</t>
        </is>
      </c>
      <c r="AQ218" s="24" t="inlineStr">
        <is>
          <t>Alexei Popyrin</t>
        </is>
      </c>
      <c r="AR218" s="24" t="inlineStr">
        <is>
          <t>Alexei Popyrin</t>
        </is>
      </c>
      <c r="AS218" s="24" t="inlineStr">
        <is>
          <t>Raphael Collignon</t>
        </is>
      </c>
      <c r="AT218" s="24" t="inlineStr">
        <is>
          <t>Raphael Collignon</t>
        </is>
      </c>
      <c r="AU218" s="24" t="inlineStr">
        <is>
          <t>Raphael Collignon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3ab056fefe04713e3c294da76c8adb2866b0dc46556ed32322a0426dd344a0e4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3ab056fefe04713e3c294da76c8adb2866b0dc46556ed32322a0426dd344a0e4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3ab056fefe04713e3c294da76c8adb2866b0dc46556ed32322a0426dd344a0e4</t>
        </is>
      </c>
      <c r="BH218" s="24" t="inlineStr">
        <is>
          <t>2026-08-05T17:02:13.525353Z</t>
        </is>
      </c>
      <c r="BI218" s="24" t="inlineStr">
        <is>
          <t>["same_event","same_team_same_day","same_league_same_day"]</t>
        </is>
      </c>
      <c r="BJ218" s="25" t="n"/>
      <c r="BK218" s="26" t="n">
        <v>-156</v>
      </c>
      <c r="BL218" s="27" t="n">
        <v>1.641026</v>
      </c>
      <c r="BM218" s="28" t="n">
        <v>0.609375</v>
      </c>
      <c r="BN218" s="28" t="n"/>
      <c r="BO218" s="28" t="n"/>
      <c r="BP218" s="25" t="n"/>
      <c r="BQ218" s="27" t="n">
        <v>1.641026</v>
      </c>
      <c r="BR218" s="28" t="n">
        <v>0.61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</row>
    <row r="219" ht="36" customHeight="1">
      <c r="A219" s="24" t="inlineStr">
        <is>
          <t>b7c8aa4268c84246</t>
        </is>
      </c>
      <c r="B219" s="24" t="inlineStr">
        <is>
          <t>2026-08-05T17:03:22.897552Z</t>
        </is>
      </c>
      <c r="C219" s="24" t="inlineStr">
        <is>
          <t>2026-08-05T18:00Z</t>
        </is>
      </c>
      <c r="D219" s="24" t="inlineStr">
        <is>
          <t>421-2026:181743</t>
        </is>
      </c>
      <c r="E219" s="24" t="inlineStr">
        <is>
          <t>TENNIS</t>
        </is>
      </c>
      <c r="F219" s="24" t="inlineStr">
        <is>
          <t>Alejandro Tabilo</t>
        </is>
      </c>
      <c r="G219" s="24" t="inlineStr">
        <is>
          <t>Hubert Hurkacz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138</v>
      </c>
      <c r="M219" s="27" t="n">
        <v>2.38</v>
      </c>
      <c r="N219" s="28" t="n">
        <v>0.420168</v>
      </c>
      <c r="O219" s="28" t="n">
        <v>0.584869</v>
      </c>
      <c r="P219" s="28" t="n">
        <v>0.05</v>
      </c>
      <c r="Q219" s="28" t="n">
        <v>0.164701</v>
      </c>
      <c r="R219" s="26" t="n">
        <v>100</v>
      </c>
      <c r="S219" s="29" t="n">
        <v>1.25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>
        <v>138</v>
      </c>
      <c r="AA219" s="28" t="n">
        <v>0.42</v>
      </c>
      <c r="AB219" s="28" t="n">
        <v>-0.000168</v>
      </c>
      <c r="AC219" s="30" t="n">
        <v>-1.25</v>
      </c>
      <c r="AD219" s="24" t="inlineStr">
        <is>
          <t>2026-08-05T20:58:20.783418Z</t>
        </is>
      </c>
      <c r="AE219" s="31" t="inlineStr">
        <is>
          <t>Surface-blended Elo on Hard: Alejandro Tabilo p=0.585 vs Hubert Hurkacz. Executable ask 0.4200 (aec-atp-hubhur-aletab-2026-08-06).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Alejandro Tabilo</t>
        </is>
      </c>
      <c r="AQ219" s="24" t="inlineStr">
        <is>
          <t>Alejandro Tabilo</t>
        </is>
      </c>
      <c r="AR219" s="24" t="inlineStr">
        <is>
          <t>Alejandro Tabilo</t>
        </is>
      </c>
      <c r="AS219" s="24" t="inlineStr">
        <is>
          <t>Hubert Hurkacz</t>
        </is>
      </c>
      <c r="AT219" s="24" t="inlineStr">
        <is>
          <t>Hubert Hurkacz</t>
        </is>
      </c>
      <c r="AU219" s="24" t="inlineStr">
        <is>
          <t>Hubert Hurkacz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3ab056fefe04713e3c294da76c8adb2866b0dc46556ed32322a0426dd344a0e4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3ab056fefe04713e3c294da76c8adb2866b0dc46556ed32322a0426dd344a0e4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3ab056fefe04713e3c294da76c8adb2866b0dc46556ed32322a0426dd344a0e4</t>
        </is>
      </c>
      <c r="BH219" s="24" t="inlineStr">
        <is>
          <t>2026-08-05T17:02:15.869129Z</t>
        </is>
      </c>
      <c r="BI219" s="24" t="inlineStr">
        <is>
          <t>["same_event","same_team_same_day","same_league_same_day"]</t>
        </is>
      </c>
      <c r="BJ219" s="25" t="n"/>
      <c r="BK219" s="26" t="n">
        <v>138</v>
      </c>
      <c r="BL219" s="27" t="n">
        <v>2.38</v>
      </c>
      <c r="BM219" s="28" t="n">
        <v>0.420168</v>
      </c>
      <c r="BN219" s="28" t="n"/>
      <c r="BO219" s="28" t="n"/>
      <c r="BP219" s="25" t="n"/>
      <c r="BQ219" s="27" t="n">
        <v>2.38</v>
      </c>
      <c r="BR219" s="28" t="n">
        <v>0.42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</row>
    <row r="220" ht="36" customHeight="1">
      <c r="A220" s="24" t="inlineStr">
        <is>
          <t>10b586b4f7604def</t>
        </is>
      </c>
      <c r="B220" s="24" t="inlineStr">
        <is>
          <t>2026-08-05T17:03:22.897552Z</t>
        </is>
      </c>
      <c r="C220" s="24" t="inlineStr">
        <is>
          <t>2026-08-05T18:20Z</t>
        </is>
      </c>
      <c r="D220" s="24" t="inlineStr">
        <is>
          <t>421-2026:181735</t>
        </is>
      </c>
      <c r="E220" s="24" t="inlineStr">
        <is>
          <t>TENNIS</t>
        </is>
      </c>
      <c r="F220" s="24" t="inlineStr">
        <is>
          <t>Taylor Fritz</t>
        </is>
      </c>
      <c r="G220" s="24" t="inlineStr">
        <is>
          <t>Thiago Agustin Tirante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-525</v>
      </c>
      <c r="M220" s="27" t="n">
        <v>1.190476</v>
      </c>
      <c r="N220" s="28" t="n">
        <v>0.84</v>
      </c>
      <c r="O220" s="28" t="n">
        <v>0.744005</v>
      </c>
      <c r="P220" s="28" t="n">
        <v>0.05</v>
      </c>
      <c r="Q220" s="28" t="n">
        <v>-0.095995</v>
      </c>
      <c r="R220" s="26" t="n">
        <v>0</v>
      </c>
      <c r="S220" s="29" t="n">
        <v>2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loss</t>
        </is>
      </c>
      <c r="W220" s="26" t="n">
        <v>0</v>
      </c>
      <c r="X220" s="26" t="n">
        <v>1</v>
      </c>
      <c r="Y220" s="25" t="n"/>
      <c r="Z220" s="26" t="n">
        <v>-525</v>
      </c>
      <c r="AA220" s="28" t="n">
        <v>0.84</v>
      </c>
      <c r="AB220" s="28" t="n">
        <v>0</v>
      </c>
      <c r="AC220" s="30" t="n">
        <v>-2</v>
      </c>
      <c r="AD220" s="24" t="inlineStr">
        <is>
          <t>2026-08-05T20:58:21.965953Z</t>
        </is>
      </c>
      <c r="AE220" s="31" t="inlineStr">
        <is>
          <t>Surface-blended Elo on Hard: Taylor Fritz p=0.744 vs Thiago Agustin Tirante. Executable ask 0.8400 (aec-atp-thitir-tayfri-2026-08-05).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review_required</t>
        </is>
      </c>
      <c r="AH220" s="24" t="n"/>
      <c r="AI220" s="31" t="n"/>
      <c r="AJ2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NO_CALL_WINNER_OVERVALUED</t>
        </is>
      </c>
      <c r="AP220" s="24" t="inlineStr">
        <is>
          <t>Taylor Fritz</t>
        </is>
      </c>
      <c r="AQ220" s="24" t="inlineStr">
        <is>
          <t>Taylor Fritz</t>
        </is>
      </c>
      <c r="AR220" s="24" t="inlineStr">
        <is>
          <t>Taylor Fritz</t>
        </is>
      </c>
      <c r="AS220" s="24" t="inlineStr">
        <is>
          <t>Thiago Agustin Tirante</t>
        </is>
      </c>
      <c r="AT220" s="24" t="inlineStr">
        <is>
          <t>Thiago Agustin Tirante</t>
        </is>
      </c>
      <c r="AU220" s="24" t="inlineStr">
        <is>
          <t>Thiago Agustin Tirante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3ab056fefe04713e3c294da76c8adb2866b0dc46556ed32322a0426dd344a0e4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3ab056fefe04713e3c294da76c8adb2866b0dc46556ed32322a0426dd344a0e4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3ab056fefe04713e3c294da76c8adb2866b0dc46556ed32322a0426dd344a0e4</t>
        </is>
      </c>
      <c r="BH220" s="24" t="inlineStr">
        <is>
          <t>2026-08-05T17:02:15.611692Z</t>
        </is>
      </c>
      <c r="BI220" s="24" t="inlineStr">
        <is>
          <t>["same_event","same_team_same_day","same_league_same_day"]</t>
        </is>
      </c>
      <c r="BJ220" s="25" t="n"/>
      <c r="BK220" s="26" t="n">
        <v>-525</v>
      </c>
      <c r="BL220" s="27" t="n">
        <v>1.190476</v>
      </c>
      <c r="BM220" s="28" t="n">
        <v>0.84</v>
      </c>
      <c r="BN220" s="28" t="n"/>
      <c r="BO220" s="28" t="n"/>
      <c r="BP220" s="25" t="n"/>
      <c r="BQ220" s="27" t="n">
        <v>1.190476</v>
      </c>
      <c r="BR220" s="28" t="n">
        <v>0.84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</row>
    <row r="221" ht="36" customHeight="1">
      <c r="A221" s="24" t="inlineStr">
        <is>
          <t>a5177a98bbdc4a4e</t>
        </is>
      </c>
      <c r="B221" s="24" t="inlineStr">
        <is>
          <t>2026-08-05T17:03:22.897552Z</t>
        </is>
      </c>
      <c r="C221" s="24" t="inlineStr">
        <is>
          <t>2026-08-05T18:20Z</t>
        </is>
      </c>
      <c r="D221" s="24" t="inlineStr">
        <is>
          <t>421-2026:181749</t>
        </is>
      </c>
      <c r="E221" s="24" t="inlineStr">
        <is>
          <t>TENNIS</t>
        </is>
      </c>
      <c r="F221" s="24" t="inlineStr">
        <is>
          <t>Corentin Moutet</t>
        </is>
      </c>
      <c r="G221" s="24" t="inlineStr">
        <is>
          <t>Rafael Jodar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-285</v>
      </c>
      <c r="M221" s="27" t="n">
        <v>1.350877</v>
      </c>
      <c r="N221" s="28" t="n">
        <v>0.74026</v>
      </c>
      <c r="O221" s="28" t="n">
        <v>0.707792</v>
      </c>
      <c r="P221" s="28" t="n">
        <v>0.05</v>
      </c>
      <c r="Q221" s="28" t="n">
        <v>-0.032468</v>
      </c>
      <c r="R221" s="26" t="n">
        <v>4</v>
      </c>
      <c r="S221" s="29" t="n">
        <v>2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-285</v>
      </c>
      <c r="AA221" s="28" t="n">
        <v>0.74</v>
      </c>
      <c r="AB221" s="28" t="n">
        <v>-0.00026</v>
      </c>
      <c r="AC221" s="30" t="n">
        <v>0.7018</v>
      </c>
      <c r="AD221" s="24" t="inlineStr">
        <is>
          <t>2026-08-06T00:20:38.789745Z</t>
        </is>
      </c>
      <c r="AE221" s="31" t="inlineStr">
        <is>
          <t>Surface-blended Elo on Hard: Corentin Moutet p=0.292 vs Rafael Jodar. Executable ask 0.7400 (aec-atp-rafjod-cormou-2026-08-06).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NO_CALL_WINNER_OVERVALUED</t>
        </is>
      </c>
      <c r="AP221" s="24" t="inlineStr">
        <is>
          <t>Corentin Moutet</t>
        </is>
      </c>
      <c r="AQ221" s="24" t="inlineStr">
        <is>
          <t>Corentin Moutet</t>
        </is>
      </c>
      <c r="AR221" s="24" t="inlineStr">
        <is>
          <t>Corentin Moutet</t>
        </is>
      </c>
      <c r="AS221" s="24" t="inlineStr">
        <is>
          <t>Rafael Jodar</t>
        </is>
      </c>
      <c r="AT221" s="24" t="inlineStr">
        <is>
          <t>Rafael Jodar</t>
        </is>
      </c>
      <c r="AU221" s="24" t="inlineStr">
        <is>
          <t>Rafael Jodar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3ab056fefe04713e3c294da76c8adb2866b0dc46556ed32322a0426dd344a0e4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3ab056fefe04713e3c294da76c8adb2866b0dc46556ed32322a0426dd344a0e4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3ab056fefe04713e3c294da76c8adb2866b0dc46556ed32322a0426dd344a0e4</t>
        </is>
      </c>
      <c r="BH221" s="24" t="inlineStr">
        <is>
          <t>2026-08-05T17:02:14.722373Z</t>
        </is>
      </c>
      <c r="BI221" s="24" t="inlineStr">
        <is>
          <t>["same_event","same_team_same_day","same_league_same_day"]</t>
        </is>
      </c>
      <c r="BJ221" s="25" t="n"/>
      <c r="BK221" s="26" t="n">
        <v>-285</v>
      </c>
      <c r="BL221" s="27" t="n">
        <v>1.350877</v>
      </c>
      <c r="BM221" s="28" t="n">
        <v>0.74026</v>
      </c>
      <c r="BN221" s="28" t="n"/>
      <c r="BO221" s="28" t="n"/>
      <c r="BP221" s="25" t="n"/>
      <c r="BQ221" s="27" t="n">
        <v>1.350877</v>
      </c>
      <c r="BR221" s="28" t="n">
        <v>0.74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</row>
    <row r="222" ht="36" customHeight="1">
      <c r="A222" s="24" t="inlineStr">
        <is>
          <t>0d05ddb6e8224d92</t>
        </is>
      </c>
      <c r="B222" s="24" t="inlineStr">
        <is>
          <t>2026-08-05T17:03:22.897552Z</t>
        </is>
      </c>
      <c r="C222" s="24" t="inlineStr">
        <is>
          <t>2026-08-05T18:20Z</t>
        </is>
      </c>
      <c r="D222" s="24" t="inlineStr">
        <is>
          <t>421-2026:181750</t>
        </is>
      </c>
      <c r="E222" s="24" t="inlineStr">
        <is>
          <t>TENNIS</t>
        </is>
      </c>
      <c r="F222" s="24" t="inlineStr">
        <is>
          <t>Tallon Griekspoor</t>
        </is>
      </c>
      <c r="G222" s="24" t="inlineStr">
        <is>
          <t>Alexander Zverev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-614</v>
      </c>
      <c r="M222" s="27" t="n">
        <v>1.162866</v>
      </c>
      <c r="N222" s="28" t="n">
        <v>0.859944</v>
      </c>
      <c r="O222" s="28" t="n">
        <v>0.873265</v>
      </c>
      <c r="P222" s="28" t="n">
        <v>0.05</v>
      </c>
      <c r="Q222" s="28" t="n">
        <v>0.013321</v>
      </c>
      <c r="R222" s="26" t="n">
        <v>27</v>
      </c>
      <c r="S222" s="29" t="n">
        <v>2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loss</t>
        </is>
      </c>
      <c r="W222" s="26" t="n">
        <v>1</v>
      </c>
      <c r="X222" s="26" t="n">
        <v>0</v>
      </c>
      <c r="Y222" s="25" t="n"/>
      <c r="Z222" s="26" t="n">
        <v>-614</v>
      </c>
      <c r="AA222" s="28" t="n">
        <v>0.86</v>
      </c>
      <c r="AB222" s="28" t="n">
        <v>5.6e-05</v>
      </c>
      <c r="AC222" s="30" t="n">
        <v>-2</v>
      </c>
      <c r="AD222" s="24" t="inlineStr">
        <is>
          <t>2026-08-06T00:20:39.928474Z</t>
        </is>
      </c>
      <c r="AE222" s="31" t="inlineStr">
        <is>
          <t>Surface-blended Elo on Hard: Tallon Griekspoor p=0.127 vs Alexander Zverev. Executable ask 0.8600 (aec-atp-alezve-talgri-2026-08-06).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review_required</t>
        </is>
      </c>
      <c r="AH222" s="24" t="n"/>
      <c r="AI222" s="31" t="n"/>
      <c r="AJ2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NO_CALL_WINNER_OVERVALUED</t>
        </is>
      </c>
      <c r="AP222" s="24" t="inlineStr">
        <is>
          <t>Tallon Griekspoor</t>
        </is>
      </c>
      <c r="AQ222" s="24" t="inlineStr">
        <is>
          <t>Tallon Griekspoor</t>
        </is>
      </c>
      <c r="AR222" s="24" t="inlineStr">
        <is>
          <t>Tallon Griekspoor</t>
        </is>
      </c>
      <c r="AS222" s="24" t="inlineStr">
        <is>
          <t>Alexander Zverev</t>
        </is>
      </c>
      <c r="AT222" s="24" t="inlineStr">
        <is>
          <t>Alexander Zverev</t>
        </is>
      </c>
      <c r="AU222" s="24" t="inlineStr">
        <is>
          <t>Alexander Zverev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3ab056fefe04713e3c294da76c8adb2866b0dc46556ed32322a0426dd344a0e4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3ab056fefe04713e3c294da76c8adb2866b0dc46556ed32322a0426dd344a0e4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3ab056fefe04713e3c294da76c8adb2866b0dc46556ed32322a0426dd344a0e4</t>
        </is>
      </c>
      <c r="BH222" s="24" t="inlineStr">
        <is>
          <t>2026-08-05T17:02:14.134986Z</t>
        </is>
      </c>
      <c r="BI222" s="24" t="inlineStr">
        <is>
          <t>["same_event","same_team_same_day","same_league_same_day"]</t>
        </is>
      </c>
      <c r="BJ222" s="25" t="n"/>
      <c r="BK222" s="26" t="n">
        <v>-614</v>
      </c>
      <c r="BL222" s="27" t="n">
        <v>1.162866</v>
      </c>
      <c r="BM222" s="28" t="n">
        <v>0.859944</v>
      </c>
      <c r="BN222" s="28" t="n"/>
      <c r="BO222" s="28" t="n"/>
      <c r="BP222" s="25" t="n"/>
      <c r="BQ222" s="27" t="n">
        <v>1.162866</v>
      </c>
      <c r="BR222" s="28" t="n">
        <v>0.86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</row>
    <row r="223" ht="36" customHeight="1">
      <c r="A223" s="24" t="inlineStr">
        <is>
          <t>15c3f1792e824244</t>
        </is>
      </c>
      <c r="B223" s="24" t="inlineStr">
        <is>
          <t>2026-08-05T17:03:22.897552Z</t>
        </is>
      </c>
      <c r="C223" s="24" t="inlineStr">
        <is>
          <t>2026-08-05T19:30Z</t>
        </is>
      </c>
      <c r="D223" s="24" t="inlineStr">
        <is>
          <t>421-2026:181741</t>
        </is>
      </c>
      <c r="E223" s="24" t="inlineStr">
        <is>
          <t>TENNIS</t>
        </is>
      </c>
      <c r="F223" s="24" t="inlineStr">
        <is>
          <t>Terence Atmane</t>
        </is>
      </c>
      <c r="G223" s="24" t="inlineStr">
        <is>
          <t>Karen Khachanov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-127</v>
      </c>
      <c r="M223" s="27" t="n">
        <v>1.787402</v>
      </c>
      <c r="N223" s="28" t="n">
        <v>0.5594710000000001</v>
      </c>
      <c r="O223" s="28" t="n">
        <v>0.596987</v>
      </c>
      <c r="P223" s="28" t="n">
        <v>0.05</v>
      </c>
      <c r="Q223" s="28" t="n">
        <v>0.037516</v>
      </c>
      <c r="R223" s="26" t="n">
        <v>39</v>
      </c>
      <c r="S223" s="29" t="n">
        <v>1.25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loss</t>
        </is>
      </c>
      <c r="W223" s="26" t="n">
        <v>1</v>
      </c>
      <c r="X223" s="26" t="n">
        <v>0</v>
      </c>
      <c r="Y223" s="25" t="n"/>
      <c r="Z223" s="26" t="n">
        <v>-127</v>
      </c>
      <c r="AA223" s="28" t="n">
        <v>0.5600000000000001</v>
      </c>
      <c r="AB223" s="28" t="n">
        <v>0.000529</v>
      </c>
      <c r="AC223" s="30" t="n">
        <v>-1.25</v>
      </c>
      <c r="AD223" s="24" t="inlineStr">
        <is>
          <t>2026-08-06T00:20:41.113176Z</t>
        </is>
      </c>
      <c r="AE223" s="31" t="inlineStr">
        <is>
          <t>Surface-blended Elo on Hard: Terence Atmane p=0.403 vs Karen Khachanov. Executable ask 0.5600 (aec-atp-karkha-teratm-2026-08-06).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review_required</t>
        </is>
      </c>
      <c r="AH223" s="24" t="n"/>
      <c r="AI223" s="31" t="n"/>
      <c r="AJ2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NO_CALL_WINNER_OVERVALUED</t>
        </is>
      </c>
      <c r="AP223" s="24" t="inlineStr">
        <is>
          <t>Terence Atmane</t>
        </is>
      </c>
      <c r="AQ223" s="24" t="inlineStr">
        <is>
          <t>Terence Atmane</t>
        </is>
      </c>
      <c r="AR223" s="24" t="inlineStr">
        <is>
          <t>Terence Atmane</t>
        </is>
      </c>
      <c r="AS223" s="24" t="inlineStr">
        <is>
          <t>Karen Khachanov</t>
        </is>
      </c>
      <c r="AT223" s="24" t="inlineStr">
        <is>
          <t>Karen Khachanov</t>
        </is>
      </c>
      <c r="AU223" s="24" t="inlineStr">
        <is>
          <t>Karen Khachanov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3ab056fefe04713e3c294da76c8adb2866b0dc46556ed32322a0426dd344a0e4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3ab056fefe04713e3c294da76c8adb2866b0dc46556ed32322a0426dd344a0e4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3ab056fefe04713e3c294da76c8adb2866b0dc46556ed32322a0426dd344a0e4</t>
        </is>
      </c>
      <c r="BH223" s="24" t="inlineStr">
        <is>
          <t>2026-08-05T17:02:17.116696Z</t>
        </is>
      </c>
      <c r="BI223" s="24" t="inlineStr">
        <is>
          <t>["same_event","same_team_same_day","same_league_same_day"]</t>
        </is>
      </c>
      <c r="BJ223" s="25" t="n"/>
      <c r="BK223" s="26" t="n">
        <v>-127</v>
      </c>
      <c r="BL223" s="27" t="n">
        <v>1.787402</v>
      </c>
      <c r="BM223" s="28" t="n">
        <v>0.5594710000000001</v>
      </c>
      <c r="BN223" s="28" t="n"/>
      <c r="BO223" s="28" t="n"/>
      <c r="BP223" s="25" t="n"/>
      <c r="BQ223" s="27" t="n">
        <v>1.787402</v>
      </c>
      <c r="BR223" s="28" t="n">
        <v>0.5600000000000001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</row>
    <row r="224" ht="36" customHeight="1">
      <c r="A224" s="24" t="inlineStr">
        <is>
          <t>ab1e7c5cd3fd4173</t>
        </is>
      </c>
      <c r="B224" s="24" t="inlineStr">
        <is>
          <t>2026-08-05T17:03:22.897552Z</t>
        </is>
      </c>
      <c r="C224" s="24" t="inlineStr">
        <is>
          <t>2026-08-05T19:30Z</t>
        </is>
      </c>
      <c r="D224" s="24" t="inlineStr">
        <is>
          <t>421-2026:181746</t>
        </is>
      </c>
      <c r="E224" s="24" t="inlineStr">
        <is>
          <t>TENNIS</t>
        </is>
      </c>
      <c r="F224" s="24" t="inlineStr">
        <is>
          <t>Matteo Arnaldi</t>
        </is>
      </c>
      <c r="G224" s="24" t="inlineStr">
        <is>
          <t>Fabian Marozsan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-138</v>
      </c>
      <c r="M224" s="27" t="n">
        <v>1.724638</v>
      </c>
      <c r="N224" s="28" t="n">
        <v>0.579832</v>
      </c>
      <c r="O224" s="28" t="n">
        <v>0.605216</v>
      </c>
      <c r="P224" s="28" t="n">
        <v>0.05</v>
      </c>
      <c r="Q224" s="28" t="n">
        <v>0.025384</v>
      </c>
      <c r="R224" s="26" t="n">
        <v>33</v>
      </c>
      <c r="S224" s="29" t="n">
        <v>1.25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>
        <v>-138</v>
      </c>
      <c r="AA224" s="28" t="n">
        <v>0.58</v>
      </c>
      <c r="AB224" s="28" t="n">
        <v>0.000168</v>
      </c>
      <c r="AC224" s="30" t="n">
        <v>-1.25</v>
      </c>
      <c r="AD224" s="24" t="inlineStr">
        <is>
          <t>2026-08-06T00:20:42.297410Z</t>
        </is>
      </c>
      <c r="AE224" s="31" t="inlineStr">
        <is>
          <t>Surface-blended Elo on Hard: Matteo Arnaldi p=0.395 vs Fabian Marozsan. Executable ask 0.5800 (aec-atp-fabmar-matarn-2026-08-05).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review_required</t>
        </is>
      </c>
      <c r="AH224" s="24" t="n"/>
      <c r="AI224" s="31" t="n"/>
      <c r="AJ2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NO_CALL_WINNER_OVERVALUED</t>
        </is>
      </c>
      <c r="AP224" s="24" t="inlineStr">
        <is>
          <t>Matteo Arnaldi</t>
        </is>
      </c>
      <c r="AQ224" s="24" t="inlineStr">
        <is>
          <t>Matteo Arnaldi</t>
        </is>
      </c>
      <c r="AR224" s="24" t="inlineStr">
        <is>
          <t>Matteo Arnaldi</t>
        </is>
      </c>
      <c r="AS224" s="24" t="inlineStr">
        <is>
          <t>Fabian Marozsan</t>
        </is>
      </c>
      <c r="AT224" s="24" t="inlineStr">
        <is>
          <t>Fabian Marozsan</t>
        </is>
      </c>
      <c r="AU224" s="24" t="inlineStr">
        <is>
          <t>Fabian Marozsan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3ab056fefe04713e3c294da76c8adb2866b0dc46556ed32322a0426dd344a0e4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3ab056fefe04713e3c294da76c8adb2866b0dc46556ed32322a0426dd344a0e4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3ab056fefe04713e3c294da76c8adb2866b0dc46556ed32322a0426dd344a0e4</t>
        </is>
      </c>
      <c r="BH224" s="24" t="inlineStr">
        <is>
          <t>2026-08-05T17:02:17.875522Z</t>
        </is>
      </c>
      <c r="BI224" s="24" t="inlineStr">
        <is>
          <t>["same_event","same_team_same_day","same_league_same_day"]</t>
        </is>
      </c>
      <c r="BJ224" s="25" t="n"/>
      <c r="BK224" s="26" t="n">
        <v>-138</v>
      </c>
      <c r="BL224" s="27" t="n">
        <v>1.724638</v>
      </c>
      <c r="BM224" s="28" t="n">
        <v>0.579832</v>
      </c>
      <c r="BN224" s="28" t="n"/>
      <c r="BO224" s="28" t="n"/>
      <c r="BP224" s="25" t="n"/>
      <c r="BQ224" s="27" t="n">
        <v>1.724638</v>
      </c>
      <c r="BR224" s="28" t="n">
        <v>0.58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</row>
    <row r="225" ht="36" customHeight="1">
      <c r="A225" s="24" t="inlineStr">
        <is>
          <t>69588baf875143c8</t>
        </is>
      </c>
      <c r="B225" s="24" t="inlineStr">
        <is>
          <t>2026-08-05T17:03:22.897552Z</t>
        </is>
      </c>
      <c r="C225" s="24" t="inlineStr">
        <is>
          <t>2026-08-05T19:30Z</t>
        </is>
      </c>
      <c r="D225" s="24" t="inlineStr">
        <is>
          <t>421-2026:181753</t>
        </is>
      </c>
      <c r="E225" s="24" t="inlineStr">
        <is>
          <t>TENNIS</t>
        </is>
      </c>
      <c r="F225" s="24" t="inlineStr">
        <is>
          <t>Francisco Cerundolo</t>
        </is>
      </c>
      <c r="G225" s="24" t="inlineStr">
        <is>
          <t>Alex Michelsen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144</v>
      </c>
      <c r="M225" s="27" t="n">
        <v>2.44</v>
      </c>
      <c r="N225" s="28" t="n">
        <v>0.409836</v>
      </c>
      <c r="O225" s="28" t="n">
        <v>0.657899</v>
      </c>
      <c r="P225" s="28" t="n">
        <v>0.05</v>
      </c>
      <c r="Q225" s="28" t="n">
        <v>0.248063</v>
      </c>
      <c r="R225" s="26" t="n">
        <v>100</v>
      </c>
      <c r="S225" s="29" t="n">
        <v>1.75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loss</t>
        </is>
      </c>
      <c r="W225" s="26" t="n">
        <v>0</v>
      </c>
      <c r="X225" s="26" t="n">
        <v>1</v>
      </c>
      <c r="Y225" s="25" t="n"/>
      <c r="Z225" s="26" t="n">
        <v>144</v>
      </c>
      <c r="AA225" s="28" t="n">
        <v>0.41</v>
      </c>
      <c r="AB225" s="28" t="n">
        <v>0.000164</v>
      </c>
      <c r="AC225" s="30" t="n">
        <v>-1.75</v>
      </c>
      <c r="AD225" s="24" t="inlineStr">
        <is>
          <t>2026-08-06T00:20:43.459804Z</t>
        </is>
      </c>
      <c r="AE225" s="31" t="inlineStr">
        <is>
          <t>Surface-blended Elo on Hard: Francisco Cerundolo p=0.658 vs Alex Michelsen. Executable ask 0.4100 (aec-atp-alemic-fracer-2026-08-06).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Francisco Cerundolo</t>
        </is>
      </c>
      <c r="AQ225" s="24" t="inlineStr">
        <is>
          <t>Francisco Cerundolo</t>
        </is>
      </c>
      <c r="AR225" s="24" t="inlineStr">
        <is>
          <t>Francisco Cerundolo</t>
        </is>
      </c>
      <c r="AS225" s="24" t="inlineStr">
        <is>
          <t>Alex Michelsen</t>
        </is>
      </c>
      <c r="AT225" s="24" t="inlineStr">
        <is>
          <t>Alex Michelsen</t>
        </is>
      </c>
      <c r="AU225" s="24" t="inlineStr">
        <is>
          <t>Alex Michelsen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3ab056fefe04713e3c294da76c8adb2866b0dc46556ed32322a0426dd344a0e4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3ab056fefe04713e3c294da76c8adb2866b0dc46556ed32322a0426dd344a0e4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3ab056fefe04713e3c294da76c8adb2866b0dc46556ed32322a0426dd344a0e4</t>
        </is>
      </c>
      <c r="BH225" s="24" t="inlineStr">
        <is>
          <t>2026-08-05T17:02:18.609359Z</t>
        </is>
      </c>
      <c r="BI225" s="24" t="inlineStr">
        <is>
          <t>["same_event","same_team_same_day","same_league_same_day"]</t>
        </is>
      </c>
      <c r="BJ225" s="25" t="n"/>
      <c r="BK225" s="26" t="n">
        <v>144</v>
      </c>
      <c r="BL225" s="27" t="n">
        <v>2.44</v>
      </c>
      <c r="BM225" s="28" t="n">
        <v>0.409836</v>
      </c>
      <c r="BN225" s="28" t="n"/>
      <c r="BO225" s="28" t="n"/>
      <c r="BP225" s="25" t="n"/>
      <c r="BQ225" s="27" t="n">
        <v>2.44</v>
      </c>
      <c r="BR225" s="28" t="n">
        <v>0.41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</row>
    <row r="226" ht="36" customHeight="1">
      <c r="A226" s="24" t="inlineStr">
        <is>
          <t>15511601267f4ed3</t>
        </is>
      </c>
      <c r="B226" s="24" t="inlineStr">
        <is>
          <t>2026-08-05T17:03:22.897552Z</t>
        </is>
      </c>
      <c r="C226" s="24" t="inlineStr">
        <is>
          <t>2026-08-05T21:00Z</t>
        </is>
      </c>
      <c r="D226" s="24" t="inlineStr">
        <is>
          <t>421-2026:181719</t>
        </is>
      </c>
      <c r="E226" s="24" t="inlineStr">
        <is>
          <t>TENNIS</t>
        </is>
      </c>
      <c r="F226" s="24" t="inlineStr">
        <is>
          <t>Jakub Mensik</t>
        </is>
      </c>
      <c r="G226" s="24" t="inlineStr">
        <is>
          <t>Jacob Fearnley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-223</v>
      </c>
      <c r="M226" s="27" t="n">
        <v>1.44843</v>
      </c>
      <c r="N226" s="28" t="n">
        <v>0.690402</v>
      </c>
      <c r="O226" s="28" t="n">
        <v>0.742792</v>
      </c>
      <c r="P226" s="28" t="n">
        <v>0.05</v>
      </c>
      <c r="Q226" s="28" t="n">
        <v>0.05239</v>
      </c>
      <c r="R226" s="26" t="n">
        <v>46</v>
      </c>
      <c r="S226" s="29" t="n">
        <v>2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>
        <v>-223</v>
      </c>
      <c r="AA226" s="28" t="n">
        <v>0.6899999999999999</v>
      </c>
      <c r="AB226" s="28" t="n">
        <v>-0.000402</v>
      </c>
      <c r="AC226" s="30" t="n">
        <v>0.8969</v>
      </c>
      <c r="AD226" s="24" t="inlineStr">
        <is>
          <t>2026-08-06T03:25:31.997124Z</t>
        </is>
      </c>
      <c r="AE226" s="31" t="inlineStr">
        <is>
          <t>Surface-blended Elo on Hard: Jakub Mensik p=0.743 vs Jacob Fearnley. Executable ask 0.6900 (aec-atp-jacfea-jakmen-2026-08-05).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not_applicable</t>
        </is>
      </c>
      <c r="AH226" s="24" t="n"/>
      <c r="AI226" s="31" t="n"/>
      <c r="AJ2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NO_CALL_WINNER_OVERVALUED</t>
        </is>
      </c>
      <c r="AP226" s="24" t="inlineStr">
        <is>
          <t>Jakub Mensik</t>
        </is>
      </c>
      <c r="AQ226" s="24" t="inlineStr">
        <is>
          <t>Jakub Mensik</t>
        </is>
      </c>
      <c r="AR226" s="24" t="inlineStr">
        <is>
          <t>Jakub Mensik</t>
        </is>
      </c>
      <c r="AS226" s="24" t="inlineStr">
        <is>
          <t>Jacob Fearnley</t>
        </is>
      </c>
      <c r="AT226" s="24" t="inlineStr">
        <is>
          <t>Jacob Fearnley</t>
        </is>
      </c>
      <c r="AU226" s="24" t="inlineStr">
        <is>
          <t>Jacob Fearnley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3ab056fefe04713e3c294da76c8adb2866b0dc46556ed32322a0426dd344a0e4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3ab056fefe04713e3c294da76c8adb2866b0dc46556ed32322a0426dd344a0e4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3ab056fefe04713e3c294da76c8adb2866b0dc46556ed32322a0426dd344a0e4</t>
        </is>
      </c>
      <c r="BH226" s="24" t="inlineStr">
        <is>
          <t>2026-08-05T17:02:20.858798Z</t>
        </is>
      </c>
      <c r="BI226" s="24" t="inlineStr">
        <is>
          <t>["same_event","same_team_same_day","same_league_same_day"]</t>
        </is>
      </c>
      <c r="BJ226" s="25" t="n"/>
      <c r="BK226" s="26" t="n">
        <v>-223</v>
      </c>
      <c r="BL226" s="27" t="n">
        <v>1.44843</v>
      </c>
      <c r="BM226" s="28" t="n">
        <v>0.690402</v>
      </c>
      <c r="BN226" s="28" t="n"/>
      <c r="BO226" s="28" t="n"/>
      <c r="BP226" s="25" t="n"/>
      <c r="BQ226" s="27" t="n">
        <v>1.44843</v>
      </c>
      <c r="BR226" s="28" t="n">
        <v>0.6899999999999999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</row>
    <row r="227" ht="36" customHeight="1">
      <c r="A227" s="24" t="inlineStr">
        <is>
          <t>46d5ecc1949b4c49</t>
        </is>
      </c>
      <c r="B227" s="24" t="inlineStr">
        <is>
          <t>2026-08-05T17:03:22.897552Z</t>
        </is>
      </c>
      <c r="C227" s="24" t="inlineStr">
        <is>
          <t>2026-08-05T21:00Z</t>
        </is>
      </c>
      <c r="D227" s="24" t="inlineStr">
        <is>
          <t>421-2026:181755</t>
        </is>
      </c>
      <c r="E227" s="24" t="inlineStr">
        <is>
          <t>TENNIS</t>
        </is>
      </c>
      <c r="F227" s="24" t="inlineStr">
        <is>
          <t>Daniel Merida</t>
        </is>
      </c>
      <c r="G227" s="24" t="inlineStr">
        <is>
          <t>Ugo Humbert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-223</v>
      </c>
      <c r="M227" s="27" t="n">
        <v>1.44843</v>
      </c>
      <c r="N227" s="28" t="n">
        <v>0.690402</v>
      </c>
      <c r="O227" s="28" t="n">
        <v>0.601922</v>
      </c>
      <c r="P227" s="28" t="n">
        <v>0.05</v>
      </c>
      <c r="Q227" s="28" t="n">
        <v>-0.08848</v>
      </c>
      <c r="R227" s="26" t="n">
        <v>0</v>
      </c>
      <c r="S227" s="29" t="n">
        <v>1.25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loss</t>
        </is>
      </c>
      <c r="W227" s="26" t="n">
        <v>1</v>
      </c>
      <c r="X227" s="26" t="n">
        <v>0</v>
      </c>
      <c r="Y227" s="25" t="n"/>
      <c r="Z227" s="26" t="n">
        <v>-223</v>
      </c>
      <c r="AA227" s="28" t="n">
        <v>0.6899999999999999</v>
      </c>
      <c r="AB227" s="28" t="n">
        <v>-0.000402</v>
      </c>
      <c r="AC227" s="30" t="n">
        <v>-1.25</v>
      </c>
      <c r="AD227" s="24" t="inlineStr">
        <is>
          <t>2026-08-06T03:25:34.372934Z</t>
        </is>
      </c>
      <c r="AE227" s="31" t="inlineStr">
        <is>
          <t>Surface-blended Elo on Hard: Daniel Merida p=0.398 vs Ugo Humbert. Executable ask 0.6900 (aec-atp-ugohum-danagu-2026-08-06).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review_required</t>
        </is>
      </c>
      <c r="AH227" s="24" t="n"/>
      <c r="AI227" s="31" t="n"/>
      <c r="AJ2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NO_CALL_WINNER_OVERVALUED</t>
        </is>
      </c>
      <c r="AP227" s="24" t="inlineStr">
        <is>
          <t>Daniel Merida</t>
        </is>
      </c>
      <c r="AQ227" s="24" t="inlineStr">
        <is>
          <t>Daniel Merida</t>
        </is>
      </c>
      <c r="AR227" s="24" t="inlineStr">
        <is>
          <t>Daniel Merida</t>
        </is>
      </c>
      <c r="AS227" s="24" t="inlineStr">
        <is>
          <t>Ugo Humbert</t>
        </is>
      </c>
      <c r="AT227" s="24" t="inlineStr">
        <is>
          <t>Ugo Humbert</t>
        </is>
      </c>
      <c r="AU227" s="24" t="inlineStr">
        <is>
          <t>Ugo Humbert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3ab056fefe04713e3c294da76c8adb2866b0dc46556ed32322a0426dd344a0e4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3ab056fefe04713e3c294da76c8adb2866b0dc46556ed32322a0426dd344a0e4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3ab056fefe04713e3c294da76c8adb2866b0dc46556ed32322a0426dd344a0e4</t>
        </is>
      </c>
      <c r="BH227" s="24" t="inlineStr">
        <is>
          <t>2026-08-05T17:02:19.486831Z</t>
        </is>
      </c>
      <c r="BI227" s="24" t="inlineStr">
        <is>
          <t>["same_event","same_team_same_day","same_league_same_day"]</t>
        </is>
      </c>
      <c r="BJ227" s="25" t="n"/>
      <c r="BK227" s="26" t="n">
        <v>-223</v>
      </c>
      <c r="BL227" s="27" t="n">
        <v>1.44843</v>
      </c>
      <c r="BM227" s="28" t="n">
        <v>0.690402</v>
      </c>
      <c r="BN227" s="28" t="n"/>
      <c r="BO227" s="28" t="n"/>
      <c r="BP227" s="25" t="n"/>
      <c r="BQ227" s="27" t="n">
        <v>1.44843</v>
      </c>
      <c r="BR227" s="28" t="n">
        <v>0.6899999999999999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</row>
    <row r="228" ht="36" customHeight="1">
      <c r="A228" s="24" t="inlineStr">
        <is>
          <t>90adba31b9bd4423</t>
        </is>
      </c>
      <c r="B228" s="24" t="inlineStr">
        <is>
          <t>2026-08-05T21:01:38.332565Z</t>
        </is>
      </c>
      <c r="C228" s="24" t="inlineStr">
        <is>
          <t>2026-08-05T23:00Z</t>
        </is>
      </c>
      <c r="D228" s="24" t="inlineStr">
        <is>
          <t>421-2026:182170</t>
        </is>
      </c>
      <c r="E228" s="24" t="inlineStr">
        <is>
          <t>TENNIS</t>
        </is>
      </c>
      <c r="F228" s="24" t="inlineStr">
        <is>
          <t>Leylah Fernandez</t>
        </is>
      </c>
      <c r="G228" s="24" t="inlineStr">
        <is>
          <t>Renata Zarazua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-285</v>
      </c>
      <c r="M228" s="27" t="n">
        <v>1.350877</v>
      </c>
      <c r="N228" s="28" t="n">
        <v>0.74026</v>
      </c>
      <c r="O228" s="28" t="n">
        <v>0.686095</v>
      </c>
      <c r="P228" s="28" t="n">
        <v>0.05</v>
      </c>
      <c r="Q228" s="28" t="n">
        <v>-0.054165</v>
      </c>
      <c r="R228" s="26" t="n">
        <v>0</v>
      </c>
      <c r="S228" s="29" t="n">
        <v>2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-285</v>
      </c>
      <c r="AA228" s="28" t="n">
        <v>0.74</v>
      </c>
      <c r="AB228" s="28" t="n">
        <v>-0.00026</v>
      </c>
      <c r="AC228" s="30" t="n">
        <v>0.7018</v>
      </c>
      <c r="AD228" s="24" t="inlineStr">
        <is>
          <t>2026-08-06T03:26:28.167261Z</t>
        </is>
      </c>
      <c r="AE228" s="31" t="inlineStr">
        <is>
          <t>Surface-blended Elo on Hard: Leylah Fernandez p=0.686 vs Renata Zarazua. Executable ask 0.7400 (aec-wta-renzar-leyfer-2026-08-05).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NO_CALL_WINNER_OVERVALUED</t>
        </is>
      </c>
      <c r="AP228" s="24" t="inlineStr">
        <is>
          <t>Leylah Fernandez</t>
        </is>
      </c>
      <c r="AQ228" s="24" t="inlineStr">
        <is>
          <t>Leylah Fernandez</t>
        </is>
      </c>
      <c r="AR228" s="24" t="inlineStr">
        <is>
          <t>Leylah Fernandez</t>
        </is>
      </c>
      <c r="AS228" s="24" t="inlineStr">
        <is>
          <t>Renata Zarazua</t>
        </is>
      </c>
      <c r="AT228" s="24" t="inlineStr">
        <is>
          <t>Renata Zarazua</t>
        </is>
      </c>
      <c r="AU228" s="24" t="inlineStr">
        <is>
          <t>Renata Zarazua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3ab056fefe04713e3c294da76c8adb2866b0dc46556ed32322a0426dd344a0e4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3ab056fefe04713e3c294da76c8adb2866b0dc46556ed32322a0426dd344a0e4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3ab056fefe04713e3c294da76c8adb2866b0dc46556ed32322a0426dd344a0e4</t>
        </is>
      </c>
      <c r="BH228" s="24" t="inlineStr">
        <is>
          <t>2026-08-05T21:00:58.717236Z</t>
        </is>
      </c>
      <c r="BI228" s="24" t="inlineStr">
        <is>
          <t>["same_event","same_team_same_day","same_league_same_day"]</t>
        </is>
      </c>
      <c r="BJ228" s="25" t="n"/>
      <c r="BK228" s="26" t="n">
        <v>-285</v>
      </c>
      <c r="BL228" s="27" t="n">
        <v>1.350877</v>
      </c>
      <c r="BM228" s="28" t="n">
        <v>0.74026</v>
      </c>
      <c r="BN228" s="28" t="n"/>
      <c r="BO228" s="28" t="n"/>
      <c r="BP228" s="25" t="n"/>
      <c r="BQ228" s="27" t="n">
        <v>1.350877</v>
      </c>
      <c r="BR228" s="28" t="n">
        <v>0.74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</row>
    <row r="229" ht="36" customHeight="1">
      <c r="A229" s="24" t="inlineStr">
        <is>
          <t>a1729e6fe43041fd</t>
        </is>
      </c>
      <c r="B229" s="24" t="inlineStr">
        <is>
          <t>2026-08-05T21:01:38.332565Z</t>
        </is>
      </c>
      <c r="C229" s="24" t="inlineStr">
        <is>
          <t>2026-08-05T22:00Z</t>
        </is>
      </c>
      <c r="D229" s="24" t="inlineStr">
        <is>
          <t>421-2026:181733</t>
        </is>
      </c>
      <c r="E229" s="24" t="inlineStr">
        <is>
          <t>TENNIS</t>
        </is>
      </c>
      <c r="F229" s="24" t="inlineStr">
        <is>
          <t>Botic Van De Zandschulp</t>
        </is>
      </c>
      <c r="G229" s="24" t="inlineStr">
        <is>
          <t>Daniil Medvedev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-317</v>
      </c>
      <c r="M229" s="27" t="n">
        <v>1.315457</v>
      </c>
      <c r="N229" s="28" t="n">
        <v>0.760192</v>
      </c>
      <c r="O229" s="28" t="n">
        <v>0.8122509999999999</v>
      </c>
      <c r="P229" s="28" t="n">
        <v>0.05</v>
      </c>
      <c r="Q229" s="28" t="n">
        <v>0.052059</v>
      </c>
      <c r="R229" s="26" t="n">
        <v>46</v>
      </c>
      <c r="S229" s="29" t="n">
        <v>2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loss</t>
        </is>
      </c>
      <c r="W229" s="26" t="n">
        <v>1</v>
      </c>
      <c r="X229" s="26" t="n">
        <v>0</v>
      </c>
      <c r="Y229" s="25" t="n"/>
      <c r="Z229" s="26" t="n">
        <v>-317</v>
      </c>
      <c r="AA229" s="28" t="n">
        <v>0.76</v>
      </c>
      <c r="AB229" s="28" t="n">
        <v>-0.000192</v>
      </c>
      <c r="AC229" s="30" t="n">
        <v>-2</v>
      </c>
      <c r="AD229" s="24" t="inlineStr">
        <is>
          <t>2026-08-06T03:26:30.588476Z</t>
        </is>
      </c>
      <c r="AE229" s="31" t="inlineStr">
        <is>
          <t>Surface-blended Elo on Hard: Botic Van De Zandschulp p=0.188 vs Daniil Medvedev. Executable ask 0.7600 (aec-atp-danmed-botzan-2026-08-06).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review_required</t>
        </is>
      </c>
      <c r="AH229" s="24" t="n"/>
      <c r="AI229" s="31" t="n"/>
      <c r="AJ2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NO_CALL_WINNER_OVERVALUED</t>
        </is>
      </c>
      <c r="AP229" s="24" t="inlineStr">
        <is>
          <t>Botic Van De Zandschulp</t>
        </is>
      </c>
      <c r="AQ229" s="24" t="inlineStr">
        <is>
          <t>Botic Van De Zandschulp</t>
        </is>
      </c>
      <c r="AR229" s="24" t="inlineStr">
        <is>
          <t>Botic Van De Zandschulp</t>
        </is>
      </c>
      <c r="AS229" s="24" t="inlineStr">
        <is>
          <t>Daniil Medvedev</t>
        </is>
      </c>
      <c r="AT229" s="24" t="inlineStr">
        <is>
          <t>Daniil Medvedev</t>
        </is>
      </c>
      <c r="AU229" s="24" t="inlineStr">
        <is>
          <t>Daniil Medvedev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3ab056fefe04713e3c294da76c8adb2866b0dc46556ed32322a0426dd344a0e4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3ab056fefe04713e3c294da76c8adb2866b0dc46556ed32322a0426dd344a0e4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3ab056fefe04713e3c294da76c8adb2866b0dc46556ed32322a0426dd344a0e4</t>
        </is>
      </c>
      <c r="BH229" s="24" t="inlineStr">
        <is>
          <t>2026-08-05T21:01:04.249126Z</t>
        </is>
      </c>
      <c r="BI229" s="24" t="inlineStr">
        <is>
          <t>["same_event","same_team_same_day","same_league_same_day"]</t>
        </is>
      </c>
      <c r="BJ229" s="25" t="n"/>
      <c r="BK229" s="26" t="n">
        <v>-317</v>
      </c>
      <c r="BL229" s="27" t="n">
        <v>1.315457</v>
      </c>
      <c r="BM229" s="28" t="n">
        <v>0.760192</v>
      </c>
      <c r="BN229" s="28" t="n"/>
      <c r="BO229" s="28" t="n"/>
      <c r="BP229" s="25" t="n"/>
      <c r="BQ229" s="27" t="n">
        <v>1.315457</v>
      </c>
      <c r="BR229" s="28" t="n">
        <v>0.76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</row>
    <row r="230" ht="36" customHeight="1">
      <c r="A230" s="24" t="inlineStr">
        <is>
          <t>e7e6ac6b905c4caf</t>
        </is>
      </c>
      <c r="B230" s="24" t="inlineStr">
        <is>
          <t>2026-08-05T21:01:38.332565Z</t>
        </is>
      </c>
      <c r="C230" s="24" t="inlineStr">
        <is>
          <t>2026-08-05T23:30Z</t>
        </is>
      </c>
      <c r="D230" s="24" t="inlineStr">
        <is>
          <t>421-2026:181731</t>
        </is>
      </c>
      <c r="E230" s="24" t="inlineStr">
        <is>
          <t>TENNIS</t>
        </is>
      </c>
      <c r="F230" s="24" t="inlineStr">
        <is>
          <t>Tommy Paul</t>
        </is>
      </c>
      <c r="G230" s="24" t="inlineStr">
        <is>
          <t>Valentin Royer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-456</v>
      </c>
      <c r="M230" s="27" t="n">
        <v>1.219298</v>
      </c>
      <c r="N230" s="28" t="n">
        <v>0.820144</v>
      </c>
      <c r="O230" s="28" t="n">
        <v>0.855695</v>
      </c>
      <c r="P230" s="28" t="n">
        <v>0.05</v>
      </c>
      <c r="Q230" s="28" t="n">
        <v>0.035551</v>
      </c>
      <c r="R230" s="26" t="n">
        <v>38</v>
      </c>
      <c r="S230" s="29" t="n">
        <v>2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-456</v>
      </c>
      <c r="AA230" s="28" t="n">
        <v>0.82</v>
      </c>
      <c r="AB230" s="28" t="n">
        <v>-0.000144</v>
      </c>
      <c r="AC230" s="30" t="n">
        <v>0.4386</v>
      </c>
      <c r="AD230" s="24" t="inlineStr">
        <is>
          <t>2026-08-06T03:26:32.942899Z</t>
        </is>
      </c>
      <c r="AE230" s="31" t="inlineStr">
        <is>
          <t>Surface-blended Elo on Hard: Tommy Paul p=0.856 vs Valentin Royer. Executable ask 0.8200 (aec-atp-valroy-tompau-2026-08-05).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NO_CALL_WINNER_OVERVALUED</t>
        </is>
      </c>
      <c r="AP230" s="24" t="inlineStr">
        <is>
          <t>Tommy Paul</t>
        </is>
      </c>
      <c r="AQ230" s="24" t="inlineStr">
        <is>
          <t>Tommy Paul</t>
        </is>
      </c>
      <c r="AR230" s="24" t="inlineStr">
        <is>
          <t>Tommy Paul</t>
        </is>
      </c>
      <c r="AS230" s="24" t="inlineStr">
        <is>
          <t>Valentin Royer</t>
        </is>
      </c>
      <c r="AT230" s="24" t="inlineStr">
        <is>
          <t>Valentin Royer</t>
        </is>
      </c>
      <c r="AU230" s="24" t="inlineStr">
        <is>
          <t>Valentin Royer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3ab056fefe04713e3c294da76c8adb2866b0dc46556ed32322a0426dd344a0e4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3ab056fefe04713e3c294da76c8adb2866b0dc46556ed32322a0426dd344a0e4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3ab056fefe04713e3c294da76c8adb2866b0dc46556ed32322a0426dd344a0e4</t>
        </is>
      </c>
      <c r="BH230" s="24" t="inlineStr">
        <is>
          <t>2026-08-05T21:01:07.355972Z</t>
        </is>
      </c>
      <c r="BI230" s="24" t="inlineStr">
        <is>
          <t>["same_event","same_team_same_day","same_league_same_day"]</t>
        </is>
      </c>
      <c r="BJ230" s="25" t="n"/>
      <c r="BK230" s="26" t="n">
        <v>-456</v>
      </c>
      <c r="BL230" s="27" t="n">
        <v>1.219298</v>
      </c>
      <c r="BM230" s="28" t="n">
        <v>0.820144</v>
      </c>
      <c r="BN230" s="28" t="n"/>
      <c r="BO230" s="28" t="n"/>
      <c r="BP230" s="25" t="n"/>
      <c r="BQ230" s="27" t="n">
        <v>1.219298</v>
      </c>
      <c r="BR230" s="28" t="n">
        <v>0.82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</row>
    <row r="231" ht="36" customHeight="1">
      <c r="A231" s="24" t="inlineStr">
        <is>
          <t>e8a128b1957c488f</t>
        </is>
      </c>
      <c r="B231" s="24" t="inlineStr">
        <is>
          <t>2026-08-06T00:23:20.957652Z</t>
        </is>
      </c>
      <c r="C231" s="24" t="inlineStr">
        <is>
          <t>2026-08-06T00:30Z</t>
        </is>
      </c>
      <c r="D231" s="24" t="inlineStr">
        <is>
          <t>421-2026:182216</t>
        </is>
      </c>
      <c r="E231" s="24" t="inlineStr">
        <is>
          <t>TENNIS</t>
        </is>
      </c>
      <c r="F231" s="24" t="inlineStr">
        <is>
          <t>Alexandra Eala</t>
        </is>
      </c>
      <c r="G231" s="24" t="inlineStr">
        <is>
          <t>Alycia Parks</t>
        </is>
      </c>
      <c r="H231" s="24" t="inlineStr">
        <is>
          <t>moneyline</t>
        </is>
      </c>
      <c r="I231" s="24" t="inlineStr">
        <is>
          <t>away</t>
        </is>
      </c>
      <c r="J231" s="25" t="n"/>
      <c r="K231" s="24" t="inlineStr">
        <is>
          <t>polymarket_us</t>
        </is>
      </c>
      <c r="L231" s="26" t="n">
        <v>-456</v>
      </c>
      <c r="M231" s="27" t="n">
        <v>1.219298</v>
      </c>
      <c r="N231" s="28" t="n">
        <v>0.820144</v>
      </c>
      <c r="O231" s="28" t="n">
        <v>0.699863</v>
      </c>
      <c r="P231" s="28" t="n">
        <v>0.05</v>
      </c>
      <c r="Q231" s="28" t="n">
        <v>-0.120281</v>
      </c>
      <c r="R231" s="26" t="n">
        <v>0</v>
      </c>
      <c r="S231" s="29" t="n">
        <v>2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win</t>
        </is>
      </c>
      <c r="W231" s="26" t="n">
        <v>1</v>
      </c>
      <c r="X231" s="26" t="n">
        <v>0</v>
      </c>
      <c r="Y231" s="25" t="n"/>
      <c r="Z231" s="26" t="n">
        <v>-456</v>
      </c>
      <c r="AA231" s="28" t="n">
        <v>0.82</v>
      </c>
      <c r="AB231" s="28" t="n">
        <v>-0.000144</v>
      </c>
      <c r="AC231" s="30" t="n">
        <v>0.4386</v>
      </c>
      <c r="AD231" s="24" t="inlineStr">
        <is>
          <t>2026-08-06T03:26:40.903938Z</t>
        </is>
      </c>
      <c r="AE231" s="31" t="inlineStr">
        <is>
          <t>Surface-blended Elo on Hard: Alexandra Eala p=0.700 vs Alycia Parks. Executable ask 0.8200 (aec-wta-alypar-aleeal-2026-08-04).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NO_CALL_WINNER_OVERVALUED</t>
        </is>
      </c>
      <c r="AP231" s="24" t="inlineStr">
        <is>
          <t>Alexandra Eala</t>
        </is>
      </c>
      <c r="AQ231" s="24" t="inlineStr">
        <is>
          <t>Alexandra Eala</t>
        </is>
      </c>
      <c r="AR231" s="24" t="inlineStr">
        <is>
          <t>Alexandra Eala</t>
        </is>
      </c>
      <c r="AS231" s="24" t="inlineStr">
        <is>
          <t>Alycia Parks</t>
        </is>
      </c>
      <c r="AT231" s="24" t="inlineStr">
        <is>
          <t>Alycia Parks</t>
        </is>
      </c>
      <c r="AU231" s="24" t="inlineStr">
        <is>
          <t>Alycia Parks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3ab056fefe04713e3c294da76c8adb2866b0dc46556ed32322a0426dd344a0e4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3ab056fefe04713e3c294da76c8adb2866b0dc46556ed32322a0426dd344a0e4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3ab056fefe04713e3c294da76c8adb2866b0dc46556ed32322a0426dd344a0e4</t>
        </is>
      </c>
      <c r="BH231" s="24" t="inlineStr">
        <is>
          <t>2026-08-06T00:23:02.086603Z</t>
        </is>
      </c>
      <c r="BI231" s="24" t="inlineStr">
        <is>
          <t>["same_event","same_team_same_day","same_league_same_day"]</t>
        </is>
      </c>
      <c r="BJ231" s="25" t="n"/>
      <c r="BK231" s="26" t="n">
        <v>-456</v>
      </c>
      <c r="BL231" s="27" t="n">
        <v>1.219298</v>
      </c>
      <c r="BM231" s="28" t="n">
        <v>0.820144</v>
      </c>
      <c r="BN231" s="28" t="n"/>
      <c r="BO231" s="28" t="n"/>
      <c r="BP231" s="25" t="n"/>
      <c r="BQ231" s="27" t="n">
        <v>1.219298</v>
      </c>
      <c r="BR231" s="28" t="n">
        <v>0.82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</row>
    <row r="232" ht="36" customHeight="1">
      <c r="A232" s="24" t="inlineStr">
        <is>
          <t>87a9d15227f84167</t>
        </is>
      </c>
      <c r="B232" s="24" t="inlineStr">
        <is>
          <t>2026-08-06T00:23:20.957652Z</t>
        </is>
      </c>
      <c r="C232" s="24" t="inlineStr">
        <is>
          <t>2026-08-06T00:30Z</t>
        </is>
      </c>
      <c r="D232" s="24" t="inlineStr">
        <is>
          <t>421-2026:181761</t>
        </is>
      </c>
      <c r="E232" s="24" t="inlineStr">
        <is>
          <t>TENNIS</t>
        </is>
      </c>
      <c r="F232" s="24" t="inlineStr">
        <is>
          <t>Gael Monfils</t>
        </is>
      </c>
      <c r="G232" s="24" t="inlineStr">
        <is>
          <t>Learner Tien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-270</v>
      </c>
      <c r="M232" s="27" t="n">
        <v>1.37037</v>
      </c>
      <c r="N232" s="28" t="n">
        <v>0.72973</v>
      </c>
      <c r="O232" s="28" t="n">
        <v>0.768099</v>
      </c>
      <c r="P232" s="28" t="n">
        <v>0.05</v>
      </c>
      <c r="Q232" s="28" t="n">
        <v>0.038369</v>
      </c>
      <c r="R232" s="26" t="n">
        <v>39</v>
      </c>
      <c r="S232" s="29" t="n">
        <v>2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-270</v>
      </c>
      <c r="AA232" s="28" t="n">
        <v>0.73</v>
      </c>
      <c r="AB232" s="28" t="n">
        <v>0.00027</v>
      </c>
      <c r="AC232" s="30" t="n">
        <v>0.7407</v>
      </c>
      <c r="AD232" s="24" t="inlineStr">
        <is>
          <t>2026-08-06T03:26:43.319026Z</t>
        </is>
      </c>
      <c r="AE232" s="31" t="inlineStr">
        <is>
          <t>Surface-blended Elo on Hard: Gael Monfils p=0.232 vs Learner Tien. Executable ask 0.7300 (aec-atp-leatie-gaemon-2026-08-05).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NO_CALL_WINNER_OVERVALUED</t>
        </is>
      </c>
      <c r="AP232" s="24" t="inlineStr">
        <is>
          <t>Gael Monfils</t>
        </is>
      </c>
      <c r="AQ232" s="24" t="inlineStr">
        <is>
          <t>Gael Monfils</t>
        </is>
      </c>
      <c r="AR232" s="24" t="inlineStr">
        <is>
          <t>Gael Monfils</t>
        </is>
      </c>
      <c r="AS232" s="24" t="inlineStr">
        <is>
          <t>Learner Tien</t>
        </is>
      </c>
      <c r="AT232" s="24" t="inlineStr">
        <is>
          <t>Learner Tien</t>
        </is>
      </c>
      <c r="AU232" s="24" t="inlineStr">
        <is>
          <t>Learner Tien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3ab056fefe04713e3c294da76c8adb2866b0dc46556ed32322a0426dd344a0e4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3ab056fefe04713e3c294da76c8adb2866b0dc46556ed32322a0426dd344a0e4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3ab056fefe04713e3c294da76c8adb2866b0dc46556ed32322a0426dd344a0e4</t>
        </is>
      </c>
      <c r="BH232" s="24" t="inlineStr">
        <is>
          <t>2026-08-06T00:23:04.666471Z</t>
        </is>
      </c>
      <c r="BI232" s="24" t="inlineStr">
        <is>
          <t>["same_event","same_team_same_day","same_league_same_day"]</t>
        </is>
      </c>
      <c r="BJ232" s="25" t="n"/>
      <c r="BK232" s="26" t="n">
        <v>-270</v>
      </c>
      <c r="BL232" s="27" t="n">
        <v>1.37037</v>
      </c>
      <c r="BM232" s="28" t="n">
        <v>0.72973</v>
      </c>
      <c r="BN232" s="28" t="n"/>
      <c r="BO232" s="28" t="n"/>
      <c r="BP232" s="25" t="n"/>
      <c r="BQ232" s="27" t="n">
        <v>1.37037</v>
      </c>
      <c r="BR232" s="28" t="n">
        <v>0.73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</row>
    <row r="233" ht="36" customHeight="1">
      <c r="A233" s="24" t="inlineStr">
        <is>
          <t>13b5e50bc6bb44af</t>
        </is>
      </c>
      <c r="B233" s="24" t="inlineStr">
        <is>
          <t>2026-08-06T18:58:42.068094Z</t>
        </is>
      </c>
      <c r="C233" s="24" t="inlineStr">
        <is>
          <t>2026-08-06T19:00Z</t>
        </is>
      </c>
      <c r="D233" s="24" t="inlineStr">
        <is>
          <t>421-2026:182181</t>
        </is>
      </c>
      <c r="E233" s="24" t="inlineStr">
        <is>
          <t>TENNIS</t>
        </is>
      </c>
      <c r="F233" s="24" t="inlineStr">
        <is>
          <t>Madison Keys</t>
        </is>
      </c>
      <c r="G233" s="24" t="inlineStr">
        <is>
          <t>Marta Kostyuk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-127</v>
      </c>
      <c r="M233" s="27" t="n">
        <v>1.787402</v>
      </c>
      <c r="N233" s="28" t="n">
        <v>0.5594710000000001</v>
      </c>
      <c r="O233" s="28" t="n">
        <v>0.5615599999999999</v>
      </c>
      <c r="P233" s="28" t="n">
        <v>0.05</v>
      </c>
      <c r="Q233" s="28" t="n">
        <v>0.002089</v>
      </c>
      <c r="R233" s="26" t="n">
        <v>21</v>
      </c>
      <c r="S233" s="29" t="n">
        <v>1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win</t>
        </is>
      </c>
      <c r="W233" s="26" t="n">
        <v>0</v>
      </c>
      <c r="X233" s="26" t="n">
        <v>1</v>
      </c>
      <c r="Y233" s="25" t="n"/>
      <c r="Z233" s="26" t="n">
        <v>-127</v>
      </c>
      <c r="AA233" s="28" t="n">
        <v>0.5600000000000001</v>
      </c>
      <c r="AB233" s="28" t="n">
        <v>0.000529</v>
      </c>
      <c r="AC233" s="30" t="n">
        <v>0.7874</v>
      </c>
      <c r="AD233" s="24" t="inlineStr">
        <is>
          <t>2026-08-07T09:06:49.084880Z</t>
        </is>
      </c>
      <c r="AE233" s="31" t="inlineStr">
        <is>
          <t>Surface-blended Elo on Hard: Madison Keys p=0.438 vs Marta Kostyuk. Executable ask 0.5600 (aec-wta-markos-madkey-2026-08-05).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not_applicable</t>
        </is>
      </c>
      <c r="AH233" s="24" t="n"/>
      <c r="AI233" s="31" t="n"/>
      <c r="AJ2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NO_CALL_WINNER_OVERVALUED</t>
        </is>
      </c>
      <c r="AP233" s="24" t="inlineStr">
        <is>
          <t>Madison Keys</t>
        </is>
      </c>
      <c r="AQ233" s="24" t="inlineStr">
        <is>
          <t>Madison Keys</t>
        </is>
      </c>
      <c r="AR233" s="24" t="inlineStr">
        <is>
          <t>Madison Keys</t>
        </is>
      </c>
      <c r="AS233" s="24" t="inlineStr">
        <is>
          <t>Marta Kostyuk</t>
        </is>
      </c>
      <c r="AT233" s="24" t="inlineStr">
        <is>
          <t>Marta Kostyuk</t>
        </is>
      </c>
      <c r="AU233" s="24" t="inlineStr">
        <is>
          <t>Marta Kostyuk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3ab056fefe04713e3c294da76c8adb2866b0dc46556ed32322a0426dd344a0e4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3ab056fefe04713e3c294da76c8adb2866b0dc46556ed32322a0426dd344a0e4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3ab056fefe04713e3c294da76c8adb2866b0dc46556ed32322a0426dd344a0e4</t>
        </is>
      </c>
      <c r="BH233" s="24" t="inlineStr">
        <is>
          <t>2026-08-06T18:58:01.782347Z</t>
        </is>
      </c>
      <c r="BI233" s="24" t="inlineStr">
        <is>
          <t>["same_event","same_team_same_day","same_league_same_day"]</t>
        </is>
      </c>
      <c r="BJ233" s="25" t="n"/>
      <c r="BK233" s="26" t="n">
        <v>-127</v>
      </c>
      <c r="BL233" s="27" t="n">
        <v>1.787402</v>
      </c>
      <c r="BM233" s="28" t="n">
        <v>0.5594710000000001</v>
      </c>
      <c r="BN233" s="28" t="n"/>
      <c r="BO233" s="28" t="n"/>
      <c r="BP233" s="25" t="n"/>
      <c r="BQ233" s="27" t="n">
        <v>1.787402</v>
      </c>
      <c r="BR233" s="28" t="n">
        <v>0.5600000000000001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</row>
    <row r="234" ht="36" customHeight="1">
      <c r="A234" s="24" t="inlineStr">
        <is>
          <t>c7c8c930f27c4ef5</t>
        </is>
      </c>
      <c r="B234" s="24" t="inlineStr">
        <is>
          <t>2026-08-06T18:58:42.068094Z</t>
        </is>
      </c>
      <c r="C234" s="24" t="inlineStr">
        <is>
          <t>2026-08-06T21:00Z</t>
        </is>
      </c>
      <c r="D234" s="24" t="inlineStr">
        <is>
          <t>421-2026:182193</t>
        </is>
      </c>
      <c r="E234" s="24" t="inlineStr">
        <is>
          <t>TENNIS</t>
        </is>
      </c>
      <c r="F234" s="24" t="inlineStr">
        <is>
          <t>Amanda Anisimova</t>
        </is>
      </c>
      <c r="G234" s="24" t="inlineStr">
        <is>
          <t>Nikola Bartunkova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-194</v>
      </c>
      <c r="M234" s="27" t="n">
        <v>1.515464</v>
      </c>
      <c r="N234" s="28" t="n">
        <v>0.659864</v>
      </c>
      <c r="O234" s="28" t="n">
        <v>0.7591</v>
      </c>
      <c r="P234" s="28" t="n">
        <v>0.05</v>
      </c>
      <c r="Q234" s="28" t="n">
        <v>0.099236</v>
      </c>
      <c r="R234" s="26" t="n">
        <v>70</v>
      </c>
      <c r="S234" s="29" t="n">
        <v>2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win</t>
        </is>
      </c>
      <c r="W234" s="26" t="n">
        <v>1</v>
      </c>
      <c r="X234" s="26" t="n">
        <v>0</v>
      </c>
      <c r="Y234" s="25" t="n"/>
      <c r="Z234" s="26" t="n">
        <v>-194</v>
      </c>
      <c r="AA234" s="28" t="n">
        <v>0.66</v>
      </c>
      <c r="AB234" s="28" t="n">
        <v>0.000136</v>
      </c>
      <c r="AC234" s="30" t="n">
        <v>1.0309</v>
      </c>
      <c r="AD234" s="24" t="inlineStr">
        <is>
          <t>2026-08-07T09:06:50.450161Z</t>
        </is>
      </c>
      <c r="AE234" s="31" t="inlineStr">
        <is>
          <t>Surface-blended Elo on Hard: Amanda Anisimova p=0.759 vs Nikola Bartunkova. Executable ask 0.6600 (aec-wta-nikbar-amaani-2026-08-06).</t>
        </is>
      </c>
      <c r="AF234" s="31" t="inlineStr">
        <is>
          <t>Surface-blended Elo model; singles only, WTA+ATP market coverage, not yet locked-holdout qualified -- promoted by explicit operator directive, not genuine walk-forward validation.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Amanda Anisimova</t>
        </is>
      </c>
      <c r="AQ234" s="24" t="inlineStr">
        <is>
          <t>Amanda Anisimova</t>
        </is>
      </c>
      <c r="AR234" s="24" t="inlineStr">
        <is>
          <t>Amanda Anisimova</t>
        </is>
      </c>
      <c r="AS234" s="24" t="inlineStr">
        <is>
          <t>Nikola Bartunkova</t>
        </is>
      </c>
      <c r="AT234" s="24" t="inlineStr">
        <is>
          <t>Nikola Bartunkova</t>
        </is>
      </c>
      <c r="AU234" s="24" t="inlineStr">
        <is>
          <t>Nikola Bartunkova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3ab056fefe04713e3c294da76c8adb2866b0dc46556ed32322a0426dd344a0e4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3ab056fefe04713e3c294da76c8adb2866b0dc46556ed32322a0426dd344a0e4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3ab056fefe04713e3c294da76c8adb2866b0dc46556ed32322a0426dd344a0e4</t>
        </is>
      </c>
      <c r="BH234" s="24" t="inlineStr">
        <is>
          <t>2026-08-06T18:58:03.210799Z</t>
        </is>
      </c>
      <c r="BI234" s="24" t="inlineStr">
        <is>
          <t>["same_event","same_team_same_day","same_league_same_day"]</t>
        </is>
      </c>
      <c r="BJ234" s="25" t="n"/>
      <c r="BK234" s="26" t="n">
        <v>-194</v>
      </c>
      <c r="BL234" s="27" t="n">
        <v>1.515464</v>
      </c>
      <c r="BM234" s="28" t="n">
        <v>0.659864</v>
      </c>
      <c r="BN234" s="28" t="n"/>
      <c r="BO234" s="28" t="n"/>
      <c r="BP234" s="25" t="n"/>
      <c r="BQ234" s="27" t="n">
        <v>1.515464</v>
      </c>
      <c r="BR234" s="28" t="n">
        <v>0.66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</row>
    <row r="235" ht="36" customHeight="1">
      <c r="A235" s="24" t="inlineStr">
        <is>
          <t>f53f053100944461</t>
        </is>
      </c>
      <c r="B235" s="24" t="inlineStr">
        <is>
          <t>2026-08-06T18:58:42.068094Z</t>
        </is>
      </c>
      <c r="C235" s="24" t="inlineStr">
        <is>
          <t>2026-08-06T23:00Z</t>
        </is>
      </c>
      <c r="D235" s="24" t="inlineStr">
        <is>
          <t>421-2026:182171</t>
        </is>
      </c>
      <c r="E235" s="24" t="inlineStr">
        <is>
          <t>TENNIS</t>
        </is>
      </c>
      <c r="F235" s="24" t="inlineStr">
        <is>
          <t>Zhang Shuai</t>
        </is>
      </c>
      <c r="G235" s="24" t="inlineStr">
        <is>
          <t>Aryna Sabalenka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-1329</v>
      </c>
      <c r="M235" s="27" t="n">
        <v>1.075245</v>
      </c>
      <c r="N235" s="28" t="n">
        <v>0.930021</v>
      </c>
      <c r="O235" s="28" t="n">
        <v>0.944807</v>
      </c>
      <c r="P235" s="28" t="n">
        <v>0.05</v>
      </c>
      <c r="Q235" s="28" t="n">
        <v>0.014786</v>
      </c>
      <c r="R235" s="26" t="n">
        <v>27</v>
      </c>
      <c r="S235" s="29" t="n">
        <v>2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-1329</v>
      </c>
      <c r="AA235" s="28" t="n">
        <v>0.93</v>
      </c>
      <c r="AB235" s="28" t="n">
        <v>-2.1e-05</v>
      </c>
      <c r="AC235" s="30" t="n">
        <v>0.1505</v>
      </c>
      <c r="AD235" s="24" t="inlineStr">
        <is>
          <t>2026-08-07T09:06:51.823785Z</t>
        </is>
      </c>
      <c r="AE235" s="31" t="inlineStr">
        <is>
          <t>Surface-blended Elo on Hard: Zhang Shuai p=0.055 vs Aryna Sabalenka. Executable ask 0.9300 (aec-wta-arysab-shuzha-2026-08-06).</t>
        </is>
      </c>
      <c r="AF235" s="31" t="inlineStr">
        <is>
          <t>Surface-blended Elo model; singles only, WTA+ATP market coverage, not yet locked-holdout qualified -- promoted by explicit operator directive, not genuine walk-forward validation.</t>
        </is>
      </c>
      <c r="AG235" s="24" t="inlineStr">
        <is>
          <t>not_applicable</t>
        </is>
      </c>
      <c r="AH235" s="24" t="n"/>
      <c r="AI235" s="31" t="n"/>
      <c r="AJ2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NO_CALL_WINNER_OVERVALUED</t>
        </is>
      </c>
      <c r="AP235" s="24" t="inlineStr">
        <is>
          <t>Zhang Shuai</t>
        </is>
      </c>
      <c r="AQ235" s="24" t="inlineStr">
        <is>
          <t>Zhang Shuai</t>
        </is>
      </c>
      <c r="AR235" s="24" t="inlineStr">
        <is>
          <t>Zhang Shuai</t>
        </is>
      </c>
      <c r="AS235" s="24" t="inlineStr">
        <is>
          <t>Aryna Sabalenka</t>
        </is>
      </c>
      <c r="AT235" s="24" t="inlineStr">
        <is>
          <t>Aryna Sabalenka</t>
        </is>
      </c>
      <c r="AU235" s="24" t="inlineStr">
        <is>
          <t>Aryna Sabalenka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3ab056fefe04713e3c294da76c8adb2866b0dc46556ed32322a0426dd344a0e4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3ab056fefe04713e3c294da76c8adb2866b0dc46556ed32322a0426dd344a0e4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3ab056fefe04713e3c294da76c8adb2866b0dc46556ed32322a0426dd344a0e4</t>
        </is>
      </c>
      <c r="BH235" s="24" t="inlineStr">
        <is>
          <t>2026-08-06T18:58:03.889736Z</t>
        </is>
      </c>
      <c r="BI235" s="24" t="inlineStr">
        <is>
          <t>["same_event","same_team_same_day","same_league_same_day"]</t>
        </is>
      </c>
      <c r="BJ235" s="25" t="n"/>
      <c r="BK235" s="26" t="n">
        <v>-1329</v>
      </c>
      <c r="BL235" s="27" t="n">
        <v>1.075245</v>
      </c>
      <c r="BM235" s="28" t="n">
        <v>0.930021</v>
      </c>
      <c r="BN235" s="28" t="n"/>
      <c r="BO235" s="28" t="n"/>
      <c r="BP235" s="25" t="n"/>
      <c r="BQ235" s="27" t="n">
        <v>1.075245</v>
      </c>
      <c r="BR235" s="28" t="n">
        <v>0.93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</row>
    <row r="236" ht="36" customHeight="1">
      <c r="A236" s="24" t="inlineStr">
        <is>
          <t>3c5b3b4dbb9c40dc</t>
        </is>
      </c>
      <c r="B236" s="24" t="inlineStr">
        <is>
          <t>2026-08-06T18:58:42.068094Z</t>
        </is>
      </c>
      <c r="C236" s="24" t="inlineStr">
        <is>
          <t>2026-08-06T22:00Z</t>
        </is>
      </c>
      <c r="D236" s="24" t="inlineStr">
        <is>
          <t>421-2026:181764</t>
        </is>
      </c>
      <c r="E236" s="24" t="inlineStr">
        <is>
          <t>TENNIS</t>
        </is>
      </c>
      <c r="F236" s="24" t="inlineStr">
        <is>
          <t>Alexander Blockx</t>
        </is>
      </c>
      <c r="G236" s="24" t="inlineStr">
        <is>
          <t>Jiri Lehecka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-194</v>
      </c>
      <c r="M236" s="27" t="n">
        <v>1.515464</v>
      </c>
      <c r="N236" s="28" t="n">
        <v>0.659864</v>
      </c>
      <c r="O236" s="28" t="n">
        <v>0.699884</v>
      </c>
      <c r="P236" s="28" t="n">
        <v>0.05</v>
      </c>
      <c r="Q236" s="28" t="n">
        <v>0.04002</v>
      </c>
      <c r="R236" s="26" t="n">
        <v>40</v>
      </c>
      <c r="S236" s="29" t="n">
        <v>2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-194</v>
      </c>
      <c r="AA236" s="28" t="n">
        <v>0.66</v>
      </c>
      <c r="AB236" s="28" t="n">
        <v>0.000136</v>
      </c>
      <c r="AC236" s="30" t="n">
        <v>1.0309</v>
      </c>
      <c r="AD236" s="24" t="inlineStr">
        <is>
          <t>2026-08-07T09:06:53.201796Z</t>
        </is>
      </c>
      <c r="AE236" s="31" t="inlineStr">
        <is>
          <t>Surface-blended Elo on Hard: Alexander Blockx p=0.300 vs Jiri Lehecka. Executable ask 0.6600 (aec-atp-jirleh-aleblo-2026-08-06).</t>
        </is>
      </c>
      <c r="AF236" s="31" t="inlineStr">
        <is>
          <t>Surface-blended Elo model; singles only, WTA+ATP market coverage, not yet locked-holdout qualified -- promoted by explicit operator directive, not genuine walk-forward validation.</t>
        </is>
      </c>
      <c r="AG236" s="24" t="inlineStr">
        <is>
          <t>not_applicable</t>
        </is>
      </c>
      <c r="AH236" s="24" t="n"/>
      <c r="AI236" s="31" t="n"/>
      <c r="AJ2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NO_CALL_WINNER_OVERVALUED</t>
        </is>
      </c>
      <c r="AP236" s="24" t="inlineStr">
        <is>
          <t>Alexander Blockx</t>
        </is>
      </c>
      <c r="AQ236" s="24" t="inlineStr">
        <is>
          <t>Alexander Blockx</t>
        </is>
      </c>
      <c r="AR236" s="24" t="inlineStr">
        <is>
          <t>Alexander Blockx</t>
        </is>
      </c>
      <c r="AS236" s="24" t="inlineStr">
        <is>
          <t>Jiri Lehecka</t>
        </is>
      </c>
      <c r="AT236" s="24" t="inlineStr">
        <is>
          <t>Jiri Lehecka</t>
        </is>
      </c>
      <c r="AU236" s="24" t="inlineStr">
        <is>
          <t>Jiri Lehecka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3ab056fefe04713e3c294da76c8adb2866b0dc46556ed32322a0426dd344a0e4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3ab056fefe04713e3c294da76c8adb2866b0dc46556ed32322a0426dd344a0e4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3ab056fefe04713e3c294da76c8adb2866b0dc46556ed32322a0426dd344a0e4</t>
        </is>
      </c>
      <c r="BH236" s="24" t="inlineStr">
        <is>
          <t>2026-08-06T18:58:08.954179Z</t>
        </is>
      </c>
      <c r="BI236" s="24" t="inlineStr">
        <is>
          <t>["same_event","same_team_same_day","same_league_same_day"]</t>
        </is>
      </c>
      <c r="BJ236" s="25" t="n"/>
      <c r="BK236" s="26" t="n">
        <v>-194</v>
      </c>
      <c r="BL236" s="27" t="n">
        <v>1.515464</v>
      </c>
      <c r="BM236" s="28" t="n">
        <v>0.659864</v>
      </c>
      <c r="BN236" s="28" t="n"/>
      <c r="BO236" s="28" t="n"/>
      <c r="BP236" s="25" t="n"/>
      <c r="BQ236" s="27" t="n">
        <v>1.515464</v>
      </c>
      <c r="BR236" s="28" t="n">
        <v>0.66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</row>
    <row r="237" ht="36" customHeight="1">
      <c r="A237" s="24" t="inlineStr">
        <is>
          <t>279ea3676ddb437d</t>
        </is>
      </c>
      <c r="B237" s="24" t="inlineStr">
        <is>
          <t>2026-08-06T18:58:42.068094Z</t>
        </is>
      </c>
      <c r="C237" s="24" t="inlineStr">
        <is>
          <t>2026-08-06T23:00Z</t>
        </is>
      </c>
      <c r="D237" s="24" t="inlineStr">
        <is>
          <t>421-2026:181763</t>
        </is>
      </c>
      <c r="E237" s="24" t="inlineStr">
        <is>
          <t>TENNIS</t>
        </is>
      </c>
      <c r="F237" s="24" t="inlineStr">
        <is>
          <t>Lorenzo Musetti</t>
        </is>
      </c>
      <c r="G237" s="24" t="inlineStr">
        <is>
          <t>Rafael Jodar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127</v>
      </c>
      <c r="M237" s="27" t="n">
        <v>2.27</v>
      </c>
      <c r="N237" s="28" t="n">
        <v>0.440529</v>
      </c>
      <c r="O237" s="28" t="n">
        <v>0.544019</v>
      </c>
      <c r="P237" s="28" t="n">
        <v>0.05</v>
      </c>
      <c r="Q237" s="28" t="n">
        <v>0.10349</v>
      </c>
      <c r="R237" s="26" t="n">
        <v>72</v>
      </c>
      <c r="S237" s="29" t="n">
        <v>1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loss</t>
        </is>
      </c>
      <c r="W237" s="26" t="n">
        <v>0</v>
      </c>
      <c r="X237" s="26" t="n">
        <v>1</v>
      </c>
      <c r="Y237" s="25" t="n"/>
      <c r="Z237" s="26" t="n">
        <v>127</v>
      </c>
      <c r="AA237" s="28" t="n">
        <v>0.44</v>
      </c>
      <c r="AB237" s="28" t="n">
        <v>-0.000529</v>
      </c>
      <c r="AC237" s="30" t="n">
        <v>-1</v>
      </c>
      <c r="AD237" s="24" t="inlineStr">
        <is>
          <t>2026-08-07T09:06:54.536791Z</t>
        </is>
      </c>
      <c r="AE237" s="31" t="inlineStr">
        <is>
          <t>Surface-blended Elo on Hard: Lorenzo Musetti p=0.544 vs Rafael Jodar. Executable ask 0.4400 (aec-atp-rafjod-lormus-2026-08-06).</t>
        </is>
      </c>
      <c r="AF237" s="31" t="inlineStr">
        <is>
          <t>Surface-blended Elo model; singles only, WTA+ATP market coverage, not yet locked-holdout qualified -- promoted by explicit operator directive, not genuine walk-forward validation.</t>
        </is>
      </c>
      <c r="AG237" s="24" t="inlineStr">
        <is>
          <t>review_required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Lorenzo Musetti</t>
        </is>
      </c>
      <c r="AQ237" s="24" t="inlineStr">
        <is>
          <t>Lorenzo Musetti</t>
        </is>
      </c>
      <c r="AR237" s="24" t="inlineStr">
        <is>
          <t>Lorenzo Musetti</t>
        </is>
      </c>
      <c r="AS237" s="24" t="inlineStr">
        <is>
          <t>Rafael Jodar</t>
        </is>
      </c>
      <c r="AT237" s="24" t="inlineStr">
        <is>
          <t>Rafael Jodar</t>
        </is>
      </c>
      <c r="AU237" s="24" t="inlineStr">
        <is>
          <t>Rafael Jodar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3ab056fefe04713e3c294da76c8adb2866b0dc46556ed32322a0426dd344a0e4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3ab056fefe04713e3c294da76c8adb2866b0dc46556ed32322a0426dd344a0e4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3ab056fefe04713e3c294da76c8adb2866b0dc46556ed32322a0426dd344a0e4</t>
        </is>
      </c>
      <c r="BH237" s="24" t="inlineStr">
        <is>
          <t>2026-08-06T18:58:10.033097Z</t>
        </is>
      </c>
      <c r="BI237" s="24" t="inlineStr">
        <is>
          <t>["same_event","same_team_same_day","same_league_same_day"]</t>
        </is>
      </c>
      <c r="BJ237" s="25" t="n"/>
      <c r="BK237" s="26" t="n">
        <v>127</v>
      </c>
      <c r="BL237" s="27" t="n">
        <v>2.27</v>
      </c>
      <c r="BM237" s="28" t="n">
        <v>0.440529</v>
      </c>
      <c r="BN237" s="28" t="n"/>
      <c r="BO237" s="28" t="n"/>
      <c r="BP237" s="25" t="n"/>
      <c r="BQ237" s="27" t="n">
        <v>2.27</v>
      </c>
      <c r="BR237" s="28" t="n">
        <v>0.44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</row>
    <row r="238" ht="36" customHeight="1">
      <c r="A238" s="24" t="inlineStr">
        <is>
          <t>4770cc9265da4c0c</t>
        </is>
      </c>
      <c r="B238" s="24" t="inlineStr">
        <is>
          <t>2026-08-06T18:58:42.068094Z</t>
        </is>
      </c>
      <c r="C238" s="24" t="inlineStr">
        <is>
          <t>2026-08-06T23:30Z</t>
        </is>
      </c>
      <c r="D238" s="24" t="inlineStr">
        <is>
          <t>421-2026:181774</t>
        </is>
      </c>
      <c r="E238" s="24" t="inlineStr">
        <is>
          <t>TENNIS</t>
        </is>
      </c>
      <c r="F238" s="24" t="inlineStr">
        <is>
          <t>Titouan Droguet</t>
        </is>
      </c>
      <c r="G238" s="24" t="inlineStr">
        <is>
          <t>Brandon Nakashima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-317</v>
      </c>
      <c r="M238" s="27" t="n">
        <v>1.315457</v>
      </c>
      <c r="N238" s="28" t="n">
        <v>0.760192</v>
      </c>
      <c r="O238" s="28" t="n">
        <v>0.625237</v>
      </c>
      <c r="P238" s="28" t="n">
        <v>0.05</v>
      </c>
      <c r="Q238" s="28" t="n">
        <v>-0.134955</v>
      </c>
      <c r="R238" s="26" t="n">
        <v>0</v>
      </c>
      <c r="S238" s="29" t="n">
        <v>1.5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win</t>
        </is>
      </c>
      <c r="W238" s="26" t="n">
        <v>0</v>
      </c>
      <c r="X238" s="26" t="n">
        <v>1</v>
      </c>
      <c r="Y238" s="25" t="n"/>
      <c r="Z238" s="26" t="n">
        <v>-317</v>
      </c>
      <c r="AA238" s="28" t="n">
        <v>0.76</v>
      </c>
      <c r="AB238" s="28" t="n">
        <v>-0.000192</v>
      </c>
      <c r="AC238" s="30" t="n">
        <v>0.4732</v>
      </c>
      <c r="AD238" s="24" t="inlineStr">
        <is>
          <t>2026-08-07T09:06:55.925627Z</t>
        </is>
      </c>
      <c r="AE238" s="31" t="inlineStr">
        <is>
          <t>Surface-blended Elo on Hard: Titouan Droguet p=0.375 vs Brandon Nakashima. Executable ask 0.7600 (aec-atp-branak-titdro-2026-08-06).</t>
        </is>
      </c>
      <c r="AF238" s="31" t="inlineStr">
        <is>
          <t>Surface-blended Elo model; singles only, WTA+ATP market coverage, not yet locked-holdout qualified -- promoted by explicit operator directive, not genuine walk-forward validation.</t>
        </is>
      </c>
      <c r="AG238" s="24" t="inlineStr">
        <is>
          <t>not_applicable</t>
        </is>
      </c>
      <c r="AH238" s="24" t="n"/>
      <c r="AI238" s="31" t="n"/>
      <c r="AJ2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NO_CALL_WINNER_OVERVALUED</t>
        </is>
      </c>
      <c r="AP238" s="24" t="inlineStr">
        <is>
          <t>Titouan Droguet</t>
        </is>
      </c>
      <c r="AQ238" s="24" t="inlineStr">
        <is>
          <t>Titouan Droguet</t>
        </is>
      </c>
      <c r="AR238" s="24" t="inlineStr">
        <is>
          <t>Titouan Droguet</t>
        </is>
      </c>
      <c r="AS238" s="24" t="inlineStr">
        <is>
          <t>Brandon Nakashima</t>
        </is>
      </c>
      <c r="AT238" s="24" t="inlineStr">
        <is>
          <t>Brandon Nakashima</t>
        </is>
      </c>
      <c r="AU238" s="24" t="inlineStr">
        <is>
          <t>Brandon Nakashima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3ab056fefe04713e3c294da76c8adb2866b0dc46556ed32322a0426dd344a0e4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3ab056fefe04713e3c294da76c8adb2866b0dc46556ed32322a0426dd344a0e4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3ab056fefe04713e3c294da76c8adb2866b0dc46556ed32322a0426dd344a0e4</t>
        </is>
      </c>
      <c r="BH238" s="24" t="inlineStr">
        <is>
          <t>2026-08-06T18:58:11.112366Z</t>
        </is>
      </c>
      <c r="BI238" s="24" t="inlineStr">
        <is>
          <t>["same_event","same_team_same_day","same_league_same_day"]</t>
        </is>
      </c>
      <c r="BJ238" s="25" t="n"/>
      <c r="BK238" s="26" t="n">
        <v>-317</v>
      </c>
      <c r="BL238" s="27" t="n">
        <v>1.315457</v>
      </c>
      <c r="BM238" s="28" t="n">
        <v>0.760192</v>
      </c>
      <c r="BN238" s="28" t="n"/>
      <c r="BO238" s="28" t="n"/>
      <c r="BP238" s="25" t="n"/>
      <c r="BQ238" s="27" t="n">
        <v>1.315457</v>
      </c>
      <c r="BR238" s="28" t="n">
        <v>0.76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</row>
    <row r="239" ht="36" customHeight="1">
      <c r="A239" s="24" t="inlineStr">
        <is>
          <t>d89010184df24a44</t>
        </is>
      </c>
      <c r="B239" s="24" t="inlineStr">
        <is>
          <t>2026-08-06T18:58:42.068094Z</t>
        </is>
      </c>
      <c r="C239" s="24" t="inlineStr">
        <is>
          <t>2026-08-07T00:30Z</t>
        </is>
      </c>
      <c r="D239" s="24" t="inlineStr">
        <is>
          <t>421-2026:181770</t>
        </is>
      </c>
      <c r="E239" s="24" t="inlineStr">
        <is>
          <t>TENNIS</t>
        </is>
      </c>
      <c r="F239" s="24" t="inlineStr">
        <is>
          <t>Arthur Rinderknech</t>
        </is>
      </c>
      <c r="G239" s="24" t="inlineStr">
        <is>
          <t>Frances Tiafoe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-178</v>
      </c>
      <c r="M239" s="27" t="n">
        <v>1.561798</v>
      </c>
      <c r="N239" s="28" t="n">
        <v>0.640288</v>
      </c>
      <c r="O239" s="28" t="n">
        <v>0.708466</v>
      </c>
      <c r="P239" s="28" t="n">
        <v>0.05</v>
      </c>
      <c r="Q239" s="28" t="n">
        <v>0.068178</v>
      </c>
      <c r="R239" s="26" t="n">
        <v>54</v>
      </c>
      <c r="S239" s="29" t="n">
        <v>2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>
        <v>-178</v>
      </c>
      <c r="AA239" s="28" t="n">
        <v>0.64</v>
      </c>
      <c r="AB239" s="28" t="n">
        <v>-0.000288</v>
      </c>
      <c r="AC239" s="30" t="n">
        <v>-2</v>
      </c>
      <c r="AD239" s="24" t="inlineStr">
        <is>
          <t>2026-08-07T09:06:57.292388Z</t>
        </is>
      </c>
      <c r="AE239" s="31" t="inlineStr">
        <is>
          <t>Surface-blended Elo on Hard: Arthur Rinderknech p=0.292 vs Frances Tiafoe. Executable ask 0.6400 (aec-atp-fratia-artrin-2026-08-06).</t>
        </is>
      </c>
      <c r="AF239" s="31" t="inlineStr">
        <is>
          <t>Surface-blended Elo model; singles only, WTA+ATP market coverage, not yet locked-holdout qualified -- promoted by explicit operator directive, not genuine walk-forward validation.</t>
        </is>
      </c>
      <c r="AG239" s="24" t="inlineStr">
        <is>
          <t>review_required</t>
        </is>
      </c>
      <c r="AH239" s="24" t="n"/>
      <c r="AI239" s="31" t="n"/>
      <c r="AJ2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NO_CALL_WINNER_OVERVALUED</t>
        </is>
      </c>
      <c r="AP239" s="24" t="inlineStr">
        <is>
          <t>Arthur Rinderknech</t>
        </is>
      </c>
      <c r="AQ239" s="24" t="inlineStr">
        <is>
          <t>Arthur Rinderknech</t>
        </is>
      </c>
      <c r="AR239" s="24" t="inlineStr">
        <is>
          <t>Arthur Rinderknech</t>
        </is>
      </c>
      <c r="AS239" s="24" t="inlineStr">
        <is>
          <t>Frances Tiafoe</t>
        </is>
      </c>
      <c r="AT239" s="24" t="inlineStr">
        <is>
          <t>Frances Tiafoe</t>
        </is>
      </c>
      <c r="AU239" s="24" t="inlineStr">
        <is>
          <t>Frances Tiafoe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3ab056fefe04713e3c294da76c8adb2866b0dc46556ed32322a0426dd344a0e4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3ab056fefe04713e3c294da76c8adb2866b0dc46556ed32322a0426dd344a0e4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3ab056fefe04713e3c294da76c8adb2866b0dc46556ed32322a0426dd344a0e4</t>
        </is>
      </c>
      <c r="BH239" s="24" t="inlineStr">
        <is>
          <t>2026-08-06T18:58:11.682726Z</t>
        </is>
      </c>
      <c r="BI239" s="24" t="inlineStr">
        <is>
          <t>["same_event","same_team_same_day","same_league_same_day"]</t>
        </is>
      </c>
      <c r="BJ239" s="25" t="n"/>
      <c r="BK239" s="26" t="n">
        <v>-178</v>
      </c>
      <c r="BL239" s="27" t="n">
        <v>1.561798</v>
      </c>
      <c r="BM239" s="28" t="n">
        <v>0.640288</v>
      </c>
      <c r="BN239" s="28" t="n"/>
      <c r="BO239" s="28" t="n"/>
      <c r="BP239" s="25" t="n"/>
      <c r="BQ239" s="27" t="n">
        <v>1.561798</v>
      </c>
      <c r="BR239" s="28" t="n">
        <v>0.64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</row>
    <row r="240" ht="36" customHeight="1">
      <c r="A240" s="24" t="inlineStr">
        <is>
          <t>98f044d320824c7b</t>
        </is>
      </c>
      <c r="B240" s="24" t="inlineStr">
        <is>
          <t>2026-08-07T09:10:09.393141Z</t>
        </is>
      </c>
      <c r="C240" s="24" t="inlineStr">
        <is>
          <t>2026-08-07T10:00Z</t>
        </is>
      </c>
      <c r="D240" s="24" t="inlineStr">
        <is>
          <t>961-2026:182110</t>
        </is>
      </c>
      <c r="E240" s="24" t="inlineStr">
        <is>
          <t>TENNIS</t>
        </is>
      </c>
      <c r="F240" s="24" t="inlineStr">
        <is>
          <t>Gabriela Knutson</t>
        </is>
      </c>
      <c r="G240" s="24" t="inlineStr">
        <is>
          <t>Elizara Yaneva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138</v>
      </c>
      <c r="M240" s="27" t="n">
        <v>2.38</v>
      </c>
      <c r="N240" s="28" t="n">
        <v>0.420168</v>
      </c>
      <c r="O240" s="28" t="n">
        <v>0.551853</v>
      </c>
      <c r="P240" s="28" t="n">
        <v>0.05</v>
      </c>
      <c r="Q240" s="28" t="n">
        <v>0.131685</v>
      </c>
      <c r="R240" s="26" t="n">
        <v>86</v>
      </c>
      <c r="S240" s="29" t="n">
        <v>1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0</v>
      </c>
      <c r="Y240" s="25" t="n"/>
      <c r="Z240" s="26" t="n">
        <v>138</v>
      </c>
      <c r="AA240" s="28" t="n">
        <v>0.42</v>
      </c>
      <c r="AB240" s="28" t="n">
        <v>-0.000168</v>
      </c>
      <c r="AC240" s="30" t="n">
        <v>1.38</v>
      </c>
      <c r="AD240" s="24" t="inlineStr">
        <is>
          <t>2026-08-07T12:12:40.604668Z</t>
        </is>
      </c>
      <c r="AE240" s="31" t="inlineStr">
        <is>
          <t>Surface-blended Elo on Hard: Gabriela Knutson p=0.552 vs Elizara Yaneva. Executable ask 0.4200 (aec-wta-eliyan-gabknu-2026-08-07).</t>
        </is>
      </c>
      <c r="AF240" s="31" t="inlineStr">
        <is>
          <t>Surface-blended Elo model; singles only, WTA+ATP market coverage, not yet locked-holdout qualified -- promoted by explicit operator directive, not genuine walk-forward validation.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Gabriela Knutson</t>
        </is>
      </c>
      <c r="AQ240" s="24" t="inlineStr">
        <is>
          <t>Gabriela Knutson</t>
        </is>
      </c>
      <c r="AR240" s="24" t="inlineStr">
        <is>
          <t>Gabriela Knutson</t>
        </is>
      </c>
      <c r="AS240" s="24" t="inlineStr">
        <is>
          <t>Elizara Yaneva</t>
        </is>
      </c>
      <c r="AT240" s="24" t="inlineStr">
        <is>
          <t>Elizara Yaneva</t>
        </is>
      </c>
      <c r="AU240" s="24" t="inlineStr">
        <is>
          <t>Elizara Yaneva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3ab056fefe04713e3c294da76c8adb2866b0dc46556ed32322a0426dd344a0e4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3ab056fefe04713e3c294da76c8adb2866b0dc46556ed32322a0426dd344a0e4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3ab056fefe04713e3c294da76c8adb2866b0dc46556ed32322a0426dd344a0e4</t>
        </is>
      </c>
      <c r="BH240" s="24" t="inlineStr">
        <is>
          <t>2026-08-07T09:08:50.003635Z</t>
        </is>
      </c>
      <c r="BI240" s="24" t="inlineStr">
        <is>
          <t>["same_event","same_team_same_day","same_league_same_day"]</t>
        </is>
      </c>
      <c r="BJ240" s="25" t="n"/>
      <c r="BK240" s="26" t="n">
        <v>138</v>
      </c>
      <c r="BL240" s="27" t="n">
        <v>2.38</v>
      </c>
      <c r="BM240" s="28" t="n">
        <v>0.420168</v>
      </c>
      <c r="BN240" s="28" t="n"/>
      <c r="BO240" s="28" t="n"/>
      <c r="BP240" s="25" t="n"/>
      <c r="BQ240" s="27" t="n">
        <v>2.38</v>
      </c>
      <c r="BR240" s="28" t="n">
        <v>0.42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</row>
    <row r="241" ht="36" customHeight="1">
      <c r="A241" s="24" t="inlineStr">
        <is>
          <t>8378c56a2abb4aa3</t>
        </is>
      </c>
      <c r="B241" s="24" t="inlineStr">
        <is>
          <t>2026-08-07T09:10:09.393141Z</t>
        </is>
      </c>
      <c r="C241" s="24" t="inlineStr">
        <is>
          <t>2026-08-07T11:30Z</t>
        </is>
      </c>
      <c r="D241" s="24" t="inlineStr">
        <is>
          <t>961-2026:182109</t>
        </is>
      </c>
      <c r="E241" s="24" t="inlineStr">
        <is>
          <t>TENNIS</t>
        </is>
      </c>
      <c r="F241" s="24" t="inlineStr">
        <is>
          <t>Vendula Valdmannova</t>
        </is>
      </c>
      <c r="G241" s="24" t="inlineStr">
        <is>
          <t>Carol Young Suh Lee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138</v>
      </c>
      <c r="M241" s="27" t="n">
        <v>2.38</v>
      </c>
      <c r="N241" s="28" t="n">
        <v>0.420168</v>
      </c>
      <c r="O241" s="28" t="n">
        <v>0.506705</v>
      </c>
      <c r="P241" s="28" t="n">
        <v>0.05</v>
      </c>
      <c r="Q241" s="28" t="n">
        <v>0.086537</v>
      </c>
      <c r="R241" s="26" t="n">
        <v>63</v>
      </c>
      <c r="S241" s="29" t="n">
        <v>1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loss</t>
        </is>
      </c>
      <c r="W241" s="26" t="n">
        <v>0</v>
      </c>
      <c r="X241" s="26" t="n">
        <v>1</v>
      </c>
      <c r="Y241" s="25" t="n"/>
      <c r="Z241" s="26" t="n">
        <v>138</v>
      </c>
      <c r="AA241" s="28" t="n">
        <v>0.42</v>
      </c>
      <c r="AB241" s="28" t="n">
        <v>-0.000168</v>
      </c>
      <c r="AC241" s="30" t="n">
        <v>-1</v>
      </c>
      <c r="AD241" s="24" t="inlineStr">
        <is>
          <t>2026-08-07T15:18:18.340623Z</t>
        </is>
      </c>
      <c r="AE241" s="31" t="inlineStr">
        <is>
          <t>Surface-blended Elo on Hard: Vendula Valdmannova p=0.507 vs Carol Young Suh Lee. Executable ask 0.4200 (aec-wta-carlee-venval-2026-08-07).</t>
        </is>
      </c>
      <c r="AF241" s="31" t="inlineStr">
        <is>
          <t>Surface-blended Elo model; singles only, WTA+ATP market coverage, not yet locked-holdout qualified -- promoted by explicit operator directive, not genuine walk-forward validation.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NO_CALL_LOW_EDGE</t>
        </is>
      </c>
      <c r="AP241" s="24" t="inlineStr">
        <is>
          <t>Vendula Valdmannova</t>
        </is>
      </c>
      <c r="AQ241" s="24" t="inlineStr">
        <is>
          <t>Vendula Valdmannova</t>
        </is>
      </c>
      <c r="AR241" s="24" t="inlineStr">
        <is>
          <t>Vendula Valdmannova</t>
        </is>
      </c>
      <c r="AS241" s="24" t="inlineStr">
        <is>
          <t>Carol Young Suh Lee</t>
        </is>
      </c>
      <c r="AT241" s="24" t="inlineStr">
        <is>
          <t>Carol Young Suh Lee</t>
        </is>
      </c>
      <c r="AU241" s="24" t="inlineStr">
        <is>
          <t>Carol Young Suh Lee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3ab056fefe04713e3c294da76c8adb2866b0dc46556ed32322a0426dd344a0e4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3ab056fefe04713e3c294da76c8adb2866b0dc46556ed32322a0426dd344a0e4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3ab056fefe04713e3c294da76c8adb2866b0dc46556ed32322a0426dd344a0e4</t>
        </is>
      </c>
      <c r="BH241" s="24" t="inlineStr">
        <is>
          <t>2026-08-07T09:08:47.909222Z</t>
        </is>
      </c>
      <c r="BI241" s="24" t="inlineStr">
        <is>
          <t>["same_event","same_team_same_day","same_league_same_day"]</t>
        </is>
      </c>
      <c r="BJ241" s="25" t="n"/>
      <c r="BK241" s="26" t="n">
        <v>138</v>
      </c>
      <c r="BL241" s="27" t="n">
        <v>2.38</v>
      </c>
      <c r="BM241" s="28" t="n">
        <v>0.420168</v>
      </c>
      <c r="BN241" s="28" t="n"/>
      <c r="BO241" s="28" t="n"/>
      <c r="BP241" s="25" t="n"/>
      <c r="BQ241" s="27" t="n">
        <v>2.38</v>
      </c>
      <c r="BR241" s="28" t="n">
        <v>0.42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</row>
    <row r="242" ht="36" customHeight="1">
      <c r="A242" s="24" t="inlineStr">
        <is>
          <t>13d6ff5bab7c4187</t>
        </is>
      </c>
      <c r="B242" s="24" t="inlineStr">
        <is>
          <t>2026-08-07T12:15:56.643858Z</t>
        </is>
      </c>
      <c r="C242" s="24" t="inlineStr">
        <is>
          <t>2026-08-07T15:00Z</t>
        </is>
      </c>
      <c r="D242" s="24" t="inlineStr">
        <is>
          <t>421-2026:182219</t>
        </is>
      </c>
      <c r="E242" s="24" t="inlineStr">
        <is>
          <t>TENNIS</t>
        </is>
      </c>
      <c r="F242" s="24" t="inlineStr">
        <is>
          <t>Alina Korneeva</t>
        </is>
      </c>
      <c r="G242" s="24" t="inlineStr">
        <is>
          <t>Iva Jovic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-194</v>
      </c>
      <c r="M242" s="27" t="n">
        <v>1.515464</v>
      </c>
      <c r="N242" s="28" t="n">
        <v>0.659864</v>
      </c>
      <c r="O242" s="28" t="n">
        <v>0.735589</v>
      </c>
      <c r="P242" s="28" t="n">
        <v>0.05</v>
      </c>
      <c r="Q242" s="28" t="n">
        <v>0.075725</v>
      </c>
      <c r="R242" s="26" t="n">
        <v>58</v>
      </c>
      <c r="S242" s="29" t="n">
        <v>2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loss</t>
        </is>
      </c>
      <c r="W242" s="26" t="n">
        <v>1</v>
      </c>
      <c r="X242" s="26" t="n">
        <v>0</v>
      </c>
      <c r="Y242" s="25" t="n"/>
      <c r="Z242" s="26" t="n">
        <v>-194</v>
      </c>
      <c r="AA242" s="28" t="n">
        <v>0.66</v>
      </c>
      <c r="AB242" s="28" t="n">
        <v>0.000136</v>
      </c>
      <c r="AC242" s="30" t="n">
        <v>-2</v>
      </c>
      <c r="AD242" s="24" t="inlineStr">
        <is>
          <t>2026-08-07T18:25:54.678627Z</t>
        </is>
      </c>
      <c r="AE242" s="31" t="inlineStr">
        <is>
          <t>Surface-blended Elo on Hard: Alina Korneeva p=0.264 vs Iva Jovic. Executable ask 0.6600 (aec-wta-ivajov-alikor-2026-08-08).</t>
        </is>
      </c>
      <c r="AF242" s="31" t="inlineStr">
        <is>
          <t>Surface-blended Elo model; singles only, WTA+ATP market coverage, not yet locked-holdout qualified -- promoted by explicit operator directive, not genuine walk-forward validation.</t>
        </is>
      </c>
      <c r="AG242" s="24" t="inlineStr">
        <is>
          <t>review_required</t>
        </is>
      </c>
      <c r="AH242" s="24" t="n"/>
      <c r="AI242" s="31" t="n"/>
      <c r="AJ2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NO_CALL_WINNER_OVERVALUED</t>
        </is>
      </c>
      <c r="AP242" s="24" t="inlineStr">
        <is>
          <t>Alina Korneeva</t>
        </is>
      </c>
      <c r="AQ242" s="24" t="inlineStr">
        <is>
          <t>Alina Korneeva</t>
        </is>
      </c>
      <c r="AR242" s="24" t="inlineStr">
        <is>
          <t>Alina Korneeva</t>
        </is>
      </c>
      <c r="AS242" s="24" t="inlineStr">
        <is>
          <t>Iva Jovic</t>
        </is>
      </c>
      <c r="AT242" s="24" t="inlineStr">
        <is>
          <t>Iva Jovic</t>
        </is>
      </c>
      <c r="AU242" s="24" t="inlineStr">
        <is>
          <t>Iva Jovic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3ab056fefe04713e3c294da76c8adb2866b0dc46556ed32322a0426dd344a0e4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3ab056fefe04713e3c294da76c8adb2866b0dc46556ed32322a0426dd344a0e4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3ab056fefe04713e3c294da76c8adb2866b0dc46556ed32322a0426dd344a0e4</t>
        </is>
      </c>
      <c r="BH242" s="24" t="inlineStr">
        <is>
          <t>2026-08-07T12:14:49.574708Z</t>
        </is>
      </c>
      <c r="BI242" s="24" t="inlineStr">
        <is>
          <t>["same_event","same_team_same_day","same_league_same_day"]</t>
        </is>
      </c>
      <c r="BJ242" s="25" t="n"/>
      <c r="BK242" s="26" t="n">
        <v>-194</v>
      </c>
      <c r="BL242" s="27" t="n">
        <v>1.515464</v>
      </c>
      <c r="BM242" s="28" t="n">
        <v>0.659864</v>
      </c>
      <c r="BN242" s="28" t="n"/>
      <c r="BO242" s="28" t="n"/>
      <c r="BP242" s="25" t="n"/>
      <c r="BQ242" s="27" t="n">
        <v>1.515464</v>
      </c>
      <c r="BR242" s="28" t="n">
        <v>0.66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</row>
    <row r="243" ht="36" customHeight="1">
      <c r="A243" s="24" t="inlineStr">
        <is>
          <t>174ea6893d0a4c75</t>
        </is>
      </c>
      <c r="B243" s="24" t="inlineStr">
        <is>
          <t>2026-08-07T15:22:21.644116Z</t>
        </is>
      </c>
      <c r="C243" s="24" t="inlineStr">
        <is>
          <t>2026-08-07T16:30Z</t>
        </is>
      </c>
      <c r="D243" s="24" t="inlineStr">
        <is>
          <t>421-2026:182184</t>
        </is>
      </c>
      <c r="E243" s="24" t="inlineStr">
        <is>
          <t>TENNIS</t>
        </is>
      </c>
      <c r="F243" s="24" t="inlineStr">
        <is>
          <t>Elena Rybakina</t>
        </is>
      </c>
      <c r="G243" s="24" t="inlineStr">
        <is>
          <t>Ann Li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-525</v>
      </c>
      <c r="M243" s="27" t="n">
        <v>1.190476</v>
      </c>
      <c r="N243" s="28" t="n">
        <v>0.84</v>
      </c>
      <c r="O243" s="28" t="n">
        <v>0.871383</v>
      </c>
      <c r="P243" s="28" t="n">
        <v>0.05</v>
      </c>
      <c r="Q243" s="28" t="n">
        <v>0.031383</v>
      </c>
      <c r="R243" s="26" t="n">
        <v>36</v>
      </c>
      <c r="S243" s="29" t="n">
        <v>2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-525</v>
      </c>
      <c r="AA243" s="28" t="n">
        <v>0.84</v>
      </c>
      <c r="AB243" s="28" t="n">
        <v>0</v>
      </c>
      <c r="AC243" s="30" t="n">
        <v>0.381</v>
      </c>
      <c r="AD243" s="24" t="inlineStr">
        <is>
          <t>2026-08-07T18:25:57.376319Z</t>
        </is>
      </c>
      <c r="AE243" s="31" t="inlineStr">
        <is>
          <t>Surface-blended Elo on Hard: Elena Rybakina p=0.871 vs Ann Li. Executable ask 0.8400 (aec-wta-annli-eleryb-2026-08-06).</t>
        </is>
      </c>
      <c r="AF243" s="31" t="inlineStr">
        <is>
          <t>Surface-blended Elo model; singles only, WTA+ATP market coverage, not yet locked-holdout qualified -- promoted by explicit operator directive, not genuine walk-forward validation.</t>
        </is>
      </c>
      <c r="AG243" s="24" t="inlineStr">
        <is>
          <t>not_applicable</t>
        </is>
      </c>
      <c r="AH243" s="24" t="n"/>
      <c r="AI243" s="31" t="n"/>
      <c r="AJ2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NO_CALL_WINNER_OVERVALUED</t>
        </is>
      </c>
      <c r="AP243" s="24" t="inlineStr">
        <is>
          <t>Elena Rybakina</t>
        </is>
      </c>
      <c r="AQ243" s="24" t="inlineStr">
        <is>
          <t>Elena Rybakina</t>
        </is>
      </c>
      <c r="AR243" s="24" t="inlineStr">
        <is>
          <t>Elena Rybakina</t>
        </is>
      </c>
      <c r="AS243" s="24" t="inlineStr">
        <is>
          <t>Ann Li</t>
        </is>
      </c>
      <c r="AT243" s="24" t="inlineStr">
        <is>
          <t>Ann Li</t>
        </is>
      </c>
      <c r="AU243" s="24" t="inlineStr">
        <is>
          <t>Ann Li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3ab056fefe04713e3c294da76c8adb2866b0dc46556ed32322a0426dd344a0e4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3ab056fefe04713e3c294da76c8adb2866b0dc46556ed32322a0426dd344a0e4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3ab056fefe04713e3c294da76c8adb2866b0dc46556ed32322a0426dd344a0e4</t>
        </is>
      </c>
      <c r="BH243" s="24" t="inlineStr">
        <is>
          <t>2026-08-07T15:20:44.712108Z</t>
        </is>
      </c>
      <c r="BI243" s="24" t="inlineStr">
        <is>
          <t>["same_event","same_team_same_day","same_league_same_day"]</t>
        </is>
      </c>
      <c r="BJ243" s="25" t="n"/>
      <c r="BK243" s="26" t="n">
        <v>-525</v>
      </c>
      <c r="BL243" s="27" t="n">
        <v>1.190476</v>
      </c>
      <c r="BM243" s="28" t="n">
        <v>0.84</v>
      </c>
      <c r="BN243" s="28" t="n"/>
      <c r="BO243" s="28" t="n"/>
      <c r="BP243" s="25" t="n"/>
      <c r="BQ243" s="27" t="n">
        <v>1.190476</v>
      </c>
      <c r="BR243" s="28" t="n">
        <v>0.84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</row>
    <row r="244" ht="36" customHeight="1">
      <c r="A244" s="24" t="inlineStr">
        <is>
          <t>44ab552493904555</t>
        </is>
      </c>
      <c r="B244" s="24" t="inlineStr">
        <is>
          <t>2026-08-07T15:22:21.644116Z</t>
        </is>
      </c>
      <c r="C244" s="24" t="inlineStr">
        <is>
          <t>2026-08-07T17:30Z</t>
        </is>
      </c>
      <c r="D244" s="24" t="inlineStr">
        <is>
          <t>421-2026:182198</t>
        </is>
      </c>
      <c r="E244" s="24" t="inlineStr">
        <is>
          <t>TENNIS</t>
        </is>
      </c>
      <c r="F244" s="24" t="inlineStr">
        <is>
          <t>Leylah Fernandez</t>
        </is>
      </c>
      <c r="G244" s="24" t="inlineStr">
        <is>
          <t>Mirra Andreeva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polymarket_us</t>
        </is>
      </c>
      <c r="L244" s="26" t="n">
        <v>-376</v>
      </c>
      <c r="M244" s="27" t="n">
        <v>1.265957</v>
      </c>
      <c r="N244" s="28" t="n">
        <v>0.789916</v>
      </c>
      <c r="O244" s="28" t="n">
        <v>0.775234</v>
      </c>
      <c r="P244" s="28" t="n">
        <v>0.05</v>
      </c>
      <c r="Q244" s="28" t="n">
        <v>-0.014682</v>
      </c>
      <c r="R244" s="26" t="n">
        <v>13</v>
      </c>
      <c r="S244" s="29" t="n">
        <v>2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loss</t>
        </is>
      </c>
      <c r="W244" s="26" t="n">
        <v>1</v>
      </c>
      <c r="X244" s="26" t="n">
        <v>0</v>
      </c>
      <c r="Y244" s="25" t="n"/>
      <c r="Z244" s="26" t="n">
        <v>-376</v>
      </c>
      <c r="AA244" s="28" t="n">
        <v>0.79</v>
      </c>
      <c r="AB244" s="28" t="n">
        <v>8.4e-05</v>
      </c>
      <c r="AC244" s="30" t="n">
        <v>-2</v>
      </c>
      <c r="AD244" s="24" t="inlineStr">
        <is>
          <t>2026-08-07T21:54:20.732719Z</t>
        </is>
      </c>
      <c r="AE244" s="31" t="inlineStr">
        <is>
          <t>Surface-blended Elo on Hard: Leylah Fernandez p=0.225 vs Mirra Andreeva. Executable ask 0.7900 (aec-wta-mirand-leyfer-2026-08-08).</t>
        </is>
      </c>
      <c r="AF244" s="31" t="inlineStr">
        <is>
          <t>Surface-blended Elo model; singles only, WTA+ATP market coverage, not yet locked-holdout qualified -- promoted by explicit operator directive, not genuine walk-forward validation.</t>
        </is>
      </c>
      <c r="AG244" s="24" t="inlineStr">
        <is>
          <t>review_required</t>
        </is>
      </c>
      <c r="AH244" s="24" t="n"/>
      <c r="AI244" s="31" t="n"/>
      <c r="AJ24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NO_CALL_WINNER_OVERVALUED</t>
        </is>
      </c>
      <c r="AP244" s="24" t="inlineStr">
        <is>
          <t>Leylah Fernandez</t>
        </is>
      </c>
      <c r="AQ244" s="24" t="inlineStr">
        <is>
          <t>Leylah Fernandez</t>
        </is>
      </c>
      <c r="AR244" s="24" t="inlineStr">
        <is>
          <t>Leylah Fernandez</t>
        </is>
      </c>
      <c r="AS244" s="24" t="inlineStr">
        <is>
          <t>Mirra Andreeva</t>
        </is>
      </c>
      <c r="AT244" s="24" t="inlineStr">
        <is>
          <t>Mirra Andreeva</t>
        </is>
      </c>
      <c r="AU244" s="24" t="inlineStr">
        <is>
          <t>Mirra Andreeva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3ab056fefe04713e3c294da76c8adb2866b0dc46556ed32322a0426dd344a0e4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3ab056fefe04713e3c294da76c8adb2866b0dc46556ed32322a0426dd344a0e4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3ab056fefe04713e3c294da76c8adb2866b0dc46556ed32322a0426dd344a0e4</t>
        </is>
      </c>
      <c r="BH244" s="24" t="inlineStr">
        <is>
          <t>2026-08-07T15:20:45.190634Z</t>
        </is>
      </c>
      <c r="BI244" s="24" t="inlineStr">
        <is>
          <t>["same_event","same_team_same_day","same_league_same_day"]</t>
        </is>
      </c>
      <c r="BJ244" s="25" t="n"/>
      <c r="BK244" s="26" t="n">
        <v>-376</v>
      </c>
      <c r="BL244" s="27" t="n">
        <v>1.265957</v>
      </c>
      <c r="BM244" s="28" t="n">
        <v>0.789916</v>
      </c>
      <c r="BN244" s="28" t="n"/>
      <c r="BO244" s="28" t="n"/>
      <c r="BP244" s="25" t="n"/>
      <c r="BQ244" s="27" t="n">
        <v>1.265957</v>
      </c>
      <c r="BR244" s="28" t="n">
        <v>0.79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</row>
    <row r="245" ht="36" customHeight="1">
      <c r="A245" s="24" t="inlineStr">
        <is>
          <t>d775004207ca4eb4</t>
        </is>
      </c>
      <c r="B245" s="24" t="inlineStr">
        <is>
          <t>2026-08-07T15:22:21.644116Z</t>
        </is>
      </c>
      <c r="C245" s="24" t="inlineStr">
        <is>
          <t>2026-08-07T16:30Z</t>
        </is>
      </c>
      <c r="D245" s="24" t="inlineStr">
        <is>
          <t>421-2026:181725</t>
        </is>
      </c>
      <c r="E245" s="24" t="inlineStr">
        <is>
          <t>TENNIS</t>
        </is>
      </c>
      <c r="F245" s="24" t="inlineStr">
        <is>
          <t>Matteo Arnaldi</t>
        </is>
      </c>
      <c r="G245" s="24" t="inlineStr">
        <is>
          <t>Tallon Griekspoor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-194</v>
      </c>
      <c r="M245" s="27" t="n">
        <v>1.515464</v>
      </c>
      <c r="N245" s="28" t="n">
        <v>0.659864</v>
      </c>
      <c r="O245" s="28" t="n">
        <v>0.577767</v>
      </c>
      <c r="P245" s="28" t="n">
        <v>0.05</v>
      </c>
      <c r="Q245" s="28" t="n">
        <v>-0.082097</v>
      </c>
      <c r="R245" s="26" t="n">
        <v>0</v>
      </c>
      <c r="S245" s="29" t="n">
        <v>1.25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>
        <v>-194</v>
      </c>
      <c r="AA245" s="28" t="n">
        <v>0.66</v>
      </c>
      <c r="AB245" s="28" t="n">
        <v>0.000136</v>
      </c>
      <c r="AC245" s="30" t="n">
        <v>0.6443</v>
      </c>
      <c r="AD245" s="24" t="inlineStr">
        <is>
          <t>2026-08-07T21:54:22.127886Z</t>
        </is>
      </c>
      <c r="AE245" s="31" t="inlineStr">
        <is>
          <t>Surface-blended Elo on Hard: Matteo Arnaldi p=0.422 vs Tallon Griekspoor. Executable ask 0.6600 (aec-atp-talgri-matarn-2026-08-06).</t>
        </is>
      </c>
      <c r="AF245" s="31" t="inlineStr">
        <is>
          <t>Surface-blended Elo model; singles only, WTA+ATP market coverage, not yet locked-holdout qualified -- promoted by explicit operator directive, not genuine walk-forward validation.</t>
        </is>
      </c>
      <c r="AG245" s="24" t="inlineStr">
        <is>
          <t>not_applicable</t>
        </is>
      </c>
      <c r="AH245" s="24" t="n"/>
      <c r="AI245" s="31" t="n"/>
      <c r="AJ2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NO_CALL_WINNER_OVERVALUED</t>
        </is>
      </c>
      <c r="AP245" s="24" t="inlineStr">
        <is>
          <t>Matteo Arnaldi</t>
        </is>
      </c>
      <c r="AQ245" s="24" t="inlineStr">
        <is>
          <t>Matteo Arnaldi</t>
        </is>
      </c>
      <c r="AR245" s="24" t="inlineStr">
        <is>
          <t>Matteo Arnaldi</t>
        </is>
      </c>
      <c r="AS245" s="24" t="inlineStr">
        <is>
          <t>Tallon Griekspoor</t>
        </is>
      </c>
      <c r="AT245" s="24" t="inlineStr">
        <is>
          <t>Tallon Griekspoor</t>
        </is>
      </c>
      <c r="AU245" s="24" t="inlineStr">
        <is>
          <t>Tallon Griekspoor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3ab056fefe04713e3c294da76c8adb2866b0dc46556ed32322a0426dd344a0e4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3ab056fefe04713e3c294da76c8adb2866b0dc46556ed32322a0426dd344a0e4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3ab056fefe04713e3c294da76c8adb2866b0dc46556ed32322a0426dd344a0e4</t>
        </is>
      </c>
      <c r="BH245" s="24" t="inlineStr">
        <is>
          <t>2026-08-07T15:20:50.125037Z</t>
        </is>
      </c>
      <c r="BI245" s="24" t="inlineStr">
        <is>
          <t>["same_event","same_team_same_day","same_league_same_day"]</t>
        </is>
      </c>
      <c r="BJ245" s="25" t="n"/>
      <c r="BK245" s="26" t="n">
        <v>-194</v>
      </c>
      <c r="BL245" s="27" t="n">
        <v>1.515464</v>
      </c>
      <c r="BM245" s="28" t="n">
        <v>0.659864</v>
      </c>
      <c r="BN245" s="28" t="n"/>
      <c r="BO245" s="28" t="n"/>
      <c r="BP245" s="25" t="n"/>
      <c r="BQ245" s="27" t="n">
        <v>1.515464</v>
      </c>
      <c r="BR245" s="28" t="n">
        <v>0.66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</row>
    <row r="246" ht="36" customHeight="1">
      <c r="A246" s="24" t="inlineStr">
        <is>
          <t>b21dcf0589eb4d96</t>
        </is>
      </c>
      <c r="B246" s="24" t="inlineStr">
        <is>
          <t>2026-08-07T15:22:21.644116Z</t>
        </is>
      </c>
      <c r="C246" s="24" t="inlineStr">
        <is>
          <t>2026-08-07T16:30Z</t>
        </is>
      </c>
      <c r="D246" s="24" t="inlineStr">
        <is>
          <t>421-2026:181728</t>
        </is>
      </c>
      <c r="E246" s="24" t="inlineStr">
        <is>
          <t>TENNIS</t>
        </is>
      </c>
      <c r="F246" s="24" t="inlineStr">
        <is>
          <t>Alex Michelsen</t>
        </is>
      </c>
      <c r="G246" s="24" t="inlineStr">
        <is>
          <t>Daniel Merida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-257</v>
      </c>
      <c r="M246" s="27" t="n">
        <v>1.389105</v>
      </c>
      <c r="N246" s="28" t="n">
        <v>0.719888</v>
      </c>
      <c r="O246" s="28" t="n">
        <v>0.555003</v>
      </c>
      <c r="P246" s="28" t="n">
        <v>0.05</v>
      </c>
      <c r="Q246" s="28" t="n">
        <v>-0.164885</v>
      </c>
      <c r="R246" s="26" t="n">
        <v>0</v>
      </c>
      <c r="S246" s="29" t="n">
        <v>1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>
        <v>-257</v>
      </c>
      <c r="AA246" s="28" t="n">
        <v>0.72</v>
      </c>
      <c r="AB246" s="28" t="n">
        <v>0.000112</v>
      </c>
      <c r="AC246" s="30" t="n">
        <v>-1</v>
      </c>
      <c r="AD246" s="24" t="inlineStr">
        <is>
          <t>2026-08-07T21:54:23.428156Z</t>
        </is>
      </c>
      <c r="AE246" s="31" t="inlineStr">
        <is>
          <t>Surface-blended Elo on Hard: Alex Michelsen p=0.555 vs Daniel Merida. Executable ask 0.7200 (aec-atp-danagu-alemic-2026-08-07).</t>
        </is>
      </c>
      <c r="AF246" s="31" t="inlineStr">
        <is>
          <t>Surface-blended Elo model; singles only, WTA+ATP market coverage, not yet locked-holdout qualified -- promoted by explicit operator directive, not genuine walk-forward validation.</t>
        </is>
      </c>
      <c r="AG246" s="24" t="inlineStr">
        <is>
          <t>review_required</t>
        </is>
      </c>
      <c r="AH246" s="24" t="n"/>
      <c r="AI246" s="31" t="n"/>
      <c r="AJ2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NO_CALL_WINNER_OVERVALUED</t>
        </is>
      </c>
      <c r="AP246" s="24" t="inlineStr">
        <is>
          <t>Alex Michelsen</t>
        </is>
      </c>
      <c r="AQ246" s="24" t="inlineStr">
        <is>
          <t>Alex Michelsen</t>
        </is>
      </c>
      <c r="AR246" s="24" t="inlineStr">
        <is>
          <t>Alex Michelsen</t>
        </is>
      </c>
      <c r="AS246" s="24" t="inlineStr">
        <is>
          <t>Daniel Merida</t>
        </is>
      </c>
      <c r="AT246" s="24" t="inlineStr">
        <is>
          <t>Daniel Merida</t>
        </is>
      </c>
      <c r="AU246" s="24" t="inlineStr">
        <is>
          <t>Daniel Merida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3ab056fefe04713e3c294da76c8adb2866b0dc46556ed32322a0426dd344a0e4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3ab056fefe04713e3c294da76c8adb2866b0dc46556ed32322a0426dd344a0e4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3ab056fefe04713e3c294da76c8adb2866b0dc46556ed32322a0426dd344a0e4</t>
        </is>
      </c>
      <c r="BH246" s="24" t="inlineStr">
        <is>
          <t>2026-08-07T15:20:51.879770Z</t>
        </is>
      </c>
      <c r="BI246" s="24" t="inlineStr">
        <is>
          <t>["same_event","same_team_same_day","same_league_same_day"]</t>
        </is>
      </c>
      <c r="BJ246" s="25" t="n"/>
      <c r="BK246" s="26" t="n">
        <v>-257</v>
      </c>
      <c r="BL246" s="27" t="n">
        <v>1.389105</v>
      </c>
      <c r="BM246" s="28" t="n">
        <v>0.719888</v>
      </c>
      <c r="BN246" s="28" t="n"/>
      <c r="BO246" s="28" t="n"/>
      <c r="BP246" s="25" t="n"/>
      <c r="BQ246" s="27" t="n">
        <v>1.389105</v>
      </c>
      <c r="BR246" s="28" t="n">
        <v>0.72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</row>
    <row r="247" ht="36" customHeight="1">
      <c r="A247" s="24" t="inlineStr">
        <is>
          <t>41de4fbbaf384439</t>
        </is>
      </c>
      <c r="B247" s="24" t="inlineStr">
        <is>
          <t>2026-08-07T15:22:21.644116Z</t>
        </is>
      </c>
      <c r="C247" s="24" t="inlineStr">
        <is>
          <t>2026-08-07T18:00Z</t>
        </is>
      </c>
      <c r="D247" s="24" t="inlineStr">
        <is>
          <t>421-2026:181754</t>
        </is>
      </c>
      <c r="E247" s="24" t="inlineStr">
        <is>
          <t>TENNIS</t>
        </is>
      </c>
      <c r="F247" s="24" t="inlineStr">
        <is>
          <t>Ben Shelton</t>
        </is>
      </c>
      <c r="G247" s="24" t="inlineStr">
        <is>
          <t>Zizou Bergs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-270</v>
      </c>
      <c r="M247" s="27" t="n">
        <v>1.37037</v>
      </c>
      <c r="N247" s="28" t="n">
        <v>0.72973</v>
      </c>
      <c r="O247" s="28" t="n">
        <v>0.76591</v>
      </c>
      <c r="P247" s="28" t="n">
        <v>0.05</v>
      </c>
      <c r="Q247" s="28" t="n">
        <v>0.03618</v>
      </c>
      <c r="R247" s="26" t="n">
        <v>38</v>
      </c>
      <c r="S247" s="29" t="n">
        <v>2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win</t>
        </is>
      </c>
      <c r="W247" s="26" t="n">
        <v>1</v>
      </c>
      <c r="X247" s="26" t="n">
        <v>0</v>
      </c>
      <c r="Y247" s="25" t="n"/>
      <c r="Z247" s="26" t="n">
        <v>-270</v>
      </c>
      <c r="AA247" s="28" t="n">
        <v>0.73</v>
      </c>
      <c r="AB247" s="28" t="n">
        <v>0.00027</v>
      </c>
      <c r="AC247" s="30" t="n">
        <v>0.7407</v>
      </c>
      <c r="AD247" s="24" t="inlineStr">
        <is>
          <t>2026-08-07T21:54:24.781422Z</t>
        </is>
      </c>
      <c r="AE247" s="31" t="inlineStr">
        <is>
          <t>Surface-blended Elo on Hard: Ben Shelton p=0.766 vs Zizou Bergs. Executable ask 0.7300 (aec-atp-zizber-benshe-2026-08-07).</t>
        </is>
      </c>
      <c r="AF247" s="31" t="inlineStr">
        <is>
          <t>Surface-blended Elo model; singles only, WTA+ATP market coverage, not yet locked-holdout qualified -- promoted by explicit operator directive, not genuine walk-forward validation.</t>
        </is>
      </c>
      <c r="AG247" s="24" t="inlineStr">
        <is>
          <t>not_applicable</t>
        </is>
      </c>
      <c r="AH247" s="24" t="n"/>
      <c r="AI247" s="31" t="n"/>
      <c r="AJ2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NO_CALL_WINNER_OVERVALUED</t>
        </is>
      </c>
      <c r="AP247" s="24" t="inlineStr">
        <is>
          <t>Ben Shelton</t>
        </is>
      </c>
      <c r="AQ247" s="24" t="inlineStr">
        <is>
          <t>Ben Shelton</t>
        </is>
      </c>
      <c r="AR247" s="24" t="inlineStr">
        <is>
          <t>Ben Shelton</t>
        </is>
      </c>
      <c r="AS247" s="24" t="inlineStr">
        <is>
          <t>Zizou Bergs</t>
        </is>
      </c>
      <c r="AT247" s="24" t="inlineStr">
        <is>
          <t>Zizou Bergs</t>
        </is>
      </c>
      <c r="AU247" s="24" t="inlineStr">
        <is>
          <t>Zizou Bergs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3ab056fefe04713e3c294da76c8adb2866b0dc46556ed32322a0426dd344a0e4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3ab056fefe04713e3c294da76c8adb2866b0dc46556ed32322a0426dd344a0e4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3ab056fefe04713e3c294da76c8adb2866b0dc46556ed32322a0426dd344a0e4</t>
        </is>
      </c>
      <c r="BH247" s="24" t="inlineStr">
        <is>
          <t>2026-08-07T15:20:53.852912Z</t>
        </is>
      </c>
      <c r="BI247" s="24" t="inlineStr">
        <is>
          <t>["same_event","same_team_same_day","same_league_same_day"]</t>
        </is>
      </c>
      <c r="BJ247" s="25" t="n"/>
      <c r="BK247" s="26" t="n">
        <v>-270</v>
      </c>
      <c r="BL247" s="27" t="n">
        <v>1.37037</v>
      </c>
      <c r="BM247" s="28" t="n">
        <v>0.72973</v>
      </c>
      <c r="BN247" s="28" t="n"/>
      <c r="BO247" s="28" t="n"/>
      <c r="BP247" s="25" t="n"/>
      <c r="BQ247" s="27" t="n">
        <v>1.37037</v>
      </c>
      <c r="BR247" s="28" t="n">
        <v>0.73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</row>
    <row r="248" ht="36" customHeight="1">
      <c r="A248" s="24" t="inlineStr">
        <is>
          <t>050eb285078c4188</t>
        </is>
      </c>
      <c r="B248" s="24" t="inlineStr">
        <is>
          <t>2026-08-07T15:22:21.644116Z</t>
        </is>
      </c>
      <c r="C248" s="24" t="inlineStr">
        <is>
          <t>2026-08-07T18:00Z</t>
        </is>
      </c>
      <c r="D248" s="24" t="inlineStr">
        <is>
          <t>421-2026:181771</t>
        </is>
      </c>
      <c r="E248" s="24" t="inlineStr">
        <is>
          <t>TENNIS</t>
        </is>
      </c>
      <c r="F248" s="24" t="inlineStr">
        <is>
          <t>Hubert Hurkacz</t>
        </is>
      </c>
      <c r="G248" s="24" t="inlineStr">
        <is>
          <t>Botic Van De Zandschulp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186</v>
      </c>
      <c r="M248" s="27" t="n">
        <v>2.86</v>
      </c>
      <c r="N248" s="28" t="n">
        <v>0.34965</v>
      </c>
      <c r="O248" s="28" t="n">
        <v>0.505166</v>
      </c>
      <c r="P248" s="28" t="n">
        <v>0.05</v>
      </c>
      <c r="Q248" s="28" t="n">
        <v>0.155516</v>
      </c>
      <c r="R248" s="26" t="n">
        <v>98</v>
      </c>
      <c r="S248" s="29" t="n">
        <v>1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win</t>
        </is>
      </c>
      <c r="W248" s="26" t="n">
        <v>0</v>
      </c>
      <c r="X248" s="26" t="n">
        <v>1</v>
      </c>
      <c r="Y248" s="25" t="n"/>
      <c r="Z248" s="26" t="n">
        <v>186</v>
      </c>
      <c r="AA248" s="28" t="n">
        <v>0.35</v>
      </c>
      <c r="AB248" s="28" t="n">
        <v>0.00035</v>
      </c>
      <c r="AC248" s="30" t="n">
        <v>1.86</v>
      </c>
      <c r="AD248" s="24" t="inlineStr">
        <is>
          <t>2026-08-08T00:59:08.726113Z</t>
        </is>
      </c>
      <c r="AE248" s="31" t="inlineStr">
        <is>
          <t>Surface-blended Elo on Hard: Hubert Hurkacz p=0.495 vs Botic Van De Zandschulp. Executable ask 0.3500 (aec-atp-botzan-hubhur-2026-08-07).</t>
        </is>
      </c>
      <c r="AF248" s="31" t="inlineStr">
        <is>
          <t>Surface-blended Elo model; singles only, WTA+ATP market coverage, not yet locked-holdout qualified -- promoted by explicit operator directive, not genuine walk-forward validation.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NO_CALL_LOW_EDGE</t>
        </is>
      </c>
      <c r="AP248" s="24" t="inlineStr">
        <is>
          <t>Hubert Hurkacz</t>
        </is>
      </c>
      <c r="AQ248" s="24" t="inlineStr">
        <is>
          <t>Hubert Hurkacz</t>
        </is>
      </c>
      <c r="AR248" s="24" t="inlineStr">
        <is>
          <t>Hubert Hurkacz</t>
        </is>
      </c>
      <c r="AS248" s="24" t="inlineStr">
        <is>
          <t>Botic Van De Zandschulp</t>
        </is>
      </c>
      <c r="AT248" s="24" t="inlineStr">
        <is>
          <t>Botic Van De Zandschulp</t>
        </is>
      </c>
      <c r="AU248" s="24" t="inlineStr">
        <is>
          <t>Botic Van De Zandschulp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3ab056fefe04713e3c294da76c8adb2866b0dc46556ed32322a0426dd344a0e4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3ab056fefe04713e3c294da76c8adb2866b0dc46556ed32322a0426dd344a0e4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3ab056fefe04713e3c294da76c8adb2866b0dc46556ed32322a0426dd344a0e4</t>
        </is>
      </c>
      <c r="BH248" s="24" t="inlineStr">
        <is>
          <t>2026-08-07T15:20:52.687497Z</t>
        </is>
      </c>
      <c r="BI248" s="24" t="inlineStr">
        <is>
          <t>["same_event","same_team_same_day","same_league_same_day"]</t>
        </is>
      </c>
      <c r="BJ248" s="25" t="n"/>
      <c r="BK248" s="26" t="n">
        <v>186</v>
      </c>
      <c r="BL248" s="27" t="n">
        <v>2.86</v>
      </c>
      <c r="BM248" s="28" t="n">
        <v>0.34965</v>
      </c>
      <c r="BN248" s="28" t="n"/>
      <c r="BO248" s="28" t="n"/>
      <c r="BP248" s="25" t="n"/>
      <c r="BQ248" s="27" t="n">
        <v>2.86</v>
      </c>
      <c r="BR248" s="28" t="n">
        <v>0.35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</row>
    <row r="249" ht="36" customHeight="1">
      <c r="A249" s="24" t="inlineStr">
        <is>
          <t>49ecba67b09a4c9c</t>
        </is>
      </c>
      <c r="B249" s="24" t="inlineStr">
        <is>
          <t>2026-08-07T18:29:30.567007Z</t>
        </is>
      </c>
      <c r="C249" s="24" t="inlineStr">
        <is>
          <t>2026-08-07T19:00Z</t>
        </is>
      </c>
      <c r="D249" s="24" t="inlineStr">
        <is>
          <t>421-2026:182209</t>
        </is>
      </c>
      <c r="E249" s="24" t="inlineStr">
        <is>
          <t>TENNIS</t>
        </is>
      </c>
      <c r="F249" s="24" t="inlineStr">
        <is>
          <t>Liudmila Samsonova</t>
        </is>
      </c>
      <c r="G249" s="24" t="inlineStr">
        <is>
          <t>Maya Joint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-257</v>
      </c>
      <c r="M249" s="27" t="n">
        <v>1.389105</v>
      </c>
      <c r="N249" s="28" t="n">
        <v>0.719888</v>
      </c>
      <c r="O249" s="28" t="n">
        <v>0.502257</v>
      </c>
      <c r="P249" s="28" t="n">
        <v>0.05</v>
      </c>
      <c r="Q249" s="28" t="n">
        <v>-0.217631</v>
      </c>
      <c r="R249" s="26" t="n">
        <v>0</v>
      </c>
      <c r="S249" s="29" t="n">
        <v>1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win</t>
        </is>
      </c>
      <c r="W249" s="26" t="n">
        <v>1</v>
      </c>
      <c r="X249" s="26" t="n">
        <v>0</v>
      </c>
      <c r="Y249" s="25" t="n"/>
      <c r="Z249" s="26" t="n">
        <v>-257</v>
      </c>
      <c r="AA249" s="28" t="n">
        <v>0.72</v>
      </c>
      <c r="AB249" s="28" t="n">
        <v>0.000112</v>
      </c>
      <c r="AC249" s="30" t="n">
        <v>0.3891</v>
      </c>
      <c r="AD249" s="24" t="inlineStr">
        <is>
          <t>2026-08-08T00:59:10.065646Z</t>
        </is>
      </c>
      <c r="AE249" s="31" t="inlineStr">
        <is>
          <t>Surface-blended Elo on Hard: Liudmila Samsonova p=0.502 vs Maya Joint. Executable ask 0.7200 (aec-wta-mayjoi-liusam-2026-08-07).</t>
        </is>
      </c>
      <c r="AF249" s="31" t="inlineStr">
        <is>
          <t>Surface-blended Elo model; singles only, WTA+ATP market coverage, not yet locked-holdout qualified -- promoted by explicit operator directive, not genuine walk-forward validation.</t>
        </is>
      </c>
      <c r="AG249" s="24" t="inlineStr">
        <is>
          <t>not_applicable</t>
        </is>
      </c>
      <c r="AH249" s="24" t="n"/>
      <c r="AI249" s="31" t="n"/>
      <c r="AJ2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NO_CALL_WINNER_OVERVALUED</t>
        </is>
      </c>
      <c r="AP249" s="24" t="inlineStr">
        <is>
          <t>Liudmila Samsonova</t>
        </is>
      </c>
      <c r="AQ249" s="24" t="inlineStr">
        <is>
          <t>Liudmila Samsonova</t>
        </is>
      </c>
      <c r="AR249" s="24" t="inlineStr">
        <is>
          <t>Liudmila Samsonova</t>
        </is>
      </c>
      <c r="AS249" s="24" t="inlineStr">
        <is>
          <t>Maya Joint</t>
        </is>
      </c>
      <c r="AT249" s="24" t="inlineStr">
        <is>
          <t>Maya Joint</t>
        </is>
      </c>
      <c r="AU249" s="24" t="inlineStr">
        <is>
          <t>Maya Joint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3ab056fefe04713e3c294da76c8adb2866b0dc46556ed32322a0426dd344a0e4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3ab056fefe04713e3c294da76c8adb2866b0dc46556ed32322a0426dd344a0e4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3ab056fefe04713e3c294da76c8adb2866b0dc46556ed32322a0426dd344a0e4</t>
        </is>
      </c>
      <c r="BH249" s="24" t="inlineStr">
        <is>
          <t>2026-08-07T18:28:08.001910Z</t>
        </is>
      </c>
      <c r="BI249" s="24" t="inlineStr">
        <is>
          <t>["same_event","same_team_same_day","same_league_same_day"]</t>
        </is>
      </c>
      <c r="BJ249" s="25" t="n"/>
      <c r="BK249" s="26" t="n">
        <v>-257</v>
      </c>
      <c r="BL249" s="27" t="n">
        <v>1.389105</v>
      </c>
      <c r="BM249" s="28" t="n">
        <v>0.719888</v>
      </c>
      <c r="BN249" s="28" t="n"/>
      <c r="BO249" s="28" t="n"/>
      <c r="BP249" s="25" t="n"/>
      <c r="BQ249" s="27" t="n">
        <v>1.389105</v>
      </c>
      <c r="BR249" s="28" t="n">
        <v>0.72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</row>
    <row r="250" ht="36" customHeight="1">
      <c r="A250" s="24" t="inlineStr">
        <is>
          <t>6e962dd1d9bb499f</t>
        </is>
      </c>
      <c r="B250" s="24" t="inlineStr">
        <is>
          <t>2026-08-07T18:29:30.567007Z</t>
        </is>
      </c>
      <c r="C250" s="24" t="inlineStr">
        <is>
          <t>2026-08-07T21:00Z</t>
        </is>
      </c>
      <c r="D250" s="24" t="inlineStr">
        <is>
          <t>421-2026:182205</t>
        </is>
      </c>
      <c r="E250" s="24" t="inlineStr">
        <is>
          <t>TENNIS</t>
        </is>
      </c>
      <c r="F250" s="24" t="inlineStr">
        <is>
          <t>Naomi Osaka</t>
        </is>
      </c>
      <c r="G250" s="24" t="inlineStr">
        <is>
          <t>Elise Mertens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-223</v>
      </c>
      <c r="M250" s="27" t="n">
        <v>1.44843</v>
      </c>
      <c r="N250" s="28" t="n">
        <v>0.690402</v>
      </c>
      <c r="O250" s="28" t="n">
        <v>0.633161</v>
      </c>
      <c r="P250" s="28" t="n">
        <v>0.05</v>
      </c>
      <c r="Q250" s="28" t="n">
        <v>-0.057241</v>
      </c>
      <c r="R250" s="26" t="n">
        <v>0</v>
      </c>
      <c r="S250" s="29" t="n">
        <v>1.5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win</t>
        </is>
      </c>
      <c r="W250" s="26" t="n">
        <v>1</v>
      </c>
      <c r="X250" s="26" t="n">
        <v>0</v>
      </c>
      <c r="Y250" s="25" t="n"/>
      <c r="Z250" s="26" t="n">
        <v>-223</v>
      </c>
      <c r="AA250" s="28" t="n">
        <v>0.6899999999999999</v>
      </c>
      <c r="AB250" s="28" t="n">
        <v>-0.000402</v>
      </c>
      <c r="AC250" s="30" t="n">
        <v>0.6726</v>
      </c>
      <c r="AD250" s="24" t="inlineStr">
        <is>
          <t>2026-08-08T00:59:11.358141Z</t>
        </is>
      </c>
      <c r="AE250" s="31" t="inlineStr">
        <is>
          <t>Surface-blended Elo on Hard: Naomi Osaka p=0.633 vs Elise Mertens. Executable ask 0.6900 (aec-wta-elimer-naoosa-2026-08-06).</t>
        </is>
      </c>
      <c r="AF250" s="31" t="inlineStr">
        <is>
          <t>Surface-blended Elo model; singles only, WTA+ATP market coverage, not yet locked-holdout qualified -- promoted by explicit operator directive, not genuine walk-forward validation.</t>
        </is>
      </c>
      <c r="AG250" s="24" t="inlineStr">
        <is>
          <t>not_applicable</t>
        </is>
      </c>
      <c r="AH250" s="24" t="n"/>
      <c r="AI250" s="31" t="n"/>
      <c r="AJ2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NO_CALL_WINNER_OVERVALUED</t>
        </is>
      </c>
      <c r="AP250" s="24" t="inlineStr">
        <is>
          <t>Naomi Osaka</t>
        </is>
      </c>
      <c r="AQ250" s="24" t="inlineStr">
        <is>
          <t>Naomi Osaka</t>
        </is>
      </c>
      <c r="AR250" s="24" t="inlineStr">
        <is>
          <t>Naomi Osaka</t>
        </is>
      </c>
      <c r="AS250" s="24" t="inlineStr">
        <is>
          <t>Elise Mertens</t>
        </is>
      </c>
      <c r="AT250" s="24" t="inlineStr">
        <is>
          <t>Elise Mertens</t>
        </is>
      </c>
      <c r="AU250" s="24" t="inlineStr">
        <is>
          <t>Elise Mertens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3ab056fefe04713e3c294da76c8adb2866b0dc46556ed32322a0426dd344a0e4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3ab056fefe04713e3c294da76c8adb2866b0dc46556ed32322a0426dd344a0e4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3ab056fefe04713e3c294da76c8adb2866b0dc46556ed32322a0426dd344a0e4</t>
        </is>
      </c>
      <c r="BH250" s="24" t="inlineStr">
        <is>
          <t>2026-08-07T18:28:08.316689Z</t>
        </is>
      </c>
      <c r="BI250" s="24" t="inlineStr">
        <is>
          <t>["same_event","same_team_same_day","same_league_same_day"]</t>
        </is>
      </c>
      <c r="BJ250" s="25" t="n"/>
      <c r="BK250" s="26" t="n">
        <v>-223</v>
      </c>
      <c r="BL250" s="27" t="n">
        <v>1.44843</v>
      </c>
      <c r="BM250" s="28" t="n">
        <v>0.690402</v>
      </c>
      <c r="BN250" s="28" t="n"/>
      <c r="BO250" s="28" t="n"/>
      <c r="BP250" s="25" t="n"/>
      <c r="BQ250" s="27" t="n">
        <v>1.44843</v>
      </c>
      <c r="BR250" s="28" t="n">
        <v>0.6899999999999999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False</t>
        </is>
      </c>
    </row>
    <row r="251" ht="36" customHeight="1">
      <c r="A251" s="24" t="inlineStr">
        <is>
          <t>af4378b27a894041</t>
        </is>
      </c>
      <c r="B251" s="24" t="inlineStr">
        <is>
          <t>2026-08-07T21:56:48.826537Z</t>
        </is>
      </c>
      <c r="C251" s="24" t="inlineStr">
        <is>
          <t>2026-08-07T23:00Z</t>
        </is>
      </c>
      <c r="D251" s="24" t="inlineStr">
        <is>
          <t>421-2026:182212</t>
        </is>
      </c>
      <c r="E251" s="24" t="inlineStr">
        <is>
          <t>TENNIS</t>
        </is>
      </c>
      <c r="F251" s="24" t="inlineStr">
        <is>
          <t>Belinda Bencic</t>
        </is>
      </c>
      <c r="G251" s="24" t="inlineStr">
        <is>
          <t>Taylor Townsend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-270</v>
      </c>
      <c r="M251" s="27" t="n">
        <v>1.37037</v>
      </c>
      <c r="N251" s="28" t="n">
        <v>0.72973</v>
      </c>
      <c r="O251" s="28" t="n">
        <v>0.67718</v>
      </c>
      <c r="P251" s="28" t="n">
        <v>0.05</v>
      </c>
      <c r="Q251" s="28" t="n">
        <v>-0.05255</v>
      </c>
      <c r="R251" s="26" t="n">
        <v>0</v>
      </c>
      <c r="S251" s="29" t="n">
        <v>1.75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1</v>
      </c>
      <c r="X251" s="26" t="n">
        <v>0</v>
      </c>
      <c r="Y251" s="25" t="n"/>
      <c r="Z251" s="26" t="n">
        <v>-270</v>
      </c>
      <c r="AA251" s="28" t="n">
        <v>0.73</v>
      </c>
      <c r="AB251" s="28" t="n">
        <v>0.00027</v>
      </c>
      <c r="AC251" s="30" t="n">
        <v>0.6481</v>
      </c>
      <c r="AD251" s="24" t="inlineStr">
        <is>
          <t>2026-08-08T04:03:47.259450Z</t>
        </is>
      </c>
      <c r="AE251" s="31" t="inlineStr">
        <is>
          <t>Surface-blended Elo on Hard: Belinda Bencic p=0.677 vs Taylor Townsend. Executable ask 0.7300 (aec-wta-taytow-belben-2026-08-06).</t>
        </is>
      </c>
      <c r="AF251" s="31" t="inlineStr">
        <is>
          <t>Surface-blended Elo model; singles only, WTA+ATP market coverage, not yet locked-holdout qualified -- promoted by explicit operator directive, not genuine walk-forward validation.</t>
        </is>
      </c>
      <c r="AG251" s="24" t="inlineStr">
        <is>
          <t>not_applicable</t>
        </is>
      </c>
      <c r="AH251" s="24" t="n"/>
      <c r="AI251" s="31" t="n"/>
      <c r="AJ2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NO_CALL_WINNER_OVERVALUED</t>
        </is>
      </c>
      <c r="AP251" s="24" t="inlineStr">
        <is>
          <t>Belinda Bencic</t>
        </is>
      </c>
      <c r="AQ251" s="24" t="inlineStr">
        <is>
          <t>Belinda Bencic</t>
        </is>
      </c>
      <c r="AR251" s="24" t="inlineStr">
        <is>
          <t>Belinda Bencic</t>
        </is>
      </c>
      <c r="AS251" s="24" t="inlineStr">
        <is>
          <t>Taylor Townsend</t>
        </is>
      </c>
      <c r="AT251" s="24" t="inlineStr">
        <is>
          <t>Taylor Townsend</t>
        </is>
      </c>
      <c r="AU251" s="24" t="inlineStr">
        <is>
          <t>Taylor Townsend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3ab056fefe04713e3c294da76c8adb2866b0dc46556ed32322a0426dd344a0e4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3ab056fefe04713e3c294da76c8adb2866b0dc46556ed32322a0426dd344a0e4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3ab056fefe04713e3c294da76c8adb2866b0dc46556ed32322a0426dd344a0e4</t>
        </is>
      </c>
      <c r="BH251" s="24" t="inlineStr">
        <is>
          <t>2026-08-07T21:56:03.576692Z</t>
        </is>
      </c>
      <c r="BI251" s="24" t="inlineStr">
        <is>
          <t>["same_event","same_team_same_day","same_league_same_day"]</t>
        </is>
      </c>
      <c r="BJ251" s="25" t="n"/>
      <c r="BK251" s="26" t="n">
        <v>-270</v>
      </c>
      <c r="BL251" s="27" t="n">
        <v>1.37037</v>
      </c>
      <c r="BM251" s="28" t="n">
        <v>0.72973</v>
      </c>
      <c r="BN251" s="28" t="n"/>
      <c r="BO251" s="28" t="n"/>
      <c r="BP251" s="25" t="n"/>
      <c r="BQ251" s="27" t="n">
        <v>1.37037</v>
      </c>
      <c r="BR251" s="28" t="n">
        <v>0.73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</row>
    <row r="252" ht="36" customHeight="1">
      <c r="A252" s="24" t="inlineStr">
        <is>
          <t>a4495b94b0e8417f</t>
        </is>
      </c>
      <c r="B252" s="24" t="inlineStr">
        <is>
          <t>2026-08-07T21:56:48.826537Z</t>
        </is>
      </c>
      <c r="C252" s="24" t="inlineStr">
        <is>
          <t>2026-08-07T23:00Z</t>
        </is>
      </c>
      <c r="D252" s="24" t="inlineStr">
        <is>
          <t>421-2026:182222</t>
        </is>
      </c>
      <c r="E252" s="24" t="inlineStr">
        <is>
          <t>TENNIS</t>
        </is>
      </c>
      <c r="F252" s="24" t="inlineStr">
        <is>
          <t>Coco Gauff</t>
        </is>
      </c>
      <c r="G252" s="24" t="inlineStr">
        <is>
          <t>Maria Sakkari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-355</v>
      </c>
      <c r="M252" s="27" t="n">
        <v>1.28169</v>
      </c>
      <c r="N252" s="28" t="n">
        <v>0.78022</v>
      </c>
      <c r="O252" s="28" t="n">
        <v>0.801053</v>
      </c>
      <c r="P252" s="28" t="n">
        <v>0.05</v>
      </c>
      <c r="Q252" s="28" t="n">
        <v>0.020833</v>
      </c>
      <c r="R252" s="26" t="n">
        <v>30</v>
      </c>
      <c r="S252" s="29" t="n">
        <v>2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win</t>
        </is>
      </c>
      <c r="W252" s="26" t="n">
        <v>1</v>
      </c>
      <c r="X252" s="26" t="n">
        <v>0</v>
      </c>
      <c r="Y252" s="25" t="n"/>
      <c r="Z252" s="26" t="n">
        <v>-355</v>
      </c>
      <c r="AA252" s="28" t="n">
        <v>0.78</v>
      </c>
      <c r="AB252" s="28" t="n">
        <v>-0.00022</v>
      </c>
      <c r="AC252" s="30" t="n">
        <v>0.5634</v>
      </c>
      <c r="AD252" s="24" t="inlineStr">
        <is>
          <t>2026-08-08T00:59:20.282876Z</t>
        </is>
      </c>
      <c r="AE252" s="31" t="inlineStr">
        <is>
          <t>Surface-blended Elo on Hard: Coco Gauff p=0.801 vs Maria Sakkari. Executable ask 0.7800 (aec-wta-marsak-cocgau-2026-08-06).</t>
        </is>
      </c>
      <c r="AF252" s="31" t="inlineStr">
        <is>
          <t>Surface-blended Elo model; singles only, WTA+ATP market coverage, not yet locked-holdout qualified -- promoted by explicit operator directive, not genuine walk-forward validation.</t>
        </is>
      </c>
      <c r="AG252" s="24" t="inlineStr">
        <is>
          <t>not_applicable</t>
        </is>
      </c>
      <c r="AH252" s="24" t="n"/>
      <c r="AI252" s="31" t="n"/>
      <c r="AJ2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NO_CALL_WINNER_OVERVALUED</t>
        </is>
      </c>
      <c r="AP252" s="24" t="inlineStr">
        <is>
          <t>Coco Gauff</t>
        </is>
      </c>
      <c r="AQ252" s="24" t="inlineStr">
        <is>
          <t>Coco Gauff</t>
        </is>
      </c>
      <c r="AR252" s="24" t="inlineStr">
        <is>
          <t>Coco Gauff</t>
        </is>
      </c>
      <c r="AS252" s="24" t="inlineStr">
        <is>
          <t>Maria Sakkari</t>
        </is>
      </c>
      <c r="AT252" s="24" t="inlineStr">
        <is>
          <t>Maria Sakkari</t>
        </is>
      </c>
      <c r="AU252" s="24" t="inlineStr">
        <is>
          <t>Maria Sakkari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3ab056fefe04713e3c294da76c8adb2866b0dc46556ed32322a0426dd344a0e4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3ab056fefe04713e3c294da76c8adb2866b0dc46556ed32322a0426dd344a0e4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3ab056fefe04713e3c294da76c8adb2866b0dc46556ed32322a0426dd344a0e4</t>
        </is>
      </c>
      <c r="BH252" s="24" t="inlineStr">
        <is>
          <t>2026-08-07T21:56:04.332132Z</t>
        </is>
      </c>
      <c r="BI252" s="24" t="inlineStr">
        <is>
          <t>["same_event","same_team_same_day","same_league_same_day"]</t>
        </is>
      </c>
      <c r="BJ252" s="25" t="n"/>
      <c r="BK252" s="26" t="n">
        <v>-355</v>
      </c>
      <c r="BL252" s="27" t="n">
        <v>1.28169</v>
      </c>
      <c r="BM252" s="28" t="n">
        <v>0.78022</v>
      </c>
      <c r="BN252" s="28" t="n"/>
      <c r="BO252" s="28" t="n"/>
      <c r="BP252" s="25" t="n"/>
      <c r="BQ252" s="27" t="n">
        <v>1.28169</v>
      </c>
      <c r="BR252" s="28" t="n">
        <v>0.78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</row>
    <row r="253" ht="36" customHeight="1">
      <c r="A253" s="24" t="inlineStr">
        <is>
          <t>a215698db7be4fa4</t>
        </is>
      </c>
      <c r="B253" s="24" t="inlineStr">
        <is>
          <t>2026-08-07T21:56:48.826537Z</t>
        </is>
      </c>
      <c r="C253" s="24" t="inlineStr">
        <is>
          <t>2026-08-07T22:00Z</t>
        </is>
      </c>
      <c r="D253" s="24" t="inlineStr">
        <is>
          <t>421-2026:181777</t>
        </is>
      </c>
      <c r="E253" s="24" t="inlineStr">
        <is>
          <t>TENNIS</t>
        </is>
      </c>
      <c r="F253" s="24" t="inlineStr">
        <is>
          <t>Jakub Mensik</t>
        </is>
      </c>
      <c r="G253" s="24" t="inlineStr">
        <is>
          <t>Terence Atmane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-194</v>
      </c>
      <c r="M253" s="27" t="n">
        <v>1.515464</v>
      </c>
      <c r="N253" s="28" t="n">
        <v>0.659864</v>
      </c>
      <c r="O253" s="28" t="n">
        <v>0.706207</v>
      </c>
      <c r="P253" s="28" t="n">
        <v>0.05</v>
      </c>
      <c r="Q253" s="28" t="n">
        <v>0.046343</v>
      </c>
      <c r="R253" s="26" t="n">
        <v>43</v>
      </c>
      <c r="S253" s="29" t="n">
        <v>2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win</t>
        </is>
      </c>
      <c r="W253" s="26" t="n">
        <v>1</v>
      </c>
      <c r="X253" s="26" t="n">
        <v>0</v>
      </c>
      <c r="Y253" s="25" t="n"/>
      <c r="Z253" s="26" t="n">
        <v>-194</v>
      </c>
      <c r="AA253" s="28" t="n">
        <v>0.66</v>
      </c>
      <c r="AB253" s="28" t="n">
        <v>0.000136</v>
      </c>
      <c r="AC253" s="30" t="n">
        <v>1.0309</v>
      </c>
      <c r="AD253" s="24" t="inlineStr">
        <is>
          <t>2026-08-08T00:59:21.604035Z</t>
        </is>
      </c>
      <c r="AE253" s="31" t="inlineStr">
        <is>
          <t>Surface-blended Elo on Hard: Jakub Mensik p=0.706 vs Terence Atmane. Executable ask 0.6600 (aec-atp-teratm-jakmen-2026-08-07).</t>
        </is>
      </c>
      <c r="AF253" s="31" t="inlineStr">
        <is>
          <t>Surface-blended Elo model; singles only, WTA+ATP market coverage, not yet locked-holdout qualified -- promoted by explicit operator directive, not genuine walk-forward validation.</t>
        </is>
      </c>
      <c r="AG253" s="24" t="inlineStr">
        <is>
          <t>not_applicable</t>
        </is>
      </c>
      <c r="AH253" s="24" t="n"/>
      <c r="AI253" s="31" t="n"/>
      <c r="AJ2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NO_CALL_WINNER_OVERVALUED</t>
        </is>
      </c>
      <c r="AP253" s="24" t="inlineStr">
        <is>
          <t>Jakub Mensik</t>
        </is>
      </c>
      <c r="AQ253" s="24" t="inlineStr">
        <is>
          <t>Jakub Mensik</t>
        </is>
      </c>
      <c r="AR253" s="24" t="inlineStr">
        <is>
          <t>Jakub Mensik</t>
        </is>
      </c>
      <c r="AS253" s="24" t="inlineStr">
        <is>
          <t>Terence Atmane</t>
        </is>
      </c>
      <c r="AT253" s="24" t="inlineStr">
        <is>
          <t>Terence Atmane</t>
        </is>
      </c>
      <c r="AU253" s="24" t="inlineStr">
        <is>
          <t>Terence Atmane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3ab056fefe04713e3c294da76c8adb2866b0dc46556ed32322a0426dd344a0e4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3ab056fefe04713e3c294da76c8adb2866b0dc46556ed32322a0426dd344a0e4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3ab056fefe04713e3c294da76c8adb2866b0dc46556ed32322a0426dd344a0e4</t>
        </is>
      </c>
      <c r="BH253" s="24" t="inlineStr">
        <is>
          <t>2026-08-07T21:56:06.252905Z</t>
        </is>
      </c>
      <c r="BI253" s="24" t="inlineStr">
        <is>
          <t>["same_event","same_team_same_day","same_league_same_day"]</t>
        </is>
      </c>
      <c r="BJ253" s="25" t="n"/>
      <c r="BK253" s="26" t="n">
        <v>-194</v>
      </c>
      <c r="BL253" s="27" t="n">
        <v>1.515464</v>
      </c>
      <c r="BM253" s="28" t="n">
        <v>0.659864</v>
      </c>
      <c r="BN253" s="28" t="n"/>
      <c r="BO253" s="28" t="n"/>
      <c r="BP253" s="25" t="n"/>
      <c r="BQ253" s="27" t="n">
        <v>1.515464</v>
      </c>
      <c r="BR253" s="28" t="n">
        <v>0.66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</row>
    <row r="254" ht="36" customHeight="1">
      <c r="A254" s="24" t="inlineStr">
        <is>
          <t>34485996e787436e</t>
        </is>
      </c>
      <c r="B254" s="24" t="inlineStr">
        <is>
          <t>2026-08-07T21:56:48.826537Z</t>
        </is>
      </c>
      <c r="C254" s="24" t="inlineStr">
        <is>
          <t>2026-08-07T23:00Z</t>
        </is>
      </c>
      <c r="D254" s="24" t="inlineStr">
        <is>
          <t>421-2026:181751</t>
        </is>
      </c>
      <c r="E254" s="24" t="inlineStr">
        <is>
          <t>TENNIS</t>
        </is>
      </c>
      <c r="F254" s="24" t="inlineStr">
        <is>
          <t>Joao Fonseca</t>
        </is>
      </c>
      <c r="G254" s="24" t="inlineStr">
        <is>
          <t>Casper Ruud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-122</v>
      </c>
      <c r="M254" s="27" t="n">
        <v>1.819672</v>
      </c>
      <c r="N254" s="28" t="n">
        <v>0.54955</v>
      </c>
      <c r="O254" s="28" t="n">
        <v>0.544096</v>
      </c>
      <c r="P254" s="28" t="n">
        <v>0.05</v>
      </c>
      <c r="Q254" s="28" t="n">
        <v>-0.005454</v>
      </c>
      <c r="R254" s="26" t="n">
        <v>17</v>
      </c>
      <c r="S254" s="29" t="n">
        <v>1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>
        <v>-122</v>
      </c>
      <c r="AA254" s="28" t="n">
        <v>0.55</v>
      </c>
      <c r="AB254" s="28" t="n">
        <v>0.00045</v>
      </c>
      <c r="AC254" s="30" t="n">
        <v>0.8197</v>
      </c>
      <c r="AD254" s="24" t="inlineStr">
        <is>
          <t>2026-08-08T04:03:48.625240Z</t>
        </is>
      </c>
      <c r="AE254" s="31" t="inlineStr">
        <is>
          <t>Surface-blended Elo on Hard: Joao Fonseca p=0.544 vs Casper Ruud. Executable ask 0.5500 (aec-atp-casruu-joafon-2026-08-06).</t>
        </is>
      </c>
      <c r="AF254" s="31" t="inlineStr">
        <is>
          <t>Surface-blended Elo model; singles only, WTA+ATP market coverage, not yet locked-holdout qualified -- promoted by explicit operator directive, not genuine walk-forward validation.</t>
        </is>
      </c>
      <c r="AG254" s="24" t="inlineStr">
        <is>
          <t>not_applicable</t>
        </is>
      </c>
      <c r="AH254" s="24" t="n"/>
      <c r="AI254" s="31" t="n"/>
      <c r="AJ2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NO_CALL_WINNER_OVERVALUED</t>
        </is>
      </c>
      <c r="AP254" s="24" t="inlineStr">
        <is>
          <t>Joao Fonseca</t>
        </is>
      </c>
      <c r="AQ254" s="24" t="inlineStr">
        <is>
          <t>Joao Fonseca</t>
        </is>
      </c>
      <c r="AR254" s="24" t="inlineStr">
        <is>
          <t>Joao Fonseca</t>
        </is>
      </c>
      <c r="AS254" s="24" t="inlineStr">
        <is>
          <t>Casper Ruud</t>
        </is>
      </c>
      <c r="AT254" s="24" t="inlineStr">
        <is>
          <t>Casper Ruud</t>
        </is>
      </c>
      <c r="AU254" s="24" t="inlineStr">
        <is>
          <t>Casper Ruud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3ab056fefe04713e3c294da76c8adb2866b0dc46556ed32322a0426dd344a0e4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3ab056fefe04713e3c294da76c8adb2866b0dc46556ed32322a0426dd344a0e4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3ab056fefe04713e3c294da76c8adb2866b0dc46556ed32322a0426dd344a0e4</t>
        </is>
      </c>
      <c r="BH254" s="24" t="inlineStr">
        <is>
          <t>2026-08-07T21:56:07.185893Z</t>
        </is>
      </c>
      <c r="BI254" s="24" t="inlineStr">
        <is>
          <t>["same_event","same_team_same_day","same_league_same_day"]</t>
        </is>
      </c>
      <c r="BJ254" s="25" t="n"/>
      <c r="BK254" s="26" t="n">
        <v>-122</v>
      </c>
      <c r="BL254" s="27" t="n">
        <v>1.819672</v>
      </c>
      <c r="BM254" s="28" t="n">
        <v>0.54955</v>
      </c>
      <c r="BN254" s="28" t="n"/>
      <c r="BO254" s="28" t="n"/>
      <c r="BP254" s="25" t="n"/>
      <c r="BQ254" s="27" t="n">
        <v>1.819672</v>
      </c>
      <c r="BR254" s="28" t="n">
        <v>0.55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</row>
    <row r="255" ht="36" customHeight="1">
      <c r="A255" s="24" t="inlineStr">
        <is>
          <t>950c45d06cf4464d</t>
        </is>
      </c>
      <c r="B255" s="24" t="inlineStr">
        <is>
          <t>2026-08-07T21:56:48.826537Z</t>
        </is>
      </c>
      <c r="C255" s="24" t="inlineStr">
        <is>
          <t>2026-08-07T23:30Z</t>
        </is>
      </c>
      <c r="D255" s="24" t="inlineStr">
        <is>
          <t>421-2026:181766</t>
        </is>
      </c>
      <c r="E255" s="24" t="inlineStr">
        <is>
          <t>TENNIS</t>
        </is>
      </c>
      <c r="F255" s="24" t="inlineStr">
        <is>
          <t>Thiago Agustin Tirante</t>
        </is>
      </c>
      <c r="G255" s="24" t="inlineStr">
        <is>
          <t>Alexei Popyrin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122</v>
      </c>
      <c r="M255" s="27" t="n">
        <v>2.22</v>
      </c>
      <c r="N255" s="28" t="n">
        <v>0.45045</v>
      </c>
      <c r="O255" s="28" t="n">
        <v>0.592411</v>
      </c>
      <c r="P255" s="28" t="n">
        <v>0.05</v>
      </c>
      <c r="Q255" s="28" t="n">
        <v>0.141961</v>
      </c>
      <c r="R255" s="26" t="n">
        <v>91</v>
      </c>
      <c r="S255" s="29" t="n">
        <v>1.25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win</t>
        </is>
      </c>
      <c r="W255" s="26" t="n">
        <v>1</v>
      </c>
      <c r="X255" s="26" t="n">
        <v>0</v>
      </c>
      <c r="Y255" s="25" t="n"/>
      <c r="Z255" s="26" t="n">
        <v>122</v>
      </c>
      <c r="AA255" s="28" t="n">
        <v>0.45</v>
      </c>
      <c r="AB255" s="28" t="n">
        <v>-0.00045</v>
      </c>
      <c r="AC255" s="30" t="n">
        <v>1.525</v>
      </c>
      <c r="AD255" s="24" t="inlineStr">
        <is>
          <t>2026-08-08T04:03:49.971404Z</t>
        </is>
      </c>
      <c r="AE255" s="31" t="inlineStr">
        <is>
          <t>Surface-blended Elo on Hard: Thiago Agustin Tirante p=0.592 vs Alexei Popyrin. Executable ask 0.4500 (aec-atp-alepop-thitir-2026-08-06).</t>
        </is>
      </c>
      <c r="AF255" s="31" t="inlineStr">
        <is>
          <t>Surface-blended Elo model; singles only, WTA+ATP market coverage, not yet locked-holdout qualified -- promoted by explicit operator directive, not genuine walk-forward validation.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3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Thiago Agustin Tirante</t>
        </is>
      </c>
      <c r="AQ255" s="24" t="inlineStr">
        <is>
          <t>Thiago Agustin Tirante</t>
        </is>
      </c>
      <c r="AR255" s="24" t="inlineStr">
        <is>
          <t>Thiago Agustin Tirante</t>
        </is>
      </c>
      <c r="AS255" s="24" t="inlineStr">
        <is>
          <t>Alexei Popyrin</t>
        </is>
      </c>
      <c r="AT255" s="24" t="inlineStr">
        <is>
          <t>Alexei Popyrin</t>
        </is>
      </c>
      <c r="AU255" s="24" t="inlineStr">
        <is>
          <t>Alexei Popyrin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3ab056fefe04713e3c294da76c8adb2866b0dc46556ed32322a0426dd344a0e4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3ab056fefe04713e3c294da76c8adb2866b0dc46556ed32322a0426dd344a0e4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3ab056fefe04713e3c294da76c8adb2866b0dc46556ed32322a0426dd344a0e4</t>
        </is>
      </c>
      <c r="BH255" s="24" t="inlineStr">
        <is>
          <t>2026-08-07T21:56:07.767044Z</t>
        </is>
      </c>
      <c r="BI255" s="24" t="inlineStr">
        <is>
          <t>["same_event","same_team_same_day","same_league_same_day"]</t>
        </is>
      </c>
      <c r="BJ255" s="25" t="n"/>
      <c r="BK255" s="26" t="n">
        <v>122</v>
      </c>
      <c r="BL255" s="27" t="n">
        <v>2.22</v>
      </c>
      <c r="BM255" s="28" t="n">
        <v>0.45045</v>
      </c>
      <c r="BN255" s="28" t="n"/>
      <c r="BO255" s="28" t="n"/>
      <c r="BP255" s="25" t="n"/>
      <c r="BQ255" s="27" t="n">
        <v>2.22</v>
      </c>
      <c r="BR255" s="28" t="n">
        <v>0.45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</row>
    <row r="256" ht="36" customHeight="1">
      <c r="A256" s="24" t="inlineStr">
        <is>
          <t>5d959aeacec94e50</t>
        </is>
      </c>
      <c r="B256" s="24" t="inlineStr">
        <is>
          <t>2026-08-07T21:56:48.826537Z</t>
        </is>
      </c>
      <c r="C256" s="24" t="inlineStr">
        <is>
          <t>2026-08-08T00:30Z</t>
        </is>
      </c>
      <c r="D256" s="24" t="inlineStr">
        <is>
          <t>421-2026:181768</t>
        </is>
      </c>
      <c r="E256" s="24" t="inlineStr">
        <is>
          <t>TENNIS</t>
        </is>
      </c>
      <c r="F256" s="24" t="inlineStr">
        <is>
          <t>Tommy Paul</t>
        </is>
      </c>
      <c r="G256" s="24" t="inlineStr">
        <is>
          <t>Learner Tien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-163</v>
      </c>
      <c r="M256" s="27" t="n">
        <v>1.613497</v>
      </c>
      <c r="N256" s="28" t="n">
        <v>0.619772</v>
      </c>
      <c r="O256" s="28" t="n">
        <v>0.573609</v>
      </c>
      <c r="P256" s="28" t="n">
        <v>0.05</v>
      </c>
      <c r="Q256" s="28" t="n">
        <v>-0.046163</v>
      </c>
      <c r="R256" s="26" t="n">
        <v>0</v>
      </c>
      <c r="S256" s="29" t="n">
        <v>1.25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loss</t>
        </is>
      </c>
      <c r="W256" s="26" t="n">
        <v>0</v>
      </c>
      <c r="X256" s="26" t="n">
        <v>1</v>
      </c>
      <c r="Y256" s="25" t="n"/>
      <c r="Z256" s="26" t="n">
        <v>-163</v>
      </c>
      <c r="AA256" s="28" t="n">
        <v>0.62</v>
      </c>
      <c r="AB256" s="28" t="n">
        <v>0.000228</v>
      </c>
      <c r="AC256" s="30" t="n">
        <v>-1.25</v>
      </c>
      <c r="AD256" s="24" t="inlineStr">
        <is>
          <t>2026-08-08T04:03:51.319366Z</t>
        </is>
      </c>
      <c r="AE256" s="31" t="inlineStr">
        <is>
          <t>Surface-blended Elo on Hard: Tommy Paul p=0.574 vs Learner Tien. Executable ask 0.6200 (aec-atp-leatie-tompau-2026-08-07).</t>
        </is>
      </c>
      <c r="AF256" s="31" t="inlineStr">
        <is>
          <t>Surface-blended Elo model; singles only, WTA+ATP market coverage, not yet locked-holdout qualified -- promoted by explicit operator directive, not genuine walk-forward validation.</t>
        </is>
      </c>
      <c r="AG256" s="24" t="inlineStr">
        <is>
          <t>review_required</t>
        </is>
      </c>
      <c r="AH256" s="24" t="n"/>
      <c r="AI256" s="31" t="n"/>
      <c r="AJ2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NO_CALL_WINNER_OVERVALUED</t>
        </is>
      </c>
      <c r="AP256" s="24" t="inlineStr">
        <is>
          <t>Tommy Paul</t>
        </is>
      </c>
      <c r="AQ256" s="24" t="inlineStr">
        <is>
          <t>Tommy Paul</t>
        </is>
      </c>
      <c r="AR256" s="24" t="inlineStr">
        <is>
          <t>Tommy Paul</t>
        </is>
      </c>
      <c r="AS256" s="24" t="inlineStr">
        <is>
          <t>Learner Tien</t>
        </is>
      </c>
      <c r="AT256" s="24" t="inlineStr">
        <is>
          <t>Learner Tien</t>
        </is>
      </c>
      <c r="AU256" s="24" t="inlineStr">
        <is>
          <t>Learner Tien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3ab056fefe04713e3c294da76c8adb2866b0dc46556ed32322a0426dd344a0e4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3ab056fefe04713e3c294da76c8adb2866b0dc46556ed32322a0426dd344a0e4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3ab056fefe04713e3c294da76c8adb2866b0dc46556ed32322a0426dd344a0e4</t>
        </is>
      </c>
      <c r="BH256" s="24" t="inlineStr">
        <is>
          <t>2026-08-07T21:56:09.029020Z</t>
        </is>
      </c>
      <c r="BI256" s="24" t="inlineStr">
        <is>
          <t>["same_event","same_team_same_day","same_league_same_day"]</t>
        </is>
      </c>
      <c r="BJ256" s="25" t="n"/>
      <c r="BK256" s="26" t="n">
        <v>-163</v>
      </c>
      <c r="BL256" s="27" t="n">
        <v>1.613497</v>
      </c>
      <c r="BM256" s="28" t="n">
        <v>0.619772</v>
      </c>
      <c r="BN256" s="28" t="n"/>
      <c r="BO256" s="28" t="n"/>
      <c r="BP256" s="25" t="n"/>
      <c r="BQ256" s="27" t="n">
        <v>1.613497</v>
      </c>
      <c r="BR256" s="28" t="n">
        <v>0.62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</row>
    <row r="257" ht="36" customHeight="1">
      <c r="A257" s="24" t="inlineStr">
        <is>
          <t>34f06906552c42f2</t>
        </is>
      </c>
      <c r="B257" s="24" t="inlineStr">
        <is>
          <t>2026-08-08T04:06:19.341273Z</t>
        </is>
      </c>
      <c r="C257" s="24" t="inlineStr">
        <is>
          <t>2026-08-08T12:00Z</t>
        </is>
      </c>
      <c r="D257" s="24" t="inlineStr">
        <is>
          <t>961-2026:182111</t>
        </is>
      </c>
      <c r="E257" s="24" t="inlineStr">
        <is>
          <t>TENNIS</t>
        </is>
      </c>
      <c r="F257" s="24" t="inlineStr">
        <is>
          <t>Gabriela Knutson</t>
        </is>
      </c>
      <c r="G257" s="24" t="inlineStr">
        <is>
          <t>Carol Young Suh Lee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-194</v>
      </c>
      <c r="M257" s="27" t="n">
        <v>1.515464</v>
      </c>
      <c r="N257" s="28" t="n">
        <v>0.659864</v>
      </c>
      <c r="O257" s="28" t="n">
        <v>0.5540389999999999</v>
      </c>
      <c r="P257" s="28" t="n">
        <v>0.05</v>
      </c>
      <c r="Q257" s="28" t="n">
        <v>-0.105825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win</t>
        </is>
      </c>
      <c r="W257" s="26" t="n">
        <v>0</v>
      </c>
      <c r="X257" s="26" t="n">
        <v>1</v>
      </c>
      <c r="Y257" s="25" t="n"/>
      <c r="Z257" s="26" t="n">
        <v>-194</v>
      </c>
      <c r="AA257" s="28" t="n">
        <v>0.66</v>
      </c>
      <c r="AB257" s="28" t="n">
        <v>0.000136</v>
      </c>
      <c r="AC257" s="30" t="n">
        <v>0.5155</v>
      </c>
      <c r="AD257" s="24" t="inlineStr">
        <is>
          <t>2026-08-08T18:33:22.870955Z</t>
        </is>
      </c>
      <c r="AE257" s="31" t="inlineStr">
        <is>
          <t>Surface-blended Elo on Hard: Gabriela Knutson p=0.446 vs Carol Young Suh Lee. Executable ask 0.6600 (aec-wta-carlee-gabknu-2026-08-08).</t>
        </is>
      </c>
      <c r="AF257" s="31" t="inlineStr">
        <is>
          <t>Surface-blended Elo model; singles only, WTA+ATP market coverage, not yet locked-holdout qualified -- promoted by explicit operator directive, not genuine walk-forward validation.</t>
        </is>
      </c>
      <c r="AG257" s="24" t="inlineStr">
        <is>
          <t>not_applicable</t>
        </is>
      </c>
      <c r="AH257" s="24" t="n"/>
      <c r="AI257" s="31" t="n"/>
      <c r="AJ2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NO_CALL_WINNER_OVERVALUED</t>
        </is>
      </c>
      <c r="AP257" s="24" t="inlineStr">
        <is>
          <t>Gabriela Knutson</t>
        </is>
      </c>
      <c r="AQ257" s="24" t="inlineStr">
        <is>
          <t>Gabriela Knutson</t>
        </is>
      </c>
      <c r="AR257" s="24" t="inlineStr">
        <is>
          <t>Gabriela Knutson</t>
        </is>
      </c>
      <c r="AS257" s="24" t="inlineStr">
        <is>
          <t>Carol Young Suh Lee</t>
        </is>
      </c>
      <c r="AT257" s="24" t="inlineStr">
        <is>
          <t>Carol Young Suh Lee</t>
        </is>
      </c>
      <c r="AU257" s="24" t="inlineStr">
        <is>
          <t>Carol Young Suh Lee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3ab056fefe04713e3c294da76c8adb2866b0dc46556ed32322a0426dd344a0e4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3ab056fefe04713e3c294da76c8adb2866b0dc46556ed32322a0426dd344a0e4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3ab056fefe04713e3c294da76c8adb2866b0dc46556ed32322a0426dd344a0e4</t>
        </is>
      </c>
      <c r="BH257" s="24" t="inlineStr">
        <is>
          <t>2026-08-08T04:05:30.287893Z</t>
        </is>
      </c>
      <c r="BI257" s="24" t="inlineStr">
        <is>
          <t>["same_event","same_team_same_day","same_league_same_day"]</t>
        </is>
      </c>
      <c r="BJ257" s="25" t="n"/>
      <c r="BK257" s="26" t="n">
        <v>-194</v>
      </c>
      <c r="BL257" s="27" t="n">
        <v>1.515464</v>
      </c>
      <c r="BM257" s="28" t="n">
        <v>0.659864</v>
      </c>
      <c r="BN257" s="28" t="n"/>
      <c r="BO257" s="28" t="n"/>
      <c r="BP257" s="25" t="n"/>
      <c r="BQ257" s="27" t="n">
        <v>1.515464</v>
      </c>
      <c r="BR257" s="28" t="n">
        <v>0.66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</row>
    <row r="258" ht="36" customHeight="1">
      <c r="A258" s="24" t="inlineStr">
        <is>
          <t>1807cfd105cd47a2</t>
        </is>
      </c>
      <c r="B258" s="24" t="inlineStr">
        <is>
          <t>2026-08-08T18:36:25.161542Z</t>
        </is>
      </c>
      <c r="C258" s="24" t="inlineStr">
        <is>
          <t>2026-08-08T23:00Z</t>
        </is>
      </c>
      <c r="D258" s="24" t="inlineStr">
        <is>
          <t>421-2026:182224</t>
        </is>
      </c>
      <c r="E258" s="24" t="inlineStr">
        <is>
          <t>TENNIS</t>
        </is>
      </c>
      <c r="F258" s="24" t="inlineStr">
        <is>
          <t>Ekaterina Alexandrova</t>
        </is>
      </c>
      <c r="G258" s="24" t="inlineStr">
        <is>
          <t>Aryna Sabalenka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-525</v>
      </c>
      <c r="M258" s="27" t="n">
        <v>1.190476</v>
      </c>
      <c r="N258" s="28" t="n">
        <v>0.84</v>
      </c>
      <c r="O258" s="28" t="n">
        <v>0.914535</v>
      </c>
      <c r="P258" s="28" t="n">
        <v>0.05</v>
      </c>
      <c r="Q258" s="28" t="n">
        <v>0.074535</v>
      </c>
      <c r="R258" s="26" t="n">
        <v>57</v>
      </c>
      <c r="S258" s="29" t="n">
        <v>2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loss</t>
        </is>
      </c>
      <c r="W258" s="26" t="n">
        <v>1</v>
      </c>
      <c r="X258" s="26" t="n">
        <v>0</v>
      </c>
      <c r="Y258" s="25" t="n"/>
      <c r="Z258" s="26" t="n">
        <v>-525</v>
      </c>
      <c r="AA258" s="28" t="n">
        <v>0.84</v>
      </c>
      <c r="AB258" s="28" t="n">
        <v>0</v>
      </c>
      <c r="AC258" s="30" t="n">
        <v>-2</v>
      </c>
      <c r="AD258" s="24" t="inlineStr">
        <is>
          <t>2026-08-09T05:12:56.984051Z</t>
        </is>
      </c>
      <c r="AE258" s="31" t="inlineStr">
        <is>
          <t>Surface-blended Elo on Hard: Ekaterina Alexandrova p=0.085 vs Aryna Sabalenka. Executable ask 0.8400 (aec-wta-arysab-ekaale-2026-08-08).</t>
        </is>
      </c>
      <c r="AF258" s="31" t="inlineStr">
        <is>
          <t>Surface-blended Elo model; singles only, WTA+ATP market coverage, not yet locked-holdout qualified -- promoted by explicit operator directive, not genuine walk-forward validation.</t>
        </is>
      </c>
      <c r="AG258" s="24" t="inlineStr">
        <is>
          <t>review_required</t>
        </is>
      </c>
      <c r="AH258" s="24" t="n"/>
      <c r="AI258" s="31" t="n"/>
      <c r="AJ2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NO_CALL_WINNER_OVERVALUED</t>
        </is>
      </c>
      <c r="AP258" s="24" t="inlineStr">
        <is>
          <t>Ekaterina Alexandrova</t>
        </is>
      </c>
      <c r="AQ258" s="24" t="inlineStr">
        <is>
          <t>Ekaterina Alexandrova</t>
        </is>
      </c>
      <c r="AR258" s="24" t="inlineStr">
        <is>
          <t>Ekaterina Alexandrova</t>
        </is>
      </c>
      <c r="AS258" s="24" t="inlineStr">
        <is>
          <t>Aryna Sabalenka</t>
        </is>
      </c>
      <c r="AT258" s="24" t="inlineStr">
        <is>
          <t>Aryna Sabalenka</t>
        </is>
      </c>
      <c r="AU258" s="24" t="inlineStr">
        <is>
          <t>Aryna Sabalenka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3ab056fefe04713e3c294da76c8adb2866b0dc46556ed32322a0426dd344a0e4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3ab056fefe04713e3c294da76c8adb2866b0dc46556ed32322a0426dd344a0e4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3ab056fefe04713e3c294da76c8adb2866b0dc46556ed32322a0426dd344a0e4</t>
        </is>
      </c>
      <c r="BH258" s="24" t="inlineStr">
        <is>
          <t>2026-08-08T18:35:48.074179Z</t>
        </is>
      </c>
      <c r="BI258" s="24" t="inlineStr">
        <is>
          <t>["same_event","same_team_same_day","same_league_same_day"]</t>
        </is>
      </c>
      <c r="BJ258" s="25" t="n"/>
      <c r="BK258" s="26" t="n">
        <v>-525</v>
      </c>
      <c r="BL258" s="27" t="n">
        <v>1.190476</v>
      </c>
      <c r="BM258" s="28" t="n">
        <v>0.84</v>
      </c>
      <c r="BN258" s="28" t="n"/>
      <c r="BO258" s="28" t="n"/>
      <c r="BP258" s="25" t="n"/>
      <c r="BQ258" s="27" t="n">
        <v>1.190476</v>
      </c>
      <c r="BR258" s="28" t="n">
        <v>0.84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</row>
    <row r="259" ht="36" customHeight="1">
      <c r="A259" s="24" t="inlineStr">
        <is>
          <t>67365af711b9411e</t>
        </is>
      </c>
      <c r="B259" s="24" t="inlineStr">
        <is>
          <t>2026-08-08T18:36:25.161542Z</t>
        </is>
      </c>
      <c r="C259" s="24" t="inlineStr">
        <is>
          <t>2026-08-09T00:30Z</t>
        </is>
      </c>
      <c r="D259" s="24" t="inlineStr">
        <is>
          <t>421-2026:182200</t>
        </is>
      </c>
      <c r="E259" s="24" t="inlineStr">
        <is>
          <t>TENNIS</t>
        </is>
      </c>
      <c r="F259" s="24" t="inlineStr">
        <is>
          <t>Amanda Anisimova</t>
        </is>
      </c>
      <c r="G259" s="24" t="inlineStr">
        <is>
          <t>Elina Svitolina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-144</v>
      </c>
      <c r="M259" s="27" t="n">
        <v>1.694444</v>
      </c>
      <c r="N259" s="28" t="n">
        <v>0.590164</v>
      </c>
      <c r="O259" s="28" t="n">
        <v>0.542879</v>
      </c>
      <c r="P259" s="28" t="n">
        <v>0.05</v>
      </c>
      <c r="Q259" s="28" t="n">
        <v>-0.047285</v>
      </c>
      <c r="R259" s="26" t="n">
        <v>0</v>
      </c>
      <c r="S259" s="29" t="n">
        <v>1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win</t>
        </is>
      </c>
      <c r="W259" s="26" t="n">
        <v>0</v>
      </c>
      <c r="X259" s="26" t="n">
        <v>1</v>
      </c>
      <c r="Y259" s="25" t="n"/>
      <c r="Z259" s="26" t="n">
        <v>-144</v>
      </c>
      <c r="AA259" s="28" t="n">
        <v>0.59</v>
      </c>
      <c r="AB259" s="28" t="n">
        <v>-0.000164</v>
      </c>
      <c r="AC259" s="30" t="n">
        <v>0.6944</v>
      </c>
      <c r="AD259" s="24" t="inlineStr">
        <is>
          <t>2026-08-09T05:12:59.748735Z</t>
        </is>
      </c>
      <c r="AE259" s="31" t="inlineStr">
        <is>
          <t>Surface-blended Elo on Hard: Amanda Anisimova p=0.457 vs Elina Svitolina. Executable ask 0.5900 (aec-wta-elisvi-amaani-2026-08-09).</t>
        </is>
      </c>
      <c r="AF259" s="31" t="inlineStr">
        <is>
          <t>Surface-blended Elo model; singles only, WTA+ATP market coverage, not yet locked-holdout qualified -- promoted by explicit operator directive, not genuine walk-forward validation.</t>
        </is>
      </c>
      <c r="AG259" s="24" t="inlineStr">
        <is>
          <t>not_applicable</t>
        </is>
      </c>
      <c r="AH259" s="24" t="n"/>
      <c r="AI259" s="31" t="n"/>
      <c r="AJ2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NO_CALL_WINNER_OVERVALUED</t>
        </is>
      </c>
      <c r="AP259" s="24" t="inlineStr">
        <is>
          <t>Amanda Anisimova</t>
        </is>
      </c>
      <c r="AQ259" s="24" t="inlineStr">
        <is>
          <t>Amanda Anisimova</t>
        </is>
      </c>
      <c r="AR259" s="24" t="inlineStr">
        <is>
          <t>Amanda Anisimova</t>
        </is>
      </c>
      <c r="AS259" s="24" t="inlineStr">
        <is>
          <t>Elina Svitolina</t>
        </is>
      </c>
      <c r="AT259" s="24" t="inlineStr">
        <is>
          <t>Elina Svitolina</t>
        </is>
      </c>
      <c r="AU259" s="24" t="inlineStr">
        <is>
          <t>Elina Svitolina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3ab056fefe04713e3c294da76c8adb2866b0dc46556ed32322a0426dd344a0e4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3ab056fefe04713e3c294da76c8adb2866b0dc46556ed32322a0426dd344a0e4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3ab056fefe04713e3c294da76c8adb2866b0dc46556ed32322a0426dd344a0e4</t>
        </is>
      </c>
      <c r="BH259" s="24" t="inlineStr">
        <is>
          <t>2026-08-08T18:35:48.764233Z</t>
        </is>
      </c>
      <c r="BI259" s="24" t="inlineStr">
        <is>
          <t>["same_event","same_team_same_day","same_league_same_day"]</t>
        </is>
      </c>
      <c r="BJ259" s="25" t="n"/>
      <c r="BK259" s="26" t="n">
        <v>-144</v>
      </c>
      <c r="BL259" s="27" t="n">
        <v>1.694444</v>
      </c>
      <c r="BM259" s="28" t="n">
        <v>0.590164</v>
      </c>
      <c r="BN259" s="28" t="n"/>
      <c r="BO259" s="28" t="n"/>
      <c r="BP259" s="25" t="n"/>
      <c r="BQ259" s="27" t="n">
        <v>1.694444</v>
      </c>
      <c r="BR259" s="28" t="n">
        <v>0.59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</row>
    <row r="260" ht="36" customHeight="1">
      <c r="A260" s="24" t="inlineStr">
        <is>
          <t>b5a8447e0c9c4a1b</t>
        </is>
      </c>
      <c r="B260" s="24" t="inlineStr">
        <is>
          <t>2026-08-08T18:36:25.161542Z</t>
        </is>
      </c>
      <c r="C260" s="24" t="inlineStr">
        <is>
          <t>2026-08-08T22:00Z</t>
        </is>
      </c>
      <c r="D260" s="24" t="inlineStr">
        <is>
          <t>421-2026:181775</t>
        </is>
      </c>
      <c r="E260" s="24" t="inlineStr">
        <is>
          <t>TENNIS</t>
        </is>
      </c>
      <c r="F260" s="24" t="inlineStr">
        <is>
          <t>Rafael Jodar</t>
        </is>
      </c>
      <c r="G260" s="24" t="inlineStr">
        <is>
          <t>Jiri Lehecka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108</v>
      </c>
      <c r="M260" s="27" t="n">
        <v>2.08</v>
      </c>
      <c r="N260" s="28" t="n">
        <v>0.480769</v>
      </c>
      <c r="O260" s="28" t="n">
        <v>0.545414</v>
      </c>
      <c r="P260" s="28" t="n">
        <v>0.05</v>
      </c>
      <c r="Q260" s="28" t="n">
        <v>0.06464499999999999</v>
      </c>
      <c r="R260" s="26" t="n">
        <v>52</v>
      </c>
      <c r="S260" s="29" t="n">
        <v>1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>
        <v>108</v>
      </c>
      <c r="AA260" s="28" t="n">
        <v>0.48</v>
      </c>
      <c r="AB260" s="28" t="n">
        <v>-0.000769</v>
      </c>
      <c r="AC260" s="30" t="n">
        <v>-1</v>
      </c>
      <c r="AD260" s="24" t="inlineStr">
        <is>
          <t>2026-08-09T05:13:03.480000Z</t>
        </is>
      </c>
      <c r="AE260" s="31" t="inlineStr">
        <is>
          <t>Surface-blended Elo on Hard: Rafael Jodar p=0.455 vs Jiri Lehecka. Executable ask 0.4800 (aec-atp-jirleh-rafjod-2026-08-08).</t>
        </is>
      </c>
      <c r="AF260" s="31" t="inlineStr">
        <is>
          <t>Surface-blended Elo model; singles only, WTA+ATP market coverage, not yet locked-holdout qualified -- promoted by explicit operator directive, not genuine walk-forward validation.</t>
        </is>
      </c>
      <c r="AG260" s="24" t="inlineStr">
        <is>
          <t>review_required</t>
        </is>
      </c>
      <c r="AH260" s="24" t="n"/>
      <c r="AI260" s="31" t="n"/>
      <c r="AJ2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NO_CALL_WINNER_OVERVALUED</t>
        </is>
      </c>
      <c r="AP260" s="24" t="inlineStr">
        <is>
          <t>Rafael Jodar</t>
        </is>
      </c>
      <c r="AQ260" s="24" t="inlineStr">
        <is>
          <t>Rafael Jodar</t>
        </is>
      </c>
      <c r="AR260" s="24" t="inlineStr">
        <is>
          <t>Rafael Jodar</t>
        </is>
      </c>
      <c r="AS260" s="24" t="inlineStr">
        <is>
          <t>Jiri Lehecka</t>
        </is>
      </c>
      <c r="AT260" s="24" t="inlineStr">
        <is>
          <t>Jiri Lehecka</t>
        </is>
      </c>
      <c r="AU260" s="24" t="inlineStr">
        <is>
          <t>Jiri Lehecka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3ab056fefe04713e3c294da76c8adb2866b0dc46556ed32322a0426dd344a0e4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3ab056fefe04713e3c294da76c8adb2866b0dc46556ed32322a0426dd344a0e4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3ab056fefe04713e3c294da76c8adb2866b0dc46556ed32322a0426dd344a0e4</t>
        </is>
      </c>
      <c r="BH260" s="24" t="inlineStr">
        <is>
          <t>2026-08-08T18:35:50.235964Z</t>
        </is>
      </c>
      <c r="BI260" s="24" t="inlineStr">
        <is>
          <t>["same_event","same_team_same_day","same_league_same_day"]</t>
        </is>
      </c>
      <c r="BJ260" s="25" t="n"/>
      <c r="BK260" s="26" t="n">
        <v>108</v>
      </c>
      <c r="BL260" s="27" t="n">
        <v>2.08</v>
      </c>
      <c r="BM260" s="28" t="n">
        <v>0.480769</v>
      </c>
      <c r="BN260" s="28" t="n"/>
      <c r="BO260" s="28" t="n"/>
      <c r="BP260" s="25" t="n"/>
      <c r="BQ260" s="27" t="n">
        <v>2.08</v>
      </c>
      <c r="BR260" s="28" t="n">
        <v>0.48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</row>
    <row r="261" ht="36" customHeight="1">
      <c r="A261" s="24" t="inlineStr">
        <is>
          <t>00d499c18fd0433b</t>
        </is>
      </c>
      <c r="B261" s="24" t="inlineStr">
        <is>
          <t>2026-08-08T18:36:25.161542Z</t>
        </is>
      </c>
      <c r="C261" s="24" t="inlineStr">
        <is>
          <t>2026-08-08T23:30Z</t>
        </is>
      </c>
      <c r="D261" s="24" t="inlineStr">
        <is>
          <t>421-2026:181745</t>
        </is>
      </c>
      <c r="E261" s="24" t="inlineStr">
        <is>
          <t>TENNIS</t>
        </is>
      </c>
      <c r="F261" s="24" t="inlineStr">
        <is>
          <t>Cameron Norrie</t>
        </is>
      </c>
      <c r="G261" s="24" t="inlineStr">
        <is>
          <t>Arthur Fils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-245</v>
      </c>
      <c r="M261" s="27" t="n">
        <v>1.408163</v>
      </c>
      <c r="N261" s="28" t="n">
        <v>0.710145</v>
      </c>
      <c r="O261" s="28" t="n">
        <v>0.7323769999999999</v>
      </c>
      <c r="P261" s="28" t="n">
        <v>0.05</v>
      </c>
      <c r="Q261" s="28" t="n">
        <v>0.022232</v>
      </c>
      <c r="R261" s="26" t="n">
        <v>31</v>
      </c>
      <c r="S261" s="29" t="n">
        <v>2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win</t>
        </is>
      </c>
      <c r="W261" s="26" t="n">
        <v>0</v>
      </c>
      <c r="X261" s="26" t="n">
        <v>1</v>
      </c>
      <c r="Y261" s="25" t="n"/>
      <c r="Z261" s="26" t="n">
        <v>-245</v>
      </c>
      <c r="AA261" s="28" t="n">
        <v>0.71</v>
      </c>
      <c r="AB261" s="28" t="n">
        <v>-0.000145</v>
      </c>
      <c r="AC261" s="30" t="n">
        <v>0.8163</v>
      </c>
      <c r="AD261" s="24" t="inlineStr">
        <is>
          <t>2026-08-09T05:13:06.496971Z</t>
        </is>
      </c>
      <c r="AE261" s="31" t="inlineStr">
        <is>
          <t>Surface-blended Elo on Hard: Cameron Norrie p=0.268 vs Arthur Fils. Executable ask 0.7100 (aec-atp-artfil-camnor-2026-08-07).</t>
        </is>
      </c>
      <c r="AF261" s="31" t="inlineStr">
        <is>
          <t>Surface-blended Elo model; singles only, WTA+ATP market coverage, not yet locked-holdout qualified -- promoted by explicit operator directive, not genuine walk-forward validation.</t>
        </is>
      </c>
      <c r="AG261" s="24" t="inlineStr">
        <is>
          <t>not_applicable</t>
        </is>
      </c>
      <c r="AH261" s="24" t="n"/>
      <c r="AI261" s="31" t="n"/>
      <c r="AJ26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NO_CALL_WINNER_OVERVALUED</t>
        </is>
      </c>
      <c r="AP261" s="24" t="inlineStr">
        <is>
          <t>Cameron Norrie</t>
        </is>
      </c>
      <c r="AQ261" s="24" t="inlineStr">
        <is>
          <t>Cameron Norrie</t>
        </is>
      </c>
      <c r="AR261" s="24" t="inlineStr">
        <is>
          <t>Cameron Norrie</t>
        </is>
      </c>
      <c r="AS261" s="24" t="inlineStr">
        <is>
          <t>Arthur Fils</t>
        </is>
      </c>
      <c r="AT261" s="24" t="inlineStr">
        <is>
          <t>Arthur Fils</t>
        </is>
      </c>
      <c r="AU261" s="24" t="inlineStr">
        <is>
          <t>Arthur Fils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3ab056fefe04713e3c294da76c8adb2866b0dc46556ed32322a0426dd344a0e4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3ab056fefe04713e3c294da76c8adb2866b0dc46556ed32322a0426dd344a0e4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3ab056fefe04713e3c294da76c8adb2866b0dc46556ed32322a0426dd344a0e4</t>
        </is>
      </c>
      <c r="BH261" s="24" t="inlineStr">
        <is>
          <t>2026-08-08T18:35:50.478811Z</t>
        </is>
      </c>
      <c r="BI261" s="24" t="inlineStr">
        <is>
          <t>["same_event","same_team_same_day","same_league_same_day"]</t>
        </is>
      </c>
      <c r="BJ261" s="25" t="n"/>
      <c r="BK261" s="26" t="n">
        <v>-245</v>
      </c>
      <c r="BL261" s="27" t="n">
        <v>1.408163</v>
      </c>
      <c r="BM261" s="28" t="n">
        <v>0.710145</v>
      </c>
      <c r="BN261" s="28" t="n"/>
      <c r="BO261" s="28" t="n"/>
      <c r="BP261" s="25" t="n"/>
      <c r="BQ261" s="27" t="n">
        <v>1.408163</v>
      </c>
      <c r="BR261" s="28" t="n">
        <v>0.71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</row>
    <row r="262" ht="36" customHeight="1">
      <c r="A262" s="24" t="inlineStr">
        <is>
          <t>2e5687f28b8a4377</t>
        </is>
      </c>
      <c r="B262" s="24" t="inlineStr">
        <is>
          <t>2026-08-09T14:00:10.713543Z</t>
        </is>
      </c>
      <c r="C262" s="24" t="inlineStr">
        <is>
          <t>2026-08-09T16:30Z</t>
        </is>
      </c>
      <c r="D262" s="24" t="inlineStr">
        <is>
          <t>421-2026:182177</t>
        </is>
      </c>
      <c r="E262" s="24" t="inlineStr">
        <is>
          <t>TENNIS</t>
        </is>
      </c>
      <c r="F262" s="24" t="inlineStr">
        <is>
          <t>Elena Rybakina</t>
        </is>
      </c>
      <c r="G262" s="24" t="inlineStr">
        <is>
          <t>Liudmila Samsonova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-300</v>
      </c>
      <c r="M262" s="27" t="n">
        <v>1.333333</v>
      </c>
      <c r="N262" s="28" t="n">
        <v>0.75</v>
      </c>
      <c r="O262" s="28" t="n">
        <v>0.9112749999999999</v>
      </c>
      <c r="P262" s="28" t="n">
        <v>0.05</v>
      </c>
      <c r="Q262" s="28" t="n">
        <v>0.161275</v>
      </c>
      <c r="R262" s="26" t="n">
        <v>100</v>
      </c>
      <c r="S262" s="29" t="n">
        <v>2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win</t>
        </is>
      </c>
      <c r="W262" s="26" t="n">
        <v>1</v>
      </c>
      <c r="X262" s="26" t="n">
        <v>0</v>
      </c>
      <c r="Y262" s="25" t="n"/>
      <c r="Z262" s="26" t="n">
        <v>-300</v>
      </c>
      <c r="AA262" s="28" t="n">
        <v>0.75</v>
      </c>
      <c r="AB262" s="28" t="n">
        <v>0</v>
      </c>
      <c r="AC262" s="30" t="n">
        <v>0.6667</v>
      </c>
      <c r="AD262" s="24" t="inlineStr">
        <is>
          <t>2026-08-09T20:24:41.732637Z</t>
        </is>
      </c>
      <c r="AE262" s="31" t="inlineStr">
        <is>
          <t>Surface-blended Elo on Hard: Elena Rybakina p=0.911 vs Liudmila Samsonova. Executable ask 0.7500 (aec-wta-liusam-eleryb-2026-08-09).</t>
        </is>
      </c>
      <c r="AF262" s="31" t="inlineStr">
        <is>
          <t>Surface-blended Elo model; singles only, WTA+ATP market coverage, not yet locked-holdout qualified -- promoted by explicit operator directive, not genuine walk-forward validation.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3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Elena Rybakina</t>
        </is>
      </c>
      <c r="AQ262" s="24" t="inlineStr">
        <is>
          <t>Elena Rybakina</t>
        </is>
      </c>
      <c r="AR262" s="24" t="inlineStr">
        <is>
          <t>Elena Rybakina</t>
        </is>
      </c>
      <c r="AS262" s="24" t="inlineStr">
        <is>
          <t>Liudmila Samsonova</t>
        </is>
      </c>
      <c r="AT262" s="24" t="inlineStr">
        <is>
          <t>Liudmila Samsonova</t>
        </is>
      </c>
      <c r="AU262" s="24" t="inlineStr">
        <is>
          <t>Liudmila Samsonova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3ab056fefe04713e3c294da76c8adb2866b0dc46556ed32322a0426dd344a0e4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3ab056fefe04713e3c294da76c8adb2866b0dc46556ed32322a0426dd344a0e4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3ab056fefe04713e3c294da76c8adb2866b0dc46556ed32322a0426dd344a0e4</t>
        </is>
      </c>
      <c r="BH262" s="24" t="inlineStr">
        <is>
          <t>2026-08-09T13:58:22.617706Z</t>
        </is>
      </c>
      <c r="BI262" s="24" t="inlineStr">
        <is>
          <t>["same_event","same_team_same_day","same_league_same_day"]</t>
        </is>
      </c>
      <c r="BJ262" s="25" t="n"/>
      <c r="BK262" s="26" t="n">
        <v>-300</v>
      </c>
      <c r="BL262" s="27" t="n">
        <v>1.333333</v>
      </c>
      <c r="BM262" s="28" t="n">
        <v>0.75</v>
      </c>
      <c r="BN262" s="28" t="n"/>
      <c r="BO262" s="28" t="n"/>
      <c r="BP262" s="25" t="n"/>
      <c r="BQ262" s="27" t="n">
        <v>1.333333</v>
      </c>
      <c r="BR262" s="28" t="n">
        <v>0.75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</row>
    <row r="263" ht="36" customHeight="1">
      <c r="A263" s="24" t="inlineStr">
        <is>
          <t>81dab597ef6840e5</t>
        </is>
      </c>
      <c r="B263" s="24" t="inlineStr">
        <is>
          <t>2026-08-09T14:00:10.713543Z</t>
        </is>
      </c>
      <c r="C263" s="24" t="inlineStr">
        <is>
          <t>2026-08-09T16:30Z</t>
        </is>
      </c>
      <c r="D263" s="24" t="inlineStr">
        <is>
          <t>421-2026:181739</t>
        </is>
      </c>
      <c r="E263" s="24" t="inlineStr">
        <is>
          <t>TENNIS</t>
        </is>
      </c>
      <c r="F263" s="24" t="inlineStr">
        <is>
          <t>Daniel Merida</t>
        </is>
      </c>
      <c r="G263" s="24" t="inlineStr">
        <is>
          <t>Tallon Griekspoor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117</v>
      </c>
      <c r="M263" s="27" t="n">
        <v>2.17</v>
      </c>
      <c r="N263" s="28" t="n">
        <v>0.460829</v>
      </c>
      <c r="O263" s="28" t="n">
        <v>0.5573360000000001</v>
      </c>
      <c r="P263" s="28" t="n">
        <v>0.05</v>
      </c>
      <c r="Q263" s="28" t="n">
        <v>0.096507</v>
      </c>
      <c r="R263" s="26" t="n">
        <v>68</v>
      </c>
      <c r="S263" s="29" t="n">
        <v>1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win</t>
        </is>
      </c>
      <c r="W263" s="26" t="n">
        <v>1</v>
      </c>
      <c r="X263" s="26" t="n">
        <v>0</v>
      </c>
      <c r="Y263" s="25" t="n"/>
      <c r="Z263" s="26" t="n">
        <v>117</v>
      </c>
      <c r="AA263" s="28" t="n">
        <v>0.46</v>
      </c>
      <c r="AB263" s="28" t="n">
        <v>-0.000829</v>
      </c>
      <c r="AC263" s="30" t="n">
        <v>1.17</v>
      </c>
      <c r="AD263" s="24" t="inlineStr">
        <is>
          <t>2026-08-09T20:24:43.160289Z</t>
        </is>
      </c>
      <c r="AE263" s="31" t="inlineStr">
        <is>
          <t>Surface-blended Elo on Hard: Daniel Merida p=0.557 vs Tallon Griekspoor. Executable ask 0.4600 (aec-atp-talgri-danagu-2026-08-08).</t>
        </is>
      </c>
      <c r="AF263" s="31" t="inlineStr">
        <is>
          <t>Surface-blended Elo model; singles only, WTA+ATP market coverage, not yet locked-holdout qualified -- promoted by explicit operator directive, not genuine walk-forward validation.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3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Daniel Merida</t>
        </is>
      </c>
      <c r="AQ263" s="24" t="inlineStr">
        <is>
          <t>Daniel Merida</t>
        </is>
      </c>
      <c r="AR263" s="24" t="inlineStr">
        <is>
          <t>Daniel Merida</t>
        </is>
      </c>
      <c r="AS263" s="24" t="inlineStr">
        <is>
          <t>Tallon Griekspoor</t>
        </is>
      </c>
      <c r="AT263" s="24" t="inlineStr">
        <is>
          <t>Tallon Griekspoor</t>
        </is>
      </c>
      <c r="AU263" s="24" t="inlineStr">
        <is>
          <t>Tallon Griekspoor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3ab056fefe04713e3c294da76c8adb2866b0dc46556ed32322a0426dd344a0e4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3ab056fefe04713e3c294da76c8adb2866b0dc46556ed32322a0426dd344a0e4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3ab056fefe04713e3c294da76c8adb2866b0dc46556ed32322a0426dd344a0e4</t>
        </is>
      </c>
      <c r="BH263" s="24" t="inlineStr">
        <is>
          <t>2026-08-09T13:58:24.994988Z</t>
        </is>
      </c>
      <c r="BI263" s="24" t="inlineStr">
        <is>
          <t>["same_event","same_team_same_day","same_league_same_day"]</t>
        </is>
      </c>
      <c r="BJ263" s="25" t="n"/>
      <c r="BK263" s="26" t="n">
        <v>117</v>
      </c>
      <c r="BL263" s="27" t="n">
        <v>2.17</v>
      </c>
      <c r="BM263" s="28" t="n">
        <v>0.460829</v>
      </c>
      <c r="BN263" s="28" t="n"/>
      <c r="BO263" s="28" t="n"/>
      <c r="BP263" s="25" t="n"/>
      <c r="BQ263" s="27" t="n">
        <v>2.17</v>
      </c>
      <c r="BR263" s="28" t="n">
        <v>0.46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</row>
    <row r="264" ht="36" customHeight="1">
      <c r="A264" s="24" t="inlineStr">
        <is>
          <t>379c1a39a679461b</t>
        </is>
      </c>
      <c r="B264" s="24" t="inlineStr">
        <is>
          <t>2026-08-09T17:06:49.007603Z</t>
        </is>
      </c>
      <c r="C264" s="24" t="inlineStr">
        <is>
          <t>2026-08-09T18:00Z</t>
        </is>
      </c>
      <c r="D264" s="24" t="inlineStr">
        <is>
          <t>421-2026:182197</t>
        </is>
      </c>
      <c r="E264" s="24" t="inlineStr">
        <is>
          <t>TENNIS</t>
        </is>
      </c>
      <c r="F264" s="24" t="inlineStr">
        <is>
          <t>Coco Gauff</t>
        </is>
      </c>
      <c r="G264" s="24" t="inlineStr">
        <is>
          <t>Alina Korneeva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-317</v>
      </c>
      <c r="M264" s="27" t="n">
        <v>1.315457</v>
      </c>
      <c r="N264" s="28" t="n">
        <v>0.760192</v>
      </c>
      <c r="O264" s="28" t="n">
        <v>0.846981</v>
      </c>
      <c r="P264" s="28" t="n">
        <v>0.05</v>
      </c>
      <c r="Q264" s="28" t="n">
        <v>0.08678900000000001</v>
      </c>
      <c r="R264" s="26" t="n">
        <v>63</v>
      </c>
      <c r="S264" s="29" t="n">
        <v>2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-317</v>
      </c>
      <c r="AA264" s="28" t="n">
        <v>0.76</v>
      </c>
      <c r="AB264" s="28" t="n">
        <v>-0.000192</v>
      </c>
      <c r="AC264" s="30" t="n">
        <v>0.6309</v>
      </c>
      <c r="AD264" s="24" t="inlineStr">
        <is>
          <t>2026-08-09T23:29:58.083509Z</t>
        </is>
      </c>
      <c r="AE264" s="31" t="inlineStr">
        <is>
          <t>Surface-blended Elo on Hard: Coco Gauff p=0.847 vs Alina Korneeva. Executable ask 0.7600 (aec-wta-alikor-cocgau-2026-08-09).</t>
        </is>
      </c>
      <c r="AF264" s="31" t="inlineStr">
        <is>
          <t>Surface-blended Elo model; singles only, WTA+ATP market coverage, not yet locked-holdout qualified -- promoted by explicit operator directive, not genuine walk-forward validation.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3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Coco Gauff</t>
        </is>
      </c>
      <c r="AQ264" s="24" t="inlineStr">
        <is>
          <t>Coco Gauff</t>
        </is>
      </c>
      <c r="AR264" s="24" t="inlineStr">
        <is>
          <t>Coco Gauff</t>
        </is>
      </c>
      <c r="AS264" s="24" t="inlineStr">
        <is>
          <t>Alina Korneeva</t>
        </is>
      </c>
      <c r="AT264" s="24" t="inlineStr">
        <is>
          <t>Alina Korneeva</t>
        </is>
      </c>
      <c r="AU264" s="24" t="inlineStr">
        <is>
          <t>Alina Korneeva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3ab056fefe04713e3c294da76c8adb2866b0dc46556ed32322a0426dd344a0e4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3ab056fefe04713e3c294da76c8adb2866b0dc46556ed32322a0426dd344a0e4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3ab056fefe04713e3c294da76c8adb2866b0dc46556ed32322a0426dd344a0e4</t>
        </is>
      </c>
      <c r="BH264" s="24" t="inlineStr">
        <is>
          <t>2026-08-09T17:05:49.061688Z</t>
        </is>
      </c>
      <c r="BI264" s="24" t="inlineStr">
        <is>
          <t>["same_event","same_team_same_day","same_league_same_day"]</t>
        </is>
      </c>
      <c r="BJ264" s="25" t="n"/>
      <c r="BK264" s="26" t="n">
        <v>-317</v>
      </c>
      <c r="BL264" s="27" t="n">
        <v>1.315457</v>
      </c>
      <c r="BM264" s="28" t="n">
        <v>0.760192</v>
      </c>
      <c r="BN264" s="28" t="n"/>
      <c r="BO264" s="28" t="n"/>
      <c r="BP264" s="25" t="n"/>
      <c r="BQ264" s="27" t="n">
        <v>1.315457</v>
      </c>
      <c r="BR264" s="28" t="n">
        <v>0.76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</row>
    <row r="265" ht="36" customHeight="1">
      <c r="A265" s="24" t="inlineStr">
        <is>
          <t>ebac857c76584a8e</t>
        </is>
      </c>
      <c r="B265" s="24" t="inlineStr">
        <is>
          <t>2026-08-09T17:06:49.007603Z</t>
        </is>
      </c>
      <c r="C265" s="24" t="inlineStr">
        <is>
          <t>2026-08-09T18:00Z</t>
        </is>
      </c>
      <c r="D265" s="24" t="inlineStr">
        <is>
          <t>421-2026:181744</t>
        </is>
      </c>
      <c r="E265" s="24" t="inlineStr">
        <is>
          <t>TENNIS</t>
        </is>
      </c>
      <c r="F265" s="24" t="inlineStr">
        <is>
          <t>Thiago Agustin Tirante</t>
        </is>
      </c>
      <c r="G265" s="24" t="inlineStr">
        <is>
          <t>Learner Tien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-223</v>
      </c>
      <c r="M265" s="27" t="n">
        <v>1.44843</v>
      </c>
      <c r="N265" s="28" t="n">
        <v>0.690402</v>
      </c>
      <c r="O265" s="28" t="n">
        <v>0.6904709999999999</v>
      </c>
      <c r="P265" s="28" t="n">
        <v>0.05</v>
      </c>
      <c r="Q265" s="28" t="n">
        <v>6.9e-05</v>
      </c>
      <c r="R265" s="26" t="n">
        <v>20</v>
      </c>
      <c r="S265" s="29" t="n">
        <v>2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1</v>
      </c>
      <c r="Y265" s="25" t="n"/>
      <c r="Z265" s="26" t="n">
        <v>-223</v>
      </c>
      <c r="AA265" s="28" t="n">
        <v>0.6899999999999999</v>
      </c>
      <c r="AB265" s="28" t="n">
        <v>-0.000402</v>
      </c>
      <c r="AC265" s="30" t="n">
        <v>0.8969</v>
      </c>
      <c r="AD265" s="24" t="inlineStr">
        <is>
          <t>2026-08-09T20:25:04.546815Z</t>
        </is>
      </c>
      <c r="AE265" s="31" t="inlineStr">
        <is>
          <t>Surface-blended Elo on Hard: Thiago Agustin Tirante p=0.310 vs Learner Tien. Executable ask 0.6900 (aec-atp-leatie-thitir-2026-08-10).</t>
        </is>
      </c>
      <c r="AF265" s="31" t="inlineStr">
        <is>
          <t>Surface-blended Elo model; singles only, WTA+ATP market coverage, not yet locked-holdout qualified -- promoted by explicit operator directive, not genuine walk-forward validation.</t>
        </is>
      </c>
      <c r="AG265" s="24" t="inlineStr">
        <is>
          <t>not_applicable</t>
        </is>
      </c>
      <c r="AH265" s="24" t="n"/>
      <c r="AI265" s="31" t="n"/>
      <c r="AJ2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NO_CALL_WINNER_OVERVALUED</t>
        </is>
      </c>
      <c r="AP265" s="24" t="inlineStr">
        <is>
          <t>Thiago Agustin Tirante</t>
        </is>
      </c>
      <c r="AQ265" s="24" t="inlineStr">
        <is>
          <t>Thiago Agustin Tirante</t>
        </is>
      </c>
      <c r="AR265" s="24" t="inlineStr">
        <is>
          <t>Thiago Agustin Tirante</t>
        </is>
      </c>
      <c r="AS265" s="24" t="inlineStr">
        <is>
          <t>Learner Tien</t>
        </is>
      </c>
      <c r="AT265" s="24" t="inlineStr">
        <is>
          <t>Learner Tien</t>
        </is>
      </c>
      <c r="AU265" s="24" t="inlineStr">
        <is>
          <t>Learner Tien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3ab056fefe04713e3c294da76c8adb2866b0dc46556ed32322a0426dd344a0e4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3ab056fefe04713e3c294da76c8adb2866b0dc46556ed32322a0426dd344a0e4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3ab056fefe04713e3c294da76c8adb2866b0dc46556ed32322a0426dd344a0e4</t>
        </is>
      </c>
      <c r="BH265" s="24" t="inlineStr">
        <is>
          <t>2026-08-09T17:05:52.146087Z</t>
        </is>
      </c>
      <c r="BI265" s="24" t="inlineStr">
        <is>
          <t>["same_event","same_team_same_day","same_league_same_day"]</t>
        </is>
      </c>
      <c r="BJ265" s="25" t="n"/>
      <c r="BK265" s="26" t="n">
        <v>-223</v>
      </c>
      <c r="BL265" s="27" t="n">
        <v>1.44843</v>
      </c>
      <c r="BM265" s="28" t="n">
        <v>0.690402</v>
      </c>
      <c r="BN265" s="28" t="n"/>
      <c r="BO265" s="28" t="n"/>
      <c r="BP265" s="25" t="n"/>
      <c r="BQ265" s="27" t="n">
        <v>1.44843</v>
      </c>
      <c r="BR265" s="28" t="n">
        <v>0.6899999999999999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</row>
    <row r="266" ht="36" customHeight="1">
      <c r="A266" s="24" t="inlineStr">
        <is>
          <t>f408e764074a441a</t>
        </is>
      </c>
      <c r="B266" s="24" t="inlineStr">
        <is>
          <t>2026-08-09T20:27:13.230036Z</t>
        </is>
      </c>
      <c r="C266" s="24" t="inlineStr">
        <is>
          <t>2026-08-09T23:00Z</t>
        </is>
      </c>
      <c r="D266" s="24" t="inlineStr">
        <is>
          <t>421-2026:182169</t>
        </is>
      </c>
      <c r="E266" s="24" t="inlineStr">
        <is>
          <t>TENNIS</t>
        </is>
      </c>
      <c r="F266" s="24" t="inlineStr">
        <is>
          <t>Naomi Osaka</t>
        </is>
      </c>
      <c r="G266" s="24" t="inlineStr">
        <is>
          <t>Leylah Fernandez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-233</v>
      </c>
      <c r="M266" s="27" t="n">
        <v>1.429185</v>
      </c>
      <c r="N266" s="28" t="n">
        <v>0.6997</v>
      </c>
      <c r="O266" s="28" t="n">
        <v>0.726025</v>
      </c>
      <c r="P266" s="28" t="n">
        <v>0.05</v>
      </c>
      <c r="Q266" s="28" t="n">
        <v>0.026325</v>
      </c>
      <c r="R266" s="26" t="n">
        <v>33</v>
      </c>
      <c r="S266" s="29" t="n">
        <v>2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-233</v>
      </c>
      <c r="AA266" s="28" t="n">
        <v>0.7</v>
      </c>
      <c r="AB266" s="28" t="n">
        <v>0.0003</v>
      </c>
      <c r="AC266" s="30" t="n">
        <v>0.8584000000000001</v>
      </c>
      <c r="AD266" s="24" t="inlineStr">
        <is>
          <t>2026-08-10T02:34:08.501645Z</t>
        </is>
      </c>
      <c r="AE266" s="31" t="inlineStr">
        <is>
          <t>Surface-blended Elo on Hard: Naomi Osaka p=0.726 vs Leylah Fernandez. Executable ask 0.7000 (aec-wta-leyfer-naoosa-2026-08-09).</t>
        </is>
      </c>
      <c r="AF266" s="31" t="inlineStr">
        <is>
          <t>Surface-blended Elo model; singles only, WTA+ATP market coverage, not yet locked-holdout qualified -- promoted by explicit operator directive, not genuine walk-forward validation.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NO_CALL_LOW_EDGE</t>
        </is>
      </c>
      <c r="AP266" s="24" t="inlineStr">
        <is>
          <t>Naomi Osaka</t>
        </is>
      </c>
      <c r="AQ266" s="24" t="inlineStr">
        <is>
          <t>Naomi Osaka</t>
        </is>
      </c>
      <c r="AR266" s="24" t="inlineStr">
        <is>
          <t>Naomi Osaka</t>
        </is>
      </c>
      <c r="AS266" s="24" t="inlineStr">
        <is>
          <t>Leylah Fernandez</t>
        </is>
      </c>
      <c r="AT266" s="24" t="inlineStr">
        <is>
          <t>Leylah Fernandez</t>
        </is>
      </c>
      <c r="AU266" s="24" t="inlineStr">
        <is>
          <t>Leylah Fernandez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3ab056fefe04713e3c294da76c8adb2866b0dc46556ed32322a0426dd344a0e4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3ab056fefe04713e3c294da76c8adb2866b0dc46556ed32322a0426dd344a0e4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3ab056fefe04713e3c294da76c8adb2866b0dc46556ed32322a0426dd344a0e4</t>
        </is>
      </c>
      <c r="BH266" s="24" t="inlineStr">
        <is>
          <t>2026-08-09T20:26:48.726357Z</t>
        </is>
      </c>
      <c r="BI266" s="24" t="inlineStr">
        <is>
          <t>["same_event","same_team_same_day","same_league_same_day"]</t>
        </is>
      </c>
      <c r="BJ266" s="25" t="n"/>
      <c r="BK266" s="26" t="n">
        <v>-233</v>
      </c>
      <c r="BL266" s="27" t="n">
        <v>1.429185</v>
      </c>
      <c r="BM266" s="28" t="n">
        <v>0.6997</v>
      </c>
      <c r="BN266" s="28" t="n"/>
      <c r="BO266" s="28" t="n"/>
      <c r="BP266" s="25" t="n"/>
      <c r="BQ266" s="27" t="n">
        <v>1.429185</v>
      </c>
      <c r="BR266" s="28" t="n">
        <v>0.7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</row>
    <row r="267" ht="36" customHeight="1">
      <c r="A267" s="24" t="inlineStr">
        <is>
          <t>bbfb35a1c0f84ba1</t>
        </is>
      </c>
      <c r="B267" s="24" t="inlineStr">
        <is>
          <t>2026-08-09T20:27:13.230036Z</t>
        </is>
      </c>
      <c r="C267" s="24" t="inlineStr">
        <is>
          <t>2026-08-09T22:00Z</t>
        </is>
      </c>
      <c r="D267" s="24" t="inlineStr">
        <is>
          <t>421-2026:181772</t>
        </is>
      </c>
      <c r="E267" s="24" t="inlineStr">
        <is>
          <t>TENNIS</t>
        </is>
      </c>
      <c r="F267" s="24" t="inlineStr">
        <is>
          <t>Ben Shelton</t>
        </is>
      </c>
      <c r="G267" s="24" t="inlineStr">
        <is>
          <t>Joao Fonseca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-127</v>
      </c>
      <c r="M267" s="27" t="n">
        <v>1.787402</v>
      </c>
      <c r="N267" s="28" t="n">
        <v>0.5594710000000001</v>
      </c>
      <c r="O267" s="28" t="n">
        <v>0.620733</v>
      </c>
      <c r="P267" s="28" t="n">
        <v>0.05</v>
      </c>
      <c r="Q267" s="28" t="n">
        <v>0.061262</v>
      </c>
      <c r="R267" s="26" t="n">
        <v>51</v>
      </c>
      <c r="S267" s="29" t="n">
        <v>1.5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win</t>
        </is>
      </c>
      <c r="W267" s="26" t="n">
        <v>1</v>
      </c>
      <c r="X267" s="26" t="n">
        <v>0</v>
      </c>
      <c r="Y267" s="25" t="n"/>
      <c r="Z267" s="26" t="n">
        <v>-127</v>
      </c>
      <c r="AA267" s="28" t="n">
        <v>0.5600000000000001</v>
      </c>
      <c r="AB267" s="28" t="n">
        <v>0.000529</v>
      </c>
      <c r="AC267" s="30" t="n">
        <v>1.1811</v>
      </c>
      <c r="AD267" s="24" t="inlineStr">
        <is>
          <t>2026-08-10T02:34:09.899248Z</t>
        </is>
      </c>
      <c r="AE267" s="31" t="inlineStr">
        <is>
          <t>Surface-blended Elo on Hard: Ben Shelton p=0.621 vs Joao Fonseca. Executable ask 0.5600 (aec-atp-joafon-benshe-2026-08-10).</t>
        </is>
      </c>
      <c r="AF267" s="31" t="inlineStr">
        <is>
          <t>Surface-blended Elo model; singles only, WTA+ATP market coverage, not yet locked-holdout qualified -- promoted by explicit operator directive, not genuine walk-forward validation.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3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Ben Shelton</t>
        </is>
      </c>
      <c r="AQ267" s="24" t="inlineStr">
        <is>
          <t>Ben Shelton</t>
        </is>
      </c>
      <c r="AR267" s="24" t="inlineStr">
        <is>
          <t>Ben Shelton</t>
        </is>
      </c>
      <c r="AS267" s="24" t="inlineStr">
        <is>
          <t>Joao Fonseca</t>
        </is>
      </c>
      <c r="AT267" s="24" t="inlineStr">
        <is>
          <t>Joao Fonseca</t>
        </is>
      </c>
      <c r="AU267" s="24" t="inlineStr">
        <is>
          <t>Joao Fonseca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3ab056fefe04713e3c294da76c8adb2866b0dc46556ed32322a0426dd344a0e4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3ab056fefe04713e3c294da76c8adb2866b0dc46556ed32322a0426dd344a0e4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3ab056fefe04713e3c294da76c8adb2866b0dc46556ed32322a0426dd344a0e4</t>
        </is>
      </c>
      <c r="BH267" s="24" t="inlineStr">
        <is>
          <t>2026-08-09T20:26:49.889205Z</t>
        </is>
      </c>
      <c r="BI267" s="24" t="inlineStr">
        <is>
          <t>["same_event","same_team_same_day","same_league_same_day"]</t>
        </is>
      </c>
      <c r="BJ267" s="25" t="n"/>
      <c r="BK267" s="26" t="n">
        <v>-127</v>
      </c>
      <c r="BL267" s="27" t="n">
        <v>1.787402</v>
      </c>
      <c r="BM267" s="28" t="n">
        <v>0.5594710000000001</v>
      </c>
      <c r="BN267" s="28" t="n"/>
      <c r="BO267" s="28" t="n"/>
      <c r="BP267" s="25" t="n"/>
      <c r="BQ267" s="27" t="n">
        <v>1.787402</v>
      </c>
      <c r="BR267" s="28" t="n">
        <v>0.5600000000000001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</row>
    <row r="268" ht="36" customHeight="1">
      <c r="A268" s="24" t="inlineStr">
        <is>
          <t>e0a2782a46434933</t>
        </is>
      </c>
      <c r="B268" s="24" t="inlineStr">
        <is>
          <t>2026-08-09T20:27:13.230036Z</t>
        </is>
      </c>
      <c r="C268" s="24" t="inlineStr">
        <is>
          <t>2026-08-09T23:30Z</t>
        </is>
      </c>
      <c r="D268" s="24" t="inlineStr">
        <is>
          <t>421-2026:181723</t>
        </is>
      </c>
      <c r="E268" s="24" t="inlineStr">
        <is>
          <t>TENNIS</t>
        </is>
      </c>
      <c r="F268" s="24" t="inlineStr">
        <is>
          <t>Jakub Mensik</t>
        </is>
      </c>
      <c r="G268" s="24" t="inlineStr">
        <is>
          <t>Botic Van De Zandschulp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-257</v>
      </c>
      <c r="M268" s="27" t="n">
        <v>1.389105</v>
      </c>
      <c r="N268" s="28" t="n">
        <v>0.719888</v>
      </c>
      <c r="O268" s="28" t="n">
        <v>0.684791</v>
      </c>
      <c r="P268" s="28" t="n">
        <v>0.05</v>
      </c>
      <c r="Q268" s="28" t="n">
        <v>-0.035097</v>
      </c>
      <c r="R268" s="26" t="n">
        <v>2</v>
      </c>
      <c r="S268" s="29" t="n">
        <v>2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win</t>
        </is>
      </c>
      <c r="W268" s="26" t="n">
        <v>1</v>
      </c>
      <c r="X268" s="26" t="n">
        <v>0</v>
      </c>
      <c r="Y268" s="25" t="n"/>
      <c r="Z268" s="26" t="n">
        <v>-257</v>
      </c>
      <c r="AA268" s="28" t="n">
        <v>0.72</v>
      </c>
      <c r="AB268" s="28" t="n">
        <v>0.000112</v>
      </c>
      <c r="AC268" s="30" t="n">
        <v>0.7782</v>
      </c>
      <c r="AD268" s="24" t="inlineStr">
        <is>
          <t>2026-08-10T02:34:11.314621Z</t>
        </is>
      </c>
      <c r="AE268" s="31" t="inlineStr">
        <is>
          <t>Surface-blended Elo on Hard: Jakub Mensik p=0.685 vs Botic Van De Zandschulp. Executable ask 0.7200 (aec-atp-botzan-jakmen-2026-08-10).</t>
        </is>
      </c>
      <c r="AF268" s="31" t="inlineStr">
        <is>
          <t>Surface-blended Elo model; singles only, WTA+ATP market coverage, not yet locked-holdout qualified -- promoted by explicit operator directive, not genuine walk-forward validation.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NO_CALL_LOW_EDGE</t>
        </is>
      </c>
      <c r="AP268" s="24" t="inlineStr">
        <is>
          <t>Jakub Mensik</t>
        </is>
      </c>
      <c r="AQ268" s="24" t="inlineStr">
        <is>
          <t>Jakub Mensik</t>
        </is>
      </c>
      <c r="AR268" s="24" t="inlineStr">
        <is>
          <t>Jakub Mensik</t>
        </is>
      </c>
      <c r="AS268" s="24" t="inlineStr">
        <is>
          <t>Botic Van De Zandschulp</t>
        </is>
      </c>
      <c r="AT268" s="24" t="inlineStr">
        <is>
          <t>Botic Van De Zandschulp</t>
        </is>
      </c>
      <c r="AU268" s="24" t="inlineStr">
        <is>
          <t>Botic Van De Zandschulp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3ab056fefe04713e3c294da76c8adb2866b0dc46556ed32322a0426dd344a0e4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3ab056fefe04713e3c294da76c8adb2866b0dc46556ed32322a0426dd344a0e4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3ab056fefe04713e3c294da76c8adb2866b0dc46556ed32322a0426dd344a0e4</t>
        </is>
      </c>
      <c r="BH268" s="24" t="inlineStr">
        <is>
          <t>2026-08-09T20:26:50.871018Z</t>
        </is>
      </c>
      <c r="BI268" s="24" t="inlineStr">
        <is>
          <t>["same_event","same_team_same_day","same_league_same_day"]</t>
        </is>
      </c>
      <c r="BJ268" s="25" t="n"/>
      <c r="BK268" s="26" t="n">
        <v>-257</v>
      </c>
      <c r="BL268" s="27" t="n">
        <v>1.389105</v>
      </c>
      <c r="BM268" s="28" t="n">
        <v>0.719888</v>
      </c>
      <c r="BN268" s="28" t="n"/>
      <c r="BO268" s="28" t="n"/>
      <c r="BP268" s="25" t="n"/>
      <c r="BQ268" s="27" t="n">
        <v>1.389105</v>
      </c>
      <c r="BR268" s="28" t="n">
        <v>0.72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</row>
    <row r="269" ht="36" customHeight="1">
      <c r="A269" s="24" t="inlineStr">
        <is>
          <t>955c5c25d21f4f92</t>
        </is>
      </c>
      <c r="B269" s="24" t="inlineStr">
        <is>
          <t>2026-08-09T23:32:17.957013Z</t>
        </is>
      </c>
      <c r="C269" s="24" t="inlineStr">
        <is>
          <t>2026-08-10T00:30Z</t>
        </is>
      </c>
      <c r="D269" s="24" t="inlineStr">
        <is>
          <t>421-2026:182189</t>
        </is>
      </c>
      <c r="E269" s="24" t="inlineStr">
        <is>
          <t>TENNIS</t>
        </is>
      </c>
      <c r="F269" s="24" t="inlineStr">
        <is>
          <t>Belinda Bencic</t>
        </is>
      </c>
      <c r="G269" s="24" t="inlineStr">
        <is>
          <t>Alexandra Eala</t>
        </is>
      </c>
      <c r="H269" s="24" t="inlineStr">
        <is>
          <t>moneyline</t>
        </is>
      </c>
      <c r="I269" s="24" t="inlineStr">
        <is>
          <t>away</t>
        </is>
      </c>
      <c r="J269" s="25" t="n"/>
      <c r="K269" s="24" t="inlineStr">
        <is>
          <t>polymarket_us</t>
        </is>
      </c>
      <c r="L269" s="26" t="n">
        <v>-117</v>
      </c>
      <c r="M269" s="27" t="n">
        <v>1.854701</v>
      </c>
      <c r="N269" s="28" t="n">
        <v>0.539171</v>
      </c>
      <c r="O269" s="28" t="n">
        <v>0.646782</v>
      </c>
      <c r="P269" s="28" t="n">
        <v>0.05</v>
      </c>
      <c r="Q269" s="28" t="n">
        <v>0.107611</v>
      </c>
      <c r="R269" s="26" t="n">
        <v>74</v>
      </c>
      <c r="S269" s="29" t="n">
        <v>1.75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1</v>
      </c>
      <c r="X269" s="26" t="n">
        <v>0</v>
      </c>
      <c r="Y269" s="25" t="n"/>
      <c r="Z269" s="26" t="n">
        <v>-117</v>
      </c>
      <c r="AA269" s="28" t="n">
        <v>0.54</v>
      </c>
      <c r="AB269" s="28" t="n">
        <v>0.000829</v>
      </c>
      <c r="AC269" s="30" t="n">
        <v>1.4957</v>
      </c>
      <c r="AD269" s="24" t="inlineStr">
        <is>
          <t>2026-08-10T02:34:15.397794Z</t>
        </is>
      </c>
      <c r="AE269" s="31" t="inlineStr">
        <is>
          <t>Surface-blended Elo on Hard: Belinda Bencic p=0.647 vs Alexandra Eala. Executable ask 0.5400 (aec-wta-aleeal-belben-2026-08-09).</t>
        </is>
      </c>
      <c r="AF269" s="31" t="inlineStr">
        <is>
          <t>Surface-blended Elo model; singles only, WTA+ATP market coverage, not yet locked-holdout qualified -- promoted by explicit operator directive, not genuine walk-forward validation.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3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Belinda Bencic</t>
        </is>
      </c>
      <c r="AQ269" s="24" t="inlineStr">
        <is>
          <t>Belinda Bencic</t>
        </is>
      </c>
      <c r="AR269" s="24" t="inlineStr">
        <is>
          <t>Belinda Bencic</t>
        </is>
      </c>
      <c r="AS269" s="24" t="inlineStr">
        <is>
          <t>Alexandra Eala</t>
        </is>
      </c>
      <c r="AT269" s="24" t="inlineStr">
        <is>
          <t>Alexandra Eala</t>
        </is>
      </c>
      <c r="AU269" s="24" t="inlineStr">
        <is>
          <t>Alexandra Eala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3ab056fefe04713e3c294da76c8adb2866b0dc46556ed32322a0426dd344a0e4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3ab056fefe04713e3c294da76c8adb2866b0dc46556ed32322a0426dd344a0e4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3ab056fefe04713e3c294da76c8adb2866b0dc46556ed32322a0426dd344a0e4</t>
        </is>
      </c>
      <c r="BH269" s="24" t="inlineStr">
        <is>
          <t>2026-08-09T23:31:36.249636Z</t>
        </is>
      </c>
      <c r="BI269" s="24" t="inlineStr">
        <is>
          <t>["same_event","same_team_same_day","same_league_same_day"]</t>
        </is>
      </c>
      <c r="BJ269" s="25" t="n"/>
      <c r="BK269" s="26" t="n">
        <v>-117</v>
      </c>
      <c r="BL269" s="27" t="n">
        <v>1.854701</v>
      </c>
      <c r="BM269" s="28" t="n">
        <v>0.539171</v>
      </c>
      <c r="BN269" s="28" t="n"/>
      <c r="BO269" s="28" t="n"/>
      <c r="BP269" s="25" t="n"/>
      <c r="BQ269" s="27" t="n">
        <v>1.854701</v>
      </c>
      <c r="BR269" s="28" t="n">
        <v>0.54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</row>
    <row r="270" ht="36" customHeight="1">
      <c r="A270" s="24" t="inlineStr">
        <is>
          <t>20581b8fae8a4cdc</t>
        </is>
      </c>
      <c r="B270" s="24" t="inlineStr">
        <is>
          <t>2026-08-10T16:35:12.075143Z</t>
        </is>
      </c>
      <c r="C270" s="24" t="inlineStr">
        <is>
          <t>2026-08-10T23:00Z</t>
        </is>
      </c>
      <c r="D270" s="24" t="inlineStr">
        <is>
          <t>421-2026:182221</t>
        </is>
      </c>
      <c r="E270" s="24" t="inlineStr">
        <is>
          <t>TENNIS</t>
        </is>
      </c>
      <c r="F270" s="24" t="inlineStr">
        <is>
          <t>Iga Swiatek</t>
        </is>
      </c>
      <c r="G270" s="24" t="inlineStr">
        <is>
          <t>Diana Shnaider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-270</v>
      </c>
      <c r="M270" s="27" t="n">
        <v>1.37037</v>
      </c>
      <c r="N270" s="28" t="n">
        <v>0.72973</v>
      </c>
      <c r="O270" s="28" t="n">
        <v>0.685323</v>
      </c>
      <c r="P270" s="28" t="n">
        <v>0.05</v>
      </c>
      <c r="Q270" s="28" t="n">
        <v>-0.044407</v>
      </c>
      <c r="R270" s="26" t="n">
        <v>0</v>
      </c>
      <c r="S270" s="29" t="n">
        <v>2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>
        <v>-270</v>
      </c>
      <c r="AA270" s="28" t="n">
        <v>0.73</v>
      </c>
      <c r="AB270" s="28" t="n">
        <v>0.00027</v>
      </c>
      <c r="AC270" s="30" t="n">
        <v>0.7407</v>
      </c>
      <c r="AD270" s="24" t="inlineStr">
        <is>
          <t>2026-08-11T13:07:06.362522Z</t>
        </is>
      </c>
      <c r="AE270" s="31" t="inlineStr">
        <is>
          <t>Surface-blended Elo on Hard: Iga Swiatek p=0.685 vs Diana Shnaider. Executable ask 0.7300 (aec-wta-diashn-igaswi-2026-08-11).</t>
        </is>
      </c>
      <c r="AF270" s="31" t="inlineStr">
        <is>
          <t>Surface-blended Elo model; singles only, WTA+ATP market coverage, not yet locked-holdout qualified -- promoted by explicit operator directive, not genuine walk-forward validation.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NO_CALL_LOW_EDGE</t>
        </is>
      </c>
      <c r="AP270" s="24" t="inlineStr">
        <is>
          <t>Iga Swiatek</t>
        </is>
      </c>
      <c r="AQ270" s="24" t="inlineStr">
        <is>
          <t>Iga Swiatek</t>
        </is>
      </c>
      <c r="AR270" s="24" t="inlineStr">
        <is>
          <t>Iga Swiatek</t>
        </is>
      </c>
      <c r="AS270" s="24" t="inlineStr">
        <is>
          <t>Diana Shnaider</t>
        </is>
      </c>
      <c r="AT270" s="24" t="inlineStr">
        <is>
          <t>Diana Shnaider</t>
        </is>
      </c>
      <c r="AU270" s="24" t="inlineStr">
        <is>
          <t>Diana Shnaider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3ab056fefe04713e3c294da76c8adb2866b0dc46556ed32322a0426dd344a0e4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3ab056fefe04713e3c294da76c8adb2866b0dc46556ed32322a0426dd344a0e4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3ab056fefe04713e3c294da76c8adb2866b0dc46556ed32322a0426dd344a0e4</t>
        </is>
      </c>
      <c r="BH270" s="24" t="inlineStr">
        <is>
          <t>2026-08-10T16:34:21.795257Z</t>
        </is>
      </c>
      <c r="BI270" s="24" t="inlineStr">
        <is>
          <t>["same_event","same_team_same_day","same_league_same_day"]</t>
        </is>
      </c>
      <c r="BJ270" s="25" t="n"/>
      <c r="BK270" s="26" t="n">
        <v>-270</v>
      </c>
      <c r="BL270" s="27" t="n">
        <v>1.37037</v>
      </c>
      <c r="BM270" s="28" t="n">
        <v>0.72973</v>
      </c>
      <c r="BN270" s="28" t="n"/>
      <c r="BO270" s="28" t="n"/>
      <c r="BP270" s="25" t="n"/>
      <c r="BQ270" s="27" t="n">
        <v>1.37037</v>
      </c>
      <c r="BR270" s="28" t="n">
        <v>0.73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</row>
    <row r="271" ht="36" customHeight="1">
      <c r="A271" s="24" t="inlineStr">
        <is>
          <t>440d382ebcd04068</t>
        </is>
      </c>
      <c r="B271" s="24" t="inlineStr">
        <is>
          <t>2026-08-10T16:35:12.075143Z</t>
        </is>
      </c>
      <c r="C271" s="24" t="inlineStr">
        <is>
          <t>2026-08-11T00:30Z</t>
        </is>
      </c>
      <c r="D271" s="24" t="inlineStr">
        <is>
          <t>421-2026:182217</t>
        </is>
      </c>
      <c r="E271" s="24" t="inlineStr">
        <is>
          <t>TENNIS</t>
        </is>
      </c>
      <c r="F271" s="24" t="inlineStr">
        <is>
          <t>Elina Svitolina</t>
        </is>
      </c>
      <c r="G271" s="24" t="inlineStr">
        <is>
          <t>Ekaterina Alexandrova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-245</v>
      </c>
      <c r="M271" s="27" t="n">
        <v>1.408163</v>
      </c>
      <c r="N271" s="28" t="n">
        <v>0.710145</v>
      </c>
      <c r="O271" s="28" t="n">
        <v>0.765165</v>
      </c>
      <c r="P271" s="28" t="n">
        <v>0.05</v>
      </c>
      <c r="Q271" s="28" t="n">
        <v>0.05502</v>
      </c>
      <c r="R271" s="26" t="n">
        <v>48</v>
      </c>
      <c r="S271" s="29" t="n">
        <v>2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1</v>
      </c>
      <c r="X271" s="26" t="n">
        <v>0</v>
      </c>
      <c r="Y271" s="25" t="n"/>
      <c r="Z271" s="26" t="n">
        <v>-245</v>
      </c>
      <c r="AA271" s="28" t="n">
        <v>0.71</v>
      </c>
      <c r="AB271" s="28" t="n">
        <v>-0.000145</v>
      </c>
      <c r="AC271" s="30" t="n">
        <v>0.8163</v>
      </c>
      <c r="AD271" s="24" t="inlineStr">
        <is>
          <t>2026-08-11T13:07:07.798618Z</t>
        </is>
      </c>
      <c r="AE271" s="31" t="inlineStr">
        <is>
          <t>Surface-blended Elo on Hard: Elina Svitolina p=0.765 vs Ekaterina Alexandrova. Executable ask 0.7100 (aec-wta-ekaale-elisvi-2026-08-11).</t>
        </is>
      </c>
      <c r="AF271" s="31" t="inlineStr">
        <is>
          <t>Surface-blended Elo model; singles only, WTA+ATP market coverage, not yet locked-holdout qualified -- promoted by explicit operator directive, not genuine walk-forward validation.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3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Elina Svitolina</t>
        </is>
      </c>
      <c r="AQ271" s="24" t="inlineStr">
        <is>
          <t>Elina Svitolina</t>
        </is>
      </c>
      <c r="AR271" s="24" t="inlineStr">
        <is>
          <t>Elina Svitolina</t>
        </is>
      </c>
      <c r="AS271" s="24" t="inlineStr">
        <is>
          <t>Ekaterina Alexandrova</t>
        </is>
      </c>
      <c r="AT271" s="24" t="inlineStr">
        <is>
          <t>Ekaterina Alexandrova</t>
        </is>
      </c>
      <c r="AU271" s="24" t="inlineStr">
        <is>
          <t>Ekaterina Alexandrova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3ab056fefe04713e3c294da76c8adb2866b0dc46556ed32322a0426dd344a0e4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3ab056fefe04713e3c294da76c8adb2866b0dc46556ed32322a0426dd344a0e4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3ab056fefe04713e3c294da76c8adb2866b0dc46556ed32322a0426dd344a0e4</t>
        </is>
      </c>
      <c r="BH271" s="24" t="inlineStr">
        <is>
          <t>2026-08-10T16:34:18.936432Z</t>
        </is>
      </c>
      <c r="BI271" s="24" t="inlineStr">
        <is>
          <t>["same_event","same_team_same_day","same_league_same_day"]</t>
        </is>
      </c>
      <c r="BJ271" s="25" t="n"/>
      <c r="BK271" s="26" t="n">
        <v>-245</v>
      </c>
      <c r="BL271" s="27" t="n">
        <v>1.408163</v>
      </c>
      <c r="BM271" s="28" t="n">
        <v>0.710145</v>
      </c>
      <c r="BN271" s="28" t="n"/>
      <c r="BO271" s="28" t="n"/>
      <c r="BP271" s="25" t="n"/>
      <c r="BQ271" s="27" t="n">
        <v>1.408163</v>
      </c>
      <c r="BR271" s="28" t="n">
        <v>0.71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</row>
    <row r="272" ht="36" customHeight="1">
      <c r="A272" s="24" t="inlineStr">
        <is>
          <t>41dc8af627454594</t>
        </is>
      </c>
      <c r="B272" s="24" t="inlineStr">
        <is>
          <t>2026-08-10T16:35:12.075143Z</t>
        </is>
      </c>
      <c r="C272" s="24" t="inlineStr">
        <is>
          <t>2026-08-10T22:00Z</t>
        </is>
      </c>
      <c r="D272" s="24" t="inlineStr">
        <is>
          <t>421-2026:181722</t>
        </is>
      </c>
      <c r="E272" s="24" t="inlineStr">
        <is>
          <t>TENNIS</t>
        </is>
      </c>
      <c r="F272" s="24" t="inlineStr">
        <is>
          <t>Arthur Fils</t>
        </is>
      </c>
      <c r="G272" s="24" t="inlineStr">
        <is>
          <t>Rafael Jodar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117</v>
      </c>
      <c r="M272" s="27" t="n">
        <v>2.17</v>
      </c>
      <c r="N272" s="28" t="n">
        <v>0.460829</v>
      </c>
      <c r="O272" s="28" t="n">
        <v>0.609065</v>
      </c>
      <c r="P272" s="28" t="n">
        <v>0.05</v>
      </c>
      <c r="Q272" s="28" t="n">
        <v>0.148236</v>
      </c>
      <c r="R272" s="26" t="n">
        <v>94</v>
      </c>
      <c r="S272" s="29" t="n">
        <v>1.5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loss</t>
        </is>
      </c>
      <c r="W272" s="26" t="n">
        <v>0</v>
      </c>
      <c r="X272" s="26" t="n">
        <v>1</v>
      </c>
      <c r="Y272" s="25" t="n"/>
      <c r="Z272" s="26" t="n">
        <v>117</v>
      </c>
      <c r="AA272" s="28" t="n">
        <v>0.46</v>
      </c>
      <c r="AB272" s="28" t="n">
        <v>-0.000829</v>
      </c>
      <c r="AC272" s="30" t="n">
        <v>-1.5</v>
      </c>
      <c r="AD272" s="24" t="inlineStr">
        <is>
          <t>2026-08-11T22:59:33.555119Z</t>
        </is>
      </c>
      <c r="AE272" s="31" t="inlineStr">
        <is>
          <t>Surface-blended Elo on Hard: Arthur Fils p=0.609 vs Rafael Jodar. Executable ask 0.4600 (aec-atp-rafjod-artfil-2026-08-11).</t>
        </is>
      </c>
      <c r="AF272" s="31" t="inlineStr">
        <is>
          <t>Surface-blended Elo model; singles only, WTA+ATP market coverage, not yet locked-holdout qualified -- promoted by explicit operator directive, not genuine walk-forward validation.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model_qualified</t>
        </is>
      </c>
      <c r="AL272" s="26" t="n">
        <v>3</v>
      </c>
      <c r="AM272" s="24" t="inlineStr">
        <is>
          <t>QUALIFIED_SHADOW_CALL</t>
        </is>
      </c>
      <c r="AN272" s="24" t="inlineStr">
        <is>
          <t>CALL</t>
        </is>
      </c>
      <c r="AO272" s="24" t="inlineStr">
        <is>
          <t>QUALIFIED</t>
        </is>
      </c>
      <c r="AP272" s="24" t="inlineStr">
        <is>
          <t>Arthur Fils</t>
        </is>
      </c>
      <c r="AQ272" s="24" t="inlineStr">
        <is>
          <t>Arthur Fils</t>
        </is>
      </c>
      <c r="AR272" s="24" t="inlineStr">
        <is>
          <t>Arthur Fils</t>
        </is>
      </c>
      <c r="AS272" s="24" t="inlineStr">
        <is>
          <t>Rafael Jodar</t>
        </is>
      </c>
      <c r="AT272" s="24" t="inlineStr">
        <is>
          <t>Rafael Jodar</t>
        </is>
      </c>
      <c r="AU272" s="24" t="inlineStr">
        <is>
          <t>Rafael Jodar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3ab056fefe04713e3c294da76c8adb2866b0dc46556ed32322a0426dd344a0e4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3ab056fefe04713e3c294da76c8adb2866b0dc46556ed32322a0426dd344a0e4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3ab056fefe04713e3c294da76c8adb2866b0dc46556ed32322a0426dd344a0e4</t>
        </is>
      </c>
      <c r="BH272" s="24" t="inlineStr">
        <is>
          <t>2026-08-10T16:34:20.296833Z</t>
        </is>
      </c>
      <c r="BI272" s="24" t="inlineStr">
        <is>
          <t>["same_event","same_team_same_day","same_league_same_day"]</t>
        </is>
      </c>
      <c r="BJ272" s="25" t="n"/>
      <c r="BK272" s="26" t="n">
        <v>117</v>
      </c>
      <c r="BL272" s="27" t="n">
        <v>2.17</v>
      </c>
      <c r="BM272" s="28" t="n">
        <v>0.460829</v>
      </c>
      <c r="BN272" s="28" t="n"/>
      <c r="BO272" s="28" t="n"/>
      <c r="BP272" s="25" t="n"/>
      <c r="BQ272" s="27" t="n">
        <v>2.17</v>
      </c>
      <c r="BR272" s="28" t="n">
        <v>0.46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</row>
    <row r="273" ht="36" customHeight="1">
      <c r="A273" s="24" t="inlineStr">
        <is>
          <t>b2051b0c05994f6b</t>
        </is>
      </c>
      <c r="B273" s="24" t="inlineStr">
        <is>
          <t>2026-08-10T16:35:12.075143Z</t>
        </is>
      </c>
      <c r="C273" s="24" t="inlineStr">
        <is>
          <t>2026-08-10T23:30Z</t>
        </is>
      </c>
      <c r="D273" s="24" t="inlineStr">
        <is>
          <t>421-2026:181721</t>
        </is>
      </c>
      <c r="E273" s="24" t="inlineStr">
        <is>
          <t>TENNIS</t>
        </is>
      </c>
      <c r="F273" s="24" t="inlineStr">
        <is>
          <t>Brandon Nakashima</t>
        </is>
      </c>
      <c r="G273" s="24" t="inlineStr">
        <is>
          <t>Luciano Darderi</t>
        </is>
      </c>
      <c r="H273" s="24" t="inlineStr">
        <is>
          <t>moneyline</t>
        </is>
      </c>
      <c r="I273" s="24" t="inlineStr">
        <is>
          <t>away</t>
        </is>
      </c>
      <c r="J273" s="25" t="n"/>
      <c r="K273" s="24" t="inlineStr">
        <is>
          <t>polymarket_us</t>
        </is>
      </c>
      <c r="L273" s="26" t="n">
        <v>-223</v>
      </c>
      <c r="M273" s="27" t="n">
        <v>1.44843</v>
      </c>
      <c r="N273" s="28" t="n">
        <v>0.690402</v>
      </c>
      <c r="O273" s="28" t="n">
        <v>0.513567</v>
      </c>
      <c r="P273" s="28" t="n">
        <v>0.05</v>
      </c>
      <c r="Q273" s="28" t="n">
        <v>-0.176835</v>
      </c>
      <c r="R273" s="26" t="n">
        <v>0</v>
      </c>
      <c r="S273" s="29" t="n">
        <v>1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1</v>
      </c>
      <c r="X273" s="26" t="n">
        <v>0</v>
      </c>
      <c r="Y273" s="25" t="n"/>
      <c r="Z273" s="26" t="n">
        <v>-223</v>
      </c>
      <c r="AA273" s="28" t="n">
        <v>0.6899999999999999</v>
      </c>
      <c r="AB273" s="28" t="n">
        <v>-0.000402</v>
      </c>
      <c r="AC273" s="30" t="n">
        <v>0.4484</v>
      </c>
      <c r="AD273" s="24" t="inlineStr">
        <is>
          <t>2026-08-11T19:53:27.031940Z</t>
        </is>
      </c>
      <c r="AE273" s="31" t="inlineStr">
        <is>
          <t>Surface-blended Elo on Hard: Brandon Nakashima p=0.514 vs Luciano Darderi. Executable ask 0.6900 (aec-atp-lucdar-branak-2026-08-09).</t>
        </is>
      </c>
      <c r="AF273" s="31" t="inlineStr">
        <is>
          <t>Surface-blended Elo model; singles only, WTA+ATP market coverage, not yet locked-holdout qualified -- promoted by explicit operator directive, not genuine walk-forward validation.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research_observation</t>
        </is>
      </c>
      <c r="AL273" s="26" t="n">
        <v>3</v>
      </c>
      <c r="AM273" s="24" t="inlineStr">
        <is>
          <t>RESEARCH_OBSERVATION</t>
        </is>
      </c>
      <c r="AN273" s="24" t="inlineStr">
        <is>
          <t>NO_CALL</t>
        </is>
      </c>
      <c r="AO273" s="24" t="inlineStr">
        <is>
          <t>NO_CALL_LOW_EDGE</t>
        </is>
      </c>
      <c r="AP273" s="24" t="inlineStr">
        <is>
          <t>Brandon Nakashima</t>
        </is>
      </c>
      <c r="AQ273" s="24" t="inlineStr">
        <is>
          <t>Brandon Nakashima</t>
        </is>
      </c>
      <c r="AR273" s="24" t="inlineStr">
        <is>
          <t>Brandon Nakashima</t>
        </is>
      </c>
      <c r="AS273" s="24" t="inlineStr">
        <is>
          <t>Luciano Darderi</t>
        </is>
      </c>
      <c r="AT273" s="24" t="inlineStr">
        <is>
          <t>Luciano Darderi</t>
        </is>
      </c>
      <c r="AU273" s="24" t="inlineStr">
        <is>
          <t>Luciano Darderi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3ab056fefe04713e3c294da76c8adb2866b0dc46556ed32322a0426dd344a0e4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3ab056fefe04713e3c294da76c8adb2866b0dc46556ed32322a0426dd344a0e4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3ab056fefe04713e3c294da76c8adb2866b0dc46556ed32322a0426dd344a0e4</t>
        </is>
      </c>
      <c r="BH273" s="24" t="inlineStr">
        <is>
          <t>2026-08-10T16:34:21.592752Z</t>
        </is>
      </c>
      <c r="BI273" s="24" t="inlineStr">
        <is>
          <t>["same_event","same_team_same_day","same_league_same_day"]</t>
        </is>
      </c>
      <c r="BJ273" s="25" t="n"/>
      <c r="BK273" s="26" t="n">
        <v>-223</v>
      </c>
      <c r="BL273" s="27" t="n">
        <v>1.44843</v>
      </c>
      <c r="BM273" s="28" t="n">
        <v>0.690402</v>
      </c>
      <c r="BN273" s="28" t="n"/>
      <c r="BO273" s="28" t="n"/>
      <c r="BP273" s="25" t="n"/>
      <c r="BQ273" s="27" t="n">
        <v>1.44843</v>
      </c>
      <c r="BR273" s="28" t="n">
        <v>0.6899999999999999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False</t>
        </is>
      </c>
    </row>
    <row r="274" ht="36" customHeight="1">
      <c r="A274" s="24" t="inlineStr">
        <is>
          <t>0e9205a74cba49e9</t>
        </is>
      </c>
      <c r="B274" s="24" t="inlineStr">
        <is>
          <t>2026-08-11T17:25:06.939802Z</t>
        </is>
      </c>
      <c r="C274" s="24" t="inlineStr">
        <is>
          <t>2026-08-11T17:30Z</t>
        </is>
      </c>
      <c r="D274" s="24" t="inlineStr">
        <is>
          <t>718-2026:184454</t>
        </is>
      </c>
      <c r="E274" s="24" t="inlineStr">
        <is>
          <t>TENNIS</t>
        </is>
      </c>
      <c r="F274" s="24" t="inlineStr">
        <is>
          <t>Lucrezia Stefanini</t>
        </is>
      </c>
      <c r="G274" s="24" t="inlineStr">
        <is>
          <t>Anastasia Zakharova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-223</v>
      </c>
      <c r="M274" s="27" t="n">
        <v>1.44843</v>
      </c>
      <c r="N274" s="28" t="n">
        <v>0.690402</v>
      </c>
      <c r="O274" s="28" t="n">
        <v>0.699635</v>
      </c>
      <c r="P274" s="28" t="n">
        <v>0.05</v>
      </c>
      <c r="Q274" s="28" t="n">
        <v>0.009233</v>
      </c>
      <c r="R274" s="26" t="n">
        <v>25</v>
      </c>
      <c r="S274" s="29" t="n">
        <v>2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>
        <v>-223</v>
      </c>
      <c r="AA274" s="28" t="n">
        <v>0.6899999999999999</v>
      </c>
      <c r="AB274" s="28" t="n">
        <v>-0.000402</v>
      </c>
      <c r="AC274" s="30" t="n">
        <v>-2</v>
      </c>
      <c r="AD274" s="24" t="inlineStr">
        <is>
          <t>2026-08-12T02:05:03.103395Z</t>
        </is>
      </c>
      <c r="AE274" s="31" t="inlineStr">
        <is>
          <t>Surface-blended Elo on Hard: Lucrezia Stefanini p=0.300 vs Anastasia Zakharova. Executable ask 0.6900 (aec-wta-anazak-lucste-2026-08-11).</t>
        </is>
      </c>
      <c r="AF274" s="31" t="inlineStr">
        <is>
          <t>Surface-blended Elo model; singles only, WTA+ATP market coverage, not yet locked-holdout qualified -- promoted by explicit operator directive, not genuine walk-forward validation.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research_observation</t>
        </is>
      </c>
      <c r="AL274" s="26" t="n">
        <v>3</v>
      </c>
      <c r="AM274" s="24" t="inlineStr">
        <is>
          <t>RESEARCH_OBSERVATION</t>
        </is>
      </c>
      <c r="AN274" s="24" t="inlineStr">
        <is>
          <t>NO_CALL</t>
        </is>
      </c>
      <c r="AO274" s="24" t="inlineStr">
        <is>
          <t>NO_CALL_LOW_EDGE</t>
        </is>
      </c>
      <c r="AP274" s="24" t="inlineStr">
        <is>
          <t>Lucrezia Stefanini</t>
        </is>
      </c>
      <c r="AQ274" s="24" t="inlineStr">
        <is>
          <t>Lucrezia Stefanini</t>
        </is>
      </c>
      <c r="AR274" s="24" t="inlineStr">
        <is>
          <t>Lucrezia Stefanini</t>
        </is>
      </c>
      <c r="AS274" s="24" t="inlineStr">
        <is>
          <t>Anastasia Zakharova</t>
        </is>
      </c>
      <c r="AT274" s="24" t="inlineStr">
        <is>
          <t>Anastasia Zakharova</t>
        </is>
      </c>
      <c r="AU274" s="24" t="inlineStr">
        <is>
          <t>Anastasia Zakharova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3ab056fefe04713e3c294da76c8adb2866b0dc46556ed32322a0426dd344a0e4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3ab056fefe04713e3c294da76c8adb2866b0dc46556ed32322a0426dd344a0e4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3ab056fefe04713e3c294da76c8adb2866b0dc46556ed32322a0426dd344a0e4</t>
        </is>
      </c>
      <c r="BH274" s="24" t="inlineStr">
        <is>
          <t>2026-08-11T17:22:59.044956Z</t>
        </is>
      </c>
      <c r="BI274" s="24" t="inlineStr">
        <is>
          <t>["same_event","same_team_same_day","same_league_same_day"]</t>
        </is>
      </c>
      <c r="BJ274" s="25" t="n"/>
      <c r="BK274" s="26" t="n">
        <v>-223</v>
      </c>
      <c r="BL274" s="27" t="n">
        <v>1.44843</v>
      </c>
      <c r="BM274" s="28" t="n">
        <v>0.690402</v>
      </c>
      <c r="BN274" s="28" t="n"/>
      <c r="BO274" s="28" t="n"/>
      <c r="BP274" s="25" t="n"/>
      <c r="BQ274" s="27" t="n">
        <v>1.44843</v>
      </c>
      <c r="BR274" s="28" t="n">
        <v>0.6899999999999999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</row>
    <row r="275" ht="36" customHeight="1">
      <c r="A275" s="24" t="inlineStr">
        <is>
          <t>05b506ca3dab445d</t>
        </is>
      </c>
      <c r="B275" s="24" t="inlineStr">
        <is>
          <t>2026-08-11T17:25:06.939802Z</t>
        </is>
      </c>
      <c r="C275" s="24" t="inlineStr">
        <is>
          <t>2026-08-11T17:30Z</t>
        </is>
      </c>
      <c r="D275" s="24" t="inlineStr">
        <is>
          <t>718-2026:184456</t>
        </is>
      </c>
      <c r="E275" s="24" t="inlineStr">
        <is>
          <t>TENNIS</t>
        </is>
      </c>
      <c r="F275" s="24" t="inlineStr">
        <is>
          <t>Veronika Erjavec</t>
        </is>
      </c>
      <c r="G275" s="24" t="inlineStr">
        <is>
          <t>Mary Stoiana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233</v>
      </c>
      <c r="M275" s="27" t="n">
        <v>3.33</v>
      </c>
      <c r="N275" s="28" t="n">
        <v>0.3003</v>
      </c>
      <c r="O275" s="28" t="n">
        <v>0.543574</v>
      </c>
      <c r="P275" s="28" t="n">
        <v>0.05</v>
      </c>
      <c r="Q275" s="28" t="n">
        <v>0.243274</v>
      </c>
      <c r="R275" s="26" t="n">
        <v>100</v>
      </c>
      <c r="S275" s="29" t="n">
        <v>1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loss</t>
        </is>
      </c>
      <c r="W275" s="26" t="n">
        <v>0</v>
      </c>
      <c r="X275" s="26" t="n">
        <v>1</v>
      </c>
      <c r="Y275" s="25" t="n"/>
      <c r="Z275" s="26" t="n">
        <v>233</v>
      </c>
      <c r="AA275" s="28" t="n">
        <v>0.3</v>
      </c>
      <c r="AB275" s="28" t="n">
        <v>-0.0003</v>
      </c>
      <c r="AC275" s="30" t="n">
        <v>-1</v>
      </c>
      <c r="AD275" s="24" t="inlineStr">
        <is>
          <t>2026-08-12T02:05:04.676754Z</t>
        </is>
      </c>
      <c r="AE275" s="31" t="inlineStr">
        <is>
          <t>Surface-blended Elo on Hard: Veronika Erjavec p=0.544 vs Mary Stoiana. Executable ask 0.3000 (aec-wta-marsto-vererj-2026-08-11).</t>
        </is>
      </c>
      <c r="AF275" s="31" t="inlineStr">
        <is>
          <t>Surface-blended Elo model; singles only, WTA+ATP market coverage, not yet locked-holdout qualified -- promoted by explicit operator directive, not genuine walk-forward validation.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3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Veronika Erjavec</t>
        </is>
      </c>
      <c r="AQ275" s="24" t="inlineStr">
        <is>
          <t>Veronika Erjavec</t>
        </is>
      </c>
      <c r="AR275" s="24" t="inlineStr">
        <is>
          <t>Veronika Erjavec</t>
        </is>
      </c>
      <c r="AS275" s="24" t="inlineStr">
        <is>
          <t>Mary Stoiana</t>
        </is>
      </c>
      <c r="AT275" s="24" t="inlineStr">
        <is>
          <t>Mary Stoiana</t>
        </is>
      </c>
      <c r="AU275" s="24" t="inlineStr">
        <is>
          <t>Mary Stoiana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3ab056fefe04713e3c294da76c8adb2866b0dc46556ed32322a0426dd344a0e4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3ab056fefe04713e3c294da76c8adb2866b0dc46556ed32322a0426dd344a0e4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3ab056fefe04713e3c294da76c8adb2866b0dc46556ed32322a0426dd344a0e4</t>
        </is>
      </c>
      <c r="BH275" s="24" t="inlineStr">
        <is>
          <t>2026-08-11T17:23:01.484061Z</t>
        </is>
      </c>
      <c r="BI275" s="24" t="inlineStr">
        <is>
          <t>["same_event","same_team_same_day","same_league_same_day"]</t>
        </is>
      </c>
      <c r="BJ275" s="25" t="n"/>
      <c r="BK275" s="26" t="n">
        <v>233</v>
      </c>
      <c r="BL275" s="27" t="n">
        <v>3.33</v>
      </c>
      <c r="BM275" s="28" t="n">
        <v>0.3003</v>
      </c>
      <c r="BN275" s="28" t="n"/>
      <c r="BO275" s="28" t="n"/>
      <c r="BP275" s="25" t="n"/>
      <c r="BQ275" s="27" t="n">
        <v>3.33</v>
      </c>
      <c r="BR275" s="28" t="n">
        <v>0.3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</row>
    <row r="276" ht="36" customHeight="1">
      <c r="A276" s="24" t="inlineStr">
        <is>
          <t>83f4fddab5434bda</t>
        </is>
      </c>
      <c r="B276" s="24" t="inlineStr">
        <is>
          <t>2026-08-11T17:25:06.939802Z</t>
        </is>
      </c>
      <c r="C276" s="24" t="inlineStr">
        <is>
          <t>2026-08-11T17:30Z</t>
        </is>
      </c>
      <c r="D276" s="24" t="inlineStr">
        <is>
          <t>718-2026:184457</t>
        </is>
      </c>
      <c r="E276" s="24" t="inlineStr">
        <is>
          <t>TENNIS</t>
        </is>
      </c>
      <c r="F276" s="24" t="inlineStr">
        <is>
          <t>Elizabeth Mandlik</t>
        </is>
      </c>
      <c r="G276" s="24" t="inlineStr">
        <is>
          <t>Oksana Selekhmeteva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-144</v>
      </c>
      <c r="M276" s="27" t="n">
        <v>1.694444</v>
      </c>
      <c r="N276" s="28" t="n">
        <v>0.590164</v>
      </c>
      <c r="O276" s="28" t="n">
        <v>0.664346</v>
      </c>
      <c r="P276" s="28" t="n">
        <v>0.05</v>
      </c>
      <c r="Q276" s="28" t="n">
        <v>0.074182</v>
      </c>
      <c r="R276" s="26" t="n">
        <v>57</v>
      </c>
      <c r="S276" s="29" t="n">
        <v>1.75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-144</v>
      </c>
      <c r="AA276" s="28" t="n">
        <v>0.59</v>
      </c>
      <c r="AB276" s="28" t="n">
        <v>-0.000164</v>
      </c>
      <c r="AC276" s="30" t="n">
        <v>1.2153</v>
      </c>
      <c r="AD276" s="24" t="inlineStr">
        <is>
          <t>2026-08-12T02:05:06.213698Z</t>
        </is>
      </c>
      <c r="AE276" s="31" t="inlineStr">
        <is>
          <t>Surface-blended Elo on Hard: Elizabeth Mandlik p=0.336 vs Oksana Selekhmeteva. Executable ask 0.5900 (aec-wta-okssel-eliman-2026-08-11).</t>
        </is>
      </c>
      <c r="AF276" s="31" t="inlineStr">
        <is>
          <t>Surface-blended Elo model; singles only, WTA+ATP market coverage, not yet locked-holdout qualified -- promoted by explicit operator directive, not genuine walk-forward validation.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3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Elizabeth Mandlik</t>
        </is>
      </c>
      <c r="AQ276" s="24" t="inlineStr">
        <is>
          <t>Elizabeth Mandlik</t>
        </is>
      </c>
      <c r="AR276" s="24" t="inlineStr">
        <is>
          <t>Elizabeth Mandlik</t>
        </is>
      </c>
      <c r="AS276" s="24" t="inlineStr">
        <is>
          <t>Oksana Selekhmeteva</t>
        </is>
      </c>
      <c r="AT276" s="24" t="inlineStr">
        <is>
          <t>Oksana Selekhmeteva</t>
        </is>
      </c>
      <c r="AU276" s="24" t="inlineStr">
        <is>
          <t>Oksana Selekhmeteva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3ab056fefe04713e3c294da76c8adb2866b0dc46556ed32322a0426dd344a0e4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3ab056fefe04713e3c294da76c8adb2866b0dc46556ed32322a0426dd344a0e4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3ab056fefe04713e3c294da76c8adb2866b0dc46556ed32322a0426dd344a0e4</t>
        </is>
      </c>
      <c r="BH276" s="24" t="inlineStr">
        <is>
          <t>2026-08-11T17:23:00.536378Z</t>
        </is>
      </c>
      <c r="BI276" s="24" t="inlineStr">
        <is>
          <t>["same_event","same_team_same_day","same_league_same_day"]</t>
        </is>
      </c>
      <c r="BJ276" s="25" t="n"/>
      <c r="BK276" s="26" t="n">
        <v>-144</v>
      </c>
      <c r="BL276" s="27" t="n">
        <v>1.694444</v>
      </c>
      <c r="BM276" s="28" t="n">
        <v>0.590164</v>
      </c>
      <c r="BN276" s="28" t="n"/>
      <c r="BO276" s="28" t="n"/>
      <c r="BP276" s="25" t="n"/>
      <c r="BQ276" s="27" t="n">
        <v>1.694444</v>
      </c>
      <c r="BR276" s="28" t="n">
        <v>0.59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</row>
    <row r="277" ht="36" customHeight="1">
      <c r="A277" s="24" t="inlineStr">
        <is>
          <t>8cc98f7e40e647c6</t>
        </is>
      </c>
      <c r="B277" s="24" t="inlineStr">
        <is>
          <t>2026-08-11T17:25:06.939802Z</t>
        </is>
      </c>
      <c r="C277" s="24" t="inlineStr">
        <is>
          <t>2026-08-11T17:30Z</t>
        </is>
      </c>
      <c r="D277" s="24" t="inlineStr">
        <is>
          <t>718-2026:184458</t>
        </is>
      </c>
      <c r="E277" s="24" t="inlineStr">
        <is>
          <t>TENNIS</t>
        </is>
      </c>
      <c r="F277" s="24" t="inlineStr">
        <is>
          <t>Leolia Jeanjean</t>
        </is>
      </c>
      <c r="G277" s="24" t="inlineStr">
        <is>
          <t>Himeno Sakatsume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-170</v>
      </c>
      <c r="M277" s="27" t="n">
        <v>1.588235</v>
      </c>
      <c r="N277" s="28" t="n">
        <v>0.62963</v>
      </c>
      <c r="O277" s="28" t="n">
        <v>0.518667</v>
      </c>
      <c r="P277" s="28" t="n">
        <v>0.05</v>
      </c>
      <c r="Q277" s="28" t="n">
        <v>-0.110963</v>
      </c>
      <c r="R277" s="26" t="n">
        <v>0</v>
      </c>
      <c r="S277" s="29" t="n">
        <v>1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/>
      <c r="Z277" s="26" t="n">
        <v>-170</v>
      </c>
      <c r="AA277" s="28" t="n">
        <v>0.63</v>
      </c>
      <c r="AB277" s="28" t="n">
        <v>0.00037</v>
      </c>
      <c r="AC277" s="30" t="n">
        <v>0.5881999999999999</v>
      </c>
      <c r="AD277" s="24" t="inlineStr">
        <is>
          <t>2026-08-12T02:05:07.930047Z</t>
        </is>
      </c>
      <c r="AE277" s="31" t="inlineStr">
        <is>
          <t>Surface-blended Elo on Hard: Leolia Jeanjean p=0.519 vs Himeno Sakatsume. Executable ask 0.6300 (aec-wta-himsak-leojea-2026-08-11).</t>
        </is>
      </c>
      <c r="AF277" s="31" t="inlineStr">
        <is>
          <t>Surface-blended Elo model; singles only, WTA+ATP market coverage, not yet locked-holdout qualified -- promoted by explicit operator directive, not genuine walk-forward validation.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NO_CALL_LOW_EDGE</t>
        </is>
      </c>
      <c r="AP277" s="24" t="inlineStr">
        <is>
          <t>Leolia Jeanjean</t>
        </is>
      </c>
      <c r="AQ277" s="24" t="inlineStr">
        <is>
          <t>Leolia Jeanjean</t>
        </is>
      </c>
      <c r="AR277" s="24" t="inlineStr">
        <is>
          <t>Leolia Jeanjean</t>
        </is>
      </c>
      <c r="AS277" s="24" t="inlineStr">
        <is>
          <t>Himeno Sakatsume</t>
        </is>
      </c>
      <c r="AT277" s="24" t="inlineStr">
        <is>
          <t>Himeno Sakatsume</t>
        </is>
      </c>
      <c r="AU277" s="24" t="inlineStr">
        <is>
          <t>Himeno Sakatsume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3ab056fefe04713e3c294da76c8adb2866b0dc46556ed32322a0426dd344a0e4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3ab056fefe04713e3c294da76c8adb2866b0dc46556ed32322a0426dd344a0e4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3ab056fefe04713e3c294da76c8adb2866b0dc46556ed32322a0426dd344a0e4</t>
        </is>
      </c>
      <c r="BH277" s="24" t="inlineStr">
        <is>
          <t>2026-08-11T17:23:00.006781Z</t>
        </is>
      </c>
      <c r="BI277" s="24" t="inlineStr">
        <is>
          <t>["same_event","same_team_same_day","same_league_same_day"]</t>
        </is>
      </c>
      <c r="BJ277" s="25" t="n"/>
      <c r="BK277" s="26" t="n">
        <v>-170</v>
      </c>
      <c r="BL277" s="27" t="n">
        <v>1.588235</v>
      </c>
      <c r="BM277" s="28" t="n">
        <v>0.62963</v>
      </c>
      <c r="BN277" s="28" t="n"/>
      <c r="BO277" s="28" t="n"/>
      <c r="BP277" s="25" t="n"/>
      <c r="BQ277" s="27" t="n">
        <v>1.588235</v>
      </c>
      <c r="BR277" s="28" t="n">
        <v>0.63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</row>
    <row r="278" ht="36" customHeight="1">
      <c r="A278" s="24" t="inlineStr">
        <is>
          <t>7f8a7be10798493b</t>
        </is>
      </c>
      <c r="B278" s="24" t="inlineStr">
        <is>
          <t>2026-08-11T17:25:06.939802Z</t>
        </is>
      </c>
      <c r="C278" s="24" t="inlineStr">
        <is>
          <t>2026-08-11T17:30Z</t>
        </is>
      </c>
      <c r="D278" s="24" t="inlineStr">
        <is>
          <t>718-2026:184465</t>
        </is>
      </c>
      <c r="E278" s="24" t="inlineStr">
        <is>
          <t>TENNIS</t>
        </is>
      </c>
      <c r="F278" s="24" t="inlineStr">
        <is>
          <t>Claire Liu</t>
        </is>
      </c>
      <c r="G278" s="24" t="inlineStr">
        <is>
          <t>Polina Iatcenko</t>
        </is>
      </c>
      <c r="H278" s="24" t="inlineStr">
        <is>
          <t>moneyline</t>
        </is>
      </c>
      <c r="I278" s="24" t="inlineStr">
        <is>
          <t>away</t>
        </is>
      </c>
      <c r="J278" s="25" t="n"/>
      <c r="K278" s="24" t="inlineStr">
        <is>
          <t>polymarket_us</t>
        </is>
      </c>
      <c r="L278" s="26" t="n">
        <v>-186</v>
      </c>
      <c r="M278" s="27" t="n">
        <v>1.537634</v>
      </c>
      <c r="N278" s="28" t="n">
        <v>0.65035</v>
      </c>
      <c r="O278" s="28" t="n">
        <v>0.593784</v>
      </c>
      <c r="P278" s="28" t="n">
        <v>0.05</v>
      </c>
      <c r="Q278" s="28" t="n">
        <v>-0.056566</v>
      </c>
      <c r="R278" s="26" t="n">
        <v>0</v>
      </c>
      <c r="S278" s="29" t="n">
        <v>1.25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1</v>
      </c>
      <c r="X278" s="26" t="n">
        <v>0</v>
      </c>
      <c r="Y278" s="25" t="n"/>
      <c r="Z278" s="26" t="n">
        <v>-186</v>
      </c>
      <c r="AA278" s="28" t="n">
        <v>0.65</v>
      </c>
      <c r="AB278" s="28" t="n">
        <v>-0.00035</v>
      </c>
      <c r="AC278" s="30" t="n">
        <v>0.672</v>
      </c>
      <c r="AD278" s="24" t="inlineStr">
        <is>
          <t>2026-08-11T22:59:43.303106Z</t>
        </is>
      </c>
      <c r="AE278" s="31" t="inlineStr">
        <is>
          <t>Surface-blended Elo on Hard: Claire Liu p=0.594 vs Polina Iatcenko. Executable ask 0.6500 (aec-wta-poliat-claliu-2026-08-11).</t>
        </is>
      </c>
      <c r="AF278" s="31" t="inlineStr">
        <is>
          <t>Surface-blended Elo model; singles only, WTA+ATP market coverage, not yet locked-holdout qualified -- promoted by explicit operator directive, not genuine walk-forward validation.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research_observation</t>
        </is>
      </c>
      <c r="AL278" s="26" t="n">
        <v>3</v>
      </c>
      <c r="AM278" s="24" t="inlineStr">
        <is>
          <t>RESEARCH_OBSERVATION</t>
        </is>
      </c>
      <c r="AN278" s="24" t="inlineStr">
        <is>
          <t>NO_CALL</t>
        </is>
      </c>
      <c r="AO278" s="24" t="inlineStr">
        <is>
          <t>NO_CALL_LOW_EDGE</t>
        </is>
      </c>
      <c r="AP278" s="24" t="inlineStr">
        <is>
          <t>Claire Liu</t>
        </is>
      </c>
      <c r="AQ278" s="24" t="inlineStr">
        <is>
          <t>Claire Liu</t>
        </is>
      </c>
      <c r="AR278" s="24" t="inlineStr">
        <is>
          <t>Claire Liu</t>
        </is>
      </c>
      <c r="AS278" s="24" t="inlineStr">
        <is>
          <t>Polina Iatcenko</t>
        </is>
      </c>
      <c r="AT278" s="24" t="inlineStr">
        <is>
          <t>Polina Iatcenko</t>
        </is>
      </c>
      <c r="AU278" s="24" t="inlineStr">
        <is>
          <t>Polina Iatcenko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3ab056fefe04713e3c294da76c8adb2866b0dc46556ed32322a0426dd344a0e4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3ab056fefe04713e3c294da76c8adb2866b0dc46556ed32322a0426dd344a0e4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3ab056fefe04713e3c294da76c8adb2866b0dc46556ed32322a0426dd344a0e4</t>
        </is>
      </c>
      <c r="BH278" s="24" t="inlineStr">
        <is>
          <t>2026-08-11T17:22:58.561138Z</t>
        </is>
      </c>
      <c r="BI278" s="24" t="inlineStr">
        <is>
          <t>["same_event","same_team_same_day","same_league_same_day"]</t>
        </is>
      </c>
      <c r="BJ278" s="25" t="n"/>
      <c r="BK278" s="26" t="n">
        <v>-186</v>
      </c>
      <c r="BL278" s="27" t="n">
        <v>1.537634</v>
      </c>
      <c r="BM278" s="28" t="n">
        <v>0.65035</v>
      </c>
      <c r="BN278" s="28" t="n"/>
      <c r="BO278" s="28" t="n"/>
      <c r="BP278" s="25" t="n"/>
      <c r="BQ278" s="27" t="n">
        <v>1.537634</v>
      </c>
      <c r="BR278" s="28" t="n">
        <v>0.65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</row>
    <row r="279" ht="36" customHeight="1">
      <c r="A279" s="24" t="inlineStr">
        <is>
          <t>f1cd2cd5b96e45e2</t>
        </is>
      </c>
      <c r="B279" s="24" t="inlineStr">
        <is>
          <t>2026-08-11T17:25:06.939802Z</t>
        </is>
      </c>
      <c r="C279" s="24" t="inlineStr">
        <is>
          <t>2026-08-11T17:30Z</t>
        </is>
      </c>
      <c r="D279" s="24" t="inlineStr">
        <is>
          <t>718-2026:184466</t>
        </is>
      </c>
      <c r="E279" s="24" t="inlineStr">
        <is>
          <t>TENNIS</t>
        </is>
      </c>
      <c r="F279" s="24" t="inlineStr">
        <is>
          <t>Marina Bassols Ribera</t>
        </is>
      </c>
      <c r="G279" s="24" t="inlineStr">
        <is>
          <t>Sinja Kraus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-127</v>
      </c>
      <c r="M279" s="27" t="n">
        <v>1.787402</v>
      </c>
      <c r="N279" s="28" t="n">
        <v>0.5594710000000001</v>
      </c>
      <c r="O279" s="28" t="n">
        <v>0.681821</v>
      </c>
      <c r="P279" s="28" t="n">
        <v>0.05</v>
      </c>
      <c r="Q279" s="28" t="n">
        <v>0.12235</v>
      </c>
      <c r="R279" s="26" t="n">
        <v>81</v>
      </c>
      <c r="S279" s="29" t="n">
        <v>2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win</t>
        </is>
      </c>
      <c r="W279" s="26" t="n">
        <v>0</v>
      </c>
      <c r="X279" s="26" t="n">
        <v>1</v>
      </c>
      <c r="Y279" s="25" t="n"/>
      <c r="Z279" s="26" t="n">
        <v>-127</v>
      </c>
      <c r="AA279" s="28" t="n">
        <v>0.5600000000000001</v>
      </c>
      <c r="AB279" s="28" t="n">
        <v>0.000529</v>
      </c>
      <c r="AC279" s="30" t="n">
        <v>1.5748</v>
      </c>
      <c r="AD279" s="24" t="inlineStr">
        <is>
          <t>2026-08-11T19:53:35.240406Z</t>
        </is>
      </c>
      <c r="AE279" s="31" t="inlineStr">
        <is>
          <t>Surface-blended Elo on Hard: Marina Bassols Ribera p=0.318 vs Sinja Kraus. Executable ask 0.5600 (aec-wta-sinkra-marrib-2026-08-11).</t>
        </is>
      </c>
      <c r="AF279" s="31" t="inlineStr">
        <is>
          <t>Surface-blended Elo model; singles only, WTA+ATP market coverage, not yet locked-holdout qualified -- promoted by explicit operator directive, not genuine walk-forward validation.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model_qualified</t>
        </is>
      </c>
      <c r="AL279" s="26" t="n">
        <v>3</v>
      </c>
      <c r="AM279" s="24" t="inlineStr">
        <is>
          <t>QUALIFIED_SHADOW_CALL</t>
        </is>
      </c>
      <c r="AN279" s="24" t="inlineStr">
        <is>
          <t>CALL</t>
        </is>
      </c>
      <c r="AO279" s="24" t="inlineStr">
        <is>
          <t>QUALIFIED</t>
        </is>
      </c>
      <c r="AP279" s="24" t="inlineStr">
        <is>
          <t>Marina Bassols Ribera</t>
        </is>
      </c>
      <c r="AQ279" s="24" t="inlineStr">
        <is>
          <t>Marina Bassols Ribera</t>
        </is>
      </c>
      <c r="AR279" s="24" t="inlineStr">
        <is>
          <t>Marina Bassols Ribera</t>
        </is>
      </c>
      <c r="AS279" s="24" t="inlineStr">
        <is>
          <t>Sinja Kraus</t>
        </is>
      </c>
      <c r="AT279" s="24" t="inlineStr">
        <is>
          <t>Sinja Kraus</t>
        </is>
      </c>
      <c r="AU279" s="24" t="inlineStr">
        <is>
          <t>Sinja Kraus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3ab056fefe04713e3c294da76c8adb2866b0dc46556ed32322a0426dd344a0e4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3ab056fefe04713e3c294da76c8adb2866b0dc46556ed32322a0426dd344a0e4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3ab056fefe04713e3c294da76c8adb2866b0dc46556ed32322a0426dd344a0e4</t>
        </is>
      </c>
      <c r="BH279" s="24" t="inlineStr">
        <is>
          <t>2026-08-11T17:22:57.542336Z</t>
        </is>
      </c>
      <c r="BI279" s="24" t="inlineStr">
        <is>
          <t>["same_event","same_team_same_day","same_league_same_day"]</t>
        </is>
      </c>
      <c r="BJ279" s="25" t="n"/>
      <c r="BK279" s="26" t="n">
        <v>-127</v>
      </c>
      <c r="BL279" s="27" t="n">
        <v>1.787402</v>
      </c>
      <c r="BM279" s="28" t="n">
        <v>0.5594710000000001</v>
      </c>
      <c r="BN279" s="28" t="n"/>
      <c r="BO279" s="28" t="n"/>
      <c r="BP279" s="25" t="n"/>
      <c r="BQ279" s="27" t="n">
        <v>1.787402</v>
      </c>
      <c r="BR279" s="28" t="n">
        <v>0.5600000000000001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</row>
    <row r="280" ht="36" customHeight="1">
      <c r="A280" s="24" t="inlineStr">
        <is>
          <t>04325ea71d954923</t>
        </is>
      </c>
      <c r="B280" s="24" t="inlineStr">
        <is>
          <t>2026-08-11T17:25:06.939802Z</t>
        </is>
      </c>
      <c r="C280" s="24" t="inlineStr">
        <is>
          <t>2026-08-11T19:00Z</t>
        </is>
      </c>
      <c r="D280" s="24" t="inlineStr">
        <is>
          <t>718-2026:184445</t>
        </is>
      </c>
      <c r="E280" s="24" t="inlineStr">
        <is>
          <t>TENNIS</t>
        </is>
      </c>
      <c r="F280" s="24" t="inlineStr">
        <is>
          <t>Alina Charaeva</t>
        </is>
      </c>
      <c r="G280" s="24" t="inlineStr">
        <is>
          <t>Rebecca Marino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-194</v>
      </c>
      <c r="M280" s="27" t="n">
        <v>1.515464</v>
      </c>
      <c r="N280" s="28" t="n">
        <v>0.659864</v>
      </c>
      <c r="O280" s="28" t="n">
        <v>0.640347</v>
      </c>
      <c r="P280" s="28" t="n">
        <v>0.05</v>
      </c>
      <c r="Q280" s="28" t="n">
        <v>-0.019517</v>
      </c>
      <c r="R280" s="26" t="n">
        <v>10</v>
      </c>
      <c r="S280" s="29" t="n">
        <v>1.5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-194</v>
      </c>
      <c r="AA280" s="28" t="n">
        <v>0.66</v>
      </c>
      <c r="AB280" s="28" t="n">
        <v>0.000136</v>
      </c>
      <c r="AC280" s="30" t="n">
        <v>0.7732</v>
      </c>
      <c r="AD280" s="24" t="inlineStr">
        <is>
          <t>2026-08-12T02:05:09.511435Z</t>
        </is>
      </c>
      <c r="AE280" s="31" t="inlineStr">
        <is>
          <t>Surface-blended Elo on Hard: Alina Charaeva p=0.640 vs Rebecca Marino. Executable ask 0.6600 (aec-wta-rebmar-alicha-2026-08-11).</t>
        </is>
      </c>
      <c r="AF280" s="31" t="inlineStr">
        <is>
          <t>Surface-blended Elo model; singles only, WTA+ATP market coverage, not yet locked-holdout qualified -- promoted by explicit operator directive, not genuine walk-forward validation.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research_observation</t>
        </is>
      </c>
      <c r="AL280" s="26" t="n">
        <v>3</v>
      </c>
      <c r="AM280" s="24" t="inlineStr">
        <is>
          <t>RESEARCH_OBSERVATION</t>
        </is>
      </c>
      <c r="AN280" s="24" t="inlineStr">
        <is>
          <t>NO_CALL</t>
        </is>
      </c>
      <c r="AO280" s="24" t="inlineStr">
        <is>
          <t>NO_CALL_LOW_EDGE</t>
        </is>
      </c>
      <c r="AP280" s="24" t="inlineStr">
        <is>
          <t>Alina Charaeva</t>
        </is>
      </c>
      <c r="AQ280" s="24" t="inlineStr">
        <is>
          <t>Alina Charaeva</t>
        </is>
      </c>
      <c r="AR280" s="24" t="inlineStr">
        <is>
          <t>Alina Charaeva</t>
        </is>
      </c>
      <c r="AS280" s="24" t="inlineStr">
        <is>
          <t>Rebecca Marino</t>
        </is>
      </c>
      <c r="AT280" s="24" t="inlineStr">
        <is>
          <t>Rebecca Marino</t>
        </is>
      </c>
      <c r="AU280" s="24" t="inlineStr">
        <is>
          <t>Rebecca Marino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3ab056fefe04713e3c294da76c8adb2866b0dc46556ed32322a0426dd344a0e4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3ab056fefe04713e3c294da76c8adb2866b0dc46556ed32322a0426dd344a0e4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3ab056fefe04713e3c294da76c8adb2866b0dc46556ed32322a0426dd344a0e4</t>
        </is>
      </c>
      <c r="BH280" s="24" t="inlineStr">
        <is>
          <t>2026-08-11T17:23:03.688524Z</t>
        </is>
      </c>
      <c r="BI280" s="24" t="inlineStr">
        <is>
          <t>["same_event","same_team_same_day","same_league_same_day"]</t>
        </is>
      </c>
      <c r="BJ280" s="25" t="n"/>
      <c r="BK280" s="26" t="n">
        <v>-194</v>
      </c>
      <c r="BL280" s="27" t="n">
        <v>1.515464</v>
      </c>
      <c r="BM280" s="28" t="n">
        <v>0.659864</v>
      </c>
      <c r="BN280" s="28" t="n"/>
      <c r="BO280" s="28" t="n"/>
      <c r="BP280" s="25" t="n"/>
      <c r="BQ280" s="27" t="n">
        <v>1.515464</v>
      </c>
      <c r="BR280" s="28" t="n">
        <v>0.66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</row>
    <row r="281" ht="36" customHeight="1">
      <c r="A281" s="24" t="inlineStr">
        <is>
          <t>0998546ca0a04770</t>
        </is>
      </c>
      <c r="B281" s="24" t="inlineStr">
        <is>
          <t>2026-08-11T17:25:06.939802Z</t>
        </is>
      </c>
      <c r="C281" s="24" t="inlineStr">
        <is>
          <t>2026-08-11T19:00Z</t>
        </is>
      </c>
      <c r="D281" s="24" t="inlineStr">
        <is>
          <t>718-2026:184446</t>
        </is>
      </c>
      <c r="E281" s="24" t="inlineStr">
        <is>
          <t>TENNIS</t>
        </is>
      </c>
      <c r="F281" s="24" t="inlineStr">
        <is>
          <t>Varvara Lepchenko</t>
        </is>
      </c>
      <c r="G281" s="24" t="inlineStr">
        <is>
          <t>Alina Korneeva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-567</v>
      </c>
      <c r="M281" s="27" t="n">
        <v>1.176367</v>
      </c>
      <c r="N281" s="28" t="n">
        <v>0.850075</v>
      </c>
      <c r="O281" s="28" t="n">
        <v>0.625269</v>
      </c>
      <c r="P281" s="28" t="n">
        <v>0.05</v>
      </c>
      <c r="Q281" s="28" t="n">
        <v>-0.224806</v>
      </c>
      <c r="R281" s="26" t="n">
        <v>0</v>
      </c>
      <c r="S281" s="29" t="n">
        <v>1.5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-567</v>
      </c>
      <c r="AA281" s="28" t="n">
        <v>0.85</v>
      </c>
      <c r="AB281" s="28" t="n">
        <v>-7.499999999999999e-05</v>
      </c>
      <c r="AC281" s="30" t="n">
        <v>0.2646</v>
      </c>
      <c r="AD281" s="24" t="inlineStr">
        <is>
          <t>2026-08-12T02:05:11.098800Z</t>
        </is>
      </c>
      <c r="AE281" s="31" t="inlineStr">
        <is>
          <t>Surface-blended Elo on Hard: Varvara Lepchenko p=0.375 vs Alina Korneeva. Executable ask 0.8500 (aec-wta-alikor-varlep-2026-08-11).</t>
        </is>
      </c>
      <c r="AF281" s="31" t="inlineStr">
        <is>
          <t>Surface-blended Elo model; singles only, WTA+ATP market coverage, not yet locked-holdout qualified -- promoted by explicit operator directive, not genuine walk-forward validation.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research_observation</t>
        </is>
      </c>
      <c r="AL281" s="26" t="n">
        <v>3</v>
      </c>
      <c r="AM281" s="24" t="inlineStr">
        <is>
          <t>RESEARCH_OBSERVATION</t>
        </is>
      </c>
      <c r="AN281" s="24" t="inlineStr">
        <is>
          <t>NO_CALL</t>
        </is>
      </c>
      <c r="AO281" s="24" t="inlineStr">
        <is>
          <t>NO_CALL_LOW_EDGE</t>
        </is>
      </c>
      <c r="AP281" s="24" t="inlineStr">
        <is>
          <t>Varvara Lepchenko</t>
        </is>
      </c>
      <c r="AQ281" s="24" t="inlineStr">
        <is>
          <t>Varvara Lepchenko</t>
        </is>
      </c>
      <c r="AR281" s="24" t="inlineStr">
        <is>
          <t>Varvara Lepchenko</t>
        </is>
      </c>
      <c r="AS281" s="24" t="inlineStr">
        <is>
          <t>Alina Korneeva</t>
        </is>
      </c>
      <c r="AT281" s="24" t="inlineStr">
        <is>
          <t>Alina Korneeva</t>
        </is>
      </c>
      <c r="AU281" s="24" t="inlineStr">
        <is>
          <t>Alina Korneeva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3ab056fefe04713e3c294da76c8adb2866b0dc46556ed32322a0426dd344a0e4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3ab056fefe04713e3c294da76c8adb2866b0dc46556ed32322a0426dd344a0e4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3ab056fefe04713e3c294da76c8adb2866b0dc46556ed32322a0426dd344a0e4</t>
        </is>
      </c>
      <c r="BH281" s="24" t="inlineStr">
        <is>
          <t>2026-08-11T17:23:02.711004Z</t>
        </is>
      </c>
      <c r="BI281" s="24" t="inlineStr">
        <is>
          <t>["same_event","same_team_same_day","same_league_same_day"]</t>
        </is>
      </c>
      <c r="BJ281" s="25" t="n"/>
      <c r="BK281" s="26" t="n">
        <v>-567</v>
      </c>
      <c r="BL281" s="27" t="n">
        <v>1.176367</v>
      </c>
      <c r="BM281" s="28" t="n">
        <v>0.850075</v>
      </c>
      <c r="BN281" s="28" t="n"/>
      <c r="BO281" s="28" t="n"/>
      <c r="BP281" s="25" t="n"/>
      <c r="BQ281" s="27" t="n">
        <v>1.176367</v>
      </c>
      <c r="BR281" s="28" t="n">
        <v>0.85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</row>
    <row r="282" ht="36" customHeight="1">
      <c r="A282" s="24" t="inlineStr">
        <is>
          <t>9b6422f944c54b08</t>
        </is>
      </c>
      <c r="B282" s="24" t="inlineStr">
        <is>
          <t>2026-08-11T17:25:06.939802Z</t>
        </is>
      </c>
      <c r="C282" s="24" t="inlineStr">
        <is>
          <t>2026-08-11T19:00Z</t>
        </is>
      </c>
      <c r="D282" s="24" t="inlineStr">
        <is>
          <t>718-2026:184451</t>
        </is>
      </c>
      <c r="E282" s="24" t="inlineStr">
        <is>
          <t>TENNIS</t>
        </is>
      </c>
      <c r="F282" s="24" t="inlineStr">
        <is>
          <t>Elsa Jacquemot</t>
        </is>
      </c>
      <c r="G282" s="24" t="inlineStr">
        <is>
          <t>Rebecca Sramkova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-203</v>
      </c>
      <c r="M282" s="27" t="n">
        <v>1.492611</v>
      </c>
      <c r="N282" s="28" t="n">
        <v>0.669967</v>
      </c>
      <c r="O282" s="28" t="n">
        <v>0.621605</v>
      </c>
      <c r="P282" s="28" t="n">
        <v>0.05</v>
      </c>
      <c r="Q282" s="28" t="n">
        <v>-0.048362</v>
      </c>
      <c r="R282" s="26" t="n">
        <v>0</v>
      </c>
      <c r="S282" s="29" t="n">
        <v>1.5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win</t>
        </is>
      </c>
      <c r="W282" s="26" t="n">
        <v>0</v>
      </c>
      <c r="X282" s="26" t="n">
        <v>1</v>
      </c>
      <c r="Y282" s="25" t="n"/>
      <c r="Z282" s="26" t="n">
        <v>-203</v>
      </c>
      <c r="AA282" s="28" t="n">
        <v>0.67</v>
      </c>
      <c r="AB282" s="28" t="n">
        <v>3.3e-05</v>
      </c>
      <c r="AC282" s="30" t="n">
        <v>0.7389</v>
      </c>
      <c r="AD282" s="24" t="inlineStr">
        <is>
          <t>2026-08-13T05:31:16.523731Z</t>
        </is>
      </c>
      <c r="AE282" s="31" t="inlineStr">
        <is>
          <t>Surface-blended Elo on Hard: Elsa Jacquemot p=0.378 vs Rebecca Sramkova. Executable ask 0.6700 (aec-wta-rebsra-elsjac-2026-08-11).</t>
        </is>
      </c>
      <c r="AF282" s="31" t="inlineStr">
        <is>
          <t>Surface-blended Elo model; singles only, WTA+ATP market coverage, not yet locked-holdout qualified -- promoted by explicit operator directive, not genuine walk-forward validation.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research_observation</t>
        </is>
      </c>
      <c r="AL282" s="26" t="n">
        <v>3</v>
      </c>
      <c r="AM282" s="24" t="inlineStr">
        <is>
          <t>RESEARCH_OBSERVATION</t>
        </is>
      </c>
      <c r="AN282" s="24" t="inlineStr">
        <is>
          <t>NO_CALL</t>
        </is>
      </c>
      <c r="AO282" s="24" t="inlineStr">
        <is>
          <t>NO_CALL_LOW_EDGE</t>
        </is>
      </c>
      <c r="AP282" s="24" t="inlineStr">
        <is>
          <t>Elsa Jacquemot</t>
        </is>
      </c>
      <c r="AQ282" s="24" t="inlineStr">
        <is>
          <t>Elsa Jacquemot</t>
        </is>
      </c>
      <c r="AR282" s="24" t="inlineStr">
        <is>
          <t>Elsa Jacquemot</t>
        </is>
      </c>
      <c r="AS282" s="24" t="inlineStr">
        <is>
          <t>Rebecca Sramkova</t>
        </is>
      </c>
      <c r="AT282" s="24" t="inlineStr">
        <is>
          <t>Rebecca Sramkova</t>
        </is>
      </c>
      <c r="AU282" s="24" t="inlineStr">
        <is>
          <t>Rebecca Sramkova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3ab056fefe04713e3c294da76c8adb2866b0dc46556ed32322a0426dd344a0e4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3ab056fefe04713e3c294da76c8adb2866b0dc46556ed32322a0426dd344a0e4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3ab056fefe04713e3c294da76c8adb2866b0dc46556ed32322a0426dd344a0e4</t>
        </is>
      </c>
      <c r="BH282" s="24" t="inlineStr">
        <is>
          <t>2026-08-11T17:23:05.515151Z</t>
        </is>
      </c>
      <c r="BI282" s="24" t="inlineStr">
        <is>
          <t>["same_event","same_team_same_day","same_league_same_day"]</t>
        </is>
      </c>
      <c r="BJ282" s="25" t="n"/>
      <c r="BK282" s="26" t="n">
        <v>-203</v>
      </c>
      <c r="BL282" s="27" t="n">
        <v>1.492611</v>
      </c>
      <c r="BM282" s="28" t="n">
        <v>0.669967</v>
      </c>
      <c r="BN282" s="28" t="n"/>
      <c r="BO282" s="28" t="n"/>
      <c r="BP282" s="25" t="n"/>
      <c r="BQ282" s="27" t="n">
        <v>1.492611</v>
      </c>
      <c r="BR282" s="28" t="n">
        <v>0.67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</row>
    <row r="283" ht="36" customHeight="1">
      <c r="A283" s="24" t="inlineStr">
        <is>
          <t>a44c70141d694f03</t>
        </is>
      </c>
      <c r="B283" s="24" t="inlineStr">
        <is>
          <t>2026-08-11T17:25:06.939802Z</t>
        </is>
      </c>
      <c r="C283" s="24" t="inlineStr">
        <is>
          <t>2026-08-11T19:00Z</t>
        </is>
      </c>
      <c r="D283" s="24" t="inlineStr">
        <is>
          <t>718-2026:184452</t>
        </is>
      </c>
      <c r="E283" s="24" t="inlineStr">
        <is>
          <t>TENNIS</t>
        </is>
      </c>
      <c r="F283" s="24" t="inlineStr">
        <is>
          <t>Akasha Urhobo</t>
        </is>
      </c>
      <c r="G283" s="24" t="inlineStr">
        <is>
          <t>Hanne Vandewinkel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-285</v>
      </c>
      <c r="M283" s="27" t="n">
        <v>1.350877</v>
      </c>
      <c r="N283" s="28" t="n">
        <v>0.74026</v>
      </c>
      <c r="O283" s="28" t="n">
        <v>0.658382</v>
      </c>
      <c r="P283" s="28" t="n">
        <v>0.05</v>
      </c>
      <c r="Q283" s="28" t="n">
        <v>-0.08187800000000001</v>
      </c>
      <c r="R283" s="26" t="n">
        <v>0</v>
      </c>
      <c r="S283" s="29" t="n">
        <v>1.75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-285</v>
      </c>
      <c r="AA283" s="28" t="n">
        <v>0.74</v>
      </c>
      <c r="AB283" s="28" t="n">
        <v>-0.00026</v>
      </c>
      <c r="AC283" s="30" t="n">
        <v>0.614</v>
      </c>
      <c r="AD283" s="24" t="inlineStr">
        <is>
          <t>2026-08-12T02:05:12.661657Z</t>
        </is>
      </c>
      <c r="AE283" s="31" t="inlineStr">
        <is>
          <t>Surface-blended Elo on Hard: Akasha Urhobo p=0.342 vs Hanne Vandewinkel. Executable ask 0.7400 (aec-wta-hanvan-akaurh-2026-08-11).</t>
        </is>
      </c>
      <c r="AF283" s="31" t="inlineStr">
        <is>
          <t>Surface-blended Elo model; singles only, WTA+ATP market coverage, not yet locked-holdout qualified -- promoted by explicit operator directive, not genuine walk-forward validation.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research_observation</t>
        </is>
      </c>
      <c r="AL283" s="26" t="n">
        <v>3</v>
      </c>
      <c r="AM283" s="24" t="inlineStr">
        <is>
          <t>RESEARCH_OBSERVATION</t>
        </is>
      </c>
      <c r="AN283" s="24" t="inlineStr">
        <is>
          <t>NO_CALL</t>
        </is>
      </c>
      <c r="AO283" s="24" t="inlineStr">
        <is>
          <t>NO_CALL_LOW_EDGE</t>
        </is>
      </c>
      <c r="AP283" s="24" t="inlineStr">
        <is>
          <t>Akasha Urhobo</t>
        </is>
      </c>
      <c r="AQ283" s="24" t="inlineStr">
        <is>
          <t>Akasha Urhobo</t>
        </is>
      </c>
      <c r="AR283" s="24" t="inlineStr">
        <is>
          <t>Akasha Urhobo</t>
        </is>
      </c>
      <c r="AS283" s="24" t="inlineStr">
        <is>
          <t>Hanne Vandewinkel</t>
        </is>
      </c>
      <c r="AT283" s="24" t="inlineStr">
        <is>
          <t>Hanne Vandewinkel</t>
        </is>
      </c>
      <c r="AU283" s="24" t="inlineStr">
        <is>
          <t>Hanne Vandewinkel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3ab056fefe04713e3c294da76c8adb2866b0dc46556ed32322a0426dd344a0e4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3ab056fefe04713e3c294da76c8adb2866b0dc46556ed32322a0426dd344a0e4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3ab056fefe04713e3c294da76c8adb2866b0dc46556ed32322a0426dd344a0e4</t>
        </is>
      </c>
      <c r="BH283" s="24" t="inlineStr">
        <is>
          <t>2026-08-11T17:23:04.689168Z</t>
        </is>
      </c>
      <c r="BI283" s="24" t="inlineStr">
        <is>
          <t>["same_event","same_team_same_day","same_league_same_day"]</t>
        </is>
      </c>
      <c r="BJ283" s="25" t="n"/>
      <c r="BK283" s="26" t="n">
        <v>-285</v>
      </c>
      <c r="BL283" s="27" t="n">
        <v>1.350877</v>
      </c>
      <c r="BM283" s="28" t="n">
        <v>0.74026</v>
      </c>
      <c r="BN283" s="28" t="n"/>
      <c r="BO283" s="28" t="n"/>
      <c r="BP283" s="25" t="n"/>
      <c r="BQ283" s="27" t="n">
        <v>1.350877</v>
      </c>
      <c r="BR283" s="28" t="n">
        <v>0.74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</row>
    <row r="284" ht="36" customHeight="1">
      <c r="A284" s="24" t="inlineStr">
        <is>
          <t>682ce71d8b98418d</t>
        </is>
      </c>
      <c r="B284" s="24" t="inlineStr">
        <is>
          <t>2026-08-11T17:25:06.939802Z</t>
        </is>
      </c>
      <c r="C284" s="24" t="inlineStr">
        <is>
          <t>2026-08-11T17:30Z</t>
        </is>
      </c>
      <c r="D284" s="24" t="inlineStr">
        <is>
          <t>718-2026:184411</t>
        </is>
      </c>
      <c r="E284" s="24" t="inlineStr">
        <is>
          <t>TENNIS</t>
        </is>
      </c>
      <c r="F284" s="24" t="inlineStr">
        <is>
          <t>Trevor Svajda</t>
        </is>
      </c>
      <c r="G284" s="24" t="inlineStr">
        <is>
          <t>Giovanni Mpetshi Perricard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-163</v>
      </c>
      <c r="M284" s="27" t="n">
        <v>1.613497</v>
      </c>
      <c r="N284" s="28" t="n">
        <v>0.619772</v>
      </c>
      <c r="O284" s="28" t="n">
        <v>0.576476</v>
      </c>
      <c r="P284" s="28" t="n">
        <v>0.05</v>
      </c>
      <c r="Q284" s="28" t="n">
        <v>-0.043296</v>
      </c>
      <c r="R284" s="26" t="n">
        <v>0</v>
      </c>
      <c r="S284" s="29" t="n">
        <v>1.25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loss</t>
        </is>
      </c>
      <c r="W284" s="26" t="n">
        <v>1</v>
      </c>
      <c r="X284" s="26" t="n">
        <v>0</v>
      </c>
      <c r="Y284" s="25" t="n"/>
      <c r="Z284" s="26" t="n">
        <v>-163</v>
      </c>
      <c r="AA284" s="28" t="n">
        <v>0.62</v>
      </c>
      <c r="AB284" s="28" t="n">
        <v>0.000228</v>
      </c>
      <c r="AC284" s="30" t="n">
        <v>-1.25</v>
      </c>
      <c r="AD284" s="24" t="inlineStr">
        <is>
          <t>2026-08-11T19:53:36.852539Z</t>
        </is>
      </c>
      <c r="AE284" s="31" t="inlineStr">
        <is>
          <t>Surface-blended Elo on Hard: Trevor Svajda p=0.424 vs Giovanni Mpetshi Perricard. Executable ask 0.6200 (aec-atp-gioper-tresva-2026-08-11).</t>
        </is>
      </c>
      <c r="AF284" s="31" t="inlineStr">
        <is>
          <t>Surface-blended Elo model; singles only, WTA+ATP market coverage, not yet locked-holdout qualified -- promoted by explicit operator directive, not genuine walk-forward validation.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research_observation</t>
        </is>
      </c>
      <c r="AL284" s="26" t="n">
        <v>3</v>
      </c>
      <c r="AM284" s="24" t="inlineStr">
        <is>
          <t>RESEARCH_OBSERVATION</t>
        </is>
      </c>
      <c r="AN284" s="24" t="inlineStr">
        <is>
          <t>NO_CALL</t>
        </is>
      </c>
      <c r="AO284" s="24" t="inlineStr">
        <is>
          <t>NO_CALL_MODEL_UNVALIDATED</t>
        </is>
      </c>
      <c r="AP284" s="24" t="inlineStr">
        <is>
          <t>Trevor Svajda</t>
        </is>
      </c>
      <c r="AQ284" s="24" t="inlineStr">
        <is>
          <t>Trevor Svajda</t>
        </is>
      </c>
      <c r="AR284" s="24" t="inlineStr">
        <is>
          <t>Trevor Svajda</t>
        </is>
      </c>
      <c r="AS284" s="24" t="inlineStr">
        <is>
          <t>Giovanni Mpetshi Perricard</t>
        </is>
      </c>
      <c r="AT284" s="24" t="inlineStr">
        <is>
          <t>Giovanni Mpetshi Perricard</t>
        </is>
      </c>
      <c r="AU284" s="24" t="inlineStr">
        <is>
          <t>Giovanni Mpetshi Perricard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3ab056fefe04713e3c294da76c8adb2866b0dc46556ed32322a0426dd344a0e4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3ab056fefe04713e3c294da76c8adb2866b0dc46556ed32322a0426dd344a0e4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3ab056fefe04713e3c294da76c8adb2866b0dc46556ed32322a0426dd344a0e4</t>
        </is>
      </c>
      <c r="BH284" s="24" t="inlineStr">
        <is>
          <t>2026-08-11T17:23:14.885567Z</t>
        </is>
      </c>
      <c r="BI284" s="24" t="inlineStr">
        <is>
          <t>["same_event","same_team_same_day","same_league_same_day"]</t>
        </is>
      </c>
      <c r="BJ284" s="25" t="n"/>
      <c r="BK284" s="26" t="n">
        <v>-163</v>
      </c>
      <c r="BL284" s="27" t="n">
        <v>1.613497</v>
      </c>
      <c r="BM284" s="28" t="n">
        <v>0.619772</v>
      </c>
      <c r="BN284" s="28" t="n"/>
      <c r="BO284" s="28" t="n"/>
      <c r="BP284" s="25" t="n"/>
      <c r="BQ284" s="27" t="n">
        <v>1.613497</v>
      </c>
      <c r="BR284" s="28" t="n">
        <v>0.62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</row>
    <row r="285" ht="36" customHeight="1">
      <c r="A285" s="24" t="inlineStr">
        <is>
          <t>01f345e4847f4672</t>
        </is>
      </c>
      <c r="B285" s="24" t="inlineStr">
        <is>
          <t>2026-08-11T17:25:06.939802Z</t>
        </is>
      </c>
      <c r="C285" s="24" t="inlineStr">
        <is>
          <t>2026-08-11T17:30Z</t>
        </is>
      </c>
      <c r="D285" s="24" t="inlineStr">
        <is>
          <t>718-2026:184417</t>
        </is>
      </c>
      <c r="E285" s="24" t="inlineStr">
        <is>
          <t>TENNIS</t>
        </is>
      </c>
      <c r="F285" s="24" t="inlineStr">
        <is>
          <t>Benjamin Bonzi</t>
        </is>
      </c>
      <c r="G285" s="24" t="inlineStr">
        <is>
          <t>Dusan Lajovic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0.6915249999999999</v>
      </c>
      <c r="P285" s="28" t="n">
        <v>0.05</v>
      </c>
      <c r="Q285" s="28" t="n">
        <v>0.031661</v>
      </c>
      <c r="R285" s="26" t="n">
        <v>36</v>
      </c>
      <c r="S285" s="29" t="n">
        <v>2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-2</v>
      </c>
      <c r="AD285" s="24" t="inlineStr">
        <is>
          <t>2026-08-12T02:05:14.223667Z</t>
        </is>
      </c>
      <c r="AE285" s="31" t="inlineStr">
        <is>
          <t>Surface-blended Elo on Hard: Benjamin Bonzi p=0.692 vs Dusan Lajovic. Executable ask 0.6600 (aec-atp-duslaj-benbon-2026-08-11).</t>
        </is>
      </c>
      <c r="AF285" s="31" t="inlineStr">
        <is>
          <t>Surface-blended Elo model; singles only, WTA+ATP market coverage, not yet locked-holdout qualified -- promoted by explicit operator directive, not genuine walk-forward validation.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research_observation</t>
        </is>
      </c>
      <c r="AL285" s="26" t="n">
        <v>3</v>
      </c>
      <c r="AM285" s="24" t="inlineStr">
        <is>
          <t>RESEARCH_OBSERVATION</t>
        </is>
      </c>
      <c r="AN285" s="24" t="inlineStr">
        <is>
          <t>NO_CALL</t>
        </is>
      </c>
      <c r="AO285" s="24" t="inlineStr">
        <is>
          <t>NO_CALL_LOW_EDGE</t>
        </is>
      </c>
      <c r="AP285" s="24" t="inlineStr">
        <is>
          <t>Benjamin Bonzi</t>
        </is>
      </c>
      <c r="AQ285" s="24" t="inlineStr">
        <is>
          <t>Benjamin Bonzi</t>
        </is>
      </c>
      <c r="AR285" s="24" t="inlineStr">
        <is>
          <t>Benjamin Bonzi</t>
        </is>
      </c>
      <c r="AS285" s="24" t="inlineStr">
        <is>
          <t>Dusan Lajovic</t>
        </is>
      </c>
      <c r="AT285" s="24" t="inlineStr">
        <is>
          <t>Dusan Lajovic</t>
        </is>
      </c>
      <c r="AU285" s="24" t="inlineStr">
        <is>
          <t>Dusan Lajovic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3ab056fefe04713e3c294da76c8adb2866b0dc46556ed32322a0426dd344a0e4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3ab056fefe04713e3c294da76c8adb2866b0dc46556ed32322a0426dd344a0e4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3ab056fefe04713e3c294da76c8adb2866b0dc46556ed32322a0426dd344a0e4</t>
        </is>
      </c>
      <c r="BH285" s="24" t="inlineStr">
        <is>
          <t>2026-08-11T17:23:16.726783Z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</row>
    <row r="286" ht="36" customHeight="1">
      <c r="A286" s="24" t="inlineStr">
        <is>
          <t>134a35ddce064acf</t>
        </is>
      </c>
      <c r="B286" s="24" t="inlineStr">
        <is>
          <t>2026-08-11T17:25:06.939802Z</t>
        </is>
      </c>
      <c r="C286" s="24" t="inlineStr">
        <is>
          <t>2026-08-11T17:30Z</t>
        </is>
      </c>
      <c r="D286" s="24" t="inlineStr">
        <is>
          <t>718-2026:184418</t>
        </is>
      </c>
      <c r="E286" s="24" t="inlineStr">
        <is>
          <t>TENNIS</t>
        </is>
      </c>
      <c r="F286" s="24" t="inlineStr">
        <is>
          <t>Gustavo Heide</t>
        </is>
      </c>
      <c r="G286" s="24" t="inlineStr">
        <is>
          <t>Luca Van Assche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-317</v>
      </c>
      <c r="M286" s="27" t="n">
        <v>1.315457</v>
      </c>
      <c r="N286" s="28" t="n">
        <v>0.760192</v>
      </c>
      <c r="O286" s="28" t="n">
        <v>0.620788</v>
      </c>
      <c r="P286" s="28" t="n">
        <v>0.05</v>
      </c>
      <c r="Q286" s="28" t="n">
        <v>-0.139404</v>
      </c>
      <c r="R286" s="26" t="n">
        <v>0</v>
      </c>
      <c r="S286" s="29" t="n">
        <v>1.5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1</v>
      </c>
      <c r="Y286" s="25" t="n"/>
      <c r="Z286" s="26" t="n">
        <v>-317</v>
      </c>
      <c r="AA286" s="28" t="n">
        <v>0.76</v>
      </c>
      <c r="AB286" s="28" t="n">
        <v>-0.000192</v>
      </c>
      <c r="AC286" s="30" t="n">
        <v>0.4732</v>
      </c>
      <c r="AD286" s="24" t="inlineStr">
        <is>
          <t>2026-08-11T22:59:44.816178Z</t>
        </is>
      </c>
      <c r="AE286" s="31" t="inlineStr">
        <is>
          <t>Surface-blended Elo on Hard: Gustavo Heide p=0.379 vs Luca Van Assche. Executable ask 0.7600 (aec-atp-lucass-gushei-2026-08-11).</t>
        </is>
      </c>
      <c r="AF286" s="31" t="inlineStr">
        <is>
          <t>Surface-blended Elo model; singles only, WTA+ATP market coverage, not yet locked-holdout qualified -- promoted by explicit operator directive, not genuine walk-forward validation.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research_observation</t>
        </is>
      </c>
      <c r="AL286" s="26" t="n">
        <v>3</v>
      </c>
      <c r="AM286" s="24" t="inlineStr">
        <is>
          <t>RESEARCH_OBSERVATION</t>
        </is>
      </c>
      <c r="AN286" s="24" t="inlineStr">
        <is>
          <t>NO_CALL</t>
        </is>
      </c>
      <c r="AO286" s="24" t="inlineStr">
        <is>
          <t>NO_CALL_LOW_EDGE</t>
        </is>
      </c>
      <c r="AP286" s="24" t="inlineStr">
        <is>
          <t>Gustavo Heide</t>
        </is>
      </c>
      <c r="AQ286" s="24" t="inlineStr">
        <is>
          <t>Gustavo Heide</t>
        </is>
      </c>
      <c r="AR286" s="24" t="inlineStr">
        <is>
          <t>Gustavo Heide</t>
        </is>
      </c>
      <c r="AS286" s="24" t="inlineStr">
        <is>
          <t>Luca Van Assche</t>
        </is>
      </c>
      <c r="AT286" s="24" t="inlineStr">
        <is>
          <t>Luca Van Assche</t>
        </is>
      </c>
      <c r="AU286" s="24" t="inlineStr">
        <is>
          <t>Luca Van Assche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3ab056fefe04713e3c294da76c8adb2866b0dc46556ed32322a0426dd344a0e4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3ab056fefe04713e3c294da76c8adb2866b0dc46556ed32322a0426dd344a0e4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3ab056fefe04713e3c294da76c8adb2866b0dc46556ed32322a0426dd344a0e4</t>
        </is>
      </c>
      <c r="BH286" s="24" t="inlineStr">
        <is>
          <t>2026-08-11T17:23:15.749749Z</t>
        </is>
      </c>
      <c r="BI286" s="24" t="inlineStr">
        <is>
          <t>["same_event","same_team_same_day","same_league_same_day"]</t>
        </is>
      </c>
      <c r="BJ286" s="25" t="n"/>
      <c r="BK286" s="26" t="n">
        <v>-317</v>
      </c>
      <c r="BL286" s="27" t="n">
        <v>1.315457</v>
      </c>
      <c r="BM286" s="28" t="n">
        <v>0.760192</v>
      </c>
      <c r="BN286" s="28" t="n"/>
      <c r="BO286" s="28" t="n"/>
      <c r="BP286" s="25" t="n"/>
      <c r="BQ286" s="27" t="n">
        <v>1.315457</v>
      </c>
      <c r="BR286" s="28" t="n">
        <v>0.76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</row>
    <row r="287" ht="36" customHeight="1">
      <c r="A287" s="24" t="inlineStr">
        <is>
          <t>7aa529c49ca84d6e</t>
        </is>
      </c>
      <c r="B287" s="24" t="inlineStr">
        <is>
          <t>2026-08-11T17:25:06.939802Z</t>
        </is>
      </c>
      <c r="C287" s="24" t="inlineStr">
        <is>
          <t>2026-08-11T19:00Z</t>
        </is>
      </c>
      <c r="D287" s="24" t="inlineStr">
        <is>
          <t>718-2026:184410</t>
        </is>
      </c>
      <c r="E287" s="24" t="inlineStr">
        <is>
          <t>TENNIS</t>
        </is>
      </c>
      <c r="F287" s="24" t="inlineStr">
        <is>
          <t>Wu Yibing</t>
        </is>
      </c>
      <c r="G287" s="24" t="inlineStr">
        <is>
          <t>Mackenzie McDonald</t>
        </is>
      </c>
      <c r="H287" s="24" t="inlineStr">
        <is>
          <t>moneyline</t>
        </is>
      </c>
      <c r="I287" s="24" t="inlineStr">
        <is>
          <t>away</t>
        </is>
      </c>
      <c r="J287" s="25" t="n"/>
      <c r="K287" s="24" t="inlineStr">
        <is>
          <t>polymarket_us</t>
        </is>
      </c>
      <c r="L287" s="26" t="n">
        <v>-194</v>
      </c>
      <c r="M287" s="27" t="n">
        <v>1.515464</v>
      </c>
      <c r="N287" s="28" t="n">
        <v>0.659864</v>
      </c>
      <c r="O287" s="28" t="n">
        <v>0.605863</v>
      </c>
      <c r="P287" s="28" t="n">
        <v>0.05</v>
      </c>
      <c r="Q287" s="28" t="n">
        <v>-0.054001</v>
      </c>
      <c r="R287" s="26" t="n">
        <v>0</v>
      </c>
      <c r="S287" s="29" t="n">
        <v>1.25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0</v>
      </c>
      <c r="Y287" s="25" t="n"/>
      <c r="Z287" s="26" t="n"/>
      <c r="AA287" s="28" t="n"/>
      <c r="AB287" s="28" t="n"/>
      <c r="AC287" s="30" t="n">
        <v>0.6443</v>
      </c>
      <c r="AD287" s="24" t="inlineStr">
        <is>
          <t>2026-08-12T02:05:15.789623Z</t>
        </is>
      </c>
      <c r="AE287" s="31" t="inlineStr">
        <is>
          <t>Surface-blended Elo on Hard: Wu Yibing p=0.606 vs Mackenzie McDonald. Executable ask 0.6600 (aec-atp-macmcd-yibwu-2026-08-11).</t>
        </is>
      </c>
      <c r="AF287" s="31" t="inlineStr">
        <is>
          <t>Surface-blended Elo model; singles only, WTA+ATP market coverage, not yet locked-holdout qualified -- promoted by explicit operator directive, not genuine walk-forward validation.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research_observation</t>
        </is>
      </c>
      <c r="AL287" s="26" t="n">
        <v>3</v>
      </c>
      <c r="AM287" s="24" t="inlineStr">
        <is>
          <t>RESEARCH_OBSERVATION</t>
        </is>
      </c>
      <c r="AN287" s="24" t="inlineStr">
        <is>
          <t>NO_CALL</t>
        </is>
      </c>
      <c r="AO287" s="24" t="inlineStr">
        <is>
          <t>NO_CALL_LOW_EDGE</t>
        </is>
      </c>
      <c r="AP287" s="24" t="inlineStr">
        <is>
          <t>Wu Yibing</t>
        </is>
      </c>
      <c r="AQ287" s="24" t="inlineStr">
        <is>
          <t>Wu Yibing</t>
        </is>
      </c>
      <c r="AR287" s="24" t="inlineStr">
        <is>
          <t>Wu Yibing</t>
        </is>
      </c>
      <c r="AS287" s="24" t="inlineStr">
        <is>
          <t>Mackenzie McDonald</t>
        </is>
      </c>
      <c r="AT287" s="24" t="inlineStr">
        <is>
          <t>Mackenzie McDonald</t>
        </is>
      </c>
      <c r="AU287" s="24" t="inlineStr">
        <is>
          <t>Mackenzie McDonald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3ab056fefe04713e3c294da76c8adb2866b0dc46556ed32322a0426dd344a0e4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3ab056fefe04713e3c294da76c8adb2866b0dc46556ed32322a0426dd344a0e4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3ab056fefe04713e3c294da76c8adb2866b0dc46556ed32322a0426dd344a0e4</t>
        </is>
      </c>
      <c r="BH287" s="24" t="inlineStr">
        <is>
          <t>2026-08-11T17:23:21.686241Z</t>
        </is>
      </c>
      <c r="BI287" s="24" t="inlineStr">
        <is>
          <t>["same_event","same_team_same_day","same_league_same_day"]</t>
        </is>
      </c>
      <c r="BJ287" s="25" t="n"/>
      <c r="BK287" s="26" t="n">
        <v>-194</v>
      </c>
      <c r="BL287" s="27" t="n">
        <v>1.515464</v>
      </c>
      <c r="BM287" s="28" t="n">
        <v>0.659864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False</t>
        </is>
      </c>
    </row>
    <row r="288" ht="36" customHeight="1">
      <c r="A288" s="24" t="inlineStr">
        <is>
          <t>2fc9b6a9cf7e4502</t>
        </is>
      </c>
      <c r="B288" s="24" t="inlineStr">
        <is>
          <t>2026-08-11T17:25:06.939802Z</t>
        </is>
      </c>
      <c r="C288" s="24" t="inlineStr">
        <is>
          <t>2026-08-11T19:00Z</t>
        </is>
      </c>
      <c r="D288" s="24" t="inlineStr">
        <is>
          <t>718-2026:184412</t>
        </is>
      </c>
      <c r="E288" s="24" t="inlineStr">
        <is>
          <t>TENNIS</t>
        </is>
      </c>
      <c r="F288" s="24" t="inlineStr">
        <is>
          <t>Francisco Comesana</t>
        </is>
      </c>
      <c r="G288" s="24" t="inlineStr">
        <is>
          <t>Kei Nishikori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104</v>
      </c>
      <c r="M288" s="27" t="n">
        <v>2.04</v>
      </c>
      <c r="N288" s="28" t="n">
        <v>0.490196</v>
      </c>
      <c r="O288" s="28" t="n">
        <v>0.532307</v>
      </c>
      <c r="P288" s="28" t="n">
        <v>0.05</v>
      </c>
      <c r="Q288" s="28" t="n">
        <v>0.042111</v>
      </c>
      <c r="R288" s="26" t="n">
        <v>41</v>
      </c>
      <c r="S288" s="29" t="n">
        <v>1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win</t>
        </is>
      </c>
      <c r="W288" s="26" t="n">
        <v>0</v>
      </c>
      <c r="X288" s="26" t="n">
        <v>1</v>
      </c>
      <c r="Y288" s="25" t="n"/>
      <c r="Z288" s="26" t="n">
        <v>104</v>
      </c>
      <c r="AA288" s="28" t="n">
        <v>0.49</v>
      </c>
      <c r="AB288" s="28" t="n">
        <v>-0.000196</v>
      </c>
      <c r="AC288" s="30" t="n">
        <v>1.04</v>
      </c>
      <c r="AD288" s="24" t="inlineStr">
        <is>
          <t>2026-08-12T02:05:17.314271Z</t>
        </is>
      </c>
      <c r="AE288" s="31" t="inlineStr">
        <is>
          <t>Surface-blended Elo on Hard: Francisco Comesana p=0.468 vs Kei Nishikori. Executable ask 0.4900 (aec-atp-keinis-fracom-2026-08-11).</t>
        </is>
      </c>
      <c r="AF288" s="31" t="inlineStr">
        <is>
          <t>Surface-blended Elo model; singles only, WTA+ATP market coverage, not yet locked-holdout qualified -- promoted by explicit operator directive, not genuine walk-forward validation.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research_observation</t>
        </is>
      </c>
      <c r="AL288" s="26" t="n">
        <v>3</v>
      </c>
      <c r="AM288" s="24" t="inlineStr">
        <is>
          <t>RESEARCH_OBSERVATION</t>
        </is>
      </c>
      <c r="AN288" s="24" t="inlineStr">
        <is>
          <t>NO_CALL</t>
        </is>
      </c>
      <c r="AO288" s="24" t="inlineStr">
        <is>
          <t>NO_CALL_LOW_EDGE</t>
        </is>
      </c>
      <c r="AP288" s="24" t="inlineStr">
        <is>
          <t>Francisco Comesana</t>
        </is>
      </c>
      <c r="AQ288" s="24" t="inlineStr">
        <is>
          <t>Francisco Comesana</t>
        </is>
      </c>
      <c r="AR288" s="24" t="inlineStr">
        <is>
          <t>Francisco Comesana</t>
        </is>
      </c>
      <c r="AS288" s="24" t="inlineStr">
        <is>
          <t>Kei Nishikori</t>
        </is>
      </c>
      <c r="AT288" s="24" t="inlineStr">
        <is>
          <t>Kei Nishikori</t>
        </is>
      </c>
      <c r="AU288" s="24" t="inlineStr">
        <is>
          <t>Kei Nishikori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3ab056fefe04713e3c294da76c8adb2866b0dc46556ed32322a0426dd344a0e4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3ab056fefe04713e3c294da76c8adb2866b0dc46556ed32322a0426dd344a0e4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3ab056fefe04713e3c294da76c8adb2866b0dc46556ed32322a0426dd344a0e4</t>
        </is>
      </c>
      <c r="BH288" s="24" t="inlineStr">
        <is>
          <t>2026-08-11T17:23:23.141555Z</t>
        </is>
      </c>
      <c r="BI288" s="24" t="inlineStr">
        <is>
          <t>["same_event","same_team_same_day","same_league_same_day"]</t>
        </is>
      </c>
      <c r="BJ288" s="25" t="n"/>
      <c r="BK288" s="26" t="n">
        <v>104</v>
      </c>
      <c r="BL288" s="27" t="n">
        <v>2.04</v>
      </c>
      <c r="BM288" s="28" t="n">
        <v>0.490196</v>
      </c>
      <c r="BN288" s="28" t="n"/>
      <c r="BO288" s="28" t="n"/>
      <c r="BP288" s="25" t="n"/>
      <c r="BQ288" s="27" t="n">
        <v>2.04</v>
      </c>
      <c r="BR288" s="28" t="n">
        <v>0.49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</row>
    <row r="289" ht="36" customHeight="1">
      <c r="A289" s="24" t="inlineStr">
        <is>
          <t>29c28ce667584121</t>
        </is>
      </c>
      <c r="B289" s="24" t="inlineStr">
        <is>
          <t>2026-08-11T17:25:06.939802Z</t>
        </is>
      </c>
      <c r="C289" s="24" t="inlineStr">
        <is>
          <t>2026-08-11T19:00Z</t>
        </is>
      </c>
      <c r="D289" s="24" t="inlineStr">
        <is>
          <t>718-2026:184413</t>
        </is>
      </c>
      <c r="E289" s="24" t="inlineStr">
        <is>
          <t>TENNIS</t>
        </is>
      </c>
      <c r="F289" s="24" t="inlineStr">
        <is>
          <t>Sebastian Ofner</t>
        </is>
      </c>
      <c r="G289" s="24" t="inlineStr">
        <is>
          <t>Marco Trungelliti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138</v>
      </c>
      <c r="M289" s="27" t="n">
        <v>2.38</v>
      </c>
      <c r="N289" s="28" t="n">
        <v>0.420168</v>
      </c>
      <c r="O289" s="28" t="n">
        <v>0.6634910000000001</v>
      </c>
      <c r="P289" s="28" t="n">
        <v>0.05</v>
      </c>
      <c r="Q289" s="28" t="n">
        <v>0.243323</v>
      </c>
      <c r="R289" s="26" t="n">
        <v>100</v>
      </c>
      <c r="S289" s="29" t="n">
        <v>1.75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1</v>
      </c>
      <c r="Y289" s="25" t="n"/>
      <c r="Z289" s="26" t="n">
        <v>138</v>
      </c>
      <c r="AA289" s="28" t="n">
        <v>0.42</v>
      </c>
      <c r="AB289" s="28" t="n">
        <v>-0.000168</v>
      </c>
      <c r="AC289" s="30" t="n">
        <v>2.415</v>
      </c>
      <c r="AD289" s="24" t="inlineStr">
        <is>
          <t>2026-08-12T05:11:09.061060Z</t>
        </is>
      </c>
      <c r="AE289" s="31" t="inlineStr">
        <is>
          <t>Surface-blended Elo on Hard: Sebastian Ofner p=0.337 vs Marco Trungelliti. Executable ask 0.4200 (aec-atp-martru-sebofn-2026-08-11).</t>
        </is>
      </c>
      <c r="AF289" s="31" t="inlineStr">
        <is>
          <t>Surface-blended Elo model; singles only, WTA+ATP market coverage, not yet locked-holdout qualified -- promoted by explicit operator directive, not genuine walk-forward validation.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3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Sebastian Ofner</t>
        </is>
      </c>
      <c r="AQ289" s="24" t="inlineStr">
        <is>
          <t>Sebastian Ofner</t>
        </is>
      </c>
      <c r="AR289" s="24" t="inlineStr">
        <is>
          <t>Sebastian Ofner</t>
        </is>
      </c>
      <c r="AS289" s="24" t="inlineStr">
        <is>
          <t>Marco Trungelliti</t>
        </is>
      </c>
      <c r="AT289" s="24" t="inlineStr">
        <is>
          <t>Marco Trungelliti</t>
        </is>
      </c>
      <c r="AU289" s="24" t="inlineStr">
        <is>
          <t>Marco Trungelliti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3ab056fefe04713e3c294da76c8adb2866b0dc46556ed32322a0426dd344a0e4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3ab056fefe04713e3c294da76c8adb2866b0dc46556ed32322a0426dd344a0e4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3ab056fefe04713e3c294da76c8adb2866b0dc46556ed32322a0426dd344a0e4</t>
        </is>
      </c>
      <c r="BH289" s="24" t="inlineStr">
        <is>
          <t>2026-08-11T17:23:19.102420Z</t>
        </is>
      </c>
      <c r="BI289" s="24" t="inlineStr">
        <is>
          <t>["same_event","same_team_same_day","same_league_same_day"]</t>
        </is>
      </c>
      <c r="BJ289" s="25" t="n"/>
      <c r="BK289" s="26" t="n">
        <v>138</v>
      </c>
      <c r="BL289" s="27" t="n">
        <v>2.38</v>
      </c>
      <c r="BM289" s="28" t="n">
        <v>0.420168</v>
      </c>
      <c r="BN289" s="28" t="n"/>
      <c r="BO289" s="28" t="n"/>
      <c r="BP289" s="25" t="n"/>
      <c r="BQ289" s="27" t="n">
        <v>2.38</v>
      </c>
      <c r="BR289" s="28" t="n">
        <v>0.42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</row>
    <row r="290" ht="36" customHeight="1">
      <c r="A290" s="24" t="inlineStr">
        <is>
          <t>ebe4ce3d319b4b44</t>
        </is>
      </c>
      <c r="B290" s="24" t="inlineStr">
        <is>
          <t>2026-08-11T17:25:06.939802Z</t>
        </is>
      </c>
      <c r="C290" s="24" t="inlineStr">
        <is>
          <t>2026-08-11T19:00Z</t>
        </is>
      </c>
      <c r="D290" s="24" t="inlineStr">
        <is>
          <t>718-2026:184416</t>
        </is>
      </c>
      <c r="E290" s="24" t="inlineStr">
        <is>
          <t>TENNIS</t>
        </is>
      </c>
      <c r="F290" s="24" t="inlineStr">
        <is>
          <t>Michael Zheng</t>
        </is>
      </c>
      <c r="G290" s="24" t="inlineStr">
        <is>
          <t>Moez Echargui</t>
        </is>
      </c>
      <c r="H290" s="24" t="inlineStr">
        <is>
          <t>moneyline</t>
        </is>
      </c>
      <c r="I290" s="24" t="inlineStr">
        <is>
          <t>away</t>
        </is>
      </c>
      <c r="J290" s="25" t="n"/>
      <c r="K290" s="24" t="inlineStr">
        <is>
          <t>polymarket_us</t>
        </is>
      </c>
      <c r="L290" s="26" t="n">
        <v>-733</v>
      </c>
      <c r="M290" s="27" t="n">
        <v>1.136426</v>
      </c>
      <c r="N290" s="28" t="n">
        <v>0.879952</v>
      </c>
      <c r="O290" s="28" t="n">
        <v>0.674526</v>
      </c>
      <c r="P290" s="28" t="n">
        <v>0.05</v>
      </c>
      <c r="Q290" s="28" t="n">
        <v>-0.205426</v>
      </c>
      <c r="R290" s="26" t="n">
        <v>0</v>
      </c>
      <c r="S290" s="29" t="n">
        <v>1.75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1</v>
      </c>
      <c r="X290" s="26" t="n">
        <v>0</v>
      </c>
      <c r="Y290" s="25" t="n"/>
      <c r="Z290" s="26" t="n">
        <v>-733</v>
      </c>
      <c r="AA290" s="28" t="n">
        <v>0.88</v>
      </c>
      <c r="AB290" s="28" t="n">
        <v>4.8e-05</v>
      </c>
      <c r="AC290" s="30" t="n">
        <v>0.2387</v>
      </c>
      <c r="AD290" s="24" t="inlineStr">
        <is>
          <t>2026-08-12T05:11:10.655283Z</t>
        </is>
      </c>
      <c r="AE290" s="31" t="inlineStr">
        <is>
          <t>Surface-blended Elo on Hard: Michael Zheng p=0.675 vs Moez Echargui. Executable ask 0.8800 (aec-atp-moeech-miczhe-2026-08-11).</t>
        </is>
      </c>
      <c r="AF290" s="31" t="inlineStr">
        <is>
          <t>Surface-blended Elo model; singles only, WTA+ATP market coverage, not yet locked-holdout qualified -- promoted by explicit operator directive, not genuine walk-forward validation.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research_observation</t>
        </is>
      </c>
      <c r="AL290" s="26" t="n">
        <v>3</v>
      </c>
      <c r="AM290" s="24" t="inlineStr">
        <is>
          <t>RESEARCH_OBSERVATION</t>
        </is>
      </c>
      <c r="AN290" s="24" t="inlineStr">
        <is>
          <t>NO_CALL</t>
        </is>
      </c>
      <c r="AO290" s="24" t="inlineStr">
        <is>
          <t>NO_CALL_LOW_EDGE</t>
        </is>
      </c>
      <c r="AP290" s="24" t="inlineStr">
        <is>
          <t>Michael Zheng</t>
        </is>
      </c>
      <c r="AQ290" s="24" t="inlineStr">
        <is>
          <t>Michael Zheng</t>
        </is>
      </c>
      <c r="AR290" s="24" t="inlineStr">
        <is>
          <t>Michael Zheng</t>
        </is>
      </c>
      <c r="AS290" s="24" t="inlineStr">
        <is>
          <t>Moez Echargui</t>
        </is>
      </c>
      <c r="AT290" s="24" t="inlineStr">
        <is>
          <t>Moez Echargui</t>
        </is>
      </c>
      <c r="AU290" s="24" t="inlineStr">
        <is>
          <t>Moez Echargui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3ab056fefe04713e3c294da76c8adb2866b0dc46556ed32322a0426dd344a0e4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3ab056fefe04713e3c294da76c8adb2866b0dc46556ed32322a0426dd344a0e4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3ab056fefe04713e3c294da76c8adb2866b0dc46556ed32322a0426dd344a0e4</t>
        </is>
      </c>
      <c r="BH290" s="24" t="inlineStr">
        <is>
          <t>2026-08-11T17:23:22.732956Z</t>
        </is>
      </c>
      <c r="BI290" s="24" t="inlineStr">
        <is>
          <t>["same_event","same_team_same_day","same_league_same_day"]</t>
        </is>
      </c>
      <c r="BJ290" s="25" t="n"/>
      <c r="BK290" s="26" t="n">
        <v>-733</v>
      </c>
      <c r="BL290" s="27" t="n">
        <v>1.136426</v>
      </c>
      <c r="BM290" s="28" t="n">
        <v>0.879952</v>
      </c>
      <c r="BN290" s="28" t="n"/>
      <c r="BO290" s="28" t="n"/>
      <c r="BP290" s="25" t="n"/>
      <c r="BQ290" s="27" t="n">
        <v>1.136426</v>
      </c>
      <c r="BR290" s="28" t="n">
        <v>0.88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</row>
    <row r="291" ht="36" customHeight="1">
      <c r="A291" s="24" t="inlineStr">
        <is>
          <t>cb30ebe0dbf04287</t>
        </is>
      </c>
      <c r="B291" s="24" t="inlineStr">
        <is>
          <t>2026-08-11T17:25:06.939802Z</t>
        </is>
      </c>
      <c r="C291" s="24" t="inlineStr">
        <is>
          <t>2026-08-11T19:00Z</t>
        </is>
      </c>
      <c r="D291" s="24" t="inlineStr">
        <is>
          <t>718-2026:184419</t>
        </is>
      </c>
      <c r="E291" s="24" t="inlineStr">
        <is>
          <t>TENNIS</t>
        </is>
      </c>
      <c r="F291" s="24" t="inlineStr">
        <is>
          <t>Nikoloz Basilashvili</t>
        </is>
      </c>
      <c r="G291" s="24" t="inlineStr">
        <is>
          <t>Jaime Faria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-213</v>
      </c>
      <c r="M291" s="27" t="n">
        <v>1.469484</v>
      </c>
      <c r="N291" s="28" t="n">
        <v>0.680511</v>
      </c>
      <c r="O291" s="28" t="n">
        <v>0.608</v>
      </c>
      <c r="P291" s="28" t="n">
        <v>0.05</v>
      </c>
      <c r="Q291" s="28" t="n">
        <v>-0.07251100000000001</v>
      </c>
      <c r="R291" s="26" t="n">
        <v>0</v>
      </c>
      <c r="S291" s="29" t="n">
        <v>1.5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win</t>
        </is>
      </c>
      <c r="W291" s="26" t="n">
        <v>0</v>
      </c>
      <c r="X291" s="26" t="n">
        <v>1</v>
      </c>
      <c r="Y291" s="25" t="n"/>
      <c r="Z291" s="26" t="n">
        <v>-213</v>
      </c>
      <c r="AA291" s="28" t="n">
        <v>0.68</v>
      </c>
      <c r="AB291" s="28" t="n">
        <v>-0.000511</v>
      </c>
      <c r="AC291" s="30" t="n">
        <v>0.7042</v>
      </c>
      <c r="AD291" s="24" t="inlineStr">
        <is>
          <t>2026-08-12T02:05:18.878094Z</t>
        </is>
      </c>
      <c r="AE291" s="31" t="inlineStr">
        <is>
          <t>Surface-blended Elo on Hard: Nikoloz Basilashvili p=0.392 vs Jaime Faria. Executable ask 0.6800 (aec-atp-jaifar-nikbas-2026-08-11).</t>
        </is>
      </c>
      <c r="AF291" s="31" t="inlineStr">
        <is>
          <t>Surface-blended Elo model; singles only, WTA+ATP market coverage, not yet locked-holdout qualified -- promoted by explicit operator directive, not genuine walk-forward validation.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research_observation</t>
        </is>
      </c>
      <c r="AL291" s="26" t="n">
        <v>3</v>
      </c>
      <c r="AM291" s="24" t="inlineStr">
        <is>
          <t>RESEARCH_OBSERVATION</t>
        </is>
      </c>
      <c r="AN291" s="24" t="inlineStr">
        <is>
          <t>NO_CALL</t>
        </is>
      </c>
      <c r="AO291" s="24" t="inlineStr">
        <is>
          <t>NO_CALL_LOW_EDGE</t>
        </is>
      </c>
      <c r="AP291" s="24" t="inlineStr">
        <is>
          <t>Nikoloz Basilashvili</t>
        </is>
      </c>
      <c r="AQ291" s="24" t="inlineStr">
        <is>
          <t>Nikoloz Basilashvili</t>
        </is>
      </c>
      <c r="AR291" s="24" t="inlineStr">
        <is>
          <t>Nikoloz Basilashvili</t>
        </is>
      </c>
      <c r="AS291" s="24" t="inlineStr">
        <is>
          <t>Jaime Faria</t>
        </is>
      </c>
      <c r="AT291" s="24" t="inlineStr">
        <is>
          <t>Jaime Faria</t>
        </is>
      </c>
      <c r="AU291" s="24" t="inlineStr">
        <is>
          <t>Jaime Faria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3ab056fefe04713e3c294da76c8adb2866b0dc46556ed32322a0426dd344a0e4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3ab056fefe04713e3c294da76c8adb2866b0dc46556ed32322a0426dd344a0e4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3ab056fefe04713e3c294da76c8adb2866b0dc46556ed32322a0426dd344a0e4</t>
        </is>
      </c>
      <c r="BH291" s="24" t="inlineStr">
        <is>
          <t>2026-08-11T17:23:20.643142Z</t>
        </is>
      </c>
      <c r="BI291" s="24" t="inlineStr">
        <is>
          <t>["same_event","same_team_same_day","same_league_same_day"]</t>
        </is>
      </c>
      <c r="BJ291" s="25" t="n"/>
      <c r="BK291" s="26" t="n">
        <v>-213</v>
      </c>
      <c r="BL291" s="27" t="n">
        <v>1.469484</v>
      </c>
      <c r="BM291" s="28" t="n">
        <v>0.680511</v>
      </c>
      <c r="BN291" s="28" t="n"/>
      <c r="BO291" s="28" t="n"/>
      <c r="BP291" s="25" t="n"/>
      <c r="BQ291" s="27" t="n">
        <v>1.469484</v>
      </c>
      <c r="BR291" s="28" t="n">
        <v>0.68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False</t>
        </is>
      </c>
    </row>
    <row r="292" ht="36" customHeight="1">
      <c r="A292" s="24" t="inlineStr">
        <is>
          <t>a0ac0e684e0e42e4</t>
        </is>
      </c>
      <c r="B292" s="24" t="inlineStr">
        <is>
          <t>2026-08-11T17:25:06.939802Z</t>
        </is>
      </c>
      <c r="C292" s="24" t="inlineStr">
        <is>
          <t>2026-08-11T19:00Z</t>
        </is>
      </c>
      <c r="D292" s="24" t="inlineStr">
        <is>
          <t>718-2026:184420</t>
        </is>
      </c>
      <c r="E292" s="24" t="inlineStr">
        <is>
          <t>TENNIS</t>
        </is>
      </c>
      <c r="F292" s="24" t="inlineStr">
        <is>
          <t>Bu Yunchaokete</t>
        </is>
      </c>
      <c r="G292" s="24" t="inlineStr">
        <is>
          <t>Francesco Maestrelli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-317</v>
      </c>
      <c r="M292" s="27" t="n">
        <v>1.315457</v>
      </c>
      <c r="N292" s="28" t="n">
        <v>0.760192</v>
      </c>
      <c r="O292" s="28" t="n">
        <v>0.507521</v>
      </c>
      <c r="P292" s="28" t="n">
        <v>0.05</v>
      </c>
      <c r="Q292" s="28" t="n">
        <v>-0.252671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win</t>
        </is>
      </c>
      <c r="W292" s="26" t="n">
        <v>1</v>
      </c>
      <c r="X292" s="26" t="n">
        <v>0</v>
      </c>
      <c r="Y292" s="25" t="n"/>
      <c r="Z292" s="26" t="n"/>
      <c r="AA292" s="28" t="n"/>
      <c r="AB292" s="28" t="n"/>
      <c r="AC292" s="30" t="n">
        <v>0.3155</v>
      </c>
      <c r="AD292" s="24" t="inlineStr">
        <is>
          <t>2026-08-12T02:05:20.459495Z</t>
        </is>
      </c>
      <c r="AE292" s="31" t="inlineStr">
        <is>
          <t>Surface-blended Elo on Hard: Bu Yunchaokete p=0.508 vs Francesco Maestrelli. Executable ask 0.7600 (aec-atp-framae-yunbu-2026-08-11).</t>
        </is>
      </c>
      <c r="AF292" s="31" t="inlineStr">
        <is>
          <t>Surface-blended Elo model; singles only, WTA+ATP market coverage, not yet locked-holdout qualified -- promoted by explicit operator directive, not genuine walk-forward validation.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research_observation</t>
        </is>
      </c>
      <c r="AL292" s="26" t="n">
        <v>3</v>
      </c>
      <c r="AM292" s="24" t="inlineStr">
        <is>
          <t>RESEARCH_OBSERVATION</t>
        </is>
      </c>
      <c r="AN292" s="24" t="inlineStr">
        <is>
          <t>NO_CALL</t>
        </is>
      </c>
      <c r="AO292" s="24" t="inlineStr">
        <is>
          <t>NO_CALL_LOW_EDGE</t>
        </is>
      </c>
      <c r="AP292" s="24" t="inlineStr">
        <is>
          <t>Bu Yunchaokete</t>
        </is>
      </c>
      <c r="AQ292" s="24" t="inlineStr">
        <is>
          <t>Bu Yunchaokete</t>
        </is>
      </c>
      <c r="AR292" s="24" t="inlineStr">
        <is>
          <t>Bu Yunchaokete</t>
        </is>
      </c>
      <c r="AS292" s="24" t="inlineStr">
        <is>
          <t>Francesco Maestrelli</t>
        </is>
      </c>
      <c r="AT292" s="24" t="inlineStr">
        <is>
          <t>Francesco Maestrelli</t>
        </is>
      </c>
      <c r="AU292" s="24" t="inlineStr">
        <is>
          <t>Francesco Maestrelli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3ab056fefe04713e3c294da76c8adb2866b0dc46556ed32322a0426dd344a0e4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3ab056fefe04713e3c294da76c8adb2866b0dc46556ed32322a0426dd344a0e4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3ab056fefe04713e3c294da76c8adb2866b0dc46556ed32322a0426dd344a0e4</t>
        </is>
      </c>
      <c r="BH292" s="24" t="inlineStr">
        <is>
          <t>2026-08-11T17:23:20.095367Z</t>
        </is>
      </c>
      <c r="BI292" s="24" t="inlineStr">
        <is>
          <t>["same_event","same_team_same_day","same_league_same_day"]</t>
        </is>
      </c>
      <c r="BJ292" s="25" t="n"/>
      <c r="BK292" s="26" t="n">
        <v>-317</v>
      </c>
      <c r="BL292" s="27" t="n">
        <v>1.315457</v>
      </c>
      <c r="BM292" s="28" t="n">
        <v>0.760192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</row>
    <row r="293" ht="36" customHeight="1">
      <c r="A293" s="24" t="inlineStr">
        <is>
          <t>3d16b1b7d19a4cf1</t>
        </is>
      </c>
      <c r="B293" s="24" t="inlineStr">
        <is>
          <t>2026-08-11T19:57:08.156846Z</t>
        </is>
      </c>
      <c r="C293" s="24" t="inlineStr">
        <is>
          <t>2026-08-11T23:00Z</t>
        </is>
      </c>
      <c r="D293" s="24" t="inlineStr">
        <is>
          <t>421-2026:182226</t>
        </is>
      </c>
      <c r="E293" s="24" t="inlineStr">
        <is>
          <t>TENNIS</t>
        </is>
      </c>
      <c r="F293" s="24" t="inlineStr">
        <is>
          <t>Coco Gauff</t>
        </is>
      </c>
      <c r="G293" s="24" t="inlineStr">
        <is>
          <t>Belinda Bencic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-156</v>
      </c>
      <c r="M293" s="27" t="n">
        <v>1.641026</v>
      </c>
      <c r="N293" s="28" t="n">
        <v>0.609375</v>
      </c>
      <c r="O293" s="28" t="n">
        <v>0.620196</v>
      </c>
      <c r="P293" s="28" t="n">
        <v>0.05</v>
      </c>
      <c r="Q293" s="28" t="n">
        <v>0.010821</v>
      </c>
      <c r="R293" s="26" t="n">
        <v>25</v>
      </c>
      <c r="S293" s="29" t="n">
        <v>1.5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1</v>
      </c>
      <c r="X293" s="26" t="n">
        <v>0</v>
      </c>
      <c r="Y293" s="25" t="n"/>
      <c r="Z293" s="26" t="n">
        <v>-156</v>
      </c>
      <c r="AA293" s="28" t="n">
        <v>0.61</v>
      </c>
      <c r="AB293" s="28" t="n">
        <v>0.000625</v>
      </c>
      <c r="AC293" s="30" t="n">
        <v>0.9615</v>
      </c>
      <c r="AD293" s="24" t="inlineStr">
        <is>
          <t>2026-08-12T02:05:28.182007Z</t>
        </is>
      </c>
      <c r="AE293" s="31" t="inlineStr">
        <is>
          <t>Surface-blended Elo on Hard: Coco Gauff p=0.620 vs Belinda Bencic. Executable ask 0.6100 (aec-wta-belben-cocgau-2026-08-11).</t>
        </is>
      </c>
      <c r="AF293" s="31" t="inlineStr">
        <is>
          <t>Surface-blended Elo model; singles only, WTA+ATP market coverage, not yet locked-holdout qualified -- promoted by explicit operator directive, not genuine walk-forward validation.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research_observation</t>
        </is>
      </c>
      <c r="AL293" s="26" t="n">
        <v>3</v>
      </c>
      <c r="AM293" s="24" t="inlineStr">
        <is>
          <t>RESEARCH_OBSERVATION</t>
        </is>
      </c>
      <c r="AN293" s="24" t="inlineStr">
        <is>
          <t>NO_CALL</t>
        </is>
      </c>
      <c r="AO293" s="24" t="inlineStr">
        <is>
          <t>NO_CALL_LOW_EDGE</t>
        </is>
      </c>
      <c r="AP293" s="24" t="inlineStr">
        <is>
          <t>Coco Gauff</t>
        </is>
      </c>
      <c r="AQ293" s="24" t="inlineStr">
        <is>
          <t>Coco Gauff</t>
        </is>
      </c>
      <c r="AR293" s="24" t="inlineStr">
        <is>
          <t>Coco Gauff</t>
        </is>
      </c>
      <c r="AS293" s="24" t="inlineStr">
        <is>
          <t>Belinda Bencic</t>
        </is>
      </c>
      <c r="AT293" s="24" t="inlineStr">
        <is>
          <t>Belinda Bencic</t>
        </is>
      </c>
      <c r="AU293" s="24" t="inlineStr">
        <is>
          <t>Belinda Bencic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3ab056fefe04713e3c294da76c8adb2866b0dc46556ed32322a0426dd344a0e4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3ab056fefe04713e3c294da76c8adb2866b0dc46556ed32322a0426dd344a0e4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3ab056fefe04713e3c294da76c8adb2866b0dc46556ed32322a0426dd344a0e4</t>
        </is>
      </c>
      <c r="BH293" s="24" t="inlineStr">
        <is>
          <t>2026-08-11T19:55:54.766159Z</t>
        </is>
      </c>
      <c r="BI293" s="24" t="inlineStr">
        <is>
          <t>["same_event","same_team_same_day","same_league_same_day"]</t>
        </is>
      </c>
      <c r="BJ293" s="25" t="n"/>
      <c r="BK293" s="26" t="n">
        <v>-156</v>
      </c>
      <c r="BL293" s="27" t="n">
        <v>1.641026</v>
      </c>
      <c r="BM293" s="28" t="n">
        <v>0.609375</v>
      </c>
      <c r="BN293" s="28" t="n"/>
      <c r="BO293" s="28" t="n"/>
      <c r="BP293" s="25" t="n"/>
      <c r="BQ293" s="27" t="n">
        <v>1.641026</v>
      </c>
      <c r="BR293" s="28" t="n">
        <v>0.61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</row>
    <row r="294" ht="36" customHeight="1">
      <c r="A294" s="24" t="inlineStr">
        <is>
          <t>080a3131be4b4288</t>
        </is>
      </c>
      <c r="B294" s="24" t="inlineStr">
        <is>
          <t>2026-08-11T19:57:08.156846Z</t>
        </is>
      </c>
      <c r="C294" s="24" t="inlineStr">
        <is>
          <t>2026-08-11T20:45Z</t>
        </is>
      </c>
      <c r="D294" s="24" t="inlineStr">
        <is>
          <t>718-2026:184464</t>
        </is>
      </c>
      <c r="E294" s="24" t="inlineStr">
        <is>
          <t>TENNIS</t>
        </is>
      </c>
      <c r="F294" s="24" t="inlineStr">
        <is>
          <t>Katarzyna Kawa</t>
        </is>
      </c>
      <c r="G294" s="24" t="inlineStr">
        <is>
          <t>Eva Lys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223</v>
      </c>
      <c r="M294" s="27" t="n">
        <v>3.23</v>
      </c>
      <c r="N294" s="28" t="n">
        <v>0.309598</v>
      </c>
      <c r="O294" s="28" t="n">
        <v>0.508032</v>
      </c>
      <c r="P294" s="28" t="n">
        <v>0.05</v>
      </c>
      <c r="Q294" s="28" t="n">
        <v>0.198434</v>
      </c>
      <c r="R294" s="26" t="n">
        <v>100</v>
      </c>
      <c r="S294" s="29" t="n">
        <v>1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loss</t>
        </is>
      </c>
      <c r="W294" s="26" t="n">
        <v>0</v>
      </c>
      <c r="X294" s="26" t="n">
        <v>1</v>
      </c>
      <c r="Y294" s="25" t="n"/>
      <c r="Z294" s="26" t="n">
        <v>223</v>
      </c>
      <c r="AA294" s="28" t="n">
        <v>0.31</v>
      </c>
      <c r="AB294" s="28" t="n">
        <v>0.000402</v>
      </c>
      <c r="AC294" s="30" t="n">
        <v>-1</v>
      </c>
      <c r="AD294" s="24" t="inlineStr">
        <is>
          <t>2026-08-12T05:11:12.294594Z</t>
        </is>
      </c>
      <c r="AE294" s="31" t="inlineStr">
        <is>
          <t>Surface-blended Elo on Hard: Katarzyna Kawa p=0.508 vs Eva Lys. Executable ask 0.3100 (aec-wta-evalys-katkaw-2026-08-11).</t>
        </is>
      </c>
      <c r="AF294" s="31" t="inlineStr">
        <is>
          <t>Surface-blended Elo model; singles only, WTA+ATP market coverage, not yet locked-holdout qualified -- promoted by explicit operator directive, not genuine walk-forward validation.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research_observation</t>
        </is>
      </c>
      <c r="AL294" s="26" t="n">
        <v>3</v>
      </c>
      <c r="AM294" s="24" t="inlineStr">
        <is>
          <t>RESEARCH_OBSERVATION</t>
        </is>
      </c>
      <c r="AN294" s="24" t="inlineStr">
        <is>
          <t>NO_CALL</t>
        </is>
      </c>
      <c r="AO294" s="24" t="inlineStr">
        <is>
          <t>NO_CALL_LOW_EDGE</t>
        </is>
      </c>
      <c r="AP294" s="24" t="inlineStr">
        <is>
          <t>Katarzyna Kawa</t>
        </is>
      </c>
      <c r="AQ294" s="24" t="inlineStr">
        <is>
          <t>Katarzyna Kawa</t>
        </is>
      </c>
      <c r="AR294" s="24" t="inlineStr">
        <is>
          <t>Katarzyna Kawa</t>
        </is>
      </c>
      <c r="AS294" s="24" t="inlineStr">
        <is>
          <t>Eva Lys</t>
        </is>
      </c>
      <c r="AT294" s="24" t="inlineStr">
        <is>
          <t>Eva Lys</t>
        </is>
      </c>
      <c r="AU294" s="24" t="inlineStr">
        <is>
          <t>Eva Lys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3ab056fefe04713e3c294da76c8adb2866b0dc46556ed32322a0426dd344a0e4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3ab056fefe04713e3c294da76c8adb2866b0dc46556ed32322a0426dd344a0e4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3ab056fefe04713e3c294da76c8adb2866b0dc46556ed32322a0426dd344a0e4</t>
        </is>
      </c>
      <c r="BH294" s="24" t="inlineStr">
        <is>
          <t>2026-08-11T19:55:49.374331Z</t>
        </is>
      </c>
      <c r="BI294" s="24" t="inlineStr">
        <is>
          <t>["same_event","same_team_same_day","same_league_same_day"]</t>
        </is>
      </c>
      <c r="BJ294" s="25" t="n"/>
      <c r="BK294" s="26" t="n">
        <v>223</v>
      </c>
      <c r="BL294" s="27" t="n">
        <v>3.23</v>
      </c>
      <c r="BM294" s="28" t="n">
        <v>0.309598</v>
      </c>
      <c r="BN294" s="28" t="n"/>
      <c r="BO294" s="28" t="n"/>
      <c r="BP294" s="25" t="n"/>
      <c r="BQ294" s="27" t="n">
        <v>3.23</v>
      </c>
      <c r="BR294" s="28" t="n">
        <v>0.31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</row>
    <row r="295" ht="36" customHeight="1">
      <c r="A295" s="24" t="inlineStr">
        <is>
          <t>5048bc7168e34a08</t>
        </is>
      </c>
      <c r="B295" s="24" t="inlineStr">
        <is>
          <t>2026-08-11T19:57:08.156846Z</t>
        </is>
      </c>
      <c r="C295" s="24" t="inlineStr">
        <is>
          <t>2026-08-11T21:00Z</t>
        </is>
      </c>
      <c r="D295" s="24" t="inlineStr">
        <is>
          <t>718-2026:184443</t>
        </is>
      </c>
      <c r="E295" s="24" t="inlineStr">
        <is>
          <t>TENNIS</t>
        </is>
      </c>
      <c r="F295" s="24" t="inlineStr">
        <is>
          <t>Anna Blinkova</t>
        </is>
      </c>
      <c r="G295" s="24" t="inlineStr">
        <is>
          <t>Dominika Salkova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117</v>
      </c>
      <c r="M295" s="27" t="n">
        <v>2.17</v>
      </c>
      <c r="N295" s="28" t="n">
        <v>0.460829</v>
      </c>
      <c r="O295" s="28" t="n">
        <v>0.514126</v>
      </c>
      <c r="P295" s="28" t="n">
        <v>0.05</v>
      </c>
      <c r="Q295" s="28" t="n">
        <v>0.053297</v>
      </c>
      <c r="R295" s="26" t="n">
        <v>47</v>
      </c>
      <c r="S295" s="29" t="n">
        <v>1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>
        <v>117</v>
      </c>
      <c r="AA295" s="28" t="n">
        <v>0.46</v>
      </c>
      <c r="AB295" s="28" t="n">
        <v>-0.000829</v>
      </c>
      <c r="AC295" s="30" t="n">
        <v>-1</v>
      </c>
      <c r="AD295" s="24" t="inlineStr">
        <is>
          <t>2026-08-12T05:11:13.878330Z</t>
        </is>
      </c>
      <c r="AE295" s="31" t="inlineStr">
        <is>
          <t>Surface-blended Elo on Hard: Anna Blinkova p=0.486 vs Dominika Salkova. Executable ask 0.4600 (aec-wta-domsal-annbli-2026-08-11).</t>
        </is>
      </c>
      <c r="AF295" s="31" t="inlineStr">
        <is>
          <t>Surface-blended Elo model; singles only, WTA+ATP market coverage, not yet locked-holdout qualified -- promoted by explicit operator directive, not genuine walk-forward validation.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research_observation</t>
        </is>
      </c>
      <c r="AL295" s="26" t="n">
        <v>3</v>
      </c>
      <c r="AM295" s="24" t="inlineStr">
        <is>
          <t>RESEARCH_OBSERVATION</t>
        </is>
      </c>
      <c r="AN295" s="24" t="inlineStr">
        <is>
          <t>NO_CALL</t>
        </is>
      </c>
      <c r="AO295" s="24" t="inlineStr">
        <is>
          <t>NO_CALL_LOW_EDGE</t>
        </is>
      </c>
      <c r="AP295" s="24" t="inlineStr">
        <is>
          <t>Anna Blinkova</t>
        </is>
      </c>
      <c r="AQ295" s="24" t="inlineStr">
        <is>
          <t>Anna Blinkova</t>
        </is>
      </c>
      <c r="AR295" s="24" t="inlineStr">
        <is>
          <t>Anna Blinkova</t>
        </is>
      </c>
      <c r="AS295" s="24" t="inlineStr">
        <is>
          <t>Dominika Salkova</t>
        </is>
      </c>
      <c r="AT295" s="24" t="inlineStr">
        <is>
          <t>Dominika Salkova</t>
        </is>
      </c>
      <c r="AU295" s="24" t="inlineStr">
        <is>
          <t>Dominika Salkova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3ab056fefe04713e3c294da76c8adb2866b0dc46556ed32322a0426dd344a0e4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3ab056fefe04713e3c294da76c8adb2866b0dc46556ed32322a0426dd344a0e4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3ab056fefe04713e3c294da76c8adb2866b0dc46556ed32322a0426dd344a0e4</t>
        </is>
      </c>
      <c r="BH295" s="24" t="inlineStr">
        <is>
          <t>2026-08-11T19:55:47.647204Z</t>
        </is>
      </c>
      <c r="BI295" s="24" t="inlineStr">
        <is>
          <t>["same_event","same_team_same_day","same_league_same_day"]</t>
        </is>
      </c>
      <c r="BJ295" s="25" t="n"/>
      <c r="BK295" s="26" t="n">
        <v>117</v>
      </c>
      <c r="BL295" s="27" t="n">
        <v>2.17</v>
      </c>
      <c r="BM295" s="28" t="n">
        <v>0.460829</v>
      </c>
      <c r="BN295" s="28" t="n"/>
      <c r="BO295" s="28" t="n"/>
      <c r="BP295" s="25" t="n"/>
      <c r="BQ295" s="27" t="n">
        <v>2.17</v>
      </c>
      <c r="BR295" s="28" t="n">
        <v>0.46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</row>
    <row r="296" ht="36" customHeight="1">
      <c r="A296" s="24" t="inlineStr">
        <is>
          <t>c8d06540a80a49f9</t>
        </is>
      </c>
      <c r="B296" s="24" t="inlineStr">
        <is>
          <t>2026-08-11T19:57:08.156846Z</t>
        </is>
      </c>
      <c r="C296" s="24" t="inlineStr">
        <is>
          <t>2026-08-11T22:30Z</t>
        </is>
      </c>
      <c r="D296" s="24" t="inlineStr">
        <is>
          <t>718-2026:184449</t>
        </is>
      </c>
      <c r="E296" s="24" t="inlineStr">
        <is>
          <t>TENNIS</t>
        </is>
      </c>
      <c r="F296" s="24" t="inlineStr">
        <is>
          <t>Polina Kudermetova</t>
        </is>
      </c>
      <c r="G296" s="24" t="inlineStr">
        <is>
          <t>Carol Young Suh Lee</t>
        </is>
      </c>
      <c r="H296" s="24" t="inlineStr">
        <is>
          <t>moneyline</t>
        </is>
      </c>
      <c r="I296" s="24" t="inlineStr">
        <is>
          <t>away</t>
        </is>
      </c>
      <c r="J296" s="25" t="n"/>
      <c r="K296" s="24" t="inlineStr">
        <is>
          <t>polymarket_us</t>
        </is>
      </c>
      <c r="L296" s="26" t="n">
        <v>117</v>
      </c>
      <c r="M296" s="27" t="n">
        <v>2.17</v>
      </c>
      <c r="N296" s="28" t="n">
        <v>0.460829</v>
      </c>
      <c r="O296" s="28" t="n">
        <v>0.618632</v>
      </c>
      <c r="P296" s="28" t="n">
        <v>0.05</v>
      </c>
      <c r="Q296" s="28" t="n">
        <v>0.157803</v>
      </c>
      <c r="R296" s="26" t="n">
        <v>99</v>
      </c>
      <c r="S296" s="29" t="n">
        <v>1.5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win</t>
        </is>
      </c>
      <c r="W296" s="26" t="n">
        <v>1</v>
      </c>
      <c r="X296" s="26" t="n">
        <v>0</v>
      </c>
      <c r="Y296" s="25" t="n"/>
      <c r="Z296" s="26" t="n">
        <v>117</v>
      </c>
      <c r="AA296" s="28" t="n">
        <v>0.46</v>
      </c>
      <c r="AB296" s="28" t="n">
        <v>-0.000829</v>
      </c>
      <c r="AC296" s="30" t="n">
        <v>1.755</v>
      </c>
      <c r="AD296" s="24" t="inlineStr">
        <is>
          <t>2026-08-13T05:31:18.059071Z</t>
        </is>
      </c>
      <c r="AE296" s="31" t="inlineStr">
        <is>
          <t>Surface-blended Elo on Hard: Polina Kudermetova p=0.619 vs Carol Young Suh Lee. Executable ask 0.4600 (aec-wta-carlee-polkud-2026-08-11).</t>
        </is>
      </c>
      <c r="AF296" s="31" t="inlineStr">
        <is>
          <t>Surface-blended Elo model; singles only, WTA+ATP market coverage, not yet locked-holdout qualified -- promoted by explicit operator directive, not genuine walk-forward validation.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model_qualified</t>
        </is>
      </c>
      <c r="AL296" s="26" t="n">
        <v>3</v>
      </c>
      <c r="AM296" s="24" t="inlineStr">
        <is>
          <t>QUALIFIED_SHADOW_CALL</t>
        </is>
      </c>
      <c r="AN296" s="24" t="inlineStr">
        <is>
          <t>CALL</t>
        </is>
      </c>
      <c r="AO296" s="24" t="inlineStr">
        <is>
          <t>QUALIFIED</t>
        </is>
      </c>
      <c r="AP296" s="24" t="inlineStr">
        <is>
          <t>Polina Kudermetova</t>
        </is>
      </c>
      <c r="AQ296" s="24" t="inlineStr">
        <is>
          <t>Polina Kudermetova</t>
        </is>
      </c>
      <c r="AR296" s="24" t="inlineStr">
        <is>
          <t>Polina Kudermetova</t>
        </is>
      </c>
      <c r="AS296" s="24" t="inlineStr">
        <is>
          <t>Carol Young Suh Lee</t>
        </is>
      </c>
      <c r="AT296" s="24" t="inlineStr">
        <is>
          <t>Carol Young Suh Lee</t>
        </is>
      </c>
      <c r="AU296" s="24" t="inlineStr">
        <is>
          <t>Carol Young Suh Lee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3ab056fefe04713e3c294da76c8adb2866b0dc46556ed32322a0426dd344a0e4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3ab056fefe04713e3c294da76c8adb2866b0dc46556ed32322a0426dd344a0e4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3ab056fefe04713e3c294da76c8adb2866b0dc46556ed32322a0426dd344a0e4</t>
        </is>
      </c>
      <c r="BH296" s="24" t="inlineStr">
        <is>
          <t>2026-08-11T19:55:53.735567Z</t>
        </is>
      </c>
      <c r="BI296" s="24" t="inlineStr">
        <is>
          <t>["same_event","same_team_same_day","same_league_same_day"]</t>
        </is>
      </c>
      <c r="BJ296" s="25" t="n"/>
      <c r="BK296" s="26" t="n">
        <v>117</v>
      </c>
      <c r="BL296" s="27" t="n">
        <v>2.17</v>
      </c>
      <c r="BM296" s="28" t="n">
        <v>0.460829</v>
      </c>
      <c r="BN296" s="28" t="n"/>
      <c r="BO296" s="28" t="n"/>
      <c r="BP296" s="25" t="n"/>
      <c r="BQ296" s="27" t="n">
        <v>2.17</v>
      </c>
      <c r="BR296" s="28" t="n">
        <v>0.46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</row>
    <row r="297" ht="36" customHeight="1">
      <c r="A297" s="24" t="inlineStr">
        <is>
          <t>8f5d5df2f1194487</t>
        </is>
      </c>
      <c r="B297" s="24" t="inlineStr">
        <is>
          <t>2026-08-11T19:57:08.156846Z</t>
        </is>
      </c>
      <c r="C297" s="24" t="inlineStr">
        <is>
          <t>2026-08-11T22:00Z</t>
        </is>
      </c>
      <c r="D297" s="24" t="inlineStr">
        <is>
          <t>421-2026:181736</t>
        </is>
      </c>
      <c r="E297" s="24" t="inlineStr">
        <is>
          <t>TENNIS</t>
        </is>
      </c>
      <c r="F297" s="24" t="inlineStr">
        <is>
          <t>Ben Shelton</t>
        </is>
      </c>
      <c r="G297" s="24" t="inlineStr">
        <is>
          <t>Jakub Mensik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-133</v>
      </c>
      <c r="M297" s="27" t="n">
        <v>1.75188</v>
      </c>
      <c r="N297" s="28" t="n">
        <v>0.570815</v>
      </c>
      <c r="O297" s="28" t="n">
        <v>0.647763</v>
      </c>
      <c r="P297" s="28" t="n">
        <v>0.05</v>
      </c>
      <c r="Q297" s="28" t="n">
        <v>0.076948</v>
      </c>
      <c r="R297" s="26" t="n">
        <v>58</v>
      </c>
      <c r="S297" s="29" t="n">
        <v>1.75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win</t>
        </is>
      </c>
      <c r="W297" s="26" t="n">
        <v>1</v>
      </c>
      <c r="X297" s="26" t="n">
        <v>0</v>
      </c>
      <c r="Y297" s="25" t="n"/>
      <c r="Z297" s="26" t="n">
        <v>-133</v>
      </c>
      <c r="AA297" s="28" t="n">
        <v>0.57</v>
      </c>
      <c r="AB297" s="28" t="n">
        <v>-0.000815</v>
      </c>
      <c r="AC297" s="30" t="n">
        <v>1.3158</v>
      </c>
      <c r="AD297" s="24" t="inlineStr">
        <is>
          <t>2026-08-12T02:05:29.769623Z</t>
        </is>
      </c>
      <c r="AE297" s="31" t="inlineStr">
        <is>
          <t>Surface-blended Elo on Hard: Ben Shelton p=0.648 vs Jakub Mensik. Executable ask 0.5700 (aec-atp-jakmen-benshe-2026-08-11).</t>
        </is>
      </c>
      <c r="AF297" s="31" t="inlineStr">
        <is>
          <t>Surface-blended Elo model; singles only, WTA+ATP market coverage, not yet locked-holdout qualified -- promoted by explicit operator directive, not genuine walk-forward validation.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model_qualified</t>
        </is>
      </c>
      <c r="AL297" s="26" t="n">
        <v>3</v>
      </c>
      <c r="AM297" s="24" t="inlineStr">
        <is>
          <t>QUALIFIED_SHADOW_CALL</t>
        </is>
      </c>
      <c r="AN297" s="24" t="inlineStr">
        <is>
          <t>CALL</t>
        </is>
      </c>
      <c r="AO297" s="24" t="inlineStr">
        <is>
          <t>QUALIFIED</t>
        </is>
      </c>
      <c r="AP297" s="24" t="inlineStr">
        <is>
          <t>Ben Shelton</t>
        </is>
      </c>
      <c r="AQ297" s="24" t="inlineStr">
        <is>
          <t>Ben Shelton</t>
        </is>
      </c>
      <c r="AR297" s="24" t="inlineStr">
        <is>
          <t>Ben Shelton</t>
        </is>
      </c>
      <c r="AS297" s="24" t="inlineStr">
        <is>
          <t>Jakub Mensik</t>
        </is>
      </c>
      <c r="AT297" s="24" t="inlineStr">
        <is>
          <t>Jakub Mensik</t>
        </is>
      </c>
      <c r="AU297" s="24" t="inlineStr">
        <is>
          <t>Jakub Mensik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3ab056fefe04713e3c294da76c8adb2866b0dc46556ed32322a0426dd344a0e4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3ab056fefe04713e3c294da76c8adb2866b0dc46556ed32322a0426dd344a0e4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3ab056fefe04713e3c294da76c8adb2866b0dc46556ed32322a0426dd344a0e4</t>
        </is>
      </c>
      <c r="BH297" s="24" t="inlineStr">
        <is>
          <t>2026-08-11T19:56:07.780416Z</t>
        </is>
      </c>
      <c r="BI297" s="24" t="inlineStr">
        <is>
          <t>["same_event","same_team_same_day","same_league_same_day"]</t>
        </is>
      </c>
      <c r="BJ297" s="25" t="n"/>
      <c r="BK297" s="26" t="n">
        <v>-133</v>
      </c>
      <c r="BL297" s="27" t="n">
        <v>1.75188</v>
      </c>
      <c r="BM297" s="28" t="n">
        <v>0.570815</v>
      </c>
      <c r="BN297" s="28" t="n"/>
      <c r="BO297" s="28" t="n"/>
      <c r="BP297" s="25" t="n"/>
      <c r="BQ297" s="27" t="n">
        <v>1.75188</v>
      </c>
      <c r="BR297" s="28" t="n">
        <v>0.57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</row>
    <row r="298" ht="36" customHeight="1">
      <c r="A298" s="24" t="inlineStr">
        <is>
          <t>2f8f5d1ae1fa4ebf</t>
        </is>
      </c>
      <c r="B298" s="24" t="inlineStr">
        <is>
          <t>2026-08-11T23:02:26.971397Z</t>
        </is>
      </c>
      <c r="C298" s="24" t="inlineStr">
        <is>
          <t>2026-08-11T23:30Z</t>
        </is>
      </c>
      <c r="D298" s="24" t="inlineStr">
        <is>
          <t>421-2026:181734</t>
        </is>
      </c>
      <c r="E298" s="24" t="inlineStr">
        <is>
          <t>TENNIS</t>
        </is>
      </c>
      <c r="F298" s="24" t="inlineStr">
        <is>
          <t>Learner Tien</t>
        </is>
      </c>
      <c r="G298" s="24" t="inlineStr">
        <is>
          <t>Daniel Merida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-194</v>
      </c>
      <c r="M298" s="27" t="n">
        <v>1.515464</v>
      </c>
      <c r="N298" s="28" t="n">
        <v>0.659864</v>
      </c>
      <c r="O298" s="28" t="n">
        <v>0.668737</v>
      </c>
      <c r="P298" s="28" t="n">
        <v>0.05</v>
      </c>
      <c r="Q298" s="28" t="n">
        <v>0.008873000000000001</v>
      </c>
      <c r="R298" s="26" t="n">
        <v>24</v>
      </c>
      <c r="S298" s="29" t="n">
        <v>1.75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>
        <v>-194</v>
      </c>
      <c r="AA298" s="28" t="n">
        <v>0.66</v>
      </c>
      <c r="AB298" s="28" t="n">
        <v>0.000136</v>
      </c>
      <c r="AC298" s="30" t="n">
        <v>0.9021</v>
      </c>
      <c r="AD298" s="24" t="inlineStr">
        <is>
          <t>2026-08-12T02:05:42.549262Z</t>
        </is>
      </c>
      <c r="AE298" s="31" t="inlineStr">
        <is>
          <t>Surface-blended Elo on Hard: Learner Tien p=0.669 vs Daniel Merida. Executable ask 0.6600 (aec-atp-danagu-leatie-2026-08-11).</t>
        </is>
      </c>
      <c r="AF298" s="31" t="inlineStr">
        <is>
          <t>Surface-blended Elo model; singles only, WTA+ATP market coverage, not yet locked-holdout qualified -- promoted by explicit operator directive, not genuine walk-forward validation.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research_observation</t>
        </is>
      </c>
      <c r="AL298" s="26" t="n">
        <v>3</v>
      </c>
      <c r="AM298" s="24" t="inlineStr">
        <is>
          <t>RESEARCH_OBSERVATION</t>
        </is>
      </c>
      <c r="AN298" s="24" t="inlineStr">
        <is>
          <t>NO_CALL</t>
        </is>
      </c>
      <c r="AO298" s="24" t="inlineStr">
        <is>
          <t>NO_CALL_LOW_EDGE</t>
        </is>
      </c>
      <c r="AP298" s="24" t="inlineStr">
        <is>
          <t>Learner Tien</t>
        </is>
      </c>
      <c r="AQ298" s="24" t="inlineStr">
        <is>
          <t>Learner Tien</t>
        </is>
      </c>
      <c r="AR298" s="24" t="inlineStr">
        <is>
          <t>Learner Tien</t>
        </is>
      </c>
      <c r="AS298" s="24" t="inlineStr">
        <is>
          <t>Daniel Merida</t>
        </is>
      </c>
      <c r="AT298" s="24" t="inlineStr">
        <is>
          <t>Daniel Merida</t>
        </is>
      </c>
      <c r="AU298" s="24" t="inlineStr">
        <is>
          <t>Daniel Merida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3ab056fefe04713e3c294da76c8adb2866b0dc46556ed32322a0426dd344a0e4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3ab056fefe04713e3c294da76c8adb2866b0dc46556ed32322a0426dd344a0e4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3ab056fefe04713e3c294da76c8adb2866b0dc46556ed32322a0426dd344a0e4</t>
        </is>
      </c>
      <c r="BH298" s="24" t="inlineStr">
        <is>
          <t>2026-08-11T23:01:52.509024Z</t>
        </is>
      </c>
      <c r="BI298" s="24" t="inlineStr">
        <is>
          <t>["same_event","same_team_same_day","same_league_same_day"]</t>
        </is>
      </c>
      <c r="BJ298" s="25" t="n"/>
      <c r="BK298" s="26" t="n">
        <v>-194</v>
      </c>
      <c r="BL298" s="27" t="n">
        <v>1.515464</v>
      </c>
      <c r="BM298" s="28" t="n">
        <v>0.659864</v>
      </c>
      <c r="BN298" s="28" t="n"/>
      <c r="BO298" s="28" t="n"/>
      <c r="BP298" s="25" t="n"/>
      <c r="BQ298" s="27" t="n">
        <v>1.515464</v>
      </c>
      <c r="BR298" s="28" t="n">
        <v>0.66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</row>
    <row r="299" ht="36" customHeight="1">
      <c r="A299" s="24" t="inlineStr">
        <is>
          <t>e8bafbe2566d4b7f</t>
        </is>
      </c>
      <c r="B299" s="24" t="inlineStr">
        <is>
          <t>2026-08-12T11:28:41.768133Z</t>
        </is>
      </c>
      <c r="C299" s="24" t="inlineStr">
        <is>
          <t>2026-08-12T14:00Z</t>
        </is>
      </c>
      <c r="D299" s="24" t="inlineStr">
        <is>
          <t>718-2026:184450</t>
        </is>
      </c>
      <c r="E299" s="24" t="inlineStr">
        <is>
          <t>TENNIS</t>
        </is>
      </c>
      <c r="F299" s="24" t="inlineStr">
        <is>
          <t>Bianca Andreescu</t>
        </is>
      </c>
      <c r="G299" s="24" t="inlineStr">
        <is>
          <t>Wang Xiyu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-122</v>
      </c>
      <c r="M299" s="27" t="n">
        <v>1.819672</v>
      </c>
      <c r="N299" s="28" t="n">
        <v>0.54955</v>
      </c>
      <c r="O299" s="28" t="n">
        <v>0.550667</v>
      </c>
      <c r="P299" s="28" t="n">
        <v>0.05</v>
      </c>
      <c r="Q299" s="28" t="n">
        <v>0.001117</v>
      </c>
      <c r="R299" s="26" t="n">
        <v>21</v>
      </c>
      <c r="S299" s="29" t="n">
        <v>1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/>
      <c r="AA299" s="28" t="n"/>
      <c r="AB299" s="28" t="n"/>
      <c r="AC299" s="30" t="n">
        <v>0.8197</v>
      </c>
      <c r="AD299" s="24" t="inlineStr">
        <is>
          <t>2026-08-13T05:31:19.994917Z</t>
        </is>
      </c>
      <c r="AE299" s="31" t="inlineStr">
        <is>
          <t>Surface-blended Elo on Hard: Bianca Andreescu p=0.449 vs Wang Xiyu. Executable ask 0.5500 (aec-wta-xiywan-biaand-2026-08-11).</t>
        </is>
      </c>
      <c r="AF299" s="31" t="inlineStr">
        <is>
          <t>Surface-blended Elo model; singles only, WTA+ATP market coverage, not yet locked-holdout qualified -- promoted by explicit operator directive, not genuine walk-forward validation.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research_observation</t>
        </is>
      </c>
      <c r="AL299" s="26" t="n">
        <v>3</v>
      </c>
      <c r="AM299" s="24" t="inlineStr">
        <is>
          <t>RESEARCH_OBSERVATION</t>
        </is>
      </c>
      <c r="AN299" s="24" t="inlineStr">
        <is>
          <t>NO_CALL</t>
        </is>
      </c>
      <c r="AO299" s="24" t="inlineStr">
        <is>
          <t>NO_CALL_LOW_EDGE</t>
        </is>
      </c>
      <c r="AP299" s="24" t="inlineStr">
        <is>
          <t>Bianca Andreescu</t>
        </is>
      </c>
      <c r="AQ299" s="24" t="inlineStr">
        <is>
          <t>Bianca Andreescu</t>
        </is>
      </c>
      <c r="AR299" s="24" t="inlineStr">
        <is>
          <t>Bianca Andreescu</t>
        </is>
      </c>
      <c r="AS299" s="24" t="inlineStr">
        <is>
          <t>Wang Xiyu</t>
        </is>
      </c>
      <c r="AT299" s="24" t="inlineStr">
        <is>
          <t>Wang Xiyu</t>
        </is>
      </c>
      <c r="AU299" s="24" t="inlineStr">
        <is>
          <t>Wang Xiyu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3ab056fefe04713e3c294da76c8adb2866b0dc46556ed32322a0426dd344a0e4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3ab056fefe04713e3c294da76c8adb2866b0dc46556ed32322a0426dd344a0e4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3ab056fefe04713e3c294da76c8adb2866b0dc46556ed32322a0426dd344a0e4</t>
        </is>
      </c>
      <c r="BH299" s="24" t="inlineStr">
        <is>
          <t>2026-08-12T11:27:07.831894Z</t>
        </is>
      </c>
      <c r="BI299" s="24" t="inlineStr">
        <is>
          <t>["same_event","same_team_same_day","same_league_same_day"]</t>
        </is>
      </c>
      <c r="BJ299" s="25" t="n"/>
      <c r="BK299" s="26" t="n">
        <v>-122</v>
      </c>
      <c r="BL299" s="27" t="n">
        <v>1.819672</v>
      </c>
      <c r="BM299" s="28" t="n">
        <v>0.54955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</row>
    <row r="300" ht="36" customHeight="1">
      <c r="A300" s="24" t="inlineStr">
        <is>
          <t>8f5e1748a876415a</t>
        </is>
      </c>
      <c r="B300" s="24" t="inlineStr">
        <is>
          <t>2026-08-12T11:28:41.768133Z</t>
        </is>
      </c>
      <c r="C300" s="24" t="inlineStr">
        <is>
          <t>2026-08-12T14:00Z</t>
        </is>
      </c>
      <c r="D300" s="24" t="inlineStr">
        <is>
          <t>718-2026:184453</t>
        </is>
      </c>
      <c r="E300" s="24" t="inlineStr">
        <is>
          <t>TENNIS</t>
        </is>
      </c>
      <c r="F300" s="24" t="inlineStr">
        <is>
          <t>Aliaksandra Sasnovich</t>
        </is>
      </c>
      <c r="G300" s="24" t="inlineStr">
        <is>
          <t>Emiliana Arango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-178</v>
      </c>
      <c r="M300" s="27" t="n">
        <v>1.561798</v>
      </c>
      <c r="N300" s="28" t="n">
        <v>0.640288</v>
      </c>
      <c r="O300" s="28" t="n">
        <v>0.643056</v>
      </c>
      <c r="P300" s="28" t="n">
        <v>0.05</v>
      </c>
      <c r="Q300" s="28" t="n">
        <v>0.002768</v>
      </c>
      <c r="R300" s="26" t="n">
        <v>21</v>
      </c>
      <c r="S300" s="29" t="n">
        <v>1.5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loss</t>
        </is>
      </c>
      <c r="W300" s="26" t="n">
        <v>0</v>
      </c>
      <c r="X300" s="26" t="n">
        <v>1</v>
      </c>
      <c r="Y300" s="25" t="n"/>
      <c r="Z300" s="26" t="n">
        <v>-178</v>
      </c>
      <c r="AA300" s="28" t="n">
        <v>0.64</v>
      </c>
      <c r="AB300" s="28" t="n">
        <v>-0.000288</v>
      </c>
      <c r="AC300" s="30" t="n">
        <v>-1.5</v>
      </c>
      <c r="AD300" s="24" t="inlineStr">
        <is>
          <t>2026-08-13T05:31:21.456047Z</t>
        </is>
      </c>
      <c r="AE300" s="31" t="inlineStr">
        <is>
          <t>Surface-blended Elo on Hard: Aliaksandra Sasnovich p=0.643 vs Emiliana Arango. Executable ask 0.6400 (aec-wta-emiara-alisas-2026-08-11).</t>
        </is>
      </c>
      <c r="AF300" s="31" t="inlineStr">
        <is>
          <t>Surface-blended Elo model; singles only, WTA+ATP market coverage, not yet locked-holdout qualified -- promoted by explicit operator directive, not genuine walk-forward validation.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research_observation</t>
        </is>
      </c>
      <c r="AL300" s="26" t="n">
        <v>3</v>
      </c>
      <c r="AM300" s="24" t="inlineStr">
        <is>
          <t>RESEARCH_OBSERVATION</t>
        </is>
      </c>
      <c r="AN300" s="24" t="inlineStr">
        <is>
          <t>NO_CALL</t>
        </is>
      </c>
      <c r="AO300" s="24" t="inlineStr">
        <is>
          <t>NO_CALL_LOW_EDGE</t>
        </is>
      </c>
      <c r="AP300" s="24" t="inlineStr">
        <is>
          <t>Aliaksandra Sasnovich</t>
        </is>
      </c>
      <c r="AQ300" s="24" t="inlineStr">
        <is>
          <t>Aliaksandra Sasnovich</t>
        </is>
      </c>
      <c r="AR300" s="24" t="inlineStr">
        <is>
          <t>Aliaksandra Sasnovich</t>
        </is>
      </c>
      <c r="AS300" s="24" t="inlineStr">
        <is>
          <t>Emiliana Arango</t>
        </is>
      </c>
      <c r="AT300" s="24" t="inlineStr">
        <is>
          <t>Emiliana Arango</t>
        </is>
      </c>
      <c r="AU300" s="24" t="inlineStr">
        <is>
          <t>Emiliana Arango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3ab056fefe04713e3c294da76c8adb2866b0dc46556ed32322a0426dd344a0e4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3ab056fefe04713e3c294da76c8adb2866b0dc46556ed32322a0426dd344a0e4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3ab056fefe04713e3c294da76c8adb2866b0dc46556ed32322a0426dd344a0e4</t>
        </is>
      </c>
      <c r="BH300" s="24" t="inlineStr">
        <is>
          <t>2026-08-12T11:27:05.917025Z</t>
        </is>
      </c>
      <c r="BI300" s="24" t="inlineStr">
        <is>
          <t>["same_event","same_team_same_day","same_league_same_day"]</t>
        </is>
      </c>
      <c r="BJ300" s="25" t="n"/>
      <c r="BK300" s="26" t="n">
        <v>-178</v>
      </c>
      <c r="BL300" s="27" t="n">
        <v>1.561798</v>
      </c>
      <c r="BM300" s="28" t="n">
        <v>0.640288</v>
      </c>
      <c r="BN300" s="28" t="n"/>
      <c r="BO300" s="28" t="n"/>
      <c r="BP300" s="25" t="n"/>
      <c r="BQ300" s="27" t="n">
        <v>1.561798</v>
      </c>
      <c r="BR300" s="28" t="n">
        <v>0.64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</row>
    <row r="301" ht="36" customHeight="1">
      <c r="A301" s="24" t="inlineStr">
        <is>
          <t>11703d64794c4658</t>
        </is>
      </c>
      <c r="B301" s="24" t="inlineStr">
        <is>
          <t>2026-08-12T11:28:41.768133Z</t>
        </is>
      </c>
      <c r="C301" s="24" t="inlineStr">
        <is>
          <t>2026-08-12T14:00Z</t>
        </is>
      </c>
      <c r="D301" s="24" t="inlineStr">
        <is>
          <t>718-2026:184455</t>
        </is>
      </c>
      <c r="E301" s="24" t="inlineStr">
        <is>
          <t>TENNIS</t>
        </is>
      </c>
      <c r="F301" s="24" t="inlineStr">
        <is>
          <t>Ella Seidel</t>
        </is>
      </c>
      <c r="G301" s="24" t="inlineStr">
        <is>
          <t>Nadia Podoroska</t>
        </is>
      </c>
      <c r="H301" s="24" t="inlineStr">
        <is>
          <t>moneyline</t>
        </is>
      </c>
      <c r="I301" s="24" t="inlineStr">
        <is>
          <t>away</t>
        </is>
      </c>
      <c r="J301" s="25" t="n"/>
      <c r="K301" s="24" t="inlineStr">
        <is>
          <t>polymarket_us</t>
        </is>
      </c>
      <c r="L301" s="26" t="n">
        <v>-186</v>
      </c>
      <c r="M301" s="27" t="n">
        <v>1.537634</v>
      </c>
      <c r="N301" s="28" t="n">
        <v>0.65035</v>
      </c>
      <c r="O301" s="28" t="n">
        <v>0.502352</v>
      </c>
      <c r="P301" s="28" t="n">
        <v>0.05</v>
      </c>
      <c r="Q301" s="28" t="n">
        <v>-0.147998</v>
      </c>
      <c r="R301" s="26" t="n">
        <v>0</v>
      </c>
      <c r="S301" s="29" t="n">
        <v>1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loss</t>
        </is>
      </c>
      <c r="W301" s="26" t="n">
        <v>0</v>
      </c>
      <c r="X301" s="26" t="n">
        <v>1</v>
      </c>
      <c r="Y301" s="25" t="n"/>
      <c r="Z301" s="26" t="n">
        <v>-186</v>
      </c>
      <c r="AA301" s="28" t="n">
        <v>0.65</v>
      </c>
      <c r="AB301" s="28" t="n">
        <v>-0.00035</v>
      </c>
      <c r="AC301" s="30" t="n">
        <v>-1</v>
      </c>
      <c r="AD301" s="24" t="inlineStr">
        <is>
          <t>2026-08-13T05:31:22.891068Z</t>
        </is>
      </c>
      <c r="AE301" s="31" t="inlineStr">
        <is>
          <t>Surface-blended Elo on Hard: Ella Seidel p=0.502 vs Nadia Podoroska. Executable ask 0.6500 (aec-wta-nadpod-ellsei-2026-08-11).</t>
        </is>
      </c>
      <c r="AF301" s="31" t="inlineStr">
        <is>
          <t>Surface-blended Elo model; singles only, WTA+ATP market coverage, not yet locked-holdout qualified -- promoted by explicit operator directive, not genuine walk-forward validation.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research_observation</t>
        </is>
      </c>
      <c r="AL301" s="26" t="n">
        <v>3</v>
      </c>
      <c r="AM301" s="24" t="inlineStr">
        <is>
          <t>RESEARCH_OBSERVATION</t>
        </is>
      </c>
      <c r="AN301" s="24" t="inlineStr">
        <is>
          <t>NO_CALL</t>
        </is>
      </c>
      <c r="AO301" s="24" t="inlineStr">
        <is>
          <t>NO_CALL_LOW_EDGE</t>
        </is>
      </c>
      <c r="AP301" s="24" t="inlineStr">
        <is>
          <t>Ella Seidel</t>
        </is>
      </c>
      <c r="AQ301" s="24" t="inlineStr">
        <is>
          <t>Ella Seidel</t>
        </is>
      </c>
      <c r="AR301" s="24" t="inlineStr">
        <is>
          <t>Ella Seidel</t>
        </is>
      </c>
      <c r="AS301" s="24" t="inlineStr">
        <is>
          <t>Nadia Podoroska</t>
        </is>
      </c>
      <c r="AT301" s="24" t="inlineStr">
        <is>
          <t>Nadia Podoroska</t>
        </is>
      </c>
      <c r="AU301" s="24" t="inlineStr">
        <is>
          <t>Nadia Podoroska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3ab056fefe04713e3c294da76c8adb2866b0dc46556ed32322a0426dd344a0e4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3ab056fefe04713e3c294da76c8adb2866b0dc46556ed32322a0426dd344a0e4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3ab056fefe04713e3c294da76c8adb2866b0dc46556ed32322a0426dd344a0e4</t>
        </is>
      </c>
      <c r="BH301" s="24" t="inlineStr">
        <is>
          <t>2026-08-12T11:27:06.859799Z</t>
        </is>
      </c>
      <c r="BI301" s="24" t="inlineStr">
        <is>
          <t>["same_event","same_team_same_day","same_league_same_day"]</t>
        </is>
      </c>
      <c r="BJ301" s="25" t="n"/>
      <c r="BK301" s="26" t="n">
        <v>-186</v>
      </c>
      <c r="BL301" s="27" t="n">
        <v>1.537634</v>
      </c>
      <c r="BM301" s="28" t="n">
        <v>0.65035</v>
      </c>
      <c r="BN301" s="28" t="n"/>
      <c r="BO301" s="28" t="n"/>
      <c r="BP301" s="25" t="n"/>
      <c r="BQ301" s="27" t="n">
        <v>1.537634</v>
      </c>
      <c r="BR301" s="28" t="n">
        <v>0.65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</row>
    <row r="302" ht="36" customHeight="1">
      <c r="A302" s="24" t="inlineStr">
        <is>
          <t>2f5bda8764a842bd</t>
        </is>
      </c>
      <c r="B302" s="24" t="inlineStr">
        <is>
          <t>2026-08-12T11:28:41.768133Z</t>
        </is>
      </c>
      <c r="C302" s="24" t="inlineStr">
        <is>
          <t>2026-08-12T14:00Z</t>
        </is>
      </c>
      <c r="D302" s="24" t="inlineStr">
        <is>
          <t>718-2026:184478</t>
        </is>
      </c>
      <c r="E302" s="24" t="inlineStr">
        <is>
          <t>TENNIS</t>
        </is>
      </c>
      <c r="F302" s="24" t="inlineStr">
        <is>
          <t>Kayla Day</t>
        </is>
      </c>
      <c r="G302" s="24" t="inlineStr">
        <is>
          <t>Yuan Yue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150</v>
      </c>
      <c r="M302" s="27" t="n">
        <v>2.5</v>
      </c>
      <c r="N302" s="28" t="n">
        <v>0.4</v>
      </c>
      <c r="O302" s="28" t="n">
        <v>0.539124</v>
      </c>
      <c r="P302" s="28" t="n">
        <v>0.05</v>
      </c>
      <c r="Q302" s="28" t="n">
        <v>0.139124</v>
      </c>
      <c r="R302" s="26" t="n">
        <v>90</v>
      </c>
      <c r="S302" s="29" t="n">
        <v>1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loss</t>
        </is>
      </c>
      <c r="W302" s="26" t="n">
        <v>1</v>
      </c>
      <c r="X302" s="26" t="n">
        <v>0</v>
      </c>
      <c r="Y302" s="25" t="n"/>
      <c r="Z302" s="26" t="n"/>
      <c r="AA302" s="28" t="n"/>
      <c r="AB302" s="28" t="n"/>
      <c r="AC302" s="30" t="n">
        <v>-1</v>
      </c>
      <c r="AD302" s="24" t="inlineStr">
        <is>
          <t>2026-08-13T05:31:24.327962Z</t>
        </is>
      </c>
      <c r="AE302" s="31" t="inlineStr">
        <is>
          <t>Surface-blended Elo on Hard: Kayla Day p=0.461 vs Yuan Yue. Executable ask 0.4000 (aec-wta-yueyua-kayday-2026-08-12).</t>
        </is>
      </c>
      <c r="AF302" s="31" t="inlineStr">
        <is>
          <t>Surface-blended Elo model; singles only, WTA+ATP market coverage, not yet locked-holdout qualified -- promoted by explicit operator directive, not genuine walk-forward validation.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3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Kayla Day</t>
        </is>
      </c>
      <c r="AQ302" s="24" t="inlineStr">
        <is>
          <t>Kayla Day</t>
        </is>
      </c>
      <c r="AR302" s="24" t="inlineStr">
        <is>
          <t>Kayla Day</t>
        </is>
      </c>
      <c r="AS302" s="24" t="inlineStr">
        <is>
          <t>Yuan Yue</t>
        </is>
      </c>
      <c r="AT302" s="24" t="inlineStr">
        <is>
          <t>Yuan Yue</t>
        </is>
      </c>
      <c r="AU302" s="24" t="inlineStr">
        <is>
          <t>Yuan Yue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3ab056fefe04713e3c294da76c8adb2866b0dc46556ed32322a0426dd344a0e4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3ab056fefe04713e3c294da76c8adb2866b0dc46556ed32322a0426dd344a0e4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3ab056fefe04713e3c294da76c8adb2866b0dc46556ed32322a0426dd344a0e4</t>
        </is>
      </c>
      <c r="BH302" s="24" t="inlineStr">
        <is>
          <t>2026-08-12T11:27:04.086214Z</t>
        </is>
      </c>
      <c r="BI302" s="24" t="inlineStr">
        <is>
          <t>["same_event","same_team_same_day","same_league_same_day"]</t>
        </is>
      </c>
      <c r="BJ302" s="25" t="n"/>
      <c r="BK302" s="26" t="n">
        <v>150</v>
      </c>
      <c r="BL302" s="27" t="n">
        <v>2.5</v>
      </c>
      <c r="BM302" s="28" t="n">
        <v>0.4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</row>
    <row r="303" ht="36" customHeight="1">
      <c r="A303" s="24" t="inlineStr">
        <is>
          <t>cfd5300ebbfa4b7a</t>
        </is>
      </c>
      <c r="B303" s="24" t="inlineStr">
        <is>
          <t>2026-08-12T11:28:41.768133Z</t>
        </is>
      </c>
      <c r="C303" s="24" t="inlineStr">
        <is>
          <t>2026-08-12T14:00Z</t>
        </is>
      </c>
      <c r="D303" s="24" t="inlineStr">
        <is>
          <t>718-2026:184408</t>
        </is>
      </c>
      <c r="E303" s="24" t="inlineStr">
        <is>
          <t>TENNIS</t>
        </is>
      </c>
      <c r="F303" s="24" t="inlineStr">
        <is>
          <t>Jacob Fearnley</t>
        </is>
      </c>
      <c r="G303" s="24" t="inlineStr">
        <is>
          <t>Nicolas Mejia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-300</v>
      </c>
      <c r="M303" s="27" t="n">
        <v>1.333333</v>
      </c>
      <c r="N303" s="28" t="n">
        <v>0.75</v>
      </c>
      <c r="O303" s="28" t="n">
        <v>0.609888</v>
      </c>
      <c r="P303" s="28" t="n">
        <v>0.05</v>
      </c>
      <c r="Q303" s="28" t="n">
        <v>-0.140112</v>
      </c>
      <c r="R303" s="26" t="n">
        <v>0</v>
      </c>
      <c r="S303" s="29" t="n">
        <v>1.5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loss</t>
        </is>
      </c>
      <c r="W303" s="26" t="n">
        <v>0</v>
      </c>
      <c r="X303" s="26" t="n">
        <v>1</v>
      </c>
      <c r="Y303" s="25" t="n"/>
      <c r="Z303" s="26" t="n">
        <v>-300</v>
      </c>
      <c r="AA303" s="28" t="n">
        <v>0.75</v>
      </c>
      <c r="AB303" s="28" t="n">
        <v>0</v>
      </c>
      <c r="AC303" s="30" t="n">
        <v>-1.5</v>
      </c>
      <c r="AD303" s="24" t="inlineStr">
        <is>
          <t>2026-08-13T05:31:26.792842Z</t>
        </is>
      </c>
      <c r="AE303" s="31" t="inlineStr">
        <is>
          <t>Surface-blended Elo on Hard: Jacob Fearnley p=0.610 vs Nicolas Mejia. Executable ask 0.7500 (aec-atp-nicmej-jacfea-2026-08-11).</t>
        </is>
      </c>
      <c r="AF303" s="31" t="inlineStr">
        <is>
          <t>Surface-blended Elo model; singles only, WTA+ATP market coverage, not yet locked-holdout qualified -- promoted by explicit operator directive, not genuine walk-forward validation.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research_observation</t>
        </is>
      </c>
      <c r="AL303" s="26" t="n">
        <v>3</v>
      </c>
      <c r="AM303" s="24" t="inlineStr">
        <is>
          <t>RESEARCH_OBSERVATION</t>
        </is>
      </c>
      <c r="AN303" s="24" t="inlineStr">
        <is>
          <t>NO_CALL</t>
        </is>
      </c>
      <c r="AO303" s="24" t="inlineStr">
        <is>
          <t>NO_CALL_LOW_EDGE</t>
        </is>
      </c>
      <c r="AP303" s="24" t="inlineStr">
        <is>
          <t>Jacob Fearnley</t>
        </is>
      </c>
      <c r="AQ303" s="24" t="inlineStr">
        <is>
          <t>Jacob Fearnley</t>
        </is>
      </c>
      <c r="AR303" s="24" t="inlineStr">
        <is>
          <t>Jacob Fearnley</t>
        </is>
      </c>
      <c r="AS303" s="24" t="inlineStr">
        <is>
          <t>Nicolas Mejia</t>
        </is>
      </c>
      <c r="AT303" s="24" t="inlineStr">
        <is>
          <t>Nicolas Mejia</t>
        </is>
      </c>
      <c r="AU303" s="24" t="inlineStr">
        <is>
          <t>Nicolas Mejia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3ab056fefe04713e3c294da76c8adb2866b0dc46556ed32322a0426dd344a0e4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3ab056fefe04713e3c294da76c8adb2866b0dc46556ed32322a0426dd344a0e4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3ab056fefe04713e3c294da76c8adb2866b0dc46556ed32322a0426dd344a0e4</t>
        </is>
      </c>
      <c r="BH303" s="24" t="inlineStr">
        <is>
          <t>2026-08-12T11:27:19.761149Z</t>
        </is>
      </c>
      <c r="BI303" s="24" t="inlineStr">
        <is>
          <t>["same_event","same_team_same_day","same_league_same_day"]</t>
        </is>
      </c>
      <c r="BJ303" s="25" t="n"/>
      <c r="BK303" s="26" t="n">
        <v>-300</v>
      </c>
      <c r="BL303" s="27" t="n">
        <v>1.333333</v>
      </c>
      <c r="BM303" s="28" t="n">
        <v>0.75</v>
      </c>
      <c r="BN303" s="28" t="n"/>
      <c r="BO303" s="28" t="n"/>
      <c r="BP303" s="25" t="n"/>
      <c r="BQ303" s="27" t="n">
        <v>1.333333</v>
      </c>
      <c r="BR303" s="28" t="n">
        <v>0.75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</row>
    <row r="304" ht="36" customHeight="1">
      <c r="A304" s="24" t="inlineStr">
        <is>
          <t>fbf504a719b64f48</t>
        </is>
      </c>
      <c r="B304" s="24" t="inlineStr">
        <is>
          <t>2026-08-12T11:28:41.768133Z</t>
        </is>
      </c>
      <c r="C304" s="24" t="inlineStr">
        <is>
          <t>2026-08-12T14:00Z</t>
        </is>
      </c>
      <c r="D304" s="24" t="inlineStr">
        <is>
          <t>718-2026:184409</t>
        </is>
      </c>
      <c r="E304" s="24" t="inlineStr">
        <is>
          <t>TENNIS</t>
        </is>
      </c>
      <c r="F304" s="24" t="inlineStr">
        <is>
          <t>Henrique Rocha</t>
        </is>
      </c>
      <c r="G304" s="24" t="inlineStr">
        <is>
          <t>Marcos Giron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-213</v>
      </c>
      <c r="M304" s="27" t="n">
        <v>1.469484</v>
      </c>
      <c r="N304" s="28" t="n">
        <v>0.680511</v>
      </c>
      <c r="O304" s="28" t="n">
        <v>0.611017</v>
      </c>
      <c r="P304" s="28" t="n">
        <v>0.05</v>
      </c>
      <c r="Q304" s="28" t="n">
        <v>-0.069494</v>
      </c>
      <c r="R304" s="26" t="n">
        <v>0</v>
      </c>
      <c r="S304" s="29" t="n">
        <v>1.5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1</v>
      </c>
      <c r="X304" s="26" t="n">
        <v>0</v>
      </c>
      <c r="Y304" s="25" t="n"/>
      <c r="Z304" s="26" t="n">
        <v>-213</v>
      </c>
      <c r="AA304" s="28" t="n">
        <v>0.68</v>
      </c>
      <c r="AB304" s="28" t="n">
        <v>-0.000511</v>
      </c>
      <c r="AC304" s="30" t="n">
        <v>-1.5</v>
      </c>
      <c r="AD304" s="24" t="inlineStr">
        <is>
          <t>2026-08-13T05:31:28.676533Z</t>
        </is>
      </c>
      <c r="AE304" s="31" t="inlineStr">
        <is>
          <t>Surface-blended Elo on Hard: Henrique Rocha p=0.389 vs Marcos Giron. Executable ask 0.6800 (aec-atp-margir-henroc-2026-08-11).</t>
        </is>
      </c>
      <c r="AF304" s="31" t="inlineStr">
        <is>
          <t>Surface-blended Elo model; singles only, WTA+ATP market coverage, not yet locked-holdout qualified -- promoted by explicit operator directive, not genuine walk-forward validation.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research_observation</t>
        </is>
      </c>
      <c r="AL304" s="26" t="n">
        <v>3</v>
      </c>
      <c r="AM304" s="24" t="inlineStr">
        <is>
          <t>RESEARCH_OBSERVATION</t>
        </is>
      </c>
      <c r="AN304" s="24" t="inlineStr">
        <is>
          <t>NO_CALL</t>
        </is>
      </c>
      <c r="AO304" s="24" t="inlineStr">
        <is>
          <t>NO_CALL_LOW_EDGE</t>
        </is>
      </c>
      <c r="AP304" s="24" t="inlineStr">
        <is>
          <t>Henrique Rocha</t>
        </is>
      </c>
      <c r="AQ304" s="24" t="inlineStr">
        <is>
          <t>Henrique Rocha</t>
        </is>
      </c>
      <c r="AR304" s="24" t="inlineStr">
        <is>
          <t>Henrique Rocha</t>
        </is>
      </c>
      <c r="AS304" s="24" t="inlineStr">
        <is>
          <t>Marcos Giron</t>
        </is>
      </c>
      <c r="AT304" s="24" t="inlineStr">
        <is>
          <t>Marcos Giron</t>
        </is>
      </c>
      <c r="AU304" s="24" t="inlineStr">
        <is>
          <t>Marcos Giron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3ab056fefe04713e3c294da76c8adb2866b0dc46556ed32322a0426dd344a0e4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3ab056fefe04713e3c294da76c8adb2866b0dc46556ed32322a0426dd344a0e4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3ab056fefe04713e3c294da76c8adb2866b0dc46556ed32322a0426dd344a0e4</t>
        </is>
      </c>
      <c r="BH304" s="24" t="inlineStr">
        <is>
          <t>2026-08-12T11:27:18.400855Z</t>
        </is>
      </c>
      <c r="BI304" s="24" t="inlineStr">
        <is>
          <t>["same_event","same_team_same_day","same_league_same_day"]</t>
        </is>
      </c>
      <c r="BJ304" s="25" t="n"/>
      <c r="BK304" s="26" t="n">
        <v>-213</v>
      </c>
      <c r="BL304" s="27" t="n">
        <v>1.469484</v>
      </c>
      <c r="BM304" s="28" t="n">
        <v>0.680511</v>
      </c>
      <c r="BN304" s="28" t="n"/>
      <c r="BO304" s="28" t="n"/>
      <c r="BP304" s="25" t="n"/>
      <c r="BQ304" s="27" t="n">
        <v>1.469484</v>
      </c>
      <c r="BR304" s="28" t="n">
        <v>0.68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</row>
    <row r="305" ht="36" customHeight="1">
      <c r="A305" s="24" t="inlineStr">
        <is>
          <t>ff741f4712904e8a</t>
        </is>
      </c>
      <c r="B305" s="24" t="inlineStr">
        <is>
          <t>2026-08-12T11:28:41.768133Z</t>
        </is>
      </c>
      <c r="C305" s="24" t="inlineStr">
        <is>
          <t>2026-08-12T14:00Z</t>
        </is>
      </c>
      <c r="D305" s="24" t="inlineStr">
        <is>
          <t>718-2026:184427</t>
        </is>
      </c>
      <c r="E305" s="24" t="inlineStr">
        <is>
          <t>TENNIS</t>
        </is>
      </c>
      <c r="F305" s="24" t="inlineStr">
        <is>
          <t>Dalibor Svrcina</t>
        </is>
      </c>
      <c r="G305" s="24" t="inlineStr">
        <is>
          <t>Mark Lajal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-113</v>
      </c>
      <c r="M305" s="27" t="n">
        <v>1.884956</v>
      </c>
      <c r="N305" s="28" t="n">
        <v>0.530516</v>
      </c>
      <c r="O305" s="28" t="n">
        <v>0.526911</v>
      </c>
      <c r="P305" s="28" t="n">
        <v>0.05</v>
      </c>
      <c r="Q305" s="28" t="n">
        <v>-0.003605</v>
      </c>
      <c r="R305" s="26" t="n">
        <v>18</v>
      </c>
      <c r="S305" s="29" t="n">
        <v>1</v>
      </c>
      <c r="T305" s="24" t="inlineStr">
        <is>
          <t>tennis-surface-elo-v1</t>
        </is>
      </c>
      <c r="U305" s="24" t="inlineStr">
        <is>
          <t>settled</t>
        </is>
      </c>
      <c r="V305" s="24" t="inlineStr">
        <is>
          <t>loss</t>
        </is>
      </c>
      <c r="W305" s="26" t="n">
        <v>0</v>
      </c>
      <c r="X305" s="26" t="n">
        <v>1</v>
      </c>
      <c r="Y305" s="25" t="n"/>
      <c r="Z305" s="26" t="n">
        <v>-113</v>
      </c>
      <c r="AA305" s="28" t="n">
        <v>0.53</v>
      </c>
      <c r="AB305" s="28" t="n">
        <v>-0.000516</v>
      </c>
      <c r="AC305" s="30" t="n">
        <v>-1</v>
      </c>
      <c r="AD305" s="24" t="inlineStr">
        <is>
          <t>2026-08-13T05:31:30.437377Z</t>
        </is>
      </c>
      <c r="AE305" s="31" t="inlineStr">
        <is>
          <t>Surface-blended Elo on Hard: Dalibor Svrcina p=0.527 vs Mark Lajal. Executable ask 0.5300 (aec-atp-marlaj-dalsvr-2026-08-11).</t>
        </is>
      </c>
      <c r="AF305" s="31" t="inlineStr">
        <is>
          <t>Surface-blended Elo model; singles only, WTA+ATP market coverage, not yet locked-holdout qualified -- promoted by explicit operator directive, not genuine walk-forward validation.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research_observation</t>
        </is>
      </c>
      <c r="AL305" s="26" t="n">
        <v>3</v>
      </c>
      <c r="AM305" s="24" t="inlineStr">
        <is>
          <t>RESEARCH_OBSERVATION</t>
        </is>
      </c>
      <c r="AN305" s="24" t="inlineStr">
        <is>
          <t>NO_CALL</t>
        </is>
      </c>
      <c r="AO305" s="24" t="inlineStr">
        <is>
          <t>NO_CALL_LOW_EDGE</t>
        </is>
      </c>
      <c r="AP305" s="24" t="inlineStr">
        <is>
          <t>Dalibor Svrcina</t>
        </is>
      </c>
      <c r="AQ305" s="24" t="inlineStr">
        <is>
          <t>Dalibor Svrcina</t>
        </is>
      </c>
      <c r="AR305" s="24" t="inlineStr">
        <is>
          <t>Dalibor Svrcina</t>
        </is>
      </c>
      <c r="AS305" s="24" t="inlineStr">
        <is>
          <t>Mark Lajal</t>
        </is>
      </c>
      <c r="AT305" s="24" t="inlineStr">
        <is>
          <t>Mark Lajal</t>
        </is>
      </c>
      <c r="AU305" s="24" t="inlineStr">
        <is>
          <t>Mark Lajal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3ab056fefe04713e3c294da76c8adb2866b0dc46556ed32322a0426dd344a0e4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3ab056fefe04713e3c294da76c8adb2866b0dc46556ed32322a0426dd344a0e4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3ab056fefe04713e3c294da76c8adb2866b0dc46556ed32322a0426dd344a0e4</t>
        </is>
      </c>
      <c r="BH305" s="24" t="inlineStr">
        <is>
          <t>2026-08-12T11:27:17.792789Z</t>
        </is>
      </c>
      <c r="BI305" s="24" t="inlineStr">
        <is>
          <t>["same_event","same_team_same_day","same_league_same_day"]</t>
        </is>
      </c>
      <c r="BJ305" s="25" t="n"/>
      <c r="BK305" s="26" t="n">
        <v>-113</v>
      </c>
      <c r="BL305" s="27" t="n">
        <v>1.884956</v>
      </c>
      <c r="BM305" s="28" t="n">
        <v>0.530516</v>
      </c>
      <c r="BN305" s="28" t="n"/>
      <c r="BO305" s="28" t="n"/>
      <c r="BP305" s="25" t="n"/>
      <c r="BQ305" s="27" t="n">
        <v>1.884956</v>
      </c>
      <c r="BR305" s="28" t="n">
        <v>0.53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</row>
    <row r="306" ht="36" customHeight="1">
      <c r="A306" s="24" t="inlineStr">
        <is>
          <t>83203846f8134025</t>
        </is>
      </c>
      <c r="B306" s="24" t="inlineStr">
        <is>
          <t>2026-08-12T11:28:41.768133Z</t>
        </is>
      </c>
      <c r="C306" s="24" t="inlineStr">
        <is>
          <t>2026-08-12T14:00Z</t>
        </is>
      </c>
      <c r="D306" s="24" t="inlineStr">
        <is>
          <t>718-2026:184428</t>
        </is>
      </c>
      <c r="E306" s="24" t="inlineStr">
        <is>
          <t>TENNIS</t>
        </is>
      </c>
      <c r="F306" s="24" t="inlineStr">
        <is>
          <t>Darwin Blanch</t>
        </is>
      </c>
      <c r="G306" s="24" t="inlineStr">
        <is>
          <t>Aleksandar Vukic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-150</v>
      </c>
      <c r="M306" s="27" t="n">
        <v>1.666667</v>
      </c>
      <c r="N306" s="28" t="n">
        <v>0.6</v>
      </c>
      <c r="O306" s="28" t="n">
        <v>0.532876</v>
      </c>
      <c r="P306" s="28" t="n">
        <v>0.05</v>
      </c>
      <c r="Q306" s="28" t="n">
        <v>-0.067124</v>
      </c>
      <c r="R306" s="26" t="n">
        <v>0</v>
      </c>
      <c r="S306" s="29" t="n">
        <v>1</v>
      </c>
      <c r="T306" s="24" t="inlineStr">
        <is>
          <t>tennis-surface-elo-v1</t>
        </is>
      </c>
      <c r="U306" s="24" t="inlineStr">
        <is>
          <t>settled</t>
        </is>
      </c>
      <c r="V306" s="24" t="inlineStr">
        <is>
          <t>win</t>
        </is>
      </c>
      <c r="W306" s="26" t="n">
        <v>0</v>
      </c>
      <c r="X306" s="26" t="n">
        <v>1</v>
      </c>
      <c r="Y306" s="25" t="n"/>
      <c r="Z306" s="26" t="n">
        <v>-150</v>
      </c>
      <c r="AA306" s="28" t="n">
        <v>0.6</v>
      </c>
      <c r="AB306" s="28" t="n">
        <v>0</v>
      </c>
      <c r="AC306" s="30" t="n">
        <v>0.6667</v>
      </c>
      <c r="AD306" s="24" t="inlineStr">
        <is>
          <t>2026-08-13T05:31:31.984950Z</t>
        </is>
      </c>
      <c r="AE306" s="31" t="inlineStr">
        <is>
          <t>Surface-blended Elo on Hard: Darwin Blanch p=0.467 vs Aleksandar Vukic. Executable ask 0.6000 (aec-atp-alevuk-darbla-2026-08-11).</t>
        </is>
      </c>
      <c r="AF306" s="31" t="inlineStr">
        <is>
          <t>Surface-blended Elo model; singles only, WTA+ATP market coverage, not yet locked-holdout qualified -- promoted by explicit operator directive, not genuine walk-forward validation.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research_observation</t>
        </is>
      </c>
      <c r="AL306" s="26" t="n">
        <v>3</v>
      </c>
      <c r="AM306" s="24" t="inlineStr">
        <is>
          <t>RESEARCH_OBSERVATION</t>
        </is>
      </c>
      <c r="AN306" s="24" t="inlineStr">
        <is>
          <t>NO_CALL</t>
        </is>
      </c>
      <c r="AO306" s="24" t="inlineStr">
        <is>
          <t>NO_CALL_LOW_EDGE</t>
        </is>
      </c>
      <c r="AP306" s="24" t="inlineStr">
        <is>
          <t>Darwin Blanch</t>
        </is>
      </c>
      <c r="AQ306" s="24" t="inlineStr">
        <is>
          <t>Darwin Blanch</t>
        </is>
      </c>
      <c r="AR306" s="24" t="inlineStr">
        <is>
          <t>Darwin Blanch</t>
        </is>
      </c>
      <c r="AS306" s="24" t="inlineStr">
        <is>
          <t>Aleksandar Vukic</t>
        </is>
      </c>
      <c r="AT306" s="24" t="inlineStr">
        <is>
          <t>Aleksandar Vukic</t>
        </is>
      </c>
      <c r="AU306" s="24" t="inlineStr">
        <is>
          <t>Aleksandar Vukic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3ab056fefe04713e3c294da76c8adb2866b0dc46556ed32322a0426dd344a0e4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3ab056fefe04713e3c294da76c8adb2866b0dc46556ed32322a0426dd344a0e4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3ab056fefe04713e3c294da76c8adb2866b0dc46556ed32322a0426dd344a0e4</t>
        </is>
      </c>
      <c r="BH306" s="24" t="inlineStr">
        <is>
          <t>2026-08-12T11:27:16.750662Z</t>
        </is>
      </c>
      <c r="BI306" s="24" t="inlineStr">
        <is>
          <t>["same_event","same_team_same_day","same_league_same_day"]</t>
        </is>
      </c>
      <c r="BJ306" s="25" t="n"/>
      <c r="BK306" s="26" t="n">
        <v>-150</v>
      </c>
      <c r="BL306" s="27" t="n">
        <v>1.666667</v>
      </c>
      <c r="BM306" s="28" t="n">
        <v>0.6</v>
      </c>
      <c r="BN306" s="28" t="n"/>
      <c r="BO306" s="28" t="n"/>
      <c r="BP306" s="25" t="n"/>
      <c r="BQ306" s="27" t="n">
        <v>1.666667</v>
      </c>
      <c r="BR306" s="28" t="n">
        <v>0.6</v>
      </c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</row>
    <row r="307" ht="36" customHeight="1">
      <c r="A307" s="24" t="inlineStr">
        <is>
          <t>068080db25014a1d</t>
        </is>
      </c>
      <c r="B307" s="24" t="inlineStr">
        <is>
          <t>2026-08-12T14:35:54.201251Z</t>
        </is>
      </c>
      <c r="C307" s="24" t="inlineStr">
        <is>
          <t>2026-08-12T15:30Z</t>
        </is>
      </c>
      <c r="D307" s="24" t="inlineStr">
        <is>
          <t>718-2026:184470</t>
        </is>
      </c>
      <c r="E307" s="24" t="inlineStr">
        <is>
          <t>TENNIS</t>
        </is>
      </c>
      <c r="F307" s="24" t="inlineStr">
        <is>
          <t>Claire Liu</t>
        </is>
      </c>
      <c r="G307" s="24" t="inlineStr">
        <is>
          <t>Sinja Kraus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144</v>
      </c>
      <c r="M307" s="27" t="n">
        <v>2.44</v>
      </c>
      <c r="N307" s="28" t="n">
        <v>0.409836</v>
      </c>
      <c r="O307" s="28" t="n">
        <v>0.6498429999999999</v>
      </c>
      <c r="P307" s="28" t="n">
        <v>0.05</v>
      </c>
      <c r="Q307" s="28" t="n">
        <v>0.240007</v>
      </c>
      <c r="R307" s="26" t="n">
        <v>100</v>
      </c>
      <c r="S307" s="29" t="n">
        <v>1.75</v>
      </c>
      <c r="T307" s="24" t="inlineStr">
        <is>
          <t>tennis-surface-elo-v1</t>
        </is>
      </c>
      <c r="U307" s="24" t="inlineStr">
        <is>
          <t>settled</t>
        </is>
      </c>
      <c r="V307" s="24" t="inlineStr">
        <is>
          <t>win</t>
        </is>
      </c>
      <c r="W307" s="26" t="n">
        <v>0</v>
      </c>
      <c r="X307" s="26" t="n">
        <v>1</v>
      </c>
      <c r="Y307" s="25" t="n"/>
      <c r="Z307" s="26" t="n">
        <v>144</v>
      </c>
      <c r="AA307" s="28" t="n">
        <v>0.41</v>
      </c>
      <c r="AB307" s="28" t="n">
        <v>0.000164</v>
      </c>
      <c r="AC307" s="30" t="n">
        <v>2.52</v>
      </c>
      <c r="AD307" s="24" t="inlineStr">
        <is>
          <t>2026-08-13T05:31:33.683049Z</t>
        </is>
      </c>
      <c r="AE307" s="31" t="inlineStr">
        <is>
          <t>Surface-blended Elo on Hard: Claire Liu p=0.350 vs Sinja Kraus. Executable ask 0.4100 (aec-wta-sinkra-claliu-2026-08-12).</t>
        </is>
      </c>
      <c r="AF307" s="31" t="inlineStr">
        <is>
          <t>Surface-blended Elo model; singles only, WTA+ATP market coverage, not yet locked-holdout qualified -- promoted by explicit operator directive, not genuine walk-forward validation.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3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Claire Liu</t>
        </is>
      </c>
      <c r="AQ307" s="24" t="inlineStr">
        <is>
          <t>Claire Liu</t>
        </is>
      </c>
      <c r="AR307" s="24" t="inlineStr">
        <is>
          <t>Claire Liu</t>
        </is>
      </c>
      <c r="AS307" s="24" t="inlineStr">
        <is>
          <t>Sinja Kraus</t>
        </is>
      </c>
      <c r="AT307" s="24" t="inlineStr">
        <is>
          <t>Sinja Kraus</t>
        </is>
      </c>
      <c r="AU307" s="24" t="inlineStr">
        <is>
          <t>Sinja Kraus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3ab056fefe04713e3c294da76c8adb2866b0dc46556ed32322a0426dd344a0e4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3ab056fefe04713e3c294da76c8adb2866b0dc46556ed32322a0426dd344a0e4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3ab056fefe04713e3c294da76c8adb2866b0dc46556ed32322a0426dd344a0e4</t>
        </is>
      </c>
      <c r="BH307" s="24" t="inlineStr">
        <is>
          <t>2026-08-12T14:34:25.186953Z</t>
        </is>
      </c>
      <c r="BI307" s="24" t="inlineStr">
        <is>
          <t>["same_event","same_team_same_day","same_league_same_day"]</t>
        </is>
      </c>
      <c r="BJ307" s="25" t="n"/>
      <c r="BK307" s="26" t="n">
        <v>144</v>
      </c>
      <c r="BL307" s="27" t="n">
        <v>2.44</v>
      </c>
      <c r="BM307" s="28" t="n">
        <v>0.409836</v>
      </c>
      <c r="BN307" s="28" t="n"/>
      <c r="BO307" s="28" t="n"/>
      <c r="BP307" s="25" t="n"/>
      <c r="BQ307" s="27" t="n">
        <v>2.44</v>
      </c>
      <c r="BR307" s="28" t="n">
        <v>0.41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</row>
    <row r="308" ht="36" customHeight="1">
      <c r="A308" s="24" t="inlineStr">
        <is>
          <t>7180e5460d304dc5</t>
        </is>
      </c>
      <c r="B308" s="24" t="inlineStr">
        <is>
          <t>2026-08-12T14:35:54.201251Z</t>
        </is>
      </c>
      <c r="C308" s="24" t="inlineStr">
        <is>
          <t>2026-08-12T15:30Z</t>
        </is>
      </c>
      <c r="D308" s="24" t="inlineStr">
        <is>
          <t>718-2026:184472</t>
        </is>
      </c>
      <c r="E308" s="24" t="inlineStr">
        <is>
          <t>TENNIS</t>
        </is>
      </c>
      <c r="F308" s="24" t="inlineStr">
        <is>
          <t>Mary Stoiana</t>
        </is>
      </c>
      <c r="G308" s="24" t="inlineStr">
        <is>
          <t>Oksana Selekhmeteva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144</v>
      </c>
      <c r="M308" s="27" t="n">
        <v>2.44</v>
      </c>
      <c r="N308" s="28" t="n">
        <v>0.409836</v>
      </c>
      <c r="O308" s="28" t="n">
        <v>0.5042</v>
      </c>
      <c r="P308" s="28" t="n">
        <v>0.05</v>
      </c>
      <c r="Q308" s="28" t="n">
        <v>0.094364</v>
      </c>
      <c r="R308" s="26" t="n">
        <v>67</v>
      </c>
      <c r="S308" s="29" t="n">
        <v>1</v>
      </c>
      <c r="T308" s="24" t="inlineStr">
        <is>
          <t>tennis-surface-elo-v1</t>
        </is>
      </c>
      <c r="U308" s="24" t="inlineStr">
        <is>
          <t>settled</t>
        </is>
      </c>
      <c r="V308" s="24" t="inlineStr">
        <is>
          <t>loss</t>
        </is>
      </c>
      <c r="W308" s="26" t="n">
        <v>1</v>
      </c>
      <c r="X308" s="26" t="n">
        <v>0</v>
      </c>
      <c r="Y308" s="25" t="n"/>
      <c r="Z308" s="26" t="n">
        <v>144</v>
      </c>
      <c r="AA308" s="28" t="n">
        <v>0.41</v>
      </c>
      <c r="AB308" s="28" t="n">
        <v>0.000164</v>
      </c>
      <c r="AC308" s="30" t="n">
        <v>-1</v>
      </c>
      <c r="AD308" s="24" t="inlineStr">
        <is>
          <t>2026-08-13T05:31:35.246951Z</t>
        </is>
      </c>
      <c r="AE308" s="31" t="inlineStr">
        <is>
          <t>Surface-blended Elo on Hard: Mary Stoiana p=0.496 vs Oksana Selekhmeteva. Executable ask 0.4100 (aec-wta-okssel-marsto-2026-08-12).</t>
        </is>
      </c>
      <c r="AF308" s="31" t="inlineStr">
        <is>
          <t>Surface-blended Elo model; singles only, WTA+ATP market coverage, not yet locked-holdout qualified -- promoted by explicit operator directive, not genuine walk-forward validation.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research_observation</t>
        </is>
      </c>
      <c r="AL308" s="26" t="n">
        <v>3</v>
      </c>
      <c r="AM308" s="24" t="inlineStr">
        <is>
          <t>RESEARCH_OBSERVATION</t>
        </is>
      </c>
      <c r="AN308" s="24" t="inlineStr">
        <is>
          <t>NO_CALL</t>
        </is>
      </c>
      <c r="AO308" s="24" t="inlineStr">
        <is>
          <t>NO_CALL_LOW_EDGE</t>
        </is>
      </c>
      <c r="AP308" s="24" t="inlineStr">
        <is>
          <t>Mary Stoiana</t>
        </is>
      </c>
      <c r="AQ308" s="24" t="inlineStr">
        <is>
          <t>Mary Stoiana</t>
        </is>
      </c>
      <c r="AR308" s="24" t="inlineStr">
        <is>
          <t>Mary Stoiana</t>
        </is>
      </c>
      <c r="AS308" s="24" t="inlineStr">
        <is>
          <t>Oksana Selekhmeteva</t>
        </is>
      </c>
      <c r="AT308" s="24" t="inlineStr">
        <is>
          <t>Oksana Selekhmeteva</t>
        </is>
      </c>
      <c r="AU308" s="24" t="inlineStr">
        <is>
          <t>Oksana Selekhmeteva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3ab056fefe04713e3c294da76c8adb2866b0dc46556ed32322a0426dd344a0e4</t>
        </is>
      </c>
      <c r="BB308" s="24" t="inlineStr">
        <is>
          <t>surface_blended_elo</t>
        </is>
      </c>
      <c r="BC308" s="24" t="inlineStr">
        <is>
          <t>tennis-surface-elo-v1</t>
        </is>
      </c>
      <c r="BD308" s="24" t="inlineStr">
        <is>
          <t>3ab056fefe04713e3c294da76c8adb2866b0dc46556ed32322a0426dd344a0e4</t>
        </is>
      </c>
      <c r="BE308" s="24" t="inlineStr">
        <is>
          <t>tennis-surface-elo-v1</t>
        </is>
      </c>
      <c r="BF308" s="24" t="inlineStr">
        <is>
          <t>1</t>
        </is>
      </c>
      <c r="BG308" s="24" t="inlineStr">
        <is>
          <t>3ab056fefe04713e3c294da76c8adb2866b0dc46556ed32322a0426dd344a0e4</t>
        </is>
      </c>
      <c r="BH308" s="24" t="inlineStr">
        <is>
          <t>2026-08-12T14:34:21.839405Z</t>
        </is>
      </c>
      <c r="BI308" s="24" t="inlineStr">
        <is>
          <t>["same_event","same_team_same_day","same_league_same_day"]</t>
        </is>
      </c>
      <c r="BJ308" s="25" t="n"/>
      <c r="BK308" s="26" t="n">
        <v>144</v>
      </c>
      <c r="BL308" s="27" t="n">
        <v>2.44</v>
      </c>
      <c r="BM308" s="28" t="n">
        <v>0.409836</v>
      </c>
      <c r="BN308" s="28" t="n"/>
      <c r="BO308" s="28" t="n"/>
      <c r="BP308" s="25" t="n"/>
      <c r="BQ308" s="27" t="n">
        <v>2.44</v>
      </c>
      <c r="BR308" s="28" t="n">
        <v>0.41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</row>
    <row r="309" ht="36" customHeight="1">
      <c r="A309" s="24" t="inlineStr">
        <is>
          <t>f2f0a003f6804d67</t>
        </is>
      </c>
      <c r="B309" s="24" t="inlineStr">
        <is>
          <t>2026-08-12T14:35:54.201251Z</t>
        </is>
      </c>
      <c r="C309" s="24" t="inlineStr">
        <is>
          <t>2026-08-12T15:30Z</t>
        </is>
      </c>
      <c r="D309" s="24" t="inlineStr">
        <is>
          <t>718-2026:184474</t>
        </is>
      </c>
      <c r="E309" s="24" t="inlineStr">
        <is>
          <t>TENNIS</t>
        </is>
      </c>
      <c r="F309" s="24" t="inlineStr">
        <is>
          <t>Leolia Jeanjean</t>
        </is>
      </c>
      <c r="G309" s="24" t="inlineStr">
        <is>
          <t>Lucrezia Stefanini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104</v>
      </c>
      <c r="M309" s="27" t="n">
        <v>2.04</v>
      </c>
      <c r="N309" s="28" t="n">
        <v>0.490196</v>
      </c>
      <c r="O309" s="28" t="n">
        <v>0.590503</v>
      </c>
      <c r="P309" s="28" t="n">
        <v>0.05</v>
      </c>
      <c r="Q309" s="28" t="n">
        <v>0.100307</v>
      </c>
      <c r="R309" s="26" t="n">
        <v>70</v>
      </c>
      <c r="S309" s="29" t="n">
        <v>1.25</v>
      </c>
      <c r="T309" s="24" t="inlineStr">
        <is>
          <t>tennis-surface-elo-v1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104</v>
      </c>
      <c r="AA309" s="28" t="n">
        <v>0.49</v>
      </c>
      <c r="AB309" s="28" t="n">
        <v>-0.000196</v>
      </c>
      <c r="AC309" s="30" t="n">
        <v>-1.25</v>
      </c>
      <c r="AD309" s="24" t="inlineStr">
        <is>
          <t>2026-08-13T05:31:36.987518Z</t>
        </is>
      </c>
      <c r="AE309" s="31" t="inlineStr">
        <is>
          <t>Surface-blended Elo on Hard: Leolia Jeanjean p=0.591 vs Lucrezia Stefanini. Executable ask 0.4900 (aec-wta-lucste-leojea-2026-08-12).</t>
        </is>
      </c>
      <c r="AF309" s="31" t="inlineStr">
        <is>
          <t>Surface-blended Elo model; singles only, WTA+ATP market coverage, not yet locked-holdout qualified -- promoted by explicit operator directive, not genuine walk-forward validation.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Leolia Jeanjean</t>
        </is>
      </c>
      <c r="AQ309" s="24" t="inlineStr">
        <is>
          <t>Leolia Jeanjean</t>
        </is>
      </c>
      <c r="AR309" s="24" t="inlineStr">
        <is>
          <t>Leolia Jeanjean</t>
        </is>
      </c>
      <c r="AS309" s="24" t="inlineStr">
        <is>
          <t>Lucrezia Stefanini</t>
        </is>
      </c>
      <c r="AT309" s="24" t="inlineStr">
        <is>
          <t>Lucrezia Stefanini</t>
        </is>
      </c>
      <c r="AU309" s="24" t="inlineStr">
        <is>
          <t>Lucrezia Stefanini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3ab056fefe04713e3c294da76c8adb2866b0dc46556ed32322a0426dd344a0e4</t>
        </is>
      </c>
      <c r="BB309" s="24" t="inlineStr">
        <is>
          <t>surface_blended_elo</t>
        </is>
      </c>
      <c r="BC309" s="24" t="inlineStr">
        <is>
          <t>tennis-surface-elo-v1</t>
        </is>
      </c>
      <c r="BD309" s="24" t="inlineStr">
        <is>
          <t>3ab056fefe04713e3c294da76c8adb2866b0dc46556ed32322a0426dd344a0e4</t>
        </is>
      </c>
      <c r="BE309" s="24" t="inlineStr">
        <is>
          <t>tennis-surface-elo-v1</t>
        </is>
      </c>
      <c r="BF309" s="24" t="inlineStr">
        <is>
          <t>1</t>
        </is>
      </c>
      <c r="BG309" s="24" t="inlineStr">
        <is>
          <t>3ab056fefe04713e3c294da76c8adb2866b0dc46556ed32322a0426dd344a0e4</t>
        </is>
      </c>
      <c r="BH309" s="24" t="inlineStr">
        <is>
          <t>2026-08-12T14:34:20.803171Z</t>
        </is>
      </c>
      <c r="BI309" s="24" t="inlineStr">
        <is>
          <t>["same_event","same_team_same_day","same_league_same_day"]</t>
        </is>
      </c>
      <c r="BJ309" s="25" t="n"/>
      <c r="BK309" s="26" t="n">
        <v>104</v>
      </c>
      <c r="BL309" s="27" t="n">
        <v>2.04</v>
      </c>
      <c r="BM309" s="28" t="n">
        <v>0.490196</v>
      </c>
      <c r="BN309" s="28" t="n"/>
      <c r="BO309" s="28" t="n"/>
      <c r="BP309" s="25" t="n"/>
      <c r="BQ309" s="27" t="n">
        <v>2.04</v>
      </c>
      <c r="BR309" s="28" t="n">
        <v>0.49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</row>
    <row r="310" ht="36" customHeight="1">
      <c r="A310" s="24" t="inlineStr">
        <is>
          <t>1c30529b99e143ba</t>
        </is>
      </c>
      <c r="B310" s="24" t="inlineStr">
        <is>
          <t>2026-08-12T14:35:54.201251Z</t>
        </is>
      </c>
      <c r="C310" s="24" t="inlineStr">
        <is>
          <t>2026-08-12T15:30Z</t>
        </is>
      </c>
      <c r="D310" s="24" t="inlineStr">
        <is>
          <t>718-2026:184434</t>
        </is>
      </c>
      <c r="E310" s="24" t="inlineStr">
        <is>
          <t>TENNIS</t>
        </is>
      </c>
      <c r="F310" s="24" t="inlineStr">
        <is>
          <t>Dusan Lajovic</t>
        </is>
      </c>
      <c r="G310" s="24" t="inlineStr">
        <is>
          <t>Luca Van Assche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-245</v>
      </c>
      <c r="M310" s="27" t="n">
        <v>1.408163</v>
      </c>
      <c r="N310" s="28" t="n">
        <v>0.710145</v>
      </c>
      <c r="O310" s="28" t="n">
        <v>0.592302</v>
      </c>
      <c r="P310" s="28" t="n">
        <v>0.05</v>
      </c>
      <c r="Q310" s="28" t="n">
        <v>-0.117843</v>
      </c>
      <c r="R310" s="26" t="n">
        <v>0</v>
      </c>
      <c r="S310" s="29" t="n">
        <v>1.25</v>
      </c>
      <c r="T310" s="24" t="inlineStr">
        <is>
          <t>tennis-surface-elo-v1</t>
        </is>
      </c>
      <c r="U310" s="24" t="inlineStr">
        <is>
          <t>settled</t>
        </is>
      </c>
      <c r="V310" s="24" t="inlineStr">
        <is>
          <t>win</t>
        </is>
      </c>
      <c r="W310" s="26" t="n">
        <v>0</v>
      </c>
      <c r="X310" s="26" t="n">
        <v>1</v>
      </c>
      <c r="Y310" s="25" t="n"/>
      <c r="Z310" s="26" t="n">
        <v>-245</v>
      </c>
      <c r="AA310" s="28" t="n">
        <v>0.71</v>
      </c>
      <c r="AB310" s="28" t="n">
        <v>-0.000145</v>
      </c>
      <c r="AC310" s="30" t="n">
        <v>0.5102</v>
      </c>
      <c r="AD310" s="24" t="inlineStr">
        <is>
          <t>2026-08-13T05:31:38.527870Z</t>
        </is>
      </c>
      <c r="AE310" s="31" t="inlineStr">
        <is>
          <t>Surface-blended Elo on Hard: Dusan Lajovic p=0.408 vs Luca Van Assche. Executable ask 0.7100 (aec-atp-lucass-duslaj-2026-08-12).</t>
        </is>
      </c>
      <c r="AF310" s="31" t="inlineStr">
        <is>
          <t>Surface-blended Elo model; singles only, WTA+ATP market coverage, not yet locked-holdout qualified -- promoted by explicit operator directive, not genuine walk-forward validation.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research_observation</t>
        </is>
      </c>
      <c r="AL310" s="26" t="n">
        <v>3</v>
      </c>
      <c r="AM310" s="24" t="inlineStr">
        <is>
          <t>RESEARCH_OBSERVATION</t>
        </is>
      </c>
      <c r="AN310" s="24" t="inlineStr">
        <is>
          <t>NO_CALL</t>
        </is>
      </c>
      <c r="AO310" s="24" t="inlineStr">
        <is>
          <t>NO_CALL_LOW_EDGE</t>
        </is>
      </c>
      <c r="AP310" s="24" t="inlineStr">
        <is>
          <t>Dusan Lajovic</t>
        </is>
      </c>
      <c r="AQ310" s="24" t="inlineStr">
        <is>
          <t>Dusan Lajovic</t>
        </is>
      </c>
      <c r="AR310" s="24" t="inlineStr">
        <is>
          <t>Dusan Lajovic</t>
        </is>
      </c>
      <c r="AS310" s="24" t="inlineStr">
        <is>
          <t>Luca Van Assche</t>
        </is>
      </c>
      <c r="AT310" s="24" t="inlineStr">
        <is>
          <t>Luca Van Assche</t>
        </is>
      </c>
      <c r="AU310" s="24" t="inlineStr">
        <is>
          <t>Luca Van Assche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3ab056fefe04713e3c294da76c8adb2866b0dc46556ed32322a0426dd344a0e4</t>
        </is>
      </c>
      <c r="BB310" s="24" t="inlineStr">
        <is>
          <t>surface_blended_elo</t>
        </is>
      </c>
      <c r="BC310" s="24" t="inlineStr">
        <is>
          <t>tennis-surface-elo-v1</t>
        </is>
      </c>
      <c r="BD310" s="24" t="inlineStr">
        <is>
          <t>3ab056fefe04713e3c294da76c8adb2866b0dc46556ed32322a0426dd344a0e4</t>
        </is>
      </c>
      <c r="BE310" s="24" t="inlineStr">
        <is>
          <t>tennis-surface-elo-v1</t>
        </is>
      </c>
      <c r="BF310" s="24" t="inlineStr">
        <is>
          <t>1</t>
        </is>
      </c>
      <c r="BG310" s="24" t="inlineStr">
        <is>
          <t>3ab056fefe04713e3c294da76c8adb2866b0dc46556ed32322a0426dd344a0e4</t>
        </is>
      </c>
      <c r="BH310" s="24" t="inlineStr">
        <is>
          <t>2026-08-12T14:34:34.858458Z</t>
        </is>
      </c>
      <c r="BI310" s="24" t="inlineStr">
        <is>
          <t>["same_event","same_team_same_day","same_league_same_day"]</t>
        </is>
      </c>
      <c r="BJ310" s="25" t="n"/>
      <c r="BK310" s="26" t="n">
        <v>-245</v>
      </c>
      <c r="BL310" s="27" t="n">
        <v>1.408163</v>
      </c>
      <c r="BM310" s="28" t="n">
        <v>0.710145</v>
      </c>
      <c r="BN310" s="28" t="n"/>
      <c r="BO310" s="28" t="n"/>
      <c r="BP310" s="25" t="n"/>
      <c r="BQ310" s="27" t="n">
        <v>1.408163</v>
      </c>
      <c r="BR310" s="28" t="n">
        <v>0.71</v>
      </c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False</t>
        </is>
      </c>
    </row>
    <row r="311" ht="36" customHeight="1">
      <c r="A311" s="24" t="inlineStr">
        <is>
          <t>d4f2ab38091d4929</t>
        </is>
      </c>
      <c r="B311" s="24" t="inlineStr">
        <is>
          <t>2026-08-12T21:32:23.180840Z</t>
        </is>
      </c>
      <c r="C311" s="24" t="inlineStr">
        <is>
          <t>2026-08-12T23:00Z</t>
        </is>
      </c>
      <c r="D311" s="24" t="inlineStr">
        <is>
          <t>421-2026:182206</t>
        </is>
      </c>
      <c r="E311" s="24" t="inlineStr">
        <is>
          <t>TENNIS</t>
        </is>
      </c>
      <c r="F311" s="24" t="inlineStr">
        <is>
          <t>Iga Swiatek</t>
        </is>
      </c>
      <c r="G311" s="24" t="inlineStr">
        <is>
          <t>Elina Svitolina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203</v>
      </c>
      <c r="M311" s="27" t="n">
        <v>3.03</v>
      </c>
      <c r="N311" s="28" t="n">
        <v>0.330033</v>
      </c>
      <c r="O311" s="28" t="n">
        <v>0.530694</v>
      </c>
      <c r="P311" s="28" t="n">
        <v>0.05</v>
      </c>
      <c r="Q311" s="28" t="n">
        <v>0.200661</v>
      </c>
      <c r="R311" s="26" t="n">
        <v>100</v>
      </c>
      <c r="S311" s="29" t="n">
        <v>1</v>
      </c>
      <c r="T311" s="24" t="inlineStr">
        <is>
          <t>tennis-surface-elo-v1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>
        <v>203</v>
      </c>
      <c r="AA311" s="28" t="n">
        <v>0.33</v>
      </c>
      <c r="AB311" s="28" t="n">
        <v>-3.3e-05</v>
      </c>
      <c r="AC311" s="30" t="n">
        <v>-1</v>
      </c>
      <c r="AD311" s="24" t="inlineStr">
        <is>
          <t>2026-08-13T05:32:40.046742Z</t>
        </is>
      </c>
      <c r="AE311" s="31" t="inlineStr">
        <is>
          <t>Surface-blended Elo on Hard: Iga Swiatek p=0.469 vs Elina Svitolina. Executable ask 0.3300 (aec-wta-elisvi-igaswi-2026-08-12).</t>
        </is>
      </c>
      <c r="AF311" s="31" t="inlineStr">
        <is>
          <t>Surface-blended Elo model; singles only, WTA+ATP market coverage, not yet locked-holdout qualified -- promoted by explicit operator directive, not genuine walk-forward validation.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research_observation</t>
        </is>
      </c>
      <c r="AL311" s="26" t="n">
        <v>3</v>
      </c>
      <c r="AM311" s="24" t="inlineStr">
        <is>
          <t>RESEARCH_OBSERVATION</t>
        </is>
      </c>
      <c r="AN311" s="24" t="inlineStr">
        <is>
          <t>NO_CALL</t>
        </is>
      </c>
      <c r="AO311" s="24" t="inlineStr">
        <is>
          <t>NO_CALL_LOW_EDGE</t>
        </is>
      </c>
      <c r="AP311" s="24" t="inlineStr">
        <is>
          <t>Iga Swiatek</t>
        </is>
      </c>
      <c r="AQ311" s="24" t="inlineStr">
        <is>
          <t>Iga Swiatek</t>
        </is>
      </c>
      <c r="AR311" s="24" t="inlineStr">
        <is>
          <t>Iga Swiatek</t>
        </is>
      </c>
      <c r="AS311" s="24" t="inlineStr">
        <is>
          <t>Elina Svitolina</t>
        </is>
      </c>
      <c r="AT311" s="24" t="inlineStr">
        <is>
          <t>Elina Svitolina</t>
        </is>
      </c>
      <c r="AU311" s="24" t="inlineStr">
        <is>
          <t>Elina Svitolina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3ab056fefe04713e3c294da76c8adb2866b0dc46556ed32322a0426dd344a0e4</t>
        </is>
      </c>
      <c r="BB311" s="24" t="inlineStr">
        <is>
          <t>surface_blended_elo</t>
        </is>
      </c>
      <c r="BC311" s="24" t="inlineStr">
        <is>
          <t>tennis-surface-elo-v1</t>
        </is>
      </c>
      <c r="BD311" s="24" t="inlineStr">
        <is>
          <t>3ab056fefe04713e3c294da76c8adb2866b0dc46556ed32322a0426dd344a0e4</t>
        </is>
      </c>
      <c r="BE311" s="24" t="inlineStr">
        <is>
          <t>tennis-surface-elo-v1</t>
        </is>
      </c>
      <c r="BF311" s="24" t="inlineStr">
        <is>
          <t>1</t>
        </is>
      </c>
      <c r="BG311" s="24" t="inlineStr">
        <is>
          <t>3ab056fefe04713e3c294da76c8adb2866b0dc46556ed32322a0426dd344a0e4</t>
        </is>
      </c>
      <c r="BH311" s="24" t="inlineStr">
        <is>
          <t>2026-08-12T21:16:29.324291Z</t>
        </is>
      </c>
      <c r="BI311" s="24" t="inlineStr">
        <is>
          <t>["same_event","same_team_same_day","same_league_same_day"]</t>
        </is>
      </c>
      <c r="BJ311" s="25" t="n"/>
      <c r="BK311" s="26" t="n">
        <v>203</v>
      </c>
      <c r="BL311" s="27" t="n">
        <v>3.03</v>
      </c>
      <c r="BM311" s="28" t="n">
        <v>0.330033</v>
      </c>
      <c r="BN311" s="28" t="n"/>
      <c r="BO311" s="28" t="n"/>
      <c r="BP311" s="25" t="n"/>
      <c r="BQ311" s="27" t="n">
        <v>3.03</v>
      </c>
      <c r="BR311" s="28" t="n">
        <v>0.33</v>
      </c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</row>
    <row r="312" ht="36" customHeight="1">
      <c r="A312" s="24" t="inlineStr">
        <is>
          <t>56ce1deb596844c8</t>
        </is>
      </c>
      <c r="B312" s="24" t="inlineStr">
        <is>
          <t>2026-08-12T21:32:23.180840Z</t>
        </is>
      </c>
      <c r="C312" s="24" t="inlineStr">
        <is>
          <t>2026-08-12T22:00Z</t>
        </is>
      </c>
      <c r="D312" s="24" t="inlineStr">
        <is>
          <t>421-2026:181793</t>
        </is>
      </c>
      <c r="E312" s="24" t="inlineStr">
        <is>
          <t>TENNIS</t>
        </is>
      </c>
      <c r="F312" s="24" t="inlineStr">
        <is>
          <t>Brandon Nakashima</t>
        </is>
      </c>
      <c r="G312" s="24" t="inlineStr">
        <is>
          <t>Rafael Jodar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-233</v>
      </c>
      <c r="M312" s="27" t="n">
        <v>1.429185</v>
      </c>
      <c r="N312" s="28" t="n">
        <v>0.6997</v>
      </c>
      <c r="O312" s="28" t="n">
        <v>0.59108</v>
      </c>
      <c r="P312" s="28" t="n">
        <v>0.05</v>
      </c>
      <c r="Q312" s="28" t="n">
        <v>-0.10862</v>
      </c>
      <c r="R312" s="26" t="n">
        <v>0</v>
      </c>
      <c r="S312" s="29" t="n">
        <v>1.25</v>
      </c>
      <c r="T312" s="24" t="inlineStr">
        <is>
          <t>tennis-surface-elo-v1</t>
        </is>
      </c>
      <c r="U312" s="24" t="inlineStr">
        <is>
          <t>settled</t>
        </is>
      </c>
      <c r="V312" s="24" t="inlineStr">
        <is>
          <t>loss</t>
        </is>
      </c>
      <c r="W312" s="26" t="n">
        <v>1</v>
      </c>
      <c r="X312" s="26" t="n">
        <v>0</v>
      </c>
      <c r="Y312" s="25" t="n"/>
      <c r="Z312" s="26" t="n">
        <v>-233</v>
      </c>
      <c r="AA312" s="28" t="n">
        <v>0.7</v>
      </c>
      <c r="AB312" s="28" t="n">
        <v>0.0003</v>
      </c>
      <c r="AC312" s="30" t="n">
        <v>-1.25</v>
      </c>
      <c r="AD312" s="24" t="inlineStr">
        <is>
          <t>2026-08-13T05:32:41.826255Z</t>
        </is>
      </c>
      <c r="AE312" s="31" t="inlineStr">
        <is>
          <t>Surface-blended Elo on Hard: Brandon Nakashima p=0.409 vs Rafael Jodar. Executable ask 0.7000 (aec-atp-rafjod-branak-2026-08-12).</t>
        </is>
      </c>
      <c r="AF312" s="31" t="inlineStr">
        <is>
          <t>Surface-blended Elo model; singles only, WTA+ATP market coverage, not yet locked-holdout qualified -- promoted by explicit operator directive, not genuine walk-forward validation.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research_observation</t>
        </is>
      </c>
      <c r="AL312" s="26" t="n">
        <v>3</v>
      </c>
      <c r="AM312" s="24" t="inlineStr">
        <is>
          <t>RESEARCH_OBSERVATION</t>
        </is>
      </c>
      <c r="AN312" s="24" t="inlineStr">
        <is>
          <t>NO_CALL</t>
        </is>
      </c>
      <c r="AO312" s="24" t="inlineStr">
        <is>
          <t>NO_CALL_LOW_EDGE</t>
        </is>
      </c>
      <c r="AP312" s="24" t="inlineStr">
        <is>
          <t>Brandon Nakashima</t>
        </is>
      </c>
      <c r="AQ312" s="24" t="inlineStr">
        <is>
          <t>Brandon Nakashima</t>
        </is>
      </c>
      <c r="AR312" s="24" t="inlineStr">
        <is>
          <t>Brandon Nakashima</t>
        </is>
      </c>
      <c r="AS312" s="24" t="inlineStr">
        <is>
          <t>Rafael Jodar</t>
        </is>
      </c>
      <c r="AT312" s="24" t="inlineStr">
        <is>
          <t>Rafael Jodar</t>
        </is>
      </c>
      <c r="AU312" s="24" t="inlineStr">
        <is>
          <t>Rafael Jodar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3ab056fefe04713e3c294da76c8adb2866b0dc46556ed32322a0426dd344a0e4</t>
        </is>
      </c>
      <c r="BB312" s="24" t="inlineStr">
        <is>
          <t>surface_blended_elo</t>
        </is>
      </c>
      <c r="BC312" s="24" t="inlineStr">
        <is>
          <t>tennis-surface-elo-v1</t>
        </is>
      </c>
      <c r="BD312" s="24" t="inlineStr">
        <is>
          <t>3ab056fefe04713e3c294da76c8adb2866b0dc46556ed32322a0426dd344a0e4</t>
        </is>
      </c>
      <c r="BE312" s="24" t="inlineStr">
        <is>
          <t>tennis-surface-elo-v1</t>
        </is>
      </c>
      <c r="BF312" s="24" t="inlineStr">
        <is>
          <t>1</t>
        </is>
      </c>
      <c r="BG312" s="24" t="inlineStr">
        <is>
          <t>3ab056fefe04713e3c294da76c8adb2866b0dc46556ed32322a0426dd344a0e4</t>
        </is>
      </c>
      <c r="BH312" s="24" t="inlineStr">
        <is>
          <t>2026-08-12T21:16:30.094408Z</t>
        </is>
      </c>
      <c r="BI312" s="24" t="inlineStr">
        <is>
          <t>["same_event","same_team_same_day","same_league_same_day"]</t>
        </is>
      </c>
      <c r="BJ312" s="25" t="n"/>
      <c r="BK312" s="26" t="n">
        <v>-233</v>
      </c>
      <c r="BL312" s="27" t="n">
        <v>1.429185</v>
      </c>
      <c r="BM312" s="28" t="n">
        <v>0.6997</v>
      </c>
      <c r="BN312" s="28" t="n"/>
      <c r="BO312" s="28" t="n"/>
      <c r="BP312" s="25" t="n"/>
      <c r="BQ312" s="27" t="n">
        <v>1.429185</v>
      </c>
      <c r="BR312" s="28" t="n">
        <v>0.7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</row>
    <row r="313" ht="36" customHeight="1">
      <c r="A313" s="24" t="inlineStr">
        <is>
          <t>c57ea40df1c844c7</t>
        </is>
      </c>
      <c r="B313" s="24" t="inlineStr">
        <is>
          <t>2026-08-12T21:32:23.180840Z</t>
        </is>
      </c>
      <c r="C313" s="24" t="inlineStr">
        <is>
          <t>2026-08-12T23:30Z</t>
        </is>
      </c>
      <c r="D313" s="24" t="inlineStr">
        <is>
          <t>421-2026:181792</t>
        </is>
      </c>
      <c r="E313" s="24" t="inlineStr">
        <is>
          <t>TENNIS</t>
        </is>
      </c>
      <c r="F313" s="24" t="inlineStr">
        <is>
          <t>Ben Shelton</t>
        </is>
      </c>
      <c r="G313" s="24" t="inlineStr">
        <is>
          <t>Learner Tien</t>
        </is>
      </c>
      <c r="H313" s="24" t="inlineStr">
        <is>
          <t>moneyline</t>
        </is>
      </c>
      <c r="I313" s="24" t="inlineStr">
        <is>
          <t>away</t>
        </is>
      </c>
      <c r="J313" s="25" t="n"/>
      <c r="K313" s="24" t="inlineStr">
        <is>
          <t>polymarket_us</t>
        </is>
      </c>
      <c r="L313" s="26" t="n">
        <v>-203</v>
      </c>
      <c r="M313" s="27" t="n">
        <v>1.492611</v>
      </c>
      <c r="N313" s="28" t="n">
        <v>0.669967</v>
      </c>
      <c r="O313" s="28" t="n">
        <v>0.598983</v>
      </c>
      <c r="P313" s="28" t="n">
        <v>0.05</v>
      </c>
      <c r="Q313" s="28" t="n">
        <v>-0.07098400000000001</v>
      </c>
      <c r="R313" s="26" t="n">
        <v>0</v>
      </c>
      <c r="S313" s="29" t="n">
        <v>1.25</v>
      </c>
      <c r="T313" s="24" t="inlineStr">
        <is>
          <t>tennis-surface-elo-v1</t>
        </is>
      </c>
      <c r="U313" s="24" t="inlineStr">
        <is>
          <t>settled</t>
        </is>
      </c>
      <c r="V313" s="24" t="inlineStr">
        <is>
          <t>win</t>
        </is>
      </c>
      <c r="W313" s="26" t="n">
        <v>1</v>
      </c>
      <c r="X313" s="26" t="n">
        <v>0</v>
      </c>
      <c r="Y313" s="25" t="n"/>
      <c r="Z313" s="26" t="n">
        <v>-203</v>
      </c>
      <c r="AA313" s="28" t="n">
        <v>0.67</v>
      </c>
      <c r="AB313" s="28" t="n">
        <v>3.3e-05</v>
      </c>
      <c r="AC313" s="30" t="n">
        <v>0.6158</v>
      </c>
      <c r="AD313" s="24" t="inlineStr">
        <is>
          <t>2026-08-13T05:32:43.504047Z</t>
        </is>
      </c>
      <c r="AE313" s="31" t="inlineStr">
        <is>
          <t>Surface-blended Elo on Hard: Ben Shelton p=0.599 vs Learner Tien. Executable ask 0.6700 (aec-atp-leatie-benshe-2026-08-13).</t>
        </is>
      </c>
      <c r="AF313" s="31" t="inlineStr">
        <is>
          <t>Surface-blended Elo model; singles only, WTA+ATP market coverage, not yet locked-holdout qualified -- promoted by explicit operator directive, not genuine walk-forward validation.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research_observation</t>
        </is>
      </c>
      <c r="AL313" s="26" t="n">
        <v>3</v>
      </c>
      <c r="AM313" s="24" t="inlineStr">
        <is>
          <t>RESEARCH_OBSERVATION</t>
        </is>
      </c>
      <c r="AN313" s="24" t="inlineStr">
        <is>
          <t>NO_CALL</t>
        </is>
      </c>
      <c r="AO313" s="24" t="inlineStr">
        <is>
          <t>NO_CALL_LOW_EDGE</t>
        </is>
      </c>
      <c r="AP313" s="24" t="inlineStr">
        <is>
          <t>Ben Shelton</t>
        </is>
      </c>
      <c r="AQ313" s="24" t="inlineStr">
        <is>
          <t>Ben Shelton</t>
        </is>
      </c>
      <c r="AR313" s="24" t="inlineStr">
        <is>
          <t>Ben Shelton</t>
        </is>
      </c>
      <c r="AS313" s="24" t="inlineStr">
        <is>
          <t>Learner Tien</t>
        </is>
      </c>
      <c r="AT313" s="24" t="inlineStr">
        <is>
          <t>Learner Tien</t>
        </is>
      </c>
      <c r="AU313" s="24" t="inlineStr">
        <is>
          <t>Learner Tien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3ab056fefe04713e3c294da76c8adb2866b0dc46556ed32322a0426dd344a0e4</t>
        </is>
      </c>
      <c r="BB313" s="24" t="inlineStr">
        <is>
          <t>surface_blended_elo</t>
        </is>
      </c>
      <c r="BC313" s="24" t="inlineStr">
        <is>
          <t>tennis-surface-elo-v1</t>
        </is>
      </c>
      <c r="BD313" s="24" t="inlineStr">
        <is>
          <t>3ab056fefe04713e3c294da76c8adb2866b0dc46556ed32322a0426dd344a0e4</t>
        </is>
      </c>
      <c r="BE313" s="24" t="inlineStr">
        <is>
          <t>tennis-surface-elo-v1</t>
        </is>
      </c>
      <c r="BF313" s="24" t="inlineStr">
        <is>
          <t>1</t>
        </is>
      </c>
      <c r="BG313" s="24" t="inlineStr">
        <is>
          <t>3ab056fefe04713e3c294da76c8adb2866b0dc46556ed32322a0426dd344a0e4</t>
        </is>
      </c>
      <c r="BH313" s="24" t="inlineStr">
        <is>
          <t>2026-08-12T21:16:31.426889Z</t>
        </is>
      </c>
      <c r="BI313" s="24" t="inlineStr">
        <is>
          <t>["same_event","same_team_same_day","same_league_same_day"]</t>
        </is>
      </c>
      <c r="BJ313" s="25" t="n"/>
      <c r="BK313" s="26" t="n">
        <v>-203</v>
      </c>
      <c r="BL313" s="27" t="n">
        <v>1.492611</v>
      </c>
      <c r="BM313" s="28" t="n">
        <v>0.669967</v>
      </c>
      <c r="BN313" s="28" t="n"/>
      <c r="BO313" s="28" t="n"/>
      <c r="BP313" s="25" t="n"/>
      <c r="BQ313" s="27" t="n">
        <v>1.492611</v>
      </c>
      <c r="BR313" s="28" t="n">
        <v>0.67</v>
      </c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</row>
    <row r="314" ht="36" customHeight="1">
      <c r="A314" s="24" t="inlineStr">
        <is>
          <t>051743ee67e54d9f</t>
        </is>
      </c>
      <c r="B314" s="24" t="inlineStr">
        <is>
          <t>2026-08-13T13:45:46.281726Z</t>
        </is>
      </c>
      <c r="C314" s="24" t="inlineStr">
        <is>
          <t>2026-08-13T16:30Z</t>
        </is>
      </c>
      <c r="D314" s="24" t="inlineStr">
        <is>
          <t>718-2026:184471</t>
        </is>
      </c>
      <c r="E314" s="24" t="inlineStr">
        <is>
          <t>TENNIS</t>
        </is>
      </c>
      <c r="F314" s="24" t="inlineStr">
        <is>
          <t>Nadia Podoroska</t>
        </is>
      </c>
      <c r="G314" s="24" t="inlineStr">
        <is>
          <t>Emiliana Arango</t>
        </is>
      </c>
      <c r="H314" s="24" t="inlineStr">
        <is>
          <t>moneyline</t>
        </is>
      </c>
      <c r="I314" s="24" t="inlineStr">
        <is>
          <t>away</t>
        </is>
      </c>
      <c r="J314" s="25" t="n"/>
      <c r="K314" s="24" t="inlineStr">
        <is>
          <t>polymarket_us</t>
        </is>
      </c>
      <c r="L314" s="26" t="n">
        <v>144</v>
      </c>
      <c r="M314" s="27" t="n">
        <v>2.44</v>
      </c>
      <c r="N314" s="28" t="n">
        <v>0.409836</v>
      </c>
      <c r="O314" s="28" t="n">
        <v>0.50026</v>
      </c>
      <c r="P314" s="28" t="n">
        <v>0.05</v>
      </c>
      <c r="Q314" s="28" t="n">
        <v>0.090424</v>
      </c>
      <c r="R314" s="26" t="n">
        <v>65</v>
      </c>
      <c r="S314" s="29" t="n">
        <v>1</v>
      </c>
      <c r="T314" s="24" t="inlineStr">
        <is>
          <t>tennis-surface-elo-v1</t>
        </is>
      </c>
      <c r="U314" s="24" t="inlineStr">
        <is>
          <t>open</t>
        </is>
      </c>
      <c r="V314" s="24" t="n"/>
      <c r="W314" s="26" t="n"/>
      <c r="X314" s="26" t="n"/>
      <c r="Y314" s="25" t="n"/>
      <c r="Z314" s="26" t="n"/>
      <c r="AA314" s="28" t="n"/>
      <c r="AB314" s="28" t="n"/>
      <c r="AC314" s="30" t="n"/>
      <c r="AD314" s="24" t="n"/>
      <c r="AE314" s="31" t="inlineStr">
        <is>
          <t>Surface-blended Elo on Hard: Nadia Podoroska p=0.500 vs Emiliana Arango. Executable ask 0.4100 (aec-wta-emiara-nadpod-2026-08-13).</t>
        </is>
      </c>
      <c r="AF314" s="31" t="inlineStr">
        <is>
          <t>Surface-blended Elo model; singles only, WTA+ATP market coverage, not yet locked-holdout qualified -- promoted by explicit operator directive, not genuine walk-forward validation.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research_observation</t>
        </is>
      </c>
      <c r="AL314" s="26" t="n">
        <v>3</v>
      </c>
      <c r="AM314" s="24" t="inlineStr">
        <is>
          <t>RESEARCH_OBSERVATION</t>
        </is>
      </c>
      <c r="AN314" s="24" t="inlineStr">
        <is>
          <t>NO_CALL</t>
        </is>
      </c>
      <c r="AO314" s="24" t="inlineStr">
        <is>
          <t>NO_CALL_LOW_EDGE</t>
        </is>
      </c>
      <c r="AP314" s="24" t="inlineStr">
        <is>
          <t>Nadia Podoroska</t>
        </is>
      </c>
      <c r="AQ314" s="24" t="inlineStr">
        <is>
          <t>Nadia Podoroska</t>
        </is>
      </c>
      <c r="AR314" s="24" t="inlineStr">
        <is>
          <t>Nadia Podoroska</t>
        </is>
      </c>
      <c r="AS314" s="24" t="inlineStr">
        <is>
          <t>Emiliana Arango</t>
        </is>
      </c>
      <c r="AT314" s="24" t="inlineStr">
        <is>
          <t>Emiliana Arango</t>
        </is>
      </c>
      <c r="AU314" s="24" t="inlineStr">
        <is>
          <t>Emiliana Arango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3ab056fefe04713e3c294da76c8adb2866b0dc46556ed32322a0426dd344a0e4</t>
        </is>
      </c>
      <c r="BB314" s="24" t="inlineStr">
        <is>
          <t>surface_blended_elo</t>
        </is>
      </c>
      <c r="BC314" s="24" t="inlineStr">
        <is>
          <t>tennis-surface-elo-v1</t>
        </is>
      </c>
      <c r="BD314" s="24" t="inlineStr">
        <is>
          <t>3ab056fefe04713e3c294da76c8adb2866b0dc46556ed32322a0426dd344a0e4</t>
        </is>
      </c>
      <c r="BE314" s="24" t="inlineStr">
        <is>
          <t>tennis-surface-elo-v1</t>
        </is>
      </c>
      <c r="BF314" s="24" t="inlineStr">
        <is>
          <t>1</t>
        </is>
      </c>
      <c r="BG314" s="24" t="inlineStr">
        <is>
          <t>3ab056fefe04713e3c294da76c8adb2866b0dc46556ed32322a0426dd344a0e4</t>
        </is>
      </c>
      <c r="BH314" s="24" t="inlineStr">
        <is>
          <t>2026-08-13T13:44:35.484534Z</t>
        </is>
      </c>
      <c r="BI314" s="24" t="inlineStr">
        <is>
          <t>["same_event","same_team_same_day","same_league_same_day"]</t>
        </is>
      </c>
      <c r="BJ314" s="25" t="n"/>
      <c r="BK314" s="26" t="n">
        <v>144</v>
      </c>
      <c r="BL314" s="27" t="n">
        <v>2.44</v>
      </c>
      <c r="BM314" s="28" t="n">
        <v>0.409836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</row>
    <row r="315" ht="36" customHeight="1">
      <c r="A315" s="24" t="inlineStr">
        <is>
          <t>5560b0d4fc8a480a</t>
        </is>
      </c>
      <c r="B315" s="24" t="inlineStr">
        <is>
          <t>2026-08-13T13:45:46.281726Z</t>
        </is>
      </c>
      <c r="C315" s="24" t="inlineStr">
        <is>
          <t>2026-08-13T16:30Z</t>
        </is>
      </c>
      <c r="D315" s="24" t="inlineStr">
        <is>
          <t>718-2026:184475</t>
        </is>
      </c>
      <c r="E315" s="24" t="inlineStr">
        <is>
          <t>TENNIS</t>
        </is>
      </c>
      <c r="F315" s="24" t="inlineStr">
        <is>
          <t>Polina Kudermetova</t>
        </is>
      </c>
      <c r="G315" s="24" t="inlineStr">
        <is>
          <t>Wang Xiyu</t>
        </is>
      </c>
      <c r="H315" s="24" t="inlineStr">
        <is>
          <t>moneyline</t>
        </is>
      </c>
      <c r="I315" s="24" t="inlineStr">
        <is>
          <t>away</t>
        </is>
      </c>
      <c r="J315" s="25" t="n"/>
      <c r="K315" s="24" t="inlineStr">
        <is>
          <t>polymarket_us</t>
        </is>
      </c>
      <c r="L315" s="26" t="n">
        <v>150</v>
      </c>
      <c r="M315" s="27" t="n">
        <v>2.5</v>
      </c>
      <c r="N315" s="28" t="n">
        <v>0.4</v>
      </c>
      <c r="O315" s="28" t="n">
        <v>0.57778</v>
      </c>
      <c r="P315" s="28" t="n">
        <v>0.05</v>
      </c>
      <c r="Q315" s="28" t="n">
        <v>0.17778</v>
      </c>
      <c r="R315" s="26" t="n">
        <v>100</v>
      </c>
      <c r="S315" s="29" t="n">
        <v>1.25</v>
      </c>
      <c r="T315" s="24" t="inlineStr">
        <is>
          <t>tennis-surface-elo-v1</t>
        </is>
      </c>
      <c r="U315" s="24" t="inlineStr">
        <is>
          <t>open</t>
        </is>
      </c>
      <c r="V315" s="24" t="n"/>
      <c r="W315" s="26" t="n"/>
      <c r="X315" s="26" t="n"/>
      <c r="Y315" s="25" t="n"/>
      <c r="Z315" s="26" t="n"/>
      <c r="AA315" s="28" t="n"/>
      <c r="AB315" s="28" t="n"/>
      <c r="AC315" s="30" t="n"/>
      <c r="AD315" s="24" t="n"/>
      <c r="AE315" s="31" t="inlineStr">
        <is>
          <t>Surface-blended Elo on Hard: Polina Kudermetova p=0.578 vs Wang Xiyu. Executable ask 0.4000 (aec-wta-xiywan-polkud-2026-08-13).</t>
        </is>
      </c>
      <c r="AF315" s="31" t="inlineStr">
        <is>
          <t>Surface-blended Elo model; singles only, WTA+ATP market coverage, not yet locked-holdout qualified -- promoted by explicit operator directive, not genuine walk-forward validation.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Polina Kudermetova</t>
        </is>
      </c>
      <c r="AQ315" s="24" t="inlineStr">
        <is>
          <t>Polina Kudermetova</t>
        </is>
      </c>
      <c r="AR315" s="24" t="inlineStr">
        <is>
          <t>Polina Kudermetova</t>
        </is>
      </c>
      <c r="AS315" s="24" t="inlineStr">
        <is>
          <t>Wang Xiyu</t>
        </is>
      </c>
      <c r="AT315" s="24" t="inlineStr">
        <is>
          <t>Wang Xiyu</t>
        </is>
      </c>
      <c r="AU315" s="24" t="inlineStr">
        <is>
          <t>Wang Xiyu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3ab056fefe04713e3c294da76c8adb2866b0dc46556ed32322a0426dd344a0e4</t>
        </is>
      </c>
      <c r="BB315" s="24" t="inlineStr">
        <is>
          <t>surface_blended_elo</t>
        </is>
      </c>
      <c r="BC315" s="24" t="inlineStr">
        <is>
          <t>tennis-surface-elo-v1</t>
        </is>
      </c>
      <c r="BD315" s="24" t="inlineStr">
        <is>
          <t>3ab056fefe04713e3c294da76c8adb2866b0dc46556ed32322a0426dd344a0e4</t>
        </is>
      </c>
      <c r="BE315" s="24" t="inlineStr">
        <is>
          <t>tennis-surface-elo-v1</t>
        </is>
      </c>
      <c r="BF315" s="24" t="inlineStr">
        <is>
          <t>1</t>
        </is>
      </c>
      <c r="BG315" s="24" t="inlineStr">
        <is>
          <t>3ab056fefe04713e3c294da76c8adb2866b0dc46556ed32322a0426dd344a0e4</t>
        </is>
      </c>
      <c r="BH315" s="24" t="inlineStr">
        <is>
          <t>2026-08-13T13:44:36.206620Z</t>
        </is>
      </c>
      <c r="BI315" s="24" t="inlineStr">
        <is>
          <t>["same_event","same_team_same_day","same_league_same_day"]</t>
        </is>
      </c>
      <c r="BJ315" s="25" t="n"/>
      <c r="BK315" s="26" t="n">
        <v>150</v>
      </c>
      <c r="BL315" s="27" t="n">
        <v>2.5</v>
      </c>
      <c r="BM315" s="28" t="n">
        <v>0.4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</row>
    <row r="316" ht="36" customHeight="1">
      <c r="A316" s="24" t="inlineStr">
        <is>
          <t>ff726d2166344f11</t>
        </is>
      </c>
      <c r="B316" s="24" t="inlineStr">
        <is>
          <t>2026-08-13T13:45:46.281726Z</t>
        </is>
      </c>
      <c r="C316" s="24" t="inlineStr">
        <is>
          <t>2026-08-13T16:30Z</t>
        </is>
      </c>
      <c r="D316" s="24" t="inlineStr">
        <is>
          <t>718-2026:184432</t>
        </is>
      </c>
      <c r="E316" s="24" t="inlineStr">
        <is>
          <t>TENNIS</t>
        </is>
      </c>
      <c r="F316" s="24" t="inlineStr">
        <is>
          <t>Nicolas Mejia</t>
        </is>
      </c>
      <c r="G316" s="24" t="inlineStr">
        <is>
          <t>Henrique Rocha</t>
        </is>
      </c>
      <c r="H316" s="24" t="inlineStr">
        <is>
          <t>moneyline</t>
        </is>
      </c>
      <c r="I316" s="24" t="inlineStr">
        <is>
          <t>away</t>
        </is>
      </c>
      <c r="J316" s="25" t="n"/>
      <c r="K316" s="24" t="inlineStr">
        <is>
          <t>polymarket_us</t>
        </is>
      </c>
      <c r="L316" s="26" t="n">
        <v>133</v>
      </c>
      <c r="M316" s="27" t="n">
        <v>2.33</v>
      </c>
      <c r="N316" s="28" t="n">
        <v>0.429185</v>
      </c>
      <c r="O316" s="28" t="n">
        <v>0.502184</v>
      </c>
      <c r="P316" s="28" t="n">
        <v>0.05</v>
      </c>
      <c r="Q316" s="28" t="n">
        <v>0.07299899999999999</v>
      </c>
      <c r="R316" s="26" t="n">
        <v>56</v>
      </c>
      <c r="S316" s="29" t="n">
        <v>1</v>
      </c>
      <c r="T316" s="24" t="inlineStr">
        <is>
          <t>tennis-surface-elo-v1</t>
        </is>
      </c>
      <c r="U316" s="24" t="inlineStr">
        <is>
          <t>open</t>
        </is>
      </c>
      <c r="V316" s="24" t="n"/>
      <c r="W316" s="26" t="n"/>
      <c r="X316" s="26" t="n"/>
      <c r="Y316" s="25" t="n"/>
      <c r="Z316" s="26" t="n"/>
      <c r="AA316" s="28" t="n"/>
      <c r="AB316" s="28" t="n"/>
      <c r="AC316" s="30" t="n"/>
      <c r="AD316" s="24" t="n"/>
      <c r="AE316" s="31" t="inlineStr">
        <is>
          <t>Surface-blended Elo on Hard: Nicolas Mejia p=0.502 vs Henrique Rocha. Executable ask 0.4300 (aec-atp-henroc-nicmej-2026-08-13).</t>
        </is>
      </c>
      <c r="AF316" s="31" t="inlineStr">
        <is>
          <t>Surface-blended Elo model; singles only, WTA+ATP market coverage, not yet locked-holdout qualified -- promoted by explicit operator directive, not genuine walk-forward validation.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research_observation</t>
        </is>
      </c>
      <c r="AL316" s="26" t="n">
        <v>3</v>
      </c>
      <c r="AM316" s="24" t="inlineStr">
        <is>
          <t>RESEARCH_OBSERVATION</t>
        </is>
      </c>
      <c r="AN316" s="24" t="inlineStr">
        <is>
          <t>NO_CALL</t>
        </is>
      </c>
      <c r="AO316" s="24" t="inlineStr">
        <is>
          <t>NO_CALL_LOW_EDGE</t>
        </is>
      </c>
      <c r="AP316" s="24" t="inlineStr">
        <is>
          <t>Nicolas Mejia</t>
        </is>
      </c>
      <c r="AQ316" s="24" t="inlineStr">
        <is>
          <t>Nicolas Mejia</t>
        </is>
      </c>
      <c r="AR316" s="24" t="inlineStr">
        <is>
          <t>Nicolas Mejia</t>
        </is>
      </c>
      <c r="AS316" s="24" t="inlineStr">
        <is>
          <t>Henrique Rocha</t>
        </is>
      </c>
      <c r="AT316" s="24" t="inlineStr">
        <is>
          <t>Henrique Rocha</t>
        </is>
      </c>
      <c r="AU316" s="24" t="inlineStr">
        <is>
          <t>Henrique Rocha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3ab056fefe04713e3c294da76c8adb2866b0dc46556ed32322a0426dd344a0e4</t>
        </is>
      </c>
      <c r="BB316" s="24" t="inlineStr">
        <is>
          <t>surface_blended_elo</t>
        </is>
      </c>
      <c r="BC316" s="24" t="inlineStr">
        <is>
          <t>tennis-surface-elo-v1</t>
        </is>
      </c>
      <c r="BD316" s="24" t="inlineStr">
        <is>
          <t>3ab056fefe04713e3c294da76c8adb2866b0dc46556ed32322a0426dd344a0e4</t>
        </is>
      </c>
      <c r="BE316" s="24" t="inlineStr">
        <is>
          <t>tennis-surface-elo-v1</t>
        </is>
      </c>
      <c r="BF316" s="24" t="inlineStr">
        <is>
          <t>1</t>
        </is>
      </c>
      <c r="BG316" s="24" t="inlineStr">
        <is>
          <t>3ab056fefe04713e3c294da76c8adb2866b0dc46556ed32322a0426dd344a0e4</t>
        </is>
      </c>
      <c r="BH316" s="24" t="inlineStr">
        <is>
          <t>2026-08-13T13:44:54.777576Z</t>
        </is>
      </c>
      <c r="BI316" s="24" t="inlineStr">
        <is>
          <t>["same_event","same_team_same_day","same_league_same_day"]</t>
        </is>
      </c>
      <c r="BJ316" s="25" t="n"/>
      <c r="BK316" s="26" t="n">
        <v>133</v>
      </c>
      <c r="BL316" s="27" t="n">
        <v>2.33</v>
      </c>
      <c r="BM316" s="28" t="n">
        <v>0.429185</v>
      </c>
      <c r="BN316" s="28" t="n"/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</row>
    <row r="317" ht="36" customHeight="1">
      <c r="A317" s="24" t="inlineStr">
        <is>
          <t>9d8197b3f2484d2b</t>
        </is>
      </c>
      <c r="B317" s="24" t="inlineStr">
        <is>
          <t>2026-08-13T13:45:46.281726Z</t>
        </is>
      </c>
      <c r="C317" s="24" t="inlineStr">
        <is>
          <t>2026-08-13T16:30Z</t>
        </is>
      </c>
      <c r="D317" s="24" t="inlineStr">
        <is>
          <t>718-2026:184442</t>
        </is>
      </c>
      <c r="E317" s="24" t="inlineStr">
        <is>
          <t>TENNIS</t>
        </is>
      </c>
      <c r="F317" s="24" t="inlineStr">
        <is>
          <t>Mark Lajal</t>
        </is>
      </c>
      <c r="G317" s="24" t="inlineStr">
        <is>
          <t>Aleksandar Vukic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-127</v>
      </c>
      <c r="M317" s="27" t="n">
        <v>1.787402</v>
      </c>
      <c r="N317" s="28" t="n">
        <v>0.5594710000000001</v>
      </c>
      <c r="O317" s="28" t="n">
        <v>0.509432</v>
      </c>
      <c r="P317" s="28" t="n">
        <v>0.05</v>
      </c>
      <c r="Q317" s="28" t="n">
        <v>-0.050039</v>
      </c>
      <c r="R317" s="26" t="n">
        <v>0</v>
      </c>
      <c r="S317" s="29" t="n">
        <v>1</v>
      </c>
      <c r="T317" s="24" t="inlineStr">
        <is>
          <t>tennis-surface-elo-v1</t>
        </is>
      </c>
      <c r="U317" s="24" t="inlineStr">
        <is>
          <t>open</t>
        </is>
      </c>
      <c r="V317" s="24" t="n"/>
      <c r="W317" s="26" t="n"/>
      <c r="X317" s="26" t="n"/>
      <c r="Y317" s="25" t="n"/>
      <c r="Z317" s="26" t="n"/>
      <c r="AA317" s="28" t="n"/>
      <c r="AB317" s="28" t="n"/>
      <c r="AC317" s="30" t="n"/>
      <c r="AD317" s="24" t="n"/>
      <c r="AE317" s="31" t="inlineStr">
        <is>
          <t>Surface-blended Elo on Hard: Mark Lajal p=0.491 vs Aleksandar Vukic. Executable ask 0.5600 (aec-atp-alevuk-marlaj-2026-08-13).</t>
        </is>
      </c>
      <c r="AF317" s="31" t="inlineStr">
        <is>
          <t>Surface-blended Elo model; singles only, WTA+ATP market coverage, not yet locked-holdout qualified -- promoted by explicit operator directive, not genuine walk-forward validation.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research_observation</t>
        </is>
      </c>
      <c r="AL317" s="26" t="n">
        <v>3</v>
      </c>
      <c r="AM317" s="24" t="inlineStr">
        <is>
          <t>RESEARCH_OBSERVATION</t>
        </is>
      </c>
      <c r="AN317" s="24" t="inlineStr">
        <is>
          <t>NO_CALL</t>
        </is>
      </c>
      <c r="AO317" s="24" t="inlineStr">
        <is>
          <t>NO_CALL_LOW_EDGE</t>
        </is>
      </c>
      <c r="AP317" s="24" t="inlineStr">
        <is>
          <t>Mark Lajal</t>
        </is>
      </c>
      <c r="AQ317" s="24" t="inlineStr">
        <is>
          <t>Mark Lajal</t>
        </is>
      </c>
      <c r="AR317" s="24" t="inlineStr">
        <is>
          <t>Mark Lajal</t>
        </is>
      </c>
      <c r="AS317" s="24" t="inlineStr">
        <is>
          <t>Aleksandar Vukic</t>
        </is>
      </c>
      <c r="AT317" s="24" t="inlineStr">
        <is>
          <t>Aleksandar Vukic</t>
        </is>
      </c>
      <c r="AU317" s="24" t="inlineStr">
        <is>
          <t>Aleksandar Vukic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3ab056fefe04713e3c294da76c8adb2866b0dc46556ed32322a0426dd344a0e4</t>
        </is>
      </c>
      <c r="BB317" s="24" t="inlineStr">
        <is>
          <t>surface_blended_elo</t>
        </is>
      </c>
      <c r="BC317" s="24" t="inlineStr">
        <is>
          <t>tennis-surface-elo-v1</t>
        </is>
      </c>
      <c r="BD317" s="24" t="inlineStr">
        <is>
          <t>3ab056fefe04713e3c294da76c8adb2866b0dc46556ed32322a0426dd344a0e4</t>
        </is>
      </c>
      <c r="BE317" s="24" t="inlineStr">
        <is>
          <t>tennis-surface-elo-v1</t>
        </is>
      </c>
      <c r="BF317" s="24" t="inlineStr">
        <is>
          <t>1</t>
        </is>
      </c>
      <c r="BG317" s="24" t="inlineStr">
        <is>
          <t>3ab056fefe04713e3c294da76c8adb2866b0dc46556ed32322a0426dd344a0e4</t>
        </is>
      </c>
      <c r="BH317" s="24" t="inlineStr">
        <is>
          <t>2026-08-13T13:44:55.732393Z</t>
        </is>
      </c>
      <c r="BI317" s="24" t="inlineStr">
        <is>
          <t>["same_event","same_team_same_day","same_league_same_day"]</t>
        </is>
      </c>
      <c r="BJ317" s="25" t="n"/>
      <c r="BK317" s="26" t="n">
        <v>-127</v>
      </c>
      <c r="BL317" s="27" t="n">
        <v>1.787402</v>
      </c>
      <c r="BM317" s="28" t="n">
        <v>0.5594710000000001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False</t>
        </is>
      </c>
    </row>
    <row r="318" ht="36" customHeight="1">
      <c r="A318" s="24" t="inlineStr">
        <is>
          <t>15429d306d5c4fe3</t>
        </is>
      </c>
      <c r="B318" s="24" t="inlineStr">
        <is>
          <t>2026-08-13T17:15:11.591904Z</t>
        </is>
      </c>
      <c r="C318" s="24" t="inlineStr">
        <is>
          <t>2026-08-14T00:00Z</t>
        </is>
      </c>
      <c r="D318" s="24" t="inlineStr">
        <is>
          <t>421-2026:181845</t>
        </is>
      </c>
      <c r="E318" s="24" t="inlineStr">
        <is>
          <t>TENNIS</t>
        </is>
      </c>
      <c r="F318" s="24" t="inlineStr">
        <is>
          <t>Brandon Nakashima</t>
        </is>
      </c>
      <c r="G318" s="24" t="inlineStr">
        <is>
          <t>Ben Shelton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-223</v>
      </c>
      <c r="M318" s="27" t="n">
        <v>1.44843</v>
      </c>
      <c r="N318" s="28" t="n">
        <v>0.690402</v>
      </c>
      <c r="O318" s="28" t="n">
        <v>0.6813900000000001</v>
      </c>
      <c r="P318" s="28" t="n">
        <v>0.05</v>
      </c>
      <c r="Q318" s="28" t="n">
        <v>-0.009011999999999999</v>
      </c>
      <c r="R318" s="26" t="n">
        <v>15</v>
      </c>
      <c r="S318" s="29" t="n">
        <v>2</v>
      </c>
      <c r="T318" s="24" t="inlineStr">
        <is>
          <t>tennis-surface-elo-v1</t>
        </is>
      </c>
      <c r="U318" s="24" t="inlineStr">
        <is>
          <t>open</t>
        </is>
      </c>
      <c r="V318" s="24" t="n"/>
      <c r="W318" s="26" t="n"/>
      <c r="X318" s="26" t="n"/>
      <c r="Y318" s="25" t="n"/>
      <c r="Z318" s="26" t="n"/>
      <c r="AA318" s="28" t="n"/>
      <c r="AB318" s="28" t="n"/>
      <c r="AC318" s="30" t="n"/>
      <c r="AD318" s="24" t="n"/>
      <c r="AE318" s="31" t="inlineStr">
        <is>
          <t>Surface-blended Elo on Hard: Brandon Nakashima p=0.319 vs Ben Shelton. Executable ask 0.6900 (aec-atp-benshe-branak-2026-08-13).</t>
        </is>
      </c>
      <c r="AF318" s="31" t="inlineStr">
        <is>
          <t>Surface-blended Elo model; singles only, WTA+ATP market coverage, not yet locked-holdout qualified -- promoted by explicit operator directive, not genuine walk-forward validation.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research_observation</t>
        </is>
      </c>
      <c r="AL318" s="26" t="n">
        <v>3</v>
      </c>
      <c r="AM318" s="24" t="inlineStr">
        <is>
          <t>RESEARCH_OBSERVATION</t>
        </is>
      </c>
      <c r="AN318" s="24" t="inlineStr">
        <is>
          <t>NO_CALL</t>
        </is>
      </c>
      <c r="AO318" s="24" t="inlineStr">
        <is>
          <t>NO_CALL_LOW_EDGE</t>
        </is>
      </c>
      <c r="AP318" s="24" t="inlineStr">
        <is>
          <t>Brandon Nakashima</t>
        </is>
      </c>
      <c r="AQ318" s="24" t="inlineStr">
        <is>
          <t>Brandon Nakashima</t>
        </is>
      </c>
      <c r="AR318" s="24" t="inlineStr">
        <is>
          <t>Brandon Nakashima</t>
        </is>
      </c>
      <c r="AS318" s="24" t="inlineStr">
        <is>
          <t>Ben Shelton</t>
        </is>
      </c>
      <c r="AT318" s="24" t="inlineStr">
        <is>
          <t>Ben Shelton</t>
        </is>
      </c>
      <c r="AU318" s="24" t="inlineStr">
        <is>
          <t>Ben Shelton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3ab056fefe04713e3c294da76c8adb2866b0dc46556ed32322a0426dd344a0e4</t>
        </is>
      </c>
      <c r="BB318" s="24" t="inlineStr">
        <is>
          <t>surface_blended_elo</t>
        </is>
      </c>
      <c r="BC318" s="24" t="inlineStr">
        <is>
          <t>tennis-surface-elo-v1</t>
        </is>
      </c>
      <c r="BD318" s="24" t="inlineStr">
        <is>
          <t>3ab056fefe04713e3c294da76c8adb2866b0dc46556ed32322a0426dd344a0e4</t>
        </is>
      </c>
      <c r="BE318" s="24" t="inlineStr">
        <is>
          <t>tennis-surface-elo-v1</t>
        </is>
      </c>
      <c r="BF318" s="24" t="inlineStr">
        <is>
          <t>1</t>
        </is>
      </c>
      <c r="BG318" s="24" t="inlineStr">
        <is>
          <t>3ab056fefe04713e3c294da76c8adb2866b0dc46556ed32322a0426dd344a0e4</t>
        </is>
      </c>
      <c r="BH318" s="24" t="inlineStr">
        <is>
          <t>2026-08-13T17:14:35.146859Z</t>
        </is>
      </c>
      <c r="BI318" s="24" t="inlineStr">
        <is>
          <t>["same_event","same_team_same_day","same_league_same_day"]</t>
        </is>
      </c>
      <c r="BJ318" s="25" t="n"/>
      <c r="BK318" s="26" t="n">
        <v>-223</v>
      </c>
      <c r="BL318" s="27" t="n">
        <v>1.44843</v>
      </c>
      <c r="BM318" s="28" t="n">
        <v>0.690402</v>
      </c>
      <c r="BN318" s="28" t="n"/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2026-08-13T17:15:12Z</dcterms:created>
  <dcterms:modified xmlns:dcterms="http://purl.org/dc/terms/" xmlns:xsi="http://www.w3.org/2001/XMLSchema-instance" xsi:type="dcterms:W3CDTF">2026-08-13T17:15:12Z</dcterms:modified>
</cp:coreProperties>
</file>