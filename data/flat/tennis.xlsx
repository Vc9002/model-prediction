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33" headerRowCount="1">
  <autoFilter ref="A1:CS23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COUNTA('Picks'!$A$2:$A$233)</f>
        <v/>
      </c>
      <c r="C4" s="6">
        <f>COUNTIF('Picks'!$U$2:$U$233,"open")</f>
        <v/>
      </c>
      <c r="E4" s="6">
        <f>COUNTIF('Picks'!$U$2:$U$233,"settled")</f>
        <v/>
      </c>
      <c r="G4" s="6">
        <f>IF(COUNTIFS('Picks'!$U$2:$U$233,"settled",'Picks'!$V$2:$V$233,"win")+COUNTIFS('Picks'!$U$2:$U$233,"settled",'Picks'!$V$2:$V$233,"loss")&gt;=$L$2,"Ready","Insufficient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COUNTIF('Picks'!$BX$2:$BX$233,"&gt;0")</f>
        <v/>
      </c>
      <c r="C7" s="6">
        <f>COUNTIFS('Picks'!$BX$2:$BX$233,"&gt;0",'Picks'!$V$2:$V$233,"win")&amp;"-"&amp;COUNTIFS('Picks'!$BX$2:$BX$233,"&gt;0",'Picks'!$V$2:$V$233,"loss")</f>
        <v/>
      </c>
      <c r="E7" s="7">
        <f>IFERROR(COUNTIFS('Picks'!$BX$2:$BX$233,"&gt;0",'Picks'!$V$2:$V$233,"win")/(COUNTIFS('Picks'!$BX$2:$BX$233,"&gt;0",'Picks'!$V$2:$V$233,"win")+COUNTIFS('Picks'!$BX$2:$BX$233,"&gt;0",'Picks'!$V$2:$V$233,"loss")),0)</f>
        <v/>
      </c>
      <c r="G7" s="7">
        <f>IFERROR(SUM('Picks'!$BY$2:$BY$233)/SUM('Picks'!$BX$2:$BX$233),0)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SUM('Picks'!$BY$2:$BY$233)</f>
        <v/>
      </c>
      <c r="C10" s="9">
        <f>IFERROR(AVERAGEIF('Picks'!$AB$2:$AB$233,"&lt;&gt;",'Picks'!$AB$2:$AB$233),0)</f>
        <v/>
      </c>
      <c r="E10" s="6">
        <f>COUNTIFS('Picks'!$AM$2:$AM$233,"QUALIFIED_SHADOW_CALL",'Picks'!$U$2:$U$233,"settled")</f>
        <v/>
      </c>
      <c r="G10" s="8">
        <f>SUMIFS('Picks'!$AC$2:$AC$233,'Picks'!$AM$2:$AM$233,"QUALIFIED_SHADOW_CALL")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COUNTIFS('Picks'!$H$2:$H$233,$A14,'Picks'!$U$2:$U$233,"settled")</f>
        <v/>
      </c>
      <c r="C14" s="13">
        <f>COUNTIFS('Picks'!$H$2:$H$233,$A14,'Picks'!$U$2:$U$233,"settled",'Picks'!$V$2:$V$233,"win")</f>
        <v/>
      </c>
      <c r="D14" s="13">
        <f>COUNTIFS('Picks'!$H$2:$H$233,$A14,'Picks'!$U$2:$U$233,"settled",'Picks'!$V$2:$V$233,"loss")</f>
        <v/>
      </c>
      <c r="E14" s="14">
        <f>IFERROR(C14/(C14+D14),0)</f>
        <v/>
      </c>
      <c r="F14" s="15">
        <f>SUMIFS('Picks'!$BY$2:$BY$233,'Picks'!$H$2:$H$233,$A14)</f>
        <v/>
      </c>
      <c r="G14" s="16">
        <f>IFERROR(AVERAGEIFS('Picks'!$AB$2:$AB$233,'Picks'!$H$2:$H$233,$A14,'Picks'!$U$2:$U$233,"settled"),0)</f>
        <v/>
      </c>
    </row>
    <row r="15">
      <c r="A15" s="17" t="inlineStr">
        <is>
          <t>spread</t>
        </is>
      </c>
      <c r="B15" s="18">
        <f>COUNTIFS('Picks'!$H$2:$H$233,$A15,'Picks'!$U$2:$U$233,"settled")</f>
        <v/>
      </c>
      <c r="C15" s="18">
        <f>COUNTIFS('Picks'!$H$2:$H$233,$A15,'Picks'!$U$2:$U$233,"settled",'Picks'!$V$2:$V$233,"win")</f>
        <v/>
      </c>
      <c r="D15" s="18">
        <f>COUNTIFS('Picks'!$H$2:$H$233,$A15,'Picks'!$U$2:$U$233,"settled",'Picks'!$V$2:$V$233,"loss")</f>
        <v/>
      </c>
      <c r="E15" s="19">
        <f>IFERROR(C15/(C15+D15),0)</f>
        <v/>
      </c>
      <c r="F15" s="20">
        <f>SUMIFS('Picks'!$BY$2:$BY$233,'Picks'!$H$2:$H$233,$A15)</f>
        <v/>
      </c>
      <c r="G15" s="21">
        <f>IFERROR(AVERAGEIFS('Picks'!$AB$2:$AB$233,'Picks'!$H$2:$H$233,$A15,'Picks'!$U$2:$U$233,"settled"),0)</f>
        <v/>
      </c>
    </row>
    <row r="16">
      <c r="A16" s="12" t="inlineStr">
        <is>
          <t>total</t>
        </is>
      </c>
      <c r="B16" s="13">
        <f>COUNTIFS('Picks'!$H$2:$H$233,$A16,'Picks'!$U$2:$U$233,"settled")</f>
        <v/>
      </c>
      <c r="C16" s="13">
        <f>COUNTIFS('Picks'!$H$2:$H$233,$A16,'Picks'!$U$2:$U$233,"settled",'Picks'!$V$2:$V$233,"win")</f>
        <v/>
      </c>
      <c r="D16" s="13">
        <f>COUNTIFS('Picks'!$H$2:$H$233,$A16,'Picks'!$U$2:$U$233,"settled",'Picks'!$V$2:$V$233,"loss")</f>
        <v/>
      </c>
      <c r="E16" s="14">
        <f>IFERROR(C16/(C16+D16),0)</f>
        <v/>
      </c>
      <c r="F16" s="15">
        <f>SUMIFS('Picks'!$BY$2:$BY$233,'Picks'!$H$2:$H$233,$A16)</f>
        <v/>
      </c>
      <c r="G16" s="16">
        <f>IFERROR(AVERAGEIFS('Picks'!$AB$2:$AB$233,'Picks'!$H$2:$H$233,$A16,'Picks'!$U$2:$U$233,"settled"),0)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1889d8b2c96f4bb3</t>
        </is>
      </c>
      <c r="B200" s="24" t="inlineStr">
        <is>
          <t>2026-08-05T13:54:48.712587Z</t>
        </is>
      </c>
      <c r="C200" s="24" t="inlineStr">
        <is>
          <t>2026-08-05T18:00Z</t>
        </is>
      </c>
      <c r="D200" s="24" t="inlineStr">
        <is>
          <t>421-2026:182190</t>
        </is>
      </c>
      <c r="E200" s="24" t="inlineStr">
        <is>
          <t>TENNIS</t>
        </is>
      </c>
      <c r="F200" s="24" t="inlineStr">
        <is>
          <t>Coco Gauff</t>
        </is>
      </c>
      <c r="G200" s="24" t="inlineStr">
        <is>
          <t>Kayla Day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-1011</v>
      </c>
      <c r="M200" s="27" t="n">
        <v>1.098912</v>
      </c>
      <c r="N200" s="28" t="n">
        <v>0.909991</v>
      </c>
      <c r="O200" s="28" t="n">
        <v>0.914779</v>
      </c>
      <c r="P200" s="28" t="n">
        <v>0.05</v>
      </c>
      <c r="Q200" s="28" t="n">
        <v>0.004788</v>
      </c>
      <c r="R200" s="26" t="n">
        <v>22</v>
      </c>
      <c r="S200" s="29" t="n">
        <v>2</v>
      </c>
      <c r="T200" s="24" t="inlineStr">
        <is>
          <t>tennis-surface-elo-v1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Surface-blended Elo on Hard: Coco Gauff p=0.915 vs Kayla Day. Executable ask 0.9100 (aec-wta-kayday-cocgau-2026-08-04).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Coco Gauff</t>
        </is>
      </c>
      <c r="AQ200" s="24" t="inlineStr">
        <is>
          <t>Coco Gauff</t>
        </is>
      </c>
      <c r="AR200" s="24" t="inlineStr">
        <is>
          <t>Coco Gauff</t>
        </is>
      </c>
      <c r="AS200" s="24" t="inlineStr">
        <is>
          <t>Kayla Day</t>
        </is>
      </c>
      <c r="AT200" s="24" t="inlineStr">
        <is>
          <t>Kayla Day</t>
        </is>
      </c>
      <c r="AU200" s="24" t="inlineStr">
        <is>
          <t>Kayla Day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2026-08-05T13:52:42.829996Z</t>
        </is>
      </c>
      <c r="BI200" s="24" t="inlineStr">
        <is>
          <t>["same_event","same_team_same_day","same_league_same_day"]</t>
        </is>
      </c>
      <c r="BJ200" s="25" t="n"/>
      <c r="BK200" s="26" t="n">
        <v>-1011</v>
      </c>
      <c r="BL200" s="27" t="n">
        <v>1.098912</v>
      </c>
      <c r="BM200" s="28" t="n">
        <v>0.909991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</row>
    <row r="201" ht="36" customHeight="1">
      <c r="A201" s="24" t="inlineStr">
        <is>
          <t>b89defaa8aa948a4</t>
        </is>
      </c>
      <c r="B201" s="24" t="inlineStr">
        <is>
          <t>2026-08-05T13:54:48.712587Z</t>
        </is>
      </c>
      <c r="C201" s="24" t="inlineStr">
        <is>
          <t>2026-08-05T18:00Z</t>
        </is>
      </c>
      <c r="D201" s="24" t="inlineStr">
        <is>
          <t>421-2026:182192</t>
        </is>
      </c>
      <c r="E201" s="24" t="inlineStr">
        <is>
          <t>TENNIS</t>
        </is>
      </c>
      <c r="F201" s="24" t="inlineStr">
        <is>
          <t>Karolina Pliskova</t>
        </is>
      </c>
      <c r="G201" s="24" t="inlineStr">
        <is>
          <t>Mirra Andreeva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-426</v>
      </c>
      <c r="M201" s="27" t="n">
        <v>1.234742</v>
      </c>
      <c r="N201" s="28" t="n">
        <v>0.809886</v>
      </c>
      <c r="O201" s="28" t="n">
        <v>0.753053</v>
      </c>
      <c r="P201" s="28" t="n">
        <v>0.05</v>
      </c>
      <c r="Q201" s="28" t="n">
        <v>-0.056833</v>
      </c>
      <c r="R201" s="26" t="n">
        <v>0</v>
      </c>
      <c r="S201" s="29" t="n">
        <v>2</v>
      </c>
      <c r="T201" s="24" t="inlineStr">
        <is>
          <t>tennis-surface-elo-v1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Surface-blended Elo on Hard: Karolina Pliskova p=0.247 vs Mirra Andreeva. Executable ask 0.8100 (aec-wta-mirand-karpli-2026-08-04).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NO_CALL_LOW_EDGE</t>
        </is>
      </c>
      <c r="AP201" s="24" t="inlineStr">
        <is>
          <t>Karolina Pliskova</t>
        </is>
      </c>
      <c r="AQ201" s="24" t="inlineStr">
        <is>
          <t>Karolina Pliskova</t>
        </is>
      </c>
      <c r="AR201" s="24" t="inlineStr">
        <is>
          <t>Karolina Pliskova</t>
        </is>
      </c>
      <c r="AS201" s="24" t="inlineStr">
        <is>
          <t>Mirra Andreeva</t>
        </is>
      </c>
      <c r="AT201" s="24" t="inlineStr">
        <is>
          <t>Mirra Andreeva</t>
        </is>
      </c>
      <c r="AU201" s="24" t="inlineStr">
        <is>
          <t>Mirra Andreeva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2026-08-05T13:52:43.933343Z</t>
        </is>
      </c>
      <c r="BI201" s="24" t="inlineStr">
        <is>
          <t>["same_event","same_team_same_day","same_league_same_day"]</t>
        </is>
      </c>
      <c r="BJ201" s="25" t="n"/>
      <c r="BK201" s="26" t="n">
        <v>-426</v>
      </c>
      <c r="BL201" s="27" t="n">
        <v>1.234742</v>
      </c>
      <c r="BM201" s="28" t="n">
        <v>0.809886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</row>
    <row r="202" ht="36" customHeight="1">
      <c r="A202" s="24" t="inlineStr">
        <is>
          <t>ac0e9183c9b24af2</t>
        </is>
      </c>
      <c r="B202" s="24" t="inlineStr">
        <is>
          <t>2026-08-05T13:54:48.712587Z</t>
        </is>
      </c>
      <c r="C202" s="24" t="inlineStr">
        <is>
          <t>2026-08-05T18:00Z</t>
        </is>
      </c>
      <c r="D202" s="24" t="inlineStr">
        <is>
          <t>421-2026:182204</t>
        </is>
      </c>
      <c r="E202" s="24" t="inlineStr">
        <is>
          <t>TENNIS</t>
        </is>
      </c>
      <c r="F202" s="24" t="inlineStr">
        <is>
          <t>Magda Linette</t>
        </is>
      </c>
      <c r="G202" s="24" t="inlineStr">
        <is>
          <t>Iva Jovic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-376</v>
      </c>
      <c r="M202" s="27" t="n">
        <v>1.265957</v>
      </c>
      <c r="N202" s="28" t="n">
        <v>0.789916</v>
      </c>
      <c r="O202" s="28" t="n">
        <v>0.661686</v>
      </c>
      <c r="P202" s="28" t="n">
        <v>0.05</v>
      </c>
      <c r="Q202" s="28" t="n">
        <v>-0.12823</v>
      </c>
      <c r="R202" s="26" t="n">
        <v>0</v>
      </c>
      <c r="S202" s="29" t="n">
        <v>1.75</v>
      </c>
      <c r="T202" s="24" t="inlineStr">
        <is>
          <t>tennis-surface-elo-v1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Surface-blended Elo on Hard: Magda Linette p=0.338 vs Iva Jovic. Executable ask 0.7900 (aec-wta-ivajov-maglin-2026-08-04).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Magda Linette</t>
        </is>
      </c>
      <c r="AQ202" s="24" t="inlineStr">
        <is>
          <t>Magda Linette</t>
        </is>
      </c>
      <c r="AR202" s="24" t="inlineStr">
        <is>
          <t>Magda Linette</t>
        </is>
      </c>
      <c r="AS202" s="24" t="inlineStr">
        <is>
          <t>Iva Jovic</t>
        </is>
      </c>
      <c r="AT202" s="24" t="inlineStr">
        <is>
          <t>Iva Jovic</t>
        </is>
      </c>
      <c r="AU202" s="24" t="inlineStr">
        <is>
          <t>Iva Jovic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2026-08-05T13:52:43.391817Z</t>
        </is>
      </c>
      <c r="BI202" s="24" t="inlineStr">
        <is>
          <t>["same_event","same_team_same_day","same_league_same_day"]</t>
        </is>
      </c>
      <c r="BJ202" s="25" t="n"/>
      <c r="BK202" s="26" t="n">
        <v>-376</v>
      </c>
      <c r="BL202" s="27" t="n">
        <v>1.265957</v>
      </c>
      <c r="BM202" s="28" t="n">
        <v>0.789916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7d0ef94417234e47</t>
        </is>
      </c>
      <c r="B203" s="24" t="inlineStr">
        <is>
          <t>2026-08-05T13:54:48.712587Z</t>
        </is>
      </c>
      <c r="C203" s="24" t="inlineStr">
        <is>
          <t>2026-08-05T18:00Z</t>
        </is>
      </c>
      <c r="D203" s="24" t="inlineStr">
        <is>
          <t>421-2026:182208</t>
        </is>
      </c>
      <c r="E203" s="24" t="inlineStr">
        <is>
          <t>TENNIS</t>
        </is>
      </c>
      <c r="F203" s="24" t="inlineStr">
        <is>
          <t>Emma Navarro</t>
        </is>
      </c>
      <c r="G203" s="24" t="inlineStr">
        <is>
          <t>Alina Korneeva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0.646211</v>
      </c>
      <c r="P203" s="28" t="n">
        <v>0.05</v>
      </c>
      <c r="Q203" s="28" t="n">
        <v>0.10704</v>
      </c>
      <c r="R203" s="26" t="n">
        <v>74</v>
      </c>
      <c r="S203" s="29" t="n">
        <v>1.75</v>
      </c>
      <c r="T203" s="24" t="inlineStr">
        <is>
          <t>tennis-surface-elo-v1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Surface-blended Elo on Hard: Emma Navarro p=0.646 vs Alina Korneeva. Executable ask 0.5400 (aec-wta-alikor-emmnav-2026-08-04).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Emma Navarro</t>
        </is>
      </c>
      <c r="AQ203" s="24" t="inlineStr">
        <is>
          <t>Emma Navarro</t>
        </is>
      </c>
      <c r="AR203" s="24" t="inlineStr">
        <is>
          <t>Emma Navarro</t>
        </is>
      </c>
      <c r="AS203" s="24" t="inlineStr">
        <is>
          <t>Alina Korneeva</t>
        </is>
      </c>
      <c r="AT203" s="24" t="inlineStr">
        <is>
          <t>Alina Korneeva</t>
        </is>
      </c>
      <c r="AU203" s="24" t="inlineStr">
        <is>
          <t>Alina Korneeva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2026-08-05T13:52:42.200980Z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8741461afea9491f</t>
        </is>
      </c>
      <c r="B204" s="24" t="inlineStr">
        <is>
          <t>2026-08-05T13:54:48.712587Z</t>
        </is>
      </c>
      <c r="C204" s="24" t="inlineStr">
        <is>
          <t>2026-08-05T19:30Z</t>
        </is>
      </c>
      <c r="D204" s="24" t="inlineStr">
        <is>
          <t>421-2026:182178</t>
        </is>
      </c>
      <c r="E204" s="24" t="inlineStr">
        <is>
          <t>TENNIS</t>
        </is>
      </c>
      <c r="F204" s="24" t="inlineStr">
        <is>
          <t>Anna Bondar</t>
        </is>
      </c>
      <c r="G204" s="24" t="inlineStr">
        <is>
          <t>Elise Mertens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-257</v>
      </c>
      <c r="M204" s="27" t="n">
        <v>1.389105</v>
      </c>
      <c r="N204" s="28" t="n">
        <v>0.719888</v>
      </c>
      <c r="O204" s="28" t="n">
        <v>0.61543</v>
      </c>
      <c r="P204" s="28" t="n">
        <v>0.05</v>
      </c>
      <c r="Q204" s="28" t="n">
        <v>-0.104458</v>
      </c>
      <c r="R204" s="26" t="n">
        <v>0</v>
      </c>
      <c r="S204" s="29" t="n">
        <v>1.5</v>
      </c>
      <c r="T204" s="24" t="inlineStr">
        <is>
          <t>tennis-surface-elo-v1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Surface-blended Elo on Hard: Anna Bondar p=0.385 vs Elise Mertens. Executable ask 0.7200 (aec-wta-elimer-annbon-2026-08-04).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Anna Bondar</t>
        </is>
      </c>
      <c r="AQ204" s="24" t="inlineStr">
        <is>
          <t>Anna Bondar</t>
        </is>
      </c>
      <c r="AR204" s="24" t="inlineStr">
        <is>
          <t>Anna Bondar</t>
        </is>
      </c>
      <c r="AS204" s="24" t="inlineStr">
        <is>
          <t>Elise Mertens</t>
        </is>
      </c>
      <c r="AT204" s="24" t="inlineStr">
        <is>
          <t>Elise Mertens</t>
        </is>
      </c>
      <c r="AU204" s="24" t="inlineStr">
        <is>
          <t>Elise Mertens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2026-08-05T13:52:44.961069Z</t>
        </is>
      </c>
      <c r="BI204" s="24" t="inlineStr">
        <is>
          <t>["same_event","same_team_same_day","same_league_same_day"]</t>
        </is>
      </c>
      <c r="BJ204" s="25" t="n"/>
      <c r="BK204" s="26" t="n">
        <v>-257</v>
      </c>
      <c r="BL204" s="27" t="n">
        <v>1.389105</v>
      </c>
      <c r="BM204" s="28" t="n">
        <v>0.719888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</row>
    <row r="205" ht="36" customHeight="1">
      <c r="A205" s="24" t="inlineStr">
        <is>
          <t>85a7a46189474d6e</t>
        </is>
      </c>
      <c r="B205" s="24" t="inlineStr">
        <is>
          <t>2026-08-05T13:54:48.712587Z</t>
        </is>
      </c>
      <c r="C205" s="24" t="inlineStr">
        <is>
          <t>2026-08-05T19:30Z</t>
        </is>
      </c>
      <c r="D205" s="24" t="inlineStr">
        <is>
          <t>421-2026:182191</t>
        </is>
      </c>
      <c r="E205" s="24" t="inlineStr">
        <is>
          <t>TENNIS</t>
        </is>
      </c>
      <c r="F205" s="24" t="inlineStr">
        <is>
          <t>Zeynep Sonmez</t>
        </is>
      </c>
      <c r="G205" s="24" t="inlineStr">
        <is>
          <t>Maria Sakkari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0.529381</v>
      </c>
      <c r="P205" s="28" t="n">
        <v>0.05</v>
      </c>
      <c r="Q205" s="28" t="n">
        <v>0.138756</v>
      </c>
      <c r="R205" s="26" t="n">
        <v>89</v>
      </c>
      <c r="S205" s="29" t="n">
        <v>1</v>
      </c>
      <c r="T205" s="24" t="inlineStr">
        <is>
          <t>tennis-surface-elo-v1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Surface-blended Elo on Hard: Zeynep Sonmez p=0.529 vs Maria Sakkari. Executable ask 0.3900 (aec-wta-marsak-zeyson-2026-08-06).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Zeynep Sonmez</t>
        </is>
      </c>
      <c r="AQ205" s="24" t="inlineStr">
        <is>
          <t>Zeynep Sonmez</t>
        </is>
      </c>
      <c r="AR205" s="24" t="inlineStr">
        <is>
          <t>Zeynep Sonmez</t>
        </is>
      </c>
      <c r="AS205" s="24" t="inlineStr">
        <is>
          <t>Maria Sakkari</t>
        </is>
      </c>
      <c r="AT205" s="24" t="inlineStr">
        <is>
          <t>Maria Sakkari</t>
        </is>
      </c>
      <c r="AU205" s="24" t="inlineStr">
        <is>
          <t>Maria Sakkari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2026-08-05T13:52:44.641647Z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e963b8e997dc4d04</t>
        </is>
      </c>
      <c r="B206" s="24" t="inlineStr">
        <is>
          <t>2026-08-05T13:54:48.712587Z</t>
        </is>
      </c>
      <c r="C206" s="24" t="inlineStr">
        <is>
          <t>2026-08-05T21:00Z</t>
        </is>
      </c>
      <c r="D206" s="24" t="inlineStr">
        <is>
          <t>421-2026:182176</t>
        </is>
      </c>
      <c r="E206" s="24" t="inlineStr">
        <is>
          <t>TENNIS</t>
        </is>
      </c>
      <c r="F206" s="24" t="inlineStr">
        <is>
          <t>Naomi Osaka</t>
        </is>
      </c>
      <c r="G206" s="24" t="inlineStr">
        <is>
          <t>Panna Udvardy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-1150</v>
      </c>
      <c r="M206" s="27" t="n">
        <v>1.086957</v>
      </c>
      <c r="N206" s="28" t="n">
        <v>0.92</v>
      </c>
      <c r="O206" s="28" t="n">
        <v>0.728504</v>
      </c>
      <c r="P206" s="28" t="n">
        <v>0.05</v>
      </c>
      <c r="Q206" s="28" t="n">
        <v>-0.191496</v>
      </c>
      <c r="R206" s="26" t="n">
        <v>0</v>
      </c>
      <c r="S206" s="29" t="n">
        <v>2</v>
      </c>
      <c r="T206" s="24" t="inlineStr">
        <is>
          <t>tennis-surface-elo-v1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Surface-blended Elo on Hard: Naomi Osaka p=0.729 vs Panna Udvardy. Executable ask 0.9200 (aec-wta-panudv-naoosa-2026-08-06).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Naomi Osaka</t>
        </is>
      </c>
      <c r="AQ206" s="24" t="inlineStr">
        <is>
          <t>Naomi Osaka</t>
        </is>
      </c>
      <c r="AR206" s="24" t="inlineStr">
        <is>
          <t>Naomi Osaka</t>
        </is>
      </c>
      <c r="AS206" s="24" t="inlineStr">
        <is>
          <t>Panna Udvardy</t>
        </is>
      </c>
      <c r="AT206" s="24" t="inlineStr">
        <is>
          <t>Panna Udvardy</t>
        </is>
      </c>
      <c r="AU206" s="24" t="inlineStr">
        <is>
          <t>Panna Udvardy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2026-08-05T13:52:47.274775Z</t>
        </is>
      </c>
      <c r="BI206" s="24" t="inlineStr">
        <is>
          <t>["same_event","same_team_same_day","same_league_same_day"]</t>
        </is>
      </c>
      <c r="BJ206" s="25" t="n"/>
      <c r="BK206" s="26" t="n">
        <v>-1150</v>
      </c>
      <c r="BL206" s="27" t="n">
        <v>1.086957</v>
      </c>
      <c r="BM206" s="28" t="n">
        <v>0.92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</row>
    <row r="207" ht="36" customHeight="1">
      <c r="A207" s="24" t="inlineStr">
        <is>
          <t>9e543d88f56e46b2</t>
        </is>
      </c>
      <c r="B207" s="24" t="inlineStr">
        <is>
          <t>2026-08-05T13:54:48.712587Z</t>
        </is>
      </c>
      <c r="C207" s="24" t="inlineStr">
        <is>
          <t>2026-08-05T21:00Z</t>
        </is>
      </c>
      <c r="D207" s="24" t="inlineStr">
        <is>
          <t>421-2026:182179</t>
        </is>
      </c>
      <c r="E207" s="24" t="inlineStr">
        <is>
          <t>TENNIS</t>
        </is>
      </c>
      <c r="F207" s="24" t="inlineStr">
        <is>
          <t>Maya Joint</t>
        </is>
      </c>
      <c r="G207" s="24" t="inlineStr">
        <is>
          <t>Sorana Cirstea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-270</v>
      </c>
      <c r="M207" s="27" t="n">
        <v>1.37037</v>
      </c>
      <c r="N207" s="28" t="n">
        <v>0.72973</v>
      </c>
      <c r="O207" s="28" t="n">
        <v>0.797746</v>
      </c>
      <c r="P207" s="28" t="n">
        <v>0.05</v>
      </c>
      <c r="Q207" s="28" t="n">
        <v>0.06801599999999999</v>
      </c>
      <c r="R207" s="26" t="n">
        <v>54</v>
      </c>
      <c r="S207" s="29" t="n">
        <v>2</v>
      </c>
      <c r="T207" s="24" t="inlineStr">
        <is>
          <t>tennis-surface-elo-v1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Surface-blended Elo on Hard: Maya Joint p=0.202 vs Sorana Cirstea. Executable ask 0.7300 (aec-wta-sorcir-mayjoi-2026-08-04).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Maya Joint</t>
        </is>
      </c>
      <c r="AQ207" s="24" t="inlineStr">
        <is>
          <t>Maya Joint</t>
        </is>
      </c>
      <c r="AR207" s="24" t="inlineStr">
        <is>
          <t>Maya Joint</t>
        </is>
      </c>
      <c r="AS207" s="24" t="inlineStr">
        <is>
          <t>Sorana Cirstea</t>
        </is>
      </c>
      <c r="AT207" s="24" t="inlineStr">
        <is>
          <t>Sorana Cirstea</t>
        </is>
      </c>
      <c r="AU207" s="24" t="inlineStr">
        <is>
          <t>Sorana Cirstea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2026-08-05T13:52:46.461127Z</t>
        </is>
      </c>
      <c r="BI207" s="24" t="inlineStr">
        <is>
          <t>["same_event","same_team_same_day","same_league_same_day"]</t>
        </is>
      </c>
      <c r="BJ207" s="25" t="n"/>
      <c r="BK207" s="26" t="n">
        <v>-270</v>
      </c>
      <c r="BL207" s="27" t="n">
        <v>1.37037</v>
      </c>
      <c r="BM207" s="28" t="n">
        <v>0.72973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d22b9f7c8c9b46ab</t>
        </is>
      </c>
      <c r="B208" s="24" t="inlineStr">
        <is>
          <t>2026-08-05T13:54:48.712587Z</t>
        </is>
      </c>
      <c r="C208" s="24" t="inlineStr">
        <is>
          <t>2026-08-05T21:00Z</t>
        </is>
      </c>
      <c r="D208" s="24" t="inlineStr">
        <is>
          <t>421-2026:182214</t>
        </is>
      </c>
      <c r="E208" s="24" t="inlineStr">
        <is>
          <t>TENNIS</t>
        </is>
      </c>
      <c r="F208" s="24" t="inlineStr">
        <is>
          <t>Barbora Krejcikova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-144</v>
      </c>
      <c r="M208" s="27" t="n">
        <v>1.694444</v>
      </c>
      <c r="N208" s="28" t="n">
        <v>0.590164</v>
      </c>
      <c r="O208" s="28" t="n">
        <v>0.733479</v>
      </c>
      <c r="P208" s="28" t="n">
        <v>0.05</v>
      </c>
      <c r="Q208" s="28" t="n">
        <v>0.143315</v>
      </c>
      <c r="R208" s="26" t="n">
        <v>92</v>
      </c>
      <c r="S208" s="29" t="n">
        <v>2</v>
      </c>
      <c r="T208" s="24" t="inlineStr">
        <is>
          <t>tennis-surface-elo-v1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Surface-blended Elo on Hard: Barbora Krejcikova p=0.733 vs Liudmila Samsonova. Executable ask 0.5900 (aec-wta-liusam-barkre-2026-08-06).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Barbora Krejcikova</t>
        </is>
      </c>
      <c r="AQ208" s="24" t="inlineStr">
        <is>
          <t>Barbora Krejcikova</t>
        </is>
      </c>
      <c r="AR208" s="24" t="inlineStr">
        <is>
          <t>Barbora Krejcikova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2026-08-05T13:52:45.892436Z</t>
        </is>
      </c>
      <c r="BI208" s="24" t="inlineStr">
        <is>
          <t>["same_event","same_team_same_day","same_league_same_day"]</t>
        </is>
      </c>
      <c r="BJ208" s="25" t="n"/>
      <c r="BK208" s="26" t="n">
        <v>-144</v>
      </c>
      <c r="BL208" s="27" t="n">
        <v>1.694444</v>
      </c>
      <c r="BM208" s="28" t="n">
        <v>0.590164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093aa60ca2694bb8</t>
        </is>
      </c>
      <c r="B209" s="24" t="inlineStr">
        <is>
          <t>2026-08-05T13:54:48.712587Z</t>
        </is>
      </c>
      <c r="C209" s="24" t="inlineStr">
        <is>
          <t>2026-08-05T23:00Z</t>
        </is>
      </c>
      <c r="D209" s="24" t="inlineStr">
        <is>
          <t>421-2026:182170</t>
        </is>
      </c>
      <c r="E209" s="24" t="inlineStr">
        <is>
          <t>TENNIS</t>
        </is>
      </c>
      <c r="F209" s="24" t="inlineStr">
        <is>
          <t>Leylah Fernandez</t>
        </is>
      </c>
      <c r="G209" s="24" t="inlineStr">
        <is>
          <t>Renata Zarazua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-245</v>
      </c>
      <c r="M209" s="27" t="n">
        <v>1.408163</v>
      </c>
      <c r="N209" s="28" t="n">
        <v>0.710145</v>
      </c>
      <c r="O209" s="28" t="n">
        <v>0.686095</v>
      </c>
      <c r="P209" s="28" t="n">
        <v>0.05</v>
      </c>
      <c r="Q209" s="28" t="n">
        <v>-0.02405</v>
      </c>
      <c r="R209" s="26" t="n">
        <v>8</v>
      </c>
      <c r="S209" s="29" t="n">
        <v>2</v>
      </c>
      <c r="T209" s="24" t="inlineStr">
        <is>
          <t>tennis-surface-elo-v1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Surface-blended Elo on Hard: Leylah Fernandez p=0.686 vs Renata Zarazua. Executable ask 0.7100 (aec-wta-renzar-leyfer-2026-08-05).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NO_CALL_LOW_EDGE</t>
        </is>
      </c>
      <c r="AP209" s="24" t="inlineStr">
        <is>
          <t>Leylah Fernandez</t>
        </is>
      </c>
      <c r="AQ209" s="24" t="inlineStr">
        <is>
          <t>Leylah Fernandez</t>
        </is>
      </c>
      <c r="AR209" s="24" t="inlineStr">
        <is>
          <t>Leylah Fernandez</t>
        </is>
      </c>
      <c r="AS209" s="24" t="inlineStr">
        <is>
          <t>Renata Zarazua</t>
        </is>
      </c>
      <c r="AT209" s="24" t="inlineStr">
        <is>
          <t>Renata Zarazua</t>
        </is>
      </c>
      <c r="AU209" s="24" t="inlineStr">
        <is>
          <t>Renata Zarazua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2026-08-05T13:52:48.602839Z</t>
        </is>
      </c>
      <c r="BI209" s="24" t="inlineStr">
        <is>
          <t>["same_event","same_team_same_day","same_league_same_day"]</t>
        </is>
      </c>
      <c r="BJ209" s="25" t="n"/>
      <c r="BK209" s="26" t="n">
        <v>-245</v>
      </c>
      <c r="BL209" s="27" t="n">
        <v>1.408163</v>
      </c>
      <c r="BM209" s="28" t="n">
        <v>0.710145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88158a0472534199</t>
        </is>
      </c>
      <c r="B210" s="24" t="inlineStr">
        <is>
          <t>2026-08-05T13:54:48.712587Z</t>
        </is>
      </c>
      <c r="C210" s="24" t="inlineStr">
        <is>
          <t>2026-08-06T00:30Z</t>
        </is>
      </c>
      <c r="D210" s="24" t="inlineStr">
        <is>
          <t>421-2026:182216</t>
        </is>
      </c>
      <c r="E210" s="24" t="inlineStr">
        <is>
          <t>TENNIS</t>
        </is>
      </c>
      <c r="F210" s="24" t="inlineStr">
        <is>
          <t>Alexandra Eala</t>
        </is>
      </c>
      <c r="G210" s="24" t="inlineStr">
        <is>
          <t>Alycia Parks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-456</v>
      </c>
      <c r="M210" s="27" t="n">
        <v>1.219298</v>
      </c>
      <c r="N210" s="28" t="n">
        <v>0.820144</v>
      </c>
      <c r="O210" s="28" t="n">
        <v>0.699863</v>
      </c>
      <c r="P210" s="28" t="n">
        <v>0.05</v>
      </c>
      <c r="Q210" s="28" t="n">
        <v>-0.120281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Surface-blended Elo on Hard: Alexandra Eala p=0.700 vs Alycia Parks. Executable ask 0.8200 (aec-wta-alypar-aleeal-2026-08-04).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NO_CALL_LOW_EDGE</t>
        </is>
      </c>
      <c r="AP210" s="24" t="inlineStr">
        <is>
          <t>Alexandra Eala</t>
        </is>
      </c>
      <c r="AQ210" s="24" t="inlineStr">
        <is>
          <t>Alexandra Eala</t>
        </is>
      </c>
      <c r="AR210" s="24" t="inlineStr">
        <is>
          <t>Alexandra Eala</t>
        </is>
      </c>
      <c r="AS210" s="24" t="inlineStr">
        <is>
          <t>Alycia Parks</t>
        </is>
      </c>
      <c r="AT210" s="24" t="inlineStr">
        <is>
          <t>Alycia Parks</t>
        </is>
      </c>
      <c r="AU210" s="24" t="inlineStr">
        <is>
          <t>Alycia Parks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2026-08-05T13:52:49.129181Z</t>
        </is>
      </c>
      <c r="BI210" s="24" t="inlineStr">
        <is>
          <t>["same_event","same_team_same_day","same_league_same_day"]</t>
        </is>
      </c>
      <c r="BJ210" s="25" t="n"/>
      <c r="BK210" s="26" t="n">
        <v>-456</v>
      </c>
      <c r="BL210" s="27" t="n">
        <v>1.219298</v>
      </c>
      <c r="BM210" s="28" t="n">
        <v>0.820144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2811cb0a91b94e15</t>
        </is>
      </c>
      <c r="B211" s="24" t="inlineStr">
        <is>
          <t>2026-08-05T13:54:48.712587Z</t>
        </is>
      </c>
      <c r="C211" s="24" t="inlineStr">
        <is>
          <t>2026-08-05T15:00Z</t>
        </is>
      </c>
      <c r="D211" s="24" t="inlineStr">
        <is>
          <t>421-2026:181726</t>
        </is>
      </c>
      <c r="E211" s="24" t="inlineStr">
        <is>
          <t>TENNIS</t>
        </is>
      </c>
      <c r="F211" s="24" t="inlineStr">
        <is>
          <t>Sebastian Baez</t>
        </is>
      </c>
      <c r="G211" s="24" t="inlineStr">
        <is>
          <t>Zizou Bergs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-144</v>
      </c>
      <c r="M211" s="27" t="n">
        <v>1.694444</v>
      </c>
      <c r="N211" s="28" t="n">
        <v>0.590164</v>
      </c>
      <c r="O211" s="28" t="n">
        <v>0.52297</v>
      </c>
      <c r="P211" s="28" t="n">
        <v>0.05</v>
      </c>
      <c r="Q211" s="28" t="n">
        <v>-0.067194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Surface-blended Elo on Hard: Sebastian Baez p=0.477 vs Zizou Bergs. Executable ask 0.5900 (aec-atp-zizber-sebbae-2026-08-06).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NO_CALL_LOW_EDGE</t>
        </is>
      </c>
      <c r="AP211" s="24" t="inlineStr">
        <is>
          <t>Sebastian Baez</t>
        </is>
      </c>
      <c r="AQ211" s="24" t="inlineStr">
        <is>
          <t>Sebastian Baez</t>
        </is>
      </c>
      <c r="AR211" s="24" t="inlineStr">
        <is>
          <t>Sebastian Baez</t>
        </is>
      </c>
      <c r="AS211" s="24" t="inlineStr">
        <is>
          <t>Zizou Bergs</t>
        </is>
      </c>
      <c r="AT211" s="24" t="inlineStr">
        <is>
          <t>Zizou Bergs</t>
        </is>
      </c>
      <c r="AU211" s="24" t="inlineStr">
        <is>
          <t>Zizou Bergs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2026-08-05T13:52:51.067876Z</t>
        </is>
      </c>
      <c r="BI211" s="24" t="inlineStr">
        <is>
          <t>["same_event","same_team_same_day","same_league_same_day"]</t>
        </is>
      </c>
      <c r="BJ211" s="25" t="n"/>
      <c r="BK211" s="26" t="n">
        <v>-144</v>
      </c>
      <c r="BL211" s="27" t="n">
        <v>1.694444</v>
      </c>
      <c r="BM211" s="28" t="n">
        <v>0.590164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06ce4b5381084b0a</t>
        </is>
      </c>
      <c r="B212" s="24" t="inlineStr">
        <is>
          <t>2026-08-05T13:54:48.712587Z</t>
        </is>
      </c>
      <c r="C212" s="24" t="inlineStr">
        <is>
          <t>2026-08-05T15:00Z</t>
        </is>
      </c>
      <c r="D212" s="24" t="inlineStr">
        <is>
          <t>421-2026:181727</t>
        </is>
      </c>
      <c r="E212" s="24" t="inlineStr">
        <is>
          <t>TENNIS</t>
        </is>
      </c>
      <c r="F212" s="24" t="inlineStr">
        <is>
          <t>Joao Fonseca</t>
        </is>
      </c>
      <c r="G212" s="24" t="inlineStr">
        <is>
          <t>Stefanos Tsitsipas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-150</v>
      </c>
      <c r="M212" s="27" t="n">
        <v>1.666667</v>
      </c>
      <c r="N212" s="28" t="n">
        <v>0.6</v>
      </c>
      <c r="O212" s="28" t="n">
        <v>0.629315</v>
      </c>
      <c r="P212" s="28" t="n">
        <v>0.05</v>
      </c>
      <c r="Q212" s="28" t="n">
        <v>0.029315</v>
      </c>
      <c r="R212" s="26" t="n">
        <v>35</v>
      </c>
      <c r="S212" s="29" t="n">
        <v>1.5</v>
      </c>
      <c r="T212" s="24" t="inlineStr">
        <is>
          <t>tennis-surface-elo-v1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Surface-blended Elo on Hard: Joao Fonseca p=0.629 vs Stefanos Tsitsipas. Executable ask 0.6000 (aec-atp-stetsi-joafon-2026-08-05).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NO_CALL_LOW_EDGE</t>
        </is>
      </c>
      <c r="AP212" s="24" t="inlineStr">
        <is>
          <t>Joao Fonseca</t>
        </is>
      </c>
      <c r="AQ212" s="24" t="inlineStr">
        <is>
          <t>Joao Fonseca</t>
        </is>
      </c>
      <c r="AR212" s="24" t="inlineStr">
        <is>
          <t>Joao Fonseca</t>
        </is>
      </c>
      <c r="AS212" s="24" t="inlineStr">
        <is>
          <t>Stefanos Tsitsipas</t>
        </is>
      </c>
      <c r="AT212" s="24" t="inlineStr">
        <is>
          <t>Stefanos Tsitsipas</t>
        </is>
      </c>
      <c r="AU212" s="24" t="inlineStr">
        <is>
          <t>Stefanos Tsitsipas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2026-08-05T13:52:53.241498Z</t>
        </is>
      </c>
      <c r="BI212" s="24" t="inlineStr">
        <is>
          <t>["same_event","same_team_same_day","same_league_same_day"]</t>
        </is>
      </c>
      <c r="BJ212" s="25" t="n"/>
      <c r="BK212" s="26" t="n">
        <v>-150</v>
      </c>
      <c r="BL212" s="27" t="n">
        <v>1.666667</v>
      </c>
      <c r="BM212" s="28" t="n">
        <v>0.6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a4438889fb85473c</t>
        </is>
      </c>
      <c r="B213" s="24" t="inlineStr">
        <is>
          <t>2026-08-05T13:54:48.712587Z</t>
        </is>
      </c>
      <c r="C213" s="24" t="inlineStr">
        <is>
          <t>2026-08-05T15:00Z</t>
        </is>
      </c>
      <c r="D213" s="24" t="inlineStr">
        <is>
          <t>421-2026:181747</t>
        </is>
      </c>
      <c r="E213" s="24" t="inlineStr">
        <is>
          <t>TENNIS</t>
        </is>
      </c>
      <c r="F213" s="24" t="inlineStr">
        <is>
          <t>Lorenzo Musetti</t>
        </is>
      </c>
      <c r="G213" s="24" t="inlineStr">
        <is>
          <t>Nicolas Mejia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-669</v>
      </c>
      <c r="M213" s="27" t="n">
        <v>1.149477</v>
      </c>
      <c r="N213" s="28" t="n">
        <v>0.869961</v>
      </c>
      <c r="O213" s="28" t="n">
        <v>0.855919</v>
      </c>
      <c r="P213" s="28" t="n">
        <v>0.05</v>
      </c>
      <c r="Q213" s="28" t="n">
        <v>-0.014042</v>
      </c>
      <c r="R213" s="26" t="n">
        <v>13</v>
      </c>
      <c r="S213" s="29" t="n">
        <v>2</v>
      </c>
      <c r="T213" s="24" t="inlineStr">
        <is>
          <t>tennis-surface-elo-v1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Surface-blended Elo on Hard: Lorenzo Musetti p=0.856 vs Nicolas Mejia. Executable ask 0.8700 (aec-atp-nicmej-lormus-2026-08-04).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NO_CALL_LOW_EDGE</t>
        </is>
      </c>
      <c r="AP213" s="24" t="inlineStr">
        <is>
          <t>Lorenzo Musetti</t>
        </is>
      </c>
      <c r="AQ213" s="24" t="inlineStr">
        <is>
          <t>Lorenzo Musetti</t>
        </is>
      </c>
      <c r="AR213" s="24" t="inlineStr">
        <is>
          <t>Lorenzo Musetti</t>
        </is>
      </c>
      <c r="AS213" s="24" t="inlineStr">
        <is>
          <t>Nicolas Mejia</t>
        </is>
      </c>
      <c r="AT213" s="24" t="inlineStr">
        <is>
          <t>Nicolas Mejia</t>
        </is>
      </c>
      <c r="AU213" s="24" t="inlineStr">
        <is>
          <t>Nicolas Mejia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2026-08-05T13:52:49.651695Z</t>
        </is>
      </c>
      <c r="BI213" s="24" t="inlineStr">
        <is>
          <t>["same_event","same_team_same_day","same_league_same_day"]</t>
        </is>
      </c>
      <c r="BJ213" s="25" t="n"/>
      <c r="BK213" s="26" t="n">
        <v>-669</v>
      </c>
      <c r="BL213" s="27" t="n">
        <v>1.149477</v>
      </c>
      <c r="BM213" s="28" t="n">
        <v>0.869961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6f49f42d5b724416</t>
        </is>
      </c>
      <c r="B214" s="24" t="inlineStr">
        <is>
          <t>2026-08-05T13:54:48.712587Z</t>
        </is>
      </c>
      <c r="C214" s="24" t="inlineStr">
        <is>
          <t>2026-08-05T15:00Z</t>
        </is>
      </c>
      <c r="D214" s="24" t="inlineStr">
        <is>
          <t>421-2026:181760</t>
        </is>
      </c>
      <c r="E214" s="24" t="inlineStr">
        <is>
          <t>TENNIS</t>
        </is>
      </c>
      <c r="F214" s="24" t="inlineStr">
        <is>
          <t>Mariano Navone</t>
        </is>
      </c>
      <c r="G214" s="24" t="inlineStr">
        <is>
          <t>Valentin Vacherot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0.642108</v>
      </c>
      <c r="P214" s="28" t="n">
        <v>0.05</v>
      </c>
      <c r="Q214" s="28" t="n">
        <v>0.032733</v>
      </c>
      <c r="R214" s="26" t="n">
        <v>36</v>
      </c>
      <c r="S214" s="29" t="n">
        <v>1.5</v>
      </c>
      <c r="T214" s="24" t="inlineStr">
        <is>
          <t>tennis-surface-elo-v1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Surface-blended Elo on Hard: Mariano Navone p=0.358 vs Valentin Vacherot. Executable ask 0.6100 (aec-atp-valvac-marnav-2026-08-04).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NO_CALL_LOW_EDGE</t>
        </is>
      </c>
      <c r="AP214" s="24" t="inlineStr">
        <is>
          <t>Mariano Navone</t>
        </is>
      </c>
      <c r="AQ214" s="24" t="inlineStr">
        <is>
          <t>Mariano Navone</t>
        </is>
      </c>
      <c r="AR214" s="24" t="inlineStr">
        <is>
          <t>Mariano Navone</t>
        </is>
      </c>
      <c r="AS214" s="24" t="inlineStr">
        <is>
          <t>Valentin Vacherot</t>
        </is>
      </c>
      <c r="AT214" s="24" t="inlineStr">
        <is>
          <t>Valentin Vacherot</t>
        </is>
      </c>
      <c r="AU214" s="24" t="inlineStr">
        <is>
          <t>Valentin Vacherot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2026-08-05T13:52:50.187567Z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6fbba5bf31bc4f32</t>
        </is>
      </c>
      <c r="B215" s="24" t="inlineStr">
        <is>
          <t>2026-08-05T13:54:48.712587Z</t>
        </is>
      </c>
      <c r="C215" s="24" t="inlineStr">
        <is>
          <t>2026-08-05T16:30Z</t>
        </is>
      </c>
      <c r="D215" s="24" t="inlineStr">
        <is>
          <t>421-2026:181724</t>
        </is>
      </c>
      <c r="E215" s="24" t="inlineStr">
        <is>
          <t>TENNIS</t>
        </is>
      </c>
      <c r="F215" s="24" t="inlineStr">
        <is>
          <t>Juan Manuel Cerundolo</t>
        </is>
      </c>
      <c r="G215" s="24" t="inlineStr">
        <is>
          <t>Casper Ruud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-245</v>
      </c>
      <c r="M215" s="27" t="n">
        <v>1.408163</v>
      </c>
      <c r="N215" s="28" t="n">
        <v>0.710145</v>
      </c>
      <c r="O215" s="28" t="n">
        <v>0.735828</v>
      </c>
      <c r="P215" s="28" t="n">
        <v>0.05</v>
      </c>
      <c r="Q215" s="28" t="n">
        <v>0.025683</v>
      </c>
      <c r="R215" s="26" t="n">
        <v>33</v>
      </c>
      <c r="S215" s="29" t="n">
        <v>2</v>
      </c>
      <c r="T215" s="24" t="inlineStr">
        <is>
          <t>tennis-surface-elo-v1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Surface-blended Elo on Hard: Juan Manuel Cerundolo p=0.264 vs Casper Ruud. Executable ask 0.7100 (aec-atp-casruu-juacer-2026-08-06).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NO_CALL_LOW_EDGE</t>
        </is>
      </c>
      <c r="AP215" s="24" t="inlineStr">
        <is>
          <t>Juan Manuel Cerundolo</t>
        </is>
      </c>
      <c r="AQ215" s="24" t="inlineStr">
        <is>
          <t>Juan Manuel Cerundolo</t>
        </is>
      </c>
      <c r="AR215" s="24" t="inlineStr">
        <is>
          <t>Juan Manuel Cerundolo</t>
        </is>
      </c>
      <c r="AS215" s="24" t="inlineStr">
        <is>
          <t>Casper Ruud</t>
        </is>
      </c>
      <c r="AT215" s="24" t="inlineStr">
        <is>
          <t>Casper Ruud</t>
        </is>
      </c>
      <c r="AU215" s="24" t="inlineStr">
        <is>
          <t>Casper Ruud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2026-08-05T13:52:53.800312Z</t>
        </is>
      </c>
      <c r="BI215" s="24" t="inlineStr">
        <is>
          <t>["same_event","same_team_same_day","same_league_same_day"]</t>
        </is>
      </c>
      <c r="BJ215" s="25" t="n"/>
      <c r="BK215" s="26" t="n">
        <v>-245</v>
      </c>
      <c r="BL215" s="27" t="n">
        <v>1.408163</v>
      </c>
      <c r="BM215" s="28" t="n">
        <v>0.710145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df1b39de672f43dc</t>
        </is>
      </c>
      <c r="B216" s="24" t="inlineStr">
        <is>
          <t>2026-08-05T13:54:48.712587Z</t>
        </is>
      </c>
      <c r="C216" s="24" t="inlineStr">
        <is>
          <t>2026-08-05T16:30Z</t>
        </is>
      </c>
      <c r="D216" s="24" t="inlineStr">
        <is>
          <t>421-2026:181732</t>
        </is>
      </c>
      <c r="E216" s="24" t="inlineStr">
        <is>
          <t>TENNIS</t>
        </is>
      </c>
      <c r="F216" s="24" t="inlineStr">
        <is>
          <t>Cameron Norrie</t>
        </is>
      </c>
      <c r="G216" s="24" t="inlineStr">
        <is>
          <t>Ignacio Buse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-223</v>
      </c>
      <c r="M216" s="27" t="n">
        <v>1.44843</v>
      </c>
      <c r="N216" s="28" t="n">
        <v>0.690402</v>
      </c>
      <c r="O216" s="28" t="n">
        <v>0.555985</v>
      </c>
      <c r="P216" s="28" t="n">
        <v>0.05</v>
      </c>
      <c r="Q216" s="28" t="n">
        <v>-0.134417</v>
      </c>
      <c r="R216" s="26" t="n">
        <v>0</v>
      </c>
      <c r="S216" s="29" t="n">
        <v>1</v>
      </c>
      <c r="T216" s="24" t="inlineStr">
        <is>
          <t>tennis-surface-elo-v1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Surface-blended Elo on Hard: Cameron Norrie p=0.556 vs Ignacio Buse. Executable ask 0.6900 (aec-atp-ignbus-camnor-2026-08-05).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NO_CALL_LOW_EDGE</t>
        </is>
      </c>
      <c r="AP216" s="24" t="inlineStr">
        <is>
          <t>Cameron Norrie</t>
        </is>
      </c>
      <c r="AQ216" s="24" t="inlineStr">
        <is>
          <t>Cameron Norrie</t>
        </is>
      </c>
      <c r="AR216" s="24" t="inlineStr">
        <is>
          <t>Cameron Norrie</t>
        </is>
      </c>
      <c r="AS216" s="24" t="inlineStr">
        <is>
          <t>Ignacio Buse</t>
        </is>
      </c>
      <c r="AT216" s="24" t="inlineStr">
        <is>
          <t>Ignacio Buse</t>
        </is>
      </c>
      <c r="AU216" s="24" t="inlineStr">
        <is>
          <t>Ignacio Buse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2026-08-05T13:52:55.689355Z</t>
        </is>
      </c>
      <c r="BI216" s="24" t="inlineStr">
        <is>
          <t>["same_event","same_team_same_day","same_league_same_day"]</t>
        </is>
      </c>
      <c r="BJ216" s="25" t="n"/>
      <c r="BK216" s="26" t="n">
        <v>-223</v>
      </c>
      <c r="BL216" s="27" t="n">
        <v>1.44843</v>
      </c>
      <c r="BM216" s="28" t="n">
        <v>0.690402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</row>
    <row r="217" ht="36" customHeight="1">
      <c r="A217" s="24" t="inlineStr">
        <is>
          <t>8f935c82cbf44be9</t>
        </is>
      </c>
      <c r="B217" s="24" t="inlineStr">
        <is>
          <t>2026-08-05T13:54:48.712587Z</t>
        </is>
      </c>
      <c r="C217" s="24" t="inlineStr">
        <is>
          <t>2026-08-05T16:30Z</t>
        </is>
      </c>
      <c r="D217" s="24" t="inlineStr">
        <is>
          <t>421-2026:181752</t>
        </is>
      </c>
      <c r="E217" s="24" t="inlineStr">
        <is>
          <t>TENNIS</t>
        </is>
      </c>
      <c r="F217" s="24" t="inlineStr">
        <is>
          <t>Arthur Rinderknech</t>
        </is>
      </c>
      <c r="G217" s="24" t="inlineStr">
        <is>
          <t>Miomir Kecmanovic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104</v>
      </c>
      <c r="M217" s="27" t="n">
        <v>2.04</v>
      </c>
      <c r="N217" s="28" t="n">
        <v>0.490196</v>
      </c>
      <c r="O217" s="28" t="n">
        <v>0.5960220000000001</v>
      </c>
      <c r="P217" s="28" t="n">
        <v>0.05</v>
      </c>
      <c r="Q217" s="28" t="n">
        <v>0.105826</v>
      </c>
      <c r="R217" s="26" t="n">
        <v>73</v>
      </c>
      <c r="S217" s="29" t="n">
        <v>1.25</v>
      </c>
      <c r="T217" s="24" t="inlineStr">
        <is>
          <t>tennis-surface-elo-v1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Surface-blended Elo on Hard: Arthur Rinderknech p=0.596 vs Miomir Kecmanovic. Executable ask 0.4900 (aec-atp-miokec-artrin-2026-08-05).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Arthur Rinderknech</t>
        </is>
      </c>
      <c r="AQ217" s="24" t="inlineStr">
        <is>
          <t>Arthur Rinderknech</t>
        </is>
      </c>
      <c r="AR217" s="24" t="inlineStr">
        <is>
          <t>Arthur Rinderknech</t>
        </is>
      </c>
      <c r="AS217" s="24" t="inlineStr">
        <is>
          <t>Miomir Kecmanovic</t>
        </is>
      </c>
      <c r="AT217" s="24" t="inlineStr">
        <is>
          <t>Miomir Kecmanovic</t>
        </is>
      </c>
      <c r="AU217" s="24" t="inlineStr">
        <is>
          <t>Miomir Kecmanovic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2026-08-05T13:52:54.747914Z</t>
        </is>
      </c>
      <c r="BI217" s="24" t="inlineStr">
        <is>
          <t>["same_event","same_team_same_day","same_league_same_day"]</t>
        </is>
      </c>
      <c r="BJ217" s="25" t="n"/>
      <c r="BK217" s="26" t="n">
        <v>104</v>
      </c>
      <c r="BL217" s="27" t="n">
        <v>2.04</v>
      </c>
      <c r="BM217" s="28" t="n">
        <v>0.490196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65d319e932d34bc7</t>
        </is>
      </c>
      <c r="B218" s="24" t="inlineStr">
        <is>
          <t>2026-08-05T13:54:48.712587Z</t>
        </is>
      </c>
      <c r="C218" s="24" t="inlineStr">
        <is>
          <t>2026-08-05T16:30Z</t>
        </is>
      </c>
      <c r="D218" s="24" t="inlineStr">
        <is>
          <t>421-2026:181762</t>
        </is>
      </c>
      <c r="E218" s="24" t="inlineStr">
        <is>
          <t>TENNIS</t>
        </is>
      </c>
      <c r="F218" s="24" t="inlineStr">
        <is>
          <t>Arthur Fils</t>
        </is>
      </c>
      <c r="G218" s="24" t="inlineStr">
        <is>
          <t>Zachary Svajda</t>
        </is>
      </c>
      <c r="H218" s="24" t="inlineStr">
        <is>
          <t>moneyline</t>
        </is>
      </c>
      <c r="I218" s="24" t="inlineStr">
        <is>
          <t>away</t>
        </is>
      </c>
      <c r="J218" s="25" t="n"/>
      <c r="K218" s="24" t="inlineStr">
        <is>
          <t>polymarket_us</t>
        </is>
      </c>
      <c r="L218" s="26" t="n">
        <v>-300</v>
      </c>
      <c r="M218" s="27" t="n">
        <v>1.333333</v>
      </c>
      <c r="N218" s="28" t="n">
        <v>0.75</v>
      </c>
      <c r="O218" s="28" t="n">
        <v>0.781423</v>
      </c>
      <c r="P218" s="28" t="n">
        <v>0.05</v>
      </c>
      <c r="Q218" s="28" t="n">
        <v>0.031423</v>
      </c>
      <c r="R218" s="26" t="n">
        <v>36</v>
      </c>
      <c r="S218" s="29" t="n">
        <v>2</v>
      </c>
      <c r="T218" s="24" t="inlineStr">
        <is>
          <t>tennis-surface-elo-v1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Surface-blended Elo on Hard: Arthur Fils p=0.781 vs Zachary Svajda. Executable ask 0.7500 (aec-atp-zacsva-artfil-2026-08-06).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NO_CALL_LOW_EDGE</t>
        </is>
      </c>
      <c r="AP218" s="24" t="inlineStr">
        <is>
          <t>Arthur Fils</t>
        </is>
      </c>
      <c r="AQ218" s="24" t="inlineStr">
        <is>
          <t>Arthur Fils</t>
        </is>
      </c>
      <c r="AR218" s="24" t="inlineStr">
        <is>
          <t>Arthur Fils</t>
        </is>
      </c>
      <c r="AS218" s="24" t="inlineStr">
        <is>
          <t>Zachary Svajda</t>
        </is>
      </c>
      <c r="AT218" s="24" t="inlineStr">
        <is>
          <t>Zachary Svajda</t>
        </is>
      </c>
      <c r="AU218" s="24" t="inlineStr">
        <is>
          <t>Zachary Svajda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2026-08-05T13:52:56.392048Z</t>
        </is>
      </c>
      <c r="BI218" s="24" t="inlineStr">
        <is>
          <t>["same_event","same_team_same_day","same_league_same_day"]</t>
        </is>
      </c>
      <c r="BJ218" s="25" t="n"/>
      <c r="BK218" s="26" t="n">
        <v>-300</v>
      </c>
      <c r="BL218" s="27" t="n">
        <v>1.333333</v>
      </c>
      <c r="BM218" s="28" t="n">
        <v>0.75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</row>
    <row r="219" ht="36" customHeight="1">
      <c r="A219" s="24" t="inlineStr">
        <is>
          <t>d1a68a02d83f47ba</t>
        </is>
      </c>
      <c r="B219" s="24" t="inlineStr">
        <is>
          <t>2026-08-05T13:54:48.712587Z</t>
        </is>
      </c>
      <c r="C219" s="24" t="inlineStr">
        <is>
          <t>2026-08-05T16:30Z</t>
        </is>
      </c>
      <c r="D219" s="24" t="inlineStr">
        <is>
          <t>421-2026:181765</t>
        </is>
      </c>
      <c r="E219" s="24" t="inlineStr">
        <is>
          <t>TENNIS</t>
        </is>
      </c>
      <c r="F219" s="24" t="inlineStr">
        <is>
          <t>Ben Shelton</t>
        </is>
      </c>
      <c r="G219" s="24" t="inlineStr">
        <is>
          <t>Jenson Brooksby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-300</v>
      </c>
      <c r="M219" s="27" t="n">
        <v>1.333333</v>
      </c>
      <c r="N219" s="28" t="n">
        <v>0.75</v>
      </c>
      <c r="O219" s="28" t="n">
        <v>0.814392</v>
      </c>
      <c r="P219" s="28" t="n">
        <v>0.05</v>
      </c>
      <c r="Q219" s="28" t="n">
        <v>0.064392</v>
      </c>
      <c r="R219" s="26" t="n">
        <v>52</v>
      </c>
      <c r="S219" s="29" t="n">
        <v>2</v>
      </c>
      <c r="T219" s="24" t="inlineStr">
        <is>
          <t>tennis-surface-elo-v1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Surface-blended Elo on Hard: Ben Shelton p=0.814 vs Jenson Brooksby. Executable ask 0.7500 (aec-atp-jenbro-benshe-2026-08-06).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Ben Shelton</t>
        </is>
      </c>
      <c r="AQ219" s="24" t="inlineStr">
        <is>
          <t>Ben Shelton</t>
        </is>
      </c>
      <c r="AR219" s="24" t="inlineStr">
        <is>
          <t>Ben Shelton</t>
        </is>
      </c>
      <c r="AS219" s="24" t="inlineStr">
        <is>
          <t>Jenson Brooksby</t>
        </is>
      </c>
      <c r="AT219" s="24" t="inlineStr">
        <is>
          <t>Jenson Brooksby</t>
        </is>
      </c>
      <c r="AU219" s="24" t="inlineStr">
        <is>
          <t>Jenson Brooksby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2026-08-05T13:52:57.128543Z</t>
        </is>
      </c>
      <c r="BI219" s="24" t="inlineStr">
        <is>
          <t>["same_event","same_team_same_day","same_league_same_day"]</t>
        </is>
      </c>
      <c r="BJ219" s="25" t="n"/>
      <c r="BK219" s="26" t="n">
        <v>-300</v>
      </c>
      <c r="BL219" s="27" t="n">
        <v>1.333333</v>
      </c>
      <c r="BM219" s="28" t="n">
        <v>0.75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7c401d6233bc4cc2</t>
        </is>
      </c>
      <c r="B220" s="24" t="inlineStr">
        <is>
          <t>2026-08-05T13:54:48.712587Z</t>
        </is>
      </c>
      <c r="C220" s="24" t="inlineStr">
        <is>
          <t>2026-08-05T18:00Z</t>
        </is>
      </c>
      <c r="D220" s="24" t="inlineStr">
        <is>
          <t>421-2026:181729</t>
        </is>
      </c>
      <c r="E220" s="24" t="inlineStr">
        <is>
          <t>TENNIS</t>
        </is>
      </c>
      <c r="F220" s="24" t="inlineStr">
        <is>
          <t>Alexei Popyrin</t>
        </is>
      </c>
      <c r="G220" s="24" t="inlineStr">
        <is>
          <t>Raphael Collignon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-163</v>
      </c>
      <c r="M220" s="27" t="n">
        <v>1.613497</v>
      </c>
      <c r="N220" s="28" t="n">
        <v>0.619772</v>
      </c>
      <c r="O220" s="28" t="n">
        <v>0.57423</v>
      </c>
      <c r="P220" s="28" t="n">
        <v>0.05</v>
      </c>
      <c r="Q220" s="28" t="n">
        <v>-0.045542</v>
      </c>
      <c r="R220" s="26" t="n">
        <v>0</v>
      </c>
      <c r="S220" s="29" t="n">
        <v>1.25</v>
      </c>
      <c r="T220" s="24" t="inlineStr">
        <is>
          <t>tennis-surface-elo-v1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Surface-blended Elo on Hard: Alexei Popyrin p=0.426 vs Raphael Collignon. Executable ask 0.6200 (aec-atp-rapcol-alepop-2026-08-05).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NO_CALL_LOW_EDGE</t>
        </is>
      </c>
      <c r="AP220" s="24" t="inlineStr">
        <is>
          <t>Alexei Popyrin</t>
        </is>
      </c>
      <c r="AQ220" s="24" t="inlineStr">
        <is>
          <t>Alexei Popyrin</t>
        </is>
      </c>
      <c r="AR220" s="24" t="inlineStr">
        <is>
          <t>Alexei Popyrin</t>
        </is>
      </c>
      <c r="AS220" s="24" t="inlineStr">
        <is>
          <t>Raphael Collignon</t>
        </is>
      </c>
      <c r="AT220" s="24" t="inlineStr">
        <is>
          <t>Raphael Collignon</t>
        </is>
      </c>
      <c r="AU220" s="24" t="inlineStr">
        <is>
          <t>Raphael Collignon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2026-08-05T13:52:59.259154Z</t>
        </is>
      </c>
      <c r="BI220" s="24" t="inlineStr">
        <is>
          <t>["same_event","same_team_same_day","same_league_same_day"]</t>
        </is>
      </c>
      <c r="BJ220" s="25" t="n"/>
      <c r="BK220" s="26" t="n">
        <v>-163</v>
      </c>
      <c r="BL220" s="27" t="n">
        <v>1.613497</v>
      </c>
      <c r="BM220" s="28" t="n">
        <v>0.619772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d1c2c19861b34a70</t>
        </is>
      </c>
      <c r="B221" s="24" t="inlineStr">
        <is>
          <t>2026-08-05T13:54:48.712587Z</t>
        </is>
      </c>
      <c r="C221" s="24" t="inlineStr">
        <is>
          <t>2026-08-05T18:00Z</t>
        </is>
      </c>
      <c r="D221" s="24" t="inlineStr">
        <is>
          <t>421-2026:181735</t>
        </is>
      </c>
      <c r="E221" s="24" t="inlineStr">
        <is>
          <t>TENNIS</t>
        </is>
      </c>
      <c r="F221" s="24" t="inlineStr">
        <is>
          <t>Taylor Fritz</t>
        </is>
      </c>
      <c r="G221" s="24" t="inlineStr">
        <is>
          <t>Thiago Agustin Tirante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-525</v>
      </c>
      <c r="M221" s="27" t="n">
        <v>1.190476</v>
      </c>
      <c r="N221" s="28" t="n">
        <v>0.84</v>
      </c>
      <c r="O221" s="28" t="n">
        <v>0.744005</v>
      </c>
      <c r="P221" s="28" t="n">
        <v>0.05</v>
      </c>
      <c r="Q221" s="28" t="n">
        <v>-0.095995</v>
      </c>
      <c r="R221" s="26" t="n">
        <v>0</v>
      </c>
      <c r="S221" s="29" t="n">
        <v>2</v>
      </c>
      <c r="T221" s="24" t="inlineStr">
        <is>
          <t>tennis-surface-elo-v1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Surface-blended Elo on Hard: Taylor Fritz p=0.744 vs Thiago Agustin Tirante. Executable ask 0.8400 (aec-atp-thitir-tayfri-2026-08-05).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NO_CALL_LOW_EDGE</t>
        </is>
      </c>
      <c r="AP221" s="24" t="inlineStr">
        <is>
          <t>Taylor Fritz</t>
        </is>
      </c>
      <c r="AQ221" s="24" t="inlineStr">
        <is>
          <t>Taylor Fritz</t>
        </is>
      </c>
      <c r="AR221" s="24" t="inlineStr">
        <is>
          <t>Taylor Fritz</t>
        </is>
      </c>
      <c r="AS221" s="24" t="inlineStr">
        <is>
          <t>Thiago Agustin Tirante</t>
        </is>
      </c>
      <c r="AT221" s="24" t="inlineStr">
        <is>
          <t>Thiago Agustin Tirante</t>
        </is>
      </c>
      <c r="AU221" s="24" t="inlineStr">
        <is>
          <t>Thiago Agustin Tirante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2026-08-05T13:52:57.882845Z</t>
        </is>
      </c>
      <c r="BI221" s="24" t="inlineStr">
        <is>
          <t>["same_event","same_team_same_day","same_league_same_day"]</t>
        </is>
      </c>
      <c r="BJ221" s="25" t="n"/>
      <c r="BK221" s="26" t="n">
        <v>-525</v>
      </c>
      <c r="BL221" s="27" t="n">
        <v>1.190476</v>
      </c>
      <c r="BM221" s="28" t="n">
        <v>0.84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ae87c3e4586a400e</t>
        </is>
      </c>
      <c r="B222" s="24" t="inlineStr">
        <is>
          <t>2026-08-05T13:54:48.712587Z</t>
        </is>
      </c>
      <c r="C222" s="24" t="inlineStr">
        <is>
          <t>2026-08-05T18:00Z</t>
        </is>
      </c>
      <c r="D222" s="24" t="inlineStr">
        <is>
          <t>421-2026:181743</t>
        </is>
      </c>
      <c r="E222" s="24" t="inlineStr">
        <is>
          <t>TENNIS</t>
        </is>
      </c>
      <c r="F222" s="24" t="inlineStr">
        <is>
          <t>Alejandro Tabilo</t>
        </is>
      </c>
      <c r="G222" s="24" t="inlineStr">
        <is>
          <t>Hubert Hurkacz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138</v>
      </c>
      <c r="M222" s="27" t="n">
        <v>2.38</v>
      </c>
      <c r="N222" s="28" t="n">
        <v>0.420168</v>
      </c>
      <c r="O222" s="28" t="n">
        <v>0.584869</v>
      </c>
      <c r="P222" s="28" t="n">
        <v>0.05</v>
      </c>
      <c r="Q222" s="28" t="n">
        <v>0.164701</v>
      </c>
      <c r="R222" s="26" t="n">
        <v>100</v>
      </c>
      <c r="S222" s="29" t="n">
        <v>1.25</v>
      </c>
      <c r="T222" s="24" t="inlineStr">
        <is>
          <t>tennis-surface-elo-v1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Surface-blended Elo on Hard: Alejandro Tabilo p=0.585 vs Hubert Hurkacz. Executable ask 0.4200 (aec-atp-hubhur-aletab-2026-08-06).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Alejandro Tabilo</t>
        </is>
      </c>
      <c r="AQ222" s="24" t="inlineStr">
        <is>
          <t>Alejandro Tabilo</t>
        </is>
      </c>
      <c r="AR222" s="24" t="inlineStr">
        <is>
          <t>Alejandro Tabilo</t>
        </is>
      </c>
      <c r="AS222" s="24" t="inlineStr">
        <is>
          <t>Hubert Hurkacz</t>
        </is>
      </c>
      <c r="AT222" s="24" t="inlineStr">
        <is>
          <t>Hubert Hurkacz</t>
        </is>
      </c>
      <c r="AU222" s="24" t="inlineStr">
        <is>
          <t>Hubert Hurkacz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2026-08-05T13:53:00.150232Z</t>
        </is>
      </c>
      <c r="BI222" s="24" t="inlineStr">
        <is>
          <t>["same_event","same_team_same_day","same_league_same_day"]</t>
        </is>
      </c>
      <c r="BJ222" s="25" t="n"/>
      <c r="BK222" s="26" t="n">
        <v>138</v>
      </c>
      <c r="BL222" s="27" t="n">
        <v>2.38</v>
      </c>
      <c r="BM222" s="28" t="n">
        <v>0.420168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a0a80605271446cb</t>
        </is>
      </c>
      <c r="B223" s="24" t="inlineStr">
        <is>
          <t>2026-08-05T13:54:48.712587Z</t>
        </is>
      </c>
      <c r="C223" s="24" t="inlineStr">
        <is>
          <t>2026-08-05T18:00Z</t>
        </is>
      </c>
      <c r="D223" s="24" t="inlineStr">
        <is>
          <t>421-2026:181749</t>
        </is>
      </c>
      <c r="E223" s="24" t="inlineStr">
        <is>
          <t>TENNIS</t>
        </is>
      </c>
      <c r="F223" s="24" t="inlineStr">
        <is>
          <t>Corentin Moutet</t>
        </is>
      </c>
      <c r="G223" s="24" t="inlineStr">
        <is>
          <t>Rafael Jodar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-285</v>
      </c>
      <c r="M223" s="27" t="n">
        <v>1.350877</v>
      </c>
      <c r="N223" s="28" t="n">
        <v>0.74026</v>
      </c>
      <c r="O223" s="28" t="n">
        <v>0.707792</v>
      </c>
      <c r="P223" s="28" t="n">
        <v>0.05</v>
      </c>
      <c r="Q223" s="28" t="n">
        <v>-0.032468</v>
      </c>
      <c r="R223" s="26" t="n">
        <v>4</v>
      </c>
      <c r="S223" s="29" t="n">
        <v>2</v>
      </c>
      <c r="T223" s="24" t="inlineStr">
        <is>
          <t>tennis-surface-elo-v1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Surface-blended Elo on Hard: Corentin Moutet p=0.292 vs Rafael Jodar. Executable ask 0.7400 (aec-atp-rafjod-cormou-2026-08-06).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NO_CALL_LOW_EDGE</t>
        </is>
      </c>
      <c r="AP223" s="24" t="inlineStr">
        <is>
          <t>Corentin Moutet</t>
        </is>
      </c>
      <c r="AQ223" s="24" t="inlineStr">
        <is>
          <t>Corentin Moutet</t>
        </is>
      </c>
      <c r="AR223" s="24" t="inlineStr">
        <is>
          <t>Corentin Moutet</t>
        </is>
      </c>
      <c r="AS223" s="24" t="inlineStr">
        <is>
          <t>Rafael Jodar</t>
        </is>
      </c>
      <c r="AT223" s="24" t="inlineStr">
        <is>
          <t>Rafael Jodar</t>
        </is>
      </c>
      <c r="AU223" s="24" t="inlineStr">
        <is>
          <t>Rafael Jodar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2026-08-05T13:52:58.279777Z</t>
        </is>
      </c>
      <c r="BI223" s="24" t="inlineStr">
        <is>
          <t>["same_event","same_team_same_day","same_league_same_day"]</t>
        </is>
      </c>
      <c r="BJ223" s="25" t="n"/>
      <c r="BK223" s="26" t="n">
        <v>-285</v>
      </c>
      <c r="BL223" s="27" t="n">
        <v>1.350877</v>
      </c>
      <c r="BM223" s="28" t="n">
        <v>0.74026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</row>
    <row r="224" ht="36" customHeight="1">
      <c r="A224" s="24" t="inlineStr">
        <is>
          <t>d05b8c0a715b4ecd</t>
        </is>
      </c>
      <c r="B224" s="24" t="inlineStr">
        <is>
          <t>2026-08-05T13:54:48.712587Z</t>
        </is>
      </c>
      <c r="C224" s="24" t="inlineStr">
        <is>
          <t>2026-08-05T18:00Z</t>
        </is>
      </c>
      <c r="D224" s="24" t="inlineStr">
        <is>
          <t>421-2026:181750</t>
        </is>
      </c>
      <c r="E224" s="24" t="inlineStr">
        <is>
          <t>TENNIS</t>
        </is>
      </c>
      <c r="F224" s="24" t="inlineStr">
        <is>
          <t>Tallon Griekspoor</t>
        </is>
      </c>
      <c r="G224" s="24" t="inlineStr">
        <is>
          <t>Alexander Zverev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-1011</v>
      </c>
      <c r="M224" s="27" t="n">
        <v>1.098912</v>
      </c>
      <c r="N224" s="28" t="n">
        <v>0.909991</v>
      </c>
      <c r="O224" s="28" t="n">
        <v>0.873265</v>
      </c>
      <c r="P224" s="28" t="n">
        <v>0.05</v>
      </c>
      <c r="Q224" s="28" t="n">
        <v>-0.036726</v>
      </c>
      <c r="R224" s="26" t="n">
        <v>2</v>
      </c>
      <c r="S224" s="29" t="n">
        <v>2</v>
      </c>
      <c r="T224" s="24" t="inlineStr">
        <is>
          <t>tennis-surface-elo-v1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Surface-blended Elo on Hard: Tallon Griekspoor p=0.127 vs Alexander Zverev. Executable ask 0.9100 (aec-atp-alezve-talgri-2026-08-06).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NO_CALL_LOW_EDGE</t>
        </is>
      </c>
      <c r="AP224" s="24" t="inlineStr">
        <is>
          <t>Tallon Griekspoor</t>
        </is>
      </c>
      <c r="AQ224" s="24" t="inlineStr">
        <is>
          <t>Tallon Griekspoor</t>
        </is>
      </c>
      <c r="AR224" s="24" t="inlineStr">
        <is>
          <t>Tallon Griekspoor</t>
        </is>
      </c>
      <c r="AS224" s="24" t="inlineStr">
        <is>
          <t>Alexander Zverev</t>
        </is>
      </c>
      <c r="AT224" s="24" t="inlineStr">
        <is>
          <t>Alexander Zverev</t>
        </is>
      </c>
      <c r="AU224" s="24" t="inlineStr">
        <is>
          <t>Alexander Zverev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2026-08-05T13:52:58.722373Z</t>
        </is>
      </c>
      <c r="BI224" s="24" t="inlineStr">
        <is>
          <t>["same_event","same_team_same_day","same_league_same_day"]</t>
        </is>
      </c>
      <c r="BJ224" s="25" t="n"/>
      <c r="BK224" s="26" t="n">
        <v>-1011</v>
      </c>
      <c r="BL224" s="27" t="n">
        <v>1.098912</v>
      </c>
      <c r="BM224" s="28" t="n">
        <v>0.909991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533fa955ee3a4d7c</t>
        </is>
      </c>
      <c r="B225" s="24" t="inlineStr">
        <is>
          <t>2026-08-05T13:54:48.712587Z</t>
        </is>
      </c>
      <c r="C225" s="24" t="inlineStr">
        <is>
          <t>2026-08-05T19:30Z</t>
        </is>
      </c>
      <c r="D225" s="24" t="inlineStr">
        <is>
          <t>421-2026:181741</t>
        </is>
      </c>
      <c r="E225" s="24" t="inlineStr">
        <is>
          <t>TENNIS</t>
        </is>
      </c>
      <c r="F225" s="24" t="inlineStr">
        <is>
          <t>Terence Atmane</t>
        </is>
      </c>
      <c r="G225" s="24" t="inlineStr">
        <is>
          <t>Karen Khachanov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0.596987</v>
      </c>
      <c r="P225" s="28" t="n">
        <v>0.05</v>
      </c>
      <c r="Q225" s="28" t="n">
        <v>0.026172</v>
      </c>
      <c r="R225" s="26" t="n">
        <v>33</v>
      </c>
      <c r="S225" s="29" t="n">
        <v>1.25</v>
      </c>
      <c r="T225" s="24" t="inlineStr">
        <is>
          <t>tennis-surface-elo-v1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Surface-blended Elo on Hard: Terence Atmane p=0.403 vs Karen Khachanov. Executable ask 0.5700 (aec-atp-karkha-teratm-2026-08-06).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NO_CALL_LOW_EDGE</t>
        </is>
      </c>
      <c r="AP225" s="24" t="inlineStr">
        <is>
          <t>Terence Atmane</t>
        </is>
      </c>
      <c r="AQ225" s="24" t="inlineStr">
        <is>
          <t>Terence Atmane</t>
        </is>
      </c>
      <c r="AR225" s="24" t="inlineStr">
        <is>
          <t>Terence Atmane</t>
        </is>
      </c>
      <c r="AS225" s="24" t="inlineStr">
        <is>
          <t>Karen Khachanov</t>
        </is>
      </c>
      <c r="AT225" s="24" t="inlineStr">
        <is>
          <t>Karen Khachanov</t>
        </is>
      </c>
      <c r="AU225" s="24" t="inlineStr">
        <is>
          <t>Karen Khachanov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2026-08-05T13:53:00.889659Z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6a911424e16e4365</t>
        </is>
      </c>
      <c r="B226" s="24" t="inlineStr">
        <is>
          <t>2026-08-05T13:54:48.712587Z</t>
        </is>
      </c>
      <c r="C226" s="24" t="inlineStr">
        <is>
          <t>2026-08-05T19:30Z</t>
        </is>
      </c>
      <c r="D226" s="24" t="inlineStr">
        <is>
          <t>421-2026:181746</t>
        </is>
      </c>
      <c r="E226" s="24" t="inlineStr">
        <is>
          <t>TENNIS</t>
        </is>
      </c>
      <c r="F226" s="24" t="inlineStr">
        <is>
          <t>Matteo Arnaldi</t>
        </is>
      </c>
      <c r="G226" s="24" t="inlineStr">
        <is>
          <t>Fabian Marozsan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0.605216</v>
      </c>
      <c r="P226" s="28" t="n">
        <v>0.05</v>
      </c>
      <c r="Q226" s="28" t="n">
        <v>0.034401</v>
      </c>
      <c r="R226" s="26" t="n">
        <v>37</v>
      </c>
      <c r="S226" s="29" t="n">
        <v>1.25</v>
      </c>
      <c r="T226" s="24" t="inlineStr">
        <is>
          <t>tennis-surface-elo-v1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Surface-blended Elo on Hard: Matteo Arnaldi p=0.395 vs Fabian Marozsan. Executable ask 0.5700 (aec-atp-fabmar-matarn-2026-08-05).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NO_CALL_LOW_EDGE</t>
        </is>
      </c>
      <c r="AP226" s="24" t="inlineStr">
        <is>
          <t>Matteo Arnaldi</t>
        </is>
      </c>
      <c r="AQ226" s="24" t="inlineStr">
        <is>
          <t>Matteo Arnaldi</t>
        </is>
      </c>
      <c r="AR226" s="24" t="inlineStr">
        <is>
          <t>Matteo Arnaldi</t>
        </is>
      </c>
      <c r="AS226" s="24" t="inlineStr">
        <is>
          <t>Fabian Marozsan</t>
        </is>
      </c>
      <c r="AT226" s="24" t="inlineStr">
        <is>
          <t>Fabian Marozsan</t>
        </is>
      </c>
      <c r="AU226" s="24" t="inlineStr">
        <is>
          <t>Fabian Marozsan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2026-08-05T13:53:02.385177Z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1d46255c47604bcc</t>
        </is>
      </c>
      <c r="B227" s="24" t="inlineStr">
        <is>
          <t>2026-08-05T13:54:48.712587Z</t>
        </is>
      </c>
      <c r="C227" s="24" t="inlineStr">
        <is>
          <t>2026-08-05T19:30Z</t>
        </is>
      </c>
      <c r="D227" s="24" t="inlineStr">
        <is>
          <t>421-2026:181753</t>
        </is>
      </c>
      <c r="E227" s="24" t="inlineStr">
        <is>
          <t>TENNIS</t>
        </is>
      </c>
      <c r="F227" s="24" t="inlineStr">
        <is>
          <t>Francisco Cerundolo</t>
        </is>
      </c>
      <c r="G227" s="24" t="inlineStr">
        <is>
          <t>Alex Michelsen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150</v>
      </c>
      <c r="M227" s="27" t="n">
        <v>2.5</v>
      </c>
      <c r="N227" s="28" t="n">
        <v>0.4</v>
      </c>
      <c r="O227" s="28" t="n">
        <v>0.657899</v>
      </c>
      <c r="P227" s="28" t="n">
        <v>0.05</v>
      </c>
      <c r="Q227" s="28" t="n">
        <v>0.257899</v>
      </c>
      <c r="R227" s="26" t="n">
        <v>100</v>
      </c>
      <c r="S227" s="29" t="n">
        <v>1.75</v>
      </c>
      <c r="T227" s="24" t="inlineStr">
        <is>
          <t>tennis-surface-elo-v1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Surface-blended Elo on Hard: Francisco Cerundolo p=0.658 vs Alex Michelsen. Executable ask 0.4000 (aec-atp-alemic-fracer-2026-08-06).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Francisco Cerundolo</t>
        </is>
      </c>
      <c r="AQ227" s="24" t="inlineStr">
        <is>
          <t>Francisco Cerundolo</t>
        </is>
      </c>
      <c r="AR227" s="24" t="inlineStr">
        <is>
          <t>Francisco Cerundolo</t>
        </is>
      </c>
      <c r="AS227" s="24" t="inlineStr">
        <is>
          <t>Alex Michelsen</t>
        </is>
      </c>
      <c r="AT227" s="24" t="inlineStr">
        <is>
          <t>Alex Michelsen</t>
        </is>
      </c>
      <c r="AU227" s="24" t="inlineStr">
        <is>
          <t>Alex Michelsen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2026-08-05T13:53:01.869933Z</t>
        </is>
      </c>
      <c r="BI227" s="24" t="inlineStr">
        <is>
          <t>["same_event","same_team_same_day","same_league_same_day"]</t>
        </is>
      </c>
      <c r="BJ227" s="25" t="n"/>
      <c r="BK227" s="26" t="n">
        <v>150</v>
      </c>
      <c r="BL227" s="27" t="n">
        <v>2.5</v>
      </c>
      <c r="BM227" s="28" t="n">
        <v>0.4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d1f202cb1bcb4878</t>
        </is>
      </c>
      <c r="B228" s="24" t="inlineStr">
        <is>
          <t>2026-08-05T13:54:48.712587Z</t>
        </is>
      </c>
      <c r="C228" s="24" t="inlineStr">
        <is>
          <t>2026-08-05T21:00Z</t>
        </is>
      </c>
      <c r="D228" s="24" t="inlineStr">
        <is>
          <t>421-2026:181719</t>
        </is>
      </c>
      <c r="E228" s="24" t="inlineStr">
        <is>
          <t>TENNIS</t>
        </is>
      </c>
      <c r="F228" s="24" t="inlineStr">
        <is>
          <t>Jakub Mensik</t>
        </is>
      </c>
      <c r="G228" s="24" t="inlineStr">
        <is>
          <t>Jacob Fearnley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-223</v>
      </c>
      <c r="M228" s="27" t="n">
        <v>1.44843</v>
      </c>
      <c r="N228" s="28" t="n">
        <v>0.690402</v>
      </c>
      <c r="O228" s="28" t="n">
        <v>0.742792</v>
      </c>
      <c r="P228" s="28" t="n">
        <v>0.05</v>
      </c>
      <c r="Q228" s="28" t="n">
        <v>0.05239</v>
      </c>
      <c r="R228" s="26" t="n">
        <v>46</v>
      </c>
      <c r="S228" s="29" t="n">
        <v>2</v>
      </c>
      <c r="T228" s="24" t="inlineStr">
        <is>
          <t>tennis-surface-elo-v1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Surface-blended Elo on Hard: Jakub Mensik p=0.743 vs Jacob Fearnley. Executable ask 0.6900 (aec-atp-jacfea-jakmen-2026-08-05).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Jakub Mensik</t>
        </is>
      </c>
      <c r="AQ228" s="24" t="inlineStr">
        <is>
          <t>Jakub Mensik</t>
        </is>
      </c>
      <c r="AR228" s="24" t="inlineStr">
        <is>
          <t>Jakub Mensik</t>
        </is>
      </c>
      <c r="AS228" s="24" t="inlineStr">
        <is>
          <t>Jacob Fearnley</t>
        </is>
      </c>
      <c r="AT228" s="24" t="inlineStr">
        <is>
          <t>Jacob Fearnley</t>
        </is>
      </c>
      <c r="AU228" s="24" t="inlineStr">
        <is>
          <t>Jacob Fearnley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2026-08-05T13:53:03.385419Z</t>
        </is>
      </c>
      <c r="BI228" s="24" t="inlineStr">
        <is>
          <t>["same_event","same_team_same_day","same_league_same_day"]</t>
        </is>
      </c>
      <c r="BJ228" s="25" t="n"/>
      <c r="BK228" s="26" t="n">
        <v>-223</v>
      </c>
      <c r="BL228" s="27" t="n">
        <v>1.44843</v>
      </c>
      <c r="BM228" s="28" t="n">
        <v>0.690402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f1ade9f253b64dd8</t>
        </is>
      </c>
      <c r="B229" s="24" t="inlineStr">
        <is>
          <t>2026-08-05T13:54:48.712587Z</t>
        </is>
      </c>
      <c r="C229" s="24" t="inlineStr">
        <is>
          <t>2026-08-05T21:00Z</t>
        </is>
      </c>
      <c r="D229" s="24" t="inlineStr">
        <is>
          <t>421-2026:181755</t>
        </is>
      </c>
      <c r="E229" s="24" t="inlineStr">
        <is>
          <t>TENNIS</t>
        </is>
      </c>
      <c r="F229" s="24" t="inlineStr">
        <is>
          <t>Daniel Merida</t>
        </is>
      </c>
      <c r="G229" s="24" t="inlineStr">
        <is>
          <t>Ugo Humbert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-223</v>
      </c>
      <c r="M229" s="27" t="n">
        <v>1.44843</v>
      </c>
      <c r="N229" s="28" t="n">
        <v>0.690402</v>
      </c>
      <c r="O229" s="28" t="n">
        <v>0.601922</v>
      </c>
      <c r="P229" s="28" t="n">
        <v>0.05</v>
      </c>
      <c r="Q229" s="28" t="n">
        <v>-0.08848</v>
      </c>
      <c r="R229" s="26" t="n">
        <v>0</v>
      </c>
      <c r="S229" s="29" t="n">
        <v>1.25</v>
      </c>
      <c r="T229" s="24" t="inlineStr">
        <is>
          <t>tennis-surface-elo-v1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Surface-blended Elo on Hard: Daniel Merida p=0.398 vs Ugo Humbert. Executable ask 0.6900 (aec-atp-ugohum-danagu-2026-08-06).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NO_CALL_LOW_EDGE</t>
        </is>
      </c>
      <c r="AP229" s="24" t="inlineStr">
        <is>
          <t>Daniel Merida</t>
        </is>
      </c>
      <c r="AQ229" s="24" t="inlineStr">
        <is>
          <t>Daniel Merida</t>
        </is>
      </c>
      <c r="AR229" s="24" t="inlineStr">
        <is>
          <t>Daniel Merida</t>
        </is>
      </c>
      <c r="AS229" s="24" t="inlineStr">
        <is>
          <t>Ugo Humbert</t>
        </is>
      </c>
      <c r="AT229" s="24" t="inlineStr">
        <is>
          <t>Ugo Humbert</t>
        </is>
      </c>
      <c r="AU229" s="24" t="inlineStr">
        <is>
          <t>Ugo Humbert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2026-08-05T13:53:03.927987Z</t>
        </is>
      </c>
      <c r="BI229" s="24" t="inlineStr">
        <is>
          <t>["same_event","same_team_same_day","same_league_same_day"]</t>
        </is>
      </c>
      <c r="BJ229" s="25" t="n"/>
      <c r="BK229" s="26" t="n">
        <v>-223</v>
      </c>
      <c r="BL229" s="27" t="n">
        <v>1.44843</v>
      </c>
      <c r="BM229" s="28" t="n">
        <v>0.690402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be6a07c3603b40b4</t>
        </is>
      </c>
      <c r="B230" s="24" t="inlineStr">
        <is>
          <t>2026-08-05T13:54:48.712587Z</t>
        </is>
      </c>
      <c r="C230" s="24" t="inlineStr">
        <is>
          <t>2026-08-05T22:00Z</t>
        </is>
      </c>
      <c r="D230" s="24" t="inlineStr">
        <is>
          <t>421-2026:181733</t>
        </is>
      </c>
      <c r="E230" s="24" t="inlineStr">
        <is>
          <t>TENNIS</t>
        </is>
      </c>
      <c r="F230" s="24" t="inlineStr">
        <is>
          <t>Botic Van De Zandschulp</t>
        </is>
      </c>
      <c r="G230" s="24" t="inlineStr">
        <is>
          <t>Daniil Medvedev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-300</v>
      </c>
      <c r="M230" s="27" t="n">
        <v>1.333333</v>
      </c>
      <c r="N230" s="28" t="n">
        <v>0.75</v>
      </c>
      <c r="O230" s="28" t="n">
        <v>0.8122509999999999</v>
      </c>
      <c r="P230" s="28" t="n">
        <v>0.05</v>
      </c>
      <c r="Q230" s="28" t="n">
        <v>0.062251</v>
      </c>
      <c r="R230" s="26" t="n">
        <v>51</v>
      </c>
      <c r="S230" s="29" t="n">
        <v>2</v>
      </c>
      <c r="T230" s="24" t="inlineStr">
        <is>
          <t>tennis-surface-elo-v1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Surface-blended Elo on Hard: Botic Van De Zandschulp p=0.188 vs Daniil Medvedev. Executable ask 0.7500 (aec-atp-danmed-botzan-2026-08-06).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Botic Van De Zandschulp</t>
        </is>
      </c>
      <c r="AQ230" s="24" t="inlineStr">
        <is>
          <t>Botic Van De Zandschulp</t>
        </is>
      </c>
      <c r="AR230" s="24" t="inlineStr">
        <is>
          <t>Botic Van De Zandschulp</t>
        </is>
      </c>
      <c r="AS230" s="24" t="inlineStr">
        <is>
          <t>Daniil Medvedev</t>
        </is>
      </c>
      <c r="AT230" s="24" t="inlineStr">
        <is>
          <t>Daniil Medvedev</t>
        </is>
      </c>
      <c r="AU230" s="24" t="inlineStr">
        <is>
          <t>Daniil Medvedev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2026-08-05T13:53:04.877388Z</t>
        </is>
      </c>
      <c r="BI230" s="24" t="inlineStr">
        <is>
          <t>["same_event","same_team_same_day","same_league_same_day"]</t>
        </is>
      </c>
      <c r="BJ230" s="25" t="n"/>
      <c r="BK230" s="26" t="n">
        <v>-300</v>
      </c>
      <c r="BL230" s="27" t="n">
        <v>1.333333</v>
      </c>
      <c r="BM230" s="28" t="n">
        <v>0.75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ce4cbf523a13445e</t>
        </is>
      </c>
      <c r="B231" s="24" t="inlineStr">
        <is>
          <t>2026-08-05T13:54:48.712587Z</t>
        </is>
      </c>
      <c r="C231" s="24" t="inlineStr">
        <is>
          <t>2026-08-05T23:00Z</t>
        </is>
      </c>
      <c r="D231" s="24" t="inlineStr">
        <is>
          <t>421-2026:181757</t>
        </is>
      </c>
      <c r="E231" s="24" t="inlineStr">
        <is>
          <t>TENNIS</t>
        </is>
      </c>
      <c r="F231" s="24" t="inlineStr">
        <is>
          <t>Felix Auger-Aliassime</t>
        </is>
      </c>
      <c r="G231" s="24" t="inlineStr">
        <is>
          <t>Titouan Droguet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-400</v>
      </c>
      <c r="M231" s="27" t="n">
        <v>1.25</v>
      </c>
      <c r="N231" s="28" t="n">
        <v>0.8</v>
      </c>
      <c r="O231" s="28" t="n">
        <v>0.793621</v>
      </c>
      <c r="P231" s="28" t="n">
        <v>0.05</v>
      </c>
      <c r="Q231" s="28" t="n">
        <v>-0.006379</v>
      </c>
      <c r="R231" s="26" t="n">
        <v>17</v>
      </c>
      <c r="S231" s="29" t="n">
        <v>2</v>
      </c>
      <c r="T231" s="24" t="inlineStr">
        <is>
          <t>tennis-surface-elo-v1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Surface-blended Elo on Hard: Felix Auger-Aliassime p=0.794 vs Titouan Droguet. Executable ask 0.8000 (aec-atp-titdro-felaug-2026-08-04).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NO_CALL_LOW_EDGE</t>
        </is>
      </c>
      <c r="AP231" s="24" t="inlineStr">
        <is>
          <t>Felix Auger-Aliassime</t>
        </is>
      </c>
      <c r="AQ231" s="24" t="inlineStr">
        <is>
          <t>Felix Auger-Aliassime</t>
        </is>
      </c>
      <c r="AR231" s="24" t="inlineStr">
        <is>
          <t>Felix Auger-Aliassime</t>
        </is>
      </c>
      <c r="AS231" s="24" t="inlineStr">
        <is>
          <t>Titouan Droguet</t>
        </is>
      </c>
      <c r="AT231" s="24" t="inlineStr">
        <is>
          <t>Titouan Droguet</t>
        </is>
      </c>
      <c r="AU231" s="24" t="inlineStr">
        <is>
          <t>Titouan Droguet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2026-08-05T13:53:05.620959Z</t>
        </is>
      </c>
      <c r="BI231" s="24" t="inlineStr">
        <is>
          <t>["same_event","same_team_same_day","same_league_same_day"]</t>
        </is>
      </c>
      <c r="BJ231" s="25" t="n"/>
      <c r="BK231" s="26" t="n">
        <v>-400</v>
      </c>
      <c r="BL231" s="27" t="n">
        <v>1.25</v>
      </c>
      <c r="BM231" s="28" t="n">
        <v>0.8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</row>
    <row r="232" ht="36" customHeight="1">
      <c r="A232" s="24" t="inlineStr">
        <is>
          <t>d53603e490024db2</t>
        </is>
      </c>
      <c r="B232" s="24" t="inlineStr">
        <is>
          <t>2026-08-05T13:54:48.712587Z</t>
        </is>
      </c>
      <c r="C232" s="24" t="inlineStr">
        <is>
          <t>2026-08-05T23:30Z</t>
        </is>
      </c>
      <c r="D232" s="24" t="inlineStr">
        <is>
          <t>421-2026:181731</t>
        </is>
      </c>
      <c r="E232" s="24" t="inlineStr">
        <is>
          <t>TENNIS</t>
        </is>
      </c>
      <c r="F232" s="24" t="inlineStr">
        <is>
          <t>Tommy Paul</t>
        </is>
      </c>
      <c r="G232" s="24" t="inlineStr">
        <is>
          <t>Valentin Royer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-488</v>
      </c>
      <c r="M232" s="27" t="n">
        <v>1.204918</v>
      </c>
      <c r="N232" s="28" t="n">
        <v>0.829932</v>
      </c>
      <c r="O232" s="28" t="n">
        <v>0.855695</v>
      </c>
      <c r="P232" s="28" t="n">
        <v>0.05</v>
      </c>
      <c r="Q232" s="28" t="n">
        <v>0.025763</v>
      </c>
      <c r="R232" s="26" t="n">
        <v>33</v>
      </c>
      <c r="S232" s="29" t="n">
        <v>2</v>
      </c>
      <c r="T232" s="24" t="inlineStr">
        <is>
          <t>tennis-surface-elo-v1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Surface-blended Elo on Hard: Tommy Paul p=0.856 vs Valentin Royer. Executable ask 0.8300 (aec-atp-valroy-tompau-2026-08-05).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NO_CALL_LOW_EDGE</t>
        </is>
      </c>
      <c r="AP232" s="24" t="inlineStr">
        <is>
          <t>Tommy Paul</t>
        </is>
      </c>
      <c r="AQ232" s="24" t="inlineStr">
        <is>
          <t>Tommy Paul</t>
        </is>
      </c>
      <c r="AR232" s="24" t="inlineStr">
        <is>
          <t>Tommy Paul</t>
        </is>
      </c>
      <c r="AS232" s="24" t="inlineStr">
        <is>
          <t>Valentin Royer</t>
        </is>
      </c>
      <c r="AT232" s="24" t="inlineStr">
        <is>
          <t>Valentin Royer</t>
        </is>
      </c>
      <c r="AU232" s="24" t="inlineStr">
        <is>
          <t>Valentin Royer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2026-08-05T13:53:06.160349Z</t>
        </is>
      </c>
      <c r="BI232" s="24" t="inlineStr">
        <is>
          <t>["same_event","same_team_same_day","same_league_same_day"]</t>
        </is>
      </c>
      <c r="BJ232" s="25" t="n"/>
      <c r="BK232" s="26" t="n">
        <v>-488</v>
      </c>
      <c r="BL232" s="27" t="n">
        <v>1.204918</v>
      </c>
      <c r="BM232" s="28" t="n">
        <v>0.829932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c32c11b1702d4012</t>
        </is>
      </c>
      <c r="B233" s="24" t="inlineStr">
        <is>
          <t>2026-08-05T13:54:48.712587Z</t>
        </is>
      </c>
      <c r="C233" s="24" t="inlineStr">
        <is>
          <t>2026-08-06T00:30Z</t>
        </is>
      </c>
      <c r="D233" s="24" t="inlineStr">
        <is>
          <t>421-2026:181761</t>
        </is>
      </c>
      <c r="E233" s="24" t="inlineStr">
        <is>
          <t>TENNIS</t>
        </is>
      </c>
      <c r="F233" s="24" t="inlineStr">
        <is>
          <t>Gael Monfils</t>
        </is>
      </c>
      <c r="G233" s="24" t="inlineStr">
        <is>
          <t>Learner Tien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-270</v>
      </c>
      <c r="M233" s="27" t="n">
        <v>1.37037</v>
      </c>
      <c r="N233" s="28" t="n">
        <v>0.72973</v>
      </c>
      <c r="O233" s="28" t="n">
        <v>0.768099</v>
      </c>
      <c r="P233" s="28" t="n">
        <v>0.05</v>
      </c>
      <c r="Q233" s="28" t="n">
        <v>0.038369</v>
      </c>
      <c r="R233" s="26" t="n">
        <v>39</v>
      </c>
      <c r="S233" s="29" t="n">
        <v>2</v>
      </c>
      <c r="T233" s="24" t="inlineStr">
        <is>
          <t>tennis-surface-elo-v1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Surface-blended Elo on Hard: Gael Monfils p=0.232 vs Learner Tien. Executable ask 0.7300 (aec-atp-leatie-gaemon-2026-08-05).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NO_CALL_LOW_EDGE</t>
        </is>
      </c>
      <c r="AP233" s="24" t="inlineStr">
        <is>
          <t>Gael Monfils</t>
        </is>
      </c>
      <c r="AQ233" s="24" t="inlineStr">
        <is>
          <t>Gael Monfils</t>
        </is>
      </c>
      <c r="AR233" s="24" t="inlineStr">
        <is>
          <t>Gael Monfils</t>
        </is>
      </c>
      <c r="AS233" s="24" t="inlineStr">
        <is>
          <t>Learner Tien</t>
        </is>
      </c>
      <c r="AT233" s="24" t="inlineStr">
        <is>
          <t>Learner Tien</t>
        </is>
      </c>
      <c r="AU233" s="24" t="inlineStr">
        <is>
          <t>Learner Tien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2026-08-05T13:53:06.574351Z</t>
        </is>
      </c>
      <c r="BI233" s="24" t="inlineStr">
        <is>
          <t>["same_event","same_team_same_day","same_league_same_day"]</t>
        </is>
      </c>
      <c r="BJ233" s="25" t="n"/>
      <c r="BK233" s="26" t="n">
        <v>-270</v>
      </c>
      <c r="BL233" s="27" t="n">
        <v>1.37037</v>
      </c>
      <c r="BM233" s="28" t="n">
        <v>0.72973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2026-08-05T13:57:59Z</dcterms:created>
  <dcterms:modified xmlns:dcterms="http://purl.org/dc/terms/" xmlns:xsi="http://www.w3.org/2001/XMLSchema-instance" xsi:type="dcterms:W3CDTF">2026-08-05T13:58:00Z</dcterms:modified>
</cp:coreProperties>
</file>