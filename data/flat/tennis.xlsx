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194" headerRowCount="1">
  <autoFilter ref="A1:CR194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COUNTA('Picks'!$A$2:$A$194)</f>
        <v/>
      </c>
      <c r="C4" s="6">
        <f>COUNTIF('Picks'!$U$2:$U$194,"open")</f>
        <v/>
      </c>
      <c r="E4" s="6">
        <f>COUNTIF('Picks'!$U$2:$U$194,"settled")</f>
        <v/>
      </c>
      <c r="G4" s="6">
        <f>IF(COUNTIFS('Picks'!$U$2:$U$194,"settled",'Picks'!$V$2:$V$194,"win")+COUNTIFS('Picks'!$U$2:$U$194,"settled",'Picks'!$V$2:$V$194,"loss")&gt;=$L$2,"Ready","Insufficient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COUNTIF('Picks'!$BX$2:$BX$194,"&gt;0")</f>
        <v/>
      </c>
      <c r="C7" s="6">
        <f>COUNTIFS('Picks'!$BX$2:$BX$194,"&gt;0",'Picks'!$V$2:$V$194,"win")&amp;"-"&amp;COUNTIFS('Picks'!$BX$2:$BX$194,"&gt;0",'Picks'!$V$2:$V$194,"loss")</f>
        <v/>
      </c>
      <c r="E7" s="7">
        <f>IFERROR(COUNTIFS('Picks'!$BX$2:$BX$194,"&gt;0",'Picks'!$V$2:$V$194,"win")/(COUNTIFS('Picks'!$BX$2:$BX$194,"&gt;0",'Picks'!$V$2:$V$194,"win")+COUNTIFS('Picks'!$BX$2:$BX$194,"&gt;0",'Picks'!$V$2:$V$194,"loss")),0)</f>
        <v/>
      </c>
      <c r="G7" s="7">
        <f>IFERROR(SUM('Picks'!$BY$2:$BY$194)/SUM('Picks'!$BX$2:$BX$194),0)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SUM('Picks'!$BY$2:$BY$194)</f>
        <v/>
      </c>
      <c r="C10" s="9">
        <f>IFERROR(AVERAGEIF('Picks'!$AB$2:$AB$194,"&lt;&gt;",'Picks'!$AB$2:$AB$194),0)</f>
        <v/>
      </c>
      <c r="E10" s="6">
        <f>COUNTIFS('Picks'!$AM$2:$AM$194,"QUALIFIED_SHADOW_CALL",'Picks'!$U$2:$U$194,"settled")</f>
        <v/>
      </c>
      <c r="G10" s="8">
        <f>SUMIFS('Picks'!$AC$2:$AC$194,'Picks'!$AM$2:$AM$194,"QUALIFIED_SHADOW_CALL")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COUNTIFS('Picks'!$H$2:$H$194,$A14,'Picks'!$U$2:$U$194,"settled")</f>
        <v/>
      </c>
      <c r="C14" s="13">
        <f>COUNTIFS('Picks'!$H$2:$H$194,$A14,'Picks'!$U$2:$U$194,"settled",'Picks'!$V$2:$V$194,"win")</f>
        <v/>
      </c>
      <c r="D14" s="13">
        <f>COUNTIFS('Picks'!$H$2:$H$194,$A14,'Picks'!$U$2:$U$194,"settled",'Picks'!$V$2:$V$194,"loss")</f>
        <v/>
      </c>
      <c r="E14" s="14">
        <f>IFERROR(C14/(C14+D14),0)</f>
        <v/>
      </c>
      <c r="F14" s="15">
        <f>SUMIFS('Picks'!$BY$2:$BY$194,'Picks'!$H$2:$H$194,$A14)</f>
        <v/>
      </c>
      <c r="G14" s="16">
        <f>IFERROR(AVERAGEIFS('Picks'!$AB$2:$AB$194,'Picks'!$H$2:$H$194,$A14,'Picks'!$U$2:$U$194,"settled"),0)</f>
        <v/>
      </c>
    </row>
    <row r="15">
      <c r="A15" s="17" t="inlineStr">
        <is>
          <t>spread</t>
        </is>
      </c>
      <c r="B15" s="18">
        <f>COUNTIFS('Picks'!$H$2:$H$194,$A15,'Picks'!$U$2:$U$194,"settled")</f>
        <v/>
      </c>
      <c r="C15" s="18">
        <f>COUNTIFS('Picks'!$H$2:$H$194,$A15,'Picks'!$U$2:$U$194,"settled",'Picks'!$V$2:$V$194,"win")</f>
        <v/>
      </c>
      <c r="D15" s="18">
        <f>COUNTIFS('Picks'!$H$2:$H$194,$A15,'Picks'!$U$2:$U$194,"settled",'Picks'!$V$2:$V$194,"loss")</f>
        <v/>
      </c>
      <c r="E15" s="19">
        <f>IFERROR(C15/(C15+D15),0)</f>
        <v/>
      </c>
      <c r="F15" s="20">
        <f>SUMIFS('Picks'!$BY$2:$BY$194,'Picks'!$H$2:$H$194,$A15)</f>
        <v/>
      </c>
      <c r="G15" s="21">
        <f>IFERROR(AVERAGEIFS('Picks'!$AB$2:$AB$194,'Picks'!$H$2:$H$194,$A15,'Picks'!$U$2:$U$194,"settled"),0)</f>
        <v/>
      </c>
    </row>
    <row r="16">
      <c r="A16" s="12" t="inlineStr">
        <is>
          <t>total</t>
        </is>
      </c>
      <c r="B16" s="13">
        <f>COUNTIFS('Picks'!$H$2:$H$194,$A16,'Picks'!$U$2:$U$194,"settled")</f>
        <v/>
      </c>
      <c r="C16" s="13">
        <f>COUNTIFS('Picks'!$H$2:$H$194,$A16,'Picks'!$U$2:$U$194,"settled",'Picks'!$V$2:$V$194,"win")</f>
        <v/>
      </c>
      <c r="D16" s="13">
        <f>COUNTIFS('Picks'!$H$2:$H$194,$A16,'Picks'!$U$2:$U$194,"settled",'Picks'!$V$2:$V$194,"loss")</f>
        <v/>
      </c>
      <c r="E16" s="14">
        <f>IFERROR(C16/(C16+D16),0)</f>
        <v/>
      </c>
      <c r="F16" s="15">
        <f>SUMIFS('Picks'!$BY$2:$BY$194,'Picks'!$H$2:$H$194,$A16)</f>
        <v/>
      </c>
      <c r="G16" s="16">
        <f>IFERROR(AVERAGEIFS('Picks'!$AB$2:$AB$194,'Picks'!$H$2:$H$194,$A16,'Picks'!$U$2:$U$194,"settled"),0)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1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-138</v>
      </c>
      <c r="AA99" s="28" t="n">
        <v>0.58</v>
      </c>
      <c r="AB99" s="28" t="n">
        <v>0.000168</v>
      </c>
      <c r="AC99" s="30" t="n">
        <v>-1.5</v>
      </c>
      <c r="AD99" s="24" t="inlineStr">
        <is>
          <t>2026-08-02T15:53:31.398063Z</t>
        </is>
      </c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>
        <v>1.724638</v>
      </c>
      <c r="BR99" s="28" t="n">
        <v>0.58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</row>
    <row r="100" ht="36" customHeight="1">
      <c r="A100" s="24" t="inlineStr">
        <is>
          <t>2ccf46ab0ab040ed</t>
        </is>
      </c>
      <c r="B100" s="24" t="inlineStr">
        <is>
          <t>2026-08-02T15:50:00.179683Z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0.821797</v>
      </c>
      <c r="P100" s="28" t="n">
        <v>0.05</v>
      </c>
      <c r="Q100" s="28" t="n">
        <v>0.231633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-144</v>
      </c>
      <c r="AA100" s="28" t="n">
        <v>0.59</v>
      </c>
      <c r="AB100" s="28" t="n">
        <v>-0.000164</v>
      </c>
      <c r="AC100" s="30" t="n">
        <v>-2</v>
      </c>
      <c r="AD100" s="24" t="inlineStr">
        <is>
          <t>2026-08-03T17:05:42.429228Z</t>
        </is>
      </c>
      <c r="AE100" s="31" t="inlineStr">
        <is>
          <t>Surface-blended Elo on Hard: Alexandra Eala p=0.178 vs Jessica Pegula. Executable ask 0.5900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2026-08-02T15:46:52.794231Z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1.694444</v>
      </c>
      <c r="BR100" s="28" t="n">
        <v>0.59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inlineStr">
        <is>
          <t>True</t>
        </is>
      </c>
    </row>
    <row r="101" ht="36" customHeight="1">
      <c r="A101" s="24" t="inlineStr">
        <is>
          <t>963db413afc049d0</t>
        </is>
      </c>
      <c r="B101" s="24" t="inlineStr">
        <is>
          <t>2026-08-02T16:13:39.503934Z</t>
        </is>
      </c>
      <c r="C101" s="24" t="inlineStr">
        <is>
          <t>2026-08-02T16:30Z</t>
        </is>
      </c>
      <c r="D101" s="24" t="inlineStr">
        <is>
          <t>421-2026:182259</t>
        </is>
      </c>
      <c r="E101" s="24" t="inlineStr">
        <is>
          <t>TENNIS</t>
        </is>
      </c>
      <c r="F101" s="24" t="inlineStr">
        <is>
          <t>Viktorija Golubic</t>
        </is>
      </c>
      <c r="G101" s="24" t="inlineStr">
        <is>
          <t>Kimberly Birrell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-108</v>
      </c>
      <c r="M101" s="27" t="n">
        <v>1.925926</v>
      </c>
      <c r="N101" s="28" t="n">
        <v>0.519231</v>
      </c>
      <c r="O101" s="28" t="n">
        <v>0.530496</v>
      </c>
      <c r="P101" s="28" t="n">
        <v>0.05</v>
      </c>
      <c r="Q101" s="28" t="n">
        <v>0.011265</v>
      </c>
      <c r="R101" s="26" t="n">
        <v>26</v>
      </c>
      <c r="S101" s="29" t="n">
        <v>1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-108</v>
      </c>
      <c r="AA101" s="28" t="n">
        <v>0.52</v>
      </c>
      <c r="AB101" s="28" t="n">
        <v>0.000769</v>
      </c>
      <c r="AC101" s="30" t="n">
        <v>-1</v>
      </c>
      <c r="AD101" s="24" t="inlineStr">
        <is>
          <t>2026-08-02T23:11:58.041480Z</t>
        </is>
      </c>
      <c r="AE101" s="31" t="inlineStr">
        <is>
          <t>Surface-blended Elo on Hard: Viktorija Golubic p=0.470 vs Kimberly Birrell. Executable ask 0.5200 (aec-wta-kimbir-vikgol-2026-08-02).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NO_CALL_LOW_EDGE</t>
        </is>
      </c>
      <c r="AP101" s="24" t="inlineStr">
        <is>
          <t>Viktorija Golubic</t>
        </is>
      </c>
      <c r="AQ101" s="24" t="inlineStr">
        <is>
          <t>Viktorija Golubic</t>
        </is>
      </c>
      <c r="AR101" s="24" t="inlineStr">
        <is>
          <t>Viktorija Golubic</t>
        </is>
      </c>
      <c r="AS101" s="24" t="inlineStr">
        <is>
          <t>Kimberly Birrell</t>
        </is>
      </c>
      <c r="AT101" s="24" t="inlineStr">
        <is>
          <t>Kimberly Birrell</t>
        </is>
      </c>
      <c r="AU101" s="24" t="inlineStr">
        <is>
          <t>Kimberly Birrell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2026-08-02T16:10:19.496539Z</t>
        </is>
      </c>
      <c r="BI101" s="24" t="inlineStr">
        <is>
          <t>["same_event","same_team_same_day","same_league_same_day"]</t>
        </is>
      </c>
      <c r="BJ101" s="25" t="n"/>
      <c r="BK101" s="26" t="n">
        <v>-108</v>
      </c>
      <c r="BL101" s="27" t="n">
        <v>1.925926</v>
      </c>
      <c r="BM101" s="28" t="n">
        <v>0.519231</v>
      </c>
      <c r="BN101" s="28" t="n"/>
      <c r="BO101" s="28" t="n"/>
      <c r="BP101" s="25" t="n"/>
      <c r="BQ101" s="27" t="n">
        <v>1.925926</v>
      </c>
      <c r="BR101" s="28" t="n">
        <v>0.52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inlineStr">
        <is>
          <t>True</t>
        </is>
      </c>
    </row>
    <row r="102" ht="36" customHeight="1">
      <c r="A102" s="24" t="inlineStr">
        <is>
          <t>41b4f49e70934391</t>
        </is>
      </c>
      <c r="B102" s="24" t="inlineStr">
        <is>
          <t>2026-08-02T16:13:39.503934Z</t>
        </is>
      </c>
      <c r="C102" s="24" t="inlineStr">
        <is>
          <t>2026-08-02T16:30Z</t>
        </is>
      </c>
      <c r="D102" s="24" t="inlineStr">
        <is>
          <t>421-2026:182280</t>
        </is>
      </c>
      <c r="E102" s="24" t="inlineStr">
        <is>
          <t>TENNIS</t>
        </is>
      </c>
      <c r="F102" s="24" t="inlineStr">
        <is>
          <t>Sara Bejlek</t>
        </is>
      </c>
      <c r="G102" s="24" t="inlineStr">
        <is>
          <t>Wang Xiyu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-144</v>
      </c>
      <c r="M102" s="27" t="n">
        <v>1.694444</v>
      </c>
      <c r="N102" s="28" t="n">
        <v>0.590164</v>
      </c>
      <c r="O102" s="28" t="n">
        <v>0.597848</v>
      </c>
      <c r="P102" s="28" t="n">
        <v>0.05</v>
      </c>
      <c r="Q102" s="28" t="n">
        <v>0.007684</v>
      </c>
      <c r="R102" s="26" t="n">
        <v>24</v>
      </c>
      <c r="S102" s="29" t="n">
        <v>1.25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-144</v>
      </c>
      <c r="AA102" s="28" t="n">
        <v>0.59</v>
      </c>
      <c r="AB102" s="28" t="n">
        <v>-0.000164</v>
      </c>
      <c r="AC102" s="30" t="n">
        <v>0.8681</v>
      </c>
      <c r="AD102" s="24" t="inlineStr">
        <is>
          <t>2026-08-02T23:11:59.093635Z</t>
        </is>
      </c>
      <c r="AE102" s="31" t="inlineStr">
        <is>
          <t>Surface-blended Elo on Hard: Sara Bejlek p=0.598 vs Wang Xiyu. Executable ask 0.5900 (aec-wta-xiywan-sarbej-2026-08-02).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NO_CALL_LOW_EDGE</t>
        </is>
      </c>
      <c r="AP102" s="24" t="inlineStr">
        <is>
          <t>Sara Bejlek</t>
        </is>
      </c>
      <c r="AQ102" s="24" t="inlineStr">
        <is>
          <t>Sara Bejlek</t>
        </is>
      </c>
      <c r="AR102" s="24" t="inlineStr">
        <is>
          <t>Sara Bejlek</t>
        </is>
      </c>
      <c r="AS102" s="24" t="inlineStr">
        <is>
          <t>Wang Xiyu</t>
        </is>
      </c>
      <c r="AT102" s="24" t="inlineStr">
        <is>
          <t>Wang Xiyu</t>
        </is>
      </c>
      <c r="AU102" s="24" t="inlineStr">
        <is>
          <t>Wang Xiyu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2026-08-02T16:10:19.991470Z</t>
        </is>
      </c>
      <c r="BI102" s="24" t="inlineStr">
        <is>
          <t>["same_event","same_team_same_day","same_league_same_day"]</t>
        </is>
      </c>
      <c r="BJ102" s="25" t="n"/>
      <c r="BK102" s="26" t="n">
        <v>-144</v>
      </c>
      <c r="BL102" s="27" t="n">
        <v>1.694444</v>
      </c>
      <c r="BM102" s="28" t="n">
        <v>0.590164</v>
      </c>
      <c r="BN102" s="28" t="n"/>
      <c r="BO102" s="28" t="n"/>
      <c r="BP102" s="25" t="n"/>
      <c r="BQ102" s="27" t="n">
        <v>1.694444</v>
      </c>
      <c r="BR102" s="28" t="n">
        <v>0.59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inlineStr">
        <is>
          <t>True</t>
        </is>
      </c>
    </row>
    <row r="103" ht="36" customHeight="1">
      <c r="A103" s="24" t="inlineStr">
        <is>
          <t>3df15dfb8dc44a9e</t>
        </is>
      </c>
      <c r="B103" s="24" t="inlineStr">
        <is>
          <t>2026-08-02T18:48:04.752130Z</t>
        </is>
      </c>
      <c r="C103" s="24" t="inlineStr">
        <is>
          <t>2026-08-02T19:00Z</t>
        </is>
      </c>
      <c r="D103" s="24" t="inlineStr">
        <is>
          <t>421-2026:182290</t>
        </is>
      </c>
      <c r="E103" s="24" t="inlineStr">
        <is>
          <t>TENNIS</t>
        </is>
      </c>
      <c r="F103" s="24" t="inlineStr">
        <is>
          <t>Ariana Arseneault</t>
        </is>
      </c>
      <c r="G103" s="24" t="inlineStr">
        <is>
          <t>Jessica Bouzas Maneiro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-733</v>
      </c>
      <c r="M103" s="27" t="n">
        <v>1.136426</v>
      </c>
      <c r="N103" s="28" t="n">
        <v>0.879952</v>
      </c>
      <c r="O103" s="28" t="n">
        <v>0.577857</v>
      </c>
      <c r="P103" s="28" t="n">
        <v>0.05</v>
      </c>
      <c r="Q103" s="28" t="n">
        <v>-0.302095</v>
      </c>
      <c r="R103" s="26" t="n">
        <v>0</v>
      </c>
      <c r="S103" s="29" t="n">
        <v>1.25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-733</v>
      </c>
      <c r="AA103" s="28" t="n">
        <v>0.88</v>
      </c>
      <c r="AB103" s="28" t="n">
        <v>4.8e-05</v>
      </c>
      <c r="AC103" s="30" t="n">
        <v>0.1705</v>
      </c>
      <c r="AD103" s="24" t="inlineStr">
        <is>
          <t>2026-08-02T23:12:38.814555Z</t>
        </is>
      </c>
      <c r="AE103" s="31" t="inlineStr">
        <is>
          <t>Surface-blended Elo on Hard: Ariana Arseneault p=0.422 vs Jessica Bouzas Maneiro. Executable ask 0.8800 (aec-wta-jesman-ariars-2026-08-02).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NO_CALL_LOW_EDGE</t>
        </is>
      </c>
      <c r="AP103" s="24" t="inlineStr">
        <is>
          <t>Ariana Arseneault</t>
        </is>
      </c>
      <c r="AQ103" s="24" t="inlineStr">
        <is>
          <t>Ariana Arseneault</t>
        </is>
      </c>
      <c r="AR103" s="24" t="inlineStr">
        <is>
          <t>Ariana Arseneault</t>
        </is>
      </c>
      <c r="AS103" s="24" t="inlineStr">
        <is>
          <t>Jessica Bouzas Maneiro</t>
        </is>
      </c>
      <c r="AT103" s="24" t="inlineStr">
        <is>
          <t>Jessica Bouzas Maneiro</t>
        </is>
      </c>
      <c r="AU103" s="24" t="inlineStr">
        <is>
          <t>Jessica Bouzas Maneiro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1c05a3c4f76bde5de709ff6bb1937b3c4c67149c2ea621b7c90ca07898e048e8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1c05a3c4f76bde5de709ff6bb1937b3c4c67149c2ea621b7c90ca07898e048e8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1c05a3c4f76bde5de709ff6bb1937b3c4c67149c2ea621b7c90ca07898e048e8</t>
        </is>
      </c>
      <c r="BH103" s="24" t="inlineStr">
        <is>
          <t>2026-08-02T18:45:03.578329Z</t>
        </is>
      </c>
      <c r="BI103" s="24" t="inlineStr">
        <is>
          <t>["same_event","same_team_same_day","same_league_same_day"]</t>
        </is>
      </c>
      <c r="BJ103" s="25" t="n"/>
      <c r="BK103" s="26" t="n">
        <v>-733</v>
      </c>
      <c r="BL103" s="27" t="n">
        <v>1.136426</v>
      </c>
      <c r="BM103" s="28" t="n">
        <v>0.879952</v>
      </c>
      <c r="BN103" s="28" t="n"/>
      <c r="BO103" s="28" t="n"/>
      <c r="BP103" s="25" t="n"/>
      <c r="BQ103" s="27" t="n">
        <v>1.136426</v>
      </c>
      <c r="BR103" s="28" t="n">
        <v>0.88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inlineStr">
        <is>
          <t>False</t>
        </is>
      </c>
    </row>
    <row r="104" ht="36" customHeight="1">
      <c r="A104" s="24" t="inlineStr">
        <is>
          <t>624ae2422a9d4393</t>
        </is>
      </c>
      <c r="B104" s="24" t="inlineStr">
        <is>
          <t>2026-08-02T19:29:54.752777Z</t>
        </is>
      </c>
      <c r="C104" s="24" t="inlineStr">
        <is>
          <t>2026-08-02T19:45Z</t>
        </is>
      </c>
      <c r="D104" s="24" t="inlineStr">
        <is>
          <t>421-2026:182268</t>
        </is>
      </c>
      <c r="E104" s="24" t="inlineStr">
        <is>
          <t>TENNIS</t>
        </is>
      </c>
      <c r="F104" s="24" t="inlineStr">
        <is>
          <t>Katherine Sebov</t>
        </is>
      </c>
      <c r="G104" s="24" t="inlineStr">
        <is>
          <t>Aoi Ito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-150</v>
      </c>
      <c r="M104" s="27" t="n">
        <v>1.666667</v>
      </c>
      <c r="N104" s="28" t="n">
        <v>0.6</v>
      </c>
      <c r="O104" s="28" t="n">
        <v>0.52927</v>
      </c>
      <c r="P104" s="28" t="n">
        <v>0.05</v>
      </c>
      <c r="Q104" s="28" t="n">
        <v>-0.07073</v>
      </c>
      <c r="R104" s="26" t="n">
        <v>0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-150</v>
      </c>
      <c r="AA104" s="28" t="n">
        <v>0.6</v>
      </c>
      <c r="AB104" s="28" t="n">
        <v>0</v>
      </c>
      <c r="AC104" s="30" t="n">
        <v>-1</v>
      </c>
      <c r="AD104" s="24" t="inlineStr">
        <is>
          <t>2026-08-02T23:12:57.592963Z</t>
        </is>
      </c>
      <c r="AE104" s="31" t="inlineStr">
        <is>
          <t>Surface-blended Elo on Hard: Katherine Sebov p=0.471 vs Aoi Ito. Executable ask 0.6000 (aec-wta-aoiito-katseb-2026-08-02).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Katherine Sebov</t>
        </is>
      </c>
      <c r="AQ104" s="24" t="inlineStr">
        <is>
          <t>Katherine Sebov</t>
        </is>
      </c>
      <c r="AR104" s="24" t="inlineStr">
        <is>
          <t>Katherine Sebov</t>
        </is>
      </c>
      <c r="AS104" s="24" t="inlineStr">
        <is>
          <t>Aoi Ito</t>
        </is>
      </c>
      <c r="AT104" s="24" t="inlineStr">
        <is>
          <t>Aoi Ito</t>
        </is>
      </c>
      <c r="AU104" s="24" t="inlineStr">
        <is>
          <t>Aoi Ito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1c05a3c4f76bde5de709ff6bb1937b3c4c67149c2ea621b7c90ca07898e048e8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1c05a3c4f76bde5de709ff6bb1937b3c4c67149c2ea621b7c90ca07898e048e8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1c05a3c4f76bde5de709ff6bb1937b3c4c67149c2ea621b7c90ca07898e048e8</t>
        </is>
      </c>
      <c r="BH104" s="24" t="inlineStr">
        <is>
          <t>2026-08-02T19:27:57.038278Z</t>
        </is>
      </c>
      <c r="BI104" s="24" t="inlineStr">
        <is>
          <t>["same_event","same_team_same_day","same_league_same_day"]</t>
        </is>
      </c>
      <c r="BJ104" s="25" t="n"/>
      <c r="BK104" s="26" t="n">
        <v>-150</v>
      </c>
      <c r="BL104" s="27" t="n">
        <v>1.666667</v>
      </c>
      <c r="BM104" s="28" t="n">
        <v>0.6</v>
      </c>
      <c r="BN104" s="28" t="n"/>
      <c r="BO104" s="28" t="n"/>
      <c r="BP104" s="25" t="n"/>
      <c r="BQ104" s="27" t="n">
        <v>1.666667</v>
      </c>
      <c r="BR104" s="28" t="n">
        <v>0.6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inlineStr">
        <is>
          <t>False</t>
        </is>
      </c>
    </row>
    <row r="105" ht="36" customHeight="1">
      <c r="A105" s="24" t="inlineStr">
        <is>
          <t>778b7ffd5e0a409e</t>
        </is>
      </c>
      <c r="B105" s="24" t="inlineStr">
        <is>
          <t>2026-08-02T19:29:54.752777Z</t>
        </is>
      </c>
      <c r="C105" s="24" t="inlineStr">
        <is>
          <t>2026-08-02T20:30Z</t>
        </is>
      </c>
      <c r="D105" s="24" t="inlineStr">
        <is>
          <t>421-2026:182257</t>
        </is>
      </c>
      <c r="E105" s="24" t="inlineStr">
        <is>
          <t>TENNIS</t>
        </is>
      </c>
      <c r="F105" s="24" t="inlineStr">
        <is>
          <t>Antonia Ruzic</t>
        </is>
      </c>
      <c r="G105" s="24" t="inlineStr">
        <is>
          <t>Lois Boisson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-104</v>
      </c>
      <c r="M105" s="27" t="n">
        <v>1.961538</v>
      </c>
      <c r="N105" s="28" t="n">
        <v>0.509804</v>
      </c>
      <c r="O105" s="28" t="n">
        <v>0.549832</v>
      </c>
      <c r="P105" s="28" t="n">
        <v>0.05</v>
      </c>
      <c r="Q105" s="28" t="n">
        <v>0.040028</v>
      </c>
      <c r="R105" s="26" t="n">
        <v>40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-104</v>
      </c>
      <c r="AA105" s="28" t="n">
        <v>0.51</v>
      </c>
      <c r="AB105" s="28" t="n">
        <v>0.000196</v>
      </c>
      <c r="AC105" s="30" t="n">
        <v>0.9615</v>
      </c>
      <c r="AD105" s="24" t="inlineStr">
        <is>
          <t>2026-08-03T22:55:16.906344Z</t>
        </is>
      </c>
      <c r="AE105" s="31" t="inlineStr">
        <is>
          <t>Surface-blended Elo on Hard: Antonia Ruzic p=0.550 vs Lois Boisson. Executable ask 0.5100 (aec-wta-loiboi-antruz-2026-08-02).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NO_CALL_LOW_EDGE</t>
        </is>
      </c>
      <c r="AP105" s="24" t="inlineStr">
        <is>
          <t>Antonia Ruzic</t>
        </is>
      </c>
      <c r="AQ105" s="24" t="inlineStr">
        <is>
          <t>Antonia Ruzic</t>
        </is>
      </c>
      <c r="AR105" s="24" t="inlineStr">
        <is>
          <t>Antonia Ruzic</t>
        </is>
      </c>
      <c r="AS105" s="24" t="inlineStr">
        <is>
          <t>Lois Boisson</t>
        </is>
      </c>
      <c r="AT105" s="24" t="inlineStr">
        <is>
          <t>Lois Boisson</t>
        </is>
      </c>
      <c r="AU105" s="24" t="inlineStr">
        <is>
          <t>Lois Boisson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1c05a3c4f76bde5de709ff6bb1937b3c4c67149c2ea621b7c90ca07898e048e8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1c05a3c4f76bde5de709ff6bb1937b3c4c67149c2ea621b7c90ca07898e048e8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1c05a3c4f76bde5de709ff6bb1937b3c4c67149c2ea621b7c90ca07898e048e8</t>
        </is>
      </c>
      <c r="BH105" s="24" t="inlineStr">
        <is>
          <t>2026-08-02T19:28:00.007951Z</t>
        </is>
      </c>
      <c r="BI105" s="24" t="inlineStr">
        <is>
          <t>["same_event","same_team_same_day","same_league_same_day"]</t>
        </is>
      </c>
      <c r="BJ105" s="25" t="n"/>
      <c r="BK105" s="26" t="n">
        <v>-104</v>
      </c>
      <c r="BL105" s="27" t="n">
        <v>1.961538</v>
      </c>
      <c r="BM105" s="28" t="n">
        <v>0.509804</v>
      </c>
      <c r="BN105" s="28" t="n"/>
      <c r="BO105" s="28" t="n"/>
      <c r="BP105" s="25" t="n"/>
      <c r="BQ105" s="27" t="n">
        <v>1.961538</v>
      </c>
      <c r="BR105" s="28" t="n">
        <v>0.51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inlineStr">
        <is>
          <t>True</t>
        </is>
      </c>
    </row>
    <row r="106" ht="36" customHeight="1">
      <c r="A106" s="24" t="inlineStr">
        <is>
          <t>3f8947a50943414d</t>
        </is>
      </c>
      <c r="B106" s="24" t="inlineStr">
        <is>
          <t>2026-08-02T19:29:54.752777Z</t>
        </is>
      </c>
      <c r="C106" s="24" t="inlineStr">
        <is>
          <t>2026-08-02T20:30Z</t>
        </is>
      </c>
      <c r="D106" s="24" t="inlineStr">
        <is>
          <t>421-2026:182279</t>
        </is>
      </c>
      <c r="E106" s="24" t="inlineStr">
        <is>
          <t>TENNIS</t>
        </is>
      </c>
      <c r="F106" s="24" t="inlineStr">
        <is>
          <t>Cristina Bucsa</t>
        </is>
      </c>
      <c r="G106" s="24" t="inlineStr">
        <is>
          <t>Moyuka Uchijima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-133</v>
      </c>
      <c r="M106" s="27" t="n">
        <v>1.75188</v>
      </c>
      <c r="N106" s="28" t="n">
        <v>0.570815</v>
      </c>
      <c r="O106" s="28" t="n">
        <v>0.548768</v>
      </c>
      <c r="P106" s="28" t="n">
        <v>0.05</v>
      </c>
      <c r="Q106" s="28" t="n">
        <v>-0.022047</v>
      </c>
      <c r="R106" s="26" t="n">
        <v>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-0.000815</v>
      </c>
      <c r="AC106" s="30" t="n">
        <v>-1</v>
      </c>
      <c r="AD106" s="24" t="inlineStr">
        <is>
          <t>2026-08-02T23:12:58.762672Z</t>
        </is>
      </c>
      <c r="AE106" s="31" t="inlineStr">
        <is>
          <t>Surface-blended Elo on Hard: Cristina Bucsa p=0.549 vs Moyuka Uchijima. Executable ask 0.5700 (aec-wta-moyuch-cribuc-2026-08-02).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NO_CALL_LOW_EDGE</t>
        </is>
      </c>
      <c r="AP106" s="24" t="inlineStr">
        <is>
          <t>Cristina Bucsa</t>
        </is>
      </c>
      <c r="AQ106" s="24" t="inlineStr">
        <is>
          <t>Cristina Bucsa</t>
        </is>
      </c>
      <c r="AR106" s="24" t="inlineStr">
        <is>
          <t>Cristina Bucsa</t>
        </is>
      </c>
      <c r="AS106" s="24" t="inlineStr">
        <is>
          <t>Moyuka Uchijima</t>
        </is>
      </c>
      <c r="AT106" s="24" t="inlineStr">
        <is>
          <t>Moyuka Uchijima</t>
        </is>
      </c>
      <c r="AU106" s="24" t="inlineStr">
        <is>
          <t>Moyuka Uchijima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1c05a3c4f76bde5de709ff6bb1937b3c4c67149c2ea621b7c90ca07898e048e8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1c05a3c4f76bde5de709ff6bb1937b3c4c67149c2ea621b7c90ca07898e048e8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1c05a3c4f76bde5de709ff6bb1937b3c4c67149c2ea621b7c90ca07898e048e8</t>
        </is>
      </c>
      <c r="BH106" s="24" t="inlineStr">
        <is>
          <t>2026-08-02T19:28:02.236385Z</t>
        </is>
      </c>
      <c r="BI106" s="24" t="inlineStr">
        <is>
          <t>["same_event","same_team_same_day","same_league_same_day"]</t>
        </is>
      </c>
      <c r="BJ106" s="25" t="n"/>
      <c r="BK106" s="26" t="n">
        <v>-133</v>
      </c>
      <c r="BL106" s="27" t="n">
        <v>1.75188</v>
      </c>
      <c r="BM106" s="28" t="n">
        <v>0.570815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inlineStr">
        <is>
          <t>False</t>
        </is>
      </c>
    </row>
    <row r="107" ht="36" customHeight="1">
      <c r="A107" s="24" t="inlineStr">
        <is>
          <t>6704815582d842ed</t>
        </is>
      </c>
      <c r="B107" s="24" t="inlineStr">
        <is>
          <t>2026-08-02T19:29:54.752777Z</t>
        </is>
      </c>
      <c r="C107" s="24" t="inlineStr">
        <is>
          <t>2026-08-02T20:30Z</t>
        </is>
      </c>
      <c r="D107" s="24" t="inlineStr">
        <is>
          <t>421-2026:182284</t>
        </is>
      </c>
      <c r="E107" s="24" t="inlineStr">
        <is>
          <t>TENNIS</t>
        </is>
      </c>
      <c r="F107" s="24" t="inlineStr">
        <is>
          <t>Camila Osorio</t>
        </is>
      </c>
      <c r="G107" s="24" t="inlineStr">
        <is>
          <t>Lucrezia Stefanini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-233</v>
      </c>
      <c r="M107" s="27" t="n">
        <v>1.429185</v>
      </c>
      <c r="N107" s="28" t="n">
        <v>0.6997</v>
      </c>
      <c r="O107" s="28" t="n">
        <v>0.736958</v>
      </c>
      <c r="P107" s="28" t="n">
        <v>0.05</v>
      </c>
      <c r="Q107" s="28" t="n">
        <v>0.037258</v>
      </c>
      <c r="R107" s="26" t="n">
        <v>39</v>
      </c>
      <c r="S107" s="29" t="n">
        <v>2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>
        <v>-233</v>
      </c>
      <c r="AA107" s="28" t="n">
        <v>0.7</v>
      </c>
      <c r="AB107" s="28" t="n">
        <v>0.0003</v>
      </c>
      <c r="AC107" s="30" t="n">
        <v>0.8584000000000001</v>
      </c>
      <c r="AD107" s="24" t="inlineStr">
        <is>
          <t>2026-08-02T23:12:59.971095Z</t>
        </is>
      </c>
      <c r="AE107" s="31" t="inlineStr">
        <is>
          <t>Surface-blended Elo on Hard: Camila Osorio p=0.737 vs Lucrezia Stefanini. Executable ask 0.7000 (aec-wta-lucste-camoso-2026-08-02).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NO_CALL_LOW_EDGE</t>
        </is>
      </c>
      <c r="AP107" s="24" t="inlineStr">
        <is>
          <t>Camila Osorio</t>
        </is>
      </c>
      <c r="AQ107" s="24" t="inlineStr">
        <is>
          <t>Camila Osorio</t>
        </is>
      </c>
      <c r="AR107" s="24" t="inlineStr">
        <is>
          <t>Camila Osorio</t>
        </is>
      </c>
      <c r="AS107" s="24" t="inlineStr">
        <is>
          <t>Lucrezia Stefanini</t>
        </is>
      </c>
      <c r="AT107" s="24" t="inlineStr">
        <is>
          <t>Lucrezia Stefanini</t>
        </is>
      </c>
      <c r="AU107" s="24" t="inlineStr">
        <is>
          <t>Lucrezia Stefanini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1c05a3c4f76bde5de709ff6bb1937b3c4c67149c2ea621b7c90ca07898e048e8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1c05a3c4f76bde5de709ff6bb1937b3c4c67149c2ea621b7c90ca07898e048e8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1c05a3c4f76bde5de709ff6bb1937b3c4c67149c2ea621b7c90ca07898e048e8</t>
        </is>
      </c>
      <c r="BH107" s="24" t="inlineStr">
        <is>
          <t>2026-08-02T19:27:58.857037Z</t>
        </is>
      </c>
      <c r="BI107" s="24" t="inlineStr">
        <is>
          <t>["same_event","same_team_same_day","same_league_same_day"]</t>
        </is>
      </c>
      <c r="BJ107" s="25" t="n"/>
      <c r="BK107" s="26" t="n">
        <v>-233</v>
      </c>
      <c r="BL107" s="27" t="n">
        <v>1.429185</v>
      </c>
      <c r="BM107" s="28" t="n">
        <v>0.6997</v>
      </c>
      <c r="BN107" s="28" t="n"/>
      <c r="BO107" s="28" t="n"/>
      <c r="BP107" s="25" t="n"/>
      <c r="BQ107" s="27" t="n">
        <v>1.429185</v>
      </c>
      <c r="BR107" s="28" t="n">
        <v>0.7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inlineStr">
        <is>
          <t>True</t>
        </is>
      </c>
    </row>
    <row r="108" ht="36" customHeight="1">
      <c r="A108" s="24" t="inlineStr">
        <is>
          <t>4e0724edfcf5445f</t>
        </is>
      </c>
      <c r="B108" s="24" t="inlineStr">
        <is>
          <t>2026-08-02T19:29:54.752777Z</t>
        </is>
      </c>
      <c r="C108" s="24" t="inlineStr">
        <is>
          <t>2026-08-02T22:00Z</t>
        </is>
      </c>
      <c r="D108" s="24" t="inlineStr">
        <is>
          <t>421-2026:182236</t>
        </is>
      </c>
      <c r="E108" s="24" t="inlineStr">
        <is>
          <t>TENNIS</t>
        </is>
      </c>
      <c r="F108" s="24" t="inlineStr">
        <is>
          <t>Leolia Jeanjean</t>
        </is>
      </c>
      <c r="G108" s="24" t="inlineStr">
        <is>
          <t>Magdalena Frech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163</v>
      </c>
      <c r="M108" s="27" t="n">
        <v>2.63</v>
      </c>
      <c r="N108" s="28" t="n">
        <v>0.380228</v>
      </c>
      <c r="O108" s="28" t="n">
        <v>0.504343</v>
      </c>
      <c r="P108" s="28" t="n">
        <v>0.05</v>
      </c>
      <c r="Q108" s="28" t="n">
        <v>0.124115</v>
      </c>
      <c r="R108" s="26" t="n">
        <v>82</v>
      </c>
      <c r="S108" s="29" t="n">
        <v>1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>
        <v>163</v>
      </c>
      <c r="AA108" s="28" t="n">
        <v>0.38</v>
      </c>
      <c r="AB108" s="28" t="n">
        <v>-0.000228</v>
      </c>
      <c r="AC108" s="30" t="n">
        <v>-1</v>
      </c>
      <c r="AD108" s="24" t="inlineStr">
        <is>
          <t>2026-08-03T22:55:17.543120Z</t>
        </is>
      </c>
      <c r="AE108" s="31" t="inlineStr">
        <is>
          <t>Surface-blended Elo on Hard: Leolia Jeanjean p=0.504 vs Magdalena Frech. Executable ask 0.3800 (aec-wta-magfre-leojea-2026-08-02).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Leolia Jeanjean</t>
        </is>
      </c>
      <c r="AQ108" s="24" t="inlineStr">
        <is>
          <t>Leolia Jeanjean</t>
        </is>
      </c>
      <c r="AR108" s="24" t="inlineStr">
        <is>
          <t>Leolia Jeanjean</t>
        </is>
      </c>
      <c r="AS108" s="24" t="inlineStr">
        <is>
          <t>Magdalena Frech</t>
        </is>
      </c>
      <c r="AT108" s="24" t="inlineStr">
        <is>
          <t>Magdalena Frech</t>
        </is>
      </c>
      <c r="AU108" s="24" t="inlineStr">
        <is>
          <t>Magdalena Frech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1c05a3c4f76bde5de709ff6bb1937b3c4c67149c2ea621b7c90ca07898e048e8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1c05a3c4f76bde5de709ff6bb1937b3c4c67149c2ea621b7c90ca07898e048e8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1c05a3c4f76bde5de709ff6bb1937b3c4c67149c2ea621b7c90ca07898e048e8</t>
        </is>
      </c>
      <c r="BH108" s="24" t="inlineStr">
        <is>
          <t>2026-08-02T19:28:03.404917Z</t>
        </is>
      </c>
      <c r="BI108" s="24" t="inlineStr">
        <is>
          <t>["same_event","same_team_same_day","same_league_same_day"]</t>
        </is>
      </c>
      <c r="BJ108" s="25" t="n"/>
      <c r="BK108" s="26" t="n">
        <v>163</v>
      </c>
      <c r="BL108" s="27" t="n">
        <v>2.63</v>
      </c>
      <c r="BM108" s="28" t="n">
        <v>0.380228</v>
      </c>
      <c r="BN108" s="28" t="n"/>
      <c r="BO108" s="28" t="n"/>
      <c r="BP108" s="25" t="n"/>
      <c r="BQ108" s="27" t="n">
        <v>2.63</v>
      </c>
      <c r="BR108" s="28" t="n">
        <v>0.38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inlineStr">
        <is>
          <t>True</t>
        </is>
      </c>
    </row>
    <row r="109" ht="36" customHeight="1">
      <c r="A109" s="24" t="inlineStr">
        <is>
          <t>807ba87cca404fda</t>
        </is>
      </c>
      <c r="B109" s="24" t="inlineStr">
        <is>
          <t>2026-08-02T19:29:54.752777Z</t>
        </is>
      </c>
      <c r="C109" s="24" t="inlineStr">
        <is>
          <t>2026-08-02T22:00Z</t>
        </is>
      </c>
      <c r="D109" s="24" t="inlineStr">
        <is>
          <t>421-2026:182241</t>
        </is>
      </c>
      <c r="E109" s="24" t="inlineStr">
        <is>
          <t>TENNIS</t>
        </is>
      </c>
      <c r="F109" s="24" t="inlineStr">
        <is>
          <t>Anna Blinkova</t>
        </is>
      </c>
      <c r="G109" s="24" t="inlineStr">
        <is>
          <t>Rebecca Sramkova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122</v>
      </c>
      <c r="M109" s="27" t="n">
        <v>2.22</v>
      </c>
      <c r="N109" s="28" t="n">
        <v>0.45045</v>
      </c>
      <c r="O109" s="28" t="n">
        <v>0.53051</v>
      </c>
      <c r="P109" s="28" t="n">
        <v>0.05</v>
      </c>
      <c r="Q109" s="28" t="n">
        <v>0.08006000000000001</v>
      </c>
      <c r="R109" s="26" t="n">
        <v>60</v>
      </c>
      <c r="S109" s="29" t="n">
        <v>1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122</v>
      </c>
      <c r="AA109" s="28" t="n">
        <v>0.45</v>
      </c>
      <c r="AB109" s="28" t="n">
        <v>-0.00045</v>
      </c>
      <c r="AC109" s="30" t="n">
        <v>1.22</v>
      </c>
      <c r="AD109" s="24" t="inlineStr">
        <is>
          <t>2026-08-03T19:51:45.993877Z</t>
        </is>
      </c>
      <c r="AE109" s="31" t="inlineStr">
        <is>
          <t>Surface-blended Elo on Hard: Anna Blinkova p=0.469 vs Rebecca Sramkova. Executable ask 0.4500 (aec-wta-rebsra-annbli-2026-08-02).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Anna Blinkova</t>
        </is>
      </c>
      <c r="AQ109" s="24" t="inlineStr">
        <is>
          <t>Anna Blinkova</t>
        </is>
      </c>
      <c r="AR109" s="24" t="inlineStr">
        <is>
          <t>Anna Blinkova</t>
        </is>
      </c>
      <c r="AS109" s="24" t="inlineStr">
        <is>
          <t>Rebecca Sramkova</t>
        </is>
      </c>
      <c r="AT109" s="24" t="inlineStr">
        <is>
          <t>Rebecca Sramkova</t>
        </is>
      </c>
      <c r="AU109" s="24" t="inlineStr">
        <is>
          <t>Rebecca Sramkova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1c05a3c4f76bde5de709ff6bb1937b3c4c67149c2ea621b7c90ca07898e048e8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1c05a3c4f76bde5de709ff6bb1937b3c4c67149c2ea621b7c90ca07898e048e8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1c05a3c4f76bde5de709ff6bb1937b3c4c67149c2ea621b7c90ca07898e048e8</t>
        </is>
      </c>
      <c r="BH109" s="24" t="inlineStr">
        <is>
          <t>2026-08-02T19:28:05.838822Z</t>
        </is>
      </c>
      <c r="BI109" s="24" t="inlineStr">
        <is>
          <t>["same_event","same_team_same_day","same_league_same_day"]</t>
        </is>
      </c>
      <c r="BJ109" s="25" t="n"/>
      <c r="BK109" s="26" t="n">
        <v>122</v>
      </c>
      <c r="BL109" s="27" t="n">
        <v>2.22</v>
      </c>
      <c r="BM109" s="28" t="n">
        <v>0.45045</v>
      </c>
      <c r="BN109" s="28" t="n"/>
      <c r="BO109" s="28" t="n"/>
      <c r="BP109" s="25" t="n"/>
      <c r="BQ109" s="27" t="n">
        <v>2.22</v>
      </c>
      <c r="BR109" s="28" t="n">
        <v>0.45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inlineStr">
        <is>
          <t>True</t>
        </is>
      </c>
    </row>
    <row r="110" ht="36" customHeight="1">
      <c r="A110" s="24" t="inlineStr">
        <is>
          <t>ecfc16f9de7e44dc</t>
        </is>
      </c>
      <c r="B110" s="24" t="inlineStr">
        <is>
          <t>2026-08-02T19:29:54.752777Z</t>
        </is>
      </c>
      <c r="C110" s="24" t="inlineStr">
        <is>
          <t>2026-08-02T22:00Z</t>
        </is>
      </c>
      <c r="D110" s="24" t="inlineStr">
        <is>
          <t>421-2026:182273</t>
        </is>
      </c>
      <c r="E110" s="24" t="inlineStr">
        <is>
          <t>TENNIS</t>
        </is>
      </c>
      <c r="F110" s="24" t="inlineStr">
        <is>
          <t>Lanlana Tararudee</t>
        </is>
      </c>
      <c r="G110" s="24" t="inlineStr">
        <is>
          <t>Emerson Jones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-203</v>
      </c>
      <c r="M110" s="27" t="n">
        <v>1.492611</v>
      </c>
      <c r="N110" s="28" t="n">
        <v>0.669967</v>
      </c>
      <c r="O110" s="28" t="n">
        <v>0.756798</v>
      </c>
      <c r="P110" s="28" t="n">
        <v>0.05</v>
      </c>
      <c r="Q110" s="28" t="n">
        <v>0.08683100000000001</v>
      </c>
      <c r="R110" s="26" t="n">
        <v>63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0</v>
      </c>
      <c r="Y110" s="25" t="n"/>
      <c r="Z110" s="26" t="n">
        <v>-203</v>
      </c>
      <c r="AA110" s="28" t="n">
        <v>0.67</v>
      </c>
      <c r="AB110" s="28" t="n">
        <v>3.3e-05</v>
      </c>
      <c r="AC110" s="30" t="n">
        <v>0.9852</v>
      </c>
      <c r="AD110" s="24" t="inlineStr">
        <is>
          <t>2026-08-03T22:55:18.213207Z</t>
        </is>
      </c>
      <c r="AE110" s="31" t="inlineStr">
        <is>
          <t>Surface-blended Elo on Hard: Lanlana Tararudee p=0.757 vs Emerson Jones. Executable ask 0.6700 (aec-wta-emejon-lantar-2026-08-02).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Lanlana Tararudee</t>
        </is>
      </c>
      <c r="AQ110" s="24" t="inlineStr">
        <is>
          <t>Lanlana Tararudee</t>
        </is>
      </c>
      <c r="AR110" s="24" t="inlineStr">
        <is>
          <t>Lanlana Tararudee</t>
        </is>
      </c>
      <c r="AS110" s="24" t="inlineStr">
        <is>
          <t>Emerson Jones</t>
        </is>
      </c>
      <c r="AT110" s="24" t="inlineStr">
        <is>
          <t>Emerson Jones</t>
        </is>
      </c>
      <c r="AU110" s="24" t="inlineStr">
        <is>
          <t>Emerson Jones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1c05a3c4f76bde5de709ff6bb1937b3c4c67149c2ea621b7c90ca07898e048e8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1c05a3c4f76bde5de709ff6bb1937b3c4c67149c2ea621b7c90ca07898e048e8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1c05a3c4f76bde5de709ff6bb1937b3c4c67149c2ea621b7c90ca07898e048e8</t>
        </is>
      </c>
      <c r="BH110" s="24" t="inlineStr">
        <is>
          <t>2026-08-02T19:28:08.485925Z</t>
        </is>
      </c>
      <c r="BI110" s="24" t="inlineStr">
        <is>
          <t>["same_event","same_team_same_day","same_league_same_day"]</t>
        </is>
      </c>
      <c r="BJ110" s="25" t="n"/>
      <c r="BK110" s="26" t="n">
        <v>-203</v>
      </c>
      <c r="BL110" s="27" t="n">
        <v>1.492611</v>
      </c>
      <c r="BM110" s="28" t="n">
        <v>0.669967</v>
      </c>
      <c r="BN110" s="28" t="n"/>
      <c r="BO110" s="28" t="n"/>
      <c r="BP110" s="25" t="n"/>
      <c r="BQ110" s="27" t="n">
        <v>1.492611</v>
      </c>
      <c r="BR110" s="28" t="n">
        <v>0.67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inlineStr">
        <is>
          <t>True</t>
        </is>
      </c>
    </row>
    <row r="111" ht="36" customHeight="1">
      <c r="A111" s="24" t="inlineStr">
        <is>
          <t>12f8df947c034fbf</t>
        </is>
      </c>
      <c r="B111" s="24" t="inlineStr">
        <is>
          <t>2026-08-02T19:29:54.752777Z</t>
        </is>
      </c>
      <c r="C111" s="24" t="inlineStr">
        <is>
          <t>2026-08-02T23:00Z</t>
        </is>
      </c>
      <c r="D111" s="24" t="inlineStr">
        <is>
          <t>421-2026:182274</t>
        </is>
      </c>
      <c r="E111" s="24" t="inlineStr">
        <is>
          <t>TENNIS</t>
        </is>
      </c>
      <c r="F111" s="24" t="inlineStr">
        <is>
          <t>Bianca Andreescu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-150</v>
      </c>
      <c r="M111" s="27" t="n">
        <v>1.666667</v>
      </c>
      <c r="N111" s="28" t="n">
        <v>0.6</v>
      </c>
      <c r="O111" s="28" t="n">
        <v>0.617346</v>
      </c>
      <c r="P111" s="28" t="n">
        <v>0.05</v>
      </c>
      <c r="Q111" s="28" t="n">
        <v>0.017346</v>
      </c>
      <c r="R111" s="26" t="n">
        <v>29</v>
      </c>
      <c r="S111" s="29" t="n">
        <v>1.5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-150</v>
      </c>
      <c r="AA111" s="28" t="n">
        <v>0.6</v>
      </c>
      <c r="AB111" s="28" t="n">
        <v>0</v>
      </c>
      <c r="AC111" s="30" t="n">
        <v>1</v>
      </c>
      <c r="AD111" s="24" t="inlineStr">
        <is>
          <t>2026-08-03T22:55:18.851928Z</t>
        </is>
      </c>
      <c r="AE111" s="31" t="inlineStr">
        <is>
          <t>Surface-blended Elo on Hard: Bianca Andreescu p=0.383 vs Nikola Bartunkova. Executable ask 0.6000 (aec-wta-nikbar-biaand-2026-08-02).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NO_CALL_LOW_EDGE</t>
        </is>
      </c>
      <c r="AP111" s="24" t="inlineStr">
        <is>
          <t>Bianca Andreescu</t>
        </is>
      </c>
      <c r="AQ111" s="24" t="inlineStr">
        <is>
          <t>Bianca Andreescu</t>
        </is>
      </c>
      <c r="AR111" s="24" t="inlineStr">
        <is>
          <t>Bianca Andreescu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1c05a3c4f76bde5de709ff6bb1937b3c4c67149c2ea621b7c90ca07898e048e8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1c05a3c4f76bde5de709ff6bb1937b3c4c67149c2ea621b7c90ca07898e048e8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1c05a3c4f76bde5de709ff6bb1937b3c4c67149c2ea621b7c90ca07898e048e8</t>
        </is>
      </c>
      <c r="BH111" s="24" t="inlineStr">
        <is>
          <t>2026-08-02T19:28:09.004921Z</t>
        </is>
      </c>
      <c r="BI111" s="24" t="inlineStr">
        <is>
          <t>["same_event","same_team_same_day","same_league_same_day"]</t>
        </is>
      </c>
      <c r="BJ111" s="25" t="n"/>
      <c r="BK111" s="26" t="n">
        <v>-150</v>
      </c>
      <c r="BL111" s="27" t="n">
        <v>1.666667</v>
      </c>
      <c r="BM111" s="28" t="n">
        <v>0.6</v>
      </c>
      <c r="BN111" s="28" t="n"/>
      <c r="BO111" s="28" t="n"/>
      <c r="BP111" s="25" t="n"/>
      <c r="BQ111" s="27" t="n">
        <v>1.666667</v>
      </c>
      <c r="BR111" s="28" t="n">
        <v>0.6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inlineStr">
        <is>
          <t>True</t>
        </is>
      </c>
    </row>
    <row r="112" ht="36" customHeight="1">
      <c r="A112" s="24" t="inlineStr">
        <is>
          <t>f7fcadfe3a0b4144</t>
        </is>
      </c>
      <c r="B112" s="24" t="inlineStr">
        <is>
          <t>2026-08-02T19:29:54.752777Z</t>
        </is>
      </c>
      <c r="C112" s="24" t="inlineStr">
        <is>
          <t>2026-08-02T22:00Z</t>
        </is>
      </c>
      <c r="D112" s="24" t="inlineStr">
        <is>
          <t>421-2026:181781</t>
        </is>
      </c>
      <c r="E112" s="24" t="inlineStr">
        <is>
          <t>TENNIS</t>
        </is>
      </c>
      <c r="F112" s="24" t="inlineStr">
        <is>
          <t>Marin Cilic</t>
        </is>
      </c>
      <c r="G112" s="24" t="inlineStr">
        <is>
          <t>Sho Shimabukuro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-133</v>
      </c>
      <c r="M112" s="27" t="n">
        <v>1.75188</v>
      </c>
      <c r="N112" s="28" t="n">
        <v>0.570815</v>
      </c>
      <c r="O112" s="28" t="n">
        <v>0.529427</v>
      </c>
      <c r="P112" s="28" t="n">
        <v>0.05</v>
      </c>
      <c r="Q112" s="28" t="n">
        <v>-0.041388</v>
      </c>
      <c r="R112" s="26" t="n">
        <v>0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0</v>
      </c>
      <c r="Y112" s="25" t="n"/>
      <c r="Z112" s="26" t="n">
        <v>-133</v>
      </c>
      <c r="AA112" s="28" t="n">
        <v>0.57</v>
      </c>
      <c r="AB112" s="28" t="n">
        <v>-0.000815</v>
      </c>
      <c r="AC112" s="30" t="n">
        <v>0.7519</v>
      </c>
      <c r="AD112" s="24" t="inlineStr">
        <is>
          <t>2026-08-04T01:58:24.708909Z</t>
        </is>
      </c>
      <c r="AE112" s="31" t="inlineStr">
        <is>
          <t>Surface-blended Elo on Hard: Marin Cilic p=0.529 vs Sho Shimabukuro. Executable ask 0.5700 (aec-atp-shoshi-marcil-2026-08-02).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Marin Cilic</t>
        </is>
      </c>
      <c r="AQ112" s="24" t="inlineStr">
        <is>
          <t>Marin Cilic</t>
        </is>
      </c>
      <c r="AR112" s="24" t="inlineStr">
        <is>
          <t>Marin Cilic</t>
        </is>
      </c>
      <c r="AS112" s="24" t="inlineStr">
        <is>
          <t>Sho Shimabukuro</t>
        </is>
      </c>
      <c r="AT112" s="24" t="inlineStr">
        <is>
          <t>Sho Shimabukuro</t>
        </is>
      </c>
      <c r="AU112" s="24" t="inlineStr">
        <is>
          <t>Sho Shimabukuro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1c05a3c4f76bde5de709ff6bb1937b3c4c67149c2ea621b7c90ca07898e048e8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1c05a3c4f76bde5de709ff6bb1937b3c4c67149c2ea621b7c90ca07898e048e8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1c05a3c4f76bde5de709ff6bb1937b3c4c67149c2ea621b7c90ca07898e048e8</t>
        </is>
      </c>
      <c r="BH112" s="24" t="inlineStr">
        <is>
          <t>2026-08-02T19:28:25.674118Z</t>
        </is>
      </c>
      <c r="BI112" s="24" t="inlineStr">
        <is>
          <t>["same_event","same_team_same_day","same_league_same_day"]</t>
        </is>
      </c>
      <c r="BJ112" s="25" t="n"/>
      <c r="BK112" s="26" t="n">
        <v>-133</v>
      </c>
      <c r="BL112" s="27" t="n">
        <v>1.75188</v>
      </c>
      <c r="BM112" s="28" t="n">
        <v>0.570815</v>
      </c>
      <c r="BN112" s="28" t="n"/>
      <c r="BO112" s="28" t="n"/>
      <c r="BP112" s="25" t="n"/>
      <c r="BQ112" s="27" t="n">
        <v>1.75188</v>
      </c>
      <c r="BR112" s="28" t="n">
        <v>0.57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inlineStr">
        <is>
          <t>False</t>
        </is>
      </c>
    </row>
    <row r="113" ht="36" customHeight="1">
      <c r="A113" s="24" t="inlineStr">
        <is>
          <t>5f45a6922d024782</t>
        </is>
      </c>
      <c r="B113" s="24" t="inlineStr">
        <is>
          <t>2026-08-02T19:29:54.752777Z</t>
        </is>
      </c>
      <c r="C113" s="24" t="inlineStr">
        <is>
          <t>2026-08-02T23:00Z</t>
        </is>
      </c>
      <c r="D113" s="24" t="inlineStr">
        <is>
          <t>421-2026:181801</t>
        </is>
      </c>
      <c r="E113" s="24" t="inlineStr">
        <is>
          <t>TENNIS</t>
        </is>
      </c>
      <c r="F113" s="24" t="inlineStr">
        <is>
          <t>Kyrian Jacquet</t>
        </is>
      </c>
      <c r="G113" s="24" t="inlineStr">
        <is>
          <t>Gabriel Diallo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-117</v>
      </c>
      <c r="M113" s="27" t="n">
        <v>1.854701</v>
      </c>
      <c r="N113" s="28" t="n">
        <v>0.539171</v>
      </c>
      <c r="O113" s="28" t="n">
        <v>0.5845590000000001</v>
      </c>
      <c r="P113" s="28" t="n">
        <v>0.05</v>
      </c>
      <c r="Q113" s="28" t="n">
        <v>0.045388</v>
      </c>
      <c r="R113" s="26" t="n">
        <v>43</v>
      </c>
      <c r="S113" s="29" t="n">
        <v>1.25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-117</v>
      </c>
      <c r="AA113" s="28" t="n">
        <v>0.54</v>
      </c>
      <c r="AB113" s="28" t="n">
        <v>0.000829</v>
      </c>
      <c r="AC113" s="30" t="n">
        <v>1.0684</v>
      </c>
      <c r="AD113" s="24" t="inlineStr">
        <is>
          <t>2026-08-04T03:57:49.431787Z</t>
        </is>
      </c>
      <c r="AE113" s="31" t="inlineStr">
        <is>
          <t>Surface-blended Elo on Hard: Kyrian Jacquet p=0.415 vs Gabriel Diallo. Executable ask 0.5400 (aec-atp-gabdia-kyrjac-2026-08-02).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NO_CALL_LOW_EDGE</t>
        </is>
      </c>
      <c r="AP113" s="24" t="inlineStr">
        <is>
          <t>Kyrian Jacquet</t>
        </is>
      </c>
      <c r="AQ113" s="24" t="inlineStr">
        <is>
          <t>Kyrian Jacquet</t>
        </is>
      </c>
      <c r="AR113" s="24" t="inlineStr">
        <is>
          <t>Kyrian Jacquet</t>
        </is>
      </c>
      <c r="AS113" s="24" t="inlineStr">
        <is>
          <t>Gabriel Diallo</t>
        </is>
      </c>
      <c r="AT113" s="24" t="inlineStr">
        <is>
          <t>Gabriel Diallo</t>
        </is>
      </c>
      <c r="AU113" s="24" t="inlineStr">
        <is>
          <t>Gabriel Diallo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1c05a3c4f76bde5de709ff6bb1937b3c4c67149c2ea621b7c90ca07898e048e8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1c05a3c4f76bde5de709ff6bb1937b3c4c67149c2ea621b7c90ca07898e048e8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1c05a3c4f76bde5de709ff6bb1937b3c4c67149c2ea621b7c90ca07898e048e8</t>
        </is>
      </c>
      <c r="BH113" s="24" t="inlineStr">
        <is>
          <t>2026-08-02T19:28:27.060091Z</t>
        </is>
      </c>
      <c r="BI113" s="24" t="inlineStr">
        <is>
          <t>["same_event","same_team_same_day","same_league_same_day"]</t>
        </is>
      </c>
      <c r="BJ113" s="25" t="n"/>
      <c r="BK113" s="26" t="n">
        <v>-117</v>
      </c>
      <c r="BL113" s="27" t="n">
        <v>1.854701</v>
      </c>
      <c r="BM113" s="28" t="n">
        <v>0.539171</v>
      </c>
      <c r="BN113" s="28" t="n"/>
      <c r="BO113" s="28" t="n"/>
      <c r="BP113" s="25" t="n"/>
      <c r="BQ113" s="27" t="n">
        <v>1.854701</v>
      </c>
      <c r="BR113" s="28" t="n">
        <v>0.54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inlineStr">
        <is>
          <t>True</t>
        </is>
      </c>
    </row>
    <row r="114" ht="36" customHeight="1">
      <c r="A114" s="24" t="inlineStr">
        <is>
          <t>c28fa2c4b30e4090</t>
        </is>
      </c>
      <c r="B114" s="24" t="inlineStr">
        <is>
          <t>2026-08-02T23:15:07.472650Z</t>
        </is>
      </c>
      <c r="C114" s="24" t="inlineStr">
        <is>
          <t>2026-08-02T23:30Z</t>
        </is>
      </c>
      <c r="D114" s="24" t="inlineStr">
        <is>
          <t>421-2026:182240</t>
        </is>
      </c>
      <c r="E114" s="24" t="inlineStr">
        <is>
          <t>TENNIS</t>
        </is>
      </c>
      <c r="F114" s="24" t="inlineStr">
        <is>
          <t>Cadence Brace</t>
        </is>
      </c>
      <c r="G114" s="24" t="inlineStr">
        <is>
          <t>McCartney Kessler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-567</v>
      </c>
      <c r="M114" s="27" t="n">
        <v>1.176367</v>
      </c>
      <c r="N114" s="28" t="n">
        <v>0.850075</v>
      </c>
      <c r="O114" s="28" t="n">
        <v>0.7637620000000001</v>
      </c>
      <c r="P114" s="28" t="n">
        <v>0.05</v>
      </c>
      <c r="Q114" s="28" t="n">
        <v>-0.086313</v>
      </c>
      <c r="R114" s="26" t="n">
        <v>0</v>
      </c>
      <c r="S114" s="29" t="n">
        <v>2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-567</v>
      </c>
      <c r="AA114" s="28" t="n">
        <v>0.85</v>
      </c>
      <c r="AB114" s="28" t="n">
        <v>-7.499999999999999e-05</v>
      </c>
      <c r="AC114" s="30" t="n">
        <v>0.3527</v>
      </c>
      <c r="AD114" s="24" t="inlineStr">
        <is>
          <t>2026-08-03T19:51:46.656550Z</t>
        </is>
      </c>
      <c r="AE114" s="31" t="inlineStr">
        <is>
          <t>Surface-blended Elo on Hard: Cadence Brace p=0.236 vs McCartney Kessler. Executable ask 0.8500 (aec-wta-mcckes-cadbra-2026-08-02).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Cadence Brace</t>
        </is>
      </c>
      <c r="AQ114" s="24" t="inlineStr">
        <is>
          <t>Cadence Brace</t>
        </is>
      </c>
      <c r="AR114" s="24" t="inlineStr">
        <is>
          <t>Cadence Brace</t>
        </is>
      </c>
      <c r="AS114" s="24" t="inlineStr">
        <is>
          <t>McCartney Kessler</t>
        </is>
      </c>
      <c r="AT114" s="24" t="inlineStr">
        <is>
          <t>McCartney Kessler</t>
        </is>
      </c>
      <c r="AU114" s="24" t="inlineStr">
        <is>
          <t>McCartney Kessler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1c05a3c4f76bde5de709ff6bb1937b3c4c67149c2ea621b7c90ca07898e048e8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1c05a3c4f76bde5de709ff6bb1937b3c4c67149c2ea621b7c90ca07898e048e8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1c05a3c4f76bde5de709ff6bb1937b3c4c67149c2ea621b7c90ca07898e048e8</t>
        </is>
      </c>
      <c r="BH114" s="24" t="inlineStr">
        <is>
          <t>2026-08-02T23:14:14.033498Z</t>
        </is>
      </c>
      <c r="BI114" s="24" t="inlineStr">
        <is>
          <t>["same_event","same_team_same_day","same_league_same_day"]</t>
        </is>
      </c>
      <c r="BJ114" s="25" t="n"/>
      <c r="BK114" s="26" t="n">
        <v>-567</v>
      </c>
      <c r="BL114" s="27" t="n">
        <v>1.176367</v>
      </c>
      <c r="BM114" s="28" t="n">
        <v>0.850075</v>
      </c>
      <c r="BN114" s="28" t="n"/>
      <c r="BO114" s="28" t="n"/>
      <c r="BP114" s="25" t="n"/>
      <c r="BQ114" s="27" t="n">
        <v>1.176367</v>
      </c>
      <c r="BR114" s="28" t="n">
        <v>0.85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inlineStr">
        <is>
          <t>False</t>
        </is>
      </c>
    </row>
    <row r="115" ht="36" customHeight="1">
      <c r="A115" s="24" t="inlineStr">
        <is>
          <t>50a9769a771546da</t>
        </is>
      </c>
      <c r="B115" s="24" t="inlineStr">
        <is>
          <t>2026-08-02T23:15:07.472650Z</t>
        </is>
      </c>
      <c r="C115" s="24" t="inlineStr">
        <is>
          <t>2026-08-03T00:10Z</t>
        </is>
      </c>
      <c r="D115" s="24" t="inlineStr">
        <is>
          <t>421-2026:182283</t>
        </is>
      </c>
      <c r="E115" s="24" t="inlineStr">
        <is>
          <t>TENNIS</t>
        </is>
      </c>
      <c r="F115" s="24" t="inlineStr">
        <is>
          <t>Elisabetta Cocciaretto</t>
        </is>
      </c>
      <c r="G115" s="24" t="inlineStr">
        <is>
          <t>Talia Gibson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0.578226</v>
      </c>
      <c r="P115" s="28" t="n">
        <v>0.05</v>
      </c>
      <c r="Q115" s="28" t="n">
        <v>-0.011938</v>
      </c>
      <c r="R115" s="26" t="n">
        <v>14</v>
      </c>
      <c r="S115" s="29" t="n">
        <v>1.25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-144</v>
      </c>
      <c r="AA115" s="28" t="n">
        <v>0.59</v>
      </c>
      <c r="AB115" s="28" t="n">
        <v>-0.000164</v>
      </c>
      <c r="AC115" s="30" t="n">
        <v>-1.25</v>
      </c>
      <c r="AD115" s="24" t="inlineStr">
        <is>
          <t>2026-08-03T19:51:47.344375Z</t>
        </is>
      </c>
      <c r="AE115" s="31" t="inlineStr">
        <is>
          <t>Surface-blended Elo on Hard: Elisabetta Cocciaretto p=0.578 vs Talia Gibson. Executable ask 0.5900 (aec-wta-talgib-elicoc-2026-08-02).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Elisabetta Cocciaretto</t>
        </is>
      </c>
      <c r="AQ115" s="24" t="inlineStr">
        <is>
          <t>Elisabetta Cocciaretto</t>
        </is>
      </c>
      <c r="AR115" s="24" t="inlineStr">
        <is>
          <t>Elisabetta Cocciaretto</t>
        </is>
      </c>
      <c r="AS115" s="24" t="inlineStr">
        <is>
          <t>Talia Gibson</t>
        </is>
      </c>
      <c r="AT115" s="24" t="inlineStr">
        <is>
          <t>Talia Gibson</t>
        </is>
      </c>
      <c r="AU115" s="24" t="inlineStr">
        <is>
          <t>Talia Gibson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1c05a3c4f76bde5de709ff6bb1937b3c4c67149c2ea621b7c90ca07898e048e8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1c05a3c4f76bde5de709ff6bb1937b3c4c67149c2ea621b7c90ca07898e048e8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1c05a3c4f76bde5de709ff6bb1937b3c4c67149c2ea621b7c90ca07898e048e8</t>
        </is>
      </c>
      <c r="BH115" s="24" t="inlineStr">
        <is>
          <t>2026-08-02T23:14:15.722899Z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>
        <v>1.694444</v>
      </c>
      <c r="BR115" s="28" t="n">
        <v>0.59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inlineStr">
        <is>
          <t>False</t>
        </is>
      </c>
    </row>
    <row r="116" ht="36" customHeight="1">
      <c r="A116" s="24" t="inlineStr">
        <is>
          <t>04523026a0c54f5f</t>
        </is>
      </c>
      <c r="B116" s="24" t="inlineStr">
        <is>
          <t>2026-08-02T23:15:07.472650Z</t>
        </is>
      </c>
      <c r="C116" s="24" t="inlineStr">
        <is>
          <t>2026-08-03T00:30Z</t>
        </is>
      </c>
      <c r="D116" s="24" t="inlineStr">
        <is>
          <t>421-2026:182281</t>
        </is>
      </c>
      <c r="E116" s="24" t="inlineStr">
        <is>
          <t>TENNIS</t>
        </is>
      </c>
      <c r="F116" s="24" t="inlineStr">
        <is>
          <t>Zhang Shuai</t>
        </is>
      </c>
      <c r="G116" s="24" t="inlineStr">
        <is>
          <t>Yulia Putintseva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0.630736</v>
      </c>
      <c r="P116" s="28" t="n">
        <v>0.05</v>
      </c>
      <c r="Q116" s="28" t="n">
        <v>-0.029128</v>
      </c>
      <c r="R116" s="26" t="n">
        <v>5</v>
      </c>
      <c r="S116" s="29" t="n">
        <v>1.5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0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-1.5</v>
      </c>
      <c r="AD116" s="24" t="inlineStr">
        <is>
          <t>2026-08-03T19:51:47.996605Z</t>
        </is>
      </c>
      <c r="AE116" s="31" t="inlineStr">
        <is>
          <t>Surface-blended Elo on Hard: Zhang Shuai p=0.369 vs Yulia Putintseva. Executable ask 0.6600 (aec-wta-yulput-shuzha-2026-08-02).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Zhang Shuai</t>
        </is>
      </c>
      <c r="AQ116" s="24" t="inlineStr">
        <is>
          <t>Zhang Shuai</t>
        </is>
      </c>
      <c r="AR116" s="24" t="inlineStr">
        <is>
          <t>Zhang Shuai</t>
        </is>
      </c>
      <c r="AS116" s="24" t="inlineStr">
        <is>
          <t>Yulia Putintseva</t>
        </is>
      </c>
      <c r="AT116" s="24" t="inlineStr">
        <is>
          <t>Yulia Putintseva</t>
        </is>
      </c>
      <c r="AU116" s="24" t="inlineStr">
        <is>
          <t>Yulia Putintseva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1c05a3c4f76bde5de709ff6bb1937b3c4c67149c2ea621b7c90ca07898e048e8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1c05a3c4f76bde5de709ff6bb1937b3c4c67149c2ea621b7c90ca07898e048e8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1c05a3c4f76bde5de709ff6bb1937b3c4c67149c2ea621b7c90ca07898e048e8</t>
        </is>
      </c>
      <c r="BH116" s="24" t="inlineStr">
        <is>
          <t>2026-08-02T23:14:16.187248Z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inlineStr">
        <is>
          <t>False</t>
        </is>
      </c>
    </row>
    <row r="117" ht="36" customHeight="1">
      <c r="A117" s="24" t="inlineStr">
        <is>
          <t>93584daeac574ccd</t>
        </is>
      </c>
      <c r="B117" s="24" t="inlineStr">
        <is>
          <t>2026-08-03T06:27:55.084267Z</t>
        </is>
      </c>
      <c r="C117" s="24" t="inlineStr">
        <is>
          <t>2026-08-03T09:00Z</t>
        </is>
      </c>
      <c r="D117" s="24" t="inlineStr">
        <is>
          <t>961-2026:182085</t>
        </is>
      </c>
      <c r="E117" s="24" t="inlineStr">
        <is>
          <t>TENNIS</t>
        </is>
      </c>
      <c r="F117" s="24" t="inlineStr">
        <is>
          <t>Urszula Radwanska</t>
        </is>
      </c>
      <c r="G117" s="24" t="inlineStr">
        <is>
          <t>Aliona Falei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-1011</v>
      </c>
      <c r="M117" s="27" t="n">
        <v>1.098912</v>
      </c>
      <c r="N117" s="28" t="n">
        <v>0.909991</v>
      </c>
      <c r="O117" s="28" t="n">
        <v>0.542282</v>
      </c>
      <c r="P117" s="28" t="n">
        <v>0.05</v>
      </c>
      <c r="Q117" s="28" t="n">
        <v>-0.367709</v>
      </c>
      <c r="R117" s="26" t="n">
        <v>0</v>
      </c>
      <c r="S117" s="29" t="n">
        <v>1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-1011</v>
      </c>
      <c r="AA117" s="28" t="n">
        <v>0.91</v>
      </c>
      <c r="AB117" s="28" t="n">
        <v>9e-06</v>
      </c>
      <c r="AC117" s="30" t="n">
        <v>0.0989</v>
      </c>
      <c r="AD117" s="24" t="inlineStr">
        <is>
          <t>2026-08-03T10:55:33.371134Z</t>
        </is>
      </c>
      <c r="AE117" s="31" t="inlineStr">
        <is>
          <t>Surface-blended Elo on Hard: Urszula Radwanska p=0.458 vs Aliona Falei. Executable ask 0.9100 (aec-wta-alifal-ursrad-2026-08-03).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Urszula Radwanska</t>
        </is>
      </c>
      <c r="AQ117" s="24" t="inlineStr">
        <is>
          <t>Urszula Radwanska</t>
        </is>
      </c>
      <c r="AR117" s="24" t="inlineStr">
        <is>
          <t>Urszula Radwanska</t>
        </is>
      </c>
      <c r="AS117" s="24" t="inlineStr">
        <is>
          <t>Aliona Falei</t>
        </is>
      </c>
      <c r="AT117" s="24" t="inlineStr">
        <is>
          <t>Aliona Falei</t>
        </is>
      </c>
      <c r="AU117" s="24" t="inlineStr">
        <is>
          <t>Aliona Falei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1c05a3c4f76bde5de709ff6bb1937b3c4c67149c2ea621b7c90ca07898e048e8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1c05a3c4f76bde5de709ff6bb1937b3c4c67149c2ea621b7c90ca07898e048e8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1c05a3c4f76bde5de709ff6bb1937b3c4c67149c2ea621b7c90ca07898e048e8</t>
        </is>
      </c>
      <c r="BH117" s="24" t="inlineStr">
        <is>
          <t>2026-08-03T06:24:02.597792Z</t>
        </is>
      </c>
      <c r="BI117" s="24" t="inlineStr">
        <is>
          <t>["same_event","same_team_same_day","same_league_same_day"]</t>
        </is>
      </c>
      <c r="BJ117" s="25" t="n"/>
      <c r="BK117" s="26" t="n">
        <v>-1011</v>
      </c>
      <c r="BL117" s="27" t="n">
        <v>1.098912</v>
      </c>
      <c r="BM117" s="28" t="n">
        <v>0.909991</v>
      </c>
      <c r="BN117" s="28" t="n"/>
      <c r="BO117" s="28" t="n"/>
      <c r="BP117" s="25" t="n"/>
      <c r="BQ117" s="27" t="n">
        <v>1.098912</v>
      </c>
      <c r="BR117" s="28" t="n">
        <v>0.91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inlineStr">
        <is>
          <t>False</t>
        </is>
      </c>
    </row>
    <row r="118" ht="36" customHeight="1">
      <c r="A118" s="24" t="inlineStr">
        <is>
          <t>99fed0ec01a746ab</t>
        </is>
      </c>
      <c r="B118" s="24" t="inlineStr">
        <is>
          <t>2026-08-03T06:27:55.084267Z</t>
        </is>
      </c>
      <c r="C118" s="24" t="inlineStr">
        <is>
          <t>2026-08-03T09:00Z</t>
        </is>
      </c>
      <c r="D118" s="24" t="inlineStr">
        <is>
          <t>961-2026:182095</t>
        </is>
      </c>
      <c r="E118" s="24" t="inlineStr">
        <is>
          <t>TENNIS</t>
        </is>
      </c>
      <c r="F118" s="24" t="inlineStr">
        <is>
          <t>Noma Noha Akugue</t>
        </is>
      </c>
      <c r="G118" s="24" t="inlineStr">
        <is>
          <t>Julia Avdeeva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-144</v>
      </c>
      <c r="M118" s="27" t="n">
        <v>1.694444</v>
      </c>
      <c r="N118" s="28" t="n">
        <v>0.590164</v>
      </c>
      <c r="O118" s="28" t="n">
        <v>0.593929</v>
      </c>
      <c r="P118" s="28" t="n">
        <v>0.05</v>
      </c>
      <c r="Q118" s="28" t="n">
        <v>0.003765</v>
      </c>
      <c r="R118" s="26" t="n">
        <v>22</v>
      </c>
      <c r="S118" s="29" t="n">
        <v>1.25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-144</v>
      </c>
      <c r="AA118" s="28" t="n">
        <v>0.59</v>
      </c>
      <c r="AB118" s="28" t="n">
        <v>-0.000164</v>
      </c>
      <c r="AC118" s="30" t="n">
        <v>0.8681</v>
      </c>
      <c r="AD118" s="24" t="inlineStr">
        <is>
          <t>2026-08-03T10:45:15.905948Z</t>
        </is>
      </c>
      <c r="AE118" s="31" t="inlineStr">
        <is>
          <t>Surface-blended Elo on Hard: Noma Noha Akugue p=0.594 vs Julia Avdeeva. Executable ask 0.5900 (aec-wta-julavd-nomaku-2026-08-03).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Noma Noha Akugue</t>
        </is>
      </c>
      <c r="AQ118" s="24" t="inlineStr">
        <is>
          <t>Noma Noha Akugue</t>
        </is>
      </c>
      <c r="AR118" s="24" t="inlineStr">
        <is>
          <t>Noma Noha Akugue</t>
        </is>
      </c>
      <c r="AS118" s="24" t="inlineStr">
        <is>
          <t>Julia Avdeeva</t>
        </is>
      </c>
      <c r="AT118" s="24" t="inlineStr">
        <is>
          <t>Julia Avdeeva</t>
        </is>
      </c>
      <c r="AU118" s="24" t="inlineStr">
        <is>
          <t>Julia Avdeeva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1c05a3c4f76bde5de709ff6bb1937b3c4c67149c2ea621b7c90ca07898e048e8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1c05a3c4f76bde5de709ff6bb1937b3c4c67149c2ea621b7c90ca07898e048e8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1c05a3c4f76bde5de709ff6bb1937b3c4c67149c2ea621b7c90ca07898e048e8</t>
        </is>
      </c>
      <c r="BH118" s="24" t="inlineStr">
        <is>
          <t>2026-08-03T06:24:02.533380Z</t>
        </is>
      </c>
      <c r="BI118" s="24" t="inlineStr">
        <is>
          <t>["same_event","same_team_same_day","same_league_same_day"]</t>
        </is>
      </c>
      <c r="BJ118" s="25" t="n"/>
      <c r="BK118" s="26" t="n">
        <v>-144</v>
      </c>
      <c r="BL118" s="27" t="n">
        <v>1.694444</v>
      </c>
      <c r="BM118" s="28" t="n">
        <v>0.590164</v>
      </c>
      <c r="BN118" s="28" t="n"/>
      <c r="BO118" s="28" t="n"/>
      <c r="BP118" s="25" t="n"/>
      <c r="BQ118" s="27" t="n">
        <v>1.694444</v>
      </c>
      <c r="BR118" s="28" t="n">
        <v>0.59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inlineStr">
        <is>
          <t>True</t>
        </is>
      </c>
    </row>
    <row r="119" ht="36" customHeight="1">
      <c r="A119" s="24" t="inlineStr">
        <is>
          <t>0f349e7a062d4df1</t>
        </is>
      </c>
      <c r="B119" s="24" t="inlineStr">
        <is>
          <t>2026-08-03T10:11:30.218358Z</t>
        </is>
      </c>
      <c r="C119" s="24" t="inlineStr">
        <is>
          <t>2026-08-03T10:30Z</t>
        </is>
      </c>
      <c r="D119" s="24" t="inlineStr">
        <is>
          <t>961-2026:182084</t>
        </is>
      </c>
      <c r="E119" s="24" t="inlineStr">
        <is>
          <t>TENNIS</t>
        </is>
      </c>
      <c r="F119" s="24" t="inlineStr">
        <is>
          <t>Veronika Podrez</t>
        </is>
      </c>
      <c r="G119" s="24" t="inlineStr">
        <is>
          <t>Elena Micic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-194</v>
      </c>
      <c r="M119" s="27" t="n">
        <v>1.515464</v>
      </c>
      <c r="N119" s="28" t="n">
        <v>0.659864</v>
      </c>
      <c r="O119" s="28" t="n">
        <v>0.636428</v>
      </c>
      <c r="P119" s="28" t="n">
        <v>0.05</v>
      </c>
      <c r="Q119" s="28" t="n">
        <v>-0.023436</v>
      </c>
      <c r="R119" s="26" t="n">
        <v>8</v>
      </c>
      <c r="S119" s="29" t="n">
        <v>1.5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-194</v>
      </c>
      <c r="AA119" s="28" t="n">
        <v>0.66</v>
      </c>
      <c r="AB119" s="28" t="n">
        <v>0.000136</v>
      </c>
      <c r="AC119" s="30" t="n">
        <v>0.7732</v>
      </c>
      <c r="AD119" s="24" t="inlineStr">
        <is>
          <t>2026-08-03T13:27:04.811378Z</t>
        </is>
      </c>
      <c r="AE119" s="31" t="inlineStr">
        <is>
          <t>Surface-blended Elo on Hard: Veronika Podrez p=0.636 vs Elena Micic. Executable ask 0.6600 (aec-wta-elemic-verpod-2026-08-03).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NO_CALL_LOW_EDGE</t>
        </is>
      </c>
      <c r="AP119" s="24" t="inlineStr">
        <is>
          <t>Veronika Podrez</t>
        </is>
      </c>
      <c r="AQ119" s="24" t="inlineStr">
        <is>
          <t>Veronika Podrez</t>
        </is>
      </c>
      <c r="AR119" s="24" t="inlineStr">
        <is>
          <t>Veronika Podrez</t>
        </is>
      </c>
      <c r="AS119" s="24" t="inlineStr">
        <is>
          <t>Elena Micic</t>
        </is>
      </c>
      <c r="AT119" s="24" t="inlineStr">
        <is>
          <t>Elena Micic</t>
        </is>
      </c>
      <c r="AU119" s="24" t="inlineStr">
        <is>
          <t>Elena Micic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1c05a3c4f76bde5de709ff6bb1937b3c4c67149c2ea621b7c90ca07898e048e8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1c05a3c4f76bde5de709ff6bb1937b3c4c67149c2ea621b7c90ca07898e048e8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1c05a3c4f76bde5de709ff6bb1937b3c4c67149c2ea621b7c90ca07898e048e8</t>
        </is>
      </c>
      <c r="BH119" s="24" t="inlineStr">
        <is>
          <t>2026-08-03T10:07:44.935152Z</t>
        </is>
      </c>
      <c r="BI119" s="24" t="inlineStr">
        <is>
          <t>["same_event","same_team_same_day","same_league_same_day"]</t>
        </is>
      </c>
      <c r="BJ119" s="25" t="n"/>
      <c r="BK119" s="26" t="n">
        <v>-194</v>
      </c>
      <c r="BL119" s="27" t="n">
        <v>1.515464</v>
      </c>
      <c r="BM119" s="28" t="n">
        <v>0.659864</v>
      </c>
      <c r="BN119" s="28" t="n"/>
      <c r="BO119" s="28" t="n"/>
      <c r="BP119" s="25" t="n"/>
      <c r="BQ119" s="27" t="n">
        <v>1.515464</v>
      </c>
      <c r="BR119" s="28" t="n">
        <v>0.66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inlineStr">
        <is>
          <t>False</t>
        </is>
      </c>
    </row>
    <row r="120" ht="36" customHeight="1">
      <c r="A120" s="24" t="inlineStr">
        <is>
          <t>388b5037c50b410d</t>
        </is>
      </c>
      <c r="B120" s="24" t="inlineStr">
        <is>
          <t>2026-08-03T10:58:25.846671Z</t>
        </is>
      </c>
      <c r="C120" s="24" t="inlineStr">
        <is>
          <t>2026-08-03T12:00Z</t>
        </is>
      </c>
      <c r="D120" s="24" t="inlineStr">
        <is>
          <t>961-2026:182086</t>
        </is>
      </c>
      <c r="E120" s="24" t="inlineStr">
        <is>
          <t>TENNIS</t>
        </is>
      </c>
      <c r="F120" s="24" t="inlineStr">
        <is>
          <t>Linda Fruhvirtova</t>
        </is>
      </c>
      <c r="G120" s="24" t="inlineStr">
        <is>
          <t>Katarzyna Kawa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138</v>
      </c>
      <c r="M120" s="27" t="n">
        <v>2.38</v>
      </c>
      <c r="N120" s="28" t="n">
        <v>0.420168</v>
      </c>
      <c r="O120" s="28" t="n">
        <v>0.696908</v>
      </c>
      <c r="P120" s="28" t="n">
        <v>0.05</v>
      </c>
      <c r="Q120" s="28" t="n">
        <v>0.27674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138</v>
      </c>
      <c r="AA120" s="28" t="n">
        <v>0.42</v>
      </c>
      <c r="AB120" s="28" t="n">
        <v>-0.000168</v>
      </c>
      <c r="AC120" s="30" t="n">
        <v>2.76</v>
      </c>
      <c r="AD120" s="24" t="inlineStr">
        <is>
          <t>2026-08-03T15:52:09.076998Z</t>
        </is>
      </c>
      <c r="AE120" s="31" t="inlineStr">
        <is>
          <t>Surface-blended Elo on Hard: Linda Fruhvirtova p=0.303 vs Katarzyna Kawa. Executable ask 0.4200 (aec-wta-katkaw-linfru-2026-08-03).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Linda Fruhvirtova</t>
        </is>
      </c>
      <c r="AQ120" s="24" t="inlineStr">
        <is>
          <t>Linda Fruhvirtova</t>
        </is>
      </c>
      <c r="AR120" s="24" t="inlineStr">
        <is>
          <t>Linda Fruhvirtova</t>
        </is>
      </c>
      <c r="AS120" s="24" t="inlineStr">
        <is>
          <t>Katarzyna Kawa</t>
        </is>
      </c>
      <c r="AT120" s="24" t="inlineStr">
        <is>
          <t>Katarzyna Kawa</t>
        </is>
      </c>
      <c r="AU120" s="24" t="inlineStr">
        <is>
          <t>Katarzyna Kawa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1c05a3c4f76bde5de709ff6bb1937b3c4c67149c2ea621b7c90ca07898e048e8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1c05a3c4f76bde5de709ff6bb1937b3c4c67149c2ea621b7c90ca07898e048e8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1c05a3c4f76bde5de709ff6bb1937b3c4c67149c2ea621b7c90ca07898e048e8</t>
        </is>
      </c>
      <c r="BH120" s="24" t="inlineStr">
        <is>
          <t>2026-08-03T10:56:35.022679Z</t>
        </is>
      </c>
      <c r="BI120" s="24" t="inlineStr">
        <is>
          <t>["same_event","same_team_same_day","same_league_same_day"]</t>
        </is>
      </c>
      <c r="BJ120" s="25" t="n"/>
      <c r="BK120" s="26" t="n">
        <v>138</v>
      </c>
      <c r="BL120" s="27" t="n">
        <v>2.38</v>
      </c>
      <c r="BM120" s="28" t="n">
        <v>0.420168</v>
      </c>
      <c r="BN120" s="28" t="n"/>
      <c r="BO120" s="28" t="n"/>
      <c r="BP120" s="25" t="n"/>
      <c r="BQ120" s="27" t="n">
        <v>2.38</v>
      </c>
      <c r="BR120" s="28" t="n">
        <v>0.42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inlineStr">
        <is>
          <t>True</t>
        </is>
      </c>
    </row>
    <row r="121" ht="36" customHeight="1">
      <c r="A121" s="24" t="inlineStr">
        <is>
          <t>ec07b4d332a9454c</t>
        </is>
      </c>
      <c r="B121" s="24" t="inlineStr">
        <is>
          <t>2026-08-03T10:58:25.846671Z</t>
        </is>
      </c>
      <c r="C121" s="24" t="inlineStr">
        <is>
          <t>2026-08-03T12:00Z</t>
        </is>
      </c>
      <c r="D121" s="24" t="inlineStr">
        <is>
          <t>961-2026:182090</t>
        </is>
      </c>
      <c r="E121" s="24" t="inlineStr">
        <is>
          <t>TENNIS</t>
        </is>
      </c>
      <c r="F121" s="24" t="inlineStr">
        <is>
          <t>Yuan Yue</t>
        </is>
      </c>
      <c r="G121" s="24" t="inlineStr">
        <is>
          <t>Alana Smith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-567</v>
      </c>
      <c r="M121" s="27" t="n">
        <v>1.176367</v>
      </c>
      <c r="N121" s="28" t="n">
        <v>0.850075</v>
      </c>
      <c r="O121" s="28" t="n">
        <v>0.560204</v>
      </c>
      <c r="P121" s="28" t="n">
        <v>0.05</v>
      </c>
      <c r="Q121" s="28" t="n">
        <v>-0.289871</v>
      </c>
      <c r="R121" s="26" t="n">
        <v>0</v>
      </c>
      <c r="S121" s="29" t="n">
        <v>1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0</v>
      </c>
      <c r="Y121" s="25" t="n"/>
      <c r="Z121" s="26" t="n"/>
      <c r="AA121" s="28" t="n"/>
      <c r="AB121" s="28" t="n"/>
      <c r="AC121" s="30" t="n">
        <v>0.1764</v>
      </c>
      <c r="AD121" s="24" t="inlineStr">
        <is>
          <t>2026-08-03T15:52:10.417095Z</t>
        </is>
      </c>
      <c r="AE121" s="31" t="inlineStr">
        <is>
          <t>Surface-blended Elo on Hard: Yuan Yue p=0.560 vs Alana Smith. Executable ask 0.8500 (aec-wta-alasmi-yueyua-2026-08-03).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NO_CALL_LOW_EDGE</t>
        </is>
      </c>
      <c r="AP121" s="24" t="inlineStr">
        <is>
          <t>Yuan Yue</t>
        </is>
      </c>
      <c r="AQ121" s="24" t="inlineStr">
        <is>
          <t>Yuan Yue</t>
        </is>
      </c>
      <c r="AR121" s="24" t="inlineStr">
        <is>
          <t>Yuan Yue</t>
        </is>
      </c>
      <c r="AS121" s="24" t="inlineStr">
        <is>
          <t>Alana Smith</t>
        </is>
      </c>
      <c r="AT121" s="24" t="inlineStr">
        <is>
          <t>Alana Smith</t>
        </is>
      </c>
      <c r="AU121" s="24" t="inlineStr">
        <is>
          <t>Alana Smith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1c05a3c4f76bde5de709ff6bb1937b3c4c67149c2ea621b7c90ca07898e048e8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1c05a3c4f76bde5de709ff6bb1937b3c4c67149c2ea621b7c90ca07898e048e8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1c05a3c4f76bde5de709ff6bb1937b3c4c67149c2ea621b7c90ca07898e048e8</t>
        </is>
      </c>
      <c r="BH121" s="24" t="inlineStr">
        <is>
          <t>2026-08-03T10:56:35.029167Z</t>
        </is>
      </c>
      <c r="BI121" s="24" t="inlineStr">
        <is>
          <t>["same_event","same_team_same_day","same_league_same_day"]</t>
        </is>
      </c>
      <c r="BJ121" s="25" t="n"/>
      <c r="BK121" s="26" t="n">
        <v>-567</v>
      </c>
      <c r="BL121" s="27" t="n">
        <v>1.176367</v>
      </c>
      <c r="BM121" s="28" t="n">
        <v>0.850075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inlineStr">
        <is>
          <t>False</t>
        </is>
      </c>
    </row>
    <row r="122" ht="36" customHeight="1">
      <c r="A122" s="24" t="inlineStr">
        <is>
          <t>061f9b4ac7de4876</t>
        </is>
      </c>
      <c r="B122" s="24" t="inlineStr">
        <is>
          <t>2026-08-03T13:29:16.279005Z</t>
        </is>
      </c>
      <c r="C122" s="24" t="inlineStr">
        <is>
          <t>2026-08-03T15:00Z</t>
        </is>
      </c>
      <c r="D122" s="24" t="inlineStr">
        <is>
          <t>421-2026:182232</t>
        </is>
      </c>
      <c r="E122" s="24" t="inlineStr">
        <is>
          <t>TENNIS</t>
        </is>
      </c>
      <c r="F122" s="24" t="inlineStr">
        <is>
          <t>Polina Kudermetova</t>
        </is>
      </c>
      <c r="G122" s="24" t="inlineStr">
        <is>
          <t>Alina Korneeva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186</v>
      </c>
      <c r="M122" s="27" t="n">
        <v>2.86</v>
      </c>
      <c r="N122" s="28" t="n">
        <v>0.34965</v>
      </c>
      <c r="O122" s="28" t="n">
        <v>0.551272</v>
      </c>
      <c r="P122" s="28" t="n">
        <v>0.05</v>
      </c>
      <c r="Q122" s="28" t="n">
        <v>0.201622</v>
      </c>
      <c r="R122" s="26" t="n">
        <v>100</v>
      </c>
      <c r="S122" s="29" t="n">
        <v>1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>
        <v>186</v>
      </c>
      <c r="AA122" s="28" t="n">
        <v>0.35</v>
      </c>
      <c r="AB122" s="28" t="n">
        <v>0.00035</v>
      </c>
      <c r="AC122" s="30" t="n">
        <v>-1</v>
      </c>
      <c r="AD122" s="24" t="inlineStr">
        <is>
          <t>2026-08-03T15:52:11.822240Z</t>
        </is>
      </c>
      <c r="AE122" s="31" t="inlineStr">
        <is>
          <t>Surface-blended Elo on Hard: Polina Kudermetova p=0.551 vs Alina Korneeva. Executable ask 0.3500 (aec-wta-alikor-polkud-2026-08-03).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Polina Kudermetova</t>
        </is>
      </c>
      <c r="AQ122" s="24" t="inlineStr">
        <is>
          <t>Polina Kudermetova</t>
        </is>
      </c>
      <c r="AR122" s="24" t="inlineStr">
        <is>
          <t>Polina Kudermetova</t>
        </is>
      </c>
      <c r="AS122" s="24" t="inlineStr">
        <is>
          <t>Alina Korneeva</t>
        </is>
      </c>
      <c r="AT122" s="24" t="inlineStr">
        <is>
          <t>Alina Korneeva</t>
        </is>
      </c>
      <c r="AU122" s="24" t="inlineStr">
        <is>
          <t>Alina Korneeva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1c05a3c4f76bde5de709ff6bb1937b3c4c67149c2ea621b7c90ca07898e048e8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1c05a3c4f76bde5de709ff6bb1937b3c4c67149c2ea621b7c90ca07898e048e8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1c05a3c4f76bde5de709ff6bb1937b3c4c67149c2ea621b7c90ca07898e048e8</t>
        </is>
      </c>
      <c r="BH122" s="24" t="inlineStr">
        <is>
          <t>2026-08-03T13:27:56.449177Z</t>
        </is>
      </c>
      <c r="BI122" s="24" t="inlineStr">
        <is>
          <t>["same_event","same_team_same_day","same_league_same_day"]</t>
        </is>
      </c>
      <c r="BJ122" s="25" t="n"/>
      <c r="BK122" s="26" t="n">
        <v>186</v>
      </c>
      <c r="BL122" s="27" t="n">
        <v>2.86</v>
      </c>
      <c r="BM122" s="28" t="n">
        <v>0.34965</v>
      </c>
      <c r="BN122" s="28" t="n"/>
      <c r="BO122" s="28" t="n"/>
      <c r="BP122" s="25" t="n"/>
      <c r="BQ122" s="27" t="n">
        <v>2.86</v>
      </c>
      <c r="BR122" s="28" t="n">
        <v>0.35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inlineStr">
        <is>
          <t>True</t>
        </is>
      </c>
    </row>
    <row r="123" ht="36" customHeight="1">
      <c r="A123" s="24" t="inlineStr">
        <is>
          <t>488db09ac6c94217</t>
        </is>
      </c>
      <c r="B123" s="24" t="inlineStr">
        <is>
          <t>2026-08-03T13:29:16.279005Z</t>
        </is>
      </c>
      <c r="C123" s="24" t="inlineStr">
        <is>
          <t>2026-08-03T15:00Z</t>
        </is>
      </c>
      <c r="D123" s="24" t="inlineStr">
        <is>
          <t>421-2026:182246</t>
        </is>
      </c>
      <c r="E123" s="24" t="inlineStr">
        <is>
          <t>TENNIS</t>
        </is>
      </c>
      <c r="F123" s="24" t="inlineStr">
        <is>
          <t>Karolina Pliskova</t>
        </is>
      </c>
      <c r="G123" s="24" t="inlineStr">
        <is>
          <t>Oleksandra Oliynykova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300</v>
      </c>
      <c r="M123" s="27" t="n">
        <v>4</v>
      </c>
      <c r="N123" s="28" t="n">
        <v>0.25</v>
      </c>
      <c r="O123" s="28" t="n">
        <v>0.521651</v>
      </c>
      <c r="P123" s="28" t="n">
        <v>0.05</v>
      </c>
      <c r="Q123" s="28" t="n">
        <v>0.271651</v>
      </c>
      <c r="R123" s="26" t="n">
        <v>100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300</v>
      </c>
      <c r="AA123" s="28" t="n">
        <v>0.25</v>
      </c>
      <c r="AB123" s="28" t="n">
        <v>0</v>
      </c>
      <c r="AC123" s="30" t="n">
        <v>-1</v>
      </c>
      <c r="AD123" s="24" t="inlineStr">
        <is>
          <t>2026-08-03T16:48:03.046410Z</t>
        </is>
      </c>
      <c r="AE123" s="31" t="inlineStr">
        <is>
          <t>Surface-blended Elo on Hard: Karolina Pliskova p=0.478 vs Oleksandra Oliynykova. Executable ask 0.2500 (aec-wta-oleoli-karpli-2026-08-02).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Karolina Pliskova</t>
        </is>
      </c>
      <c r="AQ123" s="24" t="inlineStr">
        <is>
          <t>Karolina Pliskova</t>
        </is>
      </c>
      <c r="AR123" s="24" t="inlineStr">
        <is>
          <t>Karolina Pliskova</t>
        </is>
      </c>
      <c r="AS123" s="24" t="inlineStr">
        <is>
          <t>Oleksandra Oliynykova</t>
        </is>
      </c>
      <c r="AT123" s="24" t="inlineStr">
        <is>
          <t>Oleksandra Oliynykova</t>
        </is>
      </c>
      <c r="AU123" s="24" t="inlineStr">
        <is>
          <t>Oleksandra Oliynykova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1c05a3c4f76bde5de709ff6bb1937b3c4c67149c2ea621b7c90ca07898e048e8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1c05a3c4f76bde5de709ff6bb1937b3c4c67149c2ea621b7c90ca07898e048e8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1c05a3c4f76bde5de709ff6bb1937b3c4c67149c2ea621b7c90ca07898e048e8</t>
        </is>
      </c>
      <c r="BH123" s="24" t="inlineStr">
        <is>
          <t>2026-08-03T13:27:55.265193Z</t>
        </is>
      </c>
      <c r="BI123" s="24" t="inlineStr">
        <is>
          <t>["same_event","same_team_same_day","same_league_same_day"]</t>
        </is>
      </c>
      <c r="BJ123" s="25" t="n"/>
      <c r="BK123" s="26" t="n">
        <v>300</v>
      </c>
      <c r="BL123" s="27" t="n">
        <v>4</v>
      </c>
      <c r="BM123" s="28" t="n">
        <v>0.25</v>
      </c>
      <c r="BN123" s="28" t="n"/>
      <c r="BO123" s="28" t="n"/>
      <c r="BP123" s="25" t="n"/>
      <c r="BQ123" s="27" t="n">
        <v>4</v>
      </c>
      <c r="BR123" s="28" t="n">
        <v>0.25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inlineStr">
        <is>
          <t>True</t>
        </is>
      </c>
    </row>
    <row r="124" ht="36" customHeight="1">
      <c r="A124" s="24" t="inlineStr">
        <is>
          <t>af38cc8811bc431d</t>
        </is>
      </c>
      <c r="B124" s="24" t="inlineStr">
        <is>
          <t>2026-08-03T13:29:16.279005Z</t>
        </is>
      </c>
      <c r="C124" s="24" t="inlineStr">
        <is>
          <t>2026-08-03T15:00Z</t>
        </is>
      </c>
      <c r="D124" s="24" t="inlineStr">
        <is>
          <t>421-2026:182249</t>
        </is>
      </c>
      <c r="E124" s="24" t="inlineStr">
        <is>
          <t>TENNIS</t>
        </is>
      </c>
      <c r="F124" s="24" t="inlineStr">
        <is>
          <t>Anna Bondar</t>
        </is>
      </c>
      <c r="G124" s="24" t="inlineStr">
        <is>
          <t>Anhelina Kalinina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0.601429</v>
      </c>
      <c r="P124" s="28" t="n">
        <v>0.05</v>
      </c>
      <c r="Q124" s="28" t="n">
        <v>-0.038859</v>
      </c>
      <c r="R124" s="26" t="n">
        <v>1</v>
      </c>
      <c r="S124" s="29" t="n">
        <v>1.25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-178</v>
      </c>
      <c r="AA124" s="28" t="n">
        <v>0.64</v>
      </c>
      <c r="AB124" s="28" t="n">
        <v>-0.000288</v>
      </c>
      <c r="AC124" s="30" t="n">
        <v>-1.25</v>
      </c>
      <c r="AD124" s="24" t="inlineStr">
        <is>
          <t>2026-08-03T19:51:48.972641Z</t>
        </is>
      </c>
      <c r="AE124" s="31" t="inlineStr">
        <is>
          <t>Surface-blended Elo on Hard: Anna Bondar p=0.399 vs Anhelina Kalinina. Executable ask 0.6400 (aec-wta-anhkal-annbon-2026-08-02).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Anna Bondar</t>
        </is>
      </c>
      <c r="AQ124" s="24" t="inlineStr">
        <is>
          <t>Anna Bondar</t>
        </is>
      </c>
      <c r="AR124" s="24" t="inlineStr">
        <is>
          <t>Anna Bondar</t>
        </is>
      </c>
      <c r="AS124" s="24" t="inlineStr">
        <is>
          <t>Anhelina Kalinina</t>
        </is>
      </c>
      <c r="AT124" s="24" t="inlineStr">
        <is>
          <t>Anhelina Kalinina</t>
        </is>
      </c>
      <c r="AU124" s="24" t="inlineStr">
        <is>
          <t>Anhelina Kalinina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1c05a3c4f76bde5de709ff6bb1937b3c4c67149c2ea621b7c90ca07898e048e8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1c05a3c4f76bde5de709ff6bb1937b3c4c67149c2ea621b7c90ca07898e048e8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1c05a3c4f76bde5de709ff6bb1937b3c4c67149c2ea621b7c90ca07898e048e8</t>
        </is>
      </c>
      <c r="BH124" s="24" t="inlineStr">
        <is>
          <t>2026-08-03T13:27:55.519067Z</t>
        </is>
      </c>
      <c r="BI124" s="24" t="inlineStr">
        <is>
          <t>["same_event","same_team_same_day","same_league_same_day"]</t>
        </is>
      </c>
      <c r="BJ124" s="25" t="n"/>
      <c r="BK124" s="26" t="n">
        <v>-178</v>
      </c>
      <c r="BL124" s="27" t="n">
        <v>1.561798</v>
      </c>
      <c r="BM124" s="28" t="n">
        <v>0.640288</v>
      </c>
      <c r="BN124" s="28" t="n"/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inlineStr">
        <is>
          <t>False</t>
        </is>
      </c>
    </row>
    <row r="125" ht="36" customHeight="1">
      <c r="A125" s="24" t="inlineStr">
        <is>
          <t>13aa891d72d147d6</t>
        </is>
      </c>
      <c r="B125" s="24" t="inlineStr">
        <is>
          <t>2026-08-03T13:29:16.279005Z</t>
        </is>
      </c>
      <c r="C125" s="24" t="inlineStr">
        <is>
          <t>2026-08-03T15:00Z</t>
        </is>
      </c>
      <c r="D125" s="24" t="inlineStr">
        <is>
          <t>421-2026:182253</t>
        </is>
      </c>
      <c r="E125" s="24" t="inlineStr">
        <is>
          <t>TENNIS</t>
        </is>
      </c>
      <c r="F125" s="24" t="inlineStr">
        <is>
          <t>Kayla Day</t>
        </is>
      </c>
      <c r="G125" s="24" t="inlineStr">
        <is>
          <t>Diane Parry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138</v>
      </c>
      <c r="M125" s="27" t="n">
        <v>2.38</v>
      </c>
      <c r="N125" s="28" t="n">
        <v>0.420168</v>
      </c>
      <c r="O125" s="28" t="n">
        <v>0.6722669999999999</v>
      </c>
      <c r="P125" s="28" t="n">
        <v>0.05</v>
      </c>
      <c r="Q125" s="28" t="n">
        <v>0.252099</v>
      </c>
      <c r="R125" s="26" t="n">
        <v>100</v>
      </c>
      <c r="S125" s="29" t="n">
        <v>1.75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>
        <v>138</v>
      </c>
      <c r="AA125" s="28" t="n">
        <v>0.42</v>
      </c>
      <c r="AB125" s="28" t="n">
        <v>-0.000168</v>
      </c>
      <c r="AC125" s="30" t="n">
        <v>-1.75</v>
      </c>
      <c r="AD125" s="24" t="inlineStr">
        <is>
          <t>2026-08-03T19:51:49.675750Z</t>
        </is>
      </c>
      <c r="AE125" s="31" t="inlineStr">
        <is>
          <t>Surface-blended Elo on Hard: Kayla Day p=0.328 vs Diane Parry. Executable ask 0.4200 (aec-wta-diapar-kayday-2026-08-03).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Kayla Day</t>
        </is>
      </c>
      <c r="AQ125" s="24" t="inlineStr">
        <is>
          <t>Kayla Day</t>
        </is>
      </c>
      <c r="AR125" s="24" t="inlineStr">
        <is>
          <t>Kayla Day</t>
        </is>
      </c>
      <c r="AS125" s="24" t="inlineStr">
        <is>
          <t>Diane Parry</t>
        </is>
      </c>
      <c r="AT125" s="24" t="inlineStr">
        <is>
          <t>Diane Parry</t>
        </is>
      </c>
      <c r="AU125" s="24" t="inlineStr">
        <is>
          <t>Diane Parry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1c05a3c4f76bde5de709ff6bb1937b3c4c67149c2ea621b7c90ca07898e048e8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1c05a3c4f76bde5de709ff6bb1937b3c4c67149c2ea621b7c90ca07898e048e8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1c05a3c4f76bde5de709ff6bb1937b3c4c67149c2ea621b7c90ca07898e048e8</t>
        </is>
      </c>
      <c r="BH125" s="24" t="inlineStr">
        <is>
          <t>2026-08-03T13:27:57.284803Z</t>
        </is>
      </c>
      <c r="BI125" s="24" t="inlineStr">
        <is>
          <t>["same_event","same_team_same_day","same_league_same_day"]</t>
        </is>
      </c>
      <c r="BJ125" s="25" t="n"/>
      <c r="BK125" s="26" t="n">
        <v>138</v>
      </c>
      <c r="BL125" s="27" t="n">
        <v>2.38</v>
      </c>
      <c r="BM125" s="28" t="n">
        <v>0.420168</v>
      </c>
      <c r="BN125" s="28" t="n"/>
      <c r="BO125" s="28" t="n"/>
      <c r="BP125" s="25" t="n"/>
      <c r="BQ125" s="27" t="n">
        <v>2.38</v>
      </c>
      <c r="BR125" s="28" t="n">
        <v>0.42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inlineStr">
        <is>
          <t>True</t>
        </is>
      </c>
    </row>
    <row r="126" ht="36" customHeight="1">
      <c r="A126" s="24" t="inlineStr">
        <is>
          <t>36cdc610ed364d2b</t>
        </is>
      </c>
      <c r="B126" s="24" t="inlineStr">
        <is>
          <t>2026-08-03T13:29:16.279005Z</t>
        </is>
      </c>
      <c r="C126" s="24" t="inlineStr">
        <is>
          <t>2026-08-03T13:50Z</t>
        </is>
      </c>
      <c r="D126" s="24" t="inlineStr">
        <is>
          <t>961-2026:182081</t>
        </is>
      </c>
      <c r="E126" s="24" t="inlineStr">
        <is>
          <t>TENNIS</t>
        </is>
      </c>
      <c r="F126" s="24" t="inlineStr">
        <is>
          <t>Martyna Kubka</t>
        </is>
      </c>
      <c r="G126" s="24" t="inlineStr">
        <is>
          <t>Teodora Kostovic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-127</v>
      </c>
      <c r="M126" s="27" t="n">
        <v>1.787402</v>
      </c>
      <c r="N126" s="28" t="n">
        <v>0.5594710000000001</v>
      </c>
      <c r="O126" s="28" t="n">
        <v>0.615699</v>
      </c>
      <c r="P126" s="28" t="n">
        <v>0.05</v>
      </c>
      <c r="Q126" s="28" t="n">
        <v>0.056228</v>
      </c>
      <c r="R126" s="26" t="n">
        <v>48</v>
      </c>
      <c r="S126" s="29" t="n">
        <v>1.5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>
        <v>-127</v>
      </c>
      <c r="AA126" s="28" t="n">
        <v>0.5600000000000001</v>
      </c>
      <c r="AB126" s="28" t="n">
        <v>0.000529</v>
      </c>
      <c r="AC126" s="30" t="n">
        <v>-1.5</v>
      </c>
      <c r="AD126" s="24" t="inlineStr">
        <is>
          <t>2026-08-03T19:51:50.332994Z</t>
        </is>
      </c>
      <c r="AE126" s="31" t="inlineStr">
        <is>
          <t>Surface-blended Elo on Hard: Martyna Kubka p=0.384 vs Teodora Kostovic. Executable ask 0.5600 (aec-wta-teokos-markub-2026-08-03).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Martyna Kubka</t>
        </is>
      </c>
      <c r="AQ126" s="24" t="inlineStr">
        <is>
          <t>Martyna Kubka</t>
        </is>
      </c>
      <c r="AR126" s="24" t="inlineStr">
        <is>
          <t>Martyna Kubka</t>
        </is>
      </c>
      <c r="AS126" s="24" t="inlineStr">
        <is>
          <t>Teodora Kostovic</t>
        </is>
      </c>
      <c r="AT126" s="24" t="inlineStr">
        <is>
          <t>Teodora Kostovic</t>
        </is>
      </c>
      <c r="AU126" s="24" t="inlineStr">
        <is>
          <t>Teodora Kostovic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1c05a3c4f76bde5de709ff6bb1937b3c4c67149c2ea621b7c90ca07898e048e8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1c05a3c4f76bde5de709ff6bb1937b3c4c67149c2ea621b7c90ca07898e048e8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1c05a3c4f76bde5de709ff6bb1937b3c4c67149c2ea621b7c90ca07898e048e8</t>
        </is>
      </c>
      <c r="BH126" s="24" t="inlineStr">
        <is>
          <t>2026-08-03T13:27:55.032374Z</t>
        </is>
      </c>
      <c r="BI126" s="24" t="inlineStr">
        <is>
          <t>["same_event","same_team_same_day","same_league_same_day"]</t>
        </is>
      </c>
      <c r="BJ126" s="25" t="n"/>
      <c r="BK126" s="26" t="n">
        <v>-127</v>
      </c>
      <c r="BL126" s="27" t="n">
        <v>1.787402</v>
      </c>
      <c r="BM126" s="28" t="n">
        <v>0.5594710000000001</v>
      </c>
      <c r="BN126" s="28" t="n"/>
      <c r="BO126" s="28" t="n"/>
      <c r="BP126" s="25" t="n"/>
      <c r="BQ126" s="27" t="n">
        <v>1.787402</v>
      </c>
      <c r="BR126" s="28" t="n">
        <v>0.5600000000000001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inlineStr">
        <is>
          <t>True</t>
        </is>
      </c>
    </row>
    <row r="127" ht="36" customHeight="1">
      <c r="A127" s="24" t="inlineStr">
        <is>
          <t>6c0e21fa9ed24a17</t>
        </is>
      </c>
      <c r="B127" s="24" t="inlineStr">
        <is>
          <t>2026-08-03T13:29:16.279005Z</t>
        </is>
      </c>
      <c r="C127" s="24" t="inlineStr">
        <is>
          <t>2026-08-03T15:00Z</t>
        </is>
      </c>
      <c r="D127" s="24" t="inlineStr">
        <is>
          <t>421-2026:181785</t>
        </is>
      </c>
      <c r="E127" s="24" t="inlineStr">
        <is>
          <t>TENNIS</t>
        </is>
      </c>
      <c r="F127" s="24" t="inlineStr">
        <is>
          <t>Titouan Droguet</t>
        </is>
      </c>
      <c r="G127" s="24" t="inlineStr">
        <is>
          <t>Luca Van Assche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0.561017</v>
      </c>
      <c r="P127" s="28" t="n">
        <v>0.05</v>
      </c>
      <c r="Q127" s="28" t="n">
        <v>0.080248</v>
      </c>
      <c r="R127" s="26" t="n">
        <v>60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2026-08-04T01:58:25.768880Z</t>
        </is>
      </c>
      <c r="AE127" s="31" t="inlineStr">
        <is>
          <t>Surface-blended Elo on Hard: Titouan Droguet p=0.561 vs Luca Van Assche. Executable ask 0.4800 (aec-atp-lucass-titdro-2026-08-02).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Titouan Droguet</t>
        </is>
      </c>
      <c r="AQ127" s="24" t="inlineStr">
        <is>
          <t>Titouan Droguet</t>
        </is>
      </c>
      <c r="AR127" s="24" t="inlineStr">
        <is>
          <t>Titouan Droguet</t>
        </is>
      </c>
      <c r="AS127" s="24" t="inlineStr">
        <is>
          <t>Luca Van Assche</t>
        </is>
      </c>
      <c r="AT127" s="24" t="inlineStr">
        <is>
          <t>Luca Van Assche</t>
        </is>
      </c>
      <c r="AU127" s="24" t="inlineStr">
        <is>
          <t>Luca Van Assche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1c05a3c4f76bde5de709ff6bb1937b3c4c67149c2ea621b7c90ca07898e048e8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1c05a3c4f76bde5de709ff6bb1937b3c4c67149c2ea621b7c90ca07898e048e8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1c05a3c4f76bde5de709ff6bb1937b3c4c67149c2ea621b7c90ca07898e048e8</t>
        </is>
      </c>
      <c r="BH127" s="24" t="inlineStr">
        <is>
          <t>2026-08-03T13:28:16.478602Z</t>
        </is>
      </c>
      <c r="BI127" s="24" t="inlineStr">
        <is>
          <t>["same_event","same_team_same_day","same_league_same_day"]</t>
        </is>
      </c>
      <c r="BJ127" s="25" t="n"/>
      <c r="BK127" s="26" t="n">
        <v>108</v>
      </c>
      <c r="BL127" s="27" t="n">
        <v>2.08</v>
      </c>
      <c r="BM127" s="28" t="n">
        <v>0.480769</v>
      </c>
      <c r="BN127" s="28" t="n"/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inlineStr">
        <is>
          <t>True</t>
        </is>
      </c>
    </row>
    <row r="128" ht="36" customHeight="1">
      <c r="A128" s="24" t="inlineStr">
        <is>
          <t>38ebc435ab304632</t>
        </is>
      </c>
      <c r="B128" s="24" t="inlineStr">
        <is>
          <t>2026-08-03T13:29:16.279005Z</t>
        </is>
      </c>
      <c r="C128" s="24" t="inlineStr">
        <is>
          <t>2026-08-03T15:00Z</t>
        </is>
      </c>
      <c r="D128" s="24" t="inlineStr">
        <is>
          <t>421-2026:181804</t>
        </is>
      </c>
      <c r="E128" s="24" t="inlineStr">
        <is>
          <t>TENNIS</t>
        </is>
      </c>
      <c r="F128" s="24" t="inlineStr">
        <is>
          <t>Mariano Navone</t>
        </is>
      </c>
      <c r="G128" s="24" t="inlineStr">
        <is>
          <t>Matteo Berrettini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0.585776</v>
      </c>
      <c r="P128" s="28" t="n">
        <v>0.05</v>
      </c>
      <c r="Q128" s="28" t="n">
        <v>-0.06457400000000001</v>
      </c>
      <c r="R128" s="26" t="n">
        <v>0</v>
      </c>
      <c r="S128" s="29" t="n">
        <v>1.25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-186</v>
      </c>
      <c r="AA128" s="28" t="n">
        <v>0.65</v>
      </c>
      <c r="AB128" s="28" t="n">
        <v>-0.00035</v>
      </c>
      <c r="AC128" s="30" t="n">
        <v>-1.25</v>
      </c>
      <c r="AD128" s="24" t="inlineStr">
        <is>
          <t>2026-08-04T01:58:26.445942Z</t>
        </is>
      </c>
      <c r="AE128" s="31" t="inlineStr">
        <is>
          <t>Surface-blended Elo on Hard: Mariano Navone p=0.414 vs Matteo Berrettini. Executable ask 0.6500 (aec-atp-matber-marnav-2026-08-03).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NO_CALL_LOW_EDGE</t>
        </is>
      </c>
      <c r="AP128" s="24" t="inlineStr">
        <is>
          <t>Mariano Navone</t>
        </is>
      </c>
      <c r="AQ128" s="24" t="inlineStr">
        <is>
          <t>Mariano Navone</t>
        </is>
      </c>
      <c r="AR128" s="24" t="inlineStr">
        <is>
          <t>Mariano Navone</t>
        </is>
      </c>
      <c r="AS128" s="24" t="inlineStr">
        <is>
          <t>Matteo Berrettini</t>
        </is>
      </c>
      <c r="AT128" s="24" t="inlineStr">
        <is>
          <t>Matteo Berrettini</t>
        </is>
      </c>
      <c r="AU128" s="24" t="inlineStr">
        <is>
          <t>Matteo Berrettini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1c05a3c4f76bde5de709ff6bb1937b3c4c67149c2ea621b7c90ca07898e048e8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1c05a3c4f76bde5de709ff6bb1937b3c4c67149c2ea621b7c90ca07898e048e8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1c05a3c4f76bde5de709ff6bb1937b3c4c67149c2ea621b7c90ca07898e048e8</t>
        </is>
      </c>
      <c r="BH128" s="24" t="inlineStr">
        <is>
          <t>2026-08-03T13:28:15.057882Z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>
        <v>1.537634</v>
      </c>
      <c r="BR128" s="28" t="n">
        <v>0.65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inlineStr">
        <is>
          <t>False</t>
        </is>
      </c>
    </row>
    <row r="129" ht="36" customHeight="1">
      <c r="A129" s="24" t="inlineStr">
        <is>
          <t>89272ae44fcf48d0</t>
        </is>
      </c>
      <c r="B129" s="24" t="inlineStr">
        <is>
          <t>2026-08-03T13:29:16.279005Z</t>
        </is>
      </c>
      <c r="C129" s="24" t="inlineStr">
        <is>
          <t>2026-08-03T15:00Z</t>
        </is>
      </c>
      <c r="D129" s="24" t="inlineStr">
        <is>
          <t>421-2026:181834</t>
        </is>
      </c>
      <c r="E129" s="24" t="inlineStr">
        <is>
          <t>TENNIS</t>
        </is>
      </c>
      <c r="F129" s="24" t="inlineStr">
        <is>
          <t>Christopher O'Connell</t>
        </is>
      </c>
      <c r="G129" s="24" t="inlineStr">
        <is>
          <t>James Duckworth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-144</v>
      </c>
      <c r="M129" s="27" t="n">
        <v>1.694444</v>
      </c>
      <c r="N129" s="28" t="n">
        <v>0.590164</v>
      </c>
      <c r="O129" s="28" t="n">
        <v>0.519869</v>
      </c>
      <c r="P129" s="28" t="n">
        <v>0.05</v>
      </c>
      <c r="Q129" s="28" t="n">
        <v>-0.070295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loss</t>
        </is>
      </c>
      <c r="W129" s="26" t="n">
        <v>0</v>
      </c>
      <c r="X129" s="26" t="n">
        <v>1</v>
      </c>
      <c r="Y129" s="25" t="n"/>
      <c r="Z129" s="26" t="n">
        <v>-144</v>
      </c>
      <c r="AA129" s="28" t="n">
        <v>0.59</v>
      </c>
      <c r="AB129" s="28" t="n">
        <v>-0.000164</v>
      </c>
      <c r="AC129" s="30" t="n">
        <v>-1</v>
      </c>
      <c r="AD129" s="24" t="inlineStr">
        <is>
          <t>2026-08-03T22:55:19.829628Z</t>
        </is>
      </c>
      <c r="AE129" s="31" t="inlineStr">
        <is>
          <t>Surface-blended Elo on Hard: Christopher O'Connell p=0.520 vs James Duckworth. Executable ask 0.5900 (aec-atp-jamduc-chroco-2026-08-02).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Christopher O'Connell</t>
        </is>
      </c>
      <c r="AQ129" s="24" t="inlineStr">
        <is>
          <t>Christopher O'Connell</t>
        </is>
      </c>
      <c r="AR129" s="24" t="inlineStr">
        <is>
          <t>Christopher O'Connell</t>
        </is>
      </c>
      <c r="AS129" s="24" t="inlineStr">
        <is>
          <t>James Duckworth</t>
        </is>
      </c>
      <c r="AT129" s="24" t="inlineStr">
        <is>
          <t>James Duckworth</t>
        </is>
      </c>
      <c r="AU129" s="24" t="inlineStr">
        <is>
          <t>James Duckworth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1c05a3c4f76bde5de709ff6bb1937b3c4c67149c2ea621b7c90ca07898e048e8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1c05a3c4f76bde5de709ff6bb1937b3c4c67149c2ea621b7c90ca07898e048e8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1c05a3c4f76bde5de709ff6bb1937b3c4c67149c2ea621b7c90ca07898e048e8</t>
        </is>
      </c>
      <c r="BH129" s="24" t="inlineStr">
        <is>
          <t>2026-08-03T13:28:15.557056Z</t>
        </is>
      </c>
      <c r="BI129" s="24" t="inlineStr">
        <is>
          <t>["same_event","same_team_same_day","same_league_same_day"]</t>
        </is>
      </c>
      <c r="BJ129" s="25" t="n"/>
      <c r="BK129" s="26" t="n">
        <v>-144</v>
      </c>
      <c r="BL129" s="27" t="n">
        <v>1.694444</v>
      </c>
      <c r="BM129" s="28" t="n">
        <v>0.590164</v>
      </c>
      <c r="BN129" s="28" t="n"/>
      <c r="BO129" s="28" t="n"/>
      <c r="BP129" s="25" t="n"/>
      <c r="BQ129" s="27" t="n">
        <v>1.694444</v>
      </c>
      <c r="BR129" s="28" t="n">
        <v>0.59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inlineStr">
        <is>
          <t>False</t>
        </is>
      </c>
    </row>
    <row r="130" ht="36" customHeight="1">
      <c r="A130" s="24" t="inlineStr">
        <is>
          <t>c401b2ffe76d4163</t>
        </is>
      </c>
      <c r="B130" s="24" t="inlineStr">
        <is>
          <t>2026-08-03T13:29:16.279005Z</t>
        </is>
      </c>
      <c r="C130" s="24" t="inlineStr">
        <is>
          <t>2026-08-03T15:00Z</t>
        </is>
      </c>
      <c r="D130" s="24" t="inlineStr">
        <is>
          <t>421-2026:181837</t>
        </is>
      </c>
      <c r="E130" s="24" t="inlineStr">
        <is>
          <t>TENNIS</t>
        </is>
      </c>
      <c r="F130" s="24" t="inlineStr">
        <is>
          <t>Martin Landaluce</t>
        </is>
      </c>
      <c r="G130" s="24" t="inlineStr">
        <is>
          <t>Nicolas Mejia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-233</v>
      </c>
      <c r="M130" s="27" t="n">
        <v>1.429185</v>
      </c>
      <c r="N130" s="28" t="n">
        <v>0.6997</v>
      </c>
      <c r="O130" s="28" t="n">
        <v>0.6750350000000001</v>
      </c>
      <c r="P130" s="28" t="n">
        <v>0.05</v>
      </c>
      <c r="Q130" s="28" t="n">
        <v>-0.024665</v>
      </c>
      <c r="R130" s="26" t="n">
        <v>8</v>
      </c>
      <c r="S130" s="29" t="n">
        <v>1.75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-233</v>
      </c>
      <c r="AA130" s="28" t="n">
        <v>0.7</v>
      </c>
      <c r="AB130" s="28" t="n">
        <v>0.0003</v>
      </c>
      <c r="AC130" s="30" t="n">
        <v>-1.75</v>
      </c>
      <c r="AD130" s="24" t="inlineStr">
        <is>
          <t>2026-08-04T01:58:27.120342Z</t>
        </is>
      </c>
      <c r="AE130" s="31" t="inlineStr">
        <is>
          <t>Surface-blended Elo on Hard: Martin Landaluce p=0.675 vs Nicolas Mejia. Executable ask 0.7000 (aec-atp-nicmej-marlan-2026-08-02).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Martin Landaluce</t>
        </is>
      </c>
      <c r="AQ130" s="24" t="inlineStr">
        <is>
          <t>Martin Landaluce</t>
        </is>
      </c>
      <c r="AR130" s="24" t="inlineStr">
        <is>
          <t>Martin Landaluce</t>
        </is>
      </c>
      <c r="AS130" s="24" t="inlineStr">
        <is>
          <t>Nicolas Mejia</t>
        </is>
      </c>
      <c r="AT130" s="24" t="inlineStr">
        <is>
          <t>Nicolas Mejia</t>
        </is>
      </c>
      <c r="AU130" s="24" t="inlineStr">
        <is>
          <t>Nicolas Mejia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1c05a3c4f76bde5de709ff6bb1937b3c4c67149c2ea621b7c90ca07898e048e8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1c05a3c4f76bde5de709ff6bb1937b3c4c67149c2ea621b7c90ca07898e048e8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1c05a3c4f76bde5de709ff6bb1937b3c4c67149c2ea621b7c90ca07898e048e8</t>
        </is>
      </c>
      <c r="BH130" s="24" t="inlineStr">
        <is>
          <t>2026-08-03T13:28:13.602189Z</t>
        </is>
      </c>
      <c r="BI130" s="24" t="inlineStr">
        <is>
          <t>["same_event","same_team_same_day","same_league_same_day"]</t>
        </is>
      </c>
      <c r="BJ130" s="25" t="n"/>
      <c r="BK130" s="26" t="n">
        <v>-233</v>
      </c>
      <c r="BL130" s="27" t="n">
        <v>1.429185</v>
      </c>
      <c r="BM130" s="28" t="n">
        <v>0.6997</v>
      </c>
      <c r="BN130" s="28" t="n"/>
      <c r="BO130" s="28" t="n"/>
      <c r="BP130" s="25" t="n"/>
      <c r="BQ130" s="27" t="n">
        <v>1.429185</v>
      </c>
      <c r="BR130" s="28" t="n">
        <v>0.7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inlineStr">
        <is>
          <t>False</t>
        </is>
      </c>
    </row>
    <row r="131" ht="36" customHeight="1">
      <c r="A131" s="24" t="inlineStr">
        <is>
          <t>6966a957909e4130</t>
        </is>
      </c>
      <c r="B131" s="24" t="inlineStr">
        <is>
          <t>2026-08-03T13:29:16.279005Z</t>
        </is>
      </c>
      <c r="C131" s="24" t="inlineStr">
        <is>
          <t>2026-08-03T15:00Z</t>
        </is>
      </c>
      <c r="D131" s="24" t="inlineStr">
        <is>
          <t>421-2026:181839</t>
        </is>
      </c>
      <c r="E131" s="24" t="inlineStr">
        <is>
          <t>TENNIS</t>
        </is>
      </c>
      <c r="F131" s="24" t="inlineStr">
        <is>
          <t>Vit Kopriva</t>
        </is>
      </c>
      <c r="G131" s="24" t="inlineStr">
        <is>
          <t>Alexis Galarneau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108</v>
      </c>
      <c r="M131" s="27" t="n">
        <v>2.08</v>
      </c>
      <c r="N131" s="28" t="n">
        <v>0.480769</v>
      </c>
      <c r="O131" s="28" t="n">
        <v>0.57909</v>
      </c>
      <c r="P131" s="28" t="n">
        <v>0.05</v>
      </c>
      <c r="Q131" s="28" t="n">
        <v>0.09832100000000001</v>
      </c>
      <c r="R131" s="26" t="n">
        <v>69</v>
      </c>
      <c r="S131" s="29" t="n">
        <v>1.25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108</v>
      </c>
      <c r="AA131" s="28" t="n">
        <v>0.48</v>
      </c>
      <c r="AB131" s="28" t="n">
        <v>-0.000769</v>
      </c>
      <c r="AC131" s="30" t="n">
        <v>1.35</v>
      </c>
      <c r="AD131" s="24" t="inlineStr">
        <is>
          <t>2026-08-03T22:55:20.517443Z</t>
        </is>
      </c>
      <c r="AE131" s="31" t="inlineStr">
        <is>
          <t>Surface-blended Elo on Hard: Vit Kopriva p=0.579 vs Alexis Galarneau. Executable ask 0.4800 (aec-atp-alegal-vitkop-2026-08-03).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Vit Kopriva</t>
        </is>
      </c>
      <c r="AQ131" s="24" t="inlineStr">
        <is>
          <t>Vit Kopriva</t>
        </is>
      </c>
      <c r="AR131" s="24" t="inlineStr">
        <is>
          <t>Vit Kopriva</t>
        </is>
      </c>
      <c r="AS131" s="24" t="inlineStr">
        <is>
          <t>Alexis Galarneau</t>
        </is>
      </c>
      <c r="AT131" s="24" t="inlineStr">
        <is>
          <t>Alexis Galarneau</t>
        </is>
      </c>
      <c r="AU131" s="24" t="inlineStr">
        <is>
          <t>Alexis Galarneau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1c05a3c4f76bde5de709ff6bb1937b3c4c67149c2ea621b7c90ca07898e048e8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1c05a3c4f76bde5de709ff6bb1937b3c4c67149c2ea621b7c90ca07898e048e8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1c05a3c4f76bde5de709ff6bb1937b3c4c67149c2ea621b7c90ca07898e048e8</t>
        </is>
      </c>
      <c r="BH131" s="24" t="inlineStr">
        <is>
          <t>2026-08-03T13:28:14.309797Z</t>
        </is>
      </c>
      <c r="BI131" s="24" t="inlineStr">
        <is>
          <t>["same_event","same_team_same_day","same_league_same_day"]</t>
        </is>
      </c>
      <c r="BJ131" s="25" t="n"/>
      <c r="BK131" s="26" t="n">
        <v>108</v>
      </c>
      <c r="BL131" s="27" t="n">
        <v>2.08</v>
      </c>
      <c r="BM131" s="28" t="n">
        <v>0.480769</v>
      </c>
      <c r="BN131" s="28" t="n"/>
      <c r="BO131" s="28" t="n"/>
      <c r="BP131" s="25" t="n"/>
      <c r="BQ131" s="27" t="n">
        <v>2.08</v>
      </c>
      <c r="BR131" s="28" t="n">
        <v>0.48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inlineStr">
        <is>
          <t>True</t>
        </is>
      </c>
    </row>
    <row r="132" ht="36" customHeight="1">
      <c r="A132" s="24" t="inlineStr">
        <is>
          <t>bab63346269f4016</t>
        </is>
      </c>
      <c r="B132" s="24" t="inlineStr">
        <is>
          <t>2026-08-03T16:29:20.960477Z</t>
        </is>
      </c>
      <c r="C132" s="24" t="inlineStr">
        <is>
          <t>2026-08-03T16:30Z</t>
        </is>
      </c>
      <c r="D132" s="24" t="inlineStr">
        <is>
          <t>421-2026:182266</t>
        </is>
      </c>
      <c r="E132" s="24" t="inlineStr">
        <is>
          <t>TENNIS</t>
        </is>
      </c>
      <c r="F132" s="24" t="inlineStr">
        <is>
          <t>Kayla Cross</t>
        </is>
      </c>
      <c r="G132" s="24" t="inlineStr">
        <is>
          <t>Katie Boulter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-285</v>
      </c>
      <c r="M132" s="27" t="n">
        <v>1.350877</v>
      </c>
      <c r="N132" s="28" t="n">
        <v>0.74026</v>
      </c>
      <c r="O132" s="28" t="n">
        <v>0.830003</v>
      </c>
      <c r="P132" s="28" t="n">
        <v>0.05</v>
      </c>
      <c r="Q132" s="28" t="n">
        <v>0.089743</v>
      </c>
      <c r="R132" s="26" t="n">
        <v>65</v>
      </c>
      <c r="S132" s="29" t="n">
        <v>2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-285</v>
      </c>
      <c r="AA132" s="28" t="n">
        <v>0.74</v>
      </c>
      <c r="AB132" s="28" t="n">
        <v>-0.00026</v>
      </c>
      <c r="AC132" s="30" t="n">
        <v>-2</v>
      </c>
      <c r="AD132" s="24" t="inlineStr">
        <is>
          <t>2026-08-03T19:51:51.011916Z</t>
        </is>
      </c>
      <c r="AE132" s="31" t="inlineStr">
        <is>
          <t>Surface-blended Elo on Hard: Kayla Cross p=0.170 vs Katie Boulter. Executable ask 0.7400 (aec-wta-katbou-kaycro-2026-08-02).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Kayla Cross</t>
        </is>
      </c>
      <c r="AQ132" s="24" t="inlineStr">
        <is>
          <t>Kayla Cross</t>
        </is>
      </c>
      <c r="AR132" s="24" t="inlineStr">
        <is>
          <t>Kayla Cross</t>
        </is>
      </c>
      <c r="AS132" s="24" t="inlineStr">
        <is>
          <t>Katie Boulter</t>
        </is>
      </c>
      <c r="AT132" s="24" t="inlineStr">
        <is>
          <t>Katie Boulter</t>
        </is>
      </c>
      <c r="AU132" s="24" t="inlineStr">
        <is>
          <t>Katie Boulter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60749ecfb3f1405f12fbceda11b7e64f2473d40dd327256f9da20b2146b6ae03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60749ecfb3f1405f12fbceda11b7e64f2473d40dd327256f9da20b2146b6ae03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60749ecfb3f1405f12fbceda11b7e64f2473d40dd327256f9da20b2146b6ae03</t>
        </is>
      </c>
      <c r="BH132" s="24" t="inlineStr">
        <is>
          <t>2026-08-03T16:28:14.928463Z</t>
        </is>
      </c>
      <c r="BI132" s="24" t="inlineStr">
        <is>
          <t>["same_event","same_team_same_day","same_league_same_day"]</t>
        </is>
      </c>
      <c r="BJ132" s="25" t="n"/>
      <c r="BK132" s="26" t="n">
        <v>-285</v>
      </c>
      <c r="BL132" s="27" t="n">
        <v>1.350877</v>
      </c>
      <c r="BM132" s="28" t="n">
        <v>0.74026</v>
      </c>
      <c r="BN132" s="28" t="n"/>
      <c r="BO132" s="28" t="n"/>
      <c r="BP132" s="25" t="n"/>
      <c r="BQ132" s="27" t="n">
        <v>1.350877</v>
      </c>
      <c r="BR132" s="28" t="n">
        <v>0.74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inlineStr">
        <is>
          <t>True</t>
        </is>
      </c>
    </row>
    <row r="133" ht="36" customHeight="1">
      <c r="A133" s="24" t="inlineStr">
        <is>
          <t>b04932b2a1f846a1</t>
        </is>
      </c>
      <c r="B133" s="24" t="inlineStr">
        <is>
          <t>2026-08-03T16:49:52.211440Z</t>
        </is>
      </c>
      <c r="C133" s="24" t="inlineStr">
        <is>
          <t>2026-08-03T17:00Z</t>
        </is>
      </c>
      <c r="D133" s="24" t="inlineStr">
        <is>
          <t>888-2026:178979</t>
        </is>
      </c>
      <c r="E133" s="24" t="inlineStr">
        <is>
          <t>TENNIS</t>
        </is>
      </c>
      <c r="F133" s="24" t="inlineStr">
        <is>
          <t>Rafael Jodar</t>
        </is>
      </c>
      <c r="G133" s="24" t="inlineStr">
        <is>
          <t>Taylor Fritz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-170</v>
      </c>
      <c r="M133" s="27" t="n">
        <v>1.588235</v>
      </c>
      <c r="N133" s="28" t="n">
        <v>0.62963</v>
      </c>
      <c r="O133" s="28" t="n">
        <v>0.592585</v>
      </c>
      <c r="P133" s="28" t="n">
        <v>0.05</v>
      </c>
      <c r="Q133" s="28" t="n">
        <v>-0.037045</v>
      </c>
      <c r="R133" s="26" t="n">
        <v>1</v>
      </c>
      <c r="S133" s="29" t="n">
        <v>1.25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-170</v>
      </c>
      <c r="AA133" s="28" t="n">
        <v>0.63</v>
      </c>
      <c r="AB133" s="28" t="n">
        <v>0.00037</v>
      </c>
      <c r="AC133" s="30" t="n">
        <v>0.7353</v>
      </c>
      <c r="AD133" s="24" t="inlineStr">
        <is>
          <t>2026-08-03T19:51:51.702123Z</t>
        </is>
      </c>
      <c r="AE133" s="31" t="inlineStr">
        <is>
          <t>Surface-blended Elo on Hard: Rafael Jodar p=0.407 vs Taylor Fritz. Executable ask 0.6300 (aec-atp-tayfri-rafjod-2026-08-02).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NO_CALL_LOW_EDGE</t>
        </is>
      </c>
      <c r="AP133" s="24" t="inlineStr">
        <is>
          <t>Rafael Jodar</t>
        </is>
      </c>
      <c r="AQ133" s="24" t="inlineStr">
        <is>
          <t>Rafael Jodar</t>
        </is>
      </c>
      <c r="AR133" s="24" t="inlineStr">
        <is>
          <t>Rafael Jodar</t>
        </is>
      </c>
      <c r="AS133" s="24" t="inlineStr">
        <is>
          <t>Taylor Fritz</t>
        </is>
      </c>
      <c r="AT133" s="24" t="inlineStr">
        <is>
          <t>Taylor Fritz</t>
        </is>
      </c>
      <c r="AU133" s="24" t="inlineStr">
        <is>
          <t>Taylor Fritz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60749ecfb3f1405f12fbceda11b7e64f2473d40dd327256f9da20b2146b6ae03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60749ecfb3f1405f12fbceda11b7e64f2473d40dd327256f9da20b2146b6ae03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60749ecfb3f1405f12fbceda11b7e64f2473d40dd327256f9da20b2146b6ae03</t>
        </is>
      </c>
      <c r="BH133" s="24" t="inlineStr">
        <is>
          <t>2026-08-03T16:49:04.770856Z</t>
        </is>
      </c>
      <c r="BI133" s="24" t="inlineStr">
        <is>
          <t>["same_event","same_team_same_day","same_league_same_day"]</t>
        </is>
      </c>
      <c r="BJ133" s="25" t="n"/>
      <c r="BK133" s="26" t="n">
        <v>-170</v>
      </c>
      <c r="BL133" s="27" t="n">
        <v>1.588235</v>
      </c>
      <c r="BM133" s="28" t="n">
        <v>0.62963</v>
      </c>
      <c r="BN133" s="28" t="n"/>
      <c r="BO133" s="28" t="n"/>
      <c r="BP133" s="25" t="n"/>
      <c r="BQ133" s="27" t="n">
        <v>1.588235</v>
      </c>
      <c r="BR133" s="28" t="n">
        <v>0.63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inlineStr">
        <is>
          <t>False</t>
        </is>
      </c>
    </row>
    <row r="134" ht="36" customHeight="1">
      <c r="A134" s="24" t="inlineStr">
        <is>
          <t>0760e59638604666</t>
        </is>
      </c>
      <c r="B134" s="24" t="inlineStr">
        <is>
          <t>2026-08-03T17:14:13.914291Z</t>
        </is>
      </c>
      <c r="C134" s="24" t="inlineStr">
        <is>
          <t>2026-08-03T19:30Z</t>
        </is>
      </c>
      <c r="D134" s="24" t="inlineStr">
        <is>
          <t>421-2026:182230</t>
        </is>
      </c>
      <c r="E134" s="24" t="inlineStr">
        <is>
          <t>TENNIS</t>
        </is>
      </c>
      <c r="F134" s="24" t="inlineStr">
        <is>
          <t>Magda Linette</t>
        </is>
      </c>
      <c r="G134" s="24" t="inlineStr">
        <is>
          <t>Carol Zhao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-1150</v>
      </c>
      <c r="M134" s="27" t="n">
        <v>1.086957</v>
      </c>
      <c r="N134" s="28" t="n">
        <v>0.92</v>
      </c>
      <c r="O134" s="28" t="n">
        <v>0.8328140000000001</v>
      </c>
      <c r="P134" s="28" t="n">
        <v>0.05</v>
      </c>
      <c r="Q134" s="28" t="n">
        <v>-0.087186</v>
      </c>
      <c r="R134" s="26" t="n">
        <v>0</v>
      </c>
      <c r="S134" s="29" t="n">
        <v>2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win</t>
        </is>
      </c>
      <c r="W134" s="26" t="n">
        <v>1</v>
      </c>
      <c r="X134" s="26" t="n">
        <v>0</v>
      </c>
      <c r="Y134" s="25" t="n"/>
      <c r="Z134" s="26" t="n">
        <v>-1150</v>
      </c>
      <c r="AA134" s="28" t="n">
        <v>0.92</v>
      </c>
      <c r="AB134" s="28" t="n">
        <v>0</v>
      </c>
      <c r="AC134" s="30" t="n">
        <v>0.1739</v>
      </c>
      <c r="AD134" s="24" t="inlineStr">
        <is>
          <t>2026-08-03T22:55:21.183851Z</t>
        </is>
      </c>
      <c r="AE134" s="31" t="inlineStr">
        <is>
          <t>Surface-blended Elo on Hard: Magda Linette p=0.833 vs Carol Zhao. Executable ask 0.9200 (aec-wta-carzha-maglin-2026-08-02).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NO_CALL_LOW_EDGE</t>
        </is>
      </c>
      <c r="AP134" s="24" t="inlineStr">
        <is>
          <t>Magda Linette</t>
        </is>
      </c>
      <c r="AQ134" s="24" t="inlineStr">
        <is>
          <t>Magda Linette</t>
        </is>
      </c>
      <c r="AR134" s="24" t="inlineStr">
        <is>
          <t>Magda Linette</t>
        </is>
      </c>
      <c r="AS134" s="24" t="inlineStr">
        <is>
          <t>Carol Zhao</t>
        </is>
      </c>
      <c r="AT134" s="24" t="inlineStr">
        <is>
          <t>Carol Zhao</t>
        </is>
      </c>
      <c r="AU134" s="24" t="inlineStr">
        <is>
          <t>Carol Zhao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60749ecfb3f1405f12fbceda11b7e64f2473d40dd327256f9da20b2146b6ae03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60749ecfb3f1405f12fbceda11b7e64f2473d40dd327256f9da20b2146b6ae03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60749ecfb3f1405f12fbceda11b7e64f2473d40dd327256f9da20b2146b6ae03</t>
        </is>
      </c>
      <c r="BH134" s="24" t="inlineStr">
        <is>
          <t>2026-08-03T17:06:34.373543Z</t>
        </is>
      </c>
      <c r="BI134" s="24" t="inlineStr">
        <is>
          <t>["same_event","same_team_same_day","same_league_same_day"]</t>
        </is>
      </c>
      <c r="BJ134" s="25" t="n"/>
      <c r="BK134" s="26" t="n">
        <v>-1150</v>
      </c>
      <c r="BL134" s="27" t="n">
        <v>1.086957</v>
      </c>
      <c r="BM134" s="28" t="n">
        <v>0.92</v>
      </c>
      <c r="BN134" s="28" t="n"/>
      <c r="BO134" s="28" t="n"/>
      <c r="BP134" s="25" t="n"/>
      <c r="BQ134" s="27" t="n">
        <v>1.086957</v>
      </c>
      <c r="BR134" s="28" t="n">
        <v>0.92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inlineStr">
        <is>
          <t>False</t>
        </is>
      </c>
    </row>
    <row r="135" ht="36" customHeight="1">
      <c r="A135" s="24" t="inlineStr">
        <is>
          <t>2a44f8e1e32e4fbc</t>
        </is>
      </c>
      <c r="B135" s="24" t="inlineStr">
        <is>
          <t>2026-08-03T17:14:13.914291Z</t>
        </is>
      </c>
      <c r="C135" s="24" t="inlineStr">
        <is>
          <t>2026-08-03T19:30Z</t>
        </is>
      </c>
      <c r="D135" s="24" t="inlineStr">
        <is>
          <t>421-2026:182263</t>
        </is>
      </c>
      <c r="E135" s="24" t="inlineStr">
        <is>
          <t>TENNIS</t>
        </is>
      </c>
      <c r="F135" s="24" t="inlineStr">
        <is>
          <t>Liudmila Samsonova</t>
        </is>
      </c>
      <c r="G135" s="24" t="inlineStr">
        <is>
          <t>Janice Tjen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156</v>
      </c>
      <c r="M135" s="27" t="n">
        <v>2.56</v>
      </c>
      <c r="N135" s="28" t="n">
        <v>0.390625</v>
      </c>
      <c r="O135" s="28" t="n">
        <v>0.5165999999999999</v>
      </c>
      <c r="P135" s="28" t="n">
        <v>0.05</v>
      </c>
      <c r="Q135" s="28" t="n">
        <v>0.125975</v>
      </c>
      <c r="R135" s="26" t="n">
        <v>83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156</v>
      </c>
      <c r="AA135" s="28" t="n">
        <v>0.39</v>
      </c>
      <c r="AB135" s="28" t="n">
        <v>-0.000625</v>
      </c>
      <c r="AC135" s="30" t="n">
        <v>-1</v>
      </c>
      <c r="AD135" s="24" t="inlineStr">
        <is>
          <t>2026-08-03T22:55:21.867837Z</t>
        </is>
      </c>
      <c r="AE135" s="31" t="inlineStr">
        <is>
          <t>Surface-blended Elo on Hard: Liudmila Samsonova p=0.483 vs Janice Tjen. Executable ask 0.3900 (aec-wta-jantje-liusam-2026-08-02).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NO_CALL_LOW_EDGE</t>
        </is>
      </c>
      <c r="AP135" s="24" t="inlineStr">
        <is>
          <t>Liudmila Samsonova</t>
        </is>
      </c>
      <c r="AQ135" s="24" t="inlineStr">
        <is>
          <t>Liudmila Samsonova</t>
        </is>
      </c>
      <c r="AR135" s="24" t="inlineStr">
        <is>
          <t>Liudmila Samsonova</t>
        </is>
      </c>
      <c r="AS135" s="24" t="inlineStr">
        <is>
          <t>Janice Tjen</t>
        </is>
      </c>
      <c r="AT135" s="24" t="inlineStr">
        <is>
          <t>Janice Tjen</t>
        </is>
      </c>
      <c r="AU135" s="24" t="inlineStr">
        <is>
          <t>Janice Tjen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60749ecfb3f1405f12fbceda11b7e64f2473d40dd327256f9da20b2146b6ae03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60749ecfb3f1405f12fbceda11b7e64f2473d40dd327256f9da20b2146b6ae03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60749ecfb3f1405f12fbceda11b7e64f2473d40dd327256f9da20b2146b6ae03</t>
        </is>
      </c>
      <c r="BH135" s="24" t="inlineStr">
        <is>
          <t>2026-08-03T17:06:35.491695Z</t>
        </is>
      </c>
      <c r="BI135" s="24" t="inlineStr">
        <is>
          <t>["same_event","same_team_same_day","same_league_same_day"]</t>
        </is>
      </c>
      <c r="BJ135" s="25" t="n"/>
      <c r="BK135" s="26" t="n">
        <v>156</v>
      </c>
      <c r="BL135" s="27" t="n">
        <v>2.56</v>
      </c>
      <c r="BM135" s="28" t="n">
        <v>0.390625</v>
      </c>
      <c r="BN135" s="28" t="n"/>
      <c r="BO135" s="28" t="n"/>
      <c r="BP135" s="25" t="n"/>
      <c r="BQ135" s="27" t="n">
        <v>2.56</v>
      </c>
      <c r="BR135" s="28" t="n">
        <v>0.39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inlineStr">
        <is>
          <t>True</t>
        </is>
      </c>
    </row>
    <row r="136" ht="36" customHeight="1">
      <c r="A136" s="24" t="inlineStr">
        <is>
          <t>019313b47f6a4a82</t>
        </is>
      </c>
      <c r="B136" s="24" t="inlineStr">
        <is>
          <t>2026-08-03T17:14:13.914291Z</t>
        </is>
      </c>
      <c r="C136" s="24" t="inlineStr">
        <is>
          <t>2026-08-03T19:30Z</t>
        </is>
      </c>
      <c r="D136" s="24" t="inlineStr">
        <is>
          <t>421-2026:182276</t>
        </is>
      </c>
      <c r="E136" s="24" t="inlineStr">
        <is>
          <t>TENNIS</t>
        </is>
      </c>
      <c r="F136" s="24" t="inlineStr">
        <is>
          <t>Alycia Parks</t>
        </is>
      </c>
      <c r="G136" s="24" t="inlineStr">
        <is>
          <t>Victoria Jimenez Kasintseva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-144</v>
      </c>
      <c r="M136" s="27" t="n">
        <v>1.694444</v>
      </c>
      <c r="N136" s="28" t="n">
        <v>0.590164</v>
      </c>
      <c r="O136" s="28" t="n">
        <v>0.544148</v>
      </c>
      <c r="P136" s="28" t="n">
        <v>0.05</v>
      </c>
      <c r="Q136" s="28" t="n">
        <v>-0.046016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-144</v>
      </c>
      <c r="AA136" s="28" t="n">
        <v>0.59</v>
      </c>
      <c r="AB136" s="28" t="n">
        <v>-0.000164</v>
      </c>
      <c r="AC136" s="30" t="n">
        <v>0.6944</v>
      </c>
      <c r="AD136" s="24" t="inlineStr">
        <is>
          <t>2026-08-03T22:55:22.548775Z</t>
        </is>
      </c>
      <c r="AE136" s="31" t="inlineStr">
        <is>
          <t>Surface-blended Elo on Hard: Alycia Parks p=0.544 vs Victoria Jimenez Kasintseva. Executable ask 0.5900 (aec-wta-vickas-alypar-2026-08-03).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NO_CALL_LOW_EDGE</t>
        </is>
      </c>
      <c r="AP136" s="24" t="inlineStr">
        <is>
          <t>Alycia Parks</t>
        </is>
      </c>
      <c r="AQ136" s="24" t="inlineStr">
        <is>
          <t>Alycia Parks</t>
        </is>
      </c>
      <c r="AR136" s="24" t="inlineStr">
        <is>
          <t>Alycia Parks</t>
        </is>
      </c>
      <c r="AS136" s="24" t="inlineStr">
        <is>
          <t>Victoria Jimenez Kasintseva</t>
        </is>
      </c>
      <c r="AT136" s="24" t="inlineStr">
        <is>
          <t>Victoria Jimenez Kasintseva</t>
        </is>
      </c>
      <c r="AU136" s="24" t="inlineStr">
        <is>
          <t>Victoria Jimenez Kasintseva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60749ecfb3f1405f12fbceda11b7e64f2473d40dd327256f9da20b2146b6ae03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60749ecfb3f1405f12fbceda11b7e64f2473d40dd327256f9da20b2146b6ae03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60749ecfb3f1405f12fbceda11b7e64f2473d40dd327256f9da20b2146b6ae03</t>
        </is>
      </c>
      <c r="BH136" s="24" t="inlineStr">
        <is>
          <t>2026-08-03T17:06:36.132167Z</t>
        </is>
      </c>
      <c r="BI136" s="24" t="inlineStr">
        <is>
          <t>["same_event","same_team_same_day","same_league_same_day"]</t>
        </is>
      </c>
      <c r="BJ136" s="25" t="n"/>
      <c r="BK136" s="26" t="n">
        <v>-144</v>
      </c>
      <c r="BL136" s="27" t="n">
        <v>1.694444</v>
      </c>
      <c r="BM136" s="28" t="n">
        <v>0.590164</v>
      </c>
      <c r="BN136" s="28" t="n"/>
      <c r="BO136" s="28" t="n"/>
      <c r="BP136" s="25" t="n"/>
      <c r="BQ136" s="27" t="n">
        <v>1.694444</v>
      </c>
      <c r="BR136" s="28" t="n">
        <v>0.59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inlineStr">
        <is>
          <t>False</t>
        </is>
      </c>
    </row>
    <row r="137" ht="36" customHeight="1">
      <c r="A137" s="24" t="inlineStr">
        <is>
          <t>2e6043376fdd4142</t>
        </is>
      </c>
      <c r="B137" s="24" t="inlineStr">
        <is>
          <t>2026-08-03T17:14:13.914291Z</t>
        </is>
      </c>
      <c r="C137" s="24" t="inlineStr">
        <is>
          <t>2026-08-03T18:00Z</t>
        </is>
      </c>
      <c r="D137" s="24" t="inlineStr">
        <is>
          <t>421-2026:181779</t>
        </is>
      </c>
      <c r="E137" s="24" t="inlineStr">
        <is>
          <t>TENNIS</t>
        </is>
      </c>
      <c r="F137" s="24" t="inlineStr">
        <is>
          <t>Miomir Kecmanovic</t>
        </is>
      </c>
      <c r="G137" s="24" t="inlineStr">
        <is>
          <t>Michael Zheng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-133</v>
      </c>
      <c r="M137" s="27" t="n">
        <v>1.75188</v>
      </c>
      <c r="N137" s="28" t="n">
        <v>0.570815</v>
      </c>
      <c r="O137" s="28" t="n">
        <v>0.537166</v>
      </c>
      <c r="P137" s="28" t="n">
        <v>0.05</v>
      </c>
      <c r="Q137" s="28" t="n">
        <v>-0.033649</v>
      </c>
      <c r="R137" s="26" t="n">
        <v>3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>
        <v>-133</v>
      </c>
      <c r="AA137" s="28" t="n">
        <v>0.57</v>
      </c>
      <c r="AB137" s="28" t="n">
        <v>-0.000815</v>
      </c>
      <c r="AC137" s="30" t="n">
        <v>-1</v>
      </c>
      <c r="AD137" s="24" t="inlineStr">
        <is>
          <t>2026-08-04T01:58:27.838352Z</t>
        </is>
      </c>
      <c r="AE137" s="31" t="inlineStr">
        <is>
          <t>Surface-blended Elo on Hard: Miomir Kecmanovic p=0.463 vs Michael Zheng. Executable ask 0.5700 (aec-atp-miczhe-miokec-2026-08-02).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NO_CALL_LOW_EDGE</t>
        </is>
      </c>
      <c r="AP137" s="24" t="inlineStr">
        <is>
          <t>Miomir Kecmanovic</t>
        </is>
      </c>
      <c r="AQ137" s="24" t="inlineStr">
        <is>
          <t>Miomir Kecmanovic</t>
        </is>
      </c>
      <c r="AR137" s="24" t="inlineStr">
        <is>
          <t>Miomir Kecmanovic</t>
        </is>
      </c>
      <c r="AS137" s="24" t="inlineStr">
        <is>
          <t>Michael Zheng</t>
        </is>
      </c>
      <c r="AT137" s="24" t="inlineStr">
        <is>
          <t>Michael Zheng</t>
        </is>
      </c>
      <c r="AU137" s="24" t="inlineStr">
        <is>
          <t>Michael Zheng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60749ecfb3f1405f12fbceda11b7e64f2473d40dd327256f9da20b2146b6ae03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60749ecfb3f1405f12fbceda11b7e64f2473d40dd327256f9da20b2146b6ae03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60749ecfb3f1405f12fbceda11b7e64f2473d40dd327256f9da20b2146b6ae03</t>
        </is>
      </c>
      <c r="BH137" s="24" t="inlineStr">
        <is>
          <t>2026-08-03T17:06:48.092968Z</t>
        </is>
      </c>
      <c r="BI137" s="24" t="inlineStr">
        <is>
          <t>["same_event","same_team_same_day","same_league_same_day"]</t>
        </is>
      </c>
      <c r="BJ137" s="25" t="n"/>
      <c r="BK137" s="26" t="n">
        <v>-133</v>
      </c>
      <c r="BL137" s="27" t="n">
        <v>1.75188</v>
      </c>
      <c r="BM137" s="28" t="n">
        <v>0.570815</v>
      </c>
      <c r="BN137" s="28" t="n"/>
      <c r="BO137" s="28" t="n"/>
      <c r="BP137" s="25" t="n"/>
      <c r="BQ137" s="27" t="n">
        <v>1.75188</v>
      </c>
      <c r="BR137" s="28" t="n">
        <v>0.57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inlineStr">
        <is>
          <t>False</t>
        </is>
      </c>
    </row>
    <row r="138" ht="36" customHeight="1">
      <c r="A138" s="24" t="inlineStr">
        <is>
          <t>f6b47ff5c22743f5</t>
        </is>
      </c>
      <c r="B138" s="24" t="inlineStr">
        <is>
          <t>2026-08-03T17:14:13.914291Z</t>
        </is>
      </c>
      <c r="C138" s="24" t="inlineStr">
        <is>
          <t>2026-08-03T18:00Z</t>
        </is>
      </c>
      <c r="D138" s="24" t="inlineStr">
        <is>
          <t>421-2026:181783</t>
        </is>
      </c>
      <c r="E138" s="24" t="inlineStr">
        <is>
          <t>TENNIS</t>
        </is>
      </c>
      <c r="F138" s="24" t="inlineStr">
        <is>
          <t>Daniel Altmaier</t>
        </is>
      </c>
      <c r="G138" s="24" t="inlineStr">
        <is>
          <t>Aleksandar Vukic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0.5040750000000001</v>
      </c>
      <c r="P138" s="28" t="n">
        <v>0.05</v>
      </c>
      <c r="Q138" s="28" t="n">
        <v>0.094239</v>
      </c>
      <c r="R138" s="26" t="n">
        <v>67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144</v>
      </c>
      <c r="AA138" s="28" t="n">
        <v>0.41</v>
      </c>
      <c r="AB138" s="28" t="n">
        <v>0.000164</v>
      </c>
      <c r="AC138" s="30" t="n">
        <v>1.44</v>
      </c>
      <c r="AD138" s="24" t="inlineStr">
        <is>
          <t>2026-08-04T03:57:50.487161Z</t>
        </is>
      </c>
      <c r="AE138" s="31" t="inlineStr">
        <is>
          <t>Surface-blended Elo on Hard: Daniel Altmaier p=0.504 vs Aleksandar Vukic. Executable ask 0.4100 (aec-atp-alevuk-danalt-2026-08-02).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NO_CALL_LOW_EDGE</t>
        </is>
      </c>
      <c r="AP138" s="24" t="inlineStr">
        <is>
          <t>Daniel Altmaier</t>
        </is>
      </c>
      <c r="AQ138" s="24" t="inlineStr">
        <is>
          <t>Daniel Altmaier</t>
        </is>
      </c>
      <c r="AR138" s="24" t="inlineStr">
        <is>
          <t>Daniel Altmaier</t>
        </is>
      </c>
      <c r="AS138" s="24" t="inlineStr">
        <is>
          <t>Aleksandar Vukic</t>
        </is>
      </c>
      <c r="AT138" s="24" t="inlineStr">
        <is>
          <t>Aleksandar Vukic</t>
        </is>
      </c>
      <c r="AU138" s="24" t="inlineStr">
        <is>
          <t>Aleksandar Vukic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60749ecfb3f1405f12fbceda11b7e64f2473d40dd327256f9da20b2146b6ae03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60749ecfb3f1405f12fbceda11b7e64f2473d40dd327256f9da20b2146b6ae03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60749ecfb3f1405f12fbceda11b7e64f2473d40dd327256f9da20b2146b6ae03</t>
        </is>
      </c>
      <c r="BH138" s="24" t="inlineStr">
        <is>
          <t>2026-08-03T17:06:49.314441Z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>
        <v>2.44</v>
      </c>
      <c r="BR138" s="28" t="n">
        <v>0.41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inlineStr">
        <is>
          <t>True</t>
        </is>
      </c>
    </row>
    <row r="139" ht="36" customHeight="1">
      <c r="A139" s="24" t="inlineStr">
        <is>
          <t>fcd89a854aa248c7</t>
        </is>
      </c>
      <c r="B139" s="24" t="inlineStr">
        <is>
          <t>2026-08-03T17:14:13.914291Z</t>
        </is>
      </c>
      <c r="C139" s="24" t="inlineStr">
        <is>
          <t>2026-08-03T18:00Z</t>
        </is>
      </c>
      <c r="D139" s="24" t="inlineStr">
        <is>
          <t>421-2026:181794</t>
        </is>
      </c>
      <c r="E139" s="24" t="inlineStr">
        <is>
          <t>TENNIS</t>
        </is>
      </c>
      <c r="F139" s="24" t="inlineStr">
        <is>
          <t>Nuno Borges</t>
        </is>
      </c>
      <c r="G139" s="24" t="inlineStr">
        <is>
          <t>Aleksandar Kovacevic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-317</v>
      </c>
      <c r="M139" s="27" t="n">
        <v>1.315457</v>
      </c>
      <c r="N139" s="28" t="n">
        <v>0.760192</v>
      </c>
      <c r="O139" s="28" t="n">
        <v>0.654976</v>
      </c>
      <c r="P139" s="28" t="n">
        <v>0.05</v>
      </c>
      <c r="Q139" s="28" t="n">
        <v>-0.105216</v>
      </c>
      <c r="R139" s="26" t="n">
        <v>0</v>
      </c>
      <c r="S139" s="29" t="n">
        <v>1.75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>
        <v>-317</v>
      </c>
      <c r="AA139" s="28" t="n">
        <v>0.76</v>
      </c>
      <c r="AB139" s="28" t="n">
        <v>-0.000192</v>
      </c>
      <c r="AC139" s="30" t="n">
        <v>0.552</v>
      </c>
      <c r="AD139" s="24" t="inlineStr">
        <is>
          <t>2026-08-04T01:58:28.547350Z</t>
        </is>
      </c>
      <c r="AE139" s="31" t="inlineStr">
        <is>
          <t>Surface-blended Elo on Hard: Nuno Borges p=0.655 vs Aleksandar Kovacevic. Executable ask 0.7600 (aec-atp-alekov-nunbor-2026-08-03).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NO_CALL_LOW_EDGE</t>
        </is>
      </c>
      <c r="AP139" s="24" t="inlineStr">
        <is>
          <t>Nuno Borges</t>
        </is>
      </c>
      <c r="AQ139" s="24" t="inlineStr">
        <is>
          <t>Nuno Borges</t>
        </is>
      </c>
      <c r="AR139" s="24" t="inlineStr">
        <is>
          <t>Nuno Borges</t>
        </is>
      </c>
      <c r="AS139" s="24" t="inlineStr">
        <is>
          <t>Aleksandar Kovacevic</t>
        </is>
      </c>
      <c r="AT139" s="24" t="inlineStr">
        <is>
          <t>Aleksandar Kovacevic</t>
        </is>
      </c>
      <c r="AU139" s="24" t="inlineStr">
        <is>
          <t>Aleksandar Kovacevic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60749ecfb3f1405f12fbceda11b7e64f2473d40dd327256f9da20b2146b6ae03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60749ecfb3f1405f12fbceda11b7e64f2473d40dd327256f9da20b2146b6ae03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60749ecfb3f1405f12fbceda11b7e64f2473d40dd327256f9da20b2146b6ae03</t>
        </is>
      </c>
      <c r="BH139" s="24" t="inlineStr">
        <is>
          <t>2026-08-03T17:06:46.594408Z</t>
        </is>
      </c>
      <c r="BI139" s="24" t="inlineStr">
        <is>
          <t>["same_event","same_team_same_day","same_league_same_day"]</t>
        </is>
      </c>
      <c r="BJ139" s="25" t="n"/>
      <c r="BK139" s="26" t="n">
        <v>-317</v>
      </c>
      <c r="BL139" s="27" t="n">
        <v>1.315457</v>
      </c>
      <c r="BM139" s="28" t="n">
        <v>0.760192</v>
      </c>
      <c r="BN139" s="28" t="n"/>
      <c r="BO139" s="28" t="n"/>
      <c r="BP139" s="25" t="n"/>
      <c r="BQ139" s="27" t="n">
        <v>1.315457</v>
      </c>
      <c r="BR139" s="28" t="n">
        <v>0.76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inlineStr">
        <is>
          <t>False</t>
        </is>
      </c>
    </row>
    <row r="140" ht="36" customHeight="1">
      <c r="A140" s="24" t="inlineStr">
        <is>
          <t>0f2e7d8cb81b4def</t>
        </is>
      </c>
      <c r="B140" s="24" t="inlineStr">
        <is>
          <t>2026-08-03T17:14:13.914291Z</t>
        </is>
      </c>
      <c r="C140" s="24" t="inlineStr">
        <is>
          <t>2026-08-03T18:00Z</t>
        </is>
      </c>
      <c r="D140" s="24" t="inlineStr">
        <is>
          <t>421-2026:181798</t>
        </is>
      </c>
      <c r="E140" s="24" t="inlineStr">
        <is>
          <t>TENNIS</t>
        </is>
      </c>
      <c r="F140" s="24" t="inlineStr">
        <is>
          <t>Yannick Hanfmann</t>
        </is>
      </c>
      <c r="G140" s="24" t="inlineStr">
        <is>
          <t>Benjamin Bonzi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-117</v>
      </c>
      <c r="M140" s="27" t="n">
        <v>1.854701</v>
      </c>
      <c r="N140" s="28" t="n">
        <v>0.539171</v>
      </c>
      <c r="O140" s="28" t="n">
        <v>0.552246</v>
      </c>
      <c r="P140" s="28" t="n">
        <v>0.05</v>
      </c>
      <c r="Q140" s="28" t="n">
        <v>0.013075</v>
      </c>
      <c r="R140" s="26" t="n">
        <v>27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1</v>
      </c>
      <c r="X140" s="26" t="n">
        <v>0</v>
      </c>
      <c r="Y140" s="25" t="n"/>
      <c r="Z140" s="26" t="n">
        <v>-117</v>
      </c>
      <c r="AA140" s="28" t="n">
        <v>0.54</v>
      </c>
      <c r="AB140" s="28" t="n">
        <v>0.000829</v>
      </c>
      <c r="AC140" s="30" t="n">
        <v>0.8547</v>
      </c>
      <c r="AD140" s="24" t="inlineStr">
        <is>
          <t>2026-08-04T01:58:29.260517Z</t>
        </is>
      </c>
      <c r="AE140" s="31" t="inlineStr">
        <is>
          <t>Surface-blended Elo on Hard: Yannick Hanfmann p=0.552 vs Benjamin Bonzi. Executable ask 0.5400 (aec-atp-benbon-yanhan-2026-08-02).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NO_CALL_LOW_EDGE</t>
        </is>
      </c>
      <c r="AP140" s="24" t="inlineStr">
        <is>
          <t>Yannick Hanfmann</t>
        </is>
      </c>
      <c r="AQ140" s="24" t="inlineStr">
        <is>
          <t>Yannick Hanfmann</t>
        </is>
      </c>
      <c r="AR140" s="24" t="inlineStr">
        <is>
          <t>Yannick Hanfmann</t>
        </is>
      </c>
      <c r="AS140" s="24" t="inlineStr">
        <is>
          <t>Benjamin Bonzi</t>
        </is>
      </c>
      <c r="AT140" s="24" t="inlineStr">
        <is>
          <t>Benjamin Bonzi</t>
        </is>
      </c>
      <c r="AU140" s="24" t="inlineStr">
        <is>
          <t>Benjamin Bonzi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60749ecfb3f1405f12fbceda11b7e64f2473d40dd327256f9da20b2146b6ae03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60749ecfb3f1405f12fbceda11b7e64f2473d40dd327256f9da20b2146b6ae03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60749ecfb3f1405f12fbceda11b7e64f2473d40dd327256f9da20b2146b6ae03</t>
        </is>
      </c>
      <c r="BH140" s="24" t="inlineStr">
        <is>
          <t>2026-08-03T17:06:47.159099Z</t>
        </is>
      </c>
      <c r="BI140" s="24" t="inlineStr">
        <is>
          <t>["same_event","same_team_same_day","same_league_same_day"]</t>
        </is>
      </c>
      <c r="BJ140" s="25" t="n"/>
      <c r="BK140" s="26" t="n">
        <v>-117</v>
      </c>
      <c r="BL140" s="27" t="n">
        <v>1.854701</v>
      </c>
      <c r="BM140" s="28" t="n">
        <v>0.539171</v>
      </c>
      <c r="BN140" s="28" t="n"/>
      <c r="BO140" s="28" t="n"/>
      <c r="BP140" s="25" t="n"/>
      <c r="BQ140" s="27" t="n">
        <v>1.854701</v>
      </c>
      <c r="BR140" s="28" t="n">
        <v>0.54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inlineStr">
        <is>
          <t>True</t>
        </is>
      </c>
    </row>
    <row r="141" ht="36" customHeight="1">
      <c r="A141" s="24" t="inlineStr">
        <is>
          <t>c6c4aeca1e56491f</t>
        </is>
      </c>
      <c r="B141" s="24" t="inlineStr">
        <is>
          <t>2026-08-03T17:14:13.914291Z</t>
        </is>
      </c>
      <c r="C141" s="24" t="inlineStr">
        <is>
          <t>2026-08-03T19:30Z</t>
        </is>
      </c>
      <c r="D141" s="24" t="inlineStr">
        <is>
          <t>421-2026:181814</t>
        </is>
      </c>
      <c r="E141" s="24" t="inlineStr">
        <is>
          <t>TENNIS</t>
        </is>
      </c>
      <c r="F141" s="24" t="inlineStr">
        <is>
          <t>Jan-Lennard Struff</t>
        </is>
      </c>
      <c r="G141" s="24" t="inlineStr">
        <is>
          <t>Alex Michelsen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-285</v>
      </c>
      <c r="M141" s="27" t="n">
        <v>1.350877</v>
      </c>
      <c r="N141" s="28" t="n">
        <v>0.74026</v>
      </c>
      <c r="O141" s="28" t="n">
        <v>0.601492</v>
      </c>
      <c r="P141" s="28" t="n">
        <v>0.05</v>
      </c>
      <c r="Q141" s="28" t="n">
        <v>-0.138768</v>
      </c>
      <c r="R141" s="26" t="n">
        <v>0</v>
      </c>
      <c r="S141" s="29" t="n">
        <v>1.25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-285</v>
      </c>
      <c r="AA141" s="28" t="n">
        <v>0.74</v>
      </c>
      <c r="AB141" s="28" t="n">
        <v>-0.00026</v>
      </c>
      <c r="AC141" s="30" t="n">
        <v>0.4386</v>
      </c>
      <c r="AD141" s="24" t="inlineStr">
        <is>
          <t>2026-08-04T03:57:51.249046Z</t>
        </is>
      </c>
      <c r="AE141" s="31" t="inlineStr">
        <is>
          <t>Surface-blended Elo on Hard: Jan-Lennard Struff p=0.399 vs Alex Michelsen. Executable ask 0.7400 (aec-atp-alemic-janstr-2026-08-03).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NO_CALL_LOW_EDGE</t>
        </is>
      </c>
      <c r="AP141" s="24" t="inlineStr">
        <is>
          <t>Jan-Lennard Struff</t>
        </is>
      </c>
      <c r="AQ141" s="24" t="inlineStr">
        <is>
          <t>Jan-Lennard Struff</t>
        </is>
      </c>
      <c r="AR141" s="24" t="inlineStr">
        <is>
          <t>Jan-Lennard Struff</t>
        </is>
      </c>
      <c r="AS141" s="24" t="inlineStr">
        <is>
          <t>Alex Michelsen</t>
        </is>
      </c>
      <c r="AT141" s="24" t="inlineStr">
        <is>
          <t>Alex Michelsen</t>
        </is>
      </c>
      <c r="AU141" s="24" t="inlineStr">
        <is>
          <t>Alex Michelsen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60749ecfb3f1405f12fbceda11b7e64f2473d40dd327256f9da20b2146b6ae03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60749ecfb3f1405f12fbceda11b7e64f2473d40dd327256f9da20b2146b6ae03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60749ecfb3f1405f12fbceda11b7e64f2473d40dd327256f9da20b2146b6ae03</t>
        </is>
      </c>
      <c r="BH141" s="24" t="inlineStr">
        <is>
          <t>2026-08-03T17:06:53.846578Z</t>
        </is>
      </c>
      <c r="BI141" s="24" t="inlineStr">
        <is>
          <t>["same_event","same_team_same_day","same_league_same_day"]</t>
        </is>
      </c>
      <c r="BJ141" s="25" t="n"/>
      <c r="BK141" s="26" t="n">
        <v>-285</v>
      </c>
      <c r="BL141" s="27" t="n">
        <v>1.350877</v>
      </c>
      <c r="BM141" s="28" t="n">
        <v>0.74026</v>
      </c>
      <c r="BN141" s="28" t="n"/>
      <c r="BO141" s="28" t="n"/>
      <c r="BP141" s="25" t="n"/>
      <c r="BQ141" s="27" t="n">
        <v>1.350877</v>
      </c>
      <c r="BR141" s="28" t="n">
        <v>0.74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inlineStr">
        <is>
          <t>False</t>
        </is>
      </c>
    </row>
    <row r="142" ht="36" customHeight="1">
      <c r="A142" s="24" t="inlineStr">
        <is>
          <t>c09c666090d04f68</t>
        </is>
      </c>
      <c r="B142" s="24" t="inlineStr">
        <is>
          <t>2026-08-03T17:14:13.914291Z</t>
        </is>
      </c>
      <c r="C142" s="24" t="inlineStr">
        <is>
          <t>2026-08-03T19:30Z</t>
        </is>
      </c>
      <c r="D142" s="24" t="inlineStr">
        <is>
          <t>421-2026:181828</t>
        </is>
      </c>
      <c r="E142" s="24" t="inlineStr">
        <is>
          <t>TENNIS</t>
        </is>
      </c>
      <c r="F142" s="24" t="inlineStr">
        <is>
          <t>Adrian Mannarino</t>
        </is>
      </c>
      <c r="G142" s="24" t="inlineStr">
        <is>
          <t>Jacob Fearnley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150</v>
      </c>
      <c r="M142" s="27" t="n">
        <v>2.5</v>
      </c>
      <c r="N142" s="28" t="n">
        <v>0.4</v>
      </c>
      <c r="O142" s="28" t="n">
        <v>0.564895</v>
      </c>
      <c r="P142" s="28" t="n">
        <v>0.05</v>
      </c>
      <c r="Q142" s="28" t="n">
        <v>0.164895</v>
      </c>
      <c r="R142" s="26" t="n">
        <v>100</v>
      </c>
      <c r="S142" s="29" t="n">
        <v>1</v>
      </c>
      <c r="T142" s="24" t="inlineStr">
        <is>
          <t>tennis-surface-elo-v1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Surface-blended Elo on Hard: Adrian Mannarino p=0.565 vs Jacob Fearnley. Executable ask 0.4000 (aec-atp-jacfea-adrman-2026-08-03).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Adrian Mannarino</t>
        </is>
      </c>
      <c r="AQ142" s="24" t="inlineStr">
        <is>
          <t>Adrian Mannarino</t>
        </is>
      </c>
      <c r="AR142" s="24" t="inlineStr">
        <is>
          <t>Adrian Mannarino</t>
        </is>
      </c>
      <c r="AS142" s="24" t="inlineStr">
        <is>
          <t>Jacob Fearnley</t>
        </is>
      </c>
      <c r="AT142" s="24" t="inlineStr">
        <is>
          <t>Jacob Fearnley</t>
        </is>
      </c>
      <c r="AU142" s="24" t="inlineStr">
        <is>
          <t>Jacob Fearnley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60749ecfb3f1405f12fbceda11b7e64f2473d40dd327256f9da20b2146b6ae03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60749ecfb3f1405f12fbceda11b7e64f2473d40dd327256f9da20b2146b6ae03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60749ecfb3f1405f12fbceda11b7e64f2473d40dd327256f9da20b2146b6ae03</t>
        </is>
      </c>
      <c r="BH142" s="24" t="inlineStr">
        <is>
          <t>2026-08-03T17:06:52.299848Z</t>
        </is>
      </c>
      <c r="BI142" s="24" t="inlineStr">
        <is>
          <t>["same_event","same_team_same_day","same_league_same_day"]</t>
        </is>
      </c>
      <c r="BJ142" s="25" t="n"/>
      <c r="BK142" s="26" t="n">
        <v>150</v>
      </c>
      <c r="BL142" s="27" t="n">
        <v>2.5</v>
      </c>
      <c r="BM142" s="28" t="n">
        <v>0.4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inlineStr">
        <is>
          <t>True</t>
        </is>
      </c>
    </row>
    <row r="143" ht="36" customHeight="1">
      <c r="A143" s="24" t="inlineStr">
        <is>
          <t>c46b7d7960934c4f</t>
        </is>
      </c>
      <c r="B143" s="24" t="inlineStr">
        <is>
          <t>2026-08-03T17:14:13.914291Z</t>
        </is>
      </c>
      <c r="C143" s="24" t="inlineStr">
        <is>
          <t>2026-08-03T19:30Z</t>
        </is>
      </c>
      <c r="D143" s="24" t="inlineStr">
        <is>
          <t>421-2026:181842</t>
        </is>
      </c>
      <c r="E143" s="24" t="inlineStr">
        <is>
          <t>TENNIS</t>
        </is>
      </c>
      <c r="F143" s="24" t="inlineStr">
        <is>
          <t>Cameron Norrie</t>
        </is>
      </c>
      <c r="G143" s="24" t="inlineStr">
        <is>
          <t>Camilo Ugo Carabelli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-376</v>
      </c>
      <c r="M143" s="27" t="n">
        <v>1.265957</v>
      </c>
      <c r="N143" s="28" t="n">
        <v>0.789916</v>
      </c>
      <c r="O143" s="28" t="n">
        <v>0.615806</v>
      </c>
      <c r="P143" s="28" t="n">
        <v>0.05</v>
      </c>
      <c r="Q143" s="28" t="n">
        <v>-0.17411</v>
      </c>
      <c r="R143" s="26" t="n">
        <v>0</v>
      </c>
      <c r="S143" s="29" t="n">
        <v>1.5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-376</v>
      </c>
      <c r="AA143" s="28" t="n">
        <v>0.79</v>
      </c>
      <c r="AB143" s="28" t="n">
        <v>8.4e-05</v>
      </c>
      <c r="AC143" s="30" t="n">
        <v>0.3989</v>
      </c>
      <c r="AD143" s="24" t="inlineStr">
        <is>
          <t>2026-08-04T04:08:30.869584Z</t>
        </is>
      </c>
      <c r="AE143" s="31" t="inlineStr">
        <is>
          <t>Surface-blended Elo on Hard: Cameron Norrie p=0.616 vs Camilo Ugo Carabelli. Executable ask 0.7900 (aec-atp-camcar-camnor-2026-08-03).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NO_CALL_LOW_EDGE</t>
        </is>
      </c>
      <c r="AP143" s="24" t="inlineStr">
        <is>
          <t>Cameron Norrie</t>
        </is>
      </c>
      <c r="AQ143" s="24" t="inlineStr">
        <is>
          <t>Cameron Norrie</t>
        </is>
      </c>
      <c r="AR143" s="24" t="inlineStr">
        <is>
          <t>Cameron Norrie</t>
        </is>
      </c>
      <c r="AS143" s="24" t="inlineStr">
        <is>
          <t>Camilo Ugo Carabelli</t>
        </is>
      </c>
      <c r="AT143" s="24" t="inlineStr">
        <is>
          <t>Camilo Ugo Carabelli</t>
        </is>
      </c>
      <c r="AU143" s="24" t="inlineStr">
        <is>
          <t>Camilo Ugo Carabelli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60749ecfb3f1405f12fbceda11b7e64f2473d40dd327256f9da20b2146b6ae03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60749ecfb3f1405f12fbceda11b7e64f2473d40dd327256f9da20b2146b6ae03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60749ecfb3f1405f12fbceda11b7e64f2473d40dd327256f9da20b2146b6ae03</t>
        </is>
      </c>
      <c r="BH143" s="24" t="inlineStr">
        <is>
          <t>2026-08-03T17:06:53.334657Z</t>
        </is>
      </c>
      <c r="BI143" s="24" t="inlineStr">
        <is>
          <t>["same_event","same_team_same_day","same_league_same_day"]</t>
        </is>
      </c>
      <c r="BJ143" s="25" t="n"/>
      <c r="BK143" s="26" t="n">
        <v>-376</v>
      </c>
      <c r="BL143" s="27" t="n">
        <v>1.265957</v>
      </c>
      <c r="BM143" s="28" t="n">
        <v>0.789916</v>
      </c>
      <c r="BN143" s="28" t="n"/>
      <c r="BO143" s="28" t="n"/>
      <c r="BP143" s="25" t="n"/>
      <c r="BQ143" s="27" t="n">
        <v>1.265957</v>
      </c>
      <c r="BR143" s="28" t="n">
        <v>0.79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inlineStr">
        <is>
          <t>False</t>
        </is>
      </c>
    </row>
    <row r="144" ht="36" customHeight="1">
      <c r="A144" s="24" t="inlineStr">
        <is>
          <t>ecae86fc339b4e57</t>
        </is>
      </c>
      <c r="B144" s="24" t="inlineStr">
        <is>
          <t>2026-08-03T19:53:29.938738Z</t>
        </is>
      </c>
      <c r="C144" s="24" t="inlineStr">
        <is>
          <t>2026-08-03T21:00Z</t>
        </is>
      </c>
      <c r="D144" s="24" t="inlineStr">
        <is>
          <t>421-2026:182239</t>
        </is>
      </c>
      <c r="E144" s="24" t="inlineStr">
        <is>
          <t>TENNIS</t>
        </is>
      </c>
      <c r="F144" s="24" t="inlineStr">
        <is>
          <t>Taylor Townsend</t>
        </is>
      </c>
      <c r="G144" s="24" t="inlineStr">
        <is>
          <t>Tereza Valentova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-194</v>
      </c>
      <c r="M144" s="27" t="n">
        <v>1.515464</v>
      </c>
      <c r="N144" s="28" t="n">
        <v>0.659864</v>
      </c>
      <c r="O144" s="28" t="n">
        <v>0.548685</v>
      </c>
      <c r="P144" s="28" t="n">
        <v>0.05</v>
      </c>
      <c r="Q144" s="28" t="n">
        <v>-0.111179</v>
      </c>
      <c r="R144" s="26" t="n">
        <v>0</v>
      </c>
      <c r="S144" s="29" t="n">
        <v>1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-194</v>
      </c>
      <c r="AA144" s="28" t="n">
        <v>0.66</v>
      </c>
      <c r="AB144" s="28" t="n">
        <v>0.000136</v>
      </c>
      <c r="AC144" s="30" t="n">
        <v>-1</v>
      </c>
      <c r="AD144" s="24" t="inlineStr">
        <is>
          <t>2026-08-04T01:58:32.389030Z</t>
        </is>
      </c>
      <c r="AE144" s="31" t="inlineStr">
        <is>
          <t>Surface-blended Elo on Hard: Taylor Townsend p=0.451 vs Tereza Valentova. Executable ask 0.6600 (aec-wta-terval-taytow-2026-08-02).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NO_CALL_LOW_EDGE</t>
        </is>
      </c>
      <c r="AP144" s="24" t="inlineStr">
        <is>
          <t>Taylor Townsend</t>
        </is>
      </c>
      <c r="AQ144" s="24" t="inlineStr">
        <is>
          <t>Taylor Townsend</t>
        </is>
      </c>
      <c r="AR144" s="24" t="inlineStr">
        <is>
          <t>Taylor Townsend</t>
        </is>
      </c>
      <c r="AS144" s="24" t="inlineStr">
        <is>
          <t>Tereza Valentova</t>
        </is>
      </c>
      <c r="AT144" s="24" t="inlineStr">
        <is>
          <t>Tereza Valentova</t>
        </is>
      </c>
      <c r="AU144" s="24" t="inlineStr">
        <is>
          <t>Tereza Valentova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60749ecfb3f1405f12fbceda11b7e64f2473d40dd327256f9da20b2146b6ae03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60749ecfb3f1405f12fbceda11b7e64f2473d40dd327256f9da20b2146b6ae03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60749ecfb3f1405f12fbceda11b7e64f2473d40dd327256f9da20b2146b6ae03</t>
        </is>
      </c>
      <c r="BH144" s="24" t="inlineStr">
        <is>
          <t>2026-08-03T19:52:41.709499Z</t>
        </is>
      </c>
      <c r="BI144" s="24" t="inlineStr">
        <is>
          <t>["same_event","same_team_same_day","same_league_same_day"]</t>
        </is>
      </c>
      <c r="BJ144" s="25" t="n"/>
      <c r="BK144" s="26" t="n">
        <v>-194</v>
      </c>
      <c r="BL144" s="27" t="n">
        <v>1.515464</v>
      </c>
      <c r="BM144" s="28" t="n">
        <v>0.659864</v>
      </c>
      <c r="BN144" s="28" t="n"/>
      <c r="BO144" s="28" t="n"/>
      <c r="BP144" s="25" t="n"/>
      <c r="BQ144" s="27" t="n">
        <v>1.515464</v>
      </c>
      <c r="BR144" s="28" t="n">
        <v>0.66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inlineStr">
        <is>
          <t>False</t>
        </is>
      </c>
    </row>
    <row r="145" ht="36" customHeight="1">
      <c r="A145" s="24" t="inlineStr">
        <is>
          <t>0f074ce53b694a61</t>
        </is>
      </c>
      <c r="B145" s="24" t="inlineStr">
        <is>
          <t>2026-08-03T19:53:29.938738Z</t>
        </is>
      </c>
      <c r="C145" s="24" t="inlineStr">
        <is>
          <t>2026-08-03T21:00Z</t>
        </is>
      </c>
      <c r="D145" s="24" t="inlineStr">
        <is>
          <t>421-2026:182244</t>
        </is>
      </c>
      <c r="E145" s="24" t="inlineStr">
        <is>
          <t>TENNIS</t>
        </is>
      </c>
      <c r="F145" s="24" t="inlineStr">
        <is>
          <t>Tamara Korpatsch</t>
        </is>
      </c>
      <c r="G145" s="24" t="inlineStr">
        <is>
          <t>Renata Zarazua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138</v>
      </c>
      <c r="M145" s="27" t="n">
        <v>2.38</v>
      </c>
      <c r="N145" s="28" t="n">
        <v>0.420168</v>
      </c>
      <c r="O145" s="28" t="n">
        <v>0.643669</v>
      </c>
      <c r="P145" s="28" t="n">
        <v>0.05</v>
      </c>
      <c r="Q145" s="28" t="n">
        <v>0.223501</v>
      </c>
      <c r="R145" s="26" t="n">
        <v>100</v>
      </c>
      <c r="S145" s="29" t="n">
        <v>1.5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loss</t>
        </is>
      </c>
      <c r="W145" s="26" t="n">
        <v>0</v>
      </c>
      <c r="X145" s="26" t="n">
        <v>1</v>
      </c>
      <c r="Y145" s="25" t="n"/>
      <c r="Z145" s="26" t="n">
        <v>138</v>
      </c>
      <c r="AA145" s="28" t="n">
        <v>0.42</v>
      </c>
      <c r="AB145" s="28" t="n">
        <v>-0.000168</v>
      </c>
      <c r="AC145" s="30" t="n">
        <v>-1.5</v>
      </c>
      <c r="AD145" s="24" t="inlineStr">
        <is>
          <t>2026-08-04T01:58:33.152116Z</t>
        </is>
      </c>
      <c r="AE145" s="31" t="inlineStr">
        <is>
          <t>Surface-blended Elo on Hard: Tamara Korpatsch p=0.644 vs Renata Zarazua. Executable ask 0.4200 (aec-wta-renzar-tamkor-2026-08-02).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Tamara Korpatsch</t>
        </is>
      </c>
      <c r="AQ145" s="24" t="inlineStr">
        <is>
          <t>Tamara Korpatsch</t>
        </is>
      </c>
      <c r="AR145" s="24" t="inlineStr">
        <is>
          <t>Tamara Korpatsch</t>
        </is>
      </c>
      <c r="AS145" s="24" t="inlineStr">
        <is>
          <t>Renata Zarazua</t>
        </is>
      </c>
      <c r="AT145" s="24" t="inlineStr">
        <is>
          <t>Renata Zarazua</t>
        </is>
      </c>
      <c r="AU145" s="24" t="inlineStr">
        <is>
          <t>Renata Zarazua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60749ecfb3f1405f12fbceda11b7e64f2473d40dd327256f9da20b2146b6ae03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60749ecfb3f1405f12fbceda11b7e64f2473d40dd327256f9da20b2146b6ae03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60749ecfb3f1405f12fbceda11b7e64f2473d40dd327256f9da20b2146b6ae03</t>
        </is>
      </c>
      <c r="BH145" s="24" t="inlineStr">
        <is>
          <t>2026-08-03T19:52:43.186533Z</t>
        </is>
      </c>
      <c r="BI145" s="24" t="inlineStr">
        <is>
          <t>["same_event","same_team_same_day","same_league_same_day"]</t>
        </is>
      </c>
      <c r="BJ145" s="25" t="n"/>
      <c r="BK145" s="26" t="n">
        <v>138</v>
      </c>
      <c r="BL145" s="27" t="n">
        <v>2.38</v>
      </c>
      <c r="BM145" s="28" t="n">
        <v>0.420168</v>
      </c>
      <c r="BN145" s="28" t="n"/>
      <c r="BO145" s="28" t="n"/>
      <c r="BP145" s="25" t="n"/>
      <c r="BQ145" s="27" t="n">
        <v>2.38</v>
      </c>
      <c r="BR145" s="28" t="n">
        <v>0.42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inlineStr">
        <is>
          <t>True</t>
        </is>
      </c>
    </row>
    <row r="146" ht="36" customHeight="1">
      <c r="A146" s="24" t="inlineStr">
        <is>
          <t>2f419fef908e4110</t>
        </is>
      </c>
      <c r="B146" s="24" t="inlineStr">
        <is>
          <t>2026-08-03T19:53:29.938738Z</t>
        </is>
      </c>
      <c r="C146" s="24" t="inlineStr">
        <is>
          <t>2026-08-03T21:00Z</t>
        </is>
      </c>
      <c r="D146" s="24" t="inlineStr">
        <is>
          <t>421-2026:182247</t>
        </is>
      </c>
      <c r="E146" s="24" t="inlineStr">
        <is>
          <t>TENNIS</t>
        </is>
      </c>
      <c r="F146" s="24" t="inlineStr">
        <is>
          <t>Eva Lys</t>
        </is>
      </c>
      <c r="G146" s="24" t="inlineStr">
        <is>
          <t>Panna Udvardy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170</v>
      </c>
      <c r="M146" s="27" t="n">
        <v>2.7</v>
      </c>
      <c r="N146" s="28" t="n">
        <v>0.37037</v>
      </c>
      <c r="O146" s="28" t="n">
        <v>0.532606</v>
      </c>
      <c r="P146" s="28" t="n">
        <v>0.05</v>
      </c>
      <c r="Q146" s="28" t="n">
        <v>0.162236</v>
      </c>
      <c r="R146" s="26" t="n">
        <v>100</v>
      </c>
      <c r="S146" s="29" t="n">
        <v>1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>
        <v>170</v>
      </c>
      <c r="AA146" s="28" t="n">
        <v>0.37</v>
      </c>
      <c r="AB146" s="28" t="n">
        <v>-0.00037</v>
      </c>
      <c r="AC146" s="30" t="n">
        <v>1.7</v>
      </c>
      <c r="AD146" s="24" t="inlineStr">
        <is>
          <t>2026-08-04T01:58:33.865194Z</t>
        </is>
      </c>
      <c r="AE146" s="31" t="inlineStr">
        <is>
          <t>Surface-blended Elo on Hard: Eva Lys p=0.467 vs Panna Udvardy. Executable ask 0.3700 (aec-wta-panudv-evalys-2026-08-02).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NO_CALL_LOW_EDGE</t>
        </is>
      </c>
      <c r="AP146" s="24" t="inlineStr">
        <is>
          <t>Eva Lys</t>
        </is>
      </c>
      <c r="AQ146" s="24" t="inlineStr">
        <is>
          <t>Eva Lys</t>
        </is>
      </c>
      <c r="AR146" s="24" t="inlineStr">
        <is>
          <t>Eva Lys</t>
        </is>
      </c>
      <c r="AS146" s="24" t="inlineStr">
        <is>
          <t>Panna Udvardy</t>
        </is>
      </c>
      <c r="AT146" s="24" t="inlineStr">
        <is>
          <t>Panna Udvardy</t>
        </is>
      </c>
      <c r="AU146" s="24" t="inlineStr">
        <is>
          <t>Panna Udvardy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60749ecfb3f1405f12fbceda11b7e64f2473d40dd327256f9da20b2146b6ae03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60749ecfb3f1405f12fbceda11b7e64f2473d40dd327256f9da20b2146b6ae03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60749ecfb3f1405f12fbceda11b7e64f2473d40dd327256f9da20b2146b6ae03</t>
        </is>
      </c>
      <c r="BH146" s="24" t="inlineStr">
        <is>
          <t>2026-08-03T19:52:41.243432Z</t>
        </is>
      </c>
      <c r="BI146" s="24" t="inlineStr">
        <is>
          <t>["same_event","same_team_same_day","same_league_same_day"]</t>
        </is>
      </c>
      <c r="BJ146" s="25" t="n"/>
      <c r="BK146" s="26" t="n">
        <v>170</v>
      </c>
      <c r="BL146" s="27" t="n">
        <v>2.7</v>
      </c>
      <c r="BM146" s="28" t="n">
        <v>0.37037</v>
      </c>
      <c r="BN146" s="28" t="n"/>
      <c r="BO146" s="28" t="n"/>
      <c r="BP146" s="25" t="n"/>
      <c r="BQ146" s="27" t="n">
        <v>2.7</v>
      </c>
      <c r="BR146" s="28" t="n">
        <v>0.37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inlineStr">
        <is>
          <t>True</t>
        </is>
      </c>
    </row>
    <row r="147" ht="36" customHeight="1">
      <c r="A147" s="24" t="inlineStr">
        <is>
          <t>c99512c3dfd34165</t>
        </is>
      </c>
      <c r="B147" s="24" t="inlineStr">
        <is>
          <t>2026-08-03T19:53:29.938738Z</t>
        </is>
      </c>
      <c r="C147" s="24" t="inlineStr">
        <is>
          <t>2026-08-03T22:30Z</t>
        </is>
      </c>
      <c r="D147" s="24" t="inlineStr">
        <is>
          <t>421-2026:182243</t>
        </is>
      </c>
      <c r="E147" s="24" t="inlineStr">
        <is>
          <t>TENNIS</t>
        </is>
      </c>
      <c r="F147" s="24" t="inlineStr">
        <is>
          <t>Sloane Stephens</t>
        </is>
      </c>
      <c r="G147" s="24" t="inlineStr">
        <is>
          <t>Solana Sierra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-117</v>
      </c>
      <c r="M147" s="27" t="n">
        <v>1.854701</v>
      </c>
      <c r="N147" s="28" t="n">
        <v>0.539171</v>
      </c>
      <c r="O147" s="28" t="n">
        <v>0.701639</v>
      </c>
      <c r="P147" s="28" t="n">
        <v>0.05</v>
      </c>
      <c r="Q147" s="28" t="n">
        <v>0.162468</v>
      </c>
      <c r="R147" s="26" t="n">
        <v>100</v>
      </c>
      <c r="S147" s="29" t="n">
        <v>2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>
        <v>-117</v>
      </c>
      <c r="AA147" s="28" t="n">
        <v>0.54</v>
      </c>
      <c r="AB147" s="28" t="n">
        <v>0.000829</v>
      </c>
      <c r="AC147" s="30" t="n">
        <v>-2</v>
      </c>
      <c r="AD147" s="24" t="inlineStr">
        <is>
          <t>2026-08-04T03:57:52.039552Z</t>
        </is>
      </c>
      <c r="AE147" s="31" t="inlineStr">
        <is>
          <t>Surface-blended Elo on Hard: Sloane Stephens p=0.298 vs Solana Sierra. Executable ask 0.5400 (aec-wta-solsie-sloste-2026-08-03).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Sloane Stephens</t>
        </is>
      </c>
      <c r="AQ147" s="24" t="inlineStr">
        <is>
          <t>Sloane Stephens</t>
        </is>
      </c>
      <c r="AR147" s="24" t="inlineStr">
        <is>
          <t>Sloane Stephens</t>
        </is>
      </c>
      <c r="AS147" s="24" t="inlineStr">
        <is>
          <t>Solana Sierra</t>
        </is>
      </c>
      <c r="AT147" s="24" t="inlineStr">
        <is>
          <t>Solana Sierra</t>
        </is>
      </c>
      <c r="AU147" s="24" t="inlineStr">
        <is>
          <t>Solana Sierra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60749ecfb3f1405f12fbceda11b7e64f2473d40dd327256f9da20b2146b6ae03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60749ecfb3f1405f12fbceda11b7e64f2473d40dd327256f9da20b2146b6ae03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60749ecfb3f1405f12fbceda11b7e64f2473d40dd327256f9da20b2146b6ae03</t>
        </is>
      </c>
      <c r="BH147" s="24" t="inlineStr">
        <is>
          <t>2026-08-03T19:52:44.196885Z</t>
        </is>
      </c>
      <c r="BI147" s="24" t="inlineStr">
        <is>
          <t>["same_event","same_team_same_day","same_league_same_day"]</t>
        </is>
      </c>
      <c r="BJ147" s="25" t="n"/>
      <c r="BK147" s="26" t="n">
        <v>-117</v>
      </c>
      <c r="BL147" s="27" t="n">
        <v>1.854701</v>
      </c>
      <c r="BM147" s="28" t="n">
        <v>0.539171</v>
      </c>
      <c r="BN147" s="28" t="n"/>
      <c r="BO147" s="28" t="n"/>
      <c r="BP147" s="25" t="n"/>
      <c r="BQ147" s="27" t="n">
        <v>1.854701</v>
      </c>
      <c r="BR147" s="28" t="n">
        <v>0.54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inlineStr">
        <is>
          <t>True</t>
        </is>
      </c>
    </row>
    <row r="148" ht="36" customHeight="1">
      <c r="A148" s="24" t="inlineStr">
        <is>
          <t>3f8d91f7160f44df</t>
        </is>
      </c>
      <c r="B148" s="24" t="inlineStr">
        <is>
          <t>2026-08-03T22:56:40.367668Z</t>
        </is>
      </c>
      <c r="C148" s="24" t="inlineStr">
        <is>
          <t>2026-08-03T23:00Z</t>
        </is>
      </c>
      <c r="D148" s="24" t="inlineStr">
        <is>
          <t>421-2026:182252</t>
        </is>
      </c>
      <c r="E148" s="24" t="inlineStr">
        <is>
          <t>TENNIS</t>
        </is>
      </c>
      <c r="F148" s="24" t="inlineStr">
        <is>
          <t>Zeynep Sonmez</t>
        </is>
      </c>
      <c r="G148" s="24" t="inlineStr">
        <is>
          <t>Rebecca Marino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-300</v>
      </c>
      <c r="M148" s="27" t="n">
        <v>1.333333</v>
      </c>
      <c r="N148" s="28" t="n">
        <v>0.75</v>
      </c>
      <c r="O148" s="28" t="n">
        <v>0.687948</v>
      </c>
      <c r="P148" s="28" t="n">
        <v>0.05</v>
      </c>
      <c r="Q148" s="28" t="n">
        <v>-0.062052</v>
      </c>
      <c r="R148" s="26" t="n">
        <v>0</v>
      </c>
      <c r="S148" s="29" t="n">
        <v>2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-300</v>
      </c>
      <c r="AA148" s="28" t="n">
        <v>0.75</v>
      </c>
      <c r="AB148" s="28" t="n">
        <v>0</v>
      </c>
      <c r="AC148" s="30" t="n">
        <v>0.6667</v>
      </c>
      <c r="AD148" s="24" t="inlineStr">
        <is>
          <t>2026-08-04T01:58:39.701811Z</t>
        </is>
      </c>
      <c r="AE148" s="31" t="inlineStr">
        <is>
          <t>Surface-blended Elo on Hard: Zeynep Sonmez p=0.688 vs Rebecca Marino. Executable ask 0.7500 (aec-wta-rebmar-zeyson-2026-08-03).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NO_CALL_LOW_EDGE</t>
        </is>
      </c>
      <c r="AP148" s="24" t="inlineStr">
        <is>
          <t>Zeynep Sonmez</t>
        </is>
      </c>
      <c r="AQ148" s="24" t="inlineStr">
        <is>
          <t>Zeynep Sonmez</t>
        </is>
      </c>
      <c r="AR148" s="24" t="inlineStr">
        <is>
          <t>Zeynep Sonmez</t>
        </is>
      </c>
      <c r="AS148" s="24" t="inlineStr">
        <is>
          <t>Rebecca Marino</t>
        </is>
      </c>
      <c r="AT148" s="24" t="inlineStr">
        <is>
          <t>Rebecca Marino</t>
        </is>
      </c>
      <c r="AU148" s="24" t="inlineStr">
        <is>
          <t>Rebecca Marino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60749ecfb3f1405f12fbceda11b7e64f2473d40dd327256f9da20b2146b6ae03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60749ecfb3f1405f12fbceda11b7e64f2473d40dd327256f9da20b2146b6ae03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60749ecfb3f1405f12fbceda11b7e64f2473d40dd327256f9da20b2146b6ae03</t>
        </is>
      </c>
      <c r="BH148" s="24" t="inlineStr">
        <is>
          <t>2026-08-03T22:56:09.703406Z</t>
        </is>
      </c>
      <c r="BI148" s="24" t="inlineStr">
        <is>
          <t>["same_event","same_team_same_day","same_league_same_day"]</t>
        </is>
      </c>
      <c r="BJ148" s="25" t="n"/>
      <c r="BK148" s="26" t="n">
        <v>-300</v>
      </c>
      <c r="BL148" s="27" t="n">
        <v>1.333333</v>
      </c>
      <c r="BM148" s="28" t="n">
        <v>0.75</v>
      </c>
      <c r="BN148" s="28" t="n"/>
      <c r="BO148" s="28" t="n"/>
      <c r="BP148" s="25" t="n"/>
      <c r="BQ148" s="27" t="n">
        <v>1.333333</v>
      </c>
      <c r="BR148" s="28" t="n">
        <v>0.75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inlineStr">
        <is>
          <t>False</t>
        </is>
      </c>
    </row>
    <row r="149" ht="36" customHeight="1">
      <c r="A149" s="24" t="inlineStr">
        <is>
          <t>404a73830d834cd6</t>
        </is>
      </c>
      <c r="B149" s="24" t="inlineStr">
        <is>
          <t>2026-08-03T22:56:40.367668Z</t>
        </is>
      </c>
      <c r="C149" s="24" t="inlineStr">
        <is>
          <t>2026-08-04T00:30Z</t>
        </is>
      </c>
      <c r="D149" s="24" t="inlineStr">
        <is>
          <t>421-2026:182267</t>
        </is>
      </c>
      <c r="E149" s="24" t="inlineStr">
        <is>
          <t>TENNIS</t>
        </is>
      </c>
      <c r="F149" s="24" t="inlineStr">
        <is>
          <t>Daria Kasatkina</t>
        </is>
      </c>
      <c r="G149" s="24" t="inlineStr">
        <is>
          <t>Wang Xinyu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-104</v>
      </c>
      <c r="M149" s="27" t="n">
        <v>1.961538</v>
      </c>
      <c r="N149" s="28" t="n">
        <v>0.509804</v>
      </c>
      <c r="O149" s="28" t="n">
        <v>0.524111</v>
      </c>
      <c r="P149" s="28" t="n">
        <v>0.05</v>
      </c>
      <c r="Q149" s="28" t="n">
        <v>0.014307</v>
      </c>
      <c r="R149" s="26" t="n">
        <v>27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-104</v>
      </c>
      <c r="AA149" s="28" t="n">
        <v>0.51</v>
      </c>
      <c r="AB149" s="28" t="n">
        <v>0.000196</v>
      </c>
      <c r="AC149" s="30" t="n">
        <v>0.9615</v>
      </c>
      <c r="AD149" s="24" t="inlineStr">
        <is>
          <t>2026-08-04T03:58:07.060448Z</t>
        </is>
      </c>
      <c r="AE149" s="31" t="inlineStr">
        <is>
          <t>Surface-blended Elo on Hard: Daria Kasatkina p=0.524 vs Wang Xinyu. Executable ask 0.5100 (aec-wta-xinwan-darkas-2026-08-02).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NO_CALL_LOW_EDGE</t>
        </is>
      </c>
      <c r="AP149" s="24" t="inlineStr">
        <is>
          <t>Daria Kasatkina</t>
        </is>
      </c>
      <c r="AQ149" s="24" t="inlineStr">
        <is>
          <t>Daria Kasatkina</t>
        </is>
      </c>
      <c r="AR149" s="24" t="inlineStr">
        <is>
          <t>Daria Kasatkina</t>
        </is>
      </c>
      <c r="AS149" s="24" t="inlineStr">
        <is>
          <t>Wang Xinyu</t>
        </is>
      </c>
      <c r="AT149" s="24" t="inlineStr">
        <is>
          <t>Wang Xinyu</t>
        </is>
      </c>
      <c r="AU149" s="24" t="inlineStr">
        <is>
          <t>Wang Xinyu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60749ecfb3f1405f12fbceda11b7e64f2473d40dd327256f9da20b2146b6ae03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60749ecfb3f1405f12fbceda11b7e64f2473d40dd327256f9da20b2146b6ae03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60749ecfb3f1405f12fbceda11b7e64f2473d40dd327256f9da20b2146b6ae03</t>
        </is>
      </c>
      <c r="BH149" s="24" t="inlineStr">
        <is>
          <t>2026-08-03T22:56:10.108615Z</t>
        </is>
      </c>
      <c r="BI149" s="24" t="inlineStr">
        <is>
          <t>["same_event","same_team_same_day","same_league_same_day"]</t>
        </is>
      </c>
      <c r="BJ149" s="25" t="n"/>
      <c r="BK149" s="26" t="n">
        <v>-104</v>
      </c>
      <c r="BL149" s="27" t="n">
        <v>1.961538</v>
      </c>
      <c r="BM149" s="28" t="n">
        <v>0.509804</v>
      </c>
      <c r="BN149" s="28" t="n"/>
      <c r="BO149" s="28" t="n"/>
      <c r="BP149" s="25" t="n"/>
      <c r="BQ149" s="27" t="n">
        <v>1.961538</v>
      </c>
      <c r="BR149" s="28" t="n">
        <v>0.51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inlineStr">
        <is>
          <t>True</t>
        </is>
      </c>
    </row>
    <row r="150" ht="36" customHeight="1">
      <c r="A150" s="24" t="inlineStr">
        <is>
          <t>6dc437d9e91b474e</t>
        </is>
      </c>
      <c r="B150" s="24" t="inlineStr">
        <is>
          <t>2026-08-03T22:56:40.367668Z</t>
        </is>
      </c>
      <c r="C150" s="24" t="inlineStr">
        <is>
          <t>2026-08-04T00:30Z</t>
        </is>
      </c>
      <c r="D150" s="24" t="inlineStr">
        <is>
          <t>421-2026:181817</t>
        </is>
      </c>
      <c r="E150" s="24" t="inlineStr">
        <is>
          <t>TENNIS</t>
        </is>
      </c>
      <c r="F150" s="24" t="inlineStr">
        <is>
          <t>Gael Monfils</t>
        </is>
      </c>
      <c r="G150" s="24" t="inlineStr">
        <is>
          <t>Kamil Majchrzak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-285</v>
      </c>
      <c r="M150" s="27" t="n">
        <v>1.350877</v>
      </c>
      <c r="N150" s="28" t="n">
        <v>0.74026</v>
      </c>
      <c r="O150" s="28" t="n">
        <v>0.679751</v>
      </c>
      <c r="P150" s="28" t="n">
        <v>0.05</v>
      </c>
      <c r="Q150" s="28" t="n">
        <v>-0.060509</v>
      </c>
      <c r="R150" s="26" t="n">
        <v>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-285</v>
      </c>
      <c r="AA150" s="28" t="n">
        <v>0.74</v>
      </c>
      <c r="AB150" s="28" t="n">
        <v>-0.00026</v>
      </c>
      <c r="AC150" s="30" t="n">
        <v>-1.75</v>
      </c>
      <c r="AD150" s="24" t="inlineStr">
        <is>
          <t>2026-08-04T03:58:07.952035Z</t>
        </is>
      </c>
      <c r="AE150" s="31" t="inlineStr">
        <is>
          <t>Surface-blended Elo on Hard: Gael Monfils p=0.320 vs Kamil Majchrzak. Executable ask 0.7400 (aec-atp-kammaj-gaemon-2026-08-03).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NO_CALL_LOW_EDGE</t>
        </is>
      </c>
      <c r="AP150" s="24" t="inlineStr">
        <is>
          <t>Gael Monfils</t>
        </is>
      </c>
      <c r="AQ150" s="24" t="inlineStr">
        <is>
          <t>Gael Monfils</t>
        </is>
      </c>
      <c r="AR150" s="24" t="inlineStr">
        <is>
          <t>Gael Monfils</t>
        </is>
      </c>
      <c r="AS150" s="24" t="inlineStr">
        <is>
          <t>Kamil Majchrzak</t>
        </is>
      </c>
      <c r="AT150" s="24" t="inlineStr">
        <is>
          <t>Kamil Majchrzak</t>
        </is>
      </c>
      <c r="AU150" s="24" t="inlineStr">
        <is>
          <t>Kamil Majchrzak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60749ecfb3f1405f12fbceda11b7e64f2473d40dd327256f9da20b2146b6ae03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60749ecfb3f1405f12fbceda11b7e64f2473d40dd327256f9da20b2146b6ae03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60749ecfb3f1405f12fbceda11b7e64f2473d40dd327256f9da20b2146b6ae03</t>
        </is>
      </c>
      <c r="BH150" s="24" t="inlineStr">
        <is>
          <t>2026-08-03T22:56:20.392064Z</t>
        </is>
      </c>
      <c r="BI150" s="24" t="inlineStr">
        <is>
          <t>["same_event","same_team_same_day","same_league_same_day"]</t>
        </is>
      </c>
      <c r="BJ150" s="25" t="n"/>
      <c r="BK150" s="26" t="n">
        <v>-285</v>
      </c>
      <c r="BL150" s="27" t="n">
        <v>1.350877</v>
      </c>
      <c r="BM150" s="28" t="n">
        <v>0.74026</v>
      </c>
      <c r="BN150" s="28" t="n"/>
      <c r="BO150" s="28" t="n"/>
      <c r="BP150" s="25" t="n"/>
      <c r="BQ150" s="27" t="n">
        <v>1.350877</v>
      </c>
      <c r="BR150" s="28" t="n">
        <v>0.74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inlineStr">
        <is>
          <t>False</t>
        </is>
      </c>
    </row>
    <row r="151" ht="36" customHeight="1">
      <c r="A151" s="24" t="inlineStr">
        <is>
          <t>0c44e4a6dc5e44c4</t>
        </is>
      </c>
      <c r="B151" s="24" t="inlineStr">
        <is>
          <t>2026-08-04T08:54:59.561456Z</t>
        </is>
      </c>
      <c r="C151" s="24" t="inlineStr">
        <is>
          <t>2026-08-04T15:00Z</t>
        </is>
      </c>
      <c r="D151" s="24" t="inlineStr">
        <is>
          <t>421-2026:182185</t>
        </is>
      </c>
      <c r="E151" s="24" t="inlineStr">
        <is>
          <t>TENNIS</t>
        </is>
      </c>
      <c r="F151" s="24" t="inlineStr">
        <is>
          <t>Jessica Bouzas Maneiro</t>
        </is>
      </c>
      <c r="G151" s="24" t="inlineStr">
        <is>
          <t>Elina Svitolina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-525</v>
      </c>
      <c r="M151" s="27" t="n">
        <v>1.190476</v>
      </c>
      <c r="N151" s="28" t="n">
        <v>0.84</v>
      </c>
      <c r="O151" s="28" t="n">
        <v>0.855057</v>
      </c>
      <c r="P151" s="28" t="n">
        <v>0.05</v>
      </c>
      <c r="Q151" s="28" t="n">
        <v>0.015057</v>
      </c>
      <c r="R151" s="26" t="n">
        <v>28</v>
      </c>
      <c r="S151" s="29" t="n">
        <v>2</v>
      </c>
      <c r="T151" s="24" t="inlineStr">
        <is>
          <t>tennis-surface-elo-v1</t>
        </is>
      </c>
      <c r="U151" s="24" t="inlineStr">
        <is>
          <t>open</t>
        </is>
      </c>
      <c r="V151" s="24" t="n"/>
      <c r="W151" s="26" t="n"/>
      <c r="X151" s="26" t="n"/>
      <c r="Y151" s="25" t="n"/>
      <c r="Z151" s="26" t="n"/>
      <c r="AA151" s="28" t="n"/>
      <c r="AB151" s="28" t="n"/>
      <c r="AC151" s="30" t="n"/>
      <c r="AD151" s="24" t="n"/>
      <c r="AE151" s="31" t="inlineStr">
        <is>
          <t>Surface-blended Elo on Hard: Jessica Bouzas Maneiro p=0.145 vs Elina Svitolina. Executable ask 0.8400 (aec-wta-elisvi-jesman-2026-08-03).</t>
        </is>
      </c>
      <c r="AF151" s="31" t="inlineStr">
        <is>
          <t>Surface-blended Elo model; singles only, WTA+ATP market coverage, not yet locked-holdout qualified -- promoted by explicit operator directive, not genuine walk-forward validation.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NO_CALL_LOW_EDGE</t>
        </is>
      </c>
      <c r="AP151" s="24" t="inlineStr">
        <is>
          <t>Jessica Bouzas Maneiro</t>
        </is>
      </c>
      <c r="AQ151" s="24" t="inlineStr">
        <is>
          <t>Jessica Bouzas Maneiro</t>
        </is>
      </c>
      <c r="AR151" s="24" t="inlineStr">
        <is>
          <t>Jessica Bouzas Maneiro</t>
        </is>
      </c>
      <c r="AS151" s="24" t="inlineStr">
        <is>
          <t>Elina Svitolina</t>
        </is>
      </c>
      <c r="AT151" s="24" t="inlineStr">
        <is>
          <t>Elina Svitolina</t>
        </is>
      </c>
      <c r="AU151" s="24" t="inlineStr">
        <is>
          <t>Elina Svitolina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60749ecfb3f1405f12fbceda11b7e64f2473d40dd327256f9da20b2146b6ae03</t>
        </is>
      </c>
      <c r="BB151" s="24" t="inlineStr">
        <is>
          <t>surface_blended_elo</t>
        </is>
      </c>
      <c r="BC151" s="24" t="inlineStr">
        <is>
          <t>tennis-surface-elo-v1</t>
        </is>
      </c>
      <c r="BD151" s="24" t="inlineStr">
        <is>
          <t>60749ecfb3f1405f12fbceda11b7e64f2473d40dd327256f9da20b2146b6ae03</t>
        </is>
      </c>
      <c r="BE151" s="24" t="inlineStr">
        <is>
          <t>tennis-surface-elo-v1</t>
        </is>
      </c>
      <c r="BF151" s="24" t="inlineStr">
        <is>
          <t>1</t>
        </is>
      </c>
      <c r="BG151" s="24" t="inlineStr">
        <is>
          <t>60749ecfb3f1405f12fbceda11b7e64f2473d40dd327256f9da20b2146b6ae03</t>
        </is>
      </c>
      <c r="BH151" s="24" t="inlineStr">
        <is>
          <t>2026-08-04T08:53:31.879231Z</t>
        </is>
      </c>
      <c r="BI151" s="24" t="inlineStr">
        <is>
          <t>["same_event","same_team_same_day","same_league_same_day"]</t>
        </is>
      </c>
      <c r="BJ151" s="25" t="n"/>
      <c r="BK151" s="26" t="n">
        <v>-525</v>
      </c>
      <c r="BL151" s="27" t="n">
        <v>1.190476</v>
      </c>
      <c r="BM151" s="28" t="n">
        <v>0.84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inlineStr">
        <is>
          <t>True</t>
        </is>
      </c>
    </row>
    <row r="152" ht="36" customHeight="1">
      <c r="A152" s="24" t="inlineStr">
        <is>
          <t>73dbe4c06f8a487c</t>
        </is>
      </c>
      <c r="B152" s="24" t="inlineStr">
        <is>
          <t>2026-08-04T08:54:59.561456Z</t>
        </is>
      </c>
      <c r="C152" s="24" t="inlineStr">
        <is>
          <t>2026-08-04T16:30Z</t>
        </is>
      </c>
      <c r="D152" s="24" t="inlineStr">
        <is>
          <t>421-2026:182173</t>
        </is>
      </c>
      <c r="E152" s="24" t="inlineStr">
        <is>
          <t>TENNIS</t>
        </is>
      </c>
      <c r="F152" s="24" t="inlineStr">
        <is>
          <t>Diana Shnaider</t>
        </is>
      </c>
      <c r="G152" s="24" t="inlineStr">
        <is>
          <t>Rebecca Sramkova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-426</v>
      </c>
      <c r="M152" s="27" t="n">
        <v>1.234742</v>
      </c>
      <c r="N152" s="28" t="n">
        <v>0.809886</v>
      </c>
      <c r="O152" s="28" t="n">
        <v>0.69013</v>
      </c>
      <c r="P152" s="28" t="n">
        <v>0.05</v>
      </c>
      <c r="Q152" s="28" t="n">
        <v>-0.119756</v>
      </c>
      <c r="R152" s="26" t="n">
        <v>0</v>
      </c>
      <c r="S152" s="29" t="n">
        <v>2</v>
      </c>
      <c r="T152" s="24" t="inlineStr">
        <is>
          <t>tennis-surface-elo-v1</t>
        </is>
      </c>
      <c r="U152" s="24" t="inlineStr">
        <is>
          <t>open</t>
        </is>
      </c>
      <c r="V152" s="24" t="n"/>
      <c r="W152" s="26" t="n"/>
      <c r="X152" s="26" t="n"/>
      <c r="Y152" s="25" t="n"/>
      <c r="Z152" s="26" t="n"/>
      <c r="AA152" s="28" t="n"/>
      <c r="AB152" s="28" t="n"/>
      <c r="AC152" s="30" t="n"/>
      <c r="AD152" s="24" t="n"/>
      <c r="AE152" s="31" t="inlineStr">
        <is>
          <t>Surface-blended Elo on Hard: Diana Shnaider p=0.690 vs Rebecca Sramkova. Executable ask 0.8100 (aec-wta-rebsra-diashn-2026-08-04).</t>
        </is>
      </c>
      <c r="AF152" s="31" t="inlineStr">
        <is>
          <t>Surface-blended Elo model; singles only, WTA+ATP market coverage, not yet locked-holdout qualified -- promoted by explicit operator directive, not genuine walk-forward validation.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NO_CALL_LOW_EDGE</t>
        </is>
      </c>
      <c r="AP152" s="24" t="inlineStr">
        <is>
          <t>Diana Shnaider</t>
        </is>
      </c>
      <c r="AQ152" s="24" t="inlineStr">
        <is>
          <t>Diana Shnaider</t>
        </is>
      </c>
      <c r="AR152" s="24" t="inlineStr">
        <is>
          <t>Diana Shnaider</t>
        </is>
      </c>
      <c r="AS152" s="24" t="inlineStr">
        <is>
          <t>Rebecca Sramkova</t>
        </is>
      </c>
      <c r="AT152" s="24" t="inlineStr">
        <is>
          <t>Rebecca Sramkova</t>
        </is>
      </c>
      <c r="AU152" s="24" t="inlineStr">
        <is>
          <t>Rebecca Sramkova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60749ecfb3f1405f12fbceda11b7e64f2473d40dd327256f9da20b2146b6ae03</t>
        </is>
      </c>
      <c r="BB152" s="24" t="inlineStr">
        <is>
          <t>surface_blended_elo</t>
        </is>
      </c>
      <c r="BC152" s="24" t="inlineStr">
        <is>
          <t>tennis-surface-elo-v1</t>
        </is>
      </c>
      <c r="BD152" s="24" t="inlineStr">
        <is>
          <t>60749ecfb3f1405f12fbceda11b7e64f2473d40dd327256f9da20b2146b6ae03</t>
        </is>
      </c>
      <c r="BE152" s="24" t="inlineStr">
        <is>
          <t>tennis-surface-elo-v1</t>
        </is>
      </c>
      <c r="BF152" s="24" t="inlineStr">
        <is>
          <t>1</t>
        </is>
      </c>
      <c r="BG152" s="24" t="inlineStr">
        <is>
          <t>60749ecfb3f1405f12fbceda11b7e64f2473d40dd327256f9da20b2146b6ae03</t>
        </is>
      </c>
      <c r="BH152" s="24" t="inlineStr">
        <is>
          <t>2026-08-04T08:53:33.928684Z</t>
        </is>
      </c>
      <c r="BI152" s="24" t="inlineStr">
        <is>
          <t>["same_event","same_team_same_day","same_league_same_day"]</t>
        </is>
      </c>
      <c r="BJ152" s="25" t="n"/>
      <c r="BK152" s="26" t="n">
        <v>-426</v>
      </c>
      <c r="BL152" s="27" t="n">
        <v>1.234742</v>
      </c>
      <c r="BM152" s="28" t="n">
        <v>0.809886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inlineStr">
        <is>
          <t>False</t>
        </is>
      </c>
    </row>
    <row r="153" ht="36" customHeight="1">
      <c r="A153" s="24" t="inlineStr">
        <is>
          <t>5ae550dd6a2342d3</t>
        </is>
      </c>
      <c r="B153" s="24" t="inlineStr">
        <is>
          <t>2026-08-04T08:54:59.561456Z</t>
        </is>
      </c>
      <c r="C153" s="24" t="inlineStr">
        <is>
          <t>2026-08-04T16:30Z</t>
        </is>
      </c>
      <c r="D153" s="24" t="inlineStr">
        <is>
          <t>421-2026:182175</t>
        </is>
      </c>
      <c r="E153" s="24" t="inlineStr">
        <is>
          <t>TENNIS</t>
        </is>
      </c>
      <c r="F153" s="24" t="inlineStr">
        <is>
          <t>Viktorija Golubic</t>
        </is>
      </c>
      <c r="G153" s="24" t="inlineStr">
        <is>
          <t>Donna Vekic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-133</v>
      </c>
      <c r="M153" s="27" t="n">
        <v>1.75188</v>
      </c>
      <c r="N153" s="28" t="n">
        <v>0.570815</v>
      </c>
      <c r="O153" s="28" t="n">
        <v>0.600871</v>
      </c>
      <c r="P153" s="28" t="n">
        <v>0.05</v>
      </c>
      <c r="Q153" s="28" t="n">
        <v>0.030056</v>
      </c>
      <c r="R153" s="26" t="n">
        <v>35</v>
      </c>
      <c r="S153" s="29" t="n">
        <v>1.25</v>
      </c>
      <c r="T153" s="24" t="inlineStr">
        <is>
          <t>tennis-surface-elo-v1</t>
        </is>
      </c>
      <c r="U153" s="24" t="inlineStr">
        <is>
          <t>open</t>
        </is>
      </c>
      <c r="V153" s="24" t="n"/>
      <c r="W153" s="26" t="n"/>
      <c r="X153" s="26" t="n"/>
      <c r="Y153" s="25" t="n"/>
      <c r="Z153" s="26" t="n"/>
      <c r="AA153" s="28" t="n"/>
      <c r="AB153" s="28" t="n"/>
      <c r="AC153" s="30" t="n"/>
      <c r="AD153" s="24" t="n"/>
      <c r="AE153" s="31" t="inlineStr">
        <is>
          <t>Surface-blended Elo on Hard: Viktorija Golubic p=0.399 vs Donna Vekic. Executable ask 0.5700 (aec-wta-donvek-vikgol-2026-08-03).</t>
        </is>
      </c>
      <c r="AF153" s="31" t="inlineStr">
        <is>
          <t>Surface-blended Elo model; singles only, WTA+ATP market coverage, not yet locked-holdout qualified -- promoted by explicit operator directive, not genuine walk-forward validation.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NO_CALL_LOW_EDGE</t>
        </is>
      </c>
      <c r="AP153" s="24" t="inlineStr">
        <is>
          <t>Viktorija Golubic</t>
        </is>
      </c>
      <c r="AQ153" s="24" t="inlineStr">
        <is>
          <t>Viktorija Golubic</t>
        </is>
      </c>
      <c r="AR153" s="24" t="inlineStr">
        <is>
          <t>Viktorija Golubic</t>
        </is>
      </c>
      <c r="AS153" s="24" t="inlineStr">
        <is>
          <t>Donna Vekic</t>
        </is>
      </c>
      <c r="AT153" s="24" t="inlineStr">
        <is>
          <t>Donna Vekic</t>
        </is>
      </c>
      <c r="AU153" s="24" t="inlineStr">
        <is>
          <t>Donna Vekic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60749ecfb3f1405f12fbceda11b7e64f2473d40dd327256f9da20b2146b6ae03</t>
        </is>
      </c>
      <c r="BB153" s="24" t="inlineStr">
        <is>
          <t>surface_blended_elo</t>
        </is>
      </c>
      <c r="BC153" s="24" t="inlineStr">
        <is>
          <t>tennis-surface-elo-v1</t>
        </is>
      </c>
      <c r="BD153" s="24" t="inlineStr">
        <is>
          <t>60749ecfb3f1405f12fbceda11b7e64f2473d40dd327256f9da20b2146b6ae03</t>
        </is>
      </c>
      <c r="BE153" s="24" t="inlineStr">
        <is>
          <t>tennis-surface-elo-v1</t>
        </is>
      </c>
      <c r="BF153" s="24" t="inlineStr">
        <is>
          <t>1</t>
        </is>
      </c>
      <c r="BG153" s="24" t="inlineStr">
        <is>
          <t>60749ecfb3f1405f12fbceda11b7e64f2473d40dd327256f9da20b2146b6ae03</t>
        </is>
      </c>
      <c r="BH153" s="24" t="inlineStr">
        <is>
          <t>2026-08-04T08:53:34.336934Z</t>
        </is>
      </c>
      <c r="BI153" s="24" t="inlineStr">
        <is>
          <t>["same_event","same_team_same_day","same_league_same_day"]</t>
        </is>
      </c>
      <c r="BJ153" s="25" t="n"/>
      <c r="BK153" s="26" t="n">
        <v>-133</v>
      </c>
      <c r="BL153" s="27" t="n">
        <v>1.75188</v>
      </c>
      <c r="BM153" s="28" t="n">
        <v>0.570815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inlineStr">
        <is>
          <t>True</t>
        </is>
      </c>
    </row>
    <row r="154" ht="36" customHeight="1">
      <c r="A154" s="24" t="inlineStr">
        <is>
          <t>74e5f6a58aa04f5a</t>
        </is>
      </c>
      <c r="B154" s="24" t="inlineStr">
        <is>
          <t>2026-08-04T08:54:59.561456Z</t>
        </is>
      </c>
      <c r="C154" s="24" t="inlineStr">
        <is>
          <t>2026-08-04T16:30Z</t>
        </is>
      </c>
      <c r="D154" s="24" t="inlineStr">
        <is>
          <t>421-2026:182182</t>
        </is>
      </c>
      <c r="E154" s="24" t="inlineStr">
        <is>
          <t>TENNIS</t>
        </is>
      </c>
      <c r="F154" s="24" t="inlineStr">
        <is>
          <t>Iga Swiatek</t>
        </is>
      </c>
      <c r="G154" s="24" t="inlineStr">
        <is>
          <t>Sara Bejlek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-900</v>
      </c>
      <c r="M154" s="27" t="n">
        <v>1.111111</v>
      </c>
      <c r="N154" s="28" t="n">
        <v>0.9</v>
      </c>
      <c r="O154" s="28" t="n">
        <v>0.745582</v>
      </c>
      <c r="P154" s="28" t="n">
        <v>0.05</v>
      </c>
      <c r="Q154" s="28" t="n">
        <v>-0.154418</v>
      </c>
      <c r="R154" s="26" t="n">
        <v>0</v>
      </c>
      <c r="S154" s="29" t="n">
        <v>2</v>
      </c>
      <c r="T154" s="24" t="inlineStr">
        <is>
          <t>tennis-surface-elo-v1</t>
        </is>
      </c>
      <c r="U154" s="24" t="inlineStr">
        <is>
          <t>open</t>
        </is>
      </c>
      <c r="V154" s="24" t="n"/>
      <c r="W154" s="26" t="n"/>
      <c r="X154" s="26" t="n"/>
      <c r="Y154" s="25" t="n"/>
      <c r="Z154" s="26" t="n"/>
      <c r="AA154" s="28" t="n"/>
      <c r="AB154" s="28" t="n"/>
      <c r="AC154" s="30" t="n"/>
      <c r="AD154" s="24" t="n"/>
      <c r="AE154" s="31" t="inlineStr">
        <is>
          <t>Surface-blended Elo on Hard: Iga Swiatek p=0.746 vs Sara Bejlek. Executable ask 0.9000 (aec-wta-sarbej-igaswi-2026-08-03).</t>
        </is>
      </c>
      <c r="AF154" s="31" t="inlineStr">
        <is>
          <t>Surface-blended Elo model; singles only, WTA+ATP market coverage, not yet locked-holdout qualified -- promoted by explicit operator directive, not genuine walk-forward validation.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NO_CALL_LOW_EDGE</t>
        </is>
      </c>
      <c r="AP154" s="24" t="inlineStr">
        <is>
          <t>Iga Swiatek</t>
        </is>
      </c>
      <c r="AQ154" s="24" t="inlineStr">
        <is>
          <t>Iga Swiatek</t>
        </is>
      </c>
      <c r="AR154" s="24" t="inlineStr">
        <is>
          <t>Iga Swiatek</t>
        </is>
      </c>
      <c r="AS154" s="24" t="inlineStr">
        <is>
          <t>Sara Bejlek</t>
        </is>
      </c>
      <c r="AT154" s="24" t="inlineStr">
        <is>
          <t>Sara Bejlek</t>
        </is>
      </c>
      <c r="AU154" s="24" t="inlineStr">
        <is>
          <t>Sara Bejlek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60749ecfb3f1405f12fbceda11b7e64f2473d40dd327256f9da20b2146b6ae03</t>
        </is>
      </c>
      <c r="BB154" s="24" t="inlineStr">
        <is>
          <t>surface_blended_elo</t>
        </is>
      </c>
      <c r="BC154" s="24" t="inlineStr">
        <is>
          <t>tennis-surface-elo-v1</t>
        </is>
      </c>
      <c r="BD154" s="24" t="inlineStr">
        <is>
          <t>60749ecfb3f1405f12fbceda11b7e64f2473d40dd327256f9da20b2146b6ae03</t>
        </is>
      </c>
      <c r="BE154" s="24" t="inlineStr">
        <is>
          <t>tennis-surface-elo-v1</t>
        </is>
      </c>
      <c r="BF154" s="24" t="inlineStr">
        <is>
          <t>1</t>
        </is>
      </c>
      <c r="BG154" s="24" t="inlineStr">
        <is>
          <t>60749ecfb3f1405f12fbceda11b7e64f2473d40dd327256f9da20b2146b6ae03</t>
        </is>
      </c>
      <c r="BH154" s="24" t="inlineStr">
        <is>
          <t>2026-08-04T08:53:32.830493Z</t>
        </is>
      </c>
      <c r="BI154" s="24" t="inlineStr">
        <is>
          <t>["same_event","same_team_same_day","same_league_same_day"]</t>
        </is>
      </c>
      <c r="BJ154" s="25" t="n"/>
      <c r="BK154" s="26" t="n">
        <v>-900</v>
      </c>
      <c r="BL154" s="27" t="n">
        <v>1.111111</v>
      </c>
      <c r="BM154" s="28" t="n">
        <v>0.9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inlineStr">
        <is>
          <t>False</t>
        </is>
      </c>
    </row>
    <row r="155" ht="36" customHeight="1">
      <c r="A155" s="24" t="inlineStr">
        <is>
          <t>1d7331980093468b</t>
        </is>
      </c>
      <c r="B155" s="24" t="inlineStr">
        <is>
          <t>2026-08-04T08:54:59.561456Z</t>
        </is>
      </c>
      <c r="C155" s="24" t="inlineStr">
        <is>
          <t>2026-08-04T16:30Z</t>
        </is>
      </c>
      <c r="D155" s="24" t="inlineStr">
        <is>
          <t>421-2026:182207</t>
        </is>
      </c>
      <c r="E155" s="24" t="inlineStr">
        <is>
          <t>TENNIS</t>
        </is>
      </c>
      <c r="F155" s="24" t="inlineStr">
        <is>
          <t>Ekaterina Alexandrova</t>
        </is>
      </c>
      <c r="G155" s="24" t="inlineStr">
        <is>
          <t>Camila Osorio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-104</v>
      </c>
      <c r="M155" s="27" t="n">
        <v>1.961538</v>
      </c>
      <c r="N155" s="28" t="n">
        <v>0.509804</v>
      </c>
      <c r="O155" s="28" t="n">
        <v>0.533657</v>
      </c>
      <c r="P155" s="28" t="n">
        <v>0.05</v>
      </c>
      <c r="Q155" s="28" t="n">
        <v>0.023853</v>
      </c>
      <c r="R155" s="26" t="n">
        <v>32</v>
      </c>
      <c r="S155" s="29" t="n">
        <v>1</v>
      </c>
      <c r="T155" s="24" t="inlineStr">
        <is>
          <t>tennis-surface-elo-v1</t>
        </is>
      </c>
      <c r="U155" s="24" t="inlineStr">
        <is>
          <t>open</t>
        </is>
      </c>
      <c r="V155" s="24" t="n"/>
      <c r="W155" s="26" t="n"/>
      <c r="X155" s="26" t="n"/>
      <c r="Y155" s="25" t="n"/>
      <c r="Z155" s="26" t="n"/>
      <c r="AA155" s="28" t="n"/>
      <c r="AB155" s="28" t="n"/>
      <c r="AC155" s="30" t="n"/>
      <c r="AD155" s="24" t="n"/>
      <c r="AE155" s="31" t="inlineStr">
        <is>
          <t>Surface-blended Elo on Hard: Ekaterina Alexandrova p=0.466 vs Camila Osorio. Executable ask 0.5100 (aec-wta-camoso-ekaale-2026-08-03).</t>
        </is>
      </c>
      <c r="AF155" s="31" t="inlineStr">
        <is>
          <t>Surface-blended Elo model; singles only, WTA+ATP market coverage, not yet locked-holdout qualified -- promoted by explicit operator directive, not genuine walk-forward validation.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NO_CALL_LOW_EDGE</t>
        </is>
      </c>
      <c r="AP155" s="24" t="inlineStr">
        <is>
          <t>Ekaterina Alexandrova</t>
        </is>
      </c>
      <c r="AQ155" s="24" t="inlineStr">
        <is>
          <t>Ekaterina Alexandrova</t>
        </is>
      </c>
      <c r="AR155" s="24" t="inlineStr">
        <is>
          <t>Ekaterina Alexandrova</t>
        </is>
      </c>
      <c r="AS155" s="24" t="inlineStr">
        <is>
          <t>Camila Osorio</t>
        </is>
      </c>
      <c r="AT155" s="24" t="inlineStr">
        <is>
          <t>Camila Osorio</t>
        </is>
      </c>
      <c r="AU155" s="24" t="inlineStr">
        <is>
          <t>Camila Osorio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60749ecfb3f1405f12fbceda11b7e64f2473d40dd327256f9da20b2146b6ae03</t>
        </is>
      </c>
      <c r="BB155" s="24" t="inlineStr">
        <is>
          <t>surface_blended_elo</t>
        </is>
      </c>
      <c r="BC155" s="24" t="inlineStr">
        <is>
          <t>tennis-surface-elo-v1</t>
        </is>
      </c>
      <c r="BD155" s="24" t="inlineStr">
        <is>
          <t>60749ecfb3f1405f12fbceda11b7e64f2473d40dd327256f9da20b2146b6ae03</t>
        </is>
      </c>
      <c r="BE155" s="24" t="inlineStr">
        <is>
          <t>tennis-surface-elo-v1</t>
        </is>
      </c>
      <c r="BF155" s="24" t="inlineStr">
        <is>
          <t>1</t>
        </is>
      </c>
      <c r="BG155" s="24" t="inlineStr">
        <is>
          <t>60749ecfb3f1405f12fbceda11b7e64f2473d40dd327256f9da20b2146b6ae03</t>
        </is>
      </c>
      <c r="BH155" s="24" t="inlineStr">
        <is>
          <t>2026-08-04T08:53:34.995635Z</t>
        </is>
      </c>
      <c r="BI155" s="24" t="inlineStr">
        <is>
          <t>["same_event","same_team_same_day","same_league_same_day"]</t>
        </is>
      </c>
      <c r="BJ155" s="25" t="n"/>
      <c r="BK155" s="26" t="n">
        <v>-104</v>
      </c>
      <c r="BL155" s="27" t="n">
        <v>1.961538</v>
      </c>
      <c r="BM155" s="28" t="n">
        <v>0.509804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inlineStr">
        <is>
          <t>True</t>
        </is>
      </c>
    </row>
    <row r="156" ht="36" customHeight="1">
      <c r="A156" s="24" t="inlineStr">
        <is>
          <t>4049f26a9ae043d4</t>
        </is>
      </c>
      <c r="B156" s="24" t="inlineStr">
        <is>
          <t>2026-08-04T08:54:59.561456Z</t>
        </is>
      </c>
      <c r="C156" s="24" t="inlineStr">
        <is>
          <t>2026-08-04T18:00Z</t>
        </is>
      </c>
      <c r="D156" s="24" t="inlineStr">
        <is>
          <t>421-2026:182166</t>
        </is>
      </c>
      <c r="E156" s="24" t="inlineStr">
        <is>
          <t>TENNIS</t>
        </is>
      </c>
      <c r="F156" s="24" t="inlineStr">
        <is>
          <t>Madison Keys</t>
        </is>
      </c>
      <c r="G156" s="24" t="inlineStr">
        <is>
          <t>Antonia Ruzic</t>
        </is>
      </c>
      <c r="H156" s="24" t="inlineStr">
        <is>
          <t>moneyline</t>
        </is>
      </c>
      <c r="I156" s="24" t="inlineStr">
        <is>
          <t>away</t>
        </is>
      </c>
      <c r="J156" s="25" t="n"/>
      <c r="K156" s="24" t="inlineStr">
        <is>
          <t>polymarket_us</t>
        </is>
      </c>
      <c r="L156" s="26" t="n">
        <v>-355</v>
      </c>
      <c r="M156" s="27" t="n">
        <v>1.28169</v>
      </c>
      <c r="N156" s="28" t="n">
        <v>0.78022</v>
      </c>
      <c r="O156" s="28" t="n">
        <v>0.771595</v>
      </c>
      <c r="P156" s="28" t="n">
        <v>0.05</v>
      </c>
      <c r="Q156" s="28" t="n">
        <v>-0.008625000000000001</v>
      </c>
      <c r="R156" s="26" t="n">
        <v>16</v>
      </c>
      <c r="S156" s="29" t="n">
        <v>2</v>
      </c>
      <c r="T156" s="24" t="inlineStr">
        <is>
          <t>tennis-surface-elo-v1</t>
        </is>
      </c>
      <c r="U156" s="24" t="inlineStr">
        <is>
          <t>open</t>
        </is>
      </c>
      <c r="V156" s="24" t="n"/>
      <c r="W156" s="26" t="n"/>
      <c r="X156" s="26" t="n"/>
      <c r="Y156" s="25" t="n"/>
      <c r="Z156" s="26" t="n"/>
      <c r="AA156" s="28" t="n"/>
      <c r="AB156" s="28" t="n"/>
      <c r="AC156" s="30" t="n"/>
      <c r="AD156" s="24" t="n"/>
      <c r="AE156" s="31" t="inlineStr">
        <is>
          <t>Surface-blended Elo on Hard: Madison Keys p=0.772 vs Antonia Ruzic. Executable ask 0.7800 (aec-wta-antruz-madkey-2026-08-04).</t>
        </is>
      </c>
      <c r="AF156" s="31" t="inlineStr">
        <is>
          <t>Surface-blended Elo model; singles only, WTA+ATP market coverage, not yet locked-holdout qualified -- promoted by explicit operator directive, not genuine walk-forward validation.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NO_CALL_LOW_EDGE</t>
        </is>
      </c>
      <c r="AP156" s="24" t="inlineStr">
        <is>
          <t>Madison Keys</t>
        </is>
      </c>
      <c r="AQ156" s="24" t="inlineStr">
        <is>
          <t>Madison Keys</t>
        </is>
      </c>
      <c r="AR156" s="24" t="inlineStr">
        <is>
          <t>Madison Keys</t>
        </is>
      </c>
      <c r="AS156" s="24" t="inlineStr">
        <is>
          <t>Antonia Ruzic</t>
        </is>
      </c>
      <c r="AT156" s="24" t="inlineStr">
        <is>
          <t>Antonia Ruzic</t>
        </is>
      </c>
      <c r="AU156" s="24" t="inlineStr">
        <is>
          <t>Antonia Ruzic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60749ecfb3f1405f12fbceda11b7e64f2473d40dd327256f9da20b2146b6ae03</t>
        </is>
      </c>
      <c r="BB156" s="24" t="inlineStr">
        <is>
          <t>surface_blended_elo</t>
        </is>
      </c>
      <c r="BC156" s="24" t="inlineStr">
        <is>
          <t>tennis-surface-elo-v1</t>
        </is>
      </c>
      <c r="BD156" s="24" t="inlineStr">
        <is>
          <t>60749ecfb3f1405f12fbceda11b7e64f2473d40dd327256f9da20b2146b6ae03</t>
        </is>
      </c>
      <c r="BE156" s="24" t="inlineStr">
        <is>
          <t>tennis-surface-elo-v1</t>
        </is>
      </c>
      <c r="BF156" s="24" t="inlineStr">
        <is>
          <t>1</t>
        </is>
      </c>
      <c r="BG156" s="24" t="inlineStr">
        <is>
          <t>60749ecfb3f1405f12fbceda11b7e64f2473d40dd327256f9da20b2146b6ae03</t>
        </is>
      </c>
      <c r="BH156" s="24" t="inlineStr">
        <is>
          <t>2026-08-04T08:53:37.895879Z</t>
        </is>
      </c>
      <c r="BI156" s="24" t="inlineStr">
        <is>
          <t>["same_event","same_team_same_day","same_league_same_day"]</t>
        </is>
      </c>
      <c r="BJ156" s="25" t="n"/>
      <c r="BK156" s="26" t="n">
        <v>-355</v>
      </c>
      <c r="BL156" s="27" t="n">
        <v>1.28169</v>
      </c>
      <c r="BM156" s="28" t="n">
        <v>0.78022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inlineStr">
        <is>
          <t>False</t>
        </is>
      </c>
    </row>
    <row r="157" ht="36" customHeight="1">
      <c r="A157" s="24" t="inlineStr">
        <is>
          <t>d554bd1fdcdc44d1</t>
        </is>
      </c>
      <c r="B157" s="24" t="inlineStr">
        <is>
          <t>2026-08-04T08:54:59.561456Z</t>
        </is>
      </c>
      <c r="C157" s="24" t="inlineStr">
        <is>
          <t>2026-08-04T18:00Z</t>
        </is>
      </c>
      <c r="D157" s="24" t="inlineStr">
        <is>
          <t>421-2026:182194</t>
        </is>
      </c>
      <c r="E157" s="24" t="inlineStr">
        <is>
          <t>TENNIS</t>
        </is>
      </c>
      <c r="F157" s="24" t="inlineStr">
        <is>
          <t>Katherine Sebov</t>
        </is>
      </c>
      <c r="G157" s="24" t="inlineStr">
        <is>
          <t>Marta Kostyuk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-1900</v>
      </c>
      <c r="M157" s="27" t="n">
        <v>1.052632</v>
      </c>
      <c r="N157" s="28" t="n">
        <v>0.95</v>
      </c>
      <c r="O157" s="28" t="n">
        <v>0.886886</v>
      </c>
      <c r="P157" s="28" t="n">
        <v>0.05</v>
      </c>
      <c r="Q157" s="28" t="n">
        <v>-0.063114</v>
      </c>
      <c r="R157" s="26" t="n">
        <v>0</v>
      </c>
      <c r="S157" s="29" t="n">
        <v>2</v>
      </c>
      <c r="T157" s="24" t="inlineStr">
        <is>
          <t>tennis-surface-elo-v1</t>
        </is>
      </c>
      <c r="U157" s="24" t="inlineStr">
        <is>
          <t>open</t>
        </is>
      </c>
      <c r="V157" s="24" t="n"/>
      <c r="W157" s="26" t="n"/>
      <c r="X157" s="26" t="n"/>
      <c r="Y157" s="25" t="n"/>
      <c r="Z157" s="26" t="n"/>
      <c r="AA157" s="28" t="n"/>
      <c r="AB157" s="28" t="n"/>
      <c r="AC157" s="30" t="n"/>
      <c r="AD157" s="24" t="n"/>
      <c r="AE157" s="31" t="inlineStr">
        <is>
          <t>Surface-blended Elo on Hard: Katherine Sebov p=0.113 vs Marta Kostyuk. Executable ask 0.9500 (aec-wta-markos-katseb-2026-08-03).</t>
        </is>
      </c>
      <c r="AF157" s="31" t="inlineStr">
        <is>
          <t>Surface-blended Elo model; singles only, WTA+ATP market coverage, not yet locked-holdout qualified -- promoted by explicit operator directive, not genuine walk-forward validation.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NO_CALL_LOW_EDGE</t>
        </is>
      </c>
      <c r="AP157" s="24" t="inlineStr">
        <is>
          <t>Katherine Sebov</t>
        </is>
      </c>
      <c r="AQ157" s="24" t="inlineStr">
        <is>
          <t>Katherine Sebov</t>
        </is>
      </c>
      <c r="AR157" s="24" t="inlineStr">
        <is>
          <t>Katherine Sebov</t>
        </is>
      </c>
      <c r="AS157" s="24" t="inlineStr">
        <is>
          <t>Marta Kostyuk</t>
        </is>
      </c>
      <c r="AT157" s="24" t="inlineStr">
        <is>
          <t>Marta Kostyuk</t>
        </is>
      </c>
      <c r="AU157" s="24" t="inlineStr">
        <is>
          <t>Marta Kostyuk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60749ecfb3f1405f12fbceda11b7e64f2473d40dd327256f9da20b2146b6ae03</t>
        </is>
      </c>
      <c r="BB157" s="24" t="inlineStr">
        <is>
          <t>surface_blended_elo</t>
        </is>
      </c>
      <c r="BC157" s="24" t="inlineStr">
        <is>
          <t>tennis-surface-elo-v1</t>
        </is>
      </c>
      <c r="BD157" s="24" t="inlineStr">
        <is>
          <t>60749ecfb3f1405f12fbceda11b7e64f2473d40dd327256f9da20b2146b6ae03</t>
        </is>
      </c>
      <c r="BE157" s="24" t="inlineStr">
        <is>
          <t>tennis-surface-elo-v1</t>
        </is>
      </c>
      <c r="BF157" s="24" t="inlineStr">
        <is>
          <t>1</t>
        </is>
      </c>
      <c r="BG157" s="24" t="inlineStr">
        <is>
          <t>60749ecfb3f1405f12fbceda11b7e64f2473d40dd327256f9da20b2146b6ae03</t>
        </is>
      </c>
      <c r="BH157" s="24" t="inlineStr">
        <is>
          <t>2026-08-04T08:53:36.220323Z</t>
        </is>
      </c>
      <c r="BI157" s="24" t="inlineStr">
        <is>
          <t>["same_event","same_team_same_day","same_league_same_day"]</t>
        </is>
      </c>
      <c r="BJ157" s="25" t="n"/>
      <c r="BK157" s="26" t="n">
        <v>-1900</v>
      </c>
      <c r="BL157" s="27" t="n">
        <v>1.052632</v>
      </c>
      <c r="BM157" s="28" t="n">
        <v>0.95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inlineStr">
        <is>
          <t>False</t>
        </is>
      </c>
    </row>
    <row r="158" ht="36" customHeight="1">
      <c r="A158" s="24" t="inlineStr">
        <is>
          <t>c8283c1120c74910</t>
        </is>
      </c>
      <c r="B158" s="24" t="inlineStr">
        <is>
          <t>2026-08-04T08:54:59.561456Z</t>
        </is>
      </c>
      <c r="C158" s="24" t="inlineStr">
        <is>
          <t>2026-08-04T18:00Z</t>
        </is>
      </c>
      <c r="D158" s="24" t="inlineStr">
        <is>
          <t>421-2026:182202</t>
        </is>
      </c>
      <c r="E158" s="24" t="inlineStr">
        <is>
          <t>TENNIS</t>
        </is>
      </c>
      <c r="F158" s="24" t="inlineStr">
        <is>
          <t>Talia Gibson</t>
        </is>
      </c>
      <c r="G158" s="24" t="inlineStr">
        <is>
          <t>Maja Chwalinska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133</v>
      </c>
      <c r="M158" s="27" t="n">
        <v>2.33</v>
      </c>
      <c r="N158" s="28" t="n">
        <v>0.429185</v>
      </c>
      <c r="O158" s="28" t="n">
        <v>0.623502</v>
      </c>
      <c r="P158" s="28" t="n">
        <v>0.05</v>
      </c>
      <c r="Q158" s="28" t="n">
        <v>0.194317</v>
      </c>
      <c r="R158" s="26" t="n">
        <v>100</v>
      </c>
      <c r="S158" s="29" t="n">
        <v>1.5</v>
      </c>
      <c r="T158" s="24" t="inlineStr">
        <is>
          <t>tennis-surface-elo-v1</t>
        </is>
      </c>
      <c r="U158" s="24" t="inlineStr">
        <is>
          <t>open</t>
        </is>
      </c>
      <c r="V158" s="24" t="n"/>
      <c r="W158" s="26" t="n"/>
      <c r="X158" s="26" t="n"/>
      <c r="Y158" s="25" t="n"/>
      <c r="Z158" s="26" t="n"/>
      <c r="AA158" s="28" t="n"/>
      <c r="AB158" s="28" t="n"/>
      <c r="AC158" s="30" t="n"/>
      <c r="AD158" s="24" t="n"/>
      <c r="AE158" s="31" t="inlineStr">
        <is>
          <t>Surface-blended Elo on Hard: Talia Gibson p=0.376 vs Maja Chwalinska. Executable ask 0.4300 (aec-wta-majchw-talgib-2026-08-04).</t>
        </is>
      </c>
      <c r="AF158" s="31" t="inlineStr">
        <is>
          <t>Surface-blended Elo model; singles only, WTA+ATP market coverage, not yet locked-holdout qualified -- promoted by explicit operator directive, not genuine walk-forward validation.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3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Talia Gibson</t>
        </is>
      </c>
      <c r="AQ158" s="24" t="inlineStr">
        <is>
          <t>Talia Gibson</t>
        </is>
      </c>
      <c r="AR158" s="24" t="inlineStr">
        <is>
          <t>Talia Gibson</t>
        </is>
      </c>
      <c r="AS158" s="24" t="inlineStr">
        <is>
          <t>Maja Chwalinska</t>
        </is>
      </c>
      <c r="AT158" s="24" t="inlineStr">
        <is>
          <t>Maja Chwalinska</t>
        </is>
      </c>
      <c r="AU158" s="24" t="inlineStr">
        <is>
          <t>Maja Chwalinska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60749ecfb3f1405f12fbceda11b7e64f2473d40dd327256f9da20b2146b6ae03</t>
        </is>
      </c>
      <c r="BB158" s="24" t="inlineStr">
        <is>
          <t>surface_blended_elo</t>
        </is>
      </c>
      <c r="BC158" s="24" t="inlineStr">
        <is>
          <t>tennis-surface-elo-v1</t>
        </is>
      </c>
      <c r="BD158" s="24" t="inlineStr">
        <is>
          <t>60749ecfb3f1405f12fbceda11b7e64f2473d40dd327256f9da20b2146b6ae03</t>
        </is>
      </c>
      <c r="BE158" s="24" t="inlineStr">
        <is>
          <t>tennis-surface-elo-v1</t>
        </is>
      </c>
      <c r="BF158" s="24" t="inlineStr">
        <is>
          <t>1</t>
        </is>
      </c>
      <c r="BG158" s="24" t="inlineStr">
        <is>
          <t>60749ecfb3f1405f12fbceda11b7e64f2473d40dd327256f9da20b2146b6ae03</t>
        </is>
      </c>
      <c r="BH158" s="24" t="inlineStr">
        <is>
          <t>2026-08-04T08:53:35.666785Z</t>
        </is>
      </c>
      <c r="BI158" s="24" t="inlineStr">
        <is>
          <t>["same_event","same_team_same_day","same_league_same_day"]</t>
        </is>
      </c>
      <c r="BJ158" s="25" t="n"/>
      <c r="BK158" s="26" t="n">
        <v>133</v>
      </c>
      <c r="BL158" s="27" t="n">
        <v>2.33</v>
      </c>
      <c r="BM158" s="28" t="n">
        <v>0.429185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inlineStr">
        <is>
          <t>True</t>
        </is>
      </c>
    </row>
    <row r="159" ht="36" customHeight="1">
      <c r="A159" s="24" t="inlineStr">
        <is>
          <t>4716354e959543fb</t>
        </is>
      </c>
      <c r="B159" s="24" t="inlineStr">
        <is>
          <t>2026-08-04T08:54:59.561456Z</t>
        </is>
      </c>
      <c r="C159" s="24" t="inlineStr">
        <is>
          <t>2026-08-04T19:30Z</t>
        </is>
      </c>
      <c r="D159" s="24" t="inlineStr">
        <is>
          <t>421-2026:182203</t>
        </is>
      </c>
      <c r="E159" s="24" t="inlineStr">
        <is>
          <t>TENNIS</t>
        </is>
      </c>
      <c r="F159" s="24" t="inlineStr">
        <is>
          <t>Jelena Ostapenko</t>
        </is>
      </c>
      <c r="G159" s="24" t="inlineStr">
        <is>
          <t>Zhang Shuai</t>
        </is>
      </c>
      <c r="H159" s="24" t="inlineStr">
        <is>
          <t>moneyline</t>
        </is>
      </c>
      <c r="I159" s="24" t="inlineStr">
        <is>
          <t>away</t>
        </is>
      </c>
      <c r="J159" s="25" t="n"/>
      <c r="K159" s="24" t="inlineStr">
        <is>
          <t>polymarket_us</t>
        </is>
      </c>
      <c r="L159" s="26" t="n">
        <v>-257</v>
      </c>
      <c r="M159" s="27" t="n">
        <v>1.389105</v>
      </c>
      <c r="N159" s="28" t="n">
        <v>0.719888</v>
      </c>
      <c r="O159" s="28" t="n">
        <v>0.660541</v>
      </c>
      <c r="P159" s="28" t="n">
        <v>0.05</v>
      </c>
      <c r="Q159" s="28" t="n">
        <v>-0.059347</v>
      </c>
      <c r="R159" s="26" t="n">
        <v>0</v>
      </c>
      <c r="S159" s="29" t="n">
        <v>1.75</v>
      </c>
      <c r="T159" s="24" t="inlineStr">
        <is>
          <t>tennis-surface-elo-v1</t>
        </is>
      </c>
      <c r="U159" s="24" t="inlineStr">
        <is>
          <t>open</t>
        </is>
      </c>
      <c r="V159" s="24" t="n"/>
      <c r="W159" s="26" t="n"/>
      <c r="X159" s="26" t="n"/>
      <c r="Y159" s="25" t="n"/>
      <c r="Z159" s="26" t="n"/>
      <c r="AA159" s="28" t="n"/>
      <c r="AB159" s="28" t="n"/>
      <c r="AC159" s="30" t="n"/>
      <c r="AD159" s="24" t="n"/>
      <c r="AE159" s="31" t="inlineStr">
        <is>
          <t>Surface-blended Elo on Hard: Jelena Ostapenko p=0.661 vs Zhang Shuai. Executable ask 0.7200 (aec-wta-shuzha-jelost-2026-08-04).</t>
        </is>
      </c>
      <c r="AF159" s="31" t="inlineStr">
        <is>
          <t>Surface-blended Elo model; singles only, WTA+ATP market coverage, not yet locked-holdout qualified -- promoted by explicit operator directive, not genuine walk-forward validation.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NO_CALL_LOW_EDGE</t>
        </is>
      </c>
      <c r="AP159" s="24" t="inlineStr">
        <is>
          <t>Jelena Ostapenko</t>
        </is>
      </c>
      <c r="AQ159" s="24" t="inlineStr">
        <is>
          <t>Jelena Ostapenko</t>
        </is>
      </c>
      <c r="AR159" s="24" t="inlineStr">
        <is>
          <t>Jelena Ostapenko</t>
        </is>
      </c>
      <c r="AS159" s="24" t="inlineStr">
        <is>
          <t>Zhang Shuai</t>
        </is>
      </c>
      <c r="AT159" s="24" t="inlineStr">
        <is>
          <t>Zhang Shuai</t>
        </is>
      </c>
      <c r="AU159" s="24" t="inlineStr">
        <is>
          <t>Zhang Shuai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60749ecfb3f1405f12fbceda11b7e64f2473d40dd327256f9da20b2146b6ae03</t>
        </is>
      </c>
      <c r="BB159" s="24" t="inlineStr">
        <is>
          <t>surface_blended_elo</t>
        </is>
      </c>
      <c r="BC159" s="24" t="inlineStr">
        <is>
          <t>tennis-surface-elo-v1</t>
        </is>
      </c>
      <c r="BD159" s="24" t="inlineStr">
        <is>
          <t>60749ecfb3f1405f12fbceda11b7e64f2473d40dd327256f9da20b2146b6ae03</t>
        </is>
      </c>
      <c r="BE159" s="24" t="inlineStr">
        <is>
          <t>tennis-surface-elo-v1</t>
        </is>
      </c>
      <c r="BF159" s="24" t="inlineStr">
        <is>
          <t>1</t>
        </is>
      </c>
      <c r="BG159" s="24" t="inlineStr">
        <is>
          <t>60749ecfb3f1405f12fbceda11b7e64f2473d40dd327256f9da20b2146b6ae03</t>
        </is>
      </c>
      <c r="BH159" s="24" t="inlineStr">
        <is>
          <t>2026-08-04T08:53:38.783015Z</t>
        </is>
      </c>
      <c r="BI159" s="24" t="inlineStr">
        <is>
          <t>["same_event","same_team_same_day","same_league_same_day"]</t>
        </is>
      </c>
      <c r="BJ159" s="25" t="n"/>
      <c r="BK159" s="26" t="n">
        <v>-257</v>
      </c>
      <c r="BL159" s="27" t="n">
        <v>1.389105</v>
      </c>
      <c r="BM159" s="28" t="n">
        <v>0.719888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inlineStr">
        <is>
          <t>False</t>
        </is>
      </c>
    </row>
    <row r="160" ht="36" customHeight="1">
      <c r="A160" s="24" t="inlineStr">
        <is>
          <t>cf9ba4046ede4acd</t>
        </is>
      </c>
      <c r="B160" s="24" t="inlineStr">
        <is>
          <t>2026-08-04T08:54:59.561456Z</t>
        </is>
      </c>
      <c r="C160" s="24" t="inlineStr">
        <is>
          <t>2026-08-04T21:00Z</t>
        </is>
      </c>
      <c r="D160" s="24" t="inlineStr">
        <is>
          <t>421-2026:182167</t>
        </is>
      </c>
      <c r="E160" s="24" t="inlineStr">
        <is>
          <t>TENNIS</t>
        </is>
      </c>
      <c r="F160" s="24" t="inlineStr">
        <is>
          <t>McCartney Kessler</t>
        </is>
      </c>
      <c r="G160" s="24" t="inlineStr">
        <is>
          <t>Anna Kalinskaya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-156</v>
      </c>
      <c r="M160" s="27" t="n">
        <v>1.641026</v>
      </c>
      <c r="N160" s="28" t="n">
        <v>0.609375</v>
      </c>
      <c r="O160" s="28" t="n">
        <v>0.605938</v>
      </c>
      <c r="P160" s="28" t="n">
        <v>0.05</v>
      </c>
      <c r="Q160" s="28" t="n">
        <v>-0.003437</v>
      </c>
      <c r="R160" s="26" t="n">
        <v>18</v>
      </c>
      <c r="S160" s="29" t="n">
        <v>1.25</v>
      </c>
      <c r="T160" s="24" t="inlineStr">
        <is>
          <t>tennis-surface-elo-v1</t>
        </is>
      </c>
      <c r="U160" s="24" t="inlineStr">
        <is>
          <t>open</t>
        </is>
      </c>
      <c r="V160" s="24" t="n"/>
      <c r="W160" s="26" t="n"/>
      <c r="X160" s="26" t="n"/>
      <c r="Y160" s="25" t="n"/>
      <c r="Z160" s="26" t="n"/>
      <c r="AA160" s="28" t="n"/>
      <c r="AB160" s="28" t="n"/>
      <c r="AC160" s="30" t="n"/>
      <c r="AD160" s="24" t="n"/>
      <c r="AE160" s="31" t="inlineStr">
        <is>
          <t>Surface-blended Elo on Hard: McCartney Kessler p=0.394 vs Anna Kalinskaya. Executable ask 0.6100 (aec-wta-annkal-mcckes-2026-08-04).</t>
        </is>
      </c>
      <c r="AF160" s="31" t="inlineStr">
        <is>
          <t>Surface-blended Elo model; singles only, WTA+ATP market coverage, not yet locked-holdout qualified -- promoted by explicit operator directive, not genuine walk-forward validation.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NO_CALL_LOW_EDGE</t>
        </is>
      </c>
      <c r="AP160" s="24" t="inlineStr">
        <is>
          <t>McCartney Kessler</t>
        </is>
      </c>
      <c r="AQ160" s="24" t="inlineStr">
        <is>
          <t>McCartney Kessler</t>
        </is>
      </c>
      <c r="AR160" s="24" t="inlineStr">
        <is>
          <t>McCartney Kessler</t>
        </is>
      </c>
      <c r="AS160" s="24" t="inlineStr">
        <is>
          <t>Anna Kalinskaya</t>
        </is>
      </c>
      <c r="AT160" s="24" t="inlineStr">
        <is>
          <t>Anna Kalinskaya</t>
        </is>
      </c>
      <c r="AU160" s="24" t="inlineStr">
        <is>
          <t>Anna Kalinskaya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60749ecfb3f1405f12fbceda11b7e64f2473d40dd327256f9da20b2146b6ae03</t>
        </is>
      </c>
      <c r="BB160" s="24" t="inlineStr">
        <is>
          <t>surface_blended_elo</t>
        </is>
      </c>
      <c r="BC160" s="24" t="inlineStr">
        <is>
          <t>tennis-surface-elo-v1</t>
        </is>
      </c>
      <c r="BD160" s="24" t="inlineStr">
        <is>
          <t>60749ecfb3f1405f12fbceda11b7e64f2473d40dd327256f9da20b2146b6ae03</t>
        </is>
      </c>
      <c r="BE160" s="24" t="inlineStr">
        <is>
          <t>tennis-surface-elo-v1</t>
        </is>
      </c>
      <c r="BF160" s="24" t="inlineStr">
        <is>
          <t>1</t>
        </is>
      </c>
      <c r="BG160" s="24" t="inlineStr">
        <is>
          <t>60749ecfb3f1405f12fbceda11b7e64f2473d40dd327256f9da20b2146b6ae03</t>
        </is>
      </c>
      <c r="BH160" s="24" t="inlineStr">
        <is>
          <t>2026-08-04T08:53:40.069254Z</t>
        </is>
      </c>
      <c r="BI160" s="24" t="inlineStr">
        <is>
          <t>["same_event","same_team_same_day","same_league_same_day"]</t>
        </is>
      </c>
      <c r="BJ160" s="25" t="n"/>
      <c r="BK160" s="26" t="n">
        <v>-156</v>
      </c>
      <c r="BL160" s="27" t="n">
        <v>1.641026</v>
      </c>
      <c r="BM160" s="28" t="n">
        <v>0.609375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inlineStr">
        <is>
          <t>False</t>
        </is>
      </c>
    </row>
    <row r="161" ht="36" customHeight="1">
      <c r="A161" s="24" t="inlineStr">
        <is>
          <t>403f1f5943a64004</t>
        </is>
      </c>
      <c r="B161" s="24" t="inlineStr">
        <is>
          <t>2026-08-04T08:54:59.561456Z</t>
        </is>
      </c>
      <c r="C161" s="24" t="inlineStr">
        <is>
          <t>2026-08-04T21:00Z</t>
        </is>
      </c>
      <c r="D161" s="24" t="inlineStr">
        <is>
          <t>421-2026:182168</t>
        </is>
      </c>
      <c r="E161" s="24" t="inlineStr">
        <is>
          <t>TENNIS</t>
        </is>
      </c>
      <c r="F161" s="24" t="inlineStr">
        <is>
          <t>Katerina Siniakova</t>
        </is>
      </c>
      <c r="G161" s="24" t="inlineStr">
        <is>
          <t>Kamilla Rakhimova</t>
        </is>
      </c>
      <c r="H161" s="24" t="inlineStr">
        <is>
          <t>moneyline</t>
        </is>
      </c>
      <c r="I161" s="24" t="inlineStr">
        <is>
          <t>away</t>
        </is>
      </c>
      <c r="J161" s="25" t="n"/>
      <c r="K161" s="24" t="inlineStr">
        <is>
          <t>polymarket_us</t>
        </is>
      </c>
      <c r="L161" s="26" t="n">
        <v>-194</v>
      </c>
      <c r="M161" s="27" t="n">
        <v>1.515464</v>
      </c>
      <c r="N161" s="28" t="n">
        <v>0.659864</v>
      </c>
      <c r="O161" s="28" t="n">
        <v>0.66176</v>
      </c>
      <c r="P161" s="28" t="n">
        <v>0.05</v>
      </c>
      <c r="Q161" s="28" t="n">
        <v>0.001896</v>
      </c>
      <c r="R161" s="26" t="n">
        <v>21</v>
      </c>
      <c r="S161" s="29" t="n">
        <v>1.75</v>
      </c>
      <c r="T161" s="24" t="inlineStr">
        <is>
          <t>tennis-surface-elo-v1</t>
        </is>
      </c>
      <c r="U161" s="24" t="inlineStr">
        <is>
          <t>open</t>
        </is>
      </c>
      <c r="V161" s="24" t="n"/>
      <c r="W161" s="26" t="n"/>
      <c r="X161" s="26" t="n"/>
      <c r="Y161" s="25" t="n"/>
      <c r="Z161" s="26" t="n"/>
      <c r="AA161" s="28" t="n"/>
      <c r="AB161" s="28" t="n"/>
      <c r="AC161" s="30" t="n"/>
      <c r="AD161" s="24" t="n"/>
      <c r="AE161" s="31" t="inlineStr">
        <is>
          <t>Surface-blended Elo on Hard: Katerina Siniakova p=0.662 vs Kamilla Rakhimova. Executable ask 0.6600 (aec-wta-kamrak-katsin-2026-08-03).</t>
        </is>
      </c>
      <c r="AF161" s="31" t="inlineStr">
        <is>
          <t>Surface-blended Elo model; singles only, WTA+ATP market coverage, not yet locked-holdout qualified -- promoted by explicit operator directive, not genuine walk-forward validation.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NO_CALL_LOW_EDGE</t>
        </is>
      </c>
      <c r="AP161" s="24" t="inlineStr">
        <is>
          <t>Katerina Siniakova</t>
        </is>
      </c>
      <c r="AQ161" s="24" t="inlineStr">
        <is>
          <t>Katerina Siniakova</t>
        </is>
      </c>
      <c r="AR161" s="24" t="inlineStr">
        <is>
          <t>Katerina Siniakova</t>
        </is>
      </c>
      <c r="AS161" s="24" t="inlineStr">
        <is>
          <t>Kamilla Rakhimova</t>
        </is>
      </c>
      <c r="AT161" s="24" t="inlineStr">
        <is>
          <t>Kamilla Rakhimova</t>
        </is>
      </c>
      <c r="AU161" s="24" t="inlineStr">
        <is>
          <t>Kamilla Rakhimova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60749ecfb3f1405f12fbceda11b7e64f2473d40dd327256f9da20b2146b6ae03</t>
        </is>
      </c>
      <c r="BB161" s="24" t="inlineStr">
        <is>
          <t>surface_blended_elo</t>
        </is>
      </c>
      <c r="BC161" s="24" t="inlineStr">
        <is>
          <t>tennis-surface-elo-v1</t>
        </is>
      </c>
      <c r="BD161" s="24" t="inlineStr">
        <is>
          <t>60749ecfb3f1405f12fbceda11b7e64f2473d40dd327256f9da20b2146b6ae03</t>
        </is>
      </c>
      <c r="BE161" s="24" t="inlineStr">
        <is>
          <t>tennis-surface-elo-v1</t>
        </is>
      </c>
      <c r="BF161" s="24" t="inlineStr">
        <is>
          <t>1</t>
        </is>
      </c>
      <c r="BG161" s="24" t="inlineStr">
        <is>
          <t>60749ecfb3f1405f12fbceda11b7e64f2473d40dd327256f9da20b2146b6ae03</t>
        </is>
      </c>
      <c r="BH161" s="24" t="inlineStr">
        <is>
          <t>2026-08-04T08:53:39.130120Z</t>
        </is>
      </c>
      <c r="BI161" s="24" t="inlineStr">
        <is>
          <t>["same_event","same_team_same_day","same_league_same_day"]</t>
        </is>
      </c>
      <c r="BJ161" s="25" t="n"/>
      <c r="BK161" s="26" t="n">
        <v>-194</v>
      </c>
      <c r="BL161" s="27" t="n">
        <v>1.515464</v>
      </c>
      <c r="BM161" s="28" t="n">
        <v>0.659864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inlineStr">
        <is>
          <t>True</t>
        </is>
      </c>
    </row>
    <row r="162" ht="36" customHeight="1">
      <c r="A162" s="24" t="inlineStr">
        <is>
          <t>afc199c56dcd4b6d</t>
        </is>
      </c>
      <c r="B162" s="24" t="inlineStr">
        <is>
          <t>2026-08-04T08:54:59.561456Z</t>
        </is>
      </c>
      <c r="C162" s="24" t="inlineStr">
        <is>
          <t>2026-08-04T22:30Z</t>
        </is>
      </c>
      <c r="D162" s="24" t="inlineStr">
        <is>
          <t>421-2026:182188</t>
        </is>
      </c>
      <c r="E162" s="24" t="inlineStr">
        <is>
          <t>TENNIS</t>
        </is>
      </c>
      <c r="F162" s="24" t="inlineStr">
        <is>
          <t>Nikola Bartunkova</t>
        </is>
      </c>
      <c r="G162" s="24" t="inlineStr">
        <is>
          <t>Clara Tauson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-117</v>
      </c>
      <c r="M162" s="27" t="n">
        <v>1.854701</v>
      </c>
      <c r="N162" s="28" t="n">
        <v>0.539171</v>
      </c>
      <c r="O162" s="28" t="n">
        <v>0.540992</v>
      </c>
      <c r="P162" s="28" t="n">
        <v>0.05</v>
      </c>
      <c r="Q162" s="28" t="n">
        <v>0.001821</v>
      </c>
      <c r="R162" s="26" t="n">
        <v>21</v>
      </c>
      <c r="S162" s="29" t="n">
        <v>1</v>
      </c>
      <c r="T162" s="24" t="inlineStr">
        <is>
          <t>tennis-surface-elo-v1</t>
        </is>
      </c>
      <c r="U162" s="24" t="inlineStr">
        <is>
          <t>open</t>
        </is>
      </c>
      <c r="V162" s="24" t="n"/>
      <c r="W162" s="26" t="n"/>
      <c r="X162" s="26" t="n"/>
      <c r="Y162" s="25" t="n"/>
      <c r="Z162" s="26" t="n"/>
      <c r="AA162" s="28" t="n"/>
      <c r="AB162" s="28" t="n"/>
      <c r="AC162" s="30" t="n"/>
      <c r="AD162" s="24" t="n"/>
      <c r="AE162" s="31" t="inlineStr">
        <is>
          <t>Surface-blended Elo on Hard: Nikola Bartunkova p=0.459 vs Clara Tauson. Executable ask 0.5400 (aec-wta-clatau-nikbar-2026-08-04).</t>
        </is>
      </c>
      <c r="AF162" s="31" t="inlineStr">
        <is>
          <t>Surface-blended Elo model; singles only, WTA+ATP market coverage, not yet locked-holdout qualified -- promoted by explicit operator directive, not genuine walk-forward validation.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NO_CALL_LOW_EDGE</t>
        </is>
      </c>
      <c r="AP162" s="24" t="inlineStr">
        <is>
          <t>Nikola Bartunkova</t>
        </is>
      </c>
      <c r="AQ162" s="24" t="inlineStr">
        <is>
          <t>Nikola Bartunkova</t>
        </is>
      </c>
      <c r="AR162" s="24" t="inlineStr">
        <is>
          <t>Nikola Bartunkova</t>
        </is>
      </c>
      <c r="AS162" s="24" t="inlineStr">
        <is>
          <t>Clara Tauson</t>
        </is>
      </c>
      <c r="AT162" s="24" t="inlineStr">
        <is>
          <t>Clara Tauson</t>
        </is>
      </c>
      <c r="AU162" s="24" t="inlineStr">
        <is>
          <t>Clara Tauson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60749ecfb3f1405f12fbceda11b7e64f2473d40dd327256f9da20b2146b6ae03</t>
        </is>
      </c>
      <c r="BB162" s="24" t="inlineStr">
        <is>
          <t>surface_blended_elo</t>
        </is>
      </c>
      <c r="BC162" s="24" t="inlineStr">
        <is>
          <t>tennis-surface-elo-v1</t>
        </is>
      </c>
      <c r="BD162" s="24" t="inlineStr">
        <is>
          <t>60749ecfb3f1405f12fbceda11b7e64f2473d40dd327256f9da20b2146b6ae03</t>
        </is>
      </c>
      <c r="BE162" s="24" t="inlineStr">
        <is>
          <t>tennis-surface-elo-v1</t>
        </is>
      </c>
      <c r="BF162" s="24" t="inlineStr">
        <is>
          <t>1</t>
        </is>
      </c>
      <c r="BG162" s="24" t="inlineStr">
        <is>
          <t>60749ecfb3f1405f12fbceda11b7e64f2473d40dd327256f9da20b2146b6ae03</t>
        </is>
      </c>
      <c r="BH162" s="24" t="inlineStr">
        <is>
          <t>2026-08-04T08:53:40.814085Z</t>
        </is>
      </c>
      <c r="BI162" s="24" t="inlineStr">
        <is>
          <t>["same_event","same_team_same_day","same_league_same_day"]</t>
        </is>
      </c>
      <c r="BJ162" s="25" t="n"/>
      <c r="BK162" s="26" t="n">
        <v>-117</v>
      </c>
      <c r="BL162" s="27" t="n">
        <v>1.854701</v>
      </c>
      <c r="BM162" s="28" t="n">
        <v>0.539171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inlineStr">
        <is>
          <t>True</t>
        </is>
      </c>
    </row>
    <row r="163" ht="36" customHeight="1">
      <c r="A163" s="24" t="inlineStr">
        <is>
          <t>ca8e290526504475</t>
        </is>
      </c>
      <c r="B163" s="24" t="inlineStr">
        <is>
          <t>2026-08-04T08:54:59.561456Z</t>
        </is>
      </c>
      <c r="C163" s="24" t="inlineStr">
        <is>
          <t>2026-08-04T23:00Z</t>
        </is>
      </c>
      <c r="D163" s="24" t="inlineStr">
        <is>
          <t>421-2026:182199</t>
        </is>
      </c>
      <c r="E163" s="24" t="inlineStr">
        <is>
          <t>TENNIS</t>
        </is>
      </c>
      <c r="F163" s="24" t="inlineStr">
        <is>
          <t>Moyuka Uchijima</t>
        </is>
      </c>
      <c r="G163" s="24" t="inlineStr">
        <is>
          <t>Aryna Sabalenka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-1900</v>
      </c>
      <c r="M163" s="27" t="n">
        <v>1.052632</v>
      </c>
      <c r="N163" s="28" t="n">
        <v>0.95</v>
      </c>
      <c r="O163" s="28" t="n">
        <v>0.939322</v>
      </c>
      <c r="P163" s="28" t="n">
        <v>0.05</v>
      </c>
      <c r="Q163" s="28" t="n">
        <v>-0.010678</v>
      </c>
      <c r="R163" s="26" t="n">
        <v>15</v>
      </c>
      <c r="S163" s="29" t="n">
        <v>2</v>
      </c>
      <c r="T163" s="24" t="inlineStr">
        <is>
          <t>tennis-surface-elo-v1</t>
        </is>
      </c>
      <c r="U163" s="24" t="inlineStr">
        <is>
          <t>open</t>
        </is>
      </c>
      <c r="V163" s="24" t="n"/>
      <c r="W163" s="26" t="n"/>
      <c r="X163" s="26" t="n"/>
      <c r="Y163" s="25" t="n"/>
      <c r="Z163" s="26" t="n"/>
      <c r="AA163" s="28" t="n"/>
      <c r="AB163" s="28" t="n"/>
      <c r="AC163" s="30" t="n"/>
      <c r="AD163" s="24" t="n"/>
      <c r="AE163" s="31" t="inlineStr">
        <is>
          <t>Surface-blended Elo on Hard: Moyuka Uchijima p=0.061 vs Aryna Sabalenka. Executable ask 0.9500 (aec-wta-arysab-moyuch-2026-08-03).</t>
        </is>
      </c>
      <c r="AF163" s="31" t="inlineStr">
        <is>
          <t>Surface-blended Elo model; singles only, WTA+ATP market coverage, not yet locked-holdout qualified -- promoted by explicit operator directive, not genuine walk-forward validation.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NO_CALL_LOW_EDGE</t>
        </is>
      </c>
      <c r="AP163" s="24" t="inlineStr">
        <is>
          <t>Moyuka Uchijima</t>
        </is>
      </c>
      <c r="AQ163" s="24" t="inlineStr">
        <is>
          <t>Moyuka Uchijima</t>
        </is>
      </c>
      <c r="AR163" s="24" t="inlineStr">
        <is>
          <t>Moyuka Uchijima</t>
        </is>
      </c>
      <c r="AS163" s="24" t="inlineStr">
        <is>
          <t>Aryna Sabalenka</t>
        </is>
      </c>
      <c r="AT163" s="24" t="inlineStr">
        <is>
          <t>Aryna Sabalenka</t>
        </is>
      </c>
      <c r="AU163" s="24" t="inlineStr">
        <is>
          <t>Aryna Sabalenka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60749ecfb3f1405f12fbceda11b7e64f2473d40dd327256f9da20b2146b6ae03</t>
        </is>
      </c>
      <c r="BB163" s="24" t="inlineStr">
        <is>
          <t>surface_blended_elo</t>
        </is>
      </c>
      <c r="BC163" s="24" t="inlineStr">
        <is>
          <t>tennis-surface-elo-v1</t>
        </is>
      </c>
      <c r="BD163" s="24" t="inlineStr">
        <is>
          <t>60749ecfb3f1405f12fbceda11b7e64f2473d40dd327256f9da20b2146b6ae03</t>
        </is>
      </c>
      <c r="BE163" s="24" t="inlineStr">
        <is>
          <t>tennis-surface-elo-v1</t>
        </is>
      </c>
      <c r="BF163" s="24" t="inlineStr">
        <is>
          <t>1</t>
        </is>
      </c>
      <c r="BG163" s="24" t="inlineStr">
        <is>
          <t>60749ecfb3f1405f12fbceda11b7e64f2473d40dd327256f9da20b2146b6ae03</t>
        </is>
      </c>
      <c r="BH163" s="24" t="inlineStr">
        <is>
          <t>2026-08-04T08:53:41.356996Z</t>
        </is>
      </c>
      <c r="BI163" s="24" t="inlineStr">
        <is>
          <t>["same_event","same_team_same_day","same_league_same_day"]</t>
        </is>
      </c>
      <c r="BJ163" s="25" t="n"/>
      <c r="BK163" s="26" t="n">
        <v>-1900</v>
      </c>
      <c r="BL163" s="27" t="n">
        <v>1.052632</v>
      </c>
      <c r="BM163" s="28" t="n">
        <v>0.95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inlineStr">
        <is>
          <t>False</t>
        </is>
      </c>
    </row>
    <row r="164" ht="36" customHeight="1">
      <c r="A164" s="24" t="inlineStr">
        <is>
          <t>880352d54c9e48c4</t>
        </is>
      </c>
      <c r="B164" s="24" t="inlineStr">
        <is>
          <t>2026-08-04T08:54:59.561456Z</t>
        </is>
      </c>
      <c r="C164" s="24" t="inlineStr">
        <is>
          <t>2026-08-05T00:30Z</t>
        </is>
      </c>
      <c r="D164" s="24" t="inlineStr">
        <is>
          <t>421-2026:182187</t>
        </is>
      </c>
      <c r="E164" s="24" t="inlineStr">
        <is>
          <t>TENNIS</t>
        </is>
      </c>
      <c r="F164" s="24" t="inlineStr">
        <is>
          <t>Amanda Anisimova</t>
        </is>
      </c>
      <c r="G164" s="24" t="inlineStr">
        <is>
          <t>Lanlana Tararudee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-257</v>
      </c>
      <c r="M164" s="27" t="n">
        <v>1.389105</v>
      </c>
      <c r="N164" s="28" t="n">
        <v>0.719888</v>
      </c>
      <c r="O164" s="28" t="n">
        <v>0.669885</v>
      </c>
      <c r="P164" s="28" t="n">
        <v>0.05</v>
      </c>
      <c r="Q164" s="28" t="n">
        <v>-0.050003</v>
      </c>
      <c r="R164" s="26" t="n">
        <v>0</v>
      </c>
      <c r="S164" s="29" t="n">
        <v>1.75</v>
      </c>
      <c r="T164" s="24" t="inlineStr">
        <is>
          <t>tennis-surface-elo-v1</t>
        </is>
      </c>
      <c r="U164" s="24" t="inlineStr">
        <is>
          <t>open</t>
        </is>
      </c>
      <c r="V164" s="24" t="n"/>
      <c r="W164" s="26" t="n"/>
      <c r="X164" s="26" t="n"/>
      <c r="Y164" s="25" t="n"/>
      <c r="Z164" s="26" t="n"/>
      <c r="AA164" s="28" t="n"/>
      <c r="AB164" s="28" t="n"/>
      <c r="AC164" s="30" t="n"/>
      <c r="AD164" s="24" t="n"/>
      <c r="AE164" s="31" t="inlineStr">
        <is>
          <t>Surface-blended Elo on Hard: Amanda Anisimova p=0.670 vs Lanlana Tararudee. Executable ask 0.7200 (aec-wta-lantar-amaani-2026-08-04).</t>
        </is>
      </c>
      <c r="AF164" s="31" t="inlineStr">
        <is>
          <t>Surface-blended Elo model; singles only, WTA+ATP market coverage, not yet locked-holdout qualified -- promoted by explicit operator directive, not genuine walk-forward validation.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NO_CALL_LOW_EDGE</t>
        </is>
      </c>
      <c r="AP164" s="24" t="inlineStr">
        <is>
          <t>Amanda Anisimova</t>
        </is>
      </c>
      <c r="AQ164" s="24" t="inlineStr">
        <is>
          <t>Amanda Anisimova</t>
        </is>
      </c>
      <c r="AR164" s="24" t="inlineStr">
        <is>
          <t>Amanda Anisimova</t>
        </is>
      </c>
      <c r="AS164" s="24" t="inlineStr">
        <is>
          <t>Lanlana Tararudee</t>
        </is>
      </c>
      <c r="AT164" s="24" t="inlineStr">
        <is>
          <t>Lanlana Tararudee</t>
        </is>
      </c>
      <c r="AU164" s="24" t="inlineStr">
        <is>
          <t>Lanlana Tararudee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60749ecfb3f1405f12fbceda11b7e64f2473d40dd327256f9da20b2146b6ae03</t>
        </is>
      </c>
      <c r="BB164" s="24" t="inlineStr">
        <is>
          <t>surface_blended_elo</t>
        </is>
      </c>
      <c r="BC164" s="24" t="inlineStr">
        <is>
          <t>tennis-surface-elo-v1</t>
        </is>
      </c>
      <c r="BD164" s="24" t="inlineStr">
        <is>
          <t>60749ecfb3f1405f12fbceda11b7e64f2473d40dd327256f9da20b2146b6ae03</t>
        </is>
      </c>
      <c r="BE164" s="24" t="inlineStr">
        <is>
          <t>tennis-surface-elo-v1</t>
        </is>
      </c>
      <c r="BF164" s="24" t="inlineStr">
        <is>
          <t>1</t>
        </is>
      </c>
      <c r="BG164" s="24" t="inlineStr">
        <is>
          <t>60749ecfb3f1405f12fbceda11b7e64f2473d40dd327256f9da20b2146b6ae03</t>
        </is>
      </c>
      <c r="BH164" s="24" t="inlineStr">
        <is>
          <t>2026-08-04T08:53:42.022758Z</t>
        </is>
      </c>
      <c r="BI164" s="24" t="inlineStr">
        <is>
          <t>["same_event","same_team_same_day","same_league_same_day"]</t>
        </is>
      </c>
      <c r="BJ164" s="25" t="n"/>
      <c r="BK164" s="26" t="n">
        <v>-257</v>
      </c>
      <c r="BL164" s="27" t="n">
        <v>1.389105</v>
      </c>
      <c r="BM164" s="28" t="n">
        <v>0.719888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inlineStr">
        <is>
          <t>False</t>
        </is>
      </c>
    </row>
    <row r="165" ht="36" customHeight="1">
      <c r="A165" s="24" t="inlineStr">
        <is>
          <t>b89c107ad5ba4209</t>
        </is>
      </c>
      <c r="B165" s="24" t="inlineStr">
        <is>
          <t>2026-08-04T08:54:59.561456Z</t>
        </is>
      </c>
      <c r="C165" s="24" t="inlineStr">
        <is>
          <t>2026-08-04T09:00Z</t>
        </is>
      </c>
      <c r="D165" s="24" t="inlineStr">
        <is>
          <t>961-2026:182094</t>
        </is>
      </c>
      <c r="E165" s="24" t="inlineStr">
        <is>
          <t>TENNIS</t>
        </is>
      </c>
      <c r="F165" s="24" t="inlineStr">
        <is>
          <t>Justina Mikulskyte</t>
        </is>
      </c>
      <c r="G165" s="24" t="inlineStr">
        <is>
          <t>Weronika Ewald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127</v>
      </c>
      <c r="M165" s="27" t="n">
        <v>2.27</v>
      </c>
      <c r="N165" s="28" t="n">
        <v>0.440529</v>
      </c>
      <c r="O165" s="28" t="n">
        <v>0.589516</v>
      </c>
      <c r="P165" s="28" t="n">
        <v>0.05</v>
      </c>
      <c r="Q165" s="28" t="n">
        <v>0.148987</v>
      </c>
      <c r="R165" s="26" t="n">
        <v>94</v>
      </c>
      <c r="S165" s="29" t="n">
        <v>1.25</v>
      </c>
      <c r="T165" s="24" t="inlineStr">
        <is>
          <t>tennis-surface-elo-v1</t>
        </is>
      </c>
      <c r="U165" s="24" t="inlineStr">
        <is>
          <t>open</t>
        </is>
      </c>
      <c r="V165" s="24" t="n"/>
      <c r="W165" s="26" t="n"/>
      <c r="X165" s="26" t="n"/>
      <c r="Y165" s="25" t="n"/>
      <c r="Z165" s="26" t="n"/>
      <c r="AA165" s="28" t="n"/>
      <c r="AB165" s="28" t="n"/>
      <c r="AC165" s="30" t="n"/>
      <c r="AD165" s="24" t="n"/>
      <c r="AE165" s="31" t="inlineStr">
        <is>
          <t>Surface-blended Elo on Hard: Justina Mikulskyte p=0.410 vs Weronika Ewald. Executable ask 0.4400 (aec-wta-werewa-jusmik-2026-08-03).</t>
        </is>
      </c>
      <c r="AF165" s="31" t="inlineStr">
        <is>
          <t>Surface-blended Elo model; singles only, WTA+ATP market coverage, not yet locked-holdout qualified -- promoted by explicit operator directive, not genuine walk-forward validation.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NO_CALL_MODEL_UNVALIDATED</t>
        </is>
      </c>
      <c r="AP165" s="24" t="inlineStr">
        <is>
          <t>Justina Mikulskyte</t>
        </is>
      </c>
      <c r="AQ165" s="24" t="inlineStr">
        <is>
          <t>Justina Mikulskyte</t>
        </is>
      </c>
      <c r="AR165" s="24" t="inlineStr">
        <is>
          <t>Justina Mikulskyte</t>
        </is>
      </c>
      <c r="AS165" s="24" t="inlineStr">
        <is>
          <t>Weronika Ewald</t>
        </is>
      </c>
      <c r="AT165" s="24" t="inlineStr">
        <is>
          <t>Weronika Ewald</t>
        </is>
      </c>
      <c r="AU165" s="24" t="inlineStr">
        <is>
          <t>Weronika Ewald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60749ecfb3f1405f12fbceda11b7e64f2473d40dd327256f9da20b2146b6ae03</t>
        </is>
      </c>
      <c r="BB165" s="24" t="inlineStr">
        <is>
          <t>surface_blended_elo</t>
        </is>
      </c>
      <c r="BC165" s="24" t="inlineStr">
        <is>
          <t>tennis-surface-elo-v1</t>
        </is>
      </c>
      <c r="BD165" s="24" t="inlineStr">
        <is>
          <t>60749ecfb3f1405f12fbceda11b7e64f2473d40dd327256f9da20b2146b6ae03</t>
        </is>
      </c>
      <c r="BE165" s="24" t="inlineStr">
        <is>
          <t>tennis-surface-elo-v1</t>
        </is>
      </c>
      <c r="BF165" s="24" t="inlineStr">
        <is>
          <t>1</t>
        </is>
      </c>
      <c r="BG165" s="24" t="inlineStr">
        <is>
          <t>60749ecfb3f1405f12fbceda11b7e64f2473d40dd327256f9da20b2146b6ae03</t>
        </is>
      </c>
      <c r="BH165" s="24" t="inlineStr">
        <is>
          <t>2026-08-04T08:53:31.682126Z</t>
        </is>
      </c>
      <c r="BI165" s="24" t="inlineStr">
        <is>
          <t>["same_event","same_team_same_day","same_league_same_day"]</t>
        </is>
      </c>
      <c r="BJ165" s="25" t="n"/>
      <c r="BK165" s="26" t="n">
        <v>127</v>
      </c>
      <c r="BL165" s="27" t="n">
        <v>2.27</v>
      </c>
      <c r="BM165" s="28" t="n">
        <v>0.440529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inlineStr">
        <is>
          <t>True</t>
        </is>
      </c>
    </row>
    <row r="166" ht="36" customHeight="1">
      <c r="A166" s="24" t="inlineStr">
        <is>
          <t>8612244b5fd64414</t>
        </is>
      </c>
      <c r="B166" s="24" t="inlineStr">
        <is>
          <t>2026-08-04T08:54:59.561456Z</t>
        </is>
      </c>
      <c r="C166" s="24" t="inlineStr">
        <is>
          <t>2026-08-04T09:00Z</t>
        </is>
      </c>
      <c r="D166" s="24" t="inlineStr">
        <is>
          <t>961-2026:182089</t>
        </is>
      </c>
      <c r="E166" s="24" t="inlineStr">
        <is>
          <t>TENNIS</t>
        </is>
      </c>
      <c r="F166" s="24" t="inlineStr">
        <is>
          <t>Carol Young Suh Lee</t>
        </is>
      </c>
      <c r="G166" s="24" t="inlineStr">
        <is>
          <t>Elsa Jacquemot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polymarket_us</t>
        </is>
      </c>
      <c r="L166" s="26" t="n">
        <v>-163</v>
      </c>
      <c r="M166" s="27" t="n">
        <v>1.613497</v>
      </c>
      <c r="N166" s="28" t="n">
        <v>0.619772</v>
      </c>
      <c r="O166" s="28" t="n">
        <v>0.60078</v>
      </c>
      <c r="P166" s="28" t="n">
        <v>0.05</v>
      </c>
      <c r="Q166" s="28" t="n">
        <v>-0.018992</v>
      </c>
      <c r="R166" s="26" t="n">
        <v>11</v>
      </c>
      <c r="S166" s="29" t="n">
        <v>1.25</v>
      </c>
      <c r="T166" s="24" t="inlineStr">
        <is>
          <t>tennis-surface-elo-v1</t>
        </is>
      </c>
      <c r="U166" s="24" t="inlineStr">
        <is>
          <t>open</t>
        </is>
      </c>
      <c r="V166" s="24" t="n"/>
      <c r="W166" s="26" t="n"/>
      <c r="X166" s="26" t="n"/>
      <c r="Y166" s="25" t="n"/>
      <c r="Z166" s="26" t="n"/>
      <c r="AA166" s="28" t="n"/>
      <c r="AB166" s="28" t="n"/>
      <c r="AC166" s="30" t="n"/>
      <c r="AD166" s="24" t="n"/>
      <c r="AE166" s="31" t="inlineStr">
        <is>
          <t>Surface-blended Elo on Hard: Carol Young Suh Lee p=0.601 vs Elsa Jacquemot. Executable ask 0.6200 (aec-wta-elsjac-carlee-2026-08-03).</t>
        </is>
      </c>
      <c r="AF166" s="31" t="inlineStr">
        <is>
          <t>Surface-blended Elo model; singles only, WTA+ATP market coverage, not yet locked-holdout qualified -- promoted by explicit operator directive, not genuine walk-forward validation.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NO_CALL_LOW_EDGE</t>
        </is>
      </c>
      <c r="AP166" s="24" t="inlineStr">
        <is>
          <t>Carol Young Suh Lee</t>
        </is>
      </c>
      <c r="AQ166" s="24" t="inlineStr">
        <is>
          <t>Carol Young Suh Lee</t>
        </is>
      </c>
      <c r="AR166" s="24" t="inlineStr">
        <is>
          <t>Carol Young Suh Lee</t>
        </is>
      </c>
      <c r="AS166" s="24" t="inlineStr">
        <is>
          <t>Elsa Jacquemot</t>
        </is>
      </c>
      <c r="AT166" s="24" t="inlineStr">
        <is>
          <t>Elsa Jacquemot</t>
        </is>
      </c>
      <c r="AU166" s="24" t="inlineStr">
        <is>
          <t>Elsa Jacquemot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60749ecfb3f1405f12fbceda11b7e64f2473d40dd327256f9da20b2146b6ae03</t>
        </is>
      </c>
      <c r="BB166" s="24" t="inlineStr">
        <is>
          <t>surface_blended_elo</t>
        </is>
      </c>
      <c r="BC166" s="24" t="inlineStr">
        <is>
          <t>tennis-surface-elo-v1</t>
        </is>
      </c>
      <c r="BD166" s="24" t="inlineStr">
        <is>
          <t>60749ecfb3f1405f12fbceda11b7e64f2473d40dd327256f9da20b2146b6ae03</t>
        </is>
      </c>
      <c r="BE166" s="24" t="inlineStr">
        <is>
          <t>tennis-surface-elo-v1</t>
        </is>
      </c>
      <c r="BF166" s="24" t="inlineStr">
        <is>
          <t>1</t>
        </is>
      </c>
      <c r="BG166" s="24" t="inlineStr">
        <is>
          <t>60749ecfb3f1405f12fbceda11b7e64f2473d40dd327256f9da20b2146b6ae03</t>
        </is>
      </c>
      <c r="BH166" s="24" t="inlineStr">
        <is>
          <t>2026-08-04T08:53:31.683641Z</t>
        </is>
      </c>
      <c r="BI166" s="24" t="inlineStr">
        <is>
          <t>["same_event","same_team_same_day","same_league_same_day"]</t>
        </is>
      </c>
      <c r="BJ166" s="25" t="n"/>
      <c r="BK166" s="26" t="n">
        <v>-163</v>
      </c>
      <c r="BL166" s="27" t="n">
        <v>1.613497</v>
      </c>
      <c r="BM166" s="28" t="n">
        <v>0.619772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inlineStr">
        <is>
          <t>False</t>
        </is>
      </c>
    </row>
    <row r="167" ht="36" customHeight="1">
      <c r="A167" s="24" t="inlineStr">
        <is>
          <t>a89260ea60b44bd5</t>
        </is>
      </c>
      <c r="B167" s="24" t="inlineStr">
        <is>
          <t>2026-08-04T08:54:59.561456Z</t>
        </is>
      </c>
      <c r="C167" s="24" t="inlineStr">
        <is>
          <t>2026-08-04T09:00Z</t>
        </is>
      </c>
      <c r="D167" s="24" t="inlineStr">
        <is>
          <t>961-2026:182083</t>
        </is>
      </c>
      <c r="E167" s="24" t="inlineStr">
        <is>
          <t>TENNIS</t>
        </is>
      </c>
      <c r="F167" s="24" t="inlineStr">
        <is>
          <t>Susan Bandecchi</t>
        </is>
      </c>
      <c r="G167" s="24" t="inlineStr">
        <is>
          <t>Viktoria Hruncakova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100</v>
      </c>
      <c r="M167" s="27" t="n">
        <v>2</v>
      </c>
      <c r="N167" s="28" t="n">
        <v>0.5</v>
      </c>
      <c r="O167" s="28" t="n">
        <v>0.548768</v>
      </c>
      <c r="P167" s="28" t="n">
        <v>0.05</v>
      </c>
      <c r="Q167" s="28" t="n">
        <v>0.048768</v>
      </c>
      <c r="R167" s="26" t="n">
        <v>44</v>
      </c>
      <c r="S167" s="29" t="n">
        <v>1</v>
      </c>
      <c r="T167" s="24" t="inlineStr">
        <is>
          <t>tennis-surface-elo-v1</t>
        </is>
      </c>
      <c r="U167" s="24" t="inlineStr">
        <is>
          <t>open</t>
        </is>
      </c>
      <c r="V167" s="24" t="n"/>
      <c r="W167" s="26" t="n"/>
      <c r="X167" s="26" t="n"/>
      <c r="Y167" s="25" t="n"/>
      <c r="Z167" s="26" t="n"/>
      <c r="AA167" s="28" t="n"/>
      <c r="AB167" s="28" t="n"/>
      <c r="AC167" s="30" t="n"/>
      <c r="AD167" s="24" t="n"/>
      <c r="AE167" s="31" t="inlineStr">
        <is>
          <t>Surface-blended Elo on Hard: Susan Bandecchi p=0.549 vs Viktoria Hruncakova. Executable ask 0.5000 (aec-wta-vikhru-susban-2026-08-03).</t>
        </is>
      </c>
      <c r="AF167" s="31" t="inlineStr">
        <is>
          <t>Surface-blended Elo model; singles only, WTA+ATP market coverage, not yet locked-holdout qualified -- promoted by explicit operator directive, not genuine walk-forward validation.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NO_CALL_LOW_EDGE</t>
        </is>
      </c>
      <c r="AP167" s="24" t="inlineStr">
        <is>
          <t>Susan Bandecchi</t>
        </is>
      </c>
      <c r="AQ167" s="24" t="inlineStr">
        <is>
          <t>Susan Bandecchi</t>
        </is>
      </c>
      <c r="AR167" s="24" t="inlineStr">
        <is>
          <t>Susan Bandecchi</t>
        </is>
      </c>
      <c r="AS167" s="24" t="inlineStr">
        <is>
          <t>Viktoria Hruncakova</t>
        </is>
      </c>
      <c r="AT167" s="24" t="inlineStr">
        <is>
          <t>Viktoria Hruncakova</t>
        </is>
      </c>
      <c r="AU167" s="24" t="inlineStr">
        <is>
          <t>Viktoria Hruncakova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60749ecfb3f1405f12fbceda11b7e64f2473d40dd327256f9da20b2146b6ae03</t>
        </is>
      </c>
      <c r="BB167" s="24" t="inlineStr">
        <is>
          <t>surface_blended_elo</t>
        </is>
      </c>
      <c r="BC167" s="24" t="inlineStr">
        <is>
          <t>tennis-surface-elo-v1</t>
        </is>
      </c>
      <c r="BD167" s="24" t="inlineStr">
        <is>
          <t>60749ecfb3f1405f12fbceda11b7e64f2473d40dd327256f9da20b2146b6ae03</t>
        </is>
      </c>
      <c r="BE167" s="24" t="inlineStr">
        <is>
          <t>tennis-surface-elo-v1</t>
        </is>
      </c>
      <c r="BF167" s="24" t="inlineStr">
        <is>
          <t>1</t>
        </is>
      </c>
      <c r="BG167" s="24" t="inlineStr">
        <is>
          <t>60749ecfb3f1405f12fbceda11b7e64f2473d40dd327256f9da20b2146b6ae03</t>
        </is>
      </c>
      <c r="BH167" s="24" t="inlineStr">
        <is>
          <t>2026-08-04T08:53:31.509930Z</t>
        </is>
      </c>
      <c r="BI167" s="24" t="inlineStr">
        <is>
          <t>["same_event","same_team_same_day","same_league_same_day"]</t>
        </is>
      </c>
      <c r="BJ167" s="25" t="n"/>
      <c r="BK167" s="26" t="n">
        <v>100</v>
      </c>
      <c r="BL167" s="27" t="n">
        <v>2</v>
      </c>
      <c r="BM167" s="28" t="n">
        <v>0.5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inlineStr">
        <is>
          <t>True</t>
        </is>
      </c>
    </row>
    <row r="168" ht="36" customHeight="1">
      <c r="A168" s="24" t="inlineStr">
        <is>
          <t>1b49058ee90f436d</t>
        </is>
      </c>
      <c r="B168" s="24" t="inlineStr">
        <is>
          <t>2026-08-04T08:54:59.561456Z</t>
        </is>
      </c>
      <c r="C168" s="24" t="inlineStr">
        <is>
          <t>2026-08-04T10:30Z</t>
        </is>
      </c>
      <c r="D168" s="24" t="inlineStr">
        <is>
          <t>961-2026:182091</t>
        </is>
      </c>
      <c r="E168" s="24" t="inlineStr">
        <is>
          <t>TENNIS</t>
        </is>
      </c>
      <c r="F168" s="24" t="inlineStr">
        <is>
          <t>Vendula Valdmannova</t>
        </is>
      </c>
      <c r="G168" s="24" t="inlineStr">
        <is>
          <t>Marcelina Podlinska</t>
        </is>
      </c>
      <c r="H168" s="24" t="inlineStr">
        <is>
          <t>moneyline</t>
        </is>
      </c>
      <c r="I168" s="24" t="inlineStr">
        <is>
          <t>away</t>
        </is>
      </c>
      <c r="J168" s="25" t="n"/>
      <c r="K168" s="24" t="inlineStr">
        <is>
          <t>polymarket_us</t>
        </is>
      </c>
      <c r="L168" s="26" t="n">
        <v>-525</v>
      </c>
      <c r="M168" s="27" t="n">
        <v>1.190476</v>
      </c>
      <c r="N168" s="28" t="n">
        <v>0.84</v>
      </c>
      <c r="O168" s="28" t="n">
        <v>0.601999</v>
      </c>
      <c r="P168" s="28" t="n">
        <v>0.05</v>
      </c>
      <c r="Q168" s="28" t="n">
        <v>-0.238001</v>
      </c>
      <c r="R168" s="26" t="n">
        <v>0</v>
      </c>
      <c r="S168" s="29" t="n">
        <v>1.25</v>
      </c>
      <c r="T168" s="24" t="inlineStr">
        <is>
          <t>tennis-surface-elo-v1</t>
        </is>
      </c>
      <c r="U168" s="24" t="inlineStr">
        <is>
          <t>open</t>
        </is>
      </c>
      <c r="V168" s="24" t="n"/>
      <c r="W168" s="26" t="n"/>
      <c r="X168" s="26" t="n"/>
      <c r="Y168" s="25" t="n"/>
      <c r="Z168" s="26" t="n"/>
      <c r="AA168" s="28" t="n"/>
      <c r="AB168" s="28" t="n"/>
      <c r="AC168" s="30" t="n"/>
      <c r="AD168" s="24" t="n"/>
      <c r="AE168" s="31" t="inlineStr">
        <is>
          <t>Surface-blended Elo on Hard: Vendula Valdmannova p=0.602 vs Marcelina Podlinska. Executable ask 0.8400 (aec-wta-marpod-venval-2026-08-04).</t>
        </is>
      </c>
      <c r="AF168" s="31" t="inlineStr">
        <is>
          <t>Surface-blended Elo model; singles only, WTA+ATP market coverage, not yet locked-holdout qualified -- promoted by explicit operator directive, not genuine walk-forward validation.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NO_CALL_MODEL_UNVALIDATED</t>
        </is>
      </c>
      <c r="AP168" s="24" t="inlineStr">
        <is>
          <t>Vendula Valdmannova</t>
        </is>
      </c>
      <c r="AQ168" s="24" t="inlineStr">
        <is>
          <t>Vendula Valdmannova</t>
        </is>
      </c>
      <c r="AR168" s="24" t="inlineStr">
        <is>
          <t>Vendula Valdmannova</t>
        </is>
      </c>
      <c r="AS168" s="24" t="inlineStr">
        <is>
          <t>Marcelina Podlinska</t>
        </is>
      </c>
      <c r="AT168" s="24" t="inlineStr">
        <is>
          <t>Marcelina Podlinska</t>
        </is>
      </c>
      <c r="AU168" s="24" t="inlineStr">
        <is>
          <t>Marcelina Podlinska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60749ecfb3f1405f12fbceda11b7e64f2473d40dd327256f9da20b2146b6ae03</t>
        </is>
      </c>
      <c r="BB168" s="24" t="inlineStr">
        <is>
          <t>surface_blended_elo</t>
        </is>
      </c>
      <c r="BC168" s="24" t="inlineStr">
        <is>
          <t>tennis-surface-elo-v1</t>
        </is>
      </c>
      <c r="BD168" s="24" t="inlineStr">
        <is>
          <t>60749ecfb3f1405f12fbceda11b7e64f2473d40dd327256f9da20b2146b6ae03</t>
        </is>
      </c>
      <c r="BE168" s="24" t="inlineStr">
        <is>
          <t>tennis-surface-elo-v1</t>
        </is>
      </c>
      <c r="BF168" s="24" t="inlineStr">
        <is>
          <t>1</t>
        </is>
      </c>
      <c r="BG168" s="24" t="inlineStr">
        <is>
          <t>60749ecfb3f1405f12fbceda11b7e64f2473d40dd327256f9da20b2146b6ae03</t>
        </is>
      </c>
      <c r="BH168" s="24" t="inlineStr">
        <is>
          <t>2026-08-04T08:53:31.401094Z</t>
        </is>
      </c>
      <c r="BI168" s="24" t="inlineStr">
        <is>
          <t>["same_event","same_team_same_day","same_league_same_day"]</t>
        </is>
      </c>
      <c r="BJ168" s="25" t="n"/>
      <c r="BK168" s="26" t="n">
        <v>-525</v>
      </c>
      <c r="BL168" s="27" t="n">
        <v>1.190476</v>
      </c>
      <c r="BM168" s="28" t="n">
        <v>0.84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inlineStr">
        <is>
          <t>False</t>
        </is>
      </c>
    </row>
    <row r="169" ht="36" customHeight="1">
      <c r="A169" s="24" t="inlineStr">
        <is>
          <t>947f11183dd046dd</t>
        </is>
      </c>
      <c r="B169" s="24" t="inlineStr">
        <is>
          <t>2026-08-04T08:54:59.561456Z</t>
        </is>
      </c>
      <c r="C169" s="24" t="inlineStr">
        <is>
          <t>2026-08-04T10:30Z</t>
        </is>
      </c>
      <c r="D169" s="24" t="inlineStr">
        <is>
          <t>961-2026:182092</t>
        </is>
      </c>
      <c r="E169" s="24" t="inlineStr">
        <is>
          <t>TENNIS</t>
        </is>
      </c>
      <c r="F169" s="24" t="inlineStr">
        <is>
          <t>Ella Seidel</t>
        </is>
      </c>
      <c r="G169" s="24" t="inlineStr">
        <is>
          <t>Dalma Galfi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100</v>
      </c>
      <c r="M169" s="27" t="n">
        <v>2</v>
      </c>
      <c r="N169" s="28" t="n">
        <v>0.5</v>
      </c>
      <c r="O169" s="28" t="n">
        <v>0.511713</v>
      </c>
      <c r="P169" s="28" t="n">
        <v>0.05</v>
      </c>
      <c r="Q169" s="28" t="n">
        <v>0.011713</v>
      </c>
      <c r="R169" s="26" t="n">
        <v>26</v>
      </c>
      <c r="S169" s="29" t="n">
        <v>1</v>
      </c>
      <c r="T169" s="24" t="inlineStr">
        <is>
          <t>tennis-surface-elo-v1</t>
        </is>
      </c>
      <c r="U169" s="24" t="inlineStr">
        <is>
          <t>open</t>
        </is>
      </c>
      <c r="V169" s="24" t="n"/>
      <c r="W169" s="26" t="n"/>
      <c r="X169" s="26" t="n"/>
      <c r="Y169" s="25" t="n"/>
      <c r="Z169" s="26" t="n"/>
      <c r="AA169" s="28" t="n"/>
      <c r="AB169" s="28" t="n"/>
      <c r="AC169" s="30" t="n"/>
      <c r="AD169" s="24" t="n"/>
      <c r="AE169" s="31" t="inlineStr">
        <is>
          <t>Surface-blended Elo on Hard: Ella Seidel p=0.488 vs Dalma Galfi. Executable ask 0.5000 (aec-wta-dalgal-ellsei-2026-08-03).</t>
        </is>
      </c>
      <c r="AF169" s="31" t="inlineStr">
        <is>
          <t>Surface-blended Elo model; singles only, WTA+ATP market coverage, not yet locked-holdout qualified -- promoted by explicit operator directive, not genuine walk-forward validation.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NO_CALL_LOW_EDGE</t>
        </is>
      </c>
      <c r="AP169" s="24" t="inlineStr">
        <is>
          <t>Ella Seidel</t>
        </is>
      </c>
      <c r="AQ169" s="24" t="inlineStr">
        <is>
          <t>Ella Seidel</t>
        </is>
      </c>
      <c r="AR169" s="24" t="inlineStr">
        <is>
          <t>Ella Seidel</t>
        </is>
      </c>
      <c r="AS169" s="24" t="inlineStr">
        <is>
          <t>Dalma Galfi</t>
        </is>
      </c>
      <c r="AT169" s="24" t="inlineStr">
        <is>
          <t>Dalma Galfi</t>
        </is>
      </c>
      <c r="AU169" s="24" t="inlineStr">
        <is>
          <t>Dalma Galfi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60749ecfb3f1405f12fbceda11b7e64f2473d40dd327256f9da20b2146b6ae03</t>
        </is>
      </c>
      <c r="BB169" s="24" t="inlineStr">
        <is>
          <t>surface_blended_elo</t>
        </is>
      </c>
      <c r="BC169" s="24" t="inlineStr">
        <is>
          <t>tennis-surface-elo-v1</t>
        </is>
      </c>
      <c r="BD169" s="24" t="inlineStr">
        <is>
          <t>60749ecfb3f1405f12fbceda11b7e64f2473d40dd327256f9da20b2146b6ae03</t>
        </is>
      </c>
      <c r="BE169" s="24" t="inlineStr">
        <is>
          <t>tennis-surface-elo-v1</t>
        </is>
      </c>
      <c r="BF169" s="24" t="inlineStr">
        <is>
          <t>1</t>
        </is>
      </c>
      <c r="BG169" s="24" t="inlineStr">
        <is>
          <t>60749ecfb3f1405f12fbceda11b7e64f2473d40dd327256f9da20b2146b6ae03</t>
        </is>
      </c>
      <c r="BH169" s="24" t="inlineStr">
        <is>
          <t>2026-08-04T08:53:31.615874Z</t>
        </is>
      </c>
      <c r="BI169" s="24" t="inlineStr">
        <is>
          <t>["same_event","same_team_same_day","same_league_same_day"]</t>
        </is>
      </c>
      <c r="BJ169" s="25" t="n"/>
      <c r="BK169" s="26" t="n">
        <v>100</v>
      </c>
      <c r="BL169" s="27" t="n">
        <v>2</v>
      </c>
      <c r="BM169" s="28" t="n">
        <v>0.5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inlineStr">
        <is>
          <t>True</t>
        </is>
      </c>
    </row>
    <row r="170" ht="36" customHeight="1">
      <c r="A170" s="24" t="inlineStr">
        <is>
          <t>f525da2ffd0e4936</t>
        </is>
      </c>
      <c r="B170" s="24" t="inlineStr">
        <is>
          <t>2026-08-04T08:54:59.561456Z</t>
        </is>
      </c>
      <c r="C170" s="24" t="inlineStr">
        <is>
          <t>2026-08-04T10:30Z</t>
        </is>
      </c>
      <c r="D170" s="24" t="inlineStr">
        <is>
          <t>961-2026:182088</t>
        </is>
      </c>
      <c r="E170" s="24" t="inlineStr">
        <is>
          <t>TENNIS</t>
        </is>
      </c>
      <c r="F170" s="24" t="inlineStr">
        <is>
          <t>Elizara Yaneva</t>
        </is>
      </c>
      <c r="G170" s="24" t="inlineStr">
        <is>
          <t>Linda Klimovicova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-104</v>
      </c>
      <c r="M170" s="27" t="n">
        <v>1.961538</v>
      </c>
      <c r="N170" s="28" t="n">
        <v>0.509804</v>
      </c>
      <c r="O170" s="28" t="n">
        <v>0.578623</v>
      </c>
      <c r="P170" s="28" t="n">
        <v>0.05</v>
      </c>
      <c r="Q170" s="28" t="n">
        <v>0.06881900000000001</v>
      </c>
      <c r="R170" s="26" t="n">
        <v>54</v>
      </c>
      <c r="S170" s="29" t="n">
        <v>1.25</v>
      </c>
      <c r="T170" s="24" t="inlineStr">
        <is>
          <t>tennis-surface-elo-v1</t>
        </is>
      </c>
      <c r="U170" s="24" t="inlineStr">
        <is>
          <t>open</t>
        </is>
      </c>
      <c r="V170" s="24" t="n"/>
      <c r="W170" s="26" t="n"/>
      <c r="X170" s="26" t="n"/>
      <c r="Y170" s="25" t="n"/>
      <c r="Z170" s="26" t="n"/>
      <c r="AA170" s="28" t="n"/>
      <c r="AB170" s="28" t="n"/>
      <c r="AC170" s="30" t="n"/>
      <c r="AD170" s="24" t="n"/>
      <c r="AE170" s="31" t="inlineStr">
        <is>
          <t>Surface-blended Elo on Hard: Elizara Yaneva p=0.421 vs Linda Klimovicova. Executable ask 0.5100 (aec-wta-linkli-eliyan-2026-08-03).</t>
        </is>
      </c>
      <c r="AF170" s="31" t="inlineStr">
        <is>
          <t>Surface-blended Elo model; singles only, WTA+ATP market coverage, not yet locked-holdout qualified -- promoted by explicit operator directive, not genuine walk-forward validation.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Elizara Yaneva</t>
        </is>
      </c>
      <c r="AQ170" s="24" t="inlineStr">
        <is>
          <t>Elizara Yaneva</t>
        </is>
      </c>
      <c r="AR170" s="24" t="inlineStr">
        <is>
          <t>Elizara Yaneva</t>
        </is>
      </c>
      <c r="AS170" s="24" t="inlineStr">
        <is>
          <t>Linda Klimovicova</t>
        </is>
      </c>
      <c r="AT170" s="24" t="inlineStr">
        <is>
          <t>Linda Klimovicova</t>
        </is>
      </c>
      <c r="AU170" s="24" t="inlineStr">
        <is>
          <t>Linda Klimovicova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60749ecfb3f1405f12fbceda11b7e64f2473d40dd327256f9da20b2146b6ae03</t>
        </is>
      </c>
      <c r="BB170" s="24" t="inlineStr">
        <is>
          <t>surface_blended_elo</t>
        </is>
      </c>
      <c r="BC170" s="24" t="inlineStr">
        <is>
          <t>tennis-surface-elo-v1</t>
        </is>
      </c>
      <c r="BD170" s="24" t="inlineStr">
        <is>
          <t>60749ecfb3f1405f12fbceda11b7e64f2473d40dd327256f9da20b2146b6ae03</t>
        </is>
      </c>
      <c r="BE170" s="24" t="inlineStr">
        <is>
          <t>tennis-surface-elo-v1</t>
        </is>
      </c>
      <c r="BF170" s="24" t="inlineStr">
        <is>
          <t>1</t>
        </is>
      </c>
      <c r="BG170" s="24" t="inlineStr">
        <is>
          <t>60749ecfb3f1405f12fbceda11b7e64f2473d40dd327256f9da20b2146b6ae03</t>
        </is>
      </c>
      <c r="BH170" s="24" t="inlineStr">
        <is>
          <t>2026-08-04T08:53:31.464146Z</t>
        </is>
      </c>
      <c r="BI170" s="24" t="inlineStr">
        <is>
          <t>["same_event","same_team_same_day","same_league_same_day"]</t>
        </is>
      </c>
      <c r="BJ170" s="25" t="n"/>
      <c r="BK170" s="26" t="n">
        <v>-104</v>
      </c>
      <c r="BL170" s="27" t="n">
        <v>1.961538</v>
      </c>
      <c r="BM170" s="28" t="n">
        <v>0.509804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inlineStr">
        <is>
          <t>True</t>
        </is>
      </c>
    </row>
    <row r="171" ht="36" customHeight="1">
      <c r="A171" s="24" t="inlineStr">
        <is>
          <t>ce895cf5430d4869</t>
        </is>
      </c>
      <c r="B171" s="24" t="inlineStr">
        <is>
          <t>2026-08-04T08:54:59.561456Z</t>
        </is>
      </c>
      <c r="C171" s="24" t="inlineStr">
        <is>
          <t>2026-08-04T12:00Z</t>
        </is>
      </c>
      <c r="D171" s="24" t="inlineStr">
        <is>
          <t>961-2026:182082</t>
        </is>
      </c>
      <c r="E171" s="24" t="inlineStr">
        <is>
          <t>TENNIS</t>
        </is>
      </c>
      <c r="F171" s="24" t="inlineStr">
        <is>
          <t>Mona Barthel</t>
        </is>
      </c>
      <c r="G171" s="24" t="inlineStr">
        <is>
          <t>Laura Samson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-213</v>
      </c>
      <c r="M171" s="27" t="n">
        <v>1.469484</v>
      </c>
      <c r="N171" s="28" t="n">
        <v>0.680511</v>
      </c>
      <c r="O171" s="28" t="n">
        <v>0.523723</v>
      </c>
      <c r="P171" s="28" t="n">
        <v>0.05</v>
      </c>
      <c r="Q171" s="28" t="n">
        <v>-0.156788</v>
      </c>
      <c r="R171" s="26" t="n">
        <v>0</v>
      </c>
      <c r="S171" s="29" t="n">
        <v>1</v>
      </c>
      <c r="T171" s="24" t="inlineStr">
        <is>
          <t>tennis-surface-elo-v1</t>
        </is>
      </c>
      <c r="U171" s="24" t="inlineStr">
        <is>
          <t>open</t>
        </is>
      </c>
      <c r="V171" s="24" t="n"/>
      <c r="W171" s="26" t="n"/>
      <c r="X171" s="26" t="n"/>
      <c r="Y171" s="25" t="n"/>
      <c r="Z171" s="26" t="n"/>
      <c r="AA171" s="28" t="n"/>
      <c r="AB171" s="28" t="n"/>
      <c r="AC171" s="30" t="n"/>
      <c r="AD171" s="24" t="n"/>
      <c r="AE171" s="31" t="inlineStr">
        <is>
          <t>Surface-blended Elo on Hard: Mona Barthel p=0.476 vs Laura Samson. Executable ask 0.6800 (aec-wta-lausam-monbar-2026-08-03).</t>
        </is>
      </c>
      <c r="AF171" s="31" t="inlineStr">
        <is>
          <t>Surface-blended Elo model; singles only, WTA+ATP market coverage, not yet locked-holdout qualified -- promoted by explicit operator directive, not genuine walk-forward validation.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NO_CALL_LOW_EDGE</t>
        </is>
      </c>
      <c r="AP171" s="24" t="inlineStr">
        <is>
          <t>Mona Barthel</t>
        </is>
      </c>
      <c r="AQ171" s="24" t="inlineStr">
        <is>
          <t>Mona Barthel</t>
        </is>
      </c>
      <c r="AR171" s="24" t="inlineStr">
        <is>
          <t>Mona Barthel</t>
        </is>
      </c>
      <c r="AS171" s="24" t="inlineStr">
        <is>
          <t>Laura Samson</t>
        </is>
      </c>
      <c r="AT171" s="24" t="inlineStr">
        <is>
          <t>Laura Samson</t>
        </is>
      </c>
      <c r="AU171" s="24" t="inlineStr">
        <is>
          <t>Laura Samson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60749ecfb3f1405f12fbceda11b7e64f2473d40dd327256f9da20b2146b6ae03</t>
        </is>
      </c>
      <c r="BB171" s="24" t="inlineStr">
        <is>
          <t>surface_blended_elo</t>
        </is>
      </c>
      <c r="BC171" s="24" t="inlineStr">
        <is>
          <t>tennis-surface-elo-v1</t>
        </is>
      </c>
      <c r="BD171" s="24" t="inlineStr">
        <is>
          <t>60749ecfb3f1405f12fbceda11b7e64f2473d40dd327256f9da20b2146b6ae03</t>
        </is>
      </c>
      <c r="BE171" s="24" t="inlineStr">
        <is>
          <t>tennis-surface-elo-v1</t>
        </is>
      </c>
      <c r="BF171" s="24" t="inlineStr">
        <is>
          <t>1</t>
        </is>
      </c>
      <c r="BG171" s="24" t="inlineStr">
        <is>
          <t>60749ecfb3f1405f12fbceda11b7e64f2473d40dd327256f9da20b2146b6ae03</t>
        </is>
      </c>
      <c r="BH171" s="24" t="inlineStr">
        <is>
          <t>2026-08-04T08:53:31.722797Z</t>
        </is>
      </c>
      <c r="BI171" s="24" t="inlineStr">
        <is>
          <t>["same_event","same_team_same_day","same_league_same_day"]</t>
        </is>
      </c>
      <c r="BJ171" s="25" t="n"/>
      <c r="BK171" s="26" t="n">
        <v>-213</v>
      </c>
      <c r="BL171" s="27" t="n">
        <v>1.469484</v>
      </c>
      <c r="BM171" s="28" t="n">
        <v>0.680511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inlineStr">
        <is>
          <t>False</t>
        </is>
      </c>
    </row>
    <row r="172" ht="36" customHeight="1">
      <c r="A172" s="24" t="inlineStr">
        <is>
          <t>b4985bd834cd497e</t>
        </is>
      </c>
      <c r="B172" s="24" t="inlineStr">
        <is>
          <t>2026-08-04T08:54:59.561456Z</t>
        </is>
      </c>
      <c r="C172" s="24" t="inlineStr">
        <is>
          <t>2026-08-04T12:00Z</t>
        </is>
      </c>
      <c r="D172" s="24" t="inlineStr">
        <is>
          <t>961-2026:182093</t>
        </is>
      </c>
      <c r="E172" s="24" t="inlineStr">
        <is>
          <t>TENNIS</t>
        </is>
      </c>
      <c r="F172" s="24" t="inlineStr">
        <is>
          <t>Lia Karatancheva</t>
        </is>
      </c>
      <c r="G172" s="24" t="inlineStr">
        <is>
          <t>Zuzanna Pawlikowska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203</v>
      </c>
      <c r="M172" s="27" t="n">
        <v>3.03</v>
      </c>
      <c r="N172" s="28" t="n">
        <v>0.330033</v>
      </c>
      <c r="O172" s="28" t="n">
        <v>0.6278049999999999</v>
      </c>
      <c r="P172" s="28" t="n">
        <v>0.05</v>
      </c>
      <c r="Q172" s="28" t="n">
        <v>0.297772</v>
      </c>
      <c r="R172" s="26" t="n">
        <v>100</v>
      </c>
      <c r="S172" s="29" t="n">
        <v>1.5</v>
      </c>
      <c r="T172" s="24" t="inlineStr">
        <is>
          <t>tennis-surface-elo-v1</t>
        </is>
      </c>
      <c r="U172" s="24" t="inlineStr">
        <is>
          <t>open</t>
        </is>
      </c>
      <c r="V172" s="24" t="n"/>
      <c r="W172" s="26" t="n"/>
      <c r="X172" s="26" t="n"/>
      <c r="Y172" s="25" t="n"/>
      <c r="Z172" s="26" t="n"/>
      <c r="AA172" s="28" t="n"/>
      <c r="AB172" s="28" t="n"/>
      <c r="AC172" s="30" t="n"/>
      <c r="AD172" s="24" t="n"/>
      <c r="AE172" s="31" t="inlineStr">
        <is>
          <t>Surface-blended Elo on Hard: Lia Karatancheva p=0.372 vs Zuzanna Pawlikowska. Executable ask 0.3300 (aec-wta-zuzpaw-liakar-2026-08-04).</t>
        </is>
      </c>
      <c r="AF172" s="31" t="inlineStr">
        <is>
          <t>Surface-blended Elo model; singles only, WTA+ATP market coverage, not yet locked-holdout qualified -- promoted by explicit operator directive, not genuine walk-forward validation.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NO_CALL_MODEL_UNVALIDATED</t>
        </is>
      </c>
      <c r="AP172" s="24" t="inlineStr">
        <is>
          <t>Lia Karatancheva</t>
        </is>
      </c>
      <c r="AQ172" s="24" t="inlineStr">
        <is>
          <t>Lia Karatancheva</t>
        </is>
      </c>
      <c r="AR172" s="24" t="inlineStr">
        <is>
          <t>Lia Karatancheva</t>
        </is>
      </c>
      <c r="AS172" s="24" t="inlineStr">
        <is>
          <t>Zuzanna Pawlikowska</t>
        </is>
      </c>
      <c r="AT172" s="24" t="inlineStr">
        <is>
          <t>Zuzanna Pawlikowska</t>
        </is>
      </c>
      <c r="AU172" s="24" t="inlineStr">
        <is>
          <t>Zuzanna Pawlikowska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60749ecfb3f1405f12fbceda11b7e64f2473d40dd327256f9da20b2146b6ae03</t>
        </is>
      </c>
      <c r="BB172" s="24" t="inlineStr">
        <is>
          <t>surface_blended_elo</t>
        </is>
      </c>
      <c r="BC172" s="24" t="inlineStr">
        <is>
          <t>tennis-surface-elo-v1</t>
        </is>
      </c>
      <c r="BD172" s="24" t="inlineStr">
        <is>
          <t>60749ecfb3f1405f12fbceda11b7e64f2473d40dd327256f9da20b2146b6ae03</t>
        </is>
      </c>
      <c r="BE172" s="24" t="inlineStr">
        <is>
          <t>tennis-surface-elo-v1</t>
        </is>
      </c>
      <c r="BF172" s="24" t="inlineStr">
        <is>
          <t>1</t>
        </is>
      </c>
      <c r="BG172" s="24" t="inlineStr">
        <is>
          <t>60749ecfb3f1405f12fbceda11b7e64f2473d40dd327256f9da20b2146b6ae03</t>
        </is>
      </c>
      <c r="BH172" s="24" t="inlineStr">
        <is>
          <t>2026-08-04T08:53:31.820806Z</t>
        </is>
      </c>
      <c r="BI172" s="24" t="inlineStr">
        <is>
          <t>["same_event","same_team_same_day","same_league_same_day"]</t>
        </is>
      </c>
      <c r="BJ172" s="25" t="n"/>
      <c r="BK172" s="26" t="n">
        <v>203</v>
      </c>
      <c r="BL172" s="27" t="n">
        <v>3.03</v>
      </c>
      <c r="BM172" s="28" t="n">
        <v>0.330033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inlineStr">
        <is>
          <t>True</t>
        </is>
      </c>
    </row>
    <row r="173" ht="36" customHeight="1">
      <c r="A173" s="24" t="inlineStr">
        <is>
          <t>5a3c0b54550b4fb8</t>
        </is>
      </c>
      <c r="B173" s="24" t="inlineStr">
        <is>
          <t>2026-08-04T08:54:59.561456Z</t>
        </is>
      </c>
      <c r="C173" s="24" t="inlineStr">
        <is>
          <t>2026-08-04T12:00Z</t>
        </is>
      </c>
      <c r="D173" s="24" t="inlineStr">
        <is>
          <t>961-2026:182096</t>
        </is>
      </c>
      <c r="E173" s="24" t="inlineStr">
        <is>
          <t>TENNIS</t>
        </is>
      </c>
      <c r="F173" s="24" t="inlineStr">
        <is>
          <t>Sofia Costoulas</t>
        </is>
      </c>
      <c r="G173" s="24" t="inlineStr">
        <is>
          <t>Gabriela Knutson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-170</v>
      </c>
      <c r="M173" s="27" t="n">
        <v>1.588235</v>
      </c>
      <c r="N173" s="28" t="n">
        <v>0.62963</v>
      </c>
      <c r="O173" s="28" t="n">
        <v>0.5347150000000001</v>
      </c>
      <c r="P173" s="28" t="n">
        <v>0.05</v>
      </c>
      <c r="Q173" s="28" t="n">
        <v>-0.094915</v>
      </c>
      <c r="R173" s="26" t="n">
        <v>0</v>
      </c>
      <c r="S173" s="29" t="n">
        <v>1</v>
      </c>
      <c r="T173" s="24" t="inlineStr">
        <is>
          <t>tennis-surface-elo-v1</t>
        </is>
      </c>
      <c r="U173" s="24" t="inlineStr">
        <is>
          <t>open</t>
        </is>
      </c>
      <c r="V173" s="24" t="n"/>
      <c r="W173" s="26" t="n"/>
      <c r="X173" s="26" t="n"/>
      <c r="Y173" s="25" t="n"/>
      <c r="Z173" s="26" t="n"/>
      <c r="AA173" s="28" t="n"/>
      <c r="AB173" s="28" t="n"/>
      <c r="AC173" s="30" t="n"/>
      <c r="AD173" s="24" t="n"/>
      <c r="AE173" s="31" t="inlineStr">
        <is>
          <t>Surface-blended Elo on Hard: Sofia Costoulas p=0.535 vs Gabriela Knutson. Executable ask 0.6300 (aec-wta-gabknu-sofcos-2026-08-03).</t>
        </is>
      </c>
      <c r="AF173" s="31" t="inlineStr">
        <is>
          <t>Surface-blended Elo model; singles only, WTA+ATP market coverage, not yet locked-holdout qualified -- promoted by explicit operator directive, not genuine walk-forward validation.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NO_CALL_LOW_EDGE</t>
        </is>
      </c>
      <c r="AP173" s="24" t="inlineStr">
        <is>
          <t>Sofia Costoulas</t>
        </is>
      </c>
      <c r="AQ173" s="24" t="inlineStr">
        <is>
          <t>Sofia Costoulas</t>
        </is>
      </c>
      <c r="AR173" s="24" t="inlineStr">
        <is>
          <t>Sofia Costoulas</t>
        </is>
      </c>
      <c r="AS173" s="24" t="inlineStr">
        <is>
          <t>Gabriela Knutson</t>
        </is>
      </c>
      <c r="AT173" s="24" t="inlineStr">
        <is>
          <t>Gabriela Knutson</t>
        </is>
      </c>
      <c r="AU173" s="24" t="inlineStr">
        <is>
          <t>Gabriela Knutson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60749ecfb3f1405f12fbceda11b7e64f2473d40dd327256f9da20b2146b6ae03</t>
        </is>
      </c>
      <c r="BB173" s="24" t="inlineStr">
        <is>
          <t>surface_blended_elo</t>
        </is>
      </c>
      <c r="BC173" s="24" t="inlineStr">
        <is>
          <t>tennis-surface-elo-v1</t>
        </is>
      </c>
      <c r="BD173" s="24" t="inlineStr">
        <is>
          <t>60749ecfb3f1405f12fbceda11b7e64f2473d40dd327256f9da20b2146b6ae03</t>
        </is>
      </c>
      <c r="BE173" s="24" t="inlineStr">
        <is>
          <t>tennis-surface-elo-v1</t>
        </is>
      </c>
      <c r="BF173" s="24" t="inlineStr">
        <is>
          <t>1</t>
        </is>
      </c>
      <c r="BG173" s="24" t="inlineStr">
        <is>
          <t>60749ecfb3f1405f12fbceda11b7e64f2473d40dd327256f9da20b2146b6ae03</t>
        </is>
      </c>
      <c r="BH173" s="24" t="inlineStr">
        <is>
          <t>2026-08-04T08:53:31.801243Z</t>
        </is>
      </c>
      <c r="BI173" s="24" t="inlineStr">
        <is>
          <t>["same_event","same_team_same_day","same_league_same_day"]</t>
        </is>
      </c>
      <c r="BJ173" s="25" t="n"/>
      <c r="BK173" s="26" t="n">
        <v>-170</v>
      </c>
      <c r="BL173" s="27" t="n">
        <v>1.588235</v>
      </c>
      <c r="BM173" s="28" t="n">
        <v>0.62963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inlineStr">
        <is>
          <t>False</t>
        </is>
      </c>
    </row>
    <row r="174" ht="36" customHeight="1">
      <c r="A174" s="24" t="inlineStr">
        <is>
          <t>bcff1fafb03f4fbb</t>
        </is>
      </c>
      <c r="B174" s="24" t="inlineStr">
        <is>
          <t>2026-08-04T08:54:59.561456Z</t>
        </is>
      </c>
      <c r="C174" s="24" t="inlineStr">
        <is>
          <t>2026-08-04T15:00Z</t>
        </is>
      </c>
      <c r="D174" s="24" t="inlineStr">
        <is>
          <t>421-2026:181808</t>
        </is>
      </c>
      <c r="E174" s="24" t="inlineStr">
        <is>
          <t>TENNIS</t>
        </is>
      </c>
      <c r="F174" s="24" t="inlineStr">
        <is>
          <t>Marcos Giron</t>
        </is>
      </c>
      <c r="G174" s="24" t="inlineStr">
        <is>
          <t>Hubert Hurkacz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-170</v>
      </c>
      <c r="M174" s="27" t="n">
        <v>1.588235</v>
      </c>
      <c r="N174" s="28" t="n">
        <v>0.62963</v>
      </c>
      <c r="O174" s="28" t="n">
        <v>0.503757</v>
      </c>
      <c r="P174" s="28" t="n">
        <v>0.05</v>
      </c>
      <c r="Q174" s="28" t="n">
        <v>-0.125873</v>
      </c>
      <c r="R174" s="26" t="n">
        <v>0</v>
      </c>
      <c r="S174" s="29" t="n">
        <v>1</v>
      </c>
      <c r="T174" s="24" t="inlineStr">
        <is>
          <t>tennis-surface-elo-v1</t>
        </is>
      </c>
      <c r="U174" s="24" t="inlineStr">
        <is>
          <t>open</t>
        </is>
      </c>
      <c r="V174" s="24" t="n"/>
      <c r="W174" s="26" t="n"/>
      <c r="X174" s="26" t="n"/>
      <c r="Y174" s="25" t="n"/>
      <c r="Z174" s="26" t="n"/>
      <c r="AA174" s="28" t="n"/>
      <c r="AB174" s="28" t="n"/>
      <c r="AC174" s="30" t="n"/>
      <c r="AD174" s="24" t="n"/>
      <c r="AE174" s="31" t="inlineStr">
        <is>
          <t>Surface-blended Elo on Hard: Marcos Giron p=0.496 vs Hubert Hurkacz. Executable ask 0.6300 (aec-atp-hubhur-margir-2026-08-03).</t>
        </is>
      </c>
      <c r="AF174" s="31" t="inlineStr">
        <is>
          <t>Surface-blended Elo model; singles only, WTA+ATP market coverage, not yet locked-holdout qualified -- promoted by explicit operator directive, not genuine walk-forward validation.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NO_CALL_LOW_EDGE</t>
        </is>
      </c>
      <c r="AP174" s="24" t="inlineStr">
        <is>
          <t>Marcos Giron</t>
        </is>
      </c>
      <c r="AQ174" s="24" t="inlineStr">
        <is>
          <t>Marcos Giron</t>
        </is>
      </c>
      <c r="AR174" s="24" t="inlineStr">
        <is>
          <t>Marcos Giron</t>
        </is>
      </c>
      <c r="AS174" s="24" t="inlineStr">
        <is>
          <t>Hubert Hurkacz</t>
        </is>
      </c>
      <c r="AT174" s="24" t="inlineStr">
        <is>
          <t>Hubert Hurkacz</t>
        </is>
      </c>
      <c r="AU174" s="24" t="inlineStr">
        <is>
          <t>Hubert Hurkacz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60749ecfb3f1405f12fbceda11b7e64f2473d40dd327256f9da20b2146b6ae03</t>
        </is>
      </c>
      <c r="BB174" s="24" t="inlineStr">
        <is>
          <t>surface_blended_elo</t>
        </is>
      </c>
      <c r="BC174" s="24" t="inlineStr">
        <is>
          <t>tennis-surface-elo-v1</t>
        </is>
      </c>
      <c r="BD174" s="24" t="inlineStr">
        <is>
          <t>60749ecfb3f1405f12fbceda11b7e64f2473d40dd327256f9da20b2146b6ae03</t>
        </is>
      </c>
      <c r="BE174" s="24" t="inlineStr">
        <is>
          <t>tennis-surface-elo-v1</t>
        </is>
      </c>
      <c r="BF174" s="24" t="inlineStr">
        <is>
          <t>1</t>
        </is>
      </c>
      <c r="BG174" s="24" t="inlineStr">
        <is>
          <t>60749ecfb3f1405f12fbceda11b7e64f2473d40dd327256f9da20b2146b6ae03</t>
        </is>
      </c>
      <c r="BH174" s="24" t="inlineStr">
        <is>
          <t>2026-08-04T08:53:44.778344Z</t>
        </is>
      </c>
      <c r="BI174" s="24" t="inlineStr">
        <is>
          <t>["same_event","same_team_same_day","same_league_same_day"]</t>
        </is>
      </c>
      <c r="BJ174" s="25" t="n"/>
      <c r="BK174" s="26" t="n">
        <v>-170</v>
      </c>
      <c r="BL174" s="27" t="n">
        <v>1.588235</v>
      </c>
      <c r="BM174" s="28" t="n">
        <v>0.62963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inlineStr">
        <is>
          <t>False</t>
        </is>
      </c>
    </row>
    <row r="175" ht="36" customHeight="1">
      <c r="A175" s="24" t="inlineStr">
        <is>
          <t>c0eb350a432b4ddc</t>
        </is>
      </c>
      <c r="B175" s="24" t="inlineStr">
        <is>
          <t>2026-08-04T08:54:59.561456Z</t>
        </is>
      </c>
      <c r="C175" s="24" t="inlineStr">
        <is>
          <t>2026-08-04T15:00Z</t>
        </is>
      </c>
      <c r="D175" s="24" t="inlineStr">
        <is>
          <t>421-2026:181822</t>
        </is>
      </c>
      <c r="E175" s="24" t="inlineStr">
        <is>
          <t>TENNIS</t>
        </is>
      </c>
      <c r="F175" s="24" t="inlineStr">
        <is>
          <t>Mattia Bellucci</t>
        </is>
      </c>
      <c r="G175" s="24" t="inlineStr">
        <is>
          <t>Sebastian Baez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-108</v>
      </c>
      <c r="M175" s="27" t="n">
        <v>1.925926</v>
      </c>
      <c r="N175" s="28" t="n">
        <v>0.519231</v>
      </c>
      <c r="O175" s="28" t="n">
        <v>0.559835</v>
      </c>
      <c r="P175" s="28" t="n">
        <v>0.05</v>
      </c>
      <c r="Q175" s="28" t="n">
        <v>0.040604</v>
      </c>
      <c r="R175" s="26" t="n">
        <v>40</v>
      </c>
      <c r="S175" s="29" t="n">
        <v>1</v>
      </c>
      <c r="T175" s="24" t="inlineStr">
        <is>
          <t>tennis-surface-elo-v1</t>
        </is>
      </c>
      <c r="U175" s="24" t="inlineStr">
        <is>
          <t>open</t>
        </is>
      </c>
      <c r="V175" s="24" t="n"/>
      <c r="W175" s="26" t="n"/>
      <c r="X175" s="26" t="n"/>
      <c r="Y175" s="25" t="n"/>
      <c r="Z175" s="26" t="n"/>
      <c r="AA175" s="28" t="n"/>
      <c r="AB175" s="28" t="n"/>
      <c r="AC175" s="30" t="n"/>
      <c r="AD175" s="24" t="n"/>
      <c r="AE175" s="31" t="inlineStr">
        <is>
          <t>Surface-blended Elo on Hard: Mattia Bellucci p=0.440 vs Sebastian Baez. Executable ask 0.5200 (aec-atp-sebbae-matbel-2026-08-03).</t>
        </is>
      </c>
      <c r="AF175" s="31" t="inlineStr">
        <is>
          <t>Surface-blended Elo model; singles only, WTA+ATP market coverage, not yet locked-holdout qualified -- promoted by explicit operator directive, not genuine walk-forward validation.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NO_CALL_LOW_EDGE</t>
        </is>
      </c>
      <c r="AP175" s="24" t="inlineStr">
        <is>
          <t>Mattia Bellucci</t>
        </is>
      </c>
      <c r="AQ175" s="24" t="inlineStr">
        <is>
          <t>Mattia Bellucci</t>
        </is>
      </c>
      <c r="AR175" s="24" t="inlineStr">
        <is>
          <t>Mattia Bellucci</t>
        </is>
      </c>
      <c r="AS175" s="24" t="inlineStr">
        <is>
          <t>Sebastian Baez</t>
        </is>
      </c>
      <c r="AT175" s="24" t="inlineStr">
        <is>
          <t>Sebastian Baez</t>
        </is>
      </c>
      <c r="AU175" s="24" t="inlineStr">
        <is>
          <t>Sebastian Baez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60749ecfb3f1405f12fbceda11b7e64f2473d40dd327256f9da20b2146b6ae03</t>
        </is>
      </c>
      <c r="BB175" s="24" t="inlineStr">
        <is>
          <t>surface_blended_elo</t>
        </is>
      </c>
      <c r="BC175" s="24" t="inlineStr">
        <is>
          <t>tennis-surface-elo-v1</t>
        </is>
      </c>
      <c r="BD175" s="24" t="inlineStr">
        <is>
          <t>60749ecfb3f1405f12fbceda11b7e64f2473d40dd327256f9da20b2146b6ae03</t>
        </is>
      </c>
      <c r="BE175" s="24" t="inlineStr">
        <is>
          <t>tennis-surface-elo-v1</t>
        </is>
      </c>
      <c r="BF175" s="24" t="inlineStr">
        <is>
          <t>1</t>
        </is>
      </c>
      <c r="BG175" s="24" t="inlineStr">
        <is>
          <t>60749ecfb3f1405f12fbceda11b7e64f2473d40dd327256f9da20b2146b6ae03</t>
        </is>
      </c>
      <c r="BH175" s="24" t="inlineStr">
        <is>
          <t>2026-08-04T08:53:43.563914Z</t>
        </is>
      </c>
      <c r="BI175" s="24" t="inlineStr">
        <is>
          <t>["same_event","same_team_same_day","same_league_same_day"]</t>
        </is>
      </c>
      <c r="BJ175" s="25" t="n"/>
      <c r="BK175" s="26" t="n">
        <v>-108</v>
      </c>
      <c r="BL175" s="27" t="n">
        <v>1.925926</v>
      </c>
      <c r="BM175" s="28" t="n">
        <v>0.519231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inlineStr">
        <is>
          <t>True</t>
        </is>
      </c>
    </row>
    <row r="176" ht="36" customHeight="1">
      <c r="A176" s="24" t="inlineStr">
        <is>
          <t>da76208f26424d34</t>
        </is>
      </c>
      <c r="B176" s="24" t="inlineStr">
        <is>
          <t>2026-08-04T08:54:59.561456Z</t>
        </is>
      </c>
      <c r="C176" s="24" t="inlineStr">
        <is>
          <t>2026-08-04T15:00Z</t>
        </is>
      </c>
      <c r="D176" s="24" t="inlineStr">
        <is>
          <t>421-2026:181825</t>
        </is>
      </c>
      <c r="E176" s="24" t="inlineStr">
        <is>
          <t>TENNIS</t>
        </is>
      </c>
      <c r="F176" s="24" t="inlineStr">
        <is>
          <t>Jenson Brooksby</t>
        </is>
      </c>
      <c r="G176" s="24" t="inlineStr">
        <is>
          <t>Adam Walton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-122</v>
      </c>
      <c r="M176" s="27" t="n">
        <v>1.819672</v>
      </c>
      <c r="N176" s="28" t="n">
        <v>0.54955</v>
      </c>
      <c r="O176" s="28" t="n">
        <v>0.568221</v>
      </c>
      <c r="P176" s="28" t="n">
        <v>0.05</v>
      </c>
      <c r="Q176" s="28" t="n">
        <v>0.018671</v>
      </c>
      <c r="R176" s="26" t="n">
        <v>29</v>
      </c>
      <c r="S176" s="29" t="n">
        <v>1</v>
      </c>
      <c r="T176" s="24" t="inlineStr">
        <is>
          <t>tennis-surface-elo-v1</t>
        </is>
      </c>
      <c r="U176" s="24" t="inlineStr">
        <is>
          <t>open</t>
        </is>
      </c>
      <c r="V176" s="24" t="n"/>
      <c r="W176" s="26" t="n"/>
      <c r="X176" s="26" t="n"/>
      <c r="Y176" s="25" t="n"/>
      <c r="Z176" s="26" t="n"/>
      <c r="AA176" s="28" t="n"/>
      <c r="AB176" s="28" t="n"/>
      <c r="AC176" s="30" t="n"/>
      <c r="AD176" s="24" t="n"/>
      <c r="AE176" s="31" t="inlineStr">
        <is>
          <t>Surface-blended Elo on Hard: Jenson Brooksby p=0.568 vs Adam Walton. Executable ask 0.5500 (aec-atp-adawal-jenbro-2026-08-03).</t>
        </is>
      </c>
      <c r="AF176" s="31" t="inlineStr">
        <is>
          <t>Surface-blended Elo model; singles only, WTA+ATP market coverage, not yet locked-holdout qualified -- promoted by explicit operator directive, not genuine walk-forward validation.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NO_CALL_LOW_EDGE</t>
        </is>
      </c>
      <c r="AP176" s="24" t="inlineStr">
        <is>
          <t>Jenson Brooksby</t>
        </is>
      </c>
      <c r="AQ176" s="24" t="inlineStr">
        <is>
          <t>Jenson Brooksby</t>
        </is>
      </c>
      <c r="AR176" s="24" t="inlineStr">
        <is>
          <t>Jenson Brooksby</t>
        </is>
      </c>
      <c r="AS176" s="24" t="inlineStr">
        <is>
          <t>Adam Walton</t>
        </is>
      </c>
      <c r="AT176" s="24" t="inlineStr">
        <is>
          <t>Adam Walton</t>
        </is>
      </c>
      <c r="AU176" s="24" t="inlineStr">
        <is>
          <t>Adam Walton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60749ecfb3f1405f12fbceda11b7e64f2473d40dd327256f9da20b2146b6ae03</t>
        </is>
      </c>
      <c r="BB176" s="24" t="inlineStr">
        <is>
          <t>surface_blended_elo</t>
        </is>
      </c>
      <c r="BC176" s="24" t="inlineStr">
        <is>
          <t>tennis-surface-elo-v1</t>
        </is>
      </c>
      <c r="BD176" s="24" t="inlineStr">
        <is>
          <t>60749ecfb3f1405f12fbceda11b7e64f2473d40dd327256f9da20b2146b6ae03</t>
        </is>
      </c>
      <c r="BE176" s="24" t="inlineStr">
        <is>
          <t>tennis-surface-elo-v1</t>
        </is>
      </c>
      <c r="BF176" s="24" t="inlineStr">
        <is>
          <t>1</t>
        </is>
      </c>
      <c r="BG176" s="24" t="inlineStr">
        <is>
          <t>60749ecfb3f1405f12fbceda11b7e64f2473d40dd327256f9da20b2146b6ae03</t>
        </is>
      </c>
      <c r="BH176" s="24" t="inlineStr">
        <is>
          <t>2026-08-04T08:53:46.890318Z</t>
        </is>
      </c>
      <c r="BI176" s="24" t="inlineStr">
        <is>
          <t>["same_event","same_team_same_day","same_league_same_day"]</t>
        </is>
      </c>
      <c r="BJ176" s="25" t="n"/>
      <c r="BK176" s="26" t="n">
        <v>-122</v>
      </c>
      <c r="BL176" s="27" t="n">
        <v>1.819672</v>
      </c>
      <c r="BM176" s="28" t="n">
        <v>0.54955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inlineStr">
        <is>
          <t>True</t>
        </is>
      </c>
    </row>
    <row r="177" ht="36" customHeight="1">
      <c r="A177" s="24" t="inlineStr">
        <is>
          <t>8fb07b3df63a4f65</t>
        </is>
      </c>
      <c r="B177" s="24" t="inlineStr">
        <is>
          <t>2026-08-04T08:54:59.561456Z</t>
        </is>
      </c>
      <c r="C177" s="24" t="inlineStr">
        <is>
          <t>2026-08-04T15:00Z</t>
        </is>
      </c>
      <c r="D177" s="24" t="inlineStr">
        <is>
          <t>421-2026:181831</t>
        </is>
      </c>
      <c r="E177" s="24" t="inlineStr">
        <is>
          <t>TENNIS</t>
        </is>
      </c>
      <c r="F177" s="24" t="inlineStr">
        <is>
          <t>Stefanos Tsitsipas</t>
        </is>
      </c>
      <c r="G177" s="24" t="inlineStr">
        <is>
          <t>Martin Damm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-170</v>
      </c>
      <c r="M177" s="27" t="n">
        <v>1.588235</v>
      </c>
      <c r="N177" s="28" t="n">
        <v>0.62963</v>
      </c>
      <c r="O177" s="28" t="n">
        <v>0.514482</v>
      </c>
      <c r="P177" s="28" t="n">
        <v>0.05</v>
      </c>
      <c r="Q177" s="28" t="n">
        <v>-0.115148</v>
      </c>
      <c r="R177" s="26" t="n">
        <v>0</v>
      </c>
      <c r="S177" s="29" t="n">
        <v>1</v>
      </c>
      <c r="T177" s="24" t="inlineStr">
        <is>
          <t>tennis-surface-elo-v1</t>
        </is>
      </c>
      <c r="U177" s="24" t="inlineStr">
        <is>
          <t>open</t>
        </is>
      </c>
      <c r="V177" s="24" t="n"/>
      <c r="W177" s="26" t="n"/>
      <c r="X177" s="26" t="n"/>
      <c r="Y177" s="25" t="n"/>
      <c r="Z177" s="26" t="n"/>
      <c r="AA177" s="28" t="n"/>
      <c r="AB177" s="28" t="n"/>
      <c r="AC177" s="30" t="n"/>
      <c r="AD177" s="24" t="n"/>
      <c r="AE177" s="31" t="inlineStr">
        <is>
          <t>Surface-blended Elo on Hard: Stefanos Tsitsipas p=0.514 vs Martin Damm. Executable ask 0.6300 (aec-atp-mardam-stetsi-2026-08-03).</t>
        </is>
      </c>
      <c r="AF177" s="31" t="inlineStr">
        <is>
          <t>Surface-blended Elo model; singles only, WTA+ATP market coverage, not yet locked-holdout qualified -- promoted by explicit operator directive, not genuine walk-forward validation.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NO_CALL_LOW_EDGE</t>
        </is>
      </c>
      <c r="AP177" s="24" t="inlineStr">
        <is>
          <t>Stefanos Tsitsipas</t>
        </is>
      </c>
      <c r="AQ177" s="24" t="inlineStr">
        <is>
          <t>Stefanos Tsitsipas</t>
        </is>
      </c>
      <c r="AR177" s="24" t="inlineStr">
        <is>
          <t>Stefanos Tsitsipas</t>
        </is>
      </c>
      <c r="AS177" s="24" t="inlineStr">
        <is>
          <t>Martin Damm</t>
        </is>
      </c>
      <c r="AT177" s="24" t="inlineStr">
        <is>
          <t>Martin Damm</t>
        </is>
      </c>
      <c r="AU177" s="24" t="inlineStr">
        <is>
          <t>Martin Damm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60749ecfb3f1405f12fbceda11b7e64f2473d40dd327256f9da20b2146b6ae03</t>
        </is>
      </c>
      <c r="BB177" s="24" t="inlineStr">
        <is>
          <t>surface_blended_elo</t>
        </is>
      </c>
      <c r="BC177" s="24" t="inlineStr">
        <is>
          <t>tennis-surface-elo-v1</t>
        </is>
      </c>
      <c r="BD177" s="24" t="inlineStr">
        <is>
          <t>60749ecfb3f1405f12fbceda11b7e64f2473d40dd327256f9da20b2146b6ae03</t>
        </is>
      </c>
      <c r="BE177" s="24" t="inlineStr">
        <is>
          <t>tennis-surface-elo-v1</t>
        </is>
      </c>
      <c r="BF177" s="24" t="inlineStr">
        <is>
          <t>1</t>
        </is>
      </c>
      <c r="BG177" s="24" t="inlineStr">
        <is>
          <t>60749ecfb3f1405f12fbceda11b7e64f2473d40dd327256f9da20b2146b6ae03</t>
        </is>
      </c>
      <c r="BH177" s="24" t="inlineStr">
        <is>
          <t>2026-08-04T08:53:45.972655Z</t>
        </is>
      </c>
      <c r="BI177" s="24" t="inlineStr">
        <is>
          <t>["same_event","same_team_same_day","same_league_same_day"]</t>
        </is>
      </c>
      <c r="BJ177" s="25" t="n"/>
      <c r="BK177" s="26" t="n">
        <v>-170</v>
      </c>
      <c r="BL177" s="27" t="n">
        <v>1.588235</v>
      </c>
      <c r="BM177" s="28" t="n">
        <v>0.62963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inlineStr">
        <is>
          <t>False</t>
        </is>
      </c>
    </row>
    <row r="178" ht="36" customHeight="1">
      <c r="A178" s="24" t="inlineStr">
        <is>
          <t>c8a02066f8684928</t>
        </is>
      </c>
      <c r="B178" s="24" t="inlineStr">
        <is>
          <t>2026-08-04T08:54:59.561456Z</t>
        </is>
      </c>
      <c r="C178" s="24" t="inlineStr">
        <is>
          <t>2026-08-04T16:30Z</t>
        </is>
      </c>
      <c r="D178" s="24" t="inlineStr">
        <is>
          <t>421-2026:181780</t>
        </is>
      </c>
      <c r="E178" s="24" t="inlineStr">
        <is>
          <t>TENNIS</t>
        </is>
      </c>
      <c r="F178" s="24" t="inlineStr">
        <is>
          <t>Denis Shapovalov</t>
        </is>
      </c>
      <c r="G178" s="24" t="inlineStr">
        <is>
          <t>Zachary Svajda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-138</v>
      </c>
      <c r="M178" s="27" t="n">
        <v>1.724638</v>
      </c>
      <c r="N178" s="28" t="n">
        <v>0.579832</v>
      </c>
      <c r="O178" s="28" t="n">
        <v>0.533424</v>
      </c>
      <c r="P178" s="28" t="n">
        <v>0.05</v>
      </c>
      <c r="Q178" s="28" t="n">
        <v>-0.046408</v>
      </c>
      <c r="R178" s="26" t="n">
        <v>0</v>
      </c>
      <c r="S178" s="29" t="n">
        <v>1</v>
      </c>
      <c r="T178" s="24" t="inlineStr">
        <is>
          <t>tennis-surface-elo-v1</t>
        </is>
      </c>
      <c r="U178" s="24" t="inlineStr">
        <is>
          <t>open</t>
        </is>
      </c>
      <c r="V178" s="24" t="n"/>
      <c r="W178" s="26" t="n"/>
      <c r="X178" s="26" t="n"/>
      <c r="Y178" s="25" t="n"/>
      <c r="Z178" s="26" t="n"/>
      <c r="AA178" s="28" t="n"/>
      <c r="AB178" s="28" t="n"/>
      <c r="AC178" s="30" t="n"/>
      <c r="AD178" s="24" t="n"/>
      <c r="AE178" s="31" t="inlineStr">
        <is>
          <t>Surface-blended Elo on Hard: Denis Shapovalov p=0.533 vs Zachary Svajda. Executable ask 0.5800 (aec-atp-zacsva-densha-2026-08-03).</t>
        </is>
      </c>
      <c r="AF178" s="31" t="inlineStr">
        <is>
          <t>Surface-blended Elo model; singles only, WTA+ATP market coverage, not yet locked-holdout qualified -- promoted by explicit operator directive, not genuine walk-forward validation.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NO_CALL_LOW_EDGE</t>
        </is>
      </c>
      <c r="AP178" s="24" t="inlineStr">
        <is>
          <t>Denis Shapovalov</t>
        </is>
      </c>
      <c r="AQ178" s="24" t="inlineStr">
        <is>
          <t>Denis Shapovalov</t>
        </is>
      </c>
      <c r="AR178" s="24" t="inlineStr">
        <is>
          <t>Denis Shapovalov</t>
        </is>
      </c>
      <c r="AS178" s="24" t="inlineStr">
        <is>
          <t>Zachary Svajda</t>
        </is>
      </c>
      <c r="AT178" s="24" t="inlineStr">
        <is>
          <t>Zachary Svajda</t>
        </is>
      </c>
      <c r="AU178" s="24" t="inlineStr">
        <is>
          <t>Zachary Svajda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60749ecfb3f1405f12fbceda11b7e64f2473d40dd327256f9da20b2146b6ae03</t>
        </is>
      </c>
      <c r="BB178" s="24" t="inlineStr">
        <is>
          <t>surface_blended_elo</t>
        </is>
      </c>
      <c r="BC178" s="24" t="inlineStr">
        <is>
          <t>tennis-surface-elo-v1</t>
        </is>
      </c>
      <c r="BD178" s="24" t="inlineStr">
        <is>
          <t>60749ecfb3f1405f12fbceda11b7e64f2473d40dd327256f9da20b2146b6ae03</t>
        </is>
      </c>
      <c r="BE178" s="24" t="inlineStr">
        <is>
          <t>tennis-surface-elo-v1</t>
        </is>
      </c>
      <c r="BF178" s="24" t="inlineStr">
        <is>
          <t>1</t>
        </is>
      </c>
      <c r="BG178" s="24" t="inlineStr">
        <is>
          <t>60749ecfb3f1405f12fbceda11b7e64f2473d40dd327256f9da20b2146b6ae03</t>
        </is>
      </c>
      <c r="BH178" s="24" t="inlineStr">
        <is>
          <t>2026-08-04T08:53:49.747408Z</t>
        </is>
      </c>
      <c r="BI178" s="24" t="inlineStr">
        <is>
          <t>["same_event","same_team_same_day","same_league_same_day"]</t>
        </is>
      </c>
      <c r="BJ178" s="25" t="n"/>
      <c r="BK178" s="26" t="n">
        <v>-138</v>
      </c>
      <c r="BL178" s="27" t="n">
        <v>1.724638</v>
      </c>
      <c r="BM178" s="28" t="n">
        <v>0.579832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inlineStr">
        <is>
          <t>False</t>
        </is>
      </c>
    </row>
    <row r="179" ht="36" customHeight="1">
      <c r="A179" s="24" t="inlineStr">
        <is>
          <t>09ea9e9a95344dd3</t>
        </is>
      </c>
      <c r="B179" s="24" t="inlineStr">
        <is>
          <t>2026-08-04T08:54:59.561456Z</t>
        </is>
      </c>
      <c r="C179" s="24" t="inlineStr">
        <is>
          <t>2026-08-04T16:30Z</t>
        </is>
      </c>
      <c r="D179" s="24" t="inlineStr">
        <is>
          <t>421-2026:181813</t>
        </is>
      </c>
      <c r="E179" s="24" t="inlineStr">
        <is>
          <t>TENNIS</t>
        </is>
      </c>
      <c r="F179" s="24" t="inlineStr">
        <is>
          <t>Liam Draxl</t>
        </is>
      </c>
      <c r="G179" s="24" t="inlineStr">
        <is>
          <t>Daniel Merida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-138</v>
      </c>
      <c r="M179" s="27" t="n">
        <v>1.724638</v>
      </c>
      <c r="N179" s="28" t="n">
        <v>0.579832</v>
      </c>
      <c r="O179" s="28" t="n">
        <v>0.69073</v>
      </c>
      <c r="P179" s="28" t="n">
        <v>0.05</v>
      </c>
      <c r="Q179" s="28" t="n">
        <v>0.110898</v>
      </c>
      <c r="R179" s="26" t="n">
        <v>75</v>
      </c>
      <c r="S179" s="29" t="n">
        <v>2</v>
      </c>
      <c r="T179" s="24" t="inlineStr">
        <is>
          <t>tennis-surface-elo-v1</t>
        </is>
      </c>
      <c r="U179" s="24" t="inlineStr">
        <is>
          <t>open</t>
        </is>
      </c>
      <c r="V179" s="24" t="n"/>
      <c r="W179" s="26" t="n"/>
      <c r="X179" s="26" t="n"/>
      <c r="Y179" s="25" t="n"/>
      <c r="Z179" s="26" t="n"/>
      <c r="AA179" s="28" t="n"/>
      <c r="AB179" s="28" t="n"/>
      <c r="AC179" s="30" t="n"/>
      <c r="AD179" s="24" t="n"/>
      <c r="AE179" s="31" t="inlineStr">
        <is>
          <t>Surface-blended Elo on Hard: Liam Draxl p=0.309 vs Daniel Merida. Executable ask 0.5800 (aec-atp-danagu-liadra-2026-08-03).</t>
        </is>
      </c>
      <c r="AF179" s="31" t="inlineStr">
        <is>
          <t>Surface-blended Elo model; singles only, WTA+ATP market coverage, not yet locked-holdout qualified -- promoted by explicit operator directive, not genuine walk-forward validation.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Liam Draxl</t>
        </is>
      </c>
      <c r="AQ179" s="24" t="inlineStr">
        <is>
          <t>Liam Draxl</t>
        </is>
      </c>
      <c r="AR179" s="24" t="inlineStr">
        <is>
          <t>Liam Draxl</t>
        </is>
      </c>
      <c r="AS179" s="24" t="inlineStr">
        <is>
          <t>Daniel Merida</t>
        </is>
      </c>
      <c r="AT179" s="24" t="inlineStr">
        <is>
          <t>Daniel Merida</t>
        </is>
      </c>
      <c r="AU179" s="24" t="inlineStr">
        <is>
          <t>Daniel Merida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60749ecfb3f1405f12fbceda11b7e64f2473d40dd327256f9da20b2146b6ae03</t>
        </is>
      </c>
      <c r="BB179" s="24" t="inlineStr">
        <is>
          <t>surface_blended_elo</t>
        </is>
      </c>
      <c r="BC179" s="24" t="inlineStr">
        <is>
          <t>tennis-surface-elo-v1</t>
        </is>
      </c>
      <c r="BD179" s="24" t="inlineStr">
        <is>
          <t>60749ecfb3f1405f12fbceda11b7e64f2473d40dd327256f9da20b2146b6ae03</t>
        </is>
      </c>
      <c r="BE179" s="24" t="inlineStr">
        <is>
          <t>tennis-surface-elo-v1</t>
        </is>
      </c>
      <c r="BF179" s="24" t="inlineStr">
        <is>
          <t>1</t>
        </is>
      </c>
      <c r="BG179" s="24" t="inlineStr">
        <is>
          <t>60749ecfb3f1405f12fbceda11b7e64f2473d40dd327256f9da20b2146b6ae03</t>
        </is>
      </c>
      <c r="BH179" s="24" t="inlineStr">
        <is>
          <t>2026-08-04T08:53:50.946314Z</t>
        </is>
      </c>
      <c r="BI179" s="24" t="inlineStr">
        <is>
          <t>["same_event","same_team_same_day","same_league_same_day"]</t>
        </is>
      </c>
      <c r="BJ179" s="25" t="n"/>
      <c r="BK179" s="26" t="n">
        <v>-138</v>
      </c>
      <c r="BL179" s="27" t="n">
        <v>1.724638</v>
      </c>
      <c r="BM179" s="28" t="n">
        <v>0.579832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inlineStr">
        <is>
          <t>True</t>
        </is>
      </c>
    </row>
    <row r="180" ht="36" customHeight="1">
      <c r="A180" s="24" t="inlineStr">
        <is>
          <t>f60d5c66ca944eea</t>
        </is>
      </c>
      <c r="B180" s="24" t="inlineStr">
        <is>
          <t>2026-08-04T08:54:59.561456Z</t>
        </is>
      </c>
      <c r="C180" s="24" t="inlineStr">
        <is>
          <t>2026-08-04T16:30Z</t>
        </is>
      </c>
      <c r="D180" s="24" t="inlineStr">
        <is>
          <t>421-2026:181818</t>
        </is>
      </c>
      <c r="E180" s="24" t="inlineStr">
        <is>
          <t>TENNIS</t>
        </is>
      </c>
      <c r="F180" s="24" t="inlineStr">
        <is>
          <t>Valentin Royer</t>
        </is>
      </c>
      <c r="G180" s="24" t="inlineStr">
        <is>
          <t>Pablo Carreno Busta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-194</v>
      </c>
      <c r="M180" s="27" t="n">
        <v>1.515464</v>
      </c>
      <c r="N180" s="28" t="n">
        <v>0.659864</v>
      </c>
      <c r="O180" s="28" t="n">
        <v>0.627342</v>
      </c>
      <c r="P180" s="28" t="n">
        <v>0.05</v>
      </c>
      <c r="Q180" s="28" t="n">
        <v>-0.032522</v>
      </c>
      <c r="R180" s="26" t="n">
        <v>4</v>
      </c>
      <c r="S180" s="29" t="n">
        <v>1.5</v>
      </c>
      <c r="T180" s="24" t="inlineStr">
        <is>
          <t>tennis-surface-elo-v1</t>
        </is>
      </c>
      <c r="U180" s="24" t="inlineStr">
        <is>
          <t>open</t>
        </is>
      </c>
      <c r="V180" s="24" t="n"/>
      <c r="W180" s="26" t="n"/>
      <c r="X180" s="26" t="n"/>
      <c r="Y180" s="25" t="n"/>
      <c r="Z180" s="26" t="n"/>
      <c r="AA180" s="28" t="n"/>
      <c r="AB180" s="28" t="n"/>
      <c r="AC180" s="30" t="n"/>
      <c r="AD180" s="24" t="n"/>
      <c r="AE180" s="31" t="inlineStr">
        <is>
          <t>Surface-blended Elo on Hard: Valentin Royer p=0.373 vs Pablo Carreno Busta. Executable ask 0.6600 (aec-atp-pabbus-valroy-2026-08-03).</t>
        </is>
      </c>
      <c r="AF180" s="31" t="inlineStr">
        <is>
          <t>Surface-blended Elo model; singles only, WTA+ATP market coverage, not yet locked-holdout qualified -- promoted by explicit operator directive, not genuine walk-forward validation.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NO_CALL_LOW_EDGE</t>
        </is>
      </c>
      <c r="AP180" s="24" t="inlineStr">
        <is>
          <t>Valentin Royer</t>
        </is>
      </c>
      <c r="AQ180" s="24" t="inlineStr">
        <is>
          <t>Valentin Royer</t>
        </is>
      </c>
      <c r="AR180" s="24" t="inlineStr">
        <is>
          <t>Valentin Royer</t>
        </is>
      </c>
      <c r="AS180" s="24" t="inlineStr">
        <is>
          <t>Pablo Carreno Busta</t>
        </is>
      </c>
      <c r="AT180" s="24" t="inlineStr">
        <is>
          <t>Pablo Carreno Busta</t>
        </is>
      </c>
      <c r="AU180" s="24" t="inlineStr">
        <is>
          <t>Pablo Carreno Busta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60749ecfb3f1405f12fbceda11b7e64f2473d40dd327256f9da20b2146b6ae03</t>
        </is>
      </c>
      <c r="BB180" s="24" t="inlineStr">
        <is>
          <t>surface_blended_elo</t>
        </is>
      </c>
      <c r="BC180" s="24" t="inlineStr">
        <is>
          <t>tennis-surface-elo-v1</t>
        </is>
      </c>
      <c r="BD180" s="24" t="inlineStr">
        <is>
          <t>60749ecfb3f1405f12fbceda11b7e64f2473d40dd327256f9da20b2146b6ae03</t>
        </is>
      </c>
      <c r="BE180" s="24" t="inlineStr">
        <is>
          <t>tennis-surface-elo-v1</t>
        </is>
      </c>
      <c r="BF180" s="24" t="inlineStr">
        <is>
          <t>1</t>
        </is>
      </c>
      <c r="BG180" s="24" t="inlineStr">
        <is>
          <t>60749ecfb3f1405f12fbceda11b7e64f2473d40dd327256f9da20b2146b6ae03</t>
        </is>
      </c>
      <c r="BH180" s="24" t="inlineStr">
        <is>
          <t>2026-08-04T08:53:50.213634Z</t>
        </is>
      </c>
      <c r="BI180" s="24" t="inlineStr">
        <is>
          <t>["same_event","same_team_same_day","same_league_same_day"]</t>
        </is>
      </c>
      <c r="BJ180" s="25" t="n"/>
      <c r="BK180" s="26" t="n">
        <v>-194</v>
      </c>
      <c r="BL180" s="27" t="n">
        <v>1.515464</v>
      </c>
      <c r="BM180" s="28" t="n">
        <v>0.659864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inlineStr">
        <is>
          <t>False</t>
        </is>
      </c>
    </row>
    <row r="181" ht="36" customHeight="1">
      <c r="A181" s="24" t="inlineStr">
        <is>
          <t>f1bb8b4fd20d4ee4</t>
        </is>
      </c>
      <c r="B181" s="24" t="inlineStr">
        <is>
          <t>2026-08-04T08:54:59.561456Z</t>
        </is>
      </c>
      <c r="C181" s="24" t="inlineStr">
        <is>
          <t>2026-08-04T16:30Z</t>
        </is>
      </c>
      <c r="D181" s="24" t="inlineStr">
        <is>
          <t>421-2026:181819</t>
        </is>
      </c>
      <c r="E181" s="24" t="inlineStr">
        <is>
          <t>TENNIS</t>
        </is>
      </c>
      <c r="F181" s="24" t="inlineStr">
        <is>
          <t>Roman Andres Burruchaga</t>
        </is>
      </c>
      <c r="G181" s="24" t="inlineStr">
        <is>
          <t>Alexei Popyrin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150</v>
      </c>
      <c r="M181" s="27" t="n">
        <v>2.5</v>
      </c>
      <c r="N181" s="28" t="n">
        <v>0.4</v>
      </c>
      <c r="O181" s="28" t="n">
        <v>0.51802</v>
      </c>
      <c r="P181" s="28" t="n">
        <v>0.05</v>
      </c>
      <c r="Q181" s="28" t="n">
        <v>0.11802</v>
      </c>
      <c r="R181" s="26" t="n">
        <v>79</v>
      </c>
      <c r="S181" s="29" t="n">
        <v>1</v>
      </c>
      <c r="T181" s="24" t="inlineStr">
        <is>
          <t>tennis-surface-elo-v1</t>
        </is>
      </c>
      <c r="U181" s="24" t="inlineStr">
        <is>
          <t>open</t>
        </is>
      </c>
      <c r="V181" s="24" t="n"/>
      <c r="W181" s="26" t="n"/>
      <c r="X181" s="26" t="n"/>
      <c r="Y181" s="25" t="n"/>
      <c r="Z181" s="26" t="n"/>
      <c r="AA181" s="28" t="n"/>
      <c r="AB181" s="28" t="n"/>
      <c r="AC181" s="30" t="n"/>
      <c r="AD181" s="24" t="n"/>
      <c r="AE181" s="31" t="inlineStr">
        <is>
          <t>Surface-blended Elo on Hard: Roman Andres Burruchaga p=0.518 vs Alexei Popyrin. Executable ask 0.4000 (aec-atp-alepop-rombur-2026-08-03).</t>
        </is>
      </c>
      <c r="AF181" s="31" t="inlineStr">
        <is>
          <t>Surface-blended Elo model; singles only, WTA+ATP market coverage, not yet locked-holdout qualified -- promoted by explicit operator directive, not genuine walk-forward validation.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Roman Andres Burruchaga</t>
        </is>
      </c>
      <c r="AQ181" s="24" t="inlineStr">
        <is>
          <t>Roman Andres Burruchaga</t>
        </is>
      </c>
      <c r="AR181" s="24" t="inlineStr">
        <is>
          <t>Roman Andres Burruchaga</t>
        </is>
      </c>
      <c r="AS181" s="24" t="inlineStr">
        <is>
          <t>Alexei Popyrin</t>
        </is>
      </c>
      <c r="AT181" s="24" t="inlineStr">
        <is>
          <t>Alexei Popyrin</t>
        </is>
      </c>
      <c r="AU181" s="24" t="inlineStr">
        <is>
          <t>Alexei Popyrin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60749ecfb3f1405f12fbceda11b7e64f2473d40dd327256f9da20b2146b6ae03</t>
        </is>
      </c>
      <c r="BB181" s="24" t="inlineStr">
        <is>
          <t>surface_blended_elo</t>
        </is>
      </c>
      <c r="BC181" s="24" t="inlineStr">
        <is>
          <t>tennis-surface-elo-v1</t>
        </is>
      </c>
      <c r="BD181" s="24" t="inlineStr">
        <is>
          <t>60749ecfb3f1405f12fbceda11b7e64f2473d40dd327256f9da20b2146b6ae03</t>
        </is>
      </c>
      <c r="BE181" s="24" t="inlineStr">
        <is>
          <t>tennis-surface-elo-v1</t>
        </is>
      </c>
      <c r="BF181" s="24" t="inlineStr">
        <is>
          <t>1</t>
        </is>
      </c>
      <c r="BG181" s="24" t="inlineStr">
        <is>
          <t>60749ecfb3f1405f12fbceda11b7e64f2473d40dd327256f9da20b2146b6ae03</t>
        </is>
      </c>
      <c r="BH181" s="24" t="inlineStr">
        <is>
          <t>2026-08-04T08:53:48.641413Z</t>
        </is>
      </c>
      <c r="BI181" s="24" t="inlineStr">
        <is>
          <t>["same_event","same_team_same_day","same_league_same_day"]</t>
        </is>
      </c>
      <c r="BJ181" s="25" t="n"/>
      <c r="BK181" s="26" t="n">
        <v>150</v>
      </c>
      <c r="BL181" s="27" t="n">
        <v>2.5</v>
      </c>
      <c r="BM181" s="28" t="n">
        <v>0.4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inlineStr">
        <is>
          <t>True</t>
        </is>
      </c>
    </row>
    <row r="182" ht="36" customHeight="1">
      <c r="A182" s="24" t="inlineStr">
        <is>
          <t>b818c068bd7e4851</t>
        </is>
      </c>
      <c r="B182" s="24" t="inlineStr">
        <is>
          <t>2026-08-04T08:54:59.561456Z</t>
        </is>
      </c>
      <c r="C182" s="24" t="inlineStr">
        <is>
          <t>2026-08-04T18:00Z</t>
        </is>
      </c>
      <c r="D182" s="24" t="inlineStr">
        <is>
          <t>421-2026:181773</t>
        </is>
      </c>
      <c r="E182" s="24" t="inlineStr">
        <is>
          <t>TENNIS</t>
        </is>
      </c>
      <c r="F182" s="24" t="inlineStr">
        <is>
          <t>Andrey Rublev</t>
        </is>
      </c>
      <c r="G182" s="24" t="inlineStr">
        <is>
          <t>Shang Juncheng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-355</v>
      </c>
      <c r="M182" s="27" t="n">
        <v>1.28169</v>
      </c>
      <c r="N182" s="28" t="n">
        <v>0.78022</v>
      </c>
      <c r="O182" s="28" t="n">
        <v>0.734849</v>
      </c>
      <c r="P182" s="28" t="n">
        <v>0.05</v>
      </c>
      <c r="Q182" s="28" t="n">
        <v>-0.045371</v>
      </c>
      <c r="R182" s="26" t="n">
        <v>0</v>
      </c>
      <c r="S182" s="29" t="n">
        <v>2</v>
      </c>
      <c r="T182" s="24" t="inlineStr">
        <is>
          <t>tennis-surface-elo-v1</t>
        </is>
      </c>
      <c r="U182" s="24" t="inlineStr">
        <is>
          <t>open</t>
        </is>
      </c>
      <c r="V182" s="24" t="n"/>
      <c r="W182" s="26" t="n"/>
      <c r="X182" s="26" t="n"/>
      <c r="Y182" s="25" t="n"/>
      <c r="Z182" s="26" t="n"/>
      <c r="AA182" s="28" t="n"/>
      <c r="AB182" s="28" t="n"/>
      <c r="AC182" s="30" t="n"/>
      <c r="AD182" s="24" t="n"/>
      <c r="AE182" s="31" t="inlineStr">
        <is>
          <t>Surface-blended Elo on Hard: Andrey Rublev p=0.735 vs Shang Juncheng. Executable ask 0.7800 (aec-atp-junsha-andrub-2026-08-03).</t>
        </is>
      </c>
      <c r="AF182" s="31" t="inlineStr">
        <is>
          <t>Surface-blended Elo model; singles only, WTA+ATP market coverage, not yet locked-holdout qualified -- promoted by explicit operator directive, not genuine walk-forward validation.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NO_CALL_LOW_EDGE</t>
        </is>
      </c>
      <c r="AP182" s="24" t="inlineStr">
        <is>
          <t>Andrey Rublev</t>
        </is>
      </c>
      <c r="AQ182" s="24" t="inlineStr">
        <is>
          <t>Andrey Rublev</t>
        </is>
      </c>
      <c r="AR182" s="24" t="inlineStr">
        <is>
          <t>Andrey Rublev</t>
        </is>
      </c>
      <c r="AS182" s="24" t="inlineStr">
        <is>
          <t>Shang Juncheng</t>
        </is>
      </c>
      <c r="AT182" s="24" t="inlineStr">
        <is>
          <t>Shang Juncheng</t>
        </is>
      </c>
      <c r="AU182" s="24" t="inlineStr">
        <is>
          <t>Shang Juncheng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60749ecfb3f1405f12fbceda11b7e64f2473d40dd327256f9da20b2146b6ae03</t>
        </is>
      </c>
      <c r="BB182" s="24" t="inlineStr">
        <is>
          <t>surface_blended_elo</t>
        </is>
      </c>
      <c r="BC182" s="24" t="inlineStr">
        <is>
          <t>tennis-surface-elo-v1</t>
        </is>
      </c>
      <c r="BD182" s="24" t="inlineStr">
        <is>
          <t>60749ecfb3f1405f12fbceda11b7e64f2473d40dd327256f9da20b2146b6ae03</t>
        </is>
      </c>
      <c r="BE182" s="24" t="inlineStr">
        <is>
          <t>tennis-surface-elo-v1</t>
        </is>
      </c>
      <c r="BF182" s="24" t="inlineStr">
        <is>
          <t>1</t>
        </is>
      </c>
      <c r="BG182" s="24" t="inlineStr">
        <is>
          <t>60749ecfb3f1405f12fbceda11b7e64f2473d40dd327256f9da20b2146b6ae03</t>
        </is>
      </c>
      <c r="BH182" s="24" t="inlineStr">
        <is>
          <t>2026-08-04T08:53:52.807217Z</t>
        </is>
      </c>
      <c r="BI182" s="24" t="inlineStr">
        <is>
          <t>["same_event","same_team_same_day","same_league_same_day"]</t>
        </is>
      </c>
      <c r="BJ182" s="25" t="n"/>
      <c r="BK182" s="26" t="n">
        <v>-355</v>
      </c>
      <c r="BL182" s="27" t="n">
        <v>1.28169</v>
      </c>
      <c r="BM182" s="28" t="n">
        <v>0.78022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inlineStr">
        <is>
          <t>False</t>
        </is>
      </c>
    </row>
    <row r="183" ht="36" customHeight="1">
      <c r="A183" s="24" t="inlineStr">
        <is>
          <t>ba0ec3670fa347b3</t>
        </is>
      </c>
      <c r="B183" s="24" t="inlineStr">
        <is>
          <t>2026-08-04T08:54:59.561456Z</t>
        </is>
      </c>
      <c r="C183" s="24" t="inlineStr">
        <is>
          <t>2026-08-04T18:00Z</t>
        </is>
      </c>
      <c r="D183" s="24" t="inlineStr">
        <is>
          <t>421-2026:181784</t>
        </is>
      </c>
      <c r="E183" s="24" t="inlineStr">
        <is>
          <t>TENNIS</t>
        </is>
      </c>
      <c r="F183" s="24" t="inlineStr">
        <is>
          <t>Tallon Griekspoor</t>
        </is>
      </c>
      <c r="G183" s="24" t="inlineStr">
        <is>
          <t>Lorenzo Sonego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-104</v>
      </c>
      <c r="M183" s="27" t="n">
        <v>1.961538</v>
      </c>
      <c r="N183" s="28" t="n">
        <v>0.509804</v>
      </c>
      <c r="O183" s="28" t="n">
        <v>0.506379</v>
      </c>
      <c r="P183" s="28" t="n">
        <v>0.05</v>
      </c>
      <c r="Q183" s="28" t="n">
        <v>-0.003425</v>
      </c>
      <c r="R183" s="26" t="n">
        <v>18</v>
      </c>
      <c r="S183" s="29" t="n">
        <v>1</v>
      </c>
      <c r="T183" s="24" t="inlineStr">
        <is>
          <t>tennis-surface-elo-v1</t>
        </is>
      </c>
      <c r="U183" s="24" t="inlineStr">
        <is>
          <t>open</t>
        </is>
      </c>
      <c r="V183" s="24" t="n"/>
      <c r="W183" s="26" t="n"/>
      <c r="X183" s="26" t="n"/>
      <c r="Y183" s="25" t="n"/>
      <c r="Z183" s="26" t="n"/>
      <c r="AA183" s="28" t="n"/>
      <c r="AB183" s="28" t="n"/>
      <c r="AC183" s="30" t="n"/>
      <c r="AD183" s="24" t="n"/>
      <c r="AE183" s="31" t="inlineStr">
        <is>
          <t>Surface-blended Elo on Hard: Tallon Griekspoor p=0.506 vs Lorenzo Sonego. Executable ask 0.5100 (aec-atp-lorson-talgri-2026-08-03).</t>
        </is>
      </c>
      <c r="AF183" s="31" t="inlineStr">
        <is>
          <t>Surface-blended Elo model; singles only, WTA+ATP market coverage, not yet locked-holdout qualified -- promoted by explicit operator directive, not genuine walk-forward validation.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Tallon Griekspoor</t>
        </is>
      </c>
      <c r="AQ183" s="24" t="inlineStr">
        <is>
          <t>Tallon Griekspoor</t>
        </is>
      </c>
      <c r="AR183" s="24" t="inlineStr">
        <is>
          <t>Tallon Griekspoor</t>
        </is>
      </c>
      <c r="AS183" s="24" t="inlineStr">
        <is>
          <t>Lorenzo Sonego</t>
        </is>
      </c>
      <c r="AT183" s="24" t="inlineStr">
        <is>
          <t>Lorenzo Sonego</t>
        </is>
      </c>
      <c r="AU183" s="24" t="inlineStr">
        <is>
          <t>Lorenzo Sonego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60749ecfb3f1405f12fbceda11b7e64f2473d40dd327256f9da20b2146b6ae03</t>
        </is>
      </c>
      <c r="BB183" s="24" t="inlineStr">
        <is>
          <t>surface_blended_elo</t>
        </is>
      </c>
      <c r="BC183" s="24" t="inlineStr">
        <is>
          <t>tennis-surface-elo-v1</t>
        </is>
      </c>
      <c r="BD183" s="24" t="inlineStr">
        <is>
          <t>60749ecfb3f1405f12fbceda11b7e64f2473d40dd327256f9da20b2146b6ae03</t>
        </is>
      </c>
      <c r="BE183" s="24" t="inlineStr">
        <is>
          <t>tennis-surface-elo-v1</t>
        </is>
      </c>
      <c r="BF183" s="24" t="inlineStr">
        <is>
          <t>1</t>
        </is>
      </c>
      <c r="BG183" s="24" t="inlineStr">
        <is>
          <t>60749ecfb3f1405f12fbceda11b7e64f2473d40dd327256f9da20b2146b6ae03</t>
        </is>
      </c>
      <c r="BH183" s="24" t="inlineStr">
        <is>
          <t>2026-08-04T08:53:53.527933Z</t>
        </is>
      </c>
      <c r="BI183" s="24" t="inlineStr">
        <is>
          <t>["same_event","same_team_same_day","same_league_same_day"]</t>
        </is>
      </c>
      <c r="BJ183" s="25" t="n"/>
      <c r="BK183" s="26" t="n">
        <v>-104</v>
      </c>
      <c r="BL183" s="27" t="n">
        <v>1.961538</v>
      </c>
      <c r="BM183" s="28" t="n">
        <v>0.509804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inlineStr">
        <is>
          <t>False</t>
        </is>
      </c>
    </row>
    <row r="184" ht="36" customHeight="1">
      <c r="A184" s="24" t="inlineStr">
        <is>
          <t>77a8f6d8bff843f0</t>
        </is>
      </c>
      <c r="B184" s="24" t="inlineStr">
        <is>
          <t>2026-08-04T08:54:59.561456Z</t>
        </is>
      </c>
      <c r="C184" s="24" t="inlineStr">
        <is>
          <t>2026-08-04T18:00Z</t>
        </is>
      </c>
      <c r="D184" s="24" t="inlineStr">
        <is>
          <t>421-2026:181805</t>
        </is>
      </c>
      <c r="E184" s="24" t="inlineStr">
        <is>
          <t>TENNIS</t>
        </is>
      </c>
      <c r="F184" s="24" t="inlineStr">
        <is>
          <t>Botic Van De Zandschulp</t>
        </is>
      </c>
      <c r="G184" s="24" t="inlineStr">
        <is>
          <t>Giovanni Mpetshi Perricard</t>
        </is>
      </c>
      <c r="H184" s="24" t="inlineStr">
        <is>
          <t>moneyline</t>
        </is>
      </c>
      <c r="I184" s="24" t="inlineStr">
        <is>
          <t>away</t>
        </is>
      </c>
      <c r="J184" s="25" t="n"/>
      <c r="K184" s="24" t="inlineStr">
        <is>
          <t>polymarket_us</t>
        </is>
      </c>
      <c r="L184" s="26" t="n">
        <v>-127</v>
      </c>
      <c r="M184" s="27" t="n">
        <v>1.787402</v>
      </c>
      <c r="N184" s="28" t="n">
        <v>0.5594710000000001</v>
      </c>
      <c r="O184" s="28" t="n">
        <v>0.517974</v>
      </c>
      <c r="P184" s="28" t="n">
        <v>0.05</v>
      </c>
      <c r="Q184" s="28" t="n">
        <v>-0.041497</v>
      </c>
      <c r="R184" s="26" t="n">
        <v>0</v>
      </c>
      <c r="S184" s="29" t="n">
        <v>1</v>
      </c>
      <c r="T184" s="24" t="inlineStr">
        <is>
          <t>tennis-surface-elo-v1</t>
        </is>
      </c>
      <c r="U184" s="24" t="inlineStr">
        <is>
          <t>open</t>
        </is>
      </c>
      <c r="V184" s="24" t="n"/>
      <c r="W184" s="26" t="n"/>
      <c r="X184" s="26" t="n"/>
      <c r="Y184" s="25" t="n"/>
      <c r="Z184" s="26" t="n"/>
      <c r="AA184" s="28" t="n"/>
      <c r="AB184" s="28" t="n"/>
      <c r="AC184" s="30" t="n"/>
      <c r="AD184" s="24" t="n"/>
      <c r="AE184" s="31" t="inlineStr">
        <is>
          <t>Surface-blended Elo on Hard: Botic Van De Zandschulp p=0.518 vs Giovanni Mpetshi Perricard. Executable ask 0.5600 (aec-atp-gioper-botzan-2026-08-03).</t>
        </is>
      </c>
      <c r="AF184" s="31" t="inlineStr">
        <is>
          <t>Surface-blended Elo model; singles only, WTA+ATP market coverage, not yet locked-holdout qualified -- promoted by explicit operator directive, not genuine walk-forward validation.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NO_CALL_LOW_EDGE</t>
        </is>
      </c>
      <c r="AP184" s="24" t="inlineStr">
        <is>
          <t>Botic Van De Zandschulp</t>
        </is>
      </c>
      <c r="AQ184" s="24" t="inlineStr">
        <is>
          <t>Botic Van De Zandschulp</t>
        </is>
      </c>
      <c r="AR184" s="24" t="inlineStr">
        <is>
          <t>Botic Van De Zandschulp</t>
        </is>
      </c>
      <c r="AS184" s="24" t="inlineStr">
        <is>
          <t>Giovanni Mpetshi Perricard</t>
        </is>
      </c>
      <c r="AT184" s="24" t="inlineStr">
        <is>
          <t>Giovanni Mpetshi Perricard</t>
        </is>
      </c>
      <c r="AU184" s="24" t="inlineStr">
        <is>
          <t>Giovanni Mpetshi Perricard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60749ecfb3f1405f12fbceda11b7e64f2473d40dd327256f9da20b2146b6ae03</t>
        </is>
      </c>
      <c r="BB184" s="24" t="inlineStr">
        <is>
          <t>surface_blended_elo</t>
        </is>
      </c>
      <c r="BC184" s="24" t="inlineStr">
        <is>
          <t>tennis-surface-elo-v1</t>
        </is>
      </c>
      <c r="BD184" s="24" t="inlineStr">
        <is>
          <t>60749ecfb3f1405f12fbceda11b7e64f2473d40dd327256f9da20b2146b6ae03</t>
        </is>
      </c>
      <c r="BE184" s="24" t="inlineStr">
        <is>
          <t>tennis-surface-elo-v1</t>
        </is>
      </c>
      <c r="BF184" s="24" t="inlineStr">
        <is>
          <t>1</t>
        </is>
      </c>
      <c r="BG184" s="24" t="inlineStr">
        <is>
          <t>60749ecfb3f1405f12fbceda11b7e64f2473d40dd327256f9da20b2146b6ae03</t>
        </is>
      </c>
      <c r="BH184" s="24" t="inlineStr">
        <is>
          <t>2026-08-04T08:53:55.134953Z</t>
        </is>
      </c>
      <c r="BI184" s="24" t="inlineStr">
        <is>
          <t>["same_event","same_team_same_day","same_league_same_day"]</t>
        </is>
      </c>
      <c r="BJ184" s="25" t="n"/>
      <c r="BK184" s="26" t="n">
        <v>-127</v>
      </c>
      <c r="BL184" s="27" t="n">
        <v>1.787402</v>
      </c>
      <c r="BM184" s="28" t="n">
        <v>0.5594710000000001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inlineStr">
        <is>
          <t>False</t>
        </is>
      </c>
    </row>
    <row r="185" ht="36" customHeight="1">
      <c r="A185" s="24" t="inlineStr">
        <is>
          <t>2d910045d5f748be</t>
        </is>
      </c>
      <c r="B185" s="24" t="inlineStr">
        <is>
          <t>2026-08-04T08:54:59.561456Z</t>
        </is>
      </c>
      <c r="C185" s="24" t="inlineStr">
        <is>
          <t>2026-08-04T18:00Z</t>
        </is>
      </c>
      <c r="D185" s="24" t="inlineStr">
        <is>
          <t>421-2026:181810</t>
        </is>
      </c>
      <c r="E185" s="24" t="inlineStr">
        <is>
          <t>TENNIS</t>
        </is>
      </c>
      <c r="F185" s="24" t="inlineStr">
        <is>
          <t>Jack Draper</t>
        </is>
      </c>
      <c r="G185" s="24" t="inlineStr">
        <is>
          <t>Terence Atmane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-203</v>
      </c>
      <c r="M185" s="27" t="n">
        <v>1.492611</v>
      </c>
      <c r="N185" s="28" t="n">
        <v>0.669967</v>
      </c>
      <c r="O185" s="28" t="n">
        <v>0.781578</v>
      </c>
      <c r="P185" s="28" t="n">
        <v>0.05</v>
      </c>
      <c r="Q185" s="28" t="n">
        <v>0.111611</v>
      </c>
      <c r="R185" s="26" t="n">
        <v>76</v>
      </c>
      <c r="S185" s="29" t="n">
        <v>2</v>
      </c>
      <c r="T185" s="24" t="inlineStr">
        <is>
          <t>tennis-surface-elo-v1</t>
        </is>
      </c>
      <c r="U185" s="24" t="inlineStr">
        <is>
          <t>open</t>
        </is>
      </c>
      <c r="V185" s="24" t="n"/>
      <c r="W185" s="26" t="n"/>
      <c r="X185" s="26" t="n"/>
      <c r="Y185" s="25" t="n"/>
      <c r="Z185" s="26" t="n"/>
      <c r="AA185" s="28" t="n"/>
      <c r="AB185" s="28" t="n"/>
      <c r="AC185" s="30" t="n"/>
      <c r="AD185" s="24" t="n"/>
      <c r="AE185" s="31" t="inlineStr">
        <is>
          <t>Surface-blended Elo on Hard: Jack Draper p=0.782 vs Terence Atmane. Executable ask 0.6700 (aec-atp-teratm-jacdra-2026-08-03).</t>
        </is>
      </c>
      <c r="AF185" s="31" t="inlineStr">
        <is>
          <t>Surface-blended Elo model; singles only, WTA+ATP market coverage, not yet locked-holdout qualified -- promoted by explicit operator directive, not genuine walk-forward validation.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3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Jack Draper</t>
        </is>
      </c>
      <c r="AQ185" s="24" t="inlineStr">
        <is>
          <t>Jack Draper</t>
        </is>
      </c>
      <c r="AR185" s="24" t="inlineStr">
        <is>
          <t>Jack Draper</t>
        </is>
      </c>
      <c r="AS185" s="24" t="inlineStr">
        <is>
          <t>Terence Atmane</t>
        </is>
      </c>
      <c r="AT185" s="24" t="inlineStr">
        <is>
          <t>Terence Atmane</t>
        </is>
      </c>
      <c r="AU185" s="24" t="inlineStr">
        <is>
          <t>Terence Atmane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60749ecfb3f1405f12fbceda11b7e64f2473d40dd327256f9da20b2146b6ae03</t>
        </is>
      </c>
      <c r="BB185" s="24" t="inlineStr">
        <is>
          <t>surface_blended_elo</t>
        </is>
      </c>
      <c r="BC185" s="24" t="inlineStr">
        <is>
          <t>tennis-surface-elo-v1</t>
        </is>
      </c>
      <c r="BD185" s="24" t="inlineStr">
        <is>
          <t>60749ecfb3f1405f12fbceda11b7e64f2473d40dd327256f9da20b2146b6ae03</t>
        </is>
      </c>
      <c r="BE185" s="24" t="inlineStr">
        <is>
          <t>tennis-surface-elo-v1</t>
        </is>
      </c>
      <c r="BF185" s="24" t="inlineStr">
        <is>
          <t>1</t>
        </is>
      </c>
      <c r="BG185" s="24" t="inlineStr">
        <is>
          <t>60749ecfb3f1405f12fbceda11b7e64f2473d40dd327256f9da20b2146b6ae03</t>
        </is>
      </c>
      <c r="BH185" s="24" t="inlineStr">
        <is>
          <t>2026-08-04T08:53:54.448463Z</t>
        </is>
      </c>
      <c r="BI185" s="24" t="inlineStr">
        <is>
          <t>["same_event","same_team_same_day","same_league_same_day"]</t>
        </is>
      </c>
      <c r="BJ185" s="25" t="n"/>
      <c r="BK185" s="26" t="n">
        <v>-203</v>
      </c>
      <c r="BL185" s="27" t="n">
        <v>1.492611</v>
      </c>
      <c r="BM185" s="28" t="n">
        <v>0.669967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inlineStr">
        <is>
          <t>True</t>
        </is>
      </c>
    </row>
    <row r="186" ht="36" customHeight="1">
      <c r="A186" s="24" t="inlineStr">
        <is>
          <t>6ad322714fc845d5</t>
        </is>
      </c>
      <c r="B186" s="24" t="inlineStr">
        <is>
          <t>2026-08-04T08:54:59.561456Z</t>
        </is>
      </c>
      <c r="C186" s="24" t="inlineStr">
        <is>
          <t>2026-08-04T18:00Z</t>
        </is>
      </c>
      <c r="D186" s="24" t="inlineStr">
        <is>
          <t>421-2026:181829</t>
        </is>
      </c>
      <c r="E186" s="24" t="inlineStr">
        <is>
          <t>TENNIS</t>
        </is>
      </c>
      <c r="F186" s="24" t="inlineStr">
        <is>
          <t>Hamad Medjedovic</t>
        </is>
      </c>
      <c r="G186" s="24" t="inlineStr">
        <is>
          <t>Juan Manuel Cerundolo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-163</v>
      </c>
      <c r="M186" s="27" t="n">
        <v>1.613497</v>
      </c>
      <c r="N186" s="28" t="n">
        <v>0.619772</v>
      </c>
      <c r="O186" s="28" t="n">
        <v>0.595125</v>
      </c>
      <c r="P186" s="28" t="n">
        <v>0.05</v>
      </c>
      <c r="Q186" s="28" t="n">
        <v>-0.024647</v>
      </c>
      <c r="R186" s="26" t="n">
        <v>8</v>
      </c>
      <c r="S186" s="29" t="n">
        <v>1.25</v>
      </c>
      <c r="T186" s="24" t="inlineStr">
        <is>
          <t>tennis-surface-elo-v1</t>
        </is>
      </c>
      <c r="U186" s="24" t="inlineStr">
        <is>
          <t>open</t>
        </is>
      </c>
      <c r="V186" s="24" t="n"/>
      <c r="W186" s="26" t="n"/>
      <c r="X186" s="26" t="n"/>
      <c r="Y186" s="25" t="n"/>
      <c r="Z186" s="26" t="n"/>
      <c r="AA186" s="28" t="n"/>
      <c r="AB186" s="28" t="n"/>
      <c r="AC186" s="30" t="n"/>
      <c r="AD186" s="24" t="n"/>
      <c r="AE186" s="31" t="inlineStr">
        <is>
          <t>Surface-blended Elo on Hard: Hamad Medjedovic p=0.595 vs Juan Manuel Cerundolo. Executable ask 0.6200 (aec-atp-juacer-hammed-2026-08-03).</t>
        </is>
      </c>
      <c r="AF186" s="31" t="inlineStr">
        <is>
          <t>Surface-blended Elo model; singles only, WTA+ATP market coverage, not yet locked-holdout qualified -- promoted by explicit operator directive, not genuine walk-forward validation.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NO_CALL_LOW_EDGE</t>
        </is>
      </c>
      <c r="AP186" s="24" t="inlineStr">
        <is>
          <t>Hamad Medjedovic</t>
        </is>
      </c>
      <c r="AQ186" s="24" t="inlineStr">
        <is>
          <t>Hamad Medjedovic</t>
        </is>
      </c>
      <c r="AR186" s="24" t="inlineStr">
        <is>
          <t>Hamad Medjedovic</t>
        </is>
      </c>
      <c r="AS186" s="24" t="inlineStr">
        <is>
          <t>Juan Manuel Cerundolo</t>
        </is>
      </c>
      <c r="AT186" s="24" t="inlineStr">
        <is>
          <t>Juan Manuel Cerundolo</t>
        </is>
      </c>
      <c r="AU186" s="24" t="inlineStr">
        <is>
          <t>Juan Manuel Cerundolo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60749ecfb3f1405f12fbceda11b7e64f2473d40dd327256f9da20b2146b6ae03</t>
        </is>
      </c>
      <c r="BB186" s="24" t="inlineStr">
        <is>
          <t>surface_blended_elo</t>
        </is>
      </c>
      <c r="BC186" s="24" t="inlineStr">
        <is>
          <t>tennis-surface-elo-v1</t>
        </is>
      </c>
      <c r="BD186" s="24" t="inlineStr">
        <is>
          <t>60749ecfb3f1405f12fbceda11b7e64f2473d40dd327256f9da20b2146b6ae03</t>
        </is>
      </c>
      <c r="BE186" s="24" t="inlineStr">
        <is>
          <t>tennis-surface-elo-v1</t>
        </is>
      </c>
      <c r="BF186" s="24" t="inlineStr">
        <is>
          <t>1</t>
        </is>
      </c>
      <c r="BG186" s="24" t="inlineStr">
        <is>
          <t>60749ecfb3f1405f12fbceda11b7e64f2473d40dd327256f9da20b2146b6ae03</t>
        </is>
      </c>
      <c r="BH186" s="24" t="inlineStr">
        <is>
          <t>2026-08-04T08:53:52.122317Z</t>
        </is>
      </c>
      <c r="BI186" s="24" t="inlineStr">
        <is>
          <t>["same_event","same_team_same_day","same_league_same_day"]</t>
        </is>
      </c>
      <c r="BJ186" s="25" t="n"/>
      <c r="BK186" s="26" t="n">
        <v>-163</v>
      </c>
      <c r="BL186" s="27" t="n">
        <v>1.613497</v>
      </c>
      <c r="BM186" s="28" t="n">
        <v>0.619772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inlineStr">
        <is>
          <t>False</t>
        </is>
      </c>
    </row>
    <row r="187" ht="36" customHeight="1">
      <c r="A187" s="24" t="inlineStr">
        <is>
          <t>e7dbf06e2b4844e9</t>
        </is>
      </c>
      <c r="B187" s="24" t="inlineStr">
        <is>
          <t>2026-08-04T08:54:59.561456Z</t>
        </is>
      </c>
      <c r="C187" s="24" t="inlineStr">
        <is>
          <t>2026-08-04T19:30Z</t>
        </is>
      </c>
      <c r="D187" s="24" t="inlineStr">
        <is>
          <t>421-2026:181776</t>
        </is>
      </c>
      <c r="E187" s="24" t="inlineStr">
        <is>
          <t>TENNIS</t>
        </is>
      </c>
      <c r="F187" s="24" t="inlineStr">
        <is>
          <t>Vit Kopriva</t>
        </is>
      </c>
      <c r="G187" s="24" t="inlineStr">
        <is>
          <t>Jiri Lehecka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-567</v>
      </c>
      <c r="M187" s="27" t="n">
        <v>1.176367</v>
      </c>
      <c r="N187" s="28" t="n">
        <v>0.850075</v>
      </c>
      <c r="O187" s="28" t="n">
        <v>0.764483</v>
      </c>
      <c r="P187" s="28" t="n">
        <v>0.05</v>
      </c>
      <c r="Q187" s="28" t="n">
        <v>-0.085592</v>
      </c>
      <c r="R187" s="26" t="n">
        <v>0</v>
      </c>
      <c r="S187" s="29" t="n">
        <v>2</v>
      </c>
      <c r="T187" s="24" t="inlineStr">
        <is>
          <t>tennis-surface-elo-v1</t>
        </is>
      </c>
      <c r="U187" s="24" t="inlineStr">
        <is>
          <t>open</t>
        </is>
      </c>
      <c r="V187" s="24" t="n"/>
      <c r="W187" s="26" t="n"/>
      <c r="X187" s="26" t="n"/>
      <c r="Y187" s="25" t="n"/>
      <c r="Z187" s="26" t="n"/>
      <c r="AA187" s="28" t="n"/>
      <c r="AB187" s="28" t="n"/>
      <c r="AC187" s="30" t="n"/>
      <c r="AD187" s="24" t="n"/>
      <c r="AE187" s="31" t="inlineStr">
        <is>
          <t>Surface-blended Elo on Hard: Vit Kopriva p=0.236 vs Jiri Lehecka. Executable ask 0.8500 (aec-atp-jirleh-vitkop-2026-08-04).</t>
        </is>
      </c>
      <c r="AF187" s="31" t="inlineStr">
        <is>
          <t>Surface-blended Elo model; singles only, WTA+ATP market coverage, not yet locked-holdout qualified -- promoted by explicit operator directive, not genuine walk-forward validation.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NO_CALL_LOW_EDGE</t>
        </is>
      </c>
      <c r="AP187" s="24" t="inlineStr">
        <is>
          <t>Vit Kopriva</t>
        </is>
      </c>
      <c r="AQ187" s="24" t="inlineStr">
        <is>
          <t>Vit Kopriva</t>
        </is>
      </c>
      <c r="AR187" s="24" t="inlineStr">
        <is>
          <t>Vit Kopriva</t>
        </is>
      </c>
      <c r="AS187" s="24" t="inlineStr">
        <is>
          <t>Jiri Lehecka</t>
        </is>
      </c>
      <c r="AT187" s="24" t="inlineStr">
        <is>
          <t>Jiri Lehecka</t>
        </is>
      </c>
      <c r="AU187" s="24" t="inlineStr">
        <is>
          <t>Jiri Lehecka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60749ecfb3f1405f12fbceda11b7e64f2473d40dd327256f9da20b2146b6ae03</t>
        </is>
      </c>
      <c r="BB187" s="24" t="inlineStr">
        <is>
          <t>surface_blended_elo</t>
        </is>
      </c>
      <c r="BC187" s="24" t="inlineStr">
        <is>
          <t>tennis-surface-elo-v1</t>
        </is>
      </c>
      <c r="BD187" s="24" t="inlineStr">
        <is>
          <t>60749ecfb3f1405f12fbceda11b7e64f2473d40dd327256f9da20b2146b6ae03</t>
        </is>
      </c>
      <c r="BE187" s="24" t="inlineStr">
        <is>
          <t>tennis-surface-elo-v1</t>
        </is>
      </c>
      <c r="BF187" s="24" t="inlineStr">
        <is>
          <t>1</t>
        </is>
      </c>
      <c r="BG187" s="24" t="inlineStr">
        <is>
          <t>60749ecfb3f1405f12fbceda11b7e64f2473d40dd327256f9da20b2146b6ae03</t>
        </is>
      </c>
      <c r="BH187" s="24" t="inlineStr">
        <is>
          <t>2026-08-04T08:53:57.596271Z</t>
        </is>
      </c>
      <c r="BI187" s="24" t="inlineStr">
        <is>
          <t>["same_event","same_team_same_day","same_league_same_day"]</t>
        </is>
      </c>
      <c r="BJ187" s="25" t="n"/>
      <c r="BK187" s="26" t="n">
        <v>-567</v>
      </c>
      <c r="BL187" s="27" t="n">
        <v>1.176367</v>
      </c>
      <c r="BM187" s="28" t="n">
        <v>0.850075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inlineStr">
        <is>
          <t>False</t>
        </is>
      </c>
    </row>
    <row r="188" ht="36" customHeight="1">
      <c r="A188" s="24" t="inlineStr">
        <is>
          <t>7577e1e59b13473b</t>
        </is>
      </c>
      <c r="B188" s="24" t="inlineStr">
        <is>
          <t>2026-08-04T08:54:59.561456Z</t>
        </is>
      </c>
      <c r="C188" s="24" t="inlineStr">
        <is>
          <t>2026-08-04T19:30Z</t>
        </is>
      </c>
      <c r="D188" s="24" t="inlineStr">
        <is>
          <t>421-2026:181778</t>
        </is>
      </c>
      <c r="E188" s="24" t="inlineStr">
        <is>
          <t>TENNIS</t>
        </is>
      </c>
      <c r="F188" s="24" t="inlineStr">
        <is>
          <t>Alexander Blockx</t>
        </is>
      </c>
      <c r="G188" s="24" t="inlineStr">
        <is>
          <t>Jaume Munar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144</v>
      </c>
      <c r="M188" s="27" t="n">
        <v>2.44</v>
      </c>
      <c r="N188" s="28" t="n">
        <v>0.409836</v>
      </c>
      <c r="O188" s="28" t="n">
        <v>0.523934</v>
      </c>
      <c r="P188" s="28" t="n">
        <v>0.05</v>
      </c>
      <c r="Q188" s="28" t="n">
        <v>0.114098</v>
      </c>
      <c r="R188" s="26" t="n">
        <v>77</v>
      </c>
      <c r="S188" s="29" t="n">
        <v>1</v>
      </c>
      <c r="T188" s="24" t="inlineStr">
        <is>
          <t>tennis-surface-elo-v1</t>
        </is>
      </c>
      <c r="U188" s="24" t="inlineStr">
        <is>
          <t>open</t>
        </is>
      </c>
      <c r="V188" s="24" t="n"/>
      <c r="W188" s="26" t="n"/>
      <c r="X188" s="26" t="n"/>
      <c r="Y188" s="25" t="n"/>
      <c r="Z188" s="26" t="n"/>
      <c r="AA188" s="28" t="n"/>
      <c r="AB188" s="28" t="n"/>
      <c r="AC188" s="30" t="n"/>
      <c r="AD188" s="24" t="n"/>
      <c r="AE188" s="31" t="inlineStr">
        <is>
          <t>Surface-blended Elo on Hard: Alexander Blockx p=0.476 vs Jaume Munar. Executable ask 0.4100 (aec-atp-jaumun-aleblo-2026-08-03).</t>
        </is>
      </c>
      <c r="AF188" s="31" t="inlineStr">
        <is>
          <t>Surface-blended Elo model; singles only, WTA+ATP market coverage, not yet locked-holdout qualified -- promoted by explicit operator directive, not genuine walk-forward validation.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NO_CALL_LOW_EDGE</t>
        </is>
      </c>
      <c r="AP188" s="24" t="inlineStr">
        <is>
          <t>Alexander Blockx</t>
        </is>
      </c>
      <c r="AQ188" s="24" t="inlineStr">
        <is>
          <t>Alexander Blockx</t>
        </is>
      </c>
      <c r="AR188" s="24" t="inlineStr">
        <is>
          <t>Alexander Blockx</t>
        </is>
      </c>
      <c r="AS188" s="24" t="inlineStr">
        <is>
          <t>Jaume Munar</t>
        </is>
      </c>
      <c r="AT188" s="24" t="inlineStr">
        <is>
          <t>Jaume Munar</t>
        </is>
      </c>
      <c r="AU188" s="24" t="inlineStr">
        <is>
          <t>Jaume Munar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60749ecfb3f1405f12fbceda11b7e64f2473d40dd327256f9da20b2146b6ae03</t>
        </is>
      </c>
      <c r="BB188" s="24" t="inlineStr">
        <is>
          <t>surface_blended_elo</t>
        </is>
      </c>
      <c r="BC188" s="24" t="inlineStr">
        <is>
          <t>tennis-surface-elo-v1</t>
        </is>
      </c>
      <c r="BD188" s="24" t="inlineStr">
        <is>
          <t>60749ecfb3f1405f12fbceda11b7e64f2473d40dd327256f9da20b2146b6ae03</t>
        </is>
      </c>
      <c r="BE188" s="24" t="inlineStr">
        <is>
          <t>tennis-surface-elo-v1</t>
        </is>
      </c>
      <c r="BF188" s="24" t="inlineStr">
        <is>
          <t>1</t>
        </is>
      </c>
      <c r="BG188" s="24" t="inlineStr">
        <is>
          <t>60749ecfb3f1405f12fbceda11b7e64f2473d40dd327256f9da20b2146b6ae03</t>
        </is>
      </c>
      <c r="BH188" s="24" t="inlineStr">
        <is>
          <t>2026-08-04T08:53:56.817049Z</t>
        </is>
      </c>
      <c r="BI188" s="24" t="inlineStr">
        <is>
          <t>["same_event","same_team_same_day","same_league_same_day"]</t>
        </is>
      </c>
      <c r="BJ188" s="25" t="n"/>
      <c r="BK188" s="26" t="n">
        <v>144</v>
      </c>
      <c r="BL188" s="27" t="n">
        <v>2.44</v>
      </c>
      <c r="BM188" s="28" t="n">
        <v>0.409836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inlineStr">
        <is>
          <t>True</t>
        </is>
      </c>
    </row>
    <row r="189" ht="36" customHeight="1">
      <c r="A189" s="24" t="inlineStr">
        <is>
          <t>a6e89277573249a5</t>
        </is>
      </c>
      <c r="B189" s="24" t="inlineStr">
        <is>
          <t>2026-08-04T08:54:59.561456Z</t>
        </is>
      </c>
      <c r="C189" s="24" t="inlineStr">
        <is>
          <t>2026-08-04T19:30Z</t>
        </is>
      </c>
      <c r="D189" s="24" t="inlineStr">
        <is>
          <t>421-2026:181789</t>
        </is>
      </c>
      <c r="E189" s="24" t="inlineStr">
        <is>
          <t>TENNIS</t>
        </is>
      </c>
      <c r="F189" s="24" t="inlineStr">
        <is>
          <t>Fabian Marozsan</t>
        </is>
      </c>
      <c r="G189" s="24" t="inlineStr">
        <is>
          <t>Shintaro Mochizuki</t>
        </is>
      </c>
      <c r="H189" s="24" t="inlineStr">
        <is>
          <t>moneyline</t>
        </is>
      </c>
      <c r="I189" s="24" t="inlineStr">
        <is>
          <t>away</t>
        </is>
      </c>
      <c r="J189" s="25" t="n"/>
      <c r="K189" s="24" t="inlineStr">
        <is>
          <t>polymarket_us</t>
        </is>
      </c>
      <c r="L189" s="26" t="n">
        <v>-163</v>
      </c>
      <c r="M189" s="27" t="n">
        <v>1.613497</v>
      </c>
      <c r="N189" s="28" t="n">
        <v>0.619772</v>
      </c>
      <c r="O189" s="28" t="n">
        <v>0.654828</v>
      </c>
      <c r="P189" s="28" t="n">
        <v>0.05</v>
      </c>
      <c r="Q189" s="28" t="n">
        <v>0.035056</v>
      </c>
      <c r="R189" s="26" t="n">
        <v>38</v>
      </c>
      <c r="S189" s="29" t="n">
        <v>1.75</v>
      </c>
      <c r="T189" s="24" t="inlineStr">
        <is>
          <t>tennis-surface-elo-v1</t>
        </is>
      </c>
      <c r="U189" s="24" t="inlineStr">
        <is>
          <t>open</t>
        </is>
      </c>
      <c r="V189" s="24" t="n"/>
      <c r="W189" s="26" t="n"/>
      <c r="X189" s="26" t="n"/>
      <c r="Y189" s="25" t="n"/>
      <c r="Z189" s="26" t="n"/>
      <c r="AA189" s="28" t="n"/>
      <c r="AB189" s="28" t="n"/>
      <c r="AC189" s="30" t="n"/>
      <c r="AD189" s="24" t="n"/>
      <c r="AE189" s="31" t="inlineStr">
        <is>
          <t>Surface-blended Elo on Hard: Fabian Marozsan p=0.655 vs Shintaro Mochizuki. Executable ask 0.6200 (aec-atp-shimoc-fabmar-2026-08-03).</t>
        </is>
      </c>
      <c r="AF189" s="31" t="inlineStr">
        <is>
          <t>Surface-blended Elo model; singles only, WTA+ATP market coverage, not yet locked-holdout qualified -- promoted by explicit operator directive, not genuine walk-forward validation.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NO_CALL_LOW_EDGE</t>
        </is>
      </c>
      <c r="AP189" s="24" t="inlineStr">
        <is>
          <t>Fabian Marozsan</t>
        </is>
      </c>
      <c r="AQ189" s="24" t="inlineStr">
        <is>
          <t>Fabian Marozsan</t>
        </is>
      </c>
      <c r="AR189" s="24" t="inlineStr">
        <is>
          <t>Fabian Marozsan</t>
        </is>
      </c>
      <c r="AS189" s="24" t="inlineStr">
        <is>
          <t>Shintaro Mochizuki</t>
        </is>
      </c>
      <c r="AT189" s="24" t="inlineStr">
        <is>
          <t>Shintaro Mochizuki</t>
        </is>
      </c>
      <c r="AU189" s="24" t="inlineStr">
        <is>
          <t>Shintaro Mochizuki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60749ecfb3f1405f12fbceda11b7e64f2473d40dd327256f9da20b2146b6ae03</t>
        </is>
      </c>
      <c r="BB189" s="24" t="inlineStr">
        <is>
          <t>surface_blended_elo</t>
        </is>
      </c>
      <c r="BC189" s="24" t="inlineStr">
        <is>
          <t>tennis-surface-elo-v1</t>
        </is>
      </c>
      <c r="BD189" s="24" t="inlineStr">
        <is>
          <t>60749ecfb3f1405f12fbceda11b7e64f2473d40dd327256f9da20b2146b6ae03</t>
        </is>
      </c>
      <c r="BE189" s="24" t="inlineStr">
        <is>
          <t>tennis-surface-elo-v1</t>
        </is>
      </c>
      <c r="BF189" s="24" t="inlineStr">
        <is>
          <t>1</t>
        </is>
      </c>
      <c r="BG189" s="24" t="inlineStr">
        <is>
          <t>60749ecfb3f1405f12fbceda11b7e64f2473d40dd327256f9da20b2146b6ae03</t>
        </is>
      </c>
      <c r="BH189" s="24" t="inlineStr">
        <is>
          <t>2026-08-04T08:53:55.916912Z</t>
        </is>
      </c>
      <c r="BI189" s="24" t="inlineStr">
        <is>
          <t>["same_event","same_team_same_day","same_league_same_day"]</t>
        </is>
      </c>
      <c r="BJ189" s="25" t="n"/>
      <c r="BK189" s="26" t="n">
        <v>-163</v>
      </c>
      <c r="BL189" s="27" t="n">
        <v>1.613497</v>
      </c>
      <c r="BM189" s="28" t="n">
        <v>0.619772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inlineStr">
        <is>
          <t>True</t>
        </is>
      </c>
    </row>
    <row r="190" ht="36" customHeight="1">
      <c r="A190" s="24" t="inlineStr">
        <is>
          <t>9dea793c752d4032</t>
        </is>
      </c>
      <c r="B190" s="24" t="inlineStr">
        <is>
          <t>2026-08-04T08:54:59.561456Z</t>
        </is>
      </c>
      <c r="C190" s="24" t="inlineStr">
        <is>
          <t>2026-08-04T22:00Z</t>
        </is>
      </c>
      <c r="D190" s="24" t="inlineStr">
        <is>
          <t>421-2026:181737</t>
        </is>
      </c>
      <c r="E190" s="24" t="inlineStr">
        <is>
          <t>TENNIS</t>
        </is>
      </c>
      <c r="F190" s="24" t="inlineStr">
        <is>
          <t>Alex de Minaur</t>
        </is>
      </c>
      <c r="G190" s="24" t="inlineStr">
        <is>
          <t>James Duckworth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-809</v>
      </c>
      <c r="M190" s="27" t="n">
        <v>1.123609</v>
      </c>
      <c r="N190" s="28" t="n">
        <v>0.889989</v>
      </c>
      <c r="O190" s="28" t="n">
        <v>0.843242</v>
      </c>
      <c r="P190" s="28" t="n">
        <v>0.05</v>
      </c>
      <c r="Q190" s="28" t="n">
        <v>-0.046747</v>
      </c>
      <c r="R190" s="26" t="n">
        <v>0</v>
      </c>
      <c r="S190" s="29" t="n">
        <v>2</v>
      </c>
      <c r="T190" s="24" t="inlineStr">
        <is>
          <t>tennis-surface-elo-v1</t>
        </is>
      </c>
      <c r="U190" s="24" t="inlineStr">
        <is>
          <t>open</t>
        </is>
      </c>
      <c r="V190" s="24" t="n"/>
      <c r="W190" s="26" t="n"/>
      <c r="X190" s="26" t="n"/>
      <c r="Y190" s="25" t="n"/>
      <c r="Z190" s="26" t="n"/>
      <c r="AA190" s="28" t="n"/>
      <c r="AB190" s="28" t="n"/>
      <c r="AC190" s="30" t="n"/>
      <c r="AD190" s="24" t="n"/>
      <c r="AE190" s="31" t="inlineStr">
        <is>
          <t>Surface-blended Elo on Hard: Alex de Minaur p=0.843 vs James Duckworth. Executable ask 0.8900 (aec-atp-jamduc-alemin-2026-08-04).</t>
        </is>
      </c>
      <c r="AF190" s="31" t="inlineStr">
        <is>
          <t>Surface-blended Elo model; singles only, WTA+ATP market coverage, not yet locked-holdout qualified -- promoted by explicit operator directive, not genuine walk-forward validation.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NO_CALL_LOW_EDGE</t>
        </is>
      </c>
      <c r="AP190" s="24" t="inlineStr">
        <is>
          <t>Alex de Minaur</t>
        </is>
      </c>
      <c r="AQ190" s="24" t="inlineStr">
        <is>
          <t>Alex de Minaur</t>
        </is>
      </c>
      <c r="AR190" s="24" t="inlineStr">
        <is>
          <t>Alex de Minaur</t>
        </is>
      </c>
      <c r="AS190" s="24" t="inlineStr">
        <is>
          <t>James Duckworth</t>
        </is>
      </c>
      <c r="AT190" s="24" t="inlineStr">
        <is>
          <t>James Duckworth</t>
        </is>
      </c>
      <c r="AU190" s="24" t="inlineStr">
        <is>
          <t>James Duckworth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60749ecfb3f1405f12fbceda11b7e64f2473d40dd327256f9da20b2146b6ae03</t>
        </is>
      </c>
      <c r="BB190" s="24" t="inlineStr">
        <is>
          <t>surface_blended_elo</t>
        </is>
      </c>
      <c r="BC190" s="24" t="inlineStr">
        <is>
          <t>tennis-surface-elo-v1</t>
        </is>
      </c>
      <c r="BD190" s="24" t="inlineStr">
        <is>
          <t>60749ecfb3f1405f12fbceda11b7e64f2473d40dd327256f9da20b2146b6ae03</t>
        </is>
      </c>
      <c r="BE190" s="24" t="inlineStr">
        <is>
          <t>tennis-surface-elo-v1</t>
        </is>
      </c>
      <c r="BF190" s="24" t="inlineStr">
        <is>
          <t>1</t>
        </is>
      </c>
      <c r="BG190" s="24" t="inlineStr">
        <is>
          <t>60749ecfb3f1405f12fbceda11b7e64f2473d40dd327256f9da20b2146b6ae03</t>
        </is>
      </c>
      <c r="BH190" s="24" t="inlineStr">
        <is>
          <t>2026-08-04T08:53:59.146178Z</t>
        </is>
      </c>
      <c r="BI190" s="24" t="inlineStr">
        <is>
          <t>["same_event","same_team_same_day","same_league_same_day"]</t>
        </is>
      </c>
      <c r="BJ190" s="25" t="n"/>
      <c r="BK190" s="26" t="n">
        <v>-809</v>
      </c>
      <c r="BL190" s="27" t="n">
        <v>1.123609</v>
      </c>
      <c r="BM190" s="28" t="n">
        <v>0.889989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inlineStr">
        <is>
          <t>False</t>
        </is>
      </c>
    </row>
    <row r="191" ht="36" customHeight="1">
      <c r="A191" s="24" t="inlineStr">
        <is>
          <t>443e8e4900754691</t>
        </is>
      </c>
      <c r="B191" s="24" t="inlineStr">
        <is>
          <t>2026-08-04T08:54:59.561456Z</t>
        </is>
      </c>
      <c r="C191" s="24" t="inlineStr">
        <is>
          <t>2026-08-04T22:00Z</t>
        </is>
      </c>
      <c r="D191" s="24" t="inlineStr">
        <is>
          <t>421-2026:181759</t>
        </is>
      </c>
      <c r="E191" s="24" t="inlineStr">
        <is>
          <t>TENNIS</t>
        </is>
      </c>
      <c r="F191" s="24" t="inlineStr">
        <is>
          <t>Daniel Altmaier</t>
        </is>
      </c>
      <c r="G191" s="24" t="inlineStr">
        <is>
          <t>Brandon Nakashima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-300</v>
      </c>
      <c r="M191" s="27" t="n">
        <v>1.333333</v>
      </c>
      <c r="N191" s="28" t="n">
        <v>0.75</v>
      </c>
      <c r="O191" s="28" t="n">
        <v>0.686447</v>
      </c>
      <c r="P191" s="28" t="n">
        <v>0.05</v>
      </c>
      <c r="Q191" s="28" t="n">
        <v>-0.063553</v>
      </c>
      <c r="R191" s="26" t="n">
        <v>0</v>
      </c>
      <c r="S191" s="29" t="n">
        <v>2</v>
      </c>
      <c r="T191" s="24" t="inlineStr">
        <is>
          <t>tennis-surface-elo-v1</t>
        </is>
      </c>
      <c r="U191" s="24" t="inlineStr">
        <is>
          <t>open</t>
        </is>
      </c>
      <c r="V191" s="24" t="n"/>
      <c r="W191" s="26" t="n"/>
      <c r="X191" s="26" t="n"/>
      <c r="Y191" s="25" t="n"/>
      <c r="Z191" s="26" t="n"/>
      <c r="AA191" s="28" t="n"/>
      <c r="AB191" s="28" t="n"/>
      <c r="AC191" s="30" t="n"/>
      <c r="AD191" s="24" t="n"/>
      <c r="AE191" s="31" t="inlineStr">
        <is>
          <t>Surface-blended Elo on Hard: Daniel Altmaier p=0.314 vs Brandon Nakashima. Executable ask 0.7500 (aec-atp-branak-danalt-2026-08-05).</t>
        </is>
      </c>
      <c r="AF191" s="31" t="inlineStr">
        <is>
          <t>Surface-blended Elo model; singles only, WTA+ATP market coverage, not yet locked-holdout qualified -- promoted by explicit operator directive, not genuine walk-forward validation.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NO_CALL_LOW_EDGE</t>
        </is>
      </c>
      <c r="AP191" s="24" t="inlineStr">
        <is>
          <t>Daniel Altmaier</t>
        </is>
      </c>
      <c r="AQ191" s="24" t="inlineStr">
        <is>
          <t>Daniel Altmaier</t>
        </is>
      </c>
      <c r="AR191" s="24" t="inlineStr">
        <is>
          <t>Daniel Altmaier</t>
        </is>
      </c>
      <c r="AS191" s="24" t="inlineStr">
        <is>
          <t>Brandon Nakashima</t>
        </is>
      </c>
      <c r="AT191" s="24" t="inlineStr">
        <is>
          <t>Brandon Nakashima</t>
        </is>
      </c>
      <c r="AU191" s="24" t="inlineStr">
        <is>
          <t>Brandon Nakashima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60749ecfb3f1405f12fbceda11b7e64f2473d40dd327256f9da20b2146b6ae03</t>
        </is>
      </c>
      <c r="BB191" s="24" t="inlineStr">
        <is>
          <t>surface_blended_elo</t>
        </is>
      </c>
      <c r="BC191" s="24" t="inlineStr">
        <is>
          <t>tennis-surface-elo-v1</t>
        </is>
      </c>
      <c r="BD191" s="24" t="inlineStr">
        <is>
          <t>60749ecfb3f1405f12fbceda11b7e64f2473d40dd327256f9da20b2146b6ae03</t>
        </is>
      </c>
      <c r="BE191" s="24" t="inlineStr">
        <is>
          <t>tennis-surface-elo-v1</t>
        </is>
      </c>
      <c r="BF191" s="24" t="inlineStr">
        <is>
          <t>1</t>
        </is>
      </c>
      <c r="BG191" s="24" t="inlineStr">
        <is>
          <t>60749ecfb3f1405f12fbceda11b7e64f2473d40dd327256f9da20b2146b6ae03</t>
        </is>
      </c>
      <c r="BH191" s="24" t="inlineStr">
        <is>
          <t>2026-08-04T08:53:58.246120Z</t>
        </is>
      </c>
      <c r="BI191" s="24" t="inlineStr">
        <is>
          <t>["same_event","same_team_same_day","same_league_same_day"]</t>
        </is>
      </c>
      <c r="BJ191" s="25" t="n"/>
      <c r="BK191" s="26" t="n">
        <v>-300</v>
      </c>
      <c r="BL191" s="27" t="n">
        <v>1.333333</v>
      </c>
      <c r="BM191" s="28" t="n">
        <v>0.75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inlineStr">
        <is>
          <t>False</t>
        </is>
      </c>
    </row>
    <row r="192" ht="36" customHeight="1">
      <c r="A192" s="24" t="inlineStr">
        <is>
          <t>f784585309cf41dd</t>
        </is>
      </c>
      <c r="B192" s="24" t="inlineStr">
        <is>
          <t>2026-08-04T08:54:59.561456Z</t>
        </is>
      </c>
      <c r="C192" s="24" t="inlineStr">
        <is>
          <t>2026-08-04T23:00Z</t>
        </is>
      </c>
      <c r="D192" s="24" t="inlineStr">
        <is>
          <t>421-2026:181748</t>
        </is>
      </c>
      <c r="E192" s="24" t="inlineStr">
        <is>
          <t>TENNIS</t>
        </is>
      </c>
      <c r="F192" s="24" t="inlineStr">
        <is>
          <t>Marin Cilic</t>
        </is>
      </c>
      <c r="G192" s="24" t="inlineStr">
        <is>
          <t>Frances Tiafoe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-170</v>
      </c>
      <c r="M192" s="27" t="n">
        <v>1.588235</v>
      </c>
      <c r="N192" s="28" t="n">
        <v>0.62963</v>
      </c>
      <c r="O192" s="28" t="n">
        <v>0.701855</v>
      </c>
      <c r="P192" s="28" t="n">
        <v>0.05</v>
      </c>
      <c r="Q192" s="28" t="n">
        <v>0.072225</v>
      </c>
      <c r="R192" s="26" t="n">
        <v>56</v>
      </c>
      <c r="S192" s="29" t="n">
        <v>2</v>
      </c>
      <c r="T192" s="24" t="inlineStr">
        <is>
          <t>tennis-surface-elo-v1</t>
        </is>
      </c>
      <c r="U192" s="24" t="inlineStr">
        <is>
          <t>open</t>
        </is>
      </c>
      <c r="V192" s="24" t="n"/>
      <c r="W192" s="26" t="n"/>
      <c r="X192" s="26" t="n"/>
      <c r="Y192" s="25" t="n"/>
      <c r="Z192" s="26" t="n"/>
      <c r="AA192" s="28" t="n"/>
      <c r="AB192" s="28" t="n"/>
      <c r="AC192" s="30" t="n"/>
      <c r="AD192" s="24" t="n"/>
      <c r="AE192" s="31" t="inlineStr">
        <is>
          <t>Surface-blended Elo on Hard: Marin Cilic p=0.298 vs Frances Tiafoe. Executable ask 0.6300 (aec-atp-fratia-marcil-2026-08-05).</t>
        </is>
      </c>
      <c r="AF192" s="31" t="inlineStr">
        <is>
          <t>Surface-blended Elo model; singles only, WTA+ATP market coverage, not yet locked-holdout qualified -- promoted by explicit operator directive, not genuine walk-forward validation.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3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Marin Cilic</t>
        </is>
      </c>
      <c r="AQ192" s="24" t="inlineStr">
        <is>
          <t>Marin Cilic</t>
        </is>
      </c>
      <c r="AR192" s="24" t="inlineStr">
        <is>
          <t>Marin Cilic</t>
        </is>
      </c>
      <c r="AS192" s="24" t="inlineStr">
        <is>
          <t>Frances Tiafoe</t>
        </is>
      </c>
      <c r="AT192" s="24" t="inlineStr">
        <is>
          <t>Frances Tiafoe</t>
        </is>
      </c>
      <c r="AU192" s="24" t="inlineStr">
        <is>
          <t>Frances Tiafoe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60749ecfb3f1405f12fbceda11b7e64f2473d40dd327256f9da20b2146b6ae03</t>
        </is>
      </c>
      <c r="BB192" s="24" t="inlineStr">
        <is>
          <t>surface_blended_elo</t>
        </is>
      </c>
      <c r="BC192" s="24" t="inlineStr">
        <is>
          <t>tennis-surface-elo-v1</t>
        </is>
      </c>
      <c r="BD192" s="24" t="inlineStr">
        <is>
          <t>60749ecfb3f1405f12fbceda11b7e64f2473d40dd327256f9da20b2146b6ae03</t>
        </is>
      </c>
      <c r="BE192" s="24" t="inlineStr">
        <is>
          <t>tennis-surface-elo-v1</t>
        </is>
      </c>
      <c r="BF192" s="24" t="inlineStr">
        <is>
          <t>1</t>
        </is>
      </c>
      <c r="BG192" s="24" t="inlineStr">
        <is>
          <t>60749ecfb3f1405f12fbceda11b7e64f2473d40dd327256f9da20b2146b6ae03</t>
        </is>
      </c>
      <c r="BH192" s="24" t="inlineStr">
        <is>
          <t>2026-08-04T08:53:59.800144Z</t>
        </is>
      </c>
      <c r="BI192" s="24" t="inlineStr">
        <is>
          <t>["same_event","same_team_same_day","same_league_same_day"]</t>
        </is>
      </c>
      <c r="BJ192" s="25" t="n"/>
      <c r="BK192" s="26" t="n">
        <v>-170</v>
      </c>
      <c r="BL192" s="27" t="n">
        <v>1.588235</v>
      </c>
      <c r="BM192" s="28" t="n">
        <v>0.62963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inlineStr">
        <is>
          <t>True</t>
        </is>
      </c>
    </row>
    <row r="193" ht="36" customHeight="1">
      <c r="A193" s="24" t="inlineStr">
        <is>
          <t>230181478f574195</t>
        </is>
      </c>
      <c r="B193" s="24" t="inlineStr">
        <is>
          <t>2026-08-04T08:54:59.561456Z</t>
        </is>
      </c>
      <c r="C193" s="24" t="inlineStr">
        <is>
          <t>2026-08-04T23:30Z</t>
        </is>
      </c>
      <c r="D193" s="24" t="inlineStr">
        <is>
          <t>421-2026:181740</t>
        </is>
      </c>
      <c r="E193" s="24" t="inlineStr">
        <is>
          <t>TENNIS</t>
        </is>
      </c>
      <c r="F193" s="24" t="inlineStr">
        <is>
          <t>Yannick Hanfmann</t>
        </is>
      </c>
      <c r="G193" s="24" t="inlineStr">
        <is>
          <t>Flavio Cobolli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-133</v>
      </c>
      <c r="M193" s="27" t="n">
        <v>1.75188</v>
      </c>
      <c r="N193" s="28" t="n">
        <v>0.570815</v>
      </c>
      <c r="O193" s="28" t="n">
        <v>0.583443</v>
      </c>
      <c r="P193" s="28" t="n">
        <v>0.05</v>
      </c>
      <c r="Q193" s="28" t="n">
        <v>0.012628</v>
      </c>
      <c r="R193" s="26" t="n">
        <v>26</v>
      </c>
      <c r="S193" s="29" t="n">
        <v>1.25</v>
      </c>
      <c r="T193" s="24" t="inlineStr">
        <is>
          <t>tennis-surface-elo-v1</t>
        </is>
      </c>
      <c r="U193" s="24" t="inlineStr">
        <is>
          <t>open</t>
        </is>
      </c>
      <c r="V193" s="24" t="n"/>
      <c r="W193" s="26" t="n"/>
      <c r="X193" s="26" t="n"/>
      <c r="Y193" s="25" t="n"/>
      <c r="Z193" s="26" t="n"/>
      <c r="AA193" s="28" t="n"/>
      <c r="AB193" s="28" t="n"/>
      <c r="AC193" s="30" t="n"/>
      <c r="AD193" s="24" t="n"/>
      <c r="AE193" s="31" t="inlineStr">
        <is>
          <t>Surface-blended Elo on Hard: Yannick Hanfmann p=0.417 vs Flavio Cobolli. Executable ask 0.5700 (aec-atp-flacob-yanhan-2026-08-04).</t>
        </is>
      </c>
      <c r="AF193" s="31" t="inlineStr">
        <is>
          <t>Surface-blended Elo model; singles only, WTA+ATP market coverage, not yet locked-holdout qualified -- promoted by explicit operator directive, not genuine walk-forward validation.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NO_CALL_LOW_EDGE</t>
        </is>
      </c>
      <c r="AP193" s="24" t="inlineStr">
        <is>
          <t>Yannick Hanfmann</t>
        </is>
      </c>
      <c r="AQ193" s="24" t="inlineStr">
        <is>
          <t>Yannick Hanfmann</t>
        </is>
      </c>
      <c r="AR193" s="24" t="inlineStr">
        <is>
          <t>Yannick Hanfmann</t>
        </is>
      </c>
      <c r="AS193" s="24" t="inlineStr">
        <is>
          <t>Flavio Cobolli</t>
        </is>
      </c>
      <c r="AT193" s="24" t="inlineStr">
        <is>
          <t>Flavio Cobolli</t>
        </is>
      </c>
      <c r="AU193" s="24" t="inlineStr">
        <is>
          <t>Flavio Cobolli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60749ecfb3f1405f12fbceda11b7e64f2473d40dd327256f9da20b2146b6ae03</t>
        </is>
      </c>
      <c r="BB193" s="24" t="inlineStr">
        <is>
          <t>surface_blended_elo</t>
        </is>
      </c>
      <c r="BC193" s="24" t="inlineStr">
        <is>
          <t>tennis-surface-elo-v1</t>
        </is>
      </c>
      <c r="BD193" s="24" t="inlineStr">
        <is>
          <t>60749ecfb3f1405f12fbceda11b7e64f2473d40dd327256f9da20b2146b6ae03</t>
        </is>
      </c>
      <c r="BE193" s="24" t="inlineStr">
        <is>
          <t>tennis-surface-elo-v1</t>
        </is>
      </c>
      <c r="BF193" s="24" t="inlineStr">
        <is>
          <t>1</t>
        </is>
      </c>
      <c r="BG193" s="24" t="inlineStr">
        <is>
          <t>60749ecfb3f1405f12fbceda11b7e64f2473d40dd327256f9da20b2146b6ae03</t>
        </is>
      </c>
      <c r="BH193" s="24" t="inlineStr">
        <is>
          <t>2026-08-04T08:54:00.632213Z</t>
        </is>
      </c>
      <c r="BI193" s="24" t="inlineStr">
        <is>
          <t>["same_event","same_team_same_day","same_league_same_day"]</t>
        </is>
      </c>
      <c r="BJ193" s="25" t="n"/>
      <c r="BK193" s="26" t="n">
        <v>-133</v>
      </c>
      <c r="BL193" s="27" t="n">
        <v>1.75188</v>
      </c>
      <c r="BM193" s="28" t="n">
        <v>0.570815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inlineStr">
        <is>
          <t>True</t>
        </is>
      </c>
    </row>
    <row r="194" ht="36" customHeight="1">
      <c r="A194" s="24" t="inlineStr">
        <is>
          <t>6f8871db92a6476b</t>
        </is>
      </c>
      <c r="B194" s="24" t="inlineStr">
        <is>
          <t>2026-08-04T08:54:59.561456Z</t>
        </is>
      </c>
      <c r="C194" s="24" t="inlineStr">
        <is>
          <t>2026-08-05T00:30Z</t>
        </is>
      </c>
      <c r="D194" s="24" t="inlineStr">
        <is>
          <t>421-2026:181769</t>
        </is>
      </c>
      <c r="E194" s="24" t="inlineStr">
        <is>
          <t>TENNIS</t>
        </is>
      </c>
      <c r="F194" s="24" t="inlineStr">
        <is>
          <t>Gabriel Diallo</t>
        </is>
      </c>
      <c r="G194" s="24" t="inlineStr">
        <is>
          <t>Luciano Darderi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104</v>
      </c>
      <c r="M194" s="27" t="n">
        <v>2.04</v>
      </c>
      <c r="N194" s="28" t="n">
        <v>0.490196</v>
      </c>
      <c r="O194" s="28" t="n">
        <v>0.62292</v>
      </c>
      <c r="P194" s="28" t="n">
        <v>0.05</v>
      </c>
      <c r="Q194" s="28" t="n">
        <v>0.132724</v>
      </c>
      <c r="R194" s="26" t="n">
        <v>86</v>
      </c>
      <c r="S194" s="29" t="n">
        <v>1.5</v>
      </c>
      <c r="T194" s="24" t="inlineStr">
        <is>
          <t>tennis-surface-elo-v1</t>
        </is>
      </c>
      <c r="U194" s="24" t="inlineStr">
        <is>
          <t>open</t>
        </is>
      </c>
      <c r="V194" s="24" t="n"/>
      <c r="W194" s="26" t="n"/>
      <c r="X194" s="26" t="n"/>
      <c r="Y194" s="25" t="n"/>
      <c r="Z194" s="26" t="n"/>
      <c r="AA194" s="28" t="n"/>
      <c r="AB194" s="28" t="n"/>
      <c r="AC194" s="30" t="n"/>
      <c r="AD194" s="24" t="n"/>
      <c r="AE194" s="31" t="inlineStr">
        <is>
          <t>Surface-blended Elo on Hard: Gabriel Diallo p=0.377 vs Luciano Darderi. Executable ask 0.4900 (aec-atp-lucdar-gabdia-2026-08-05).</t>
        </is>
      </c>
      <c r="AF194" s="31" t="inlineStr">
        <is>
          <t>Surface-blended Elo model; singles only, WTA+ATP market coverage, not yet locked-holdout qualified -- promoted by explicit operator directive, not genuine walk-forward validation.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Gabriel Diallo</t>
        </is>
      </c>
      <c r="AQ194" s="24" t="inlineStr">
        <is>
          <t>Gabriel Diallo</t>
        </is>
      </c>
      <c r="AR194" s="24" t="inlineStr">
        <is>
          <t>Gabriel Diallo</t>
        </is>
      </c>
      <c r="AS194" s="24" t="inlineStr">
        <is>
          <t>Luciano Darderi</t>
        </is>
      </c>
      <c r="AT194" s="24" t="inlineStr">
        <is>
          <t>Luciano Darderi</t>
        </is>
      </c>
      <c r="AU194" s="24" t="inlineStr">
        <is>
          <t>Luciano Darderi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60749ecfb3f1405f12fbceda11b7e64f2473d40dd327256f9da20b2146b6ae03</t>
        </is>
      </c>
      <c r="BB194" s="24" t="inlineStr">
        <is>
          <t>surface_blended_elo</t>
        </is>
      </c>
      <c r="BC194" s="24" t="inlineStr">
        <is>
          <t>tennis-surface-elo-v1</t>
        </is>
      </c>
      <c r="BD194" s="24" t="inlineStr">
        <is>
          <t>60749ecfb3f1405f12fbceda11b7e64f2473d40dd327256f9da20b2146b6ae03</t>
        </is>
      </c>
      <c r="BE194" s="24" t="inlineStr">
        <is>
          <t>tennis-surface-elo-v1</t>
        </is>
      </c>
      <c r="BF194" s="24" t="inlineStr">
        <is>
          <t>1</t>
        </is>
      </c>
      <c r="BG194" s="24" t="inlineStr">
        <is>
          <t>60749ecfb3f1405f12fbceda11b7e64f2473d40dd327256f9da20b2146b6ae03</t>
        </is>
      </c>
      <c r="BH194" s="24" t="inlineStr">
        <is>
          <t>2026-08-04T08:54:01.150443Z</t>
        </is>
      </c>
      <c r="BI194" s="24" t="inlineStr">
        <is>
          <t>["same_event","same_team_same_day","same_league_same_day"]</t>
        </is>
      </c>
      <c r="BJ194" s="25" t="n"/>
      <c r="BK194" s="26" t="n">
        <v>104</v>
      </c>
      <c r="BL194" s="27" t="n">
        <v>2.04</v>
      </c>
      <c r="BM194" s="28" t="n">
        <v>0.490196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2026-08-04T08:55:48Z</dcterms:created>
  <dcterms:modified xsi:type="dcterms:W3CDTF">2026-08-04T08:55:49Z</dcterms:modified>
</cp:coreProperties>
</file>