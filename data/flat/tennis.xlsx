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94" headerRowCount="1">
  <autoFilter ref="A1:CS19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COUNTA('Picks'!$A$2:$A$194)</f>
        <v/>
      </c>
      <c r="C4" s="6">
        <f>COUNTIF('Picks'!$U$2:$U$194,"open")</f>
        <v/>
      </c>
      <c r="E4" s="6">
        <f>COUNTIF('Picks'!$U$2:$U$194,"settled")</f>
        <v/>
      </c>
      <c r="G4" s="6">
        <f>IF(COUNTIFS('Picks'!$U$2:$U$194,"settled",'Picks'!$V$2:$V$194,"win")+COUNTIFS('Picks'!$U$2:$U$194,"settled",'Picks'!$V$2:$V$194,"loss")&gt;=$L$2,"Ready","Insufficient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COUNTIF('Picks'!$BX$2:$BX$194,"&gt;0")</f>
        <v/>
      </c>
      <c r="C7" s="6">
        <f>COUNTIFS('Picks'!$BX$2:$BX$194,"&gt;0",'Picks'!$V$2:$V$194,"win")&amp;"-"&amp;COUNTIFS('Picks'!$BX$2:$BX$194,"&gt;0",'Picks'!$V$2:$V$194,"loss")</f>
        <v/>
      </c>
      <c r="E7" s="7">
        <f>IFERROR(COUNTIFS('Picks'!$BX$2:$BX$194,"&gt;0",'Picks'!$V$2:$V$194,"win")/(COUNTIFS('Picks'!$BX$2:$BX$194,"&gt;0",'Picks'!$V$2:$V$194,"win")+COUNTIFS('Picks'!$BX$2:$BX$194,"&gt;0",'Picks'!$V$2:$V$194,"loss")),0)</f>
        <v/>
      </c>
      <c r="G7" s="7">
        <f>IFERROR(SUM('Picks'!$BY$2:$BY$194)/SUM('Picks'!$BX$2:$BX$194),0)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SUM('Picks'!$BY$2:$BY$194)</f>
        <v/>
      </c>
      <c r="C10" s="9">
        <f>IFERROR(AVERAGEIF('Picks'!$AB$2:$AB$194,"&lt;&gt;",'Picks'!$AB$2:$AB$194),0)</f>
        <v/>
      </c>
      <c r="E10" s="6">
        <f>COUNTIFS('Picks'!$AM$2:$AM$194,"QUALIFIED_SHADOW_CALL",'Picks'!$U$2:$U$194,"settled")</f>
        <v/>
      </c>
      <c r="G10" s="8">
        <f>SUMIFS('Picks'!$AC$2:$AC$194,'Picks'!$AM$2:$AM$194,"QUALIFIED_SHADOW_CALL")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COUNTIFS('Picks'!$H$2:$H$194,$A14,'Picks'!$U$2:$U$194,"settled")</f>
        <v/>
      </c>
      <c r="C14" s="13">
        <f>COUNTIFS('Picks'!$H$2:$H$194,$A14,'Picks'!$U$2:$U$194,"settled",'Picks'!$V$2:$V$194,"win")</f>
        <v/>
      </c>
      <c r="D14" s="13">
        <f>COUNTIFS('Picks'!$H$2:$H$194,$A14,'Picks'!$U$2:$U$194,"settled",'Picks'!$V$2:$V$194,"loss")</f>
        <v/>
      </c>
      <c r="E14" s="14">
        <f>IFERROR(C14/(C14+D14),0)</f>
        <v/>
      </c>
      <c r="F14" s="15">
        <f>SUMIFS('Picks'!$BY$2:$BY$194,'Picks'!$H$2:$H$194,$A14)</f>
        <v/>
      </c>
      <c r="G14" s="16">
        <f>IFERROR(AVERAGEIFS('Picks'!$AB$2:$AB$194,'Picks'!$H$2:$H$194,$A14,'Picks'!$U$2:$U$194,"settled"),0)</f>
        <v/>
      </c>
    </row>
    <row r="15">
      <c r="A15" s="17" t="inlineStr">
        <is>
          <t>spread</t>
        </is>
      </c>
      <c r="B15" s="18">
        <f>COUNTIFS('Picks'!$H$2:$H$194,$A15,'Picks'!$U$2:$U$194,"settled")</f>
        <v/>
      </c>
      <c r="C15" s="18">
        <f>COUNTIFS('Picks'!$H$2:$H$194,$A15,'Picks'!$U$2:$U$194,"settled",'Picks'!$V$2:$V$194,"win")</f>
        <v/>
      </c>
      <c r="D15" s="18">
        <f>COUNTIFS('Picks'!$H$2:$H$194,$A15,'Picks'!$U$2:$U$194,"settled",'Picks'!$V$2:$V$194,"loss")</f>
        <v/>
      </c>
      <c r="E15" s="19">
        <f>IFERROR(C15/(C15+D15),0)</f>
        <v/>
      </c>
      <c r="F15" s="20">
        <f>SUMIFS('Picks'!$BY$2:$BY$194,'Picks'!$H$2:$H$194,$A15)</f>
        <v/>
      </c>
      <c r="G15" s="21">
        <f>IFERROR(AVERAGEIFS('Picks'!$AB$2:$AB$194,'Picks'!$H$2:$H$194,$A15,'Picks'!$U$2:$U$194,"settled"),0)</f>
        <v/>
      </c>
    </row>
    <row r="16">
      <c r="A16" s="12" t="inlineStr">
        <is>
          <t>total</t>
        </is>
      </c>
      <c r="B16" s="13">
        <f>COUNTIFS('Picks'!$H$2:$H$194,$A16,'Picks'!$U$2:$U$194,"settled")</f>
        <v/>
      </c>
      <c r="C16" s="13">
        <f>COUNTIFS('Picks'!$H$2:$H$194,$A16,'Picks'!$U$2:$U$194,"settled",'Picks'!$V$2:$V$194,"win")</f>
        <v/>
      </c>
      <c r="D16" s="13">
        <f>COUNTIFS('Picks'!$H$2:$H$194,$A16,'Picks'!$U$2:$U$194,"settled",'Picks'!$V$2:$V$194,"loss")</f>
        <v/>
      </c>
      <c r="E16" s="14">
        <f>IFERROR(C16/(C16+D16),0)</f>
        <v/>
      </c>
      <c r="F16" s="15">
        <f>SUMIFS('Picks'!$BY$2:$BY$194,'Picks'!$H$2:$H$194,$A16)</f>
        <v/>
      </c>
      <c r="G16" s="16">
        <f>IFERROR(AVERAGEIFS('Picks'!$AB$2:$AB$194,'Picks'!$H$2:$H$194,$A16,'Picks'!$U$2:$U$194,"settled"),0)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abf97926dd5648b1</t>
        </is>
      </c>
      <c r="B161" s="24" t="inlineStr">
        <is>
          <t>2026-08-04T14:25:17.456036Z</t>
        </is>
      </c>
      <c r="C161" s="24" t="inlineStr">
        <is>
          <t>2026-08-04T16:30Z</t>
        </is>
      </c>
      <c r="D161" s="24" t="inlineStr">
        <is>
          <t>421-2026:182173</t>
        </is>
      </c>
      <c r="E161" s="24" t="inlineStr">
        <is>
          <t>TENNIS</t>
        </is>
      </c>
      <c r="F161" s="24" t="inlineStr">
        <is>
          <t>Diana Shnaider</t>
        </is>
      </c>
      <c r="G161" s="24" t="inlineStr">
        <is>
          <t>Rebecca Sramkova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-400</v>
      </c>
      <c r="M161" s="27" t="n">
        <v>1.25</v>
      </c>
      <c r="N161" s="28" t="n">
        <v>0.8</v>
      </c>
      <c r="O161" s="28" t="n">
        <v>0.69013</v>
      </c>
      <c r="P161" s="28" t="n">
        <v>0.05</v>
      </c>
      <c r="Q161" s="28" t="n">
        <v>-0.10987</v>
      </c>
      <c r="R161" s="26" t="n">
        <v>0</v>
      </c>
      <c r="S161" s="29" t="n">
        <v>2</v>
      </c>
      <c r="T161" s="24" t="inlineStr">
        <is>
          <t>tennis-surface-elo-v1</t>
        </is>
      </c>
      <c r="U161" s="24" t="inlineStr">
        <is>
          <t>open</t>
        </is>
      </c>
      <c r="V161" s="24" t="n"/>
      <c r="W161" s="26" t="n"/>
      <c r="X161" s="26" t="n"/>
      <c r="Y161" s="25" t="n"/>
      <c r="Z161" s="26" t="n"/>
      <c r="AA161" s="28" t="n"/>
      <c r="AB161" s="28" t="n"/>
      <c r="AC161" s="30" t="n"/>
      <c r="AD161" s="24" t="n"/>
      <c r="AE161" s="31" t="inlineStr">
        <is>
          <t>Surface-blended Elo on Hard: Diana Shnaider p=0.690 vs Rebecca Sramkova. Executable ask 0.8000 (aec-wta-rebsra-diashn-2026-08-04).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Diana Shnaider</t>
        </is>
      </c>
      <c r="AQ161" s="24" t="inlineStr">
        <is>
          <t>Diana Shnaider</t>
        </is>
      </c>
      <c r="AR161" s="24" t="inlineStr">
        <is>
          <t>Diana Shnaider</t>
        </is>
      </c>
      <c r="AS161" s="24" t="inlineStr">
        <is>
          <t>Rebecca Sramkova</t>
        </is>
      </c>
      <c r="AT161" s="24" t="inlineStr">
        <is>
          <t>Rebecca Sramkova</t>
        </is>
      </c>
      <c r="AU161" s="24" t="inlineStr">
        <is>
          <t>Rebecca Sramkova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2026-08-04T14:23:26.341443Z</t>
        </is>
      </c>
      <c r="BI161" s="24" t="inlineStr">
        <is>
          <t>["same_event","same_team_same_day","same_league_same_day"]</t>
        </is>
      </c>
      <c r="BJ161" s="25" t="n"/>
      <c r="BK161" s="26" t="n">
        <v>-400</v>
      </c>
      <c r="BL161" s="27" t="n">
        <v>1.25</v>
      </c>
      <c r="BM161" s="28" t="n">
        <v>0.8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d6638734fcd04894</t>
        </is>
      </c>
      <c r="B162" s="24" t="inlineStr">
        <is>
          <t>2026-08-04T14:25:17.456036Z</t>
        </is>
      </c>
      <c r="C162" s="24" t="inlineStr">
        <is>
          <t>2026-08-04T16:30Z</t>
        </is>
      </c>
      <c r="D162" s="24" t="inlineStr">
        <is>
          <t>421-2026:182175</t>
        </is>
      </c>
      <c r="E162" s="24" t="inlineStr">
        <is>
          <t>TENNIS</t>
        </is>
      </c>
      <c r="F162" s="24" t="inlineStr">
        <is>
          <t>Viktorija Golubic</t>
        </is>
      </c>
      <c r="G162" s="24" t="inlineStr">
        <is>
          <t>Donna Vekic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-133</v>
      </c>
      <c r="M162" s="27" t="n">
        <v>1.75188</v>
      </c>
      <c r="N162" s="28" t="n">
        <v>0.570815</v>
      </c>
      <c r="O162" s="28" t="n">
        <v>0.600871</v>
      </c>
      <c r="P162" s="28" t="n">
        <v>0.05</v>
      </c>
      <c r="Q162" s="28" t="n">
        <v>0.030056</v>
      </c>
      <c r="R162" s="26" t="n">
        <v>35</v>
      </c>
      <c r="S162" s="29" t="n">
        <v>1.25</v>
      </c>
      <c r="T162" s="24" t="inlineStr">
        <is>
          <t>tennis-surface-elo-v1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Surface-blended Elo on Hard: Viktorija Golubic p=0.399 vs Donna Vekic. Executable ask 0.5700 (aec-wta-donvek-vikgol-2026-08-03).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Viktorija Golubic</t>
        </is>
      </c>
      <c r="AQ162" s="24" t="inlineStr">
        <is>
          <t>Viktorija Golubic</t>
        </is>
      </c>
      <c r="AR162" s="24" t="inlineStr">
        <is>
          <t>Viktorija Golubic</t>
        </is>
      </c>
      <c r="AS162" s="24" t="inlineStr">
        <is>
          <t>Donna Vekic</t>
        </is>
      </c>
      <c r="AT162" s="24" t="inlineStr">
        <is>
          <t>Donna Vekic</t>
        </is>
      </c>
      <c r="AU162" s="24" t="inlineStr">
        <is>
          <t>Donna Vekic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2026-08-04T14:23:22.697774Z</t>
        </is>
      </c>
      <c r="BI162" s="24" t="inlineStr">
        <is>
          <t>["same_event","same_team_same_day","same_league_same_day"]</t>
        </is>
      </c>
      <c r="BJ162" s="25" t="n"/>
      <c r="BK162" s="26" t="n">
        <v>-133</v>
      </c>
      <c r="BL162" s="27" t="n">
        <v>1.75188</v>
      </c>
      <c r="BM162" s="28" t="n">
        <v>0.570815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28e316caeb494e0c</t>
        </is>
      </c>
      <c r="B163" s="24" t="inlineStr">
        <is>
          <t>2026-08-04T14:25:17.456036Z</t>
        </is>
      </c>
      <c r="C163" s="24" t="inlineStr">
        <is>
          <t>2026-08-04T16:30Z</t>
        </is>
      </c>
      <c r="D163" s="24" t="inlineStr">
        <is>
          <t>421-2026:182182</t>
        </is>
      </c>
      <c r="E163" s="24" t="inlineStr">
        <is>
          <t>TENNIS</t>
        </is>
      </c>
      <c r="F163" s="24" t="inlineStr">
        <is>
          <t>Iga Swiatek</t>
        </is>
      </c>
      <c r="G163" s="24" t="inlineStr">
        <is>
          <t>Sara Bejlek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-809</v>
      </c>
      <c r="M163" s="27" t="n">
        <v>1.123609</v>
      </c>
      <c r="N163" s="28" t="n">
        <v>0.889989</v>
      </c>
      <c r="O163" s="28" t="n">
        <v>0.745582</v>
      </c>
      <c r="P163" s="28" t="n">
        <v>0.05</v>
      </c>
      <c r="Q163" s="28" t="n">
        <v>-0.144407</v>
      </c>
      <c r="R163" s="26" t="n">
        <v>0</v>
      </c>
      <c r="S163" s="29" t="n">
        <v>2</v>
      </c>
      <c r="T163" s="24" t="inlineStr">
        <is>
          <t>tennis-surface-elo-v1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Surface-blended Elo on Hard: Iga Swiatek p=0.746 vs Sara Bejlek. Executable ask 0.8900 (aec-wta-sarbej-igaswi-2026-08-03).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Iga Swiatek</t>
        </is>
      </c>
      <c r="AQ163" s="24" t="inlineStr">
        <is>
          <t>Iga Swiatek</t>
        </is>
      </c>
      <c r="AR163" s="24" t="inlineStr">
        <is>
          <t>Iga Swiatek</t>
        </is>
      </c>
      <c r="AS163" s="24" t="inlineStr">
        <is>
          <t>Sara Bejlek</t>
        </is>
      </c>
      <c r="AT163" s="24" t="inlineStr">
        <is>
          <t>Sara Bejlek</t>
        </is>
      </c>
      <c r="AU163" s="24" t="inlineStr">
        <is>
          <t>Sara Bejlek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2026-08-04T14:23:23.345824Z</t>
        </is>
      </c>
      <c r="BI163" s="24" t="inlineStr">
        <is>
          <t>["same_event","same_team_same_day","same_league_same_day"]</t>
        </is>
      </c>
      <c r="BJ163" s="25" t="n"/>
      <c r="BK163" s="26" t="n">
        <v>-809</v>
      </c>
      <c r="BL163" s="27" t="n">
        <v>1.123609</v>
      </c>
      <c r="BM163" s="28" t="n">
        <v>0.889989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</row>
    <row r="164" ht="36" customHeight="1">
      <c r="A164" s="24" t="inlineStr">
        <is>
          <t>5c20822296194a65</t>
        </is>
      </c>
      <c r="B164" s="24" t="inlineStr">
        <is>
          <t>2026-08-04T14:25:17.456036Z</t>
        </is>
      </c>
      <c r="C164" s="24" t="inlineStr">
        <is>
          <t>2026-08-04T16:30Z</t>
        </is>
      </c>
      <c r="D164" s="24" t="inlineStr">
        <is>
          <t>421-2026:182207</t>
        </is>
      </c>
      <c r="E164" s="24" t="inlineStr">
        <is>
          <t>TENNIS</t>
        </is>
      </c>
      <c r="F164" s="24" t="inlineStr">
        <is>
          <t>Ekaterina Alexandrova</t>
        </is>
      </c>
      <c r="G164" s="24" t="inlineStr">
        <is>
          <t>Camila Osorio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-117</v>
      </c>
      <c r="M164" s="27" t="n">
        <v>1.854701</v>
      </c>
      <c r="N164" s="28" t="n">
        <v>0.539171</v>
      </c>
      <c r="O164" s="28" t="n">
        <v>0.533657</v>
      </c>
      <c r="P164" s="28" t="n">
        <v>0.05</v>
      </c>
      <c r="Q164" s="28" t="n">
        <v>-0.005514</v>
      </c>
      <c r="R164" s="26" t="n">
        <v>17</v>
      </c>
      <c r="S164" s="29" t="n">
        <v>1</v>
      </c>
      <c r="T164" s="24" t="inlineStr">
        <is>
          <t>tennis-surface-elo-v1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Surface-blended Elo on Hard: Ekaterina Alexandrova p=0.466 vs Camila Osorio. Executable ask 0.5400 (aec-wta-camoso-ekaale-2026-08-03).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Ekaterina Alexandrova</t>
        </is>
      </c>
      <c r="AQ164" s="24" t="inlineStr">
        <is>
          <t>Ekaterina Alexandrova</t>
        </is>
      </c>
      <c r="AR164" s="24" t="inlineStr">
        <is>
          <t>Ekaterina Alexandrova</t>
        </is>
      </c>
      <c r="AS164" s="24" t="inlineStr">
        <is>
          <t>Camila Osorio</t>
        </is>
      </c>
      <c r="AT164" s="24" t="inlineStr">
        <is>
          <t>Camila Osorio</t>
        </is>
      </c>
      <c r="AU164" s="24" t="inlineStr">
        <is>
          <t>Camila Osorio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2026-08-04T14:23:24.523404Z</t>
        </is>
      </c>
      <c r="BI164" s="24" t="inlineStr">
        <is>
          <t>["same_event","same_team_same_day","same_league_same_day"]</t>
        </is>
      </c>
      <c r="BJ164" s="25" t="n"/>
      <c r="BK164" s="26" t="n">
        <v>-117</v>
      </c>
      <c r="BL164" s="27" t="n">
        <v>1.854701</v>
      </c>
      <c r="BM164" s="28" t="n">
        <v>0.539171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953f8420edeb4dfb</t>
        </is>
      </c>
      <c r="B165" s="24" t="inlineStr">
        <is>
          <t>2026-08-04T14:25:17.456036Z</t>
        </is>
      </c>
      <c r="C165" s="24" t="inlineStr">
        <is>
          <t>2026-08-04T18:00Z</t>
        </is>
      </c>
      <c r="D165" s="24" t="inlineStr">
        <is>
          <t>421-2026:182166</t>
        </is>
      </c>
      <c r="E165" s="24" t="inlineStr">
        <is>
          <t>TENNIS</t>
        </is>
      </c>
      <c r="F165" s="24" t="inlineStr">
        <is>
          <t>Madison Keys</t>
        </is>
      </c>
      <c r="G165" s="24" t="inlineStr">
        <is>
          <t>Antonia Ruzic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-456</v>
      </c>
      <c r="M165" s="27" t="n">
        <v>1.219298</v>
      </c>
      <c r="N165" s="28" t="n">
        <v>0.820144</v>
      </c>
      <c r="O165" s="28" t="n">
        <v>0.771595</v>
      </c>
      <c r="P165" s="28" t="n">
        <v>0.05</v>
      </c>
      <c r="Q165" s="28" t="n">
        <v>-0.048549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Surface-blended Elo on Hard: Madison Keys p=0.772 vs Antonia Ruzic. Executable ask 0.8200 (aec-wta-antruz-madkey-2026-08-04).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Madison Keys</t>
        </is>
      </c>
      <c r="AQ165" s="24" t="inlineStr">
        <is>
          <t>Madison Keys</t>
        </is>
      </c>
      <c r="AR165" s="24" t="inlineStr">
        <is>
          <t>Madison Keys</t>
        </is>
      </c>
      <c r="AS165" s="24" t="inlineStr">
        <is>
          <t>Antonia Ruzic</t>
        </is>
      </c>
      <c r="AT165" s="24" t="inlineStr">
        <is>
          <t>Antonia Ruzic</t>
        </is>
      </c>
      <c r="AU165" s="24" t="inlineStr">
        <is>
          <t>Antonia Ruzic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2026-08-04T14:23:30.714186Z</t>
        </is>
      </c>
      <c r="BI165" s="24" t="inlineStr">
        <is>
          <t>["same_event","same_team_same_day","same_league_same_day"]</t>
        </is>
      </c>
      <c r="BJ165" s="25" t="n"/>
      <c r="BK165" s="26" t="n">
        <v>-456</v>
      </c>
      <c r="BL165" s="27" t="n">
        <v>1.219298</v>
      </c>
      <c r="BM165" s="28" t="n">
        <v>0.820144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011f78a84f47452a</t>
        </is>
      </c>
      <c r="B166" s="24" t="inlineStr">
        <is>
          <t>2026-08-04T14:25:17.456036Z</t>
        </is>
      </c>
      <c r="C166" s="24" t="inlineStr">
        <is>
          <t>2026-08-04T18:00Z</t>
        </is>
      </c>
      <c r="D166" s="24" t="inlineStr">
        <is>
          <t>421-2026:182194</t>
        </is>
      </c>
      <c r="E166" s="24" t="inlineStr">
        <is>
          <t>TENNIS</t>
        </is>
      </c>
      <c r="F166" s="24" t="inlineStr">
        <is>
          <t>Katherine Sebov</t>
        </is>
      </c>
      <c r="G166" s="24" t="inlineStr">
        <is>
          <t>Marta Kostyuk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-2400</v>
      </c>
      <c r="M166" s="27" t="n">
        <v>1.041667</v>
      </c>
      <c r="N166" s="28" t="n">
        <v>0.96</v>
      </c>
      <c r="O166" s="28" t="n">
        <v>0.886886</v>
      </c>
      <c r="P166" s="28" t="n">
        <v>0.05</v>
      </c>
      <c r="Q166" s="28" t="n">
        <v>-0.073114</v>
      </c>
      <c r="R166" s="26" t="n">
        <v>0</v>
      </c>
      <c r="S166" s="29" t="n">
        <v>2</v>
      </c>
      <c r="T166" s="24" t="inlineStr">
        <is>
          <t>tennis-surface-elo-v1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Surface-blended Elo on Hard: Katherine Sebov p=0.113 vs Marta Kostyuk. Executable ask 0.9600 (aec-wta-markos-katseb-2026-08-03).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Katherine Sebov</t>
        </is>
      </c>
      <c r="AQ166" s="24" t="inlineStr">
        <is>
          <t>Katherine Sebov</t>
        </is>
      </c>
      <c r="AR166" s="24" t="inlineStr">
        <is>
          <t>Katherine Sebov</t>
        </is>
      </c>
      <c r="AS166" s="24" t="inlineStr">
        <is>
          <t>Marta Kostyuk</t>
        </is>
      </c>
      <c r="AT166" s="24" t="inlineStr">
        <is>
          <t>Marta Kostyuk</t>
        </is>
      </c>
      <c r="AU166" s="24" t="inlineStr">
        <is>
          <t>Marta Kostyuk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2026-08-04T14:23:28.644063Z</t>
        </is>
      </c>
      <c r="BI166" s="24" t="inlineStr">
        <is>
          <t>["same_event","same_team_same_day","same_league_same_day"]</t>
        </is>
      </c>
      <c r="BJ166" s="25" t="n"/>
      <c r="BK166" s="26" t="n">
        <v>-2400</v>
      </c>
      <c r="BL166" s="27" t="n">
        <v>1.041667</v>
      </c>
      <c r="BM166" s="28" t="n">
        <v>0.96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</row>
    <row r="167" ht="36" customHeight="1">
      <c r="A167" s="24" t="inlineStr">
        <is>
          <t>1a5b40675426470c</t>
        </is>
      </c>
      <c r="B167" s="24" t="inlineStr">
        <is>
          <t>2026-08-04T14:25:17.456036Z</t>
        </is>
      </c>
      <c r="C167" s="24" t="inlineStr">
        <is>
          <t>2026-08-04T18:00Z</t>
        </is>
      </c>
      <c r="D167" s="24" t="inlineStr">
        <is>
          <t>421-2026:182202</t>
        </is>
      </c>
      <c r="E167" s="24" t="inlineStr">
        <is>
          <t>TENNIS</t>
        </is>
      </c>
      <c r="F167" s="24" t="inlineStr">
        <is>
          <t>Talia Gibson</t>
        </is>
      </c>
      <c r="G167" s="24" t="inlineStr">
        <is>
          <t>Maja Chwalinska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117</v>
      </c>
      <c r="M167" s="27" t="n">
        <v>2.17</v>
      </c>
      <c r="N167" s="28" t="n">
        <v>0.460829</v>
      </c>
      <c r="O167" s="28" t="n">
        <v>0.623502</v>
      </c>
      <c r="P167" s="28" t="n">
        <v>0.05</v>
      </c>
      <c r="Q167" s="28" t="n">
        <v>0.162673</v>
      </c>
      <c r="R167" s="26" t="n">
        <v>100</v>
      </c>
      <c r="S167" s="29" t="n">
        <v>1.5</v>
      </c>
      <c r="T167" s="24" t="inlineStr">
        <is>
          <t>tennis-surface-elo-v1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Surface-blended Elo on Hard: Talia Gibson p=0.376 vs Maja Chwalinska. Executable ask 0.4600 (aec-wta-majchw-talgib-2026-08-04).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Talia Gibson</t>
        </is>
      </c>
      <c r="AQ167" s="24" t="inlineStr">
        <is>
          <t>Talia Gibson</t>
        </is>
      </c>
      <c r="AR167" s="24" t="inlineStr">
        <is>
          <t>Talia Gibson</t>
        </is>
      </c>
      <c r="AS167" s="24" t="inlineStr">
        <is>
          <t>Maja Chwalinska</t>
        </is>
      </c>
      <c r="AT167" s="24" t="inlineStr">
        <is>
          <t>Maja Chwalinska</t>
        </is>
      </c>
      <c r="AU167" s="24" t="inlineStr">
        <is>
          <t>Maja Chwalinska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2026-08-04T14:23:27.218479Z</t>
        </is>
      </c>
      <c r="BI167" s="24" t="inlineStr">
        <is>
          <t>["same_event","same_team_same_day","same_league_same_day"]</t>
        </is>
      </c>
      <c r="BJ167" s="25" t="n"/>
      <c r="BK167" s="26" t="n">
        <v>117</v>
      </c>
      <c r="BL167" s="27" t="n">
        <v>2.17</v>
      </c>
      <c r="BM167" s="28" t="n">
        <v>0.460829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31b03912b8b044d2</t>
        </is>
      </c>
      <c r="B168" s="24" t="inlineStr">
        <is>
          <t>2026-08-04T14:25:17.456036Z</t>
        </is>
      </c>
      <c r="C168" s="24" t="inlineStr">
        <is>
          <t>2026-08-04T19:30Z</t>
        </is>
      </c>
      <c r="D168" s="24" t="inlineStr">
        <is>
          <t>421-2026:182203</t>
        </is>
      </c>
      <c r="E168" s="24" t="inlineStr">
        <is>
          <t>TENNIS</t>
        </is>
      </c>
      <c r="F168" s="24" t="inlineStr">
        <is>
          <t>Jelena Ostapenko</t>
        </is>
      </c>
      <c r="G168" s="24" t="inlineStr">
        <is>
          <t>Zhang Shuai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-223</v>
      </c>
      <c r="M168" s="27" t="n">
        <v>1.44843</v>
      </c>
      <c r="N168" s="28" t="n">
        <v>0.690402</v>
      </c>
      <c r="O168" s="28" t="n">
        <v>0.660541</v>
      </c>
      <c r="P168" s="28" t="n">
        <v>0.05</v>
      </c>
      <c r="Q168" s="28" t="n">
        <v>-0.029861</v>
      </c>
      <c r="R168" s="26" t="n">
        <v>5</v>
      </c>
      <c r="S168" s="29" t="n">
        <v>1.75</v>
      </c>
      <c r="T168" s="24" t="inlineStr">
        <is>
          <t>tennis-surface-elo-v1</t>
        </is>
      </c>
      <c r="U168" s="24" t="inlineStr">
        <is>
          <t>open</t>
        </is>
      </c>
      <c r="V168" s="24" t="n"/>
      <c r="W168" s="26" t="n"/>
      <c r="X168" s="26" t="n"/>
      <c r="Y168" s="25" t="n"/>
      <c r="Z168" s="26" t="n"/>
      <c r="AA168" s="28" t="n"/>
      <c r="AB168" s="28" t="n"/>
      <c r="AC168" s="30" t="n"/>
      <c r="AD168" s="24" t="n"/>
      <c r="AE168" s="31" t="inlineStr">
        <is>
          <t>Surface-blended Elo on Hard: Jelena Ostapenko p=0.661 vs Zhang Shuai. Executable ask 0.6900 (aec-wta-shuzha-jelost-2026-08-04).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NO_CALL_LOW_EDGE</t>
        </is>
      </c>
      <c r="AP168" s="24" t="inlineStr">
        <is>
          <t>Jelena Ostapenko</t>
        </is>
      </c>
      <c r="AQ168" s="24" t="inlineStr">
        <is>
          <t>Jelena Ostapenko</t>
        </is>
      </c>
      <c r="AR168" s="24" t="inlineStr">
        <is>
          <t>Jelena Ostapenko</t>
        </is>
      </c>
      <c r="AS168" s="24" t="inlineStr">
        <is>
          <t>Zhang Shuai</t>
        </is>
      </c>
      <c r="AT168" s="24" t="inlineStr">
        <is>
          <t>Zhang Shuai</t>
        </is>
      </c>
      <c r="AU168" s="24" t="inlineStr">
        <is>
          <t>Zhang Shuai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2026-08-04T14:23:32.042757Z</t>
        </is>
      </c>
      <c r="BI168" s="24" t="inlineStr">
        <is>
          <t>["same_event","same_team_same_day","same_league_same_day"]</t>
        </is>
      </c>
      <c r="BJ168" s="25" t="n"/>
      <c r="BK168" s="26" t="n">
        <v>-223</v>
      </c>
      <c r="BL168" s="27" t="n">
        <v>1.44843</v>
      </c>
      <c r="BM168" s="28" t="n">
        <v>0.690402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26f96e7a16f74c02</t>
        </is>
      </c>
      <c r="B169" s="24" t="inlineStr">
        <is>
          <t>2026-08-04T14:25:17.456036Z</t>
        </is>
      </c>
      <c r="C169" s="24" t="inlineStr">
        <is>
          <t>2026-08-04T21:00Z</t>
        </is>
      </c>
      <c r="D169" s="24" t="inlineStr">
        <is>
          <t>421-2026:182167</t>
        </is>
      </c>
      <c r="E169" s="24" t="inlineStr">
        <is>
          <t>TENNIS</t>
        </is>
      </c>
      <c r="F169" s="24" t="inlineStr">
        <is>
          <t>McCartney Kessler</t>
        </is>
      </c>
      <c r="G169" s="24" t="inlineStr">
        <is>
          <t>Anna Kalinskaya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-163</v>
      </c>
      <c r="M169" s="27" t="n">
        <v>1.613497</v>
      </c>
      <c r="N169" s="28" t="n">
        <v>0.619772</v>
      </c>
      <c r="O169" s="28" t="n">
        <v>0.605938</v>
      </c>
      <c r="P169" s="28" t="n">
        <v>0.05</v>
      </c>
      <c r="Q169" s="28" t="n">
        <v>-0.013834</v>
      </c>
      <c r="R169" s="26" t="n">
        <v>13</v>
      </c>
      <c r="S169" s="29" t="n">
        <v>1.25</v>
      </c>
      <c r="T169" s="24" t="inlineStr">
        <is>
          <t>tennis-surface-elo-v1</t>
        </is>
      </c>
      <c r="U169" s="24" t="inlineStr">
        <is>
          <t>open</t>
        </is>
      </c>
      <c r="V169" s="24" t="n"/>
      <c r="W169" s="26" t="n"/>
      <c r="X169" s="26" t="n"/>
      <c r="Y169" s="25" t="n"/>
      <c r="Z169" s="26" t="n"/>
      <c r="AA169" s="28" t="n"/>
      <c r="AB169" s="28" t="n"/>
      <c r="AC169" s="30" t="n"/>
      <c r="AD169" s="24" t="n"/>
      <c r="AE169" s="31" t="inlineStr">
        <is>
          <t>Surface-blended Elo on Hard: McCartney Kessler p=0.394 vs Anna Kalinskaya. Executable ask 0.6200 (aec-wta-annkal-mcckes-2026-08-04).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McCartney Kessler</t>
        </is>
      </c>
      <c r="AQ169" s="24" t="inlineStr">
        <is>
          <t>McCartney Kessler</t>
        </is>
      </c>
      <c r="AR169" s="24" t="inlineStr">
        <is>
          <t>McCartney Kessler</t>
        </is>
      </c>
      <c r="AS169" s="24" t="inlineStr">
        <is>
          <t>Anna Kalinskaya</t>
        </is>
      </c>
      <c r="AT169" s="24" t="inlineStr">
        <is>
          <t>Anna Kalinskaya</t>
        </is>
      </c>
      <c r="AU169" s="24" t="inlineStr">
        <is>
          <t>Anna Kalinskaya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2026-08-04T14:23:33.276581Z</t>
        </is>
      </c>
      <c r="BI169" s="24" t="inlineStr">
        <is>
          <t>["same_event","same_team_same_day","same_league_same_day"]</t>
        </is>
      </c>
      <c r="BJ169" s="25" t="n"/>
      <c r="BK169" s="26" t="n">
        <v>-163</v>
      </c>
      <c r="BL169" s="27" t="n">
        <v>1.613497</v>
      </c>
      <c r="BM169" s="28" t="n">
        <v>0.619772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f9b6cec702b74c8a</t>
        </is>
      </c>
      <c r="B170" s="24" t="inlineStr">
        <is>
          <t>2026-08-04T14:25:17.456036Z</t>
        </is>
      </c>
      <c r="C170" s="24" t="inlineStr">
        <is>
          <t>2026-08-04T21:00Z</t>
        </is>
      </c>
      <c r="D170" s="24" t="inlineStr">
        <is>
          <t>421-2026:182168</t>
        </is>
      </c>
      <c r="E170" s="24" t="inlineStr">
        <is>
          <t>TENNIS</t>
        </is>
      </c>
      <c r="F170" s="24" t="inlineStr">
        <is>
          <t>Katerina Siniakova</t>
        </is>
      </c>
      <c r="G170" s="24" t="inlineStr">
        <is>
          <t>Kamilla Rakhimova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-194</v>
      </c>
      <c r="M170" s="27" t="n">
        <v>1.515464</v>
      </c>
      <c r="N170" s="28" t="n">
        <v>0.659864</v>
      </c>
      <c r="O170" s="28" t="n">
        <v>0.66176</v>
      </c>
      <c r="P170" s="28" t="n">
        <v>0.05</v>
      </c>
      <c r="Q170" s="28" t="n">
        <v>0.001896</v>
      </c>
      <c r="R170" s="26" t="n">
        <v>21</v>
      </c>
      <c r="S170" s="29" t="n">
        <v>1.75</v>
      </c>
      <c r="T170" s="24" t="inlineStr">
        <is>
          <t>tennis-surface-elo-v1</t>
        </is>
      </c>
      <c r="U170" s="24" t="inlineStr">
        <is>
          <t>open</t>
        </is>
      </c>
      <c r="V170" s="24" t="n"/>
      <c r="W170" s="26" t="n"/>
      <c r="X170" s="26" t="n"/>
      <c r="Y170" s="25" t="n"/>
      <c r="Z170" s="26" t="n"/>
      <c r="AA170" s="28" t="n"/>
      <c r="AB170" s="28" t="n"/>
      <c r="AC170" s="30" t="n"/>
      <c r="AD170" s="24" t="n"/>
      <c r="AE170" s="31" t="inlineStr">
        <is>
          <t>Surface-blended Elo on Hard: Katerina Siniakova p=0.662 vs Kamilla Rakhimova. Executable ask 0.6600 (aec-wta-kamrak-katsin-2026-08-03).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NO_CALL_LOW_EDGE</t>
        </is>
      </c>
      <c r="AP170" s="24" t="inlineStr">
        <is>
          <t>Katerina Siniakova</t>
        </is>
      </c>
      <c r="AQ170" s="24" t="inlineStr">
        <is>
          <t>Katerina Siniakova</t>
        </is>
      </c>
      <c r="AR170" s="24" t="inlineStr">
        <is>
          <t>Katerina Siniakova</t>
        </is>
      </c>
      <c r="AS170" s="24" t="inlineStr">
        <is>
          <t>Kamilla Rakhimova</t>
        </is>
      </c>
      <c r="AT170" s="24" t="inlineStr">
        <is>
          <t>Kamilla Rakhimova</t>
        </is>
      </c>
      <c r="AU170" s="24" t="inlineStr">
        <is>
          <t>Kamilla Rakhimova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2026-08-04T14:23:32.455927Z</t>
        </is>
      </c>
      <c r="BI170" s="24" t="inlineStr">
        <is>
          <t>["same_event","same_team_same_day","same_league_same_day"]</t>
        </is>
      </c>
      <c r="BJ170" s="25" t="n"/>
      <c r="BK170" s="26" t="n">
        <v>-194</v>
      </c>
      <c r="BL170" s="27" t="n">
        <v>1.515464</v>
      </c>
      <c r="BM170" s="28" t="n">
        <v>0.659864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b3ddab122d5c4281</t>
        </is>
      </c>
      <c r="B171" s="24" t="inlineStr">
        <is>
          <t>2026-08-04T14:25:17.456036Z</t>
        </is>
      </c>
      <c r="C171" s="24" t="inlineStr">
        <is>
          <t>2026-08-04T22:30Z</t>
        </is>
      </c>
      <c r="D171" s="24" t="inlineStr">
        <is>
          <t>421-2026:182188</t>
        </is>
      </c>
      <c r="E171" s="24" t="inlineStr">
        <is>
          <t>TENNIS</t>
        </is>
      </c>
      <c r="F171" s="24" t="inlineStr">
        <is>
          <t>Nikola Bartunkova</t>
        </is>
      </c>
      <c r="G171" s="24" t="inlineStr">
        <is>
          <t>Clara Tauson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-108</v>
      </c>
      <c r="M171" s="27" t="n">
        <v>1.925926</v>
      </c>
      <c r="N171" s="28" t="n">
        <v>0.519231</v>
      </c>
      <c r="O171" s="28" t="n">
        <v>0.540992</v>
      </c>
      <c r="P171" s="28" t="n">
        <v>0.05</v>
      </c>
      <c r="Q171" s="28" t="n">
        <v>0.021761</v>
      </c>
      <c r="R171" s="26" t="n">
        <v>31</v>
      </c>
      <c r="S171" s="29" t="n">
        <v>1</v>
      </c>
      <c r="T171" s="24" t="inlineStr">
        <is>
          <t>tennis-surface-elo-v1</t>
        </is>
      </c>
      <c r="U171" s="24" t="inlineStr">
        <is>
          <t>open</t>
        </is>
      </c>
      <c r="V171" s="24" t="n"/>
      <c r="W171" s="26" t="n"/>
      <c r="X171" s="26" t="n"/>
      <c r="Y171" s="25" t="n"/>
      <c r="Z171" s="26" t="n"/>
      <c r="AA171" s="28" t="n"/>
      <c r="AB171" s="28" t="n"/>
      <c r="AC171" s="30" t="n"/>
      <c r="AD171" s="24" t="n"/>
      <c r="AE171" s="31" t="inlineStr">
        <is>
          <t>Surface-blended Elo on Hard: Nikola Bartunkova p=0.459 vs Clara Tauson. Executable ask 0.5200 (aec-wta-clatau-nikbar-2026-08-04).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Nikola Bartunkova</t>
        </is>
      </c>
      <c r="AQ171" s="24" t="inlineStr">
        <is>
          <t>Nikola Bartunkova</t>
        </is>
      </c>
      <c r="AR171" s="24" t="inlineStr">
        <is>
          <t>Nikola Bartunkova</t>
        </is>
      </c>
      <c r="AS171" s="24" t="inlineStr">
        <is>
          <t>Clara Tauson</t>
        </is>
      </c>
      <c r="AT171" s="24" t="inlineStr">
        <is>
          <t>Clara Tauson</t>
        </is>
      </c>
      <c r="AU171" s="24" t="inlineStr">
        <is>
          <t>Clara Tauson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2026-08-04T14:23:33.957089Z</t>
        </is>
      </c>
      <c r="BI171" s="24" t="inlineStr">
        <is>
          <t>["same_event","same_team_same_day","same_league_same_day"]</t>
        </is>
      </c>
      <c r="BJ171" s="25" t="n"/>
      <c r="BK171" s="26" t="n">
        <v>-108</v>
      </c>
      <c r="BL171" s="27" t="n">
        <v>1.925926</v>
      </c>
      <c r="BM171" s="28" t="n">
        <v>0.519231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</row>
    <row r="172" ht="36" customHeight="1">
      <c r="A172" s="24" t="inlineStr">
        <is>
          <t>4e6b18e01f7d457d</t>
        </is>
      </c>
      <c r="B172" s="24" t="inlineStr">
        <is>
          <t>2026-08-04T14:25:17.456036Z</t>
        </is>
      </c>
      <c r="C172" s="24" t="inlineStr">
        <is>
          <t>2026-08-04T23:00Z</t>
        </is>
      </c>
      <c r="D172" s="24" t="inlineStr">
        <is>
          <t>421-2026:182199</t>
        </is>
      </c>
      <c r="E172" s="24" t="inlineStr">
        <is>
          <t>TENNIS</t>
        </is>
      </c>
      <c r="F172" s="24" t="inlineStr">
        <is>
          <t>Moyuka Uchijima</t>
        </is>
      </c>
      <c r="G172" s="24" t="inlineStr">
        <is>
          <t>Aryna Sabalenka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-1900</v>
      </c>
      <c r="M172" s="27" t="n">
        <v>1.052632</v>
      </c>
      <c r="N172" s="28" t="n">
        <v>0.95</v>
      </c>
      <c r="O172" s="28" t="n">
        <v>0.939322</v>
      </c>
      <c r="P172" s="28" t="n">
        <v>0.05</v>
      </c>
      <c r="Q172" s="28" t="n">
        <v>-0.010678</v>
      </c>
      <c r="R172" s="26" t="n">
        <v>15</v>
      </c>
      <c r="S172" s="29" t="n">
        <v>2</v>
      </c>
      <c r="T172" s="24" t="inlineStr">
        <is>
          <t>tennis-surface-elo-v1</t>
        </is>
      </c>
      <c r="U172" s="24" t="inlineStr">
        <is>
          <t>open</t>
        </is>
      </c>
      <c r="V172" s="24" t="n"/>
      <c r="W172" s="26" t="n"/>
      <c r="X172" s="26" t="n"/>
      <c r="Y172" s="25" t="n"/>
      <c r="Z172" s="26" t="n"/>
      <c r="AA172" s="28" t="n"/>
      <c r="AB172" s="28" t="n"/>
      <c r="AC172" s="30" t="n"/>
      <c r="AD172" s="24" t="n"/>
      <c r="AE172" s="31" t="inlineStr">
        <is>
          <t>Surface-blended Elo on Hard: Moyuka Uchijima p=0.061 vs Aryna Sabalenka. Executable ask 0.9500 (aec-wta-arysab-moyuch-2026-08-03).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Moyuka Uchijima</t>
        </is>
      </c>
      <c r="AQ172" s="24" t="inlineStr">
        <is>
          <t>Moyuka Uchijima</t>
        </is>
      </c>
      <c r="AR172" s="24" t="inlineStr">
        <is>
          <t>Moyuka Uchijima</t>
        </is>
      </c>
      <c r="AS172" s="24" t="inlineStr">
        <is>
          <t>Aryna Sabalenka</t>
        </is>
      </c>
      <c r="AT172" s="24" t="inlineStr">
        <is>
          <t>Aryna Sabalenka</t>
        </is>
      </c>
      <c r="AU172" s="24" t="inlineStr">
        <is>
          <t>Aryna Sabalenka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2026-08-04T14:23:34.911863Z</t>
        </is>
      </c>
      <c r="BI172" s="24" t="inlineStr">
        <is>
          <t>["same_event","same_team_same_day","same_league_same_day"]</t>
        </is>
      </c>
      <c r="BJ172" s="25" t="n"/>
      <c r="BK172" s="26" t="n">
        <v>-1900</v>
      </c>
      <c r="BL172" s="27" t="n">
        <v>1.052632</v>
      </c>
      <c r="BM172" s="28" t="n">
        <v>0.95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</row>
    <row r="173" ht="36" customHeight="1">
      <c r="A173" s="24" t="inlineStr">
        <is>
          <t>ff3c62439c944ae0</t>
        </is>
      </c>
      <c r="B173" s="24" t="inlineStr">
        <is>
          <t>2026-08-04T14:25:17.456036Z</t>
        </is>
      </c>
      <c r="C173" s="24" t="inlineStr">
        <is>
          <t>2026-08-05T00:30Z</t>
        </is>
      </c>
      <c r="D173" s="24" t="inlineStr">
        <is>
          <t>421-2026:182187</t>
        </is>
      </c>
      <c r="E173" s="24" t="inlineStr">
        <is>
          <t>TENNIS</t>
        </is>
      </c>
      <c r="F173" s="24" t="inlineStr">
        <is>
          <t>Amanda Anisimova</t>
        </is>
      </c>
      <c r="G173" s="24" t="inlineStr">
        <is>
          <t>Lanlana Tararudee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-245</v>
      </c>
      <c r="M173" s="27" t="n">
        <v>1.408163</v>
      </c>
      <c r="N173" s="28" t="n">
        <v>0.710145</v>
      </c>
      <c r="O173" s="28" t="n">
        <v>0.669885</v>
      </c>
      <c r="P173" s="28" t="n">
        <v>0.05</v>
      </c>
      <c r="Q173" s="28" t="n">
        <v>-0.04026</v>
      </c>
      <c r="R173" s="26" t="n">
        <v>0</v>
      </c>
      <c r="S173" s="29" t="n">
        <v>1.75</v>
      </c>
      <c r="T173" s="24" t="inlineStr">
        <is>
          <t>tennis-surface-elo-v1</t>
        </is>
      </c>
      <c r="U173" s="24" t="inlineStr">
        <is>
          <t>open</t>
        </is>
      </c>
      <c r="V173" s="24" t="n"/>
      <c r="W173" s="26" t="n"/>
      <c r="X173" s="26" t="n"/>
      <c r="Y173" s="25" t="n"/>
      <c r="Z173" s="26" t="n"/>
      <c r="AA173" s="28" t="n"/>
      <c r="AB173" s="28" t="n"/>
      <c r="AC173" s="30" t="n"/>
      <c r="AD173" s="24" t="n"/>
      <c r="AE173" s="31" t="inlineStr">
        <is>
          <t>Surface-blended Elo on Hard: Amanda Anisimova p=0.670 vs Lanlana Tararudee. Executable ask 0.7100 (aec-wta-lantar-amaani-2026-08-04).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Amanda Anisimova</t>
        </is>
      </c>
      <c r="AQ173" s="24" t="inlineStr">
        <is>
          <t>Amanda Anisimova</t>
        </is>
      </c>
      <c r="AR173" s="24" t="inlineStr">
        <is>
          <t>Amanda Anisimova</t>
        </is>
      </c>
      <c r="AS173" s="24" t="inlineStr">
        <is>
          <t>Lanlana Tararudee</t>
        </is>
      </c>
      <c r="AT173" s="24" t="inlineStr">
        <is>
          <t>Lanlana Tararudee</t>
        </is>
      </c>
      <c r="AU173" s="24" t="inlineStr">
        <is>
          <t>Lanlana Tararudee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2026-08-04T14:23:35.573123Z</t>
        </is>
      </c>
      <c r="BI173" s="24" t="inlineStr">
        <is>
          <t>["same_event","same_team_same_day","same_league_same_day"]</t>
        </is>
      </c>
      <c r="BJ173" s="25" t="n"/>
      <c r="BK173" s="26" t="n">
        <v>-245</v>
      </c>
      <c r="BL173" s="27" t="n">
        <v>1.408163</v>
      </c>
      <c r="BM173" s="28" t="n">
        <v>0.710145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d4594d4187e045ac</t>
        </is>
      </c>
      <c r="B174" s="24" t="inlineStr">
        <is>
          <t>2026-08-04T14:25:17.456036Z</t>
        </is>
      </c>
      <c r="C174" s="24" t="inlineStr">
        <is>
          <t>2026-08-04T15:00Z</t>
        </is>
      </c>
      <c r="D174" s="24" t="inlineStr">
        <is>
          <t>421-2026:181808</t>
        </is>
      </c>
      <c r="E174" s="24" t="inlineStr">
        <is>
          <t>TENNIS</t>
        </is>
      </c>
      <c r="F174" s="24" t="inlineStr">
        <is>
          <t>Marcos Giron</t>
        </is>
      </c>
      <c r="G174" s="24" t="inlineStr">
        <is>
          <t>Hubert Hurkacz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-170</v>
      </c>
      <c r="M174" s="27" t="n">
        <v>1.588235</v>
      </c>
      <c r="N174" s="28" t="n">
        <v>0.62963</v>
      </c>
      <c r="O174" s="28" t="n">
        <v>0.503757</v>
      </c>
      <c r="P174" s="28" t="n">
        <v>0.05</v>
      </c>
      <c r="Q174" s="28" t="n">
        <v>-0.125873</v>
      </c>
      <c r="R174" s="26" t="n">
        <v>0</v>
      </c>
      <c r="S174" s="29" t="n">
        <v>1</v>
      </c>
      <c r="T174" s="24" t="inlineStr">
        <is>
          <t>tennis-surface-elo-v1</t>
        </is>
      </c>
      <c r="U174" s="24" t="inlineStr">
        <is>
          <t>open</t>
        </is>
      </c>
      <c r="V174" s="24" t="n"/>
      <c r="W174" s="26" t="n"/>
      <c r="X174" s="26" t="n"/>
      <c r="Y174" s="25" t="n"/>
      <c r="Z174" s="26" t="n"/>
      <c r="AA174" s="28" t="n"/>
      <c r="AB174" s="28" t="n"/>
      <c r="AC174" s="30" t="n"/>
      <c r="AD174" s="24" t="n"/>
      <c r="AE174" s="31" t="inlineStr">
        <is>
          <t>Surface-blended Elo on Hard: Marcos Giron p=0.496 vs Hubert Hurkacz. Executable ask 0.6300 (aec-atp-hubhur-margir-2026-08-03).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Marcos Giron</t>
        </is>
      </c>
      <c r="AQ174" s="24" t="inlineStr">
        <is>
          <t>Marcos Giron</t>
        </is>
      </c>
      <c r="AR174" s="24" t="inlineStr">
        <is>
          <t>Marcos Giron</t>
        </is>
      </c>
      <c r="AS174" s="24" t="inlineStr">
        <is>
          <t>Hubert Hurkacz</t>
        </is>
      </c>
      <c r="AT174" s="24" t="inlineStr">
        <is>
          <t>Hubert Hurkacz</t>
        </is>
      </c>
      <c r="AU174" s="24" t="inlineStr">
        <is>
          <t>Hubert Hurkacz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2026-08-04T14:23:37.811283Z</t>
        </is>
      </c>
      <c r="BI174" s="24" t="inlineStr">
        <is>
          <t>["same_event","same_team_same_day","same_league_same_day"]</t>
        </is>
      </c>
      <c r="BJ174" s="25" t="n"/>
      <c r="BK174" s="26" t="n">
        <v>-170</v>
      </c>
      <c r="BL174" s="27" t="n">
        <v>1.588235</v>
      </c>
      <c r="BM174" s="28" t="n">
        <v>0.62963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b1e7434525d24f1d</t>
        </is>
      </c>
      <c r="B175" s="24" t="inlineStr">
        <is>
          <t>2026-08-04T14:25:17.456036Z</t>
        </is>
      </c>
      <c r="C175" s="24" t="inlineStr">
        <is>
          <t>2026-08-04T15:00Z</t>
        </is>
      </c>
      <c r="D175" s="24" t="inlineStr">
        <is>
          <t>421-2026:181822</t>
        </is>
      </c>
      <c r="E175" s="24" t="inlineStr">
        <is>
          <t>TENNIS</t>
        </is>
      </c>
      <c r="F175" s="24" t="inlineStr">
        <is>
          <t>Mattia Bellucci</t>
        </is>
      </c>
      <c r="G175" s="24" t="inlineStr">
        <is>
          <t>Sebastian Baez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0.559835</v>
      </c>
      <c r="P175" s="28" t="n">
        <v>0.05</v>
      </c>
      <c r="Q175" s="28" t="n">
        <v>0.020664</v>
      </c>
      <c r="R175" s="26" t="n">
        <v>30</v>
      </c>
      <c r="S175" s="29" t="n">
        <v>1</v>
      </c>
      <c r="T175" s="24" t="inlineStr">
        <is>
          <t>tennis-surface-elo-v1</t>
        </is>
      </c>
      <c r="U175" s="24" t="inlineStr">
        <is>
          <t>open</t>
        </is>
      </c>
      <c r="V175" s="24" t="n"/>
      <c r="W175" s="26" t="n"/>
      <c r="X175" s="26" t="n"/>
      <c r="Y175" s="25" t="n"/>
      <c r="Z175" s="26" t="n"/>
      <c r="AA175" s="28" t="n"/>
      <c r="AB175" s="28" t="n"/>
      <c r="AC175" s="30" t="n"/>
      <c r="AD175" s="24" t="n"/>
      <c r="AE175" s="31" t="inlineStr">
        <is>
          <t>Surface-blended Elo on Hard: Mattia Bellucci p=0.440 vs Sebastian Baez. Executable ask 0.5400 (aec-atp-sebbae-matbel-2026-08-03).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NO_CALL_LOW_EDGE</t>
        </is>
      </c>
      <c r="AP175" s="24" t="inlineStr">
        <is>
          <t>Mattia Bellucci</t>
        </is>
      </c>
      <c r="AQ175" s="24" t="inlineStr">
        <is>
          <t>Mattia Bellucci</t>
        </is>
      </c>
      <c r="AR175" s="24" t="inlineStr">
        <is>
          <t>Mattia Bellucci</t>
        </is>
      </c>
      <c r="AS175" s="24" t="inlineStr">
        <is>
          <t>Sebastian Baez</t>
        </is>
      </c>
      <c r="AT175" s="24" t="inlineStr">
        <is>
          <t>Sebastian Baez</t>
        </is>
      </c>
      <c r="AU175" s="24" t="inlineStr">
        <is>
          <t>Sebastian Baez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2026-08-04T14:23:36.155240Z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219c58a8b2b245b8</t>
        </is>
      </c>
      <c r="B176" s="24" t="inlineStr">
        <is>
          <t>2026-08-04T14:25:17.456036Z</t>
        </is>
      </c>
      <c r="C176" s="24" t="inlineStr">
        <is>
          <t>2026-08-04T15:00Z</t>
        </is>
      </c>
      <c r="D176" s="24" t="inlineStr">
        <is>
          <t>421-2026:181825</t>
        </is>
      </c>
      <c r="E176" s="24" t="inlineStr">
        <is>
          <t>TENNIS</t>
        </is>
      </c>
      <c r="F176" s="24" t="inlineStr">
        <is>
          <t>Jenson Brooksby</t>
        </is>
      </c>
      <c r="G176" s="24" t="inlineStr">
        <is>
          <t>Adam Walton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-127</v>
      </c>
      <c r="M176" s="27" t="n">
        <v>1.787402</v>
      </c>
      <c r="N176" s="28" t="n">
        <v>0.5594710000000001</v>
      </c>
      <c r="O176" s="28" t="n">
        <v>0.568221</v>
      </c>
      <c r="P176" s="28" t="n">
        <v>0.05</v>
      </c>
      <c r="Q176" s="28" t="n">
        <v>0.008750000000000001</v>
      </c>
      <c r="R176" s="26" t="n">
        <v>24</v>
      </c>
      <c r="S176" s="29" t="n">
        <v>1</v>
      </c>
      <c r="T176" s="24" t="inlineStr">
        <is>
          <t>tennis-surface-elo-v1</t>
        </is>
      </c>
      <c r="U176" s="24" t="inlineStr">
        <is>
          <t>open</t>
        </is>
      </c>
      <c r="V176" s="24" t="n"/>
      <c r="W176" s="26" t="n"/>
      <c r="X176" s="26" t="n"/>
      <c r="Y176" s="25" t="n"/>
      <c r="Z176" s="26" t="n"/>
      <c r="AA176" s="28" t="n"/>
      <c r="AB176" s="28" t="n"/>
      <c r="AC176" s="30" t="n"/>
      <c r="AD176" s="24" t="n"/>
      <c r="AE176" s="31" t="inlineStr">
        <is>
          <t>Surface-blended Elo on Hard: Jenson Brooksby p=0.568 vs Adam Walton. Executable ask 0.5600 (aec-atp-adawal-jenbro-2026-08-03).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Jenson Brooksby</t>
        </is>
      </c>
      <c r="AQ176" s="24" t="inlineStr">
        <is>
          <t>Jenson Brooksby</t>
        </is>
      </c>
      <c r="AR176" s="24" t="inlineStr">
        <is>
          <t>Jenson Brooksby</t>
        </is>
      </c>
      <c r="AS176" s="24" t="inlineStr">
        <is>
          <t>Adam Walton</t>
        </is>
      </c>
      <c r="AT176" s="24" t="inlineStr">
        <is>
          <t>Adam Walton</t>
        </is>
      </c>
      <c r="AU176" s="24" t="inlineStr">
        <is>
          <t>Adam Walton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2026-08-04T14:23:39.663692Z</t>
        </is>
      </c>
      <c r="BI176" s="24" t="inlineStr">
        <is>
          <t>["same_event","same_team_same_day","same_league_same_day"]</t>
        </is>
      </c>
      <c r="BJ176" s="25" t="n"/>
      <c r="BK176" s="26" t="n">
        <v>-127</v>
      </c>
      <c r="BL176" s="27" t="n">
        <v>1.787402</v>
      </c>
      <c r="BM176" s="28" t="n">
        <v>0.5594710000000001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db06ce7fe7e84145</t>
        </is>
      </c>
      <c r="B177" s="24" t="inlineStr">
        <is>
          <t>2026-08-04T14:25:17.456036Z</t>
        </is>
      </c>
      <c r="C177" s="24" t="inlineStr">
        <is>
          <t>2026-08-04T15:00Z</t>
        </is>
      </c>
      <c r="D177" s="24" t="inlineStr">
        <is>
          <t>421-2026:181831</t>
        </is>
      </c>
      <c r="E177" s="24" t="inlineStr">
        <is>
          <t>TENNIS</t>
        </is>
      </c>
      <c r="F177" s="24" t="inlineStr">
        <is>
          <t>Stefanos Tsitsipas</t>
        </is>
      </c>
      <c r="G177" s="24" t="inlineStr">
        <is>
          <t>Martin Damm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-186</v>
      </c>
      <c r="M177" s="27" t="n">
        <v>1.537634</v>
      </c>
      <c r="N177" s="28" t="n">
        <v>0.65035</v>
      </c>
      <c r="O177" s="28" t="n">
        <v>0.514482</v>
      </c>
      <c r="P177" s="28" t="n">
        <v>0.05</v>
      </c>
      <c r="Q177" s="28" t="n">
        <v>-0.135868</v>
      </c>
      <c r="R177" s="26" t="n">
        <v>0</v>
      </c>
      <c r="S177" s="29" t="n">
        <v>1</v>
      </c>
      <c r="T177" s="24" t="inlineStr">
        <is>
          <t>tennis-surface-elo-v1</t>
        </is>
      </c>
      <c r="U177" s="24" t="inlineStr">
        <is>
          <t>open</t>
        </is>
      </c>
      <c r="V177" s="24" t="n"/>
      <c r="W177" s="26" t="n"/>
      <c r="X177" s="26" t="n"/>
      <c r="Y177" s="25" t="n"/>
      <c r="Z177" s="26" t="n"/>
      <c r="AA177" s="28" t="n"/>
      <c r="AB177" s="28" t="n"/>
      <c r="AC177" s="30" t="n"/>
      <c r="AD177" s="24" t="n"/>
      <c r="AE177" s="31" t="inlineStr">
        <is>
          <t>Surface-blended Elo on Hard: Stefanos Tsitsipas p=0.514 vs Martin Damm. Executable ask 0.6500 (aec-atp-mardam-stetsi-2026-08-03).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Stefanos Tsitsipas</t>
        </is>
      </c>
      <c r="AQ177" s="24" t="inlineStr">
        <is>
          <t>Stefanos Tsitsipas</t>
        </is>
      </c>
      <c r="AR177" s="24" t="inlineStr">
        <is>
          <t>Stefanos Tsitsipas</t>
        </is>
      </c>
      <c r="AS177" s="24" t="inlineStr">
        <is>
          <t>Martin Damm</t>
        </is>
      </c>
      <c r="AT177" s="24" t="inlineStr">
        <is>
          <t>Martin Damm</t>
        </is>
      </c>
      <c r="AU177" s="24" t="inlineStr">
        <is>
          <t>Martin Damm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2026-08-04T14:23:38.853444Z</t>
        </is>
      </c>
      <c r="BI177" s="24" t="inlineStr">
        <is>
          <t>["same_event","same_team_same_day","same_league_same_day"]</t>
        </is>
      </c>
      <c r="BJ177" s="25" t="n"/>
      <c r="BK177" s="26" t="n">
        <v>-186</v>
      </c>
      <c r="BL177" s="27" t="n">
        <v>1.537634</v>
      </c>
      <c r="BM177" s="28" t="n">
        <v>0.65035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bb57c803540c45fb</t>
        </is>
      </c>
      <c r="B178" s="24" t="inlineStr">
        <is>
          <t>2026-08-04T14:25:17.456036Z</t>
        </is>
      </c>
      <c r="C178" s="24" t="inlineStr">
        <is>
          <t>2026-08-04T16:30Z</t>
        </is>
      </c>
      <c r="D178" s="24" t="inlineStr">
        <is>
          <t>421-2026:181780</t>
        </is>
      </c>
      <c r="E178" s="24" t="inlineStr">
        <is>
          <t>TENNIS</t>
        </is>
      </c>
      <c r="F178" s="24" t="inlineStr">
        <is>
          <t>Denis Shapovalov</t>
        </is>
      </c>
      <c r="G178" s="24" t="inlineStr">
        <is>
          <t>Zachary Svajda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-138</v>
      </c>
      <c r="M178" s="27" t="n">
        <v>1.724638</v>
      </c>
      <c r="N178" s="28" t="n">
        <v>0.579832</v>
      </c>
      <c r="O178" s="28" t="n">
        <v>0.533424</v>
      </c>
      <c r="P178" s="28" t="n">
        <v>0.05</v>
      </c>
      <c r="Q178" s="28" t="n">
        <v>-0.046408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open</t>
        </is>
      </c>
      <c r="V178" s="24" t="n"/>
      <c r="W178" s="26" t="n"/>
      <c r="X178" s="26" t="n"/>
      <c r="Y178" s="25" t="n"/>
      <c r="Z178" s="26" t="n"/>
      <c r="AA178" s="28" t="n"/>
      <c r="AB178" s="28" t="n"/>
      <c r="AC178" s="30" t="n"/>
      <c r="AD178" s="24" t="n"/>
      <c r="AE178" s="31" t="inlineStr">
        <is>
          <t>Surface-blended Elo on Hard: Denis Shapovalov p=0.533 vs Zachary Svajda. Executable ask 0.5800 (aec-atp-zacsva-densha-2026-08-03).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Denis Shapovalov</t>
        </is>
      </c>
      <c r="AQ178" s="24" t="inlineStr">
        <is>
          <t>Denis Shapovalov</t>
        </is>
      </c>
      <c r="AR178" s="24" t="inlineStr">
        <is>
          <t>Denis Shapovalov</t>
        </is>
      </c>
      <c r="AS178" s="24" t="inlineStr">
        <is>
          <t>Zachary Svajda</t>
        </is>
      </c>
      <c r="AT178" s="24" t="inlineStr">
        <is>
          <t>Zachary Svajda</t>
        </is>
      </c>
      <c r="AU178" s="24" t="inlineStr">
        <is>
          <t>Zachary Svajda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2026-08-04T14:23:42.520768Z</t>
        </is>
      </c>
      <c r="BI178" s="24" t="inlineStr">
        <is>
          <t>["same_event","same_team_same_day","same_league_same_day"]</t>
        </is>
      </c>
      <c r="BJ178" s="25" t="n"/>
      <c r="BK178" s="26" t="n">
        <v>-138</v>
      </c>
      <c r="BL178" s="27" t="n">
        <v>1.724638</v>
      </c>
      <c r="BM178" s="28" t="n">
        <v>0.579832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40583882508740f1</t>
        </is>
      </c>
      <c r="B179" s="24" t="inlineStr">
        <is>
          <t>2026-08-04T14:25:17.456036Z</t>
        </is>
      </c>
      <c r="C179" s="24" t="inlineStr">
        <is>
          <t>2026-08-04T16:30Z</t>
        </is>
      </c>
      <c r="D179" s="24" t="inlineStr">
        <is>
          <t>421-2026:181813</t>
        </is>
      </c>
      <c r="E179" s="24" t="inlineStr">
        <is>
          <t>TENNIS</t>
        </is>
      </c>
      <c r="F179" s="24" t="inlineStr">
        <is>
          <t>Liam Draxl</t>
        </is>
      </c>
      <c r="G179" s="24" t="inlineStr">
        <is>
          <t>Daniel Merida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-144</v>
      </c>
      <c r="M179" s="27" t="n">
        <v>1.694444</v>
      </c>
      <c r="N179" s="28" t="n">
        <v>0.590164</v>
      </c>
      <c r="O179" s="28" t="n">
        <v>0.69073</v>
      </c>
      <c r="P179" s="28" t="n">
        <v>0.05</v>
      </c>
      <c r="Q179" s="28" t="n">
        <v>0.100566</v>
      </c>
      <c r="R179" s="26" t="n">
        <v>70</v>
      </c>
      <c r="S179" s="29" t="n">
        <v>2</v>
      </c>
      <c r="T179" s="24" t="inlineStr">
        <is>
          <t>tennis-surface-elo-v1</t>
        </is>
      </c>
      <c r="U179" s="24" t="inlineStr">
        <is>
          <t>open</t>
        </is>
      </c>
      <c r="V179" s="24" t="n"/>
      <c r="W179" s="26" t="n"/>
      <c r="X179" s="26" t="n"/>
      <c r="Y179" s="25" t="n"/>
      <c r="Z179" s="26" t="n"/>
      <c r="AA179" s="28" t="n"/>
      <c r="AB179" s="28" t="n"/>
      <c r="AC179" s="30" t="n"/>
      <c r="AD179" s="24" t="n"/>
      <c r="AE179" s="31" t="inlineStr">
        <is>
          <t>Surface-blended Elo on Hard: Liam Draxl p=0.309 vs Daniel Merida. Executable ask 0.5900 (aec-atp-danagu-liadra-2026-08-03).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Liam Draxl</t>
        </is>
      </c>
      <c r="AQ179" s="24" t="inlineStr">
        <is>
          <t>Liam Draxl</t>
        </is>
      </c>
      <c r="AR179" s="24" t="inlineStr">
        <is>
          <t>Liam Draxl</t>
        </is>
      </c>
      <c r="AS179" s="24" t="inlineStr">
        <is>
          <t>Daniel Merida</t>
        </is>
      </c>
      <c r="AT179" s="24" t="inlineStr">
        <is>
          <t>Daniel Merida</t>
        </is>
      </c>
      <c r="AU179" s="24" t="inlineStr">
        <is>
          <t>Daniel Merida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2026-08-04T14:23:40.504586Z</t>
        </is>
      </c>
      <c r="BI179" s="24" t="inlineStr">
        <is>
          <t>["same_event","same_team_same_day","same_league_same_day"]</t>
        </is>
      </c>
      <c r="BJ179" s="25" t="n"/>
      <c r="BK179" s="26" t="n">
        <v>-144</v>
      </c>
      <c r="BL179" s="27" t="n">
        <v>1.694444</v>
      </c>
      <c r="BM179" s="28" t="n">
        <v>0.590164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8b1d1d4c380f4fae</t>
        </is>
      </c>
      <c r="B180" s="24" t="inlineStr">
        <is>
          <t>2026-08-04T14:25:17.456036Z</t>
        </is>
      </c>
      <c r="C180" s="24" t="inlineStr">
        <is>
          <t>2026-08-04T16:30Z</t>
        </is>
      </c>
      <c r="D180" s="24" t="inlineStr">
        <is>
          <t>421-2026:181818</t>
        </is>
      </c>
      <c r="E180" s="24" t="inlineStr">
        <is>
          <t>TENNIS</t>
        </is>
      </c>
      <c r="F180" s="24" t="inlineStr">
        <is>
          <t>Valentin Royer</t>
        </is>
      </c>
      <c r="G180" s="24" t="inlineStr">
        <is>
          <t>Pablo Carreno Busta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-203</v>
      </c>
      <c r="M180" s="27" t="n">
        <v>1.492611</v>
      </c>
      <c r="N180" s="28" t="n">
        <v>0.669967</v>
      </c>
      <c r="O180" s="28" t="n">
        <v>0.627342</v>
      </c>
      <c r="P180" s="28" t="n">
        <v>0.05</v>
      </c>
      <c r="Q180" s="28" t="n">
        <v>-0.042625</v>
      </c>
      <c r="R180" s="26" t="n">
        <v>0</v>
      </c>
      <c r="S180" s="29" t="n">
        <v>1.5</v>
      </c>
      <c r="T180" s="24" t="inlineStr">
        <is>
          <t>tennis-surface-elo-v1</t>
        </is>
      </c>
      <c r="U180" s="24" t="inlineStr">
        <is>
          <t>open</t>
        </is>
      </c>
      <c r="V180" s="24" t="n"/>
      <c r="W180" s="26" t="n"/>
      <c r="X180" s="26" t="n"/>
      <c r="Y180" s="25" t="n"/>
      <c r="Z180" s="26" t="n"/>
      <c r="AA180" s="28" t="n"/>
      <c r="AB180" s="28" t="n"/>
      <c r="AC180" s="30" t="n"/>
      <c r="AD180" s="24" t="n"/>
      <c r="AE180" s="31" t="inlineStr">
        <is>
          <t>Surface-blended Elo on Hard: Valentin Royer p=0.373 vs Pablo Carreno Busta. Executable ask 0.6700 (aec-atp-pabbus-valroy-2026-08-03).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Valentin Royer</t>
        </is>
      </c>
      <c r="AQ180" s="24" t="inlineStr">
        <is>
          <t>Valentin Royer</t>
        </is>
      </c>
      <c r="AR180" s="24" t="inlineStr">
        <is>
          <t>Valentin Royer</t>
        </is>
      </c>
      <c r="AS180" s="24" t="inlineStr">
        <is>
          <t>Pablo Carreno Busta</t>
        </is>
      </c>
      <c r="AT180" s="24" t="inlineStr">
        <is>
          <t>Pablo Carreno Busta</t>
        </is>
      </c>
      <c r="AU180" s="24" t="inlineStr">
        <is>
          <t>Pablo Carreno Busta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2026-08-04T14:23:42.998144Z</t>
        </is>
      </c>
      <c r="BI180" s="24" t="inlineStr">
        <is>
          <t>["same_event","same_team_same_day","same_league_same_day"]</t>
        </is>
      </c>
      <c r="BJ180" s="25" t="n"/>
      <c r="BK180" s="26" t="n">
        <v>-203</v>
      </c>
      <c r="BL180" s="27" t="n">
        <v>1.492611</v>
      </c>
      <c r="BM180" s="28" t="n">
        <v>0.669967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c82edb11ac4240cb</t>
        </is>
      </c>
      <c r="B181" s="24" t="inlineStr">
        <is>
          <t>2026-08-04T14:25:17.456036Z</t>
        </is>
      </c>
      <c r="C181" s="24" t="inlineStr">
        <is>
          <t>2026-08-04T16:30Z</t>
        </is>
      </c>
      <c r="D181" s="24" t="inlineStr">
        <is>
          <t>421-2026:181819</t>
        </is>
      </c>
      <c r="E181" s="24" t="inlineStr">
        <is>
          <t>TENNIS</t>
        </is>
      </c>
      <c r="F181" s="24" t="inlineStr">
        <is>
          <t>Roman Andres Burruchaga</t>
        </is>
      </c>
      <c r="G181" s="24" t="inlineStr">
        <is>
          <t>Alexei Popyrin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156</v>
      </c>
      <c r="M181" s="27" t="n">
        <v>2.56</v>
      </c>
      <c r="N181" s="28" t="n">
        <v>0.390625</v>
      </c>
      <c r="O181" s="28" t="n">
        <v>0.51802</v>
      </c>
      <c r="P181" s="28" t="n">
        <v>0.05</v>
      </c>
      <c r="Q181" s="28" t="n">
        <v>0.127395</v>
      </c>
      <c r="R181" s="26" t="n">
        <v>84</v>
      </c>
      <c r="S181" s="29" t="n">
        <v>1</v>
      </c>
      <c r="T181" s="24" t="inlineStr">
        <is>
          <t>tennis-surface-elo-v1</t>
        </is>
      </c>
      <c r="U181" s="24" t="inlineStr">
        <is>
          <t>open</t>
        </is>
      </c>
      <c r="V181" s="24" t="n"/>
      <c r="W181" s="26" t="n"/>
      <c r="X181" s="26" t="n"/>
      <c r="Y181" s="25" t="n"/>
      <c r="Z181" s="26" t="n"/>
      <c r="AA181" s="28" t="n"/>
      <c r="AB181" s="28" t="n"/>
      <c r="AC181" s="30" t="n"/>
      <c r="AD181" s="24" t="n"/>
      <c r="AE181" s="31" t="inlineStr">
        <is>
          <t>Surface-blended Elo on Hard: Roman Andres Burruchaga p=0.518 vs Alexei Popyrin. Executable ask 0.3900 (aec-atp-alepop-rombur-2026-08-03).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Roman Andres Burruchaga</t>
        </is>
      </c>
      <c r="AQ181" s="24" t="inlineStr">
        <is>
          <t>Roman Andres Burruchaga</t>
        </is>
      </c>
      <c r="AR181" s="24" t="inlineStr">
        <is>
          <t>Roman Andres Burruchaga</t>
        </is>
      </c>
      <c r="AS181" s="24" t="inlineStr">
        <is>
          <t>Alexei Popyrin</t>
        </is>
      </c>
      <c r="AT181" s="24" t="inlineStr">
        <is>
          <t>Alexei Popyrin</t>
        </is>
      </c>
      <c r="AU181" s="24" t="inlineStr">
        <is>
          <t>Alexei Popyrin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2026-08-04T14:23:41.482867Z</t>
        </is>
      </c>
      <c r="BI181" s="24" t="inlineStr">
        <is>
          <t>["same_event","same_team_same_day","same_league_same_day"]</t>
        </is>
      </c>
      <c r="BJ181" s="25" t="n"/>
      <c r="BK181" s="26" t="n">
        <v>156</v>
      </c>
      <c r="BL181" s="27" t="n">
        <v>2.56</v>
      </c>
      <c r="BM181" s="28" t="n">
        <v>0.390625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</row>
    <row r="182" ht="36" customHeight="1">
      <c r="A182" s="24" t="inlineStr">
        <is>
          <t>099541b05ab04a2b</t>
        </is>
      </c>
      <c r="B182" s="24" t="inlineStr">
        <is>
          <t>2026-08-04T14:25:17.456036Z</t>
        </is>
      </c>
      <c r="C182" s="24" t="inlineStr">
        <is>
          <t>2026-08-04T18:00Z</t>
        </is>
      </c>
      <c r="D182" s="24" t="inlineStr">
        <is>
          <t>421-2026:181773</t>
        </is>
      </c>
      <c r="E182" s="24" t="inlineStr">
        <is>
          <t>TENNIS</t>
        </is>
      </c>
      <c r="F182" s="24" t="inlineStr">
        <is>
          <t>Andrey Rublev</t>
        </is>
      </c>
      <c r="G182" s="24" t="inlineStr">
        <is>
          <t>Shang Juncheng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-355</v>
      </c>
      <c r="M182" s="27" t="n">
        <v>1.28169</v>
      </c>
      <c r="N182" s="28" t="n">
        <v>0.78022</v>
      </c>
      <c r="O182" s="28" t="n">
        <v>0.734849</v>
      </c>
      <c r="P182" s="28" t="n">
        <v>0.05</v>
      </c>
      <c r="Q182" s="28" t="n">
        <v>-0.045371</v>
      </c>
      <c r="R182" s="26" t="n">
        <v>0</v>
      </c>
      <c r="S182" s="29" t="n">
        <v>2</v>
      </c>
      <c r="T182" s="24" t="inlineStr">
        <is>
          <t>tennis-surface-elo-v1</t>
        </is>
      </c>
      <c r="U182" s="24" t="inlineStr">
        <is>
          <t>open</t>
        </is>
      </c>
      <c r="V182" s="24" t="n"/>
      <c r="W182" s="26" t="n"/>
      <c r="X182" s="26" t="n"/>
      <c r="Y182" s="25" t="n"/>
      <c r="Z182" s="26" t="n"/>
      <c r="AA182" s="28" t="n"/>
      <c r="AB182" s="28" t="n"/>
      <c r="AC182" s="30" t="n"/>
      <c r="AD182" s="24" t="n"/>
      <c r="AE182" s="31" t="inlineStr">
        <is>
          <t>Surface-blended Elo on Hard: Andrey Rublev p=0.735 vs Shang Juncheng. Executable ask 0.7800 (aec-atp-junsha-andrub-2026-08-03).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Andrey Rublev</t>
        </is>
      </c>
      <c r="AQ182" s="24" t="inlineStr">
        <is>
          <t>Andrey Rublev</t>
        </is>
      </c>
      <c r="AR182" s="24" t="inlineStr">
        <is>
          <t>Andrey Rublev</t>
        </is>
      </c>
      <c r="AS182" s="24" t="inlineStr">
        <is>
          <t>Shang Juncheng</t>
        </is>
      </c>
      <c r="AT182" s="24" t="inlineStr">
        <is>
          <t>Shang Juncheng</t>
        </is>
      </c>
      <c r="AU182" s="24" t="inlineStr">
        <is>
          <t>Shang Juncheng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2026-08-04T14:23:46.218511Z</t>
        </is>
      </c>
      <c r="BI182" s="24" t="inlineStr">
        <is>
          <t>["same_event","same_team_same_day","same_league_same_day"]</t>
        </is>
      </c>
      <c r="BJ182" s="25" t="n"/>
      <c r="BK182" s="26" t="n">
        <v>-355</v>
      </c>
      <c r="BL182" s="27" t="n">
        <v>1.28169</v>
      </c>
      <c r="BM182" s="28" t="n">
        <v>0.78022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04ece78aae634ca4</t>
        </is>
      </c>
      <c r="B183" s="24" t="inlineStr">
        <is>
          <t>2026-08-04T14:25:17.456036Z</t>
        </is>
      </c>
      <c r="C183" s="24" t="inlineStr">
        <is>
          <t>2026-08-04T18:00Z</t>
        </is>
      </c>
      <c r="D183" s="24" t="inlineStr">
        <is>
          <t>421-2026:181784</t>
        </is>
      </c>
      <c r="E183" s="24" t="inlineStr">
        <is>
          <t>TENNIS</t>
        </is>
      </c>
      <c r="F183" s="24" t="inlineStr">
        <is>
          <t>Tallon Griekspoor</t>
        </is>
      </c>
      <c r="G183" s="24" t="inlineStr">
        <is>
          <t>Lorenzo Sonego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-108</v>
      </c>
      <c r="M183" s="27" t="n">
        <v>1.925926</v>
      </c>
      <c r="N183" s="28" t="n">
        <v>0.519231</v>
      </c>
      <c r="O183" s="28" t="n">
        <v>0.506379</v>
      </c>
      <c r="P183" s="28" t="n">
        <v>0.05</v>
      </c>
      <c r="Q183" s="28" t="n">
        <v>-0.012852</v>
      </c>
      <c r="R183" s="26" t="n">
        <v>14</v>
      </c>
      <c r="S183" s="29" t="n">
        <v>1</v>
      </c>
      <c r="T183" s="24" t="inlineStr">
        <is>
          <t>tennis-surface-elo-v1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Surface-blended Elo on Hard: Tallon Griekspoor p=0.506 vs Lorenzo Sonego. Executable ask 0.5200 (aec-atp-lorson-talgri-2026-08-03).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Tallon Griekspoor</t>
        </is>
      </c>
      <c r="AQ183" s="24" t="inlineStr">
        <is>
          <t>Tallon Griekspoor</t>
        </is>
      </c>
      <c r="AR183" s="24" t="inlineStr">
        <is>
          <t>Tallon Griekspoor</t>
        </is>
      </c>
      <c r="AS183" s="24" t="inlineStr">
        <is>
          <t>Lorenzo Sonego</t>
        </is>
      </c>
      <c r="AT183" s="24" t="inlineStr">
        <is>
          <t>Lorenzo Sonego</t>
        </is>
      </c>
      <c r="AU183" s="24" t="inlineStr">
        <is>
          <t>Lorenzo Sonego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2026-08-04T14:23:46.583118Z</t>
        </is>
      </c>
      <c r="BI183" s="24" t="inlineStr">
        <is>
          <t>["same_event","same_team_same_day","same_league_same_day"]</t>
        </is>
      </c>
      <c r="BJ183" s="25" t="n"/>
      <c r="BK183" s="26" t="n">
        <v>-108</v>
      </c>
      <c r="BL183" s="27" t="n">
        <v>1.925926</v>
      </c>
      <c r="BM183" s="28" t="n">
        <v>0.519231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</row>
    <row r="184" ht="36" customHeight="1">
      <c r="A184" s="24" t="inlineStr">
        <is>
          <t>a82fabf49ca14e39</t>
        </is>
      </c>
      <c r="B184" s="24" t="inlineStr">
        <is>
          <t>2026-08-04T14:25:17.456036Z</t>
        </is>
      </c>
      <c r="C184" s="24" t="inlineStr">
        <is>
          <t>2026-08-04T18:00Z</t>
        </is>
      </c>
      <c r="D184" s="24" t="inlineStr">
        <is>
          <t>421-2026:181805</t>
        </is>
      </c>
      <c r="E184" s="24" t="inlineStr">
        <is>
          <t>TENNIS</t>
        </is>
      </c>
      <c r="F184" s="24" t="inlineStr">
        <is>
          <t>Botic Van De Zandschulp</t>
        </is>
      </c>
      <c r="G184" s="24" t="inlineStr">
        <is>
          <t>Giovanni Mpetshi Perricard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-127</v>
      </c>
      <c r="M184" s="27" t="n">
        <v>1.787402</v>
      </c>
      <c r="N184" s="28" t="n">
        <v>0.5594710000000001</v>
      </c>
      <c r="O184" s="28" t="n">
        <v>0.517974</v>
      </c>
      <c r="P184" s="28" t="n">
        <v>0.05</v>
      </c>
      <c r="Q184" s="28" t="n">
        <v>-0.041497</v>
      </c>
      <c r="R184" s="26" t="n">
        <v>0</v>
      </c>
      <c r="S184" s="29" t="n">
        <v>1</v>
      </c>
      <c r="T184" s="24" t="inlineStr">
        <is>
          <t>tennis-surface-elo-v1</t>
        </is>
      </c>
      <c r="U184" s="24" t="inlineStr">
        <is>
          <t>open</t>
        </is>
      </c>
      <c r="V184" s="24" t="n"/>
      <c r="W184" s="26" t="n"/>
      <c r="X184" s="26" t="n"/>
      <c r="Y184" s="25" t="n"/>
      <c r="Z184" s="26" t="n"/>
      <c r="AA184" s="28" t="n"/>
      <c r="AB184" s="28" t="n"/>
      <c r="AC184" s="30" t="n"/>
      <c r="AD184" s="24" t="n"/>
      <c r="AE184" s="31" t="inlineStr">
        <is>
          <t>Surface-blended Elo on Hard: Botic Van De Zandschulp p=0.518 vs Giovanni Mpetshi Perricard. Executable ask 0.5600 (aec-atp-gioper-botzan-2026-08-03).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Botic Van De Zandschulp</t>
        </is>
      </c>
      <c r="AQ184" s="24" t="inlineStr">
        <is>
          <t>Botic Van De Zandschulp</t>
        </is>
      </c>
      <c r="AR184" s="24" t="inlineStr">
        <is>
          <t>Botic Van De Zandschulp</t>
        </is>
      </c>
      <c r="AS184" s="24" t="inlineStr">
        <is>
          <t>Giovanni Mpetshi Perricard</t>
        </is>
      </c>
      <c r="AT184" s="24" t="inlineStr">
        <is>
          <t>Giovanni Mpetshi Perricard</t>
        </is>
      </c>
      <c r="AU184" s="24" t="inlineStr">
        <is>
          <t>Giovanni Mpetshi Perricard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2026-08-04T14:23:48.356638Z</t>
        </is>
      </c>
      <c r="BI184" s="24" t="inlineStr">
        <is>
          <t>["same_event","same_team_same_day","same_league_same_day"]</t>
        </is>
      </c>
      <c r="BJ184" s="25" t="n"/>
      <c r="BK184" s="26" t="n">
        <v>-127</v>
      </c>
      <c r="BL184" s="27" t="n">
        <v>1.787402</v>
      </c>
      <c r="BM184" s="28" t="n">
        <v>0.5594710000000001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</row>
    <row r="185" ht="36" customHeight="1">
      <c r="A185" s="24" t="inlineStr">
        <is>
          <t>fc66766cb5fa4682</t>
        </is>
      </c>
      <c r="B185" s="24" t="inlineStr">
        <is>
          <t>2026-08-04T14:25:17.456036Z</t>
        </is>
      </c>
      <c r="C185" s="24" t="inlineStr">
        <is>
          <t>2026-08-04T18:00Z</t>
        </is>
      </c>
      <c r="D185" s="24" t="inlineStr">
        <is>
          <t>421-2026:181810</t>
        </is>
      </c>
      <c r="E185" s="24" t="inlineStr">
        <is>
          <t>TENNIS</t>
        </is>
      </c>
      <c r="F185" s="24" t="inlineStr">
        <is>
          <t>Jack Draper</t>
        </is>
      </c>
      <c r="G185" s="24" t="inlineStr">
        <is>
          <t>Terence Atmane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-203</v>
      </c>
      <c r="M185" s="27" t="n">
        <v>1.492611</v>
      </c>
      <c r="N185" s="28" t="n">
        <v>0.669967</v>
      </c>
      <c r="O185" s="28" t="n">
        <v>0.781578</v>
      </c>
      <c r="P185" s="28" t="n">
        <v>0.05</v>
      </c>
      <c r="Q185" s="28" t="n">
        <v>0.111611</v>
      </c>
      <c r="R185" s="26" t="n">
        <v>76</v>
      </c>
      <c r="S185" s="29" t="n">
        <v>2</v>
      </c>
      <c r="T185" s="24" t="inlineStr">
        <is>
          <t>tennis-surface-elo-v1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Surface-blended Elo on Hard: Jack Draper p=0.782 vs Terence Atmane. Executable ask 0.6700 (aec-atp-teratm-jacdra-2026-08-03).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Jack Draper</t>
        </is>
      </c>
      <c r="AQ185" s="24" t="inlineStr">
        <is>
          <t>Jack Draper</t>
        </is>
      </c>
      <c r="AR185" s="24" t="inlineStr">
        <is>
          <t>Jack Draper</t>
        </is>
      </c>
      <c r="AS185" s="24" t="inlineStr">
        <is>
          <t>Terence Atmane</t>
        </is>
      </c>
      <c r="AT185" s="24" t="inlineStr">
        <is>
          <t>Terence Atmane</t>
        </is>
      </c>
      <c r="AU185" s="24" t="inlineStr">
        <is>
          <t>Terence Atmane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2026-08-04T14:23:45.147148Z</t>
        </is>
      </c>
      <c r="BI185" s="24" t="inlineStr">
        <is>
          <t>["same_event","same_team_same_day","same_league_same_day"]</t>
        </is>
      </c>
      <c r="BJ185" s="25" t="n"/>
      <c r="BK185" s="26" t="n">
        <v>-203</v>
      </c>
      <c r="BL185" s="27" t="n">
        <v>1.492611</v>
      </c>
      <c r="BM185" s="28" t="n">
        <v>0.669967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ccfb12ee82884b5f</t>
        </is>
      </c>
      <c r="B186" s="24" t="inlineStr">
        <is>
          <t>2026-08-04T14:25:17.456036Z</t>
        </is>
      </c>
      <c r="C186" s="24" t="inlineStr">
        <is>
          <t>2026-08-04T18:00Z</t>
        </is>
      </c>
      <c r="D186" s="24" t="inlineStr">
        <is>
          <t>421-2026:181829</t>
        </is>
      </c>
      <c r="E186" s="24" t="inlineStr">
        <is>
          <t>TENNIS</t>
        </is>
      </c>
      <c r="F186" s="24" t="inlineStr">
        <is>
          <t>Hamad Medjedovic</t>
        </is>
      </c>
      <c r="G186" s="24" t="inlineStr">
        <is>
          <t>Juan Manuel Cerundolo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-163</v>
      </c>
      <c r="M186" s="27" t="n">
        <v>1.613497</v>
      </c>
      <c r="N186" s="28" t="n">
        <v>0.619772</v>
      </c>
      <c r="O186" s="28" t="n">
        <v>0.595125</v>
      </c>
      <c r="P186" s="28" t="n">
        <v>0.05</v>
      </c>
      <c r="Q186" s="28" t="n">
        <v>-0.024647</v>
      </c>
      <c r="R186" s="26" t="n">
        <v>8</v>
      </c>
      <c r="S186" s="29" t="n">
        <v>1.25</v>
      </c>
      <c r="T186" s="24" t="inlineStr">
        <is>
          <t>tennis-surface-elo-v1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Surface-blended Elo on Hard: Hamad Medjedovic p=0.595 vs Juan Manuel Cerundolo. Executable ask 0.6200 (aec-atp-juacer-hammed-2026-08-03).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Hamad Medjedovic</t>
        </is>
      </c>
      <c r="AQ186" s="24" t="inlineStr">
        <is>
          <t>Hamad Medjedovic</t>
        </is>
      </c>
      <c r="AR186" s="24" t="inlineStr">
        <is>
          <t>Hamad Medjedovic</t>
        </is>
      </c>
      <c r="AS186" s="24" t="inlineStr">
        <is>
          <t>Juan Manuel Cerundolo</t>
        </is>
      </c>
      <c r="AT186" s="24" t="inlineStr">
        <is>
          <t>Juan Manuel Cerundolo</t>
        </is>
      </c>
      <c r="AU186" s="24" t="inlineStr">
        <is>
          <t>Juan Manuel Cerundolo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2026-08-04T14:23:47.750919Z</t>
        </is>
      </c>
      <c r="BI186" s="24" t="inlineStr">
        <is>
          <t>["same_event","same_team_same_day","same_league_same_day"]</t>
        </is>
      </c>
      <c r="BJ186" s="25" t="n"/>
      <c r="BK186" s="26" t="n">
        <v>-163</v>
      </c>
      <c r="BL186" s="27" t="n">
        <v>1.613497</v>
      </c>
      <c r="BM186" s="28" t="n">
        <v>0.619772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bc82e4b9c900489e</t>
        </is>
      </c>
      <c r="B187" s="24" t="inlineStr">
        <is>
          <t>2026-08-04T14:25:17.456036Z</t>
        </is>
      </c>
      <c r="C187" s="24" t="inlineStr">
        <is>
          <t>2026-08-04T19:30Z</t>
        </is>
      </c>
      <c r="D187" s="24" t="inlineStr">
        <is>
          <t>421-2026:181776</t>
        </is>
      </c>
      <c r="E187" s="24" t="inlineStr">
        <is>
          <t>TENNIS</t>
        </is>
      </c>
      <c r="F187" s="24" t="inlineStr">
        <is>
          <t>Vit Kopriva</t>
        </is>
      </c>
      <c r="G187" s="24" t="inlineStr">
        <is>
          <t>Jiri Lehecka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-525</v>
      </c>
      <c r="M187" s="27" t="n">
        <v>1.190476</v>
      </c>
      <c r="N187" s="28" t="n">
        <v>0.84</v>
      </c>
      <c r="O187" s="28" t="n">
        <v>0.764483</v>
      </c>
      <c r="P187" s="28" t="n">
        <v>0.05</v>
      </c>
      <c r="Q187" s="28" t="n">
        <v>-0.075517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Surface-blended Elo on Hard: Vit Kopriva p=0.236 vs Jiri Lehecka. Executable ask 0.8400 (aec-atp-jirleh-vitkop-2026-08-04).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Vit Kopriva</t>
        </is>
      </c>
      <c r="AQ187" s="24" t="inlineStr">
        <is>
          <t>Vit Kopriva</t>
        </is>
      </c>
      <c r="AR187" s="24" t="inlineStr">
        <is>
          <t>Vit Kopriva</t>
        </is>
      </c>
      <c r="AS187" s="24" t="inlineStr">
        <is>
          <t>Jiri Lehecka</t>
        </is>
      </c>
      <c r="AT187" s="24" t="inlineStr">
        <is>
          <t>Jiri Lehecka</t>
        </is>
      </c>
      <c r="AU187" s="24" t="inlineStr">
        <is>
          <t>Jiri Lehecka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2026-08-04T14:23:49.815541Z</t>
        </is>
      </c>
      <c r="BI187" s="24" t="inlineStr">
        <is>
          <t>["same_event","same_team_same_day","same_league_same_day"]</t>
        </is>
      </c>
      <c r="BJ187" s="25" t="n"/>
      <c r="BK187" s="26" t="n">
        <v>-525</v>
      </c>
      <c r="BL187" s="27" t="n">
        <v>1.190476</v>
      </c>
      <c r="BM187" s="28" t="n">
        <v>0.84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</row>
    <row r="188" ht="36" customHeight="1">
      <c r="A188" s="24" t="inlineStr">
        <is>
          <t>47fc87a981aa4c49</t>
        </is>
      </c>
      <c r="B188" s="24" t="inlineStr">
        <is>
          <t>2026-08-04T14:25:17.456036Z</t>
        </is>
      </c>
      <c r="C188" s="24" t="inlineStr">
        <is>
          <t>2026-08-04T19:30Z</t>
        </is>
      </c>
      <c r="D188" s="24" t="inlineStr">
        <is>
          <t>421-2026:181778</t>
        </is>
      </c>
      <c r="E188" s="24" t="inlineStr">
        <is>
          <t>TENNIS</t>
        </is>
      </c>
      <c r="F188" s="24" t="inlineStr">
        <is>
          <t>Alexander Blockx</t>
        </is>
      </c>
      <c r="G188" s="24" t="inlineStr">
        <is>
          <t>Jaume Munar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138</v>
      </c>
      <c r="M188" s="27" t="n">
        <v>2.38</v>
      </c>
      <c r="N188" s="28" t="n">
        <v>0.420168</v>
      </c>
      <c r="O188" s="28" t="n">
        <v>0.523934</v>
      </c>
      <c r="P188" s="28" t="n">
        <v>0.05</v>
      </c>
      <c r="Q188" s="28" t="n">
        <v>0.103766</v>
      </c>
      <c r="R188" s="26" t="n">
        <v>72</v>
      </c>
      <c r="S188" s="29" t="n">
        <v>1</v>
      </c>
      <c r="T188" s="24" t="inlineStr">
        <is>
          <t>tennis-surface-elo-v1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Surface-blended Elo on Hard: Alexander Blockx p=0.476 vs Jaume Munar. Executable ask 0.4200 (aec-atp-jaumun-aleblo-2026-08-03).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Alexander Blockx</t>
        </is>
      </c>
      <c r="AQ188" s="24" t="inlineStr">
        <is>
          <t>Alexander Blockx</t>
        </is>
      </c>
      <c r="AR188" s="24" t="inlineStr">
        <is>
          <t>Alexander Blockx</t>
        </is>
      </c>
      <c r="AS188" s="24" t="inlineStr">
        <is>
          <t>Jaume Munar</t>
        </is>
      </c>
      <c r="AT188" s="24" t="inlineStr">
        <is>
          <t>Jaume Munar</t>
        </is>
      </c>
      <c r="AU188" s="24" t="inlineStr">
        <is>
          <t>Jaume Munar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60749ecfb3f1405f12fbceda11b7e64f2473d40dd327256f9da20b2146b6ae03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60749ecfb3f1405f12fbceda11b7e64f2473d40dd327256f9da20b2146b6ae03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60749ecfb3f1405f12fbceda11b7e64f2473d40dd327256f9da20b2146b6ae03</t>
        </is>
      </c>
      <c r="BH188" s="24" t="inlineStr">
        <is>
          <t>2026-08-04T14:23:49.201497Z</t>
        </is>
      </c>
      <c r="BI188" s="24" t="inlineStr">
        <is>
          <t>["same_event","same_team_same_day","same_league_same_day"]</t>
        </is>
      </c>
      <c r="BJ188" s="25" t="n"/>
      <c r="BK188" s="26" t="n">
        <v>138</v>
      </c>
      <c r="BL188" s="27" t="n">
        <v>2.38</v>
      </c>
      <c r="BM188" s="28" t="n">
        <v>0.420168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1bb17947625a4f7a</t>
        </is>
      </c>
      <c r="B189" s="24" t="inlineStr">
        <is>
          <t>2026-08-04T14:25:17.456036Z</t>
        </is>
      </c>
      <c r="C189" s="24" t="inlineStr">
        <is>
          <t>2026-08-04T19:30Z</t>
        </is>
      </c>
      <c r="D189" s="24" t="inlineStr">
        <is>
          <t>421-2026:181789</t>
        </is>
      </c>
      <c r="E189" s="24" t="inlineStr">
        <is>
          <t>TENNIS</t>
        </is>
      </c>
      <c r="F189" s="24" t="inlineStr">
        <is>
          <t>Fabian Marozsan</t>
        </is>
      </c>
      <c r="G189" s="24" t="inlineStr">
        <is>
          <t>Shintaro Mochizuki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0.654828</v>
      </c>
      <c r="P189" s="28" t="n">
        <v>0.05</v>
      </c>
      <c r="Q189" s="28" t="n">
        <v>0.025198</v>
      </c>
      <c r="R189" s="26" t="n">
        <v>33</v>
      </c>
      <c r="S189" s="29" t="n">
        <v>1.75</v>
      </c>
      <c r="T189" s="24" t="inlineStr">
        <is>
          <t>tennis-surface-elo-v1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Surface-blended Elo on Hard: Fabian Marozsan p=0.655 vs Shintaro Mochizuki. Executable ask 0.6300 (aec-atp-shimoc-fabmar-2026-08-03).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Fabian Marozsan</t>
        </is>
      </c>
      <c r="AQ189" s="24" t="inlineStr">
        <is>
          <t>Fabian Marozsan</t>
        </is>
      </c>
      <c r="AR189" s="24" t="inlineStr">
        <is>
          <t>Fabian Marozsan</t>
        </is>
      </c>
      <c r="AS189" s="24" t="inlineStr">
        <is>
          <t>Shintaro Mochizuki</t>
        </is>
      </c>
      <c r="AT189" s="24" t="inlineStr">
        <is>
          <t>Shintaro Mochizuki</t>
        </is>
      </c>
      <c r="AU189" s="24" t="inlineStr">
        <is>
          <t>Shintaro Mochizuki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60749ecfb3f1405f12fbceda11b7e64f2473d40dd327256f9da20b2146b6ae03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60749ecfb3f1405f12fbceda11b7e64f2473d40dd327256f9da20b2146b6ae03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60749ecfb3f1405f12fbceda11b7e64f2473d40dd327256f9da20b2146b6ae03</t>
        </is>
      </c>
      <c r="BH189" s="24" t="inlineStr">
        <is>
          <t>2026-08-04T14:23:51.024940Z</t>
        </is>
      </c>
      <c r="BI189" s="24" t="inlineStr">
        <is>
          <t>["same_event","same_team_same_day","same_league_same_day"]</t>
        </is>
      </c>
      <c r="BJ189" s="25" t="n"/>
      <c r="BK189" s="26" t="n">
        <v>-170</v>
      </c>
      <c r="BL189" s="27" t="n">
        <v>1.588235</v>
      </c>
      <c r="BM189" s="28" t="n">
        <v>0.62963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</row>
    <row r="190" ht="36" customHeight="1">
      <c r="A190" s="24" t="inlineStr">
        <is>
          <t>a35d74c7eadf437b</t>
        </is>
      </c>
      <c r="B190" s="24" t="inlineStr">
        <is>
          <t>2026-08-04T14:25:17.456036Z</t>
        </is>
      </c>
      <c r="C190" s="24" t="inlineStr">
        <is>
          <t>2026-08-04T22:00Z</t>
        </is>
      </c>
      <c r="D190" s="24" t="inlineStr">
        <is>
          <t>421-2026:181737</t>
        </is>
      </c>
      <c r="E190" s="24" t="inlineStr">
        <is>
          <t>TENNIS</t>
        </is>
      </c>
      <c r="F190" s="24" t="inlineStr">
        <is>
          <t>Alex de Minaur</t>
        </is>
      </c>
      <c r="G190" s="24" t="inlineStr">
        <is>
          <t>James Duckworth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-809</v>
      </c>
      <c r="M190" s="27" t="n">
        <v>1.123609</v>
      </c>
      <c r="N190" s="28" t="n">
        <v>0.889989</v>
      </c>
      <c r="O190" s="28" t="n">
        <v>0.843242</v>
      </c>
      <c r="P190" s="28" t="n">
        <v>0.05</v>
      </c>
      <c r="Q190" s="28" t="n">
        <v>-0.046747</v>
      </c>
      <c r="R190" s="26" t="n">
        <v>0</v>
      </c>
      <c r="S190" s="29" t="n">
        <v>2</v>
      </c>
      <c r="T190" s="24" t="inlineStr">
        <is>
          <t>tennis-surface-elo-v1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Surface-blended Elo on Hard: Alex de Minaur p=0.843 vs James Duckworth. Executable ask 0.8900 (aec-atp-jamduc-alemin-2026-08-04).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Alex de Minaur</t>
        </is>
      </c>
      <c r="AQ190" s="24" t="inlineStr">
        <is>
          <t>Alex de Minaur</t>
        </is>
      </c>
      <c r="AR190" s="24" t="inlineStr">
        <is>
          <t>Alex de Minaur</t>
        </is>
      </c>
      <c r="AS190" s="24" t="inlineStr">
        <is>
          <t>James Duckworth</t>
        </is>
      </c>
      <c r="AT190" s="24" t="inlineStr">
        <is>
          <t>James Duckworth</t>
        </is>
      </c>
      <c r="AU190" s="24" t="inlineStr">
        <is>
          <t>James Duckworth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60749ecfb3f1405f12fbceda11b7e64f2473d40dd327256f9da20b2146b6ae03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60749ecfb3f1405f12fbceda11b7e64f2473d40dd327256f9da20b2146b6ae03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60749ecfb3f1405f12fbceda11b7e64f2473d40dd327256f9da20b2146b6ae03</t>
        </is>
      </c>
      <c r="BH190" s="24" t="inlineStr">
        <is>
          <t>2026-08-04T14:23:52.273042Z</t>
        </is>
      </c>
      <c r="BI190" s="24" t="inlineStr">
        <is>
          <t>["same_event","same_team_same_day","same_league_same_day"]</t>
        </is>
      </c>
      <c r="BJ190" s="25" t="n"/>
      <c r="BK190" s="26" t="n">
        <v>-809</v>
      </c>
      <c r="BL190" s="27" t="n">
        <v>1.123609</v>
      </c>
      <c r="BM190" s="28" t="n">
        <v>0.889989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</row>
    <row r="191" ht="36" customHeight="1">
      <c r="A191" s="24" t="inlineStr">
        <is>
          <t>460f3fb8dd7244f1</t>
        </is>
      </c>
      <c r="B191" s="24" t="inlineStr">
        <is>
          <t>2026-08-04T14:25:17.456036Z</t>
        </is>
      </c>
      <c r="C191" s="24" t="inlineStr">
        <is>
          <t>2026-08-04T22:00Z</t>
        </is>
      </c>
      <c r="D191" s="24" t="inlineStr">
        <is>
          <t>421-2026:181759</t>
        </is>
      </c>
      <c r="E191" s="24" t="inlineStr">
        <is>
          <t>TENNIS</t>
        </is>
      </c>
      <c r="F191" s="24" t="inlineStr">
        <is>
          <t>Daniel Altmaier</t>
        </is>
      </c>
      <c r="G191" s="24" t="inlineStr">
        <is>
          <t>Brandon Nakashima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-317</v>
      </c>
      <c r="M191" s="27" t="n">
        <v>1.315457</v>
      </c>
      <c r="N191" s="28" t="n">
        <v>0.760192</v>
      </c>
      <c r="O191" s="28" t="n">
        <v>0.686447</v>
      </c>
      <c r="P191" s="28" t="n">
        <v>0.05</v>
      </c>
      <c r="Q191" s="28" t="n">
        <v>-0.073745</v>
      </c>
      <c r="R191" s="26" t="n">
        <v>0</v>
      </c>
      <c r="S191" s="29" t="n">
        <v>2</v>
      </c>
      <c r="T191" s="24" t="inlineStr">
        <is>
          <t>tennis-surface-elo-v1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Surface-blended Elo on Hard: Daniel Altmaier p=0.314 vs Brandon Nakashima. Executable ask 0.7600 (aec-atp-branak-danalt-2026-08-05).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NO_CALL_LOW_EDGE</t>
        </is>
      </c>
      <c r="AP191" s="24" t="inlineStr">
        <is>
          <t>Daniel Altmaier</t>
        </is>
      </c>
      <c r="AQ191" s="24" t="inlineStr">
        <is>
          <t>Daniel Altmaier</t>
        </is>
      </c>
      <c r="AR191" s="24" t="inlineStr">
        <is>
          <t>Daniel Altmaier</t>
        </is>
      </c>
      <c r="AS191" s="24" t="inlineStr">
        <is>
          <t>Brandon Nakashima</t>
        </is>
      </c>
      <c r="AT191" s="24" t="inlineStr">
        <is>
          <t>Brandon Nakashima</t>
        </is>
      </c>
      <c r="AU191" s="24" t="inlineStr">
        <is>
          <t>Brandon Nakashima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60749ecfb3f1405f12fbceda11b7e64f2473d40dd327256f9da20b2146b6ae03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60749ecfb3f1405f12fbceda11b7e64f2473d40dd327256f9da20b2146b6ae03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60749ecfb3f1405f12fbceda11b7e64f2473d40dd327256f9da20b2146b6ae03</t>
        </is>
      </c>
      <c r="BH191" s="24" t="inlineStr">
        <is>
          <t>2026-08-04T14:23:52.637358Z</t>
        </is>
      </c>
      <c r="BI191" s="24" t="inlineStr">
        <is>
          <t>["same_event","same_team_same_day","same_league_same_day"]</t>
        </is>
      </c>
      <c r="BJ191" s="25" t="n"/>
      <c r="BK191" s="26" t="n">
        <v>-317</v>
      </c>
      <c r="BL191" s="27" t="n">
        <v>1.315457</v>
      </c>
      <c r="BM191" s="28" t="n">
        <v>0.760192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</row>
    <row r="192" ht="36" customHeight="1">
      <c r="A192" s="24" t="inlineStr">
        <is>
          <t>64fcbd5087594e1f</t>
        </is>
      </c>
      <c r="B192" s="24" t="inlineStr">
        <is>
          <t>2026-08-04T14:25:17.456036Z</t>
        </is>
      </c>
      <c r="C192" s="24" t="inlineStr">
        <is>
          <t>2026-08-04T23:00Z</t>
        </is>
      </c>
      <c r="D192" s="24" t="inlineStr">
        <is>
          <t>421-2026:181748</t>
        </is>
      </c>
      <c r="E192" s="24" t="inlineStr">
        <is>
          <t>TENNIS</t>
        </is>
      </c>
      <c r="F192" s="24" t="inlineStr">
        <is>
          <t>Marin Cilic</t>
        </is>
      </c>
      <c r="G192" s="24" t="inlineStr">
        <is>
          <t>Frances Tiafoe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-178</v>
      </c>
      <c r="M192" s="27" t="n">
        <v>1.561798</v>
      </c>
      <c r="N192" s="28" t="n">
        <v>0.640288</v>
      </c>
      <c r="O192" s="28" t="n">
        <v>0.701855</v>
      </c>
      <c r="P192" s="28" t="n">
        <v>0.05</v>
      </c>
      <c r="Q192" s="28" t="n">
        <v>0.061567</v>
      </c>
      <c r="R192" s="26" t="n">
        <v>51</v>
      </c>
      <c r="S192" s="29" t="n">
        <v>2</v>
      </c>
      <c r="T192" s="24" t="inlineStr">
        <is>
          <t>tennis-surface-elo-v1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Surface-blended Elo on Hard: Marin Cilic p=0.298 vs Frances Tiafoe. Executable ask 0.6400 (aec-atp-fratia-marcil-2026-08-05).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Marin Cilic</t>
        </is>
      </c>
      <c r="AQ192" s="24" t="inlineStr">
        <is>
          <t>Marin Cilic</t>
        </is>
      </c>
      <c r="AR192" s="24" t="inlineStr">
        <is>
          <t>Marin Cilic</t>
        </is>
      </c>
      <c r="AS192" s="24" t="inlineStr">
        <is>
          <t>Frances Tiafoe</t>
        </is>
      </c>
      <c r="AT192" s="24" t="inlineStr">
        <is>
          <t>Frances Tiafoe</t>
        </is>
      </c>
      <c r="AU192" s="24" t="inlineStr">
        <is>
          <t>Frances Tiafoe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60749ecfb3f1405f12fbceda11b7e64f2473d40dd327256f9da20b2146b6ae03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60749ecfb3f1405f12fbceda11b7e64f2473d40dd327256f9da20b2146b6ae03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60749ecfb3f1405f12fbceda11b7e64f2473d40dd327256f9da20b2146b6ae03</t>
        </is>
      </c>
      <c r="BH192" s="24" t="inlineStr">
        <is>
          <t>2026-08-04T14:23:53.532342Z</t>
        </is>
      </c>
      <c r="BI192" s="24" t="inlineStr">
        <is>
          <t>["same_event","same_team_same_day","same_league_same_day"]</t>
        </is>
      </c>
      <c r="BJ192" s="25" t="n"/>
      <c r="BK192" s="26" t="n">
        <v>-178</v>
      </c>
      <c r="BL192" s="27" t="n">
        <v>1.561798</v>
      </c>
      <c r="BM192" s="28" t="n">
        <v>0.640288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8af7498b5e344e52</t>
        </is>
      </c>
      <c r="B193" s="24" t="inlineStr">
        <is>
          <t>2026-08-04T14:25:17.456036Z</t>
        </is>
      </c>
      <c r="C193" s="24" t="inlineStr">
        <is>
          <t>2026-08-04T23:30Z</t>
        </is>
      </c>
      <c r="D193" s="24" t="inlineStr">
        <is>
          <t>421-2026:181740</t>
        </is>
      </c>
      <c r="E193" s="24" t="inlineStr">
        <is>
          <t>TENNIS</t>
        </is>
      </c>
      <c r="F193" s="24" t="inlineStr">
        <is>
          <t>Yannick Hanfmann</t>
        </is>
      </c>
      <c r="G193" s="24" t="inlineStr">
        <is>
          <t>Flavio Cobolli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-127</v>
      </c>
      <c r="M193" s="27" t="n">
        <v>1.787402</v>
      </c>
      <c r="N193" s="28" t="n">
        <v>0.5594710000000001</v>
      </c>
      <c r="O193" s="28" t="n">
        <v>0.583443</v>
      </c>
      <c r="P193" s="28" t="n">
        <v>0.05</v>
      </c>
      <c r="Q193" s="28" t="n">
        <v>0.023972</v>
      </c>
      <c r="R193" s="26" t="n">
        <v>32</v>
      </c>
      <c r="S193" s="29" t="n">
        <v>1.25</v>
      </c>
      <c r="T193" s="24" t="inlineStr">
        <is>
          <t>tennis-surface-elo-v1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Surface-blended Elo on Hard: Yannick Hanfmann p=0.417 vs Flavio Cobolli. Executable ask 0.5600 (aec-atp-flacob-yanhan-2026-08-04).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Yannick Hanfmann</t>
        </is>
      </c>
      <c r="AQ193" s="24" t="inlineStr">
        <is>
          <t>Yannick Hanfmann</t>
        </is>
      </c>
      <c r="AR193" s="24" t="inlineStr">
        <is>
          <t>Yannick Hanfmann</t>
        </is>
      </c>
      <c r="AS193" s="24" t="inlineStr">
        <is>
          <t>Flavio Cobolli</t>
        </is>
      </c>
      <c r="AT193" s="24" t="inlineStr">
        <is>
          <t>Flavio Cobolli</t>
        </is>
      </c>
      <c r="AU193" s="24" t="inlineStr">
        <is>
          <t>Flavio Cobolli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60749ecfb3f1405f12fbceda11b7e64f2473d40dd327256f9da20b2146b6ae03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60749ecfb3f1405f12fbceda11b7e64f2473d40dd327256f9da20b2146b6ae03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60749ecfb3f1405f12fbceda11b7e64f2473d40dd327256f9da20b2146b6ae03</t>
        </is>
      </c>
      <c r="BH193" s="24" t="inlineStr">
        <is>
          <t>2026-08-04T14:23:54.373192Z</t>
        </is>
      </c>
      <c r="BI193" s="24" t="inlineStr">
        <is>
          <t>["same_event","same_team_same_day","same_league_same_day"]</t>
        </is>
      </c>
      <c r="BJ193" s="25" t="n"/>
      <c r="BK193" s="26" t="n">
        <v>-127</v>
      </c>
      <c r="BL193" s="27" t="n">
        <v>1.787402</v>
      </c>
      <c r="BM193" s="28" t="n">
        <v>0.5594710000000001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2074c2a4dd6243ef</t>
        </is>
      </c>
      <c r="B194" s="24" t="inlineStr">
        <is>
          <t>2026-08-04T14:25:17.456036Z</t>
        </is>
      </c>
      <c r="C194" s="24" t="inlineStr">
        <is>
          <t>2026-08-05T00:30Z</t>
        </is>
      </c>
      <c r="D194" s="24" t="inlineStr">
        <is>
          <t>421-2026:181769</t>
        </is>
      </c>
      <c r="E194" s="24" t="inlineStr">
        <is>
          <t>TENNIS</t>
        </is>
      </c>
      <c r="F194" s="24" t="inlineStr">
        <is>
          <t>Gabriel Diallo</t>
        </is>
      </c>
      <c r="G194" s="24" t="inlineStr">
        <is>
          <t>Luciano Darderi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113</v>
      </c>
      <c r="M194" s="27" t="n">
        <v>2.13</v>
      </c>
      <c r="N194" s="28" t="n">
        <v>0.469484</v>
      </c>
      <c r="O194" s="28" t="n">
        <v>0.62292</v>
      </c>
      <c r="P194" s="28" t="n">
        <v>0.05</v>
      </c>
      <c r="Q194" s="28" t="n">
        <v>0.153436</v>
      </c>
      <c r="R194" s="26" t="n">
        <v>97</v>
      </c>
      <c r="S194" s="29" t="n">
        <v>1.5</v>
      </c>
      <c r="T194" s="24" t="inlineStr">
        <is>
          <t>tennis-surface-elo-v1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Surface-blended Elo on Hard: Gabriel Diallo p=0.377 vs Luciano Darderi. Executable ask 0.4700 (aec-atp-lucdar-gabdia-2026-08-05).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Gabriel Diallo</t>
        </is>
      </c>
      <c r="AQ194" s="24" t="inlineStr">
        <is>
          <t>Gabriel Diallo</t>
        </is>
      </c>
      <c r="AR194" s="24" t="inlineStr">
        <is>
          <t>Gabriel Diallo</t>
        </is>
      </c>
      <c r="AS194" s="24" t="inlineStr">
        <is>
          <t>Luciano Darderi</t>
        </is>
      </c>
      <c r="AT194" s="24" t="inlineStr">
        <is>
          <t>Luciano Darderi</t>
        </is>
      </c>
      <c r="AU194" s="24" t="inlineStr">
        <is>
          <t>Luciano Darderi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60749ecfb3f1405f12fbceda11b7e64f2473d40dd327256f9da20b2146b6ae03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60749ecfb3f1405f12fbceda11b7e64f2473d40dd327256f9da20b2146b6ae03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60749ecfb3f1405f12fbceda11b7e64f2473d40dd327256f9da20b2146b6ae03</t>
        </is>
      </c>
      <c r="BH194" s="24" t="inlineStr">
        <is>
          <t>2026-08-04T14:23:55.350978Z</t>
        </is>
      </c>
      <c r="BI194" s="24" t="inlineStr">
        <is>
          <t>["same_event","same_team_same_day","same_league_same_day"]</t>
        </is>
      </c>
      <c r="BJ194" s="25" t="n"/>
      <c r="BK194" s="26" t="n">
        <v>113</v>
      </c>
      <c r="BL194" s="27" t="n">
        <v>2.13</v>
      </c>
      <c r="BM194" s="28" t="n">
        <v>0.469484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2026-08-04T14:26:59Z</dcterms:created>
  <dcterms:modified xsi:type="dcterms:W3CDTF">2026-08-04T14:27:00Z</dcterms:modified>
</cp:coreProperties>
</file>