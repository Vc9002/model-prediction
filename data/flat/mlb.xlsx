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92" headerRowCount="1">
  <autoFilter ref="A1:CS29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COUNTA('Picks'!$A$2:$A$292)</f>
        <v/>
      </c>
      <c r="C4" s="6">
        <f>COUNTIF('Picks'!$U$2:$U$292,"open")</f>
        <v/>
      </c>
      <c r="E4" s="6">
        <f>COUNTIF('Picks'!$U$2:$U$292,"settled")</f>
        <v/>
      </c>
      <c r="G4" s="6">
        <f>IF(COUNTIFS('Picks'!$U$2:$U$292,"settled",'Picks'!$V$2:$V$292,"win")+COUNTIFS('Picks'!$U$2:$U$292,"settled",'Picks'!$V$2:$V$292,"loss")&gt;=$L$2,"Ready","Insufficient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COUNTIF('Picks'!$BX$2:$BX$292,"&gt;0")</f>
        <v/>
      </c>
      <c r="C7" s="6">
        <f>COUNTIFS('Picks'!$BX$2:$BX$292,"&gt;0",'Picks'!$V$2:$V$292,"win")&amp;"-"&amp;COUNTIFS('Picks'!$BX$2:$BX$292,"&gt;0",'Picks'!$V$2:$V$292,"loss")</f>
        <v/>
      </c>
      <c r="E7" s="7">
        <f>IFERROR(COUNTIFS('Picks'!$BX$2:$BX$292,"&gt;0",'Picks'!$V$2:$V$292,"win")/(COUNTIFS('Picks'!$BX$2:$BX$292,"&gt;0",'Picks'!$V$2:$V$292,"win")+COUNTIFS('Picks'!$BX$2:$BX$292,"&gt;0",'Picks'!$V$2:$V$292,"loss")),0)</f>
        <v/>
      </c>
      <c r="G7" s="7">
        <f>IFERROR(SUM('Picks'!$BY$2:$BY$292)/SUM('Picks'!$BX$2:$BX$292),0)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SUM('Picks'!$BY$2:$BY$292)</f>
        <v/>
      </c>
      <c r="C10" s="9">
        <f>IFERROR(AVERAGEIF('Picks'!$AB$2:$AB$292,"&lt;&gt;",'Picks'!$AB$2:$AB$292),0)</f>
        <v/>
      </c>
      <c r="E10" s="6">
        <f>COUNTIFS('Picks'!$AM$2:$AM$292,"QUALIFIED_SHADOW_CALL",'Picks'!$U$2:$U$292,"settled")</f>
        <v/>
      </c>
      <c r="G10" s="8">
        <f>SUMIFS('Picks'!$AC$2:$AC$292,'Picks'!$AM$2:$AM$292,"QUALIFIED_SHADOW_CALL")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COUNTIFS('Picks'!$H$2:$H$292,$A14,'Picks'!$U$2:$U$292,"settled")</f>
        <v/>
      </c>
      <c r="C14" s="13">
        <f>COUNTIFS('Picks'!$H$2:$H$292,$A14,'Picks'!$U$2:$U$292,"settled",'Picks'!$V$2:$V$292,"win")</f>
        <v/>
      </c>
      <c r="D14" s="13">
        <f>COUNTIFS('Picks'!$H$2:$H$292,$A14,'Picks'!$U$2:$U$292,"settled",'Picks'!$V$2:$V$292,"loss")</f>
        <v/>
      </c>
      <c r="E14" s="14">
        <f>IFERROR(C14/(C14+D14),0)</f>
        <v/>
      </c>
      <c r="F14" s="15">
        <f>SUMIFS('Picks'!$BY$2:$BY$292,'Picks'!$H$2:$H$292,$A14)</f>
        <v/>
      </c>
      <c r="G14" s="16">
        <f>IFERROR(AVERAGEIFS('Picks'!$AB$2:$AB$292,'Picks'!$H$2:$H$292,$A14,'Picks'!$U$2:$U$292,"settled"),0)</f>
        <v/>
      </c>
    </row>
    <row r="15">
      <c r="A15" s="17" t="inlineStr">
        <is>
          <t>spread</t>
        </is>
      </c>
      <c r="B15" s="18">
        <f>COUNTIFS('Picks'!$H$2:$H$292,$A15,'Picks'!$U$2:$U$292,"settled")</f>
        <v/>
      </c>
      <c r="C15" s="18">
        <f>COUNTIFS('Picks'!$H$2:$H$292,$A15,'Picks'!$U$2:$U$292,"settled",'Picks'!$V$2:$V$292,"win")</f>
        <v/>
      </c>
      <c r="D15" s="18">
        <f>COUNTIFS('Picks'!$H$2:$H$292,$A15,'Picks'!$U$2:$U$292,"settled",'Picks'!$V$2:$V$292,"loss")</f>
        <v/>
      </c>
      <c r="E15" s="19">
        <f>IFERROR(C15/(C15+D15),0)</f>
        <v/>
      </c>
      <c r="F15" s="20">
        <f>SUMIFS('Picks'!$BY$2:$BY$292,'Picks'!$H$2:$H$292,$A15)</f>
        <v/>
      </c>
      <c r="G15" s="21">
        <f>IFERROR(AVERAGEIFS('Picks'!$AB$2:$AB$292,'Picks'!$H$2:$H$292,$A15,'Picks'!$U$2:$U$292,"settled"),0)</f>
        <v/>
      </c>
    </row>
    <row r="16">
      <c r="A16" s="12" t="inlineStr">
        <is>
          <t>total</t>
        </is>
      </c>
      <c r="B16" s="13">
        <f>COUNTIFS('Picks'!$H$2:$H$292,$A16,'Picks'!$U$2:$U$292,"settled")</f>
        <v/>
      </c>
      <c r="C16" s="13">
        <f>COUNTIFS('Picks'!$H$2:$H$292,$A16,'Picks'!$U$2:$U$292,"settled",'Picks'!$V$2:$V$292,"win")</f>
        <v/>
      </c>
      <c r="D16" s="13">
        <f>COUNTIFS('Picks'!$H$2:$H$292,$A16,'Picks'!$U$2:$U$292,"settled",'Picks'!$V$2:$V$292,"loss")</f>
        <v/>
      </c>
      <c r="E16" s="14">
        <f>IFERROR(C16/(C16+D16),0)</f>
        <v/>
      </c>
      <c r="F16" s="15">
        <f>SUMIFS('Picks'!$BY$2:$BY$292,'Picks'!$H$2:$H$292,$A16)</f>
        <v/>
      </c>
      <c r="G16" s="16">
        <f>IFERROR(AVERAGEIFS('Picks'!$AB$2:$AB$292,'Picks'!$H$2:$H$292,$A16,'Picks'!$U$2:$U$292,"settled"),0)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9fcf54808265454b</t>
        </is>
      </c>
      <c r="B2" s="24" t="inlineStr">
        <is>
          <t>2026-08-05T01:07:48.070985Z</t>
        </is>
      </c>
      <c r="C2" s="24" t="inlineStr">
        <is>
          <t>2026-08-04T21:40:00-0400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-115</v>
      </c>
      <c r="M2" s="27" t="n">
        <v>1.869565</v>
      </c>
      <c r="N2" s="28" t="n">
        <v>0.534884</v>
      </c>
      <c r="O2" s="28" t="n">
        <v>0.545643</v>
      </c>
      <c r="P2" s="28" t="n"/>
      <c r="Q2" s="28" t="n">
        <v>0.010759</v>
      </c>
      <c r="R2" s="26" t="n">
        <v>27</v>
      </c>
      <c r="S2" s="29" t="n">
        <v>1</v>
      </c>
      <c r="T2" s="24" t="inlineStr">
        <is>
          <t>mlb-elo-trend-lr-v8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/>
      <c r="Z2" s="26" t="n">
        <v>-115</v>
      </c>
      <c r="AA2" s="28" t="n">
        <v>0.535</v>
      </c>
      <c r="AB2" s="28" t="n">
        <v>0.000116</v>
      </c>
      <c r="AC2" s="30" t="n">
        <v>-1</v>
      </c>
      <c r="AD2" s="24" t="inlineStr">
        <is>
          <t>2026-08-05T04:21:31.515245Z</t>
        </is>
      </c>
      <c r="AE2" s="31" t="inlineStr">
        <is>
          <t>Learned LR call at threshold 0.5873; executable ask 0.5350 (aec-mlb-det-sea-2026-08-04); model edge vs ask +0.0106.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NO_CALL_BELOW_LEARNED_CONFIDENCE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6a5c79541b0e50cb9f7318270e63d5ccc65cbd7bc53a019748ff772d49de5075</t>
        </is>
      </c>
      <c r="BB2" s="24" t="inlineStr">
        <is>
          <t>learned_lr</t>
        </is>
      </c>
      <c r="BC2" s="24" t="inlineStr">
        <is>
          <t>mlb-elo-trend-lr-v8</t>
        </is>
      </c>
      <c r="BD2" s="24" t="inlineStr">
        <is>
          <t>6a5c79541b0e50cb9f7318270e63d5ccc65cbd7bc53a019748ff772d49de5075</t>
        </is>
      </c>
      <c r="BE2" s="24" t="inlineStr">
        <is>
          <t>74edfb020976515b</t>
        </is>
      </c>
      <c r="BF2" s="24" t="inlineStr">
        <is>
          <t>1</t>
        </is>
      </c>
      <c r="BG2" s="24" t="inlineStr">
        <is>
          <t>mlb-elo-trend-lr-v8</t>
        </is>
      </c>
      <c r="BH2" s="24" t="inlineStr">
        <is>
          <t>2026-08-05T01:07:10.847192Z</t>
        </is>
      </c>
      <c r="BI2" s="24" t="inlineStr">
        <is>
          <t>["same_event","same_team_same_day","same_league_same_day"]</t>
        </is>
      </c>
      <c r="BJ2" s="25" t="n"/>
      <c r="BK2" s="26" t="n">
        <v>-115</v>
      </c>
      <c r="BL2" s="27" t="n">
        <v>1.869565</v>
      </c>
      <c r="BM2" s="28" t="n">
        <v>0.534884</v>
      </c>
      <c r="BN2" s="28" t="n">
        <v>0.532338</v>
      </c>
      <c r="BO2" s="28" t="n"/>
      <c r="BP2" s="25" t="n"/>
      <c r="BQ2" s="27" t="n">
        <v>1.869565</v>
      </c>
      <c r="BR2" s="28" t="n">
        <v>0.535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0.5187867444</t>
        </is>
      </c>
      <c r="CD2" s="24" t="inlineStr">
        <is>
          <t>-2.251026</t>
        </is>
      </c>
      <c r="CE2" s="24" t="inlineStr">
        <is>
          <t>0.936</t>
        </is>
      </c>
      <c r="CF2" s="24" t="inlineStr">
        <is>
          <t>1.0</t>
        </is>
      </c>
      <c r="CG2" s="24" t="n"/>
      <c r="CH2" s="24" t="n"/>
      <c r="CI2" s="24" t="n"/>
      <c r="CJ2" s="24" t="inlineStr">
        <is>
          <t>-0.995971</t>
        </is>
      </c>
      <c r="CK2" s="24" t="n"/>
      <c r="CL2" s="24" t="inlineStr">
        <is>
          <t>0.290771</t>
        </is>
      </c>
      <c r="CM2" s="24" t="inlineStr">
        <is>
          <t>3.6429</t>
        </is>
      </c>
      <c r="CN2" s="24" t="n"/>
      <c r="CO2" s="24" t="n"/>
      <c r="CP2" s="24" t="n"/>
      <c r="CQ2" s="24" t="n"/>
      <c r="CR2" s="24" t="inlineStr">
        <is>
          <t>0.545643</t>
        </is>
      </c>
      <c r="CS2" s="24" t="inlineStr">
        <is>
          <t>True</t>
        </is>
      </c>
    </row>
    <row r="3" ht="36" customHeight="1">
      <c r="A3" s="24" t="inlineStr">
        <is>
          <t>b8aa6ed09819434f</t>
        </is>
      </c>
      <c r="B3" s="24" t="inlineStr">
        <is>
          <t>2026-08-05T01:07:48.070985Z</t>
        </is>
      </c>
      <c r="C3" s="24" t="inlineStr">
        <is>
          <t>2026-08-04T21:40:00-0400</t>
        </is>
      </c>
      <c r="D3" s="24" t="inlineStr">
        <is>
          <t>401816398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Arizona Diamondbacks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0.503922</v>
      </c>
      <c r="P3" s="28" t="n"/>
      <c r="Q3" s="28" t="n">
        <v>-0.022144</v>
      </c>
      <c r="R3" s="26" t="n">
        <v>11</v>
      </c>
      <c r="S3" s="29" t="n">
        <v>1</v>
      </c>
      <c r="T3" s="24" t="inlineStr">
        <is>
          <t>mlb-elo-trend-lr-v8</t>
        </is>
      </c>
      <c r="U3" s="24" t="inlineStr">
        <is>
          <t>settled</t>
        </is>
      </c>
      <c r="V3" s="24" t="inlineStr">
        <is>
          <t>loss</t>
        </is>
      </c>
      <c r="W3" s="26" t="n">
        <v>9</v>
      </c>
      <c r="X3" s="26" t="n">
        <v>4</v>
      </c>
      <c r="Y3" s="25" t="n"/>
      <c r="Z3" s="26" t="n">
        <v>-111</v>
      </c>
      <c r="AA3" s="28" t="n">
        <v>0.525</v>
      </c>
      <c r="AB3" s="28" t="n">
        <v>-0.001066</v>
      </c>
      <c r="AC3" s="30" t="n">
        <v>-1</v>
      </c>
      <c r="AD3" s="24" t="inlineStr">
        <is>
          <t>2026-08-05T04:33:05.042051Z</t>
        </is>
      </c>
      <c r="AE3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NO_CALL_BELOW_LEARNED_CONFIDENCE</t>
        </is>
      </c>
      <c r="AP3" s="24" t="inlineStr">
        <is>
          <t>mlb-sd</t>
        </is>
      </c>
      <c r="AQ3" s="24" t="inlineStr">
        <is>
          <t>San Diego Padres</t>
        </is>
      </c>
      <c r="AR3" s="24" t="inlineStr">
        <is>
          <t>San Diego Padres</t>
        </is>
      </c>
      <c r="AS3" s="24" t="inlineStr">
        <is>
          <t>mlb-ari</t>
        </is>
      </c>
      <c r="AT3" s="24" t="inlineStr">
        <is>
          <t>Arizona Diamondbacks</t>
        </is>
      </c>
      <c r="AU3" s="24" t="inlineStr">
        <is>
          <t>Arizona Diamondbacks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6a5c79541b0e50cb9f7318270e63d5ccc65cbd7bc53a019748ff772d49de5075</t>
        </is>
      </c>
      <c r="BB3" s="24" t="inlineStr">
        <is>
          <t>learned_lr</t>
        </is>
      </c>
      <c r="BC3" s="24" t="inlineStr">
        <is>
          <t>mlb-elo-trend-lr-v8</t>
        </is>
      </c>
      <c r="BD3" s="24" t="inlineStr">
        <is>
          <t>6a5c79541b0e50cb9f7318270e63d5ccc65cbd7bc53a019748ff772d49de5075</t>
        </is>
      </c>
      <c r="BE3" s="24" t="inlineStr">
        <is>
          <t>3a529a8e501822ee</t>
        </is>
      </c>
      <c r="BF3" s="24" t="inlineStr">
        <is>
          <t>1</t>
        </is>
      </c>
      <c r="BG3" s="24" t="inlineStr">
        <is>
          <t>mlb-elo-trend-lr-v8</t>
        </is>
      </c>
      <c r="BH3" s="24" t="inlineStr">
        <is>
          <t>2026-08-05T01:07:10.040602Z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>
        <v>1.900901</v>
      </c>
      <c r="BR3" s="28" t="n">
        <v>0.525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0.5327218645</t>
        </is>
      </c>
      <c r="CD3" s="24" t="inlineStr">
        <is>
          <t>0.544571</t>
        </is>
      </c>
      <c r="CE3" s="24" t="inlineStr">
        <is>
          <t>1.097</t>
        </is>
      </c>
      <c r="CF3" s="24" t="inlineStr">
        <is>
          <t>1.0</t>
        </is>
      </c>
      <c r="CG3" s="24" t="n"/>
      <c r="CH3" s="24" t="n"/>
      <c r="CI3" s="24" t="inlineStr">
        <is>
          <t>NO_CALL_STARTER_ERA_GAP_INSUFFICIENT_HISTORY</t>
        </is>
      </c>
      <c r="CJ3" s="24" t="inlineStr">
        <is>
          <t>-0.127634</t>
        </is>
      </c>
      <c r="CK3" s="24" t="n"/>
      <c r="CL3" s="24" t="inlineStr">
        <is>
          <t>-0.132604</t>
        </is>
      </c>
      <c r="CM3" s="24" t="inlineStr">
        <is>
          <t>0.0</t>
        </is>
      </c>
      <c r="CN3" s="24" t="n"/>
      <c r="CO3" s="24" t="n"/>
      <c r="CP3" s="24" t="n"/>
      <c r="CQ3" s="24" t="n"/>
      <c r="CR3" s="24" t="inlineStr">
        <is>
          <t>0.503922</t>
        </is>
      </c>
      <c r="CS3" s="24" t="inlineStr">
        <is>
          <t>False</t>
        </is>
      </c>
    </row>
    <row r="4" ht="36" customHeight="1">
      <c r="A4" s="24" t="inlineStr">
        <is>
          <t>b21e9d25933d4f7e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401816397</t>
        </is>
      </c>
      <c r="E4" s="24" t="inlineStr">
        <is>
          <t>MLB</t>
        </is>
      </c>
      <c r="F4" s="24" t="inlineStr">
        <is>
          <t>Detroit Tigers</t>
        </is>
      </c>
      <c r="G4" s="24" t="inlineStr">
        <is>
          <t>Seattle Mariners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-186</v>
      </c>
      <c r="M4" s="27" t="n">
        <v>1.537634</v>
      </c>
      <c r="N4" s="28" t="n">
        <v>0.65035</v>
      </c>
      <c r="O4" s="28" t="n">
        <v>0.657369</v>
      </c>
      <c r="P4" s="28" t="n">
        <v>0.042131</v>
      </c>
      <c r="Q4" s="28" t="n">
        <v>0.007019</v>
      </c>
      <c r="R4" s="26" t="n">
        <v>30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win</t>
        </is>
      </c>
      <c r="W4" s="26" t="n">
        <v>8</v>
      </c>
      <c r="X4" s="26" t="n">
        <v>0</v>
      </c>
      <c r="Y4" s="25" t="n">
        <v>1.5</v>
      </c>
      <c r="Z4" s="26" t="n">
        <v>-186</v>
      </c>
      <c r="AA4" s="28" t="n">
        <v>0.65</v>
      </c>
      <c r="AB4" s="28" t="n">
        <v>-0.00035</v>
      </c>
      <c r="AC4" s="30" t="n">
        <v>0.9409</v>
      </c>
      <c r="AD4" s="24" t="inlineStr">
        <is>
          <t>2026-08-05T04:21:32.934275Z</t>
        </is>
      </c>
      <c r="AE4" s="31" t="inlineStr">
        <is>
          <t>Measured Edge Margin: Trend Engine projected 4.19-3.76; raw selected-side p=0.7309, calibrated p=0.6574.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mlb-det</t>
        </is>
      </c>
      <c r="AQ4" s="24" t="inlineStr">
        <is>
          <t>Detroit Tigers</t>
        </is>
      </c>
      <c r="AR4" s="24" t="inlineStr">
        <is>
          <t>Detroit Tigers</t>
        </is>
      </c>
      <c r="AS4" s="24" t="inlineStr">
        <is>
          <t>mlb-sea</t>
        </is>
      </c>
      <c r="AT4" s="24" t="inlineStr">
        <is>
          <t>Seattle Mariners</t>
        </is>
      </c>
      <c r="AU4" s="24" t="inlineStr">
        <is>
          <t>Seattle Mariners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-186</v>
      </c>
      <c r="BL4" s="27" t="n">
        <v>1.537634</v>
      </c>
      <c r="BM4" s="28" t="n">
        <v>0.65035</v>
      </c>
      <c r="BN4" s="28" t="n">
        <v>0.646766</v>
      </c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2d565b8615ed40c2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401816397</t>
        </is>
      </c>
      <c r="E5" s="24" t="inlineStr">
        <is>
          <t>MLB</t>
        </is>
      </c>
      <c r="F5" s="24" t="inlineStr">
        <is>
          <t>Detroit Tigers</t>
        </is>
      </c>
      <c r="G5" s="24" t="inlineStr">
        <is>
          <t>Seattle Mariners</t>
        </is>
      </c>
      <c r="H5" s="24" t="inlineStr">
        <is>
          <t>total</t>
        </is>
      </c>
      <c r="I5" s="24" t="inlineStr">
        <is>
          <t>under</t>
        </is>
      </c>
      <c r="J5" s="25" t="n">
        <v>7.5</v>
      </c>
      <c r="K5" s="24" t="inlineStr">
        <is>
          <t>polymarket_us</t>
        </is>
      </c>
      <c r="L5" s="26" t="n">
        <v>108</v>
      </c>
      <c r="M5" s="27" t="n">
        <v>2.08</v>
      </c>
      <c r="N5" s="28" t="n">
        <v>0.480769</v>
      </c>
      <c r="O5" s="28" t="n">
        <v>0.506992</v>
      </c>
      <c r="P5" s="28" t="n">
        <v>0.042131</v>
      </c>
      <c r="Q5" s="28" t="n">
        <v>0.026223</v>
      </c>
      <c r="R5" s="26" t="n">
        <v>39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loss</t>
        </is>
      </c>
      <c r="W5" s="26" t="n">
        <v>8</v>
      </c>
      <c r="X5" s="26" t="n">
        <v>0</v>
      </c>
      <c r="Y5" s="25" t="n">
        <v>7.5</v>
      </c>
      <c r="Z5" s="26" t="n">
        <v>108</v>
      </c>
      <c r="AA5" s="28" t="n">
        <v>0.48</v>
      </c>
      <c r="AB5" s="28" t="n">
        <v>-0.000769</v>
      </c>
      <c r="AC5" s="30" t="n">
        <v>-1</v>
      </c>
      <c r="AD5" s="24" t="inlineStr">
        <is>
          <t>2026-08-05T04:21:33.630214Z</t>
        </is>
      </c>
      <c r="AE5" s="31" t="inlineStr">
        <is>
          <t>Measured Edge Totals: Trend Engine projected 4.19-3.76; raw selected-side p=0.5048, calibrated p=0.5070.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mlb-det</t>
        </is>
      </c>
      <c r="AQ5" s="24" t="inlineStr">
        <is>
          <t>Detroit Tigers</t>
        </is>
      </c>
      <c r="AR5" s="24" t="inlineStr">
        <is>
          <t>Detroit Tigers</t>
        </is>
      </c>
      <c r="AS5" s="24" t="inlineStr">
        <is>
          <t>mlb-sea</t>
        </is>
      </c>
      <c r="AT5" s="24" t="inlineStr">
        <is>
          <t>Seattle Mariners</t>
        </is>
      </c>
      <c r="AU5" s="24" t="inlineStr">
        <is>
          <t>Seattle Mariners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7.5</v>
      </c>
      <c r="BK5" s="26" t="n">
        <v>108</v>
      </c>
      <c r="BL5" s="27" t="n">
        <v>2.08</v>
      </c>
      <c r="BM5" s="28" t="n">
        <v>0.480769</v>
      </c>
      <c r="BN5" s="28" t="n">
        <v>0.477612</v>
      </c>
      <c r="BO5" s="28" t="n"/>
      <c r="BP5" s="25" t="n"/>
      <c r="BQ5" s="27" t="n">
        <v>2.08</v>
      </c>
      <c r="BR5" s="28" t="n">
        <v>0.48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0dfed54d71af4b80</t>
        </is>
      </c>
      <c r="B6" s="24" t="inlineStr">
        <is>
          <t>2026-08-05T01:08:02.646600Z</t>
        </is>
      </c>
      <c r="C6" s="24" t="inlineStr">
        <is>
          <t>2026-08-05T01:40Z</t>
        </is>
      </c>
      <c r="D6" s="24" t="inlineStr">
        <is>
          <t>401816398</t>
        </is>
      </c>
      <c r="E6" s="24" t="inlineStr">
        <is>
          <t>MLB</t>
        </is>
      </c>
      <c r="F6" s="24" t="inlineStr">
        <is>
          <t>San Diego Padres</t>
        </is>
      </c>
      <c r="G6" s="24" t="inlineStr">
        <is>
          <t>Arizona Diamondbacks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0.655325</v>
      </c>
      <c r="P6" s="28" t="n">
        <v>0.042131</v>
      </c>
      <c r="Q6" s="28" t="n">
        <v>0.009934999999999999</v>
      </c>
      <c r="R6" s="26" t="n">
        <v>31</v>
      </c>
      <c r="S6" s="29" t="n">
        <v>1.75</v>
      </c>
      <c r="T6" s="24" t="inlineStr">
        <is>
          <t>measured-edge-margin-v3</t>
        </is>
      </c>
      <c r="U6" s="24" t="inlineStr">
        <is>
          <t>settled</t>
        </is>
      </c>
      <c r="V6" s="24" t="inlineStr">
        <is>
          <t>loss</t>
        </is>
      </c>
      <c r="W6" s="26" t="n">
        <v>9</v>
      </c>
      <c r="X6" s="26" t="n">
        <v>4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-1.75</v>
      </c>
      <c r="AD6" s="24" t="inlineStr">
        <is>
          <t>2026-08-05T04:33:06.029965Z</t>
        </is>
      </c>
      <c r="AE6" s="31" t="inlineStr">
        <is>
          <t>Measured Edge Margin: Trend Engine projected 4.22-4.93; raw selected-side p=0.7279, calibrated p=0.6553.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mlb-sd</t>
        </is>
      </c>
      <c r="AQ6" s="24" t="inlineStr">
        <is>
          <t>San Diego Padres</t>
        </is>
      </c>
      <c r="AR6" s="24" t="inlineStr">
        <is>
          <t>San Diego Padres</t>
        </is>
      </c>
      <c r="AS6" s="24" t="inlineStr">
        <is>
          <t>mlb-ari</t>
        </is>
      </c>
      <c r="AT6" s="24" t="inlineStr">
        <is>
          <t>Arizona Diamondbacks</t>
        </is>
      </c>
      <c r="AU6" s="24" t="inlineStr">
        <is>
          <t>Arizona Diamondbacks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dd339a2eed50d7d83ab2127837995ddab82e879afd27f5414bb6c1f9cd60ba4c</t>
        </is>
      </c>
      <c r="BB6" s="24" t="inlineStr">
        <is>
          <t>flat_probability_shrinkage_toward_half</t>
        </is>
      </c>
      <c r="BC6" s="24" t="inlineStr">
        <is>
          <t>measured-edge-margin-v3</t>
        </is>
      </c>
      <c r="BD6" s="24" t="inlineStr">
        <is>
          <t>dd339a2eed50d7d83ab2127837995ddab82e879afd27f5414bb6c1f9cd60ba4c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2026-08-05T01:08:02.646600Z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7d4d006e125c4411</t>
        </is>
      </c>
      <c r="B7" s="24" t="inlineStr">
        <is>
          <t>2026-08-05T01:08:02.646600Z</t>
        </is>
      </c>
      <c r="C7" s="24" t="inlineStr">
        <is>
          <t>2026-08-05T01:40Z</t>
        </is>
      </c>
      <c r="D7" s="24" t="inlineStr">
        <is>
          <t>401816398</t>
        </is>
      </c>
      <c r="E7" s="24" t="inlineStr">
        <is>
          <t>MLB</t>
        </is>
      </c>
      <c r="F7" s="24" t="inlineStr">
        <is>
          <t>San Diego Padres</t>
        </is>
      </c>
      <c r="G7" s="24" t="inlineStr">
        <is>
          <t>Arizona Diamondbacks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0.512594</v>
      </c>
      <c r="P7" s="28" t="n">
        <v>0.042131</v>
      </c>
      <c r="Q7" s="28" t="n">
        <v>-0.026577</v>
      </c>
      <c r="R7" s="26" t="n">
        <v>12</v>
      </c>
      <c r="S7" s="29" t="n">
        <v>1</v>
      </c>
      <c r="T7" s="24" t="inlineStr">
        <is>
          <t>measured-edge-totals-v3</t>
        </is>
      </c>
      <c r="U7" s="24" t="inlineStr">
        <is>
          <t>settled</t>
        </is>
      </c>
      <c r="V7" s="24" t="inlineStr">
        <is>
          <t>win</t>
        </is>
      </c>
      <c r="W7" s="26" t="n">
        <v>9</v>
      </c>
      <c r="X7" s="26" t="n">
        <v>4</v>
      </c>
      <c r="Y7" s="25" t="n">
        <v>8.5</v>
      </c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2026-08-05T04:33:07.208006Z</t>
        </is>
      </c>
      <c r="AE7" s="31" t="inlineStr">
        <is>
          <t>Measured Edge Totals: Trend Engine projected 4.22-4.93; raw selected-side p=0.5273, calibrated p=0.5126.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mlb-sd</t>
        </is>
      </c>
      <c r="AQ7" s="24" t="inlineStr">
        <is>
          <t>San Diego Padres</t>
        </is>
      </c>
      <c r="AR7" s="24" t="inlineStr">
        <is>
          <t>San Diego Padres</t>
        </is>
      </c>
      <c r="AS7" s="24" t="inlineStr">
        <is>
          <t>mlb-ari</t>
        </is>
      </c>
      <c r="AT7" s="24" t="inlineStr">
        <is>
          <t>Arizona Diamondbacks</t>
        </is>
      </c>
      <c r="AU7" s="24" t="inlineStr">
        <is>
          <t>Arizona Diamondbacks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95b84332c75d2ce54036eb8de6ada9c78d0f80228c50825c0347281a8b9b49c7</t>
        </is>
      </c>
      <c r="BB7" s="24" t="inlineStr">
        <is>
          <t>flat_probability_shrinkage_toward_half</t>
        </is>
      </c>
      <c r="BC7" s="24" t="inlineStr">
        <is>
          <t>measured-edge-totals-v3</t>
        </is>
      </c>
      <c r="BD7" s="24" t="inlineStr">
        <is>
          <t>95b84332c75d2ce54036eb8de6ada9c78d0f80228c50825c0347281a8b9b49c7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2026-08-05T01:08:02.646600Z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-117</v>
      </c>
      <c r="BL7" s="27" t="n">
        <v>1.854701</v>
      </c>
      <c r="BM7" s="28" t="n">
        <v>0.539171</v>
      </c>
      <c r="BN7" s="28" t="n">
        <v>0.537313</v>
      </c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cb0fc956437b4b98</t>
        </is>
      </c>
      <c r="B8" s="24" t="inlineStr">
        <is>
          <t>2026-08-05T17:02:59.358484Z</t>
        </is>
      </c>
      <c r="C8" s="24" t="inlineStr">
        <is>
          <t>2026-08-05T14:10:00-0400</t>
        </is>
      </c>
      <c r="D8" s="24" t="inlineStr">
        <is>
          <t>401816410</t>
        </is>
      </c>
      <c r="E8" s="24" t="inlineStr">
        <is>
          <t>MLB</t>
        </is>
      </c>
      <c r="F8" s="24" t="inlineStr">
        <is>
          <t>Toronto Blue Jays</t>
        </is>
      </c>
      <c r="G8" s="24" t="inlineStr">
        <is>
          <t>Houston Astros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-208</v>
      </c>
      <c r="M8" s="27" t="n">
        <v>1.480769</v>
      </c>
      <c r="N8" s="28" t="n">
        <v>0.675325</v>
      </c>
      <c r="O8" s="28" t="n">
        <v>0.543314</v>
      </c>
      <c r="P8" s="28" t="n"/>
      <c r="Q8" s="28" t="n">
        <v>-0.132011</v>
      </c>
      <c r="R8" s="26" t="n">
        <v>0</v>
      </c>
      <c r="S8" s="29" t="n">
        <v>1</v>
      </c>
      <c r="T8" s="24" t="inlineStr">
        <is>
          <t>mlb-elo-trend-lr-v8</t>
        </is>
      </c>
      <c r="U8" s="24" t="inlineStr">
        <is>
          <t>settled</t>
        </is>
      </c>
      <c r="V8" s="24" t="inlineStr">
        <is>
          <t>loss</t>
        </is>
      </c>
      <c r="W8" s="26" t="n">
        <v>5</v>
      </c>
      <c r="X8" s="26" t="n">
        <v>4</v>
      </c>
      <c r="Y8" s="25" t="n"/>
      <c r="Z8" s="26" t="n">
        <v>-208</v>
      </c>
      <c r="AA8" s="28" t="n">
        <v>0.675</v>
      </c>
      <c r="AB8" s="28" t="n">
        <v>-0.000325</v>
      </c>
      <c r="AC8" s="30" t="n">
        <v>-1</v>
      </c>
      <c r="AD8" s="24" t="inlineStr">
        <is>
          <t>2026-08-06T00:20:19.922813Z</t>
        </is>
      </c>
      <c r="AE8" s="31" t="inlineStr">
        <is>
          <t>Learned LR call at threshold 0.5873; executable ask 0.6750 (aec-mlb-tor-hou-2026-08-05); model edge vs ask -0.1317.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NO_CALL_WINNER_OVERVALUED</t>
        </is>
      </c>
      <c r="AP8" s="24" t="inlineStr">
        <is>
          <t>mlb-tor</t>
        </is>
      </c>
      <c r="AQ8" s="24" t="inlineStr">
        <is>
          <t>Toronto Blue Jays</t>
        </is>
      </c>
      <c r="AR8" s="24" t="inlineStr">
        <is>
          <t>Toronto Blue Jays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6a5c79541b0e50cb9f7318270e63d5ccc65cbd7bc53a019748ff772d49de5075</t>
        </is>
      </c>
      <c r="BB8" s="24" t="inlineStr">
        <is>
          <t>learned_lr</t>
        </is>
      </c>
      <c r="BC8" s="24" t="inlineStr">
        <is>
          <t>mlb-elo-trend-lr-v8</t>
        </is>
      </c>
      <c r="BD8" s="24" t="inlineStr">
        <is>
          <t>6a5c79541b0e50cb9f7318270e63d5ccc65cbd7bc53a019748ff772d49de5075</t>
        </is>
      </c>
      <c r="BE8" s="24" t="inlineStr">
        <is>
          <t>7363e92b2bdde372</t>
        </is>
      </c>
      <c r="BF8" s="24" t="inlineStr">
        <is>
          <t>1</t>
        </is>
      </c>
      <c r="BG8" s="24" t="inlineStr">
        <is>
          <t>mlb-elo-trend-lr-v8</t>
        </is>
      </c>
      <c r="BH8" s="24" t="inlineStr">
        <is>
          <t>2026-08-05T17:01:43.592867Z</t>
        </is>
      </c>
      <c r="BI8" s="24" t="inlineStr">
        <is>
          <t>["same_event","same_team_same_day","same_league_same_day"]</t>
        </is>
      </c>
      <c r="BJ8" s="25" t="n"/>
      <c r="BK8" s="26" t="n">
        <v>-208</v>
      </c>
      <c r="BL8" s="27" t="n">
        <v>1.480769</v>
      </c>
      <c r="BM8" s="28" t="n">
        <v>0.675325</v>
      </c>
      <c r="BN8" s="28" t="n">
        <v>0.671642</v>
      </c>
      <c r="BO8" s="28" t="n"/>
      <c r="BP8" s="25" t="n"/>
      <c r="BQ8" s="27" t="n">
        <v>1.480769</v>
      </c>
      <c r="BR8" s="28" t="n">
        <v>0.675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0.540804065</t>
        </is>
      </c>
      <c r="CD8" s="24" t="inlineStr">
        <is>
          <t>1.610075</t>
        </is>
      </c>
      <c r="CE8" s="24" t="inlineStr">
        <is>
          <t>0.956</t>
        </is>
      </c>
      <c r="CF8" s="24" t="inlineStr">
        <is>
          <t>1.0</t>
        </is>
      </c>
      <c r="CG8" s="24" t="n"/>
      <c r="CH8" s="24" t="n"/>
      <c r="CI8" s="24" t="n"/>
      <c r="CJ8" s="24" t="inlineStr">
        <is>
          <t>0.674406</t>
        </is>
      </c>
      <c r="CK8" s="24" t="n"/>
      <c r="CL8" s="24" t="inlineStr">
        <is>
          <t>-0.128115</t>
        </is>
      </c>
      <c r="CM8" s="24" t="inlineStr">
        <is>
          <t>-1.6882</t>
        </is>
      </c>
      <c r="CN8" s="24" t="n"/>
      <c r="CO8" s="24" t="n"/>
      <c r="CP8" s="24" t="n"/>
      <c r="CQ8" s="24" t="n"/>
      <c r="CR8" s="24" t="inlineStr">
        <is>
          <t>0.543314</t>
        </is>
      </c>
      <c r="CS8" s="24" t="inlineStr">
        <is>
          <t>False</t>
        </is>
      </c>
    </row>
    <row r="9" ht="36" customHeight="1">
      <c r="A9" s="24" t="inlineStr">
        <is>
          <t>c2bb6b803c7a46aa</t>
        </is>
      </c>
      <c r="B9" s="24" t="inlineStr">
        <is>
          <t>2026-08-05T17:02:59.358484Z</t>
        </is>
      </c>
      <c r="C9" s="24" t="inlineStr">
        <is>
          <t>2026-08-05T14:20:00-0400</t>
        </is>
      </c>
      <c r="D9" s="24" t="inlineStr">
        <is>
          <t>401816406</t>
        </is>
      </c>
      <c r="E9" s="24" t="inlineStr">
        <is>
          <t>MLB</t>
        </is>
      </c>
      <c r="F9" s="24" t="inlineStr">
        <is>
          <t>Los Angeles Dodgers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-111</v>
      </c>
      <c r="M9" s="27" t="n">
        <v>1.900901</v>
      </c>
      <c r="N9" s="28" t="n">
        <v>0.526066</v>
      </c>
      <c r="O9" s="28" t="n">
        <v>0.522292</v>
      </c>
      <c r="P9" s="28" t="n"/>
      <c r="Q9" s="28" t="n">
        <v>-0.003774</v>
      </c>
      <c r="R9" s="26" t="n">
        <v>20</v>
      </c>
      <c r="S9" s="29" t="n">
        <v>1</v>
      </c>
      <c r="T9" s="24" t="inlineStr">
        <is>
          <t>mlb-elo-trend-lr-v8</t>
        </is>
      </c>
      <c r="U9" s="24" t="inlineStr">
        <is>
          <t>settled</t>
        </is>
      </c>
      <c r="V9" s="24" t="inlineStr">
        <is>
          <t>win</t>
        </is>
      </c>
      <c r="W9" s="26" t="n">
        <v>6</v>
      </c>
      <c r="X9" s="26" t="n">
        <v>7</v>
      </c>
      <c r="Y9" s="25" t="n"/>
      <c r="Z9" s="26" t="n">
        <v>-111</v>
      </c>
      <c r="AA9" s="28" t="n">
        <v>0.525</v>
      </c>
      <c r="AB9" s="28" t="n">
        <v>-0.001066</v>
      </c>
      <c r="AC9" s="30" t="n">
        <v>0.9009</v>
      </c>
      <c r="AD9" s="24" t="inlineStr">
        <is>
          <t>2026-08-06T00:20:20.833011Z</t>
        </is>
      </c>
      <c r="AE9" s="31" t="inlineStr">
        <is>
          <t>Learned LR call at threshold 0.5873; executable ask 0.5250 (aec-mlb-lad-chc-2026-08-05); model edge vs ask -0.0027.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NO_CALL_WINNER_OVERVALUED</t>
        </is>
      </c>
      <c r="AP9" s="24" t="inlineStr">
        <is>
          <t>mlb-lad</t>
        </is>
      </c>
      <c r="AQ9" s="24" t="inlineStr">
        <is>
          <t>Los Angeles Dodgers</t>
        </is>
      </c>
      <c r="AR9" s="24" t="inlineStr">
        <is>
          <t>Los Angeles Dodgers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6a5c79541b0e50cb9f7318270e63d5ccc65cbd7bc53a019748ff772d49de5075</t>
        </is>
      </c>
      <c r="BB9" s="24" t="inlineStr">
        <is>
          <t>learned_lr</t>
        </is>
      </c>
      <c r="BC9" s="24" t="inlineStr">
        <is>
          <t>mlb-elo-trend-lr-v8</t>
        </is>
      </c>
      <c r="BD9" s="24" t="inlineStr">
        <is>
          <t>6a5c79541b0e50cb9f7318270e63d5ccc65cbd7bc53a019748ff772d49de5075</t>
        </is>
      </c>
      <c r="BE9" s="24" t="inlineStr">
        <is>
          <t>cd121ba990e73d6d</t>
        </is>
      </c>
      <c r="BF9" s="24" t="inlineStr">
        <is>
          <t>1</t>
        </is>
      </c>
      <c r="BG9" s="24" t="inlineStr">
        <is>
          <t>mlb-elo-trend-lr-v8</t>
        </is>
      </c>
      <c r="BH9" s="24" t="inlineStr">
        <is>
          <t>2026-08-05T17:01:44.118953Z</t>
        </is>
      </c>
      <c r="BI9" s="24" t="inlineStr">
        <is>
          <t>["same_event","same_team_same_day","same_league_same_day"]</t>
        </is>
      </c>
      <c r="BJ9" s="25" t="n"/>
      <c r="BK9" s="26" t="n">
        <v>-111</v>
      </c>
      <c r="BL9" s="27" t="n">
        <v>1.900901</v>
      </c>
      <c r="BM9" s="28" t="n">
        <v>0.526066</v>
      </c>
      <c r="BN9" s="28" t="n">
        <v>0.522388</v>
      </c>
      <c r="BO9" s="28" t="n"/>
      <c r="BP9" s="25" t="n"/>
      <c r="BQ9" s="27" t="n">
        <v>1.900901</v>
      </c>
      <c r="BR9" s="28" t="n">
        <v>0.525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0.5253192927</t>
        </is>
      </c>
      <c r="CD9" s="24" t="inlineStr">
        <is>
          <t>0.944189</t>
        </is>
      </c>
      <c r="CE9" s="24" t="inlineStr">
        <is>
          <t>0.986</t>
        </is>
      </c>
      <c r="CF9" s="24" t="inlineStr">
        <is>
          <t>1.0097</t>
        </is>
      </c>
      <c r="CG9" s="24" t="n"/>
      <c r="CH9" s="24" t="n"/>
      <c r="CI9" s="24" t="n"/>
      <c r="CJ9" s="24" t="inlineStr">
        <is>
          <t>2.898558</t>
        </is>
      </c>
      <c r="CK9" s="24" t="n"/>
      <c r="CL9" s="24" t="inlineStr">
        <is>
          <t>-0.233791</t>
        </is>
      </c>
      <c r="CM9" s="24" t="inlineStr">
        <is>
          <t>-1.2706</t>
        </is>
      </c>
      <c r="CN9" s="24" t="n"/>
      <c r="CO9" s="24" t="n"/>
      <c r="CP9" s="24" t="n"/>
      <c r="CQ9" s="24" t="n"/>
      <c r="CR9" s="24" t="inlineStr">
        <is>
          <t>0.522292</t>
        </is>
      </c>
      <c r="CS9" s="24" t="inlineStr">
        <is>
          <t>False</t>
        </is>
      </c>
    </row>
    <row r="10" ht="36" customHeight="1">
      <c r="A10" s="24" t="inlineStr">
        <is>
          <t>265eccfc10c94e3e</t>
        </is>
      </c>
      <c r="B10" s="24" t="inlineStr">
        <is>
          <t>2026-08-05T17:02:59.358484Z</t>
        </is>
      </c>
      <c r="C10" s="24" t="inlineStr">
        <is>
          <t>2026-08-05T14:35:00-0400</t>
        </is>
      </c>
      <c r="D10" s="24" t="inlineStr">
        <is>
          <t>401816409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Texas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0.585182</v>
      </c>
      <c r="P10" s="28" t="n"/>
      <c r="Q10" s="28" t="n">
        <v>-0.019561</v>
      </c>
      <c r="R10" s="26" t="n">
        <v>12</v>
      </c>
      <c r="S10" s="29" t="n">
        <v>1.25</v>
      </c>
      <c r="T10" s="24" t="inlineStr">
        <is>
          <t>mlb-elo-trend-lr-v8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6</v>
      </c>
      <c r="Y10" s="25" t="n"/>
      <c r="Z10" s="26" t="n">
        <v>-153</v>
      </c>
      <c r="AA10" s="28" t="n">
        <v>0.605</v>
      </c>
      <c r="AB10" s="28" t="n">
        <v>0.000257</v>
      </c>
      <c r="AC10" s="30" t="n">
        <v>0.8169999999999999</v>
      </c>
      <c r="AD10" s="24" t="inlineStr">
        <is>
          <t>2026-08-06T00:20:21.687592Z</t>
        </is>
      </c>
      <c r="AE10" s="31" t="inlineStr">
        <is>
          <t>Learned LR call at threshold 0.5873; executable ask 0.6050 (aec-mlb-sf-tex-2026-08-05); model edge vs ask -0.0198.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NO_CALL_WINNER_OVERVALUED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mlb-tex</t>
        </is>
      </c>
      <c r="AT10" s="24" t="inlineStr">
        <is>
          <t>Texas Rangers</t>
        </is>
      </c>
      <c r="AU10" s="24" t="inlineStr">
        <is>
          <t>Texas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6a5c79541b0e50cb9f7318270e63d5ccc65cbd7bc53a019748ff772d49de5075</t>
        </is>
      </c>
      <c r="BB10" s="24" t="inlineStr">
        <is>
          <t>learned_lr</t>
        </is>
      </c>
      <c r="BC10" s="24" t="inlineStr">
        <is>
          <t>mlb-elo-trend-lr-v8</t>
        </is>
      </c>
      <c r="BD10" s="24" t="inlineStr">
        <is>
          <t>6a5c79541b0e50cb9f7318270e63d5ccc65cbd7bc53a019748ff772d49de5075</t>
        </is>
      </c>
      <c r="BE10" s="24" t="inlineStr">
        <is>
          <t>b14707c8a9267bdd</t>
        </is>
      </c>
      <c r="BF10" s="24" t="inlineStr">
        <is>
          <t>1</t>
        </is>
      </c>
      <c r="BG10" s="24" t="inlineStr">
        <is>
          <t>mlb-elo-trend-lr-v8</t>
        </is>
      </c>
      <c r="BH10" s="24" t="inlineStr">
        <is>
          <t>2026-08-05T17:01:44.692636Z</t>
        </is>
      </c>
      <c r="BI10" s="24" t="inlineStr">
        <is>
          <t>["same_event","same_team_same_day","same_league_same_day"]</t>
        </is>
      </c>
      <c r="BJ10" s="25" t="n"/>
      <c r="BK10" s="26" t="n">
        <v>-153</v>
      </c>
      <c r="BL10" s="27" t="n">
        <v>1.653595</v>
      </c>
      <c r="BM10" s="28" t="n">
        <v>0.604743</v>
      </c>
      <c r="BN10" s="28" t="n">
        <v>0.60199</v>
      </c>
      <c r="BO10" s="28" t="n"/>
      <c r="BP10" s="25" t="n"/>
      <c r="BQ10" s="27" t="n">
        <v>1.653595</v>
      </c>
      <c r="BR10" s="28" t="n">
        <v>0.605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0.5324528355</t>
        </is>
      </c>
      <c r="CD10" s="24" t="inlineStr">
        <is>
          <t>-1.3294</t>
        </is>
      </c>
      <c r="CE10" s="24" t="inlineStr">
        <is>
          <t>0.912</t>
        </is>
      </c>
      <c r="CF10" s="24" t="inlineStr">
        <is>
          <t>1.0</t>
        </is>
      </c>
      <c r="CG10" s="24" t="n"/>
      <c r="CH10" s="24" t="n"/>
      <c r="CI10" s="24" t="n"/>
      <c r="CJ10" s="24" t="inlineStr">
        <is>
          <t>-0.362485</t>
        </is>
      </c>
      <c r="CK10" s="24" t="n"/>
      <c r="CL10" s="24" t="inlineStr">
        <is>
          <t>0.552499</t>
        </is>
      </c>
      <c r="CM10" s="24" t="inlineStr">
        <is>
          <t>-0.6122</t>
        </is>
      </c>
      <c r="CN10" s="24" t="n"/>
      <c r="CO10" s="24" t="n"/>
      <c r="CP10" s="24" t="n"/>
      <c r="CQ10" s="24" t="n"/>
      <c r="CR10" s="24" t="inlineStr">
        <is>
          <t>0.585182</t>
        </is>
      </c>
      <c r="CS10" s="24" t="inlineStr">
        <is>
          <t>False</t>
        </is>
      </c>
    </row>
    <row r="11" ht="36" customHeight="1">
      <c r="A11" s="24" t="inlineStr">
        <is>
          <t>32b5459c62254d6a</t>
        </is>
      </c>
      <c r="B11" s="24" t="inlineStr">
        <is>
          <t>2026-08-05T17:02:59.358484Z</t>
        </is>
      </c>
      <c r="C11" s="24" t="inlineStr">
        <is>
          <t>2026-08-05T15:10:00-0400</t>
        </is>
      </c>
      <c r="D11" s="24" t="inlineStr">
        <is>
          <t>401816411</t>
        </is>
      </c>
      <c r="E11" s="24" t="inlineStr">
        <is>
          <t>MLB</t>
        </is>
      </c>
      <c r="F11" s="24" t="inlineStr">
        <is>
          <t>Tampa Bay Rays</t>
        </is>
      </c>
      <c r="G11" s="24" t="inlineStr">
        <is>
          <t>Colorado Rockies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-153</v>
      </c>
      <c r="M11" s="27" t="n">
        <v>1.653595</v>
      </c>
      <c r="N11" s="28" t="n">
        <v>0.604743</v>
      </c>
      <c r="O11" s="28" t="n">
        <v>0.6508969999999999</v>
      </c>
      <c r="P11" s="28" t="n"/>
      <c r="Q11" s="28" t="n">
        <v>0.046154</v>
      </c>
      <c r="R11" s="26" t="n">
        <v>44</v>
      </c>
      <c r="S11" s="29" t="n">
        <v>1.75</v>
      </c>
      <c r="T11" s="24" t="inlineStr">
        <is>
          <t>mlb-elo-trend-lr-v8</t>
        </is>
      </c>
      <c r="U11" s="24" t="inlineStr">
        <is>
          <t>settled</t>
        </is>
      </c>
      <c r="V11" s="24" t="inlineStr">
        <is>
          <t>win</t>
        </is>
      </c>
      <c r="W11" s="26" t="n">
        <v>4</v>
      </c>
      <c r="X11" s="26" t="n">
        <v>0</v>
      </c>
      <c r="Y11" s="25" t="n"/>
      <c r="Z11" s="26" t="n">
        <v>-153</v>
      </c>
      <c r="AA11" s="28" t="n">
        <v>0.605</v>
      </c>
      <c r="AB11" s="28" t="n">
        <v>0.000257</v>
      </c>
      <c r="AC11" s="30" t="n">
        <v>1.1438</v>
      </c>
      <c r="AD11" s="24" t="inlineStr">
        <is>
          <t>2026-08-06T00:20:22.552849Z</t>
        </is>
      </c>
      <c r="AE11" s="31" t="inlineStr">
        <is>
          <t>Learned LR call at threshold 0.5873; executable ask 0.6050 (aec-mlb-tb-col-2026-08-05); model edge vs ask +0.0459.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NO_CALL_WINNER_OVERVALUED</t>
        </is>
      </c>
      <c r="AP11" s="24" t="inlineStr">
        <is>
          <t>mlb-tb</t>
        </is>
      </c>
      <c r="AQ11" s="24" t="inlineStr">
        <is>
          <t>Tampa Bay Rays</t>
        </is>
      </c>
      <c r="AR11" s="24" t="inlineStr">
        <is>
          <t>Tampa Bay Rays</t>
        </is>
      </c>
      <c r="AS11" s="24" t="inlineStr">
        <is>
          <t>mlb-col</t>
        </is>
      </c>
      <c r="AT11" s="24" t="inlineStr">
        <is>
          <t>Colorado Rockies</t>
        </is>
      </c>
      <c r="AU11" s="24" t="inlineStr">
        <is>
          <t>Colorado Rockies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6a5c79541b0e50cb9f7318270e63d5ccc65cbd7bc53a019748ff772d49de5075</t>
        </is>
      </c>
      <c r="BB11" s="24" t="inlineStr">
        <is>
          <t>learned_lr</t>
        </is>
      </c>
      <c r="BC11" s="24" t="inlineStr">
        <is>
          <t>mlb-elo-trend-lr-v8</t>
        </is>
      </c>
      <c r="BD11" s="24" t="inlineStr">
        <is>
          <t>6a5c79541b0e50cb9f7318270e63d5ccc65cbd7bc53a019748ff772d49de5075</t>
        </is>
      </c>
      <c r="BE11" s="24" t="inlineStr">
        <is>
          <t>bad8c8f6d9c491bf</t>
        </is>
      </c>
      <c r="BF11" s="24" t="inlineStr">
        <is>
          <t>1</t>
        </is>
      </c>
      <c r="BG11" s="24" t="inlineStr">
        <is>
          <t>mlb-elo-trend-lr-v8</t>
        </is>
      </c>
      <c r="BH11" s="24" t="inlineStr">
        <is>
          <t>2026-08-05T17:01:45.186103Z</t>
        </is>
      </c>
      <c r="BI11" s="24" t="inlineStr">
        <is>
          <t>["same_event","same_team_same_day","same_league_same_day"]</t>
        </is>
      </c>
      <c r="BJ11" s="25" t="n"/>
      <c r="BK11" s="26" t="n">
        <v>-153</v>
      </c>
      <c r="BL11" s="27" t="n">
        <v>1.653595</v>
      </c>
      <c r="BM11" s="28" t="n">
        <v>0.604743</v>
      </c>
      <c r="BN11" s="28" t="n">
        <v>0.60199</v>
      </c>
      <c r="BO11" s="28" t="n"/>
      <c r="BP11" s="25" t="n"/>
      <c r="BQ11" s="27" t="n">
        <v>1.653595</v>
      </c>
      <c r="BR11" s="28" t="n">
        <v>0.605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0.3717088646</t>
        </is>
      </c>
      <c r="CD11" s="24" t="inlineStr">
        <is>
          <t>1.48701</t>
        </is>
      </c>
      <c r="CE11" s="24" t="inlineStr">
        <is>
          <t>1.193</t>
        </is>
      </c>
      <c r="CF11" s="24" t="inlineStr">
        <is>
          <t>1.0028</t>
        </is>
      </c>
      <c r="CG11" s="24" t="n"/>
      <c r="CH11" s="24" t="n"/>
      <c r="CI11" s="24" t="n"/>
      <c r="CJ11" s="24" t="inlineStr">
        <is>
          <t>0.458973</t>
        </is>
      </c>
      <c r="CK11" s="24" t="n"/>
      <c r="CL11" s="24" t="inlineStr">
        <is>
          <t>0.032773</t>
        </is>
      </c>
      <c r="CM11" s="24" t="inlineStr">
        <is>
          <t>3.3324</t>
        </is>
      </c>
      <c r="CN11" s="24" t="n"/>
      <c r="CO11" s="24" t="n"/>
      <c r="CP11" s="24" t="n"/>
      <c r="CQ11" s="24" t="n"/>
      <c r="CR11" s="24" t="inlineStr">
        <is>
          <t>0.650897</t>
        </is>
      </c>
      <c r="CS11" s="24" t="inlineStr">
        <is>
          <t>True</t>
        </is>
      </c>
    </row>
    <row r="12" ht="36" customHeight="1">
      <c r="A12" s="24" t="inlineStr">
        <is>
          <t>d6a4490a20d84ed8</t>
        </is>
      </c>
      <c r="B12" s="24" t="inlineStr">
        <is>
          <t>2026-08-05T17:03:21.201331Z</t>
        </is>
      </c>
      <c r="C12" s="24" t="inlineStr">
        <is>
          <t>2026-08-05T18:10Z</t>
        </is>
      </c>
      <c r="D12" s="24" t="inlineStr">
        <is>
          <t>401816410</t>
        </is>
      </c>
      <c r="E12" s="24" t="inlineStr">
        <is>
          <t>MLB</t>
        </is>
      </c>
      <c r="F12" s="24" t="inlineStr">
        <is>
          <t>Toronto Blue Jays</t>
        </is>
      </c>
      <c r="G12" s="24" t="inlineStr">
        <is>
          <t>Houston Astros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0.443716</v>
      </c>
      <c r="P12" s="28" t="n">
        <v>0.042131</v>
      </c>
      <c r="Q12" s="28" t="n">
        <v>-0.06608799999999999</v>
      </c>
      <c r="R12" s="26" t="n">
        <v>0</v>
      </c>
      <c r="S12" s="29" t="n">
        <v>1</v>
      </c>
      <c r="T12" s="24" t="inlineStr">
        <is>
          <t>measured-edge-margin-v3</t>
        </is>
      </c>
      <c r="U12" s="24" t="inlineStr">
        <is>
          <t>settled</t>
        </is>
      </c>
      <c r="V12" s="24" t="inlineStr">
        <is>
          <t>loss</t>
        </is>
      </c>
      <c r="W12" s="26" t="n">
        <v>5</v>
      </c>
      <c r="X12" s="26" t="n">
        <v>4</v>
      </c>
      <c r="Y12" s="25" t="n">
        <v>-1.5</v>
      </c>
      <c r="Z12" s="26" t="n">
        <v>-104</v>
      </c>
      <c r="AA12" s="28" t="n">
        <v>0.51</v>
      </c>
      <c r="AB12" s="28" t="n">
        <v>0.000196</v>
      </c>
      <c r="AC12" s="30" t="n">
        <v>-1</v>
      </c>
      <c r="AD12" s="24" t="inlineStr">
        <is>
          <t>2026-08-06T00:20:23.453362Z</t>
        </is>
      </c>
      <c r="AE12" s="31" t="inlineStr">
        <is>
          <t>Measured Edge Margin: Trend Engine projected 4.45-5.29; raw selected-side p=0.4174, calibrated p=0.4437.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NO_CALL_WINNER_OVERVALUED</t>
        </is>
      </c>
      <c r="AP12" s="24" t="inlineStr">
        <is>
          <t>mlb-tor</t>
        </is>
      </c>
      <c r="AQ12" s="24" t="inlineStr">
        <is>
          <t>Toronto Blue Jays</t>
        </is>
      </c>
      <c r="AR12" s="24" t="inlineStr">
        <is>
          <t>Toronto Blue Jays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dd339a2eed50d7d83ab2127837995ddab82e879afd27f5414bb6c1f9cd60ba4c</t>
        </is>
      </c>
      <c r="BB12" s="24" t="inlineStr">
        <is>
          <t>flat_probability_shrinkage_toward_half</t>
        </is>
      </c>
      <c r="BC12" s="24" t="inlineStr">
        <is>
          <t>measured-edge-margin-v3</t>
        </is>
      </c>
      <c r="BD12" s="24" t="inlineStr">
        <is>
          <t>dd339a2eed50d7d83ab2127837995ddab82e879afd27f5414bb6c1f9cd60ba4c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2026-08-05T17:03:21.201331Z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-104</v>
      </c>
      <c r="BL12" s="27" t="n">
        <v>1.961538</v>
      </c>
      <c r="BM12" s="28" t="n">
        <v>0.509804</v>
      </c>
      <c r="BN12" s="28" t="n">
        <v>0.507463</v>
      </c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8d9d3d1572a04460</t>
        </is>
      </c>
      <c r="B13" s="24" t="inlineStr">
        <is>
          <t>2026-08-05T17:03:21.201331Z</t>
        </is>
      </c>
      <c r="C13" s="24" t="inlineStr">
        <is>
          <t>2026-08-05T18:10Z</t>
        </is>
      </c>
      <c r="D13" s="24" t="inlineStr">
        <is>
          <t>401816410</t>
        </is>
      </c>
      <c r="E13" s="24" t="inlineStr">
        <is>
          <t>MLB</t>
        </is>
      </c>
      <c r="F13" s="24" t="inlineStr">
        <is>
          <t>Toronto Blue Jays</t>
        </is>
      </c>
      <c r="G13" s="24" t="inlineStr">
        <is>
          <t>Houston Astros</t>
        </is>
      </c>
      <c r="H13" s="24" t="inlineStr">
        <is>
          <t>total</t>
        </is>
      </c>
      <c r="I13" s="24" t="inlineStr">
        <is>
          <t>over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0.524616</v>
      </c>
      <c r="P13" s="28" t="n">
        <v>0.042131</v>
      </c>
      <c r="Q13" s="28" t="n">
        <v>0.0595</v>
      </c>
      <c r="R13" s="26" t="n">
        <v>56</v>
      </c>
      <c r="S13" s="29" t="n">
        <v>1</v>
      </c>
      <c r="T13" s="24" t="inlineStr">
        <is>
          <t>measured-edge-totals-v3</t>
        </is>
      </c>
      <c r="U13" s="24" t="inlineStr">
        <is>
          <t>settled</t>
        </is>
      </c>
      <c r="V13" s="24" t="inlineStr">
        <is>
          <t>win</t>
        </is>
      </c>
      <c r="W13" s="26" t="n">
        <v>5</v>
      </c>
      <c r="X13" s="26" t="n">
        <v>4</v>
      </c>
      <c r="Y13" s="25" t="n">
        <v>8.5</v>
      </c>
      <c r="Z13" s="26" t="n">
        <v>115</v>
      </c>
      <c r="AA13" s="28" t="n">
        <v>0.465</v>
      </c>
      <c r="AB13" s="28" t="n">
        <v>-0.000116</v>
      </c>
      <c r="AC13" s="30" t="n">
        <v>1.15</v>
      </c>
      <c r="AD13" s="24" t="inlineStr">
        <is>
          <t>2026-08-06T00:20:24.337619Z</t>
        </is>
      </c>
      <c r="AE13" s="31" t="inlineStr">
        <is>
          <t>Measured Edge Totals: Trend Engine projected 4.45-5.29; raw selected-side p=0.5757, calibrated p=0.5246.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NO_CALL_WINNER_OVERVALUED</t>
        </is>
      </c>
      <c r="AP13" s="24" t="inlineStr">
        <is>
          <t>mlb-tor</t>
        </is>
      </c>
      <c r="AQ13" s="24" t="inlineStr">
        <is>
          <t>Toronto Blue Jays</t>
        </is>
      </c>
      <c r="AR13" s="24" t="inlineStr">
        <is>
          <t>Toronto Blue Jays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95b84332c75d2ce54036eb8de6ada9c78d0f80228c50825c0347281a8b9b49c7</t>
        </is>
      </c>
      <c r="BB13" s="24" t="inlineStr">
        <is>
          <t>flat_probability_shrinkage_toward_half</t>
        </is>
      </c>
      <c r="BC13" s="24" t="inlineStr">
        <is>
          <t>measured-edge-totals-v3</t>
        </is>
      </c>
      <c r="BD13" s="24" t="inlineStr">
        <is>
          <t>95b84332c75d2ce54036eb8de6ada9c78d0f80228c50825c0347281a8b9b49c7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2026-08-05T17:03:21.201331Z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>
        <v>2.15</v>
      </c>
      <c r="BR13" s="28" t="n">
        <v>0.465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1070572256ac4a03</t>
        </is>
      </c>
      <c r="B14" s="24" t="inlineStr">
        <is>
          <t>2026-08-05T17:03:21.201331Z</t>
        </is>
      </c>
      <c r="C14" s="24" t="inlineStr">
        <is>
          <t>2026-08-05T18:20Z</t>
        </is>
      </c>
      <c r="D14" s="24" t="inlineStr">
        <is>
          <t>401816406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Chicago Cubs</t>
        </is>
      </c>
      <c r="H14" s="24" t="inlineStr">
        <is>
          <t>spread</t>
        </is>
      </c>
      <c r="I14" s="24" t="inlineStr">
        <is>
          <t>home</t>
        </is>
      </c>
      <c r="J14" s="25" t="n">
        <v>-1.5</v>
      </c>
      <c r="K14" s="24" t="inlineStr">
        <is>
          <t>polymarket_us</t>
        </is>
      </c>
      <c r="L14" s="26" t="n">
        <v>167</v>
      </c>
      <c r="M14" s="27" t="n">
        <v>2.67</v>
      </c>
      <c r="N14" s="28" t="n">
        <v>0.374532</v>
      </c>
      <c r="O14" s="28" t="n">
        <v>0.427431</v>
      </c>
      <c r="P14" s="28" t="n">
        <v>0.042131</v>
      </c>
      <c r="Q14" s="28" t="n">
        <v>0.052899</v>
      </c>
      <c r="R14" s="26" t="n">
        <v>52</v>
      </c>
      <c r="S14" s="29" t="n">
        <v>1.25</v>
      </c>
      <c r="T14" s="24" t="inlineStr">
        <is>
          <t>measured-edge-margin-v3</t>
        </is>
      </c>
      <c r="U14" s="24" t="inlineStr">
        <is>
          <t>settled</t>
        </is>
      </c>
      <c r="V14" s="24" t="inlineStr">
        <is>
          <t>loss</t>
        </is>
      </c>
      <c r="W14" s="26" t="n">
        <v>6</v>
      </c>
      <c r="X14" s="26" t="n">
        <v>7</v>
      </c>
      <c r="Y14" s="25" t="n">
        <v>-1.5</v>
      </c>
      <c r="Z14" s="26" t="n">
        <v>167</v>
      </c>
      <c r="AA14" s="28" t="n">
        <v>0.375</v>
      </c>
      <c r="AB14" s="28" t="n">
        <v>0.000468</v>
      </c>
      <c r="AC14" s="30" t="n">
        <v>-1.25</v>
      </c>
      <c r="AD14" s="24" t="inlineStr">
        <is>
          <t>2026-08-06T00:20:25.263663Z</t>
        </is>
      </c>
      <c r="AE14" s="31" t="inlineStr">
        <is>
          <t>Measured Edge Margin: Trend Engine projected 3.96-4.59; raw selected-side p=0.3935, calibrated p=0.4274.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review_required</t>
        </is>
      </c>
      <c r="AH14" s="24" t="n"/>
      <c r="AI14" s="31" t="n"/>
      <c r="AJ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NO_CALL_WINNER_OVERVALUED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mlb-chc</t>
        </is>
      </c>
      <c r="AT14" s="24" t="inlineStr">
        <is>
          <t>Chicago Cubs</t>
        </is>
      </c>
      <c r="AU14" s="24" t="inlineStr">
        <is>
          <t>Chicago Cubs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dd339a2eed50d7d83ab2127837995ddab82e879afd27f5414bb6c1f9cd60ba4c</t>
        </is>
      </c>
      <c r="BB14" s="24" t="inlineStr">
        <is>
          <t>flat_probability_shrinkage_toward_half</t>
        </is>
      </c>
      <c r="BC14" s="24" t="inlineStr">
        <is>
          <t>measured-edge-margin-v3</t>
        </is>
      </c>
      <c r="BD14" s="24" t="inlineStr">
        <is>
          <t>dd339a2eed50d7d83ab2127837995ddab82e879afd27f5414bb6c1f9cd60ba4c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2026-08-05T17:03:21.201331Z</t>
        </is>
      </c>
      <c r="BI14" s="24" t="inlineStr">
        <is>
          <t>["same_event","same_team_same_day","same_league_same_day"]</t>
        </is>
      </c>
      <c r="BJ14" s="25" t="n">
        <v>-1.5</v>
      </c>
      <c r="BK14" s="26" t="n">
        <v>167</v>
      </c>
      <c r="BL14" s="27" t="n">
        <v>2.67</v>
      </c>
      <c r="BM14" s="28" t="n">
        <v>0.374532</v>
      </c>
      <c r="BN14" s="28" t="n">
        <v>0.373134</v>
      </c>
      <c r="BO14" s="28" t="n"/>
      <c r="BP14" s="25" t="n"/>
      <c r="BQ14" s="27" t="n">
        <v>2.67</v>
      </c>
      <c r="BR14" s="28" t="n">
        <v>0.375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a5b1c89015a74283</t>
        </is>
      </c>
      <c r="B15" s="24" t="inlineStr">
        <is>
          <t>2026-08-05T17:03:21.201331Z</t>
        </is>
      </c>
      <c r="C15" s="24" t="inlineStr">
        <is>
          <t>2026-08-05T18:20Z</t>
        </is>
      </c>
      <c r="D15" s="24" t="inlineStr">
        <is>
          <t>401816406</t>
        </is>
      </c>
      <c r="E15" s="24" t="inlineStr">
        <is>
          <t>MLB</t>
        </is>
      </c>
      <c r="F15" s="24" t="inlineStr">
        <is>
          <t>Los Angeles Dodgers</t>
        </is>
      </c>
      <c r="G15" s="24" t="inlineStr">
        <is>
          <t>Chicago Cubs</t>
        </is>
      </c>
      <c r="H15" s="24" t="inlineStr">
        <is>
          <t>total</t>
        </is>
      </c>
      <c r="I15" s="24" t="inlineStr">
        <is>
          <t>under</t>
        </is>
      </c>
      <c r="J15" s="25" t="n">
        <v>9.5</v>
      </c>
      <c r="K15" s="24" t="inlineStr">
        <is>
          <t>polymarket_us</t>
        </is>
      </c>
      <c r="L15" s="26" t="n">
        <v>111</v>
      </c>
      <c r="M15" s="27" t="n">
        <v>2.11</v>
      </c>
      <c r="N15" s="28" t="n">
        <v>0.473934</v>
      </c>
      <c r="O15" s="28" t="n">
        <v>0.540402</v>
      </c>
      <c r="P15" s="28" t="n">
        <v>0.042131</v>
      </c>
      <c r="Q15" s="28" t="n">
        <v>0.066468</v>
      </c>
      <c r="R15" s="26" t="n">
        <v>59</v>
      </c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6</v>
      </c>
      <c r="X15" s="26" t="n">
        <v>7</v>
      </c>
      <c r="Y15" s="25" t="n">
        <v>9.5</v>
      </c>
      <c r="Z15" s="26" t="n">
        <v>111</v>
      </c>
      <c r="AA15" s="28" t="n">
        <v>0.475</v>
      </c>
      <c r="AB15" s="28" t="n">
        <v>0.001066</v>
      </c>
      <c r="AC15" s="30" t="n">
        <v>-1</v>
      </c>
      <c r="AD15" s="24" t="inlineStr">
        <is>
          <t>2026-08-06T00:20:26.119807Z</t>
        </is>
      </c>
      <c r="AE15" s="31" t="inlineStr">
        <is>
          <t>Measured Edge Totals: Trend Engine projected 3.96-4.59; raw selected-side p=0.6393, calibrated p=0.5404.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NO_CALL_WINNER_OVERVALUED</t>
        </is>
      </c>
      <c r="AP15" s="24" t="inlineStr">
        <is>
          <t>mlb-lad</t>
        </is>
      </c>
      <c r="AQ15" s="24" t="inlineStr">
        <is>
          <t>Los Angeles Dodgers</t>
        </is>
      </c>
      <c r="AR15" s="24" t="inlineStr">
        <is>
          <t>Los Angeles Dodgers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95b84332c75d2ce54036eb8de6ada9c78d0f80228c50825c0347281a8b9b49c7</t>
        </is>
      </c>
      <c r="BB15" s="24" t="inlineStr">
        <is>
          <t>flat_probability_shrinkage_toward_half</t>
        </is>
      </c>
      <c r="BC15" s="24" t="inlineStr">
        <is>
          <t>measured-edge-totals-v3</t>
        </is>
      </c>
      <c r="BD15" s="24" t="inlineStr">
        <is>
          <t>95b84332c75d2ce54036eb8de6ada9c78d0f80228c50825c0347281a8b9b49c7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2026-08-05T17:03:21.201331Z</t>
        </is>
      </c>
      <c r="BI15" s="24" t="inlineStr">
        <is>
          <t>["same_event","same_team_same_day","same_league_same_day"]</t>
        </is>
      </c>
      <c r="BJ15" s="25" t="n">
        <v>9.5</v>
      </c>
      <c r="BK15" s="26" t="n">
        <v>111</v>
      </c>
      <c r="BL15" s="27" t="n">
        <v>2.11</v>
      </c>
      <c r="BM15" s="28" t="n">
        <v>0.473934</v>
      </c>
      <c r="BN15" s="28" t="n">
        <v>0.472637</v>
      </c>
      <c r="BO15" s="28" t="n"/>
      <c r="BP15" s="25" t="n"/>
      <c r="BQ15" s="27" t="n">
        <v>2.11</v>
      </c>
      <c r="BR15" s="28" t="n">
        <v>0.475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8bf63ca660e2496e</t>
        </is>
      </c>
      <c r="B16" s="24" t="inlineStr">
        <is>
          <t>2026-08-05T17:03:21.201331Z</t>
        </is>
      </c>
      <c r="C16" s="24" t="inlineStr">
        <is>
          <t>2026-08-05T18:35Z</t>
        </is>
      </c>
      <c r="D16" s="24" t="inlineStr">
        <is>
          <t>401816409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Texas Rangers</t>
        </is>
      </c>
      <c r="H16" s="24" t="inlineStr">
        <is>
          <t>spread</t>
        </is>
      </c>
      <c r="I16" s="24" t="inlineStr">
        <is>
          <t>home</t>
        </is>
      </c>
      <c r="J16" s="25" t="n">
        <v>-1.5</v>
      </c>
      <c r="K16" s="24" t="inlineStr">
        <is>
          <t>polymarket_us</t>
        </is>
      </c>
      <c r="L16" s="26" t="n">
        <v>135</v>
      </c>
      <c r="M16" s="27" t="n">
        <v>2.35</v>
      </c>
      <c r="N16" s="28" t="n">
        <v>0.425532</v>
      </c>
      <c r="O16" s="28" t="n">
        <v>0.408522</v>
      </c>
      <c r="P16" s="28" t="n">
        <v>0.05172</v>
      </c>
      <c r="Q16" s="28" t="n">
        <v>-0.01701</v>
      </c>
      <c r="R16" s="26" t="n">
        <v>12</v>
      </c>
      <c r="S16" s="29" t="n">
        <v>1.25</v>
      </c>
      <c r="T16" s="24" t="inlineStr">
        <is>
          <t>measured-edge-margin-v3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6</v>
      </c>
      <c r="Y16" s="25" t="n">
        <v>-1.5</v>
      </c>
      <c r="Z16" s="26" t="n">
        <v>135</v>
      </c>
      <c r="AA16" s="28" t="n">
        <v>0.425</v>
      </c>
      <c r="AB16" s="28" t="n">
        <v>-0.000532</v>
      </c>
      <c r="AC16" s="30" t="n">
        <v>1.6875</v>
      </c>
      <c r="AD16" s="24" t="inlineStr">
        <is>
          <t>2026-08-06T00:20:26.985641Z</t>
        </is>
      </c>
      <c r="AE16" s="31" t="inlineStr">
        <is>
          <t>Measured Edge Margin: Trend Engine projected 4.57-4.92; raw selected-side p=0.3658, calibrated p=0.4085.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NO_CALL_WINNER_OVERVALUED</t>
        </is>
      </c>
      <c r="AP16" s="24" t="inlineStr">
        <is>
          <t>mlb-sf</t>
        </is>
      </c>
      <c r="AQ16" s="24" t="inlineStr">
        <is>
          <t>San Francisco Giants</t>
        </is>
      </c>
      <c r="AR16" s="24" t="inlineStr">
        <is>
          <t>San Francisco Giants</t>
        </is>
      </c>
      <c r="AS16" s="24" t="inlineStr">
        <is>
          <t>mlb-tex</t>
        </is>
      </c>
      <c r="AT16" s="24" t="inlineStr">
        <is>
          <t>Texas Rangers</t>
        </is>
      </c>
      <c r="AU16" s="24" t="inlineStr">
        <is>
          <t>Texas Rangers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dd339a2eed50d7d83ab2127837995ddab82e879afd27f5414bb6c1f9cd60ba4c</t>
        </is>
      </c>
      <c r="BB16" s="24" t="inlineStr">
        <is>
          <t>flat_probability_shrinkage_toward_half</t>
        </is>
      </c>
      <c r="BC16" s="24" t="inlineStr">
        <is>
          <t>measured-edge-margin-v3</t>
        </is>
      </c>
      <c r="BD16" s="24" t="inlineStr">
        <is>
          <t>dd339a2eed50d7d83ab2127837995ddab82e879afd27f5414bb6c1f9cd60ba4c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2026-08-05T17:03:21.201331Z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135</v>
      </c>
      <c r="BL16" s="27" t="n">
        <v>2.35</v>
      </c>
      <c r="BM16" s="28" t="n">
        <v>0.425532</v>
      </c>
      <c r="BN16" s="28" t="n">
        <v>0.422886</v>
      </c>
      <c r="BO16" s="28" t="n"/>
      <c r="BP16" s="25" t="n"/>
      <c r="BQ16" s="27" t="n">
        <v>2.35</v>
      </c>
      <c r="BR16" s="28" t="n">
        <v>0.425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dad1f3922eae467a</t>
        </is>
      </c>
      <c r="B17" s="24" t="inlineStr">
        <is>
          <t>2026-08-05T17:03:21.201331Z</t>
        </is>
      </c>
      <c r="C17" s="24" t="inlineStr">
        <is>
          <t>2026-08-05T18:35Z</t>
        </is>
      </c>
      <c r="D17" s="24" t="inlineStr">
        <is>
          <t>401816409</t>
        </is>
      </c>
      <c r="E17" s="24" t="inlineStr">
        <is>
          <t>MLB</t>
        </is>
      </c>
      <c r="F17" s="24" t="inlineStr">
        <is>
          <t>San Francisco Giants</t>
        </is>
      </c>
      <c r="G17" s="24" t="inlineStr">
        <is>
          <t>Texas Rangers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102</v>
      </c>
      <c r="M17" s="27" t="n">
        <v>2.02</v>
      </c>
      <c r="N17" s="28" t="n">
        <v>0.49505</v>
      </c>
      <c r="O17" s="28" t="n">
        <v>0.519474</v>
      </c>
      <c r="P17" s="28" t="n">
        <v>0.05172</v>
      </c>
      <c r="Q17" s="28" t="n">
        <v>0.024424</v>
      </c>
      <c r="R17" s="26" t="n">
        <v>32</v>
      </c>
      <c r="S17" s="29" t="n">
        <v>1</v>
      </c>
      <c r="T17" s="24" t="inlineStr">
        <is>
          <t>measured-edge-totals-v3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6</v>
      </c>
      <c r="Y17" s="25" t="n">
        <v>8.5</v>
      </c>
      <c r="Z17" s="26" t="n">
        <v>102</v>
      </c>
      <c r="AA17" s="28" t="n">
        <v>0.495</v>
      </c>
      <c r="AB17" s="28" t="n">
        <v>-5e-05</v>
      </c>
      <c r="AC17" s="30" t="n">
        <v>-1</v>
      </c>
      <c r="AD17" s="24" t="inlineStr">
        <is>
          <t>2026-08-06T00:20:27.888586Z</t>
        </is>
      </c>
      <c r="AE17" s="31" t="inlineStr">
        <is>
          <t>Measured Edge Totals: Trend Engine projected 4.57-4.92; raw selected-side p=0.5551, calibrated p=0.5195.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mlb-sf</t>
        </is>
      </c>
      <c r="AQ17" s="24" t="inlineStr">
        <is>
          <t>San Francisco Giants</t>
        </is>
      </c>
      <c r="AR17" s="24" t="inlineStr">
        <is>
          <t>San Francisco Giants</t>
        </is>
      </c>
      <c r="AS17" s="24" t="inlineStr">
        <is>
          <t>mlb-tex</t>
        </is>
      </c>
      <c r="AT17" s="24" t="inlineStr">
        <is>
          <t>Texas Rangers</t>
        </is>
      </c>
      <c r="AU17" s="24" t="inlineStr">
        <is>
          <t>Texas Rangers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95b84332c75d2ce54036eb8de6ada9c78d0f80228c50825c0347281a8b9b49c7</t>
        </is>
      </c>
      <c r="BB17" s="24" t="inlineStr">
        <is>
          <t>flat_probability_shrinkage_toward_half</t>
        </is>
      </c>
      <c r="BC17" s="24" t="inlineStr">
        <is>
          <t>measured-edge-totals-v3</t>
        </is>
      </c>
      <c r="BD17" s="24" t="inlineStr">
        <is>
          <t>95b84332c75d2ce54036eb8de6ada9c78d0f80228c50825c0347281a8b9b49c7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2026-08-05T17:03:21.201331Z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102</v>
      </c>
      <c r="BL17" s="27" t="n">
        <v>2.02</v>
      </c>
      <c r="BM17" s="28" t="n">
        <v>0.49505</v>
      </c>
      <c r="BN17" s="28" t="n">
        <v>0.492537</v>
      </c>
      <c r="BO17" s="28" t="n"/>
      <c r="BP17" s="25" t="n"/>
      <c r="BQ17" s="27" t="n">
        <v>2.02</v>
      </c>
      <c r="BR17" s="28" t="n">
        <v>0.495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f91d5786d1e14a82</t>
        </is>
      </c>
      <c r="B18" s="24" t="inlineStr">
        <is>
          <t>2026-08-05T17:03:21.201331Z</t>
        </is>
      </c>
      <c r="C18" s="24" t="inlineStr">
        <is>
          <t>2026-08-05T19:10Z</t>
        </is>
      </c>
      <c r="D18" s="24" t="inlineStr">
        <is>
          <t>401816411</t>
        </is>
      </c>
      <c r="E18" s="24" t="inlineStr">
        <is>
          <t>MLB</t>
        </is>
      </c>
      <c r="F18" s="24" t="inlineStr">
        <is>
          <t>Tampa Bay Rays</t>
        </is>
      </c>
      <c r="G18" s="24" t="inlineStr">
        <is>
          <t>Colorado Rockies</t>
        </is>
      </c>
      <c r="H18" s="24" t="inlineStr">
        <is>
          <t>spread</t>
        </is>
      </c>
      <c r="I18" s="24" t="inlineStr">
        <is>
          <t>away</t>
        </is>
      </c>
      <c r="J18" s="25" t="n">
        <v>-1.5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0.392543</v>
      </c>
      <c r="P18" s="28" t="n">
        <v>0.042131</v>
      </c>
      <c r="Q18" s="28" t="n">
        <v>-0.117261</v>
      </c>
      <c r="R18" s="26" t="n">
        <v>0</v>
      </c>
      <c r="S18" s="29" t="n">
        <v>1.5</v>
      </c>
      <c r="T18" s="24" t="inlineStr">
        <is>
          <t>measured-edge-margin-v3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0</v>
      </c>
      <c r="Y18" s="25" t="n">
        <v>-1.5</v>
      </c>
      <c r="Z18" s="26" t="n">
        <v>-104</v>
      </c>
      <c r="AA18" s="28" t="n">
        <v>0.51</v>
      </c>
      <c r="AB18" s="28" t="n">
        <v>0.000196</v>
      </c>
      <c r="AC18" s="30" t="n">
        <v>1.4423</v>
      </c>
      <c r="AD18" s="24" t="inlineStr">
        <is>
          <t>2026-08-06T00:20:28.753241Z</t>
        </is>
      </c>
      <c r="AE18" s="31" t="inlineStr">
        <is>
          <t>Measured Edge Margin: Trend Engine projected 4.81-4.66; raw selected-side p=0.3423, calibrated p=0.3925.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mlb-tb</t>
        </is>
      </c>
      <c r="AQ18" s="24" t="inlineStr">
        <is>
          <t>Tampa Bay Rays</t>
        </is>
      </c>
      <c r="AR18" s="24" t="inlineStr">
        <is>
          <t>Tampa Bay Rays</t>
        </is>
      </c>
      <c r="AS18" s="24" t="inlineStr">
        <is>
          <t>mlb-col</t>
        </is>
      </c>
      <c r="AT18" s="24" t="inlineStr">
        <is>
          <t>Colorado Rockies</t>
        </is>
      </c>
      <c r="AU18" s="24" t="inlineStr">
        <is>
          <t>Colorado Rockies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dd339a2eed50d7d83ab2127837995ddab82e879afd27f5414bb6c1f9cd60ba4c</t>
        </is>
      </c>
      <c r="BB18" s="24" t="inlineStr">
        <is>
          <t>flat_probability_shrinkage_toward_half</t>
        </is>
      </c>
      <c r="BC18" s="24" t="inlineStr">
        <is>
          <t>measured-edge-margin-v3</t>
        </is>
      </c>
      <c r="BD18" s="24" t="inlineStr">
        <is>
          <t>dd339a2eed50d7d83ab2127837995ddab82e879afd27f5414bb6c1f9cd60ba4c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2026-08-05T17:03:21.201331Z</t>
        </is>
      </c>
      <c r="BI18" s="24" t="inlineStr">
        <is>
          <t>["same_event","same_team_same_day","same_league_same_day"]</t>
        </is>
      </c>
      <c r="BJ18" s="25" t="n">
        <v>-1.5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f6b281bdc6ff4eed</t>
        </is>
      </c>
      <c r="B19" s="24" t="inlineStr">
        <is>
          <t>2026-08-05T17:03:21.201331Z</t>
        </is>
      </c>
      <c r="C19" s="24" t="inlineStr">
        <is>
          <t>2026-08-05T19:10Z</t>
        </is>
      </c>
      <c r="D19" s="24" t="inlineStr">
        <is>
          <t>401816411</t>
        </is>
      </c>
      <c r="E19" s="24" t="inlineStr">
        <is>
          <t>MLB</t>
        </is>
      </c>
      <c r="F19" s="24" t="inlineStr">
        <is>
          <t>Tampa Bay Rays</t>
        </is>
      </c>
      <c r="G19" s="24" t="inlineStr">
        <is>
          <t>Colorado Rockies</t>
        </is>
      </c>
      <c r="H19" s="24" t="inlineStr">
        <is>
          <t>total</t>
        </is>
      </c>
      <c r="I19" s="24" t="inlineStr">
        <is>
          <t>under</t>
        </is>
      </c>
      <c r="J19" s="25" t="n">
        <v>11.5</v>
      </c>
      <c r="K19" s="24" t="inlineStr">
        <is>
          <t>polymarket_us</t>
        </is>
      </c>
      <c r="L19" s="26" t="n">
        <v>-115</v>
      </c>
      <c r="M19" s="27" t="n">
        <v>1.869565</v>
      </c>
      <c r="N19" s="28" t="n">
        <v>0.534884</v>
      </c>
      <c r="O19" s="28" t="n">
        <v>0.559082</v>
      </c>
      <c r="P19" s="28" t="n">
        <v>0.042131</v>
      </c>
      <c r="Q19" s="28" t="n">
        <v>0.024198</v>
      </c>
      <c r="R19" s="26" t="n">
        <v>38</v>
      </c>
      <c r="S19" s="29" t="n">
        <v>1</v>
      </c>
      <c r="T19" s="24" t="inlineStr">
        <is>
          <t>measured-edge-totals-v3</t>
        </is>
      </c>
      <c r="U19" s="24" t="inlineStr">
        <is>
          <t>settled</t>
        </is>
      </c>
      <c r="V19" s="24" t="inlineStr">
        <is>
          <t>win</t>
        </is>
      </c>
      <c r="W19" s="26" t="n">
        <v>4</v>
      </c>
      <c r="X19" s="26" t="n">
        <v>0</v>
      </c>
      <c r="Y19" s="25" t="n">
        <v>11.5</v>
      </c>
      <c r="Z19" s="26" t="n">
        <v>-115</v>
      </c>
      <c r="AA19" s="28" t="n">
        <v>0.535</v>
      </c>
      <c r="AB19" s="28" t="n">
        <v>0.000116</v>
      </c>
      <c r="AC19" s="30" t="n">
        <v>0.8696</v>
      </c>
      <c r="AD19" s="24" t="inlineStr">
        <is>
          <t>2026-08-06T00:20:29.653425Z</t>
        </is>
      </c>
      <c r="AE19" s="31" t="inlineStr">
        <is>
          <t>Measured Edge Totals: Trend Engine projected 4.81-4.66; raw selected-side p=0.7145, calibrated p=0.5591.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mlb-tb</t>
        </is>
      </c>
      <c r="AQ19" s="24" t="inlineStr">
        <is>
          <t>Tampa Bay Rays</t>
        </is>
      </c>
      <c r="AR19" s="24" t="inlineStr">
        <is>
          <t>Tampa Bay Rays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95b84332c75d2ce54036eb8de6ada9c78d0f80228c50825c0347281a8b9b49c7</t>
        </is>
      </c>
      <c r="BB19" s="24" t="inlineStr">
        <is>
          <t>flat_probability_shrinkage_toward_half</t>
        </is>
      </c>
      <c r="BC19" s="24" t="inlineStr">
        <is>
          <t>measured-edge-totals-v3</t>
        </is>
      </c>
      <c r="BD19" s="24" t="inlineStr">
        <is>
          <t>95b84332c75d2ce54036eb8de6ada9c78d0f80228c50825c0347281a8b9b49c7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2026-08-05T17:03:21.201331Z</t>
        </is>
      </c>
      <c r="BI19" s="24" t="inlineStr">
        <is>
          <t>["same_event","same_team_same_day","same_league_same_day"]</t>
        </is>
      </c>
      <c r="BJ19" s="25" t="n">
        <v>11.5</v>
      </c>
      <c r="BK19" s="26" t="n">
        <v>-115</v>
      </c>
      <c r="BL19" s="27" t="n">
        <v>1.869565</v>
      </c>
      <c r="BM19" s="28" t="n">
        <v>0.534884</v>
      </c>
      <c r="BN19" s="28" t="n">
        <v>0.532338</v>
      </c>
      <c r="BO19" s="28" t="n"/>
      <c r="BP19" s="25" t="n"/>
      <c r="BQ19" s="27" t="n">
        <v>1.869565</v>
      </c>
      <c r="BR19" s="28" t="n">
        <v>0.535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fb14f9f9b366492b</t>
        </is>
      </c>
      <c r="B20" s="24" t="inlineStr">
        <is>
          <t>2026-08-05T21:01:20.386769Z</t>
        </is>
      </c>
      <c r="C20" s="24" t="inlineStr">
        <is>
          <t>2026-08-05T18:35:00-0400</t>
        </is>
      </c>
      <c r="D20" s="24" t="inlineStr">
        <is>
          <t>401816399</t>
        </is>
      </c>
      <c r="E20" s="24" t="inlineStr">
        <is>
          <t>MLB</t>
        </is>
      </c>
      <c r="F20" s="24" t="inlineStr">
        <is>
          <t>Los Angeles Angels</t>
        </is>
      </c>
      <c r="G20" s="24" t="inlineStr">
        <is>
          <t>Baltimore Orioles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-125</v>
      </c>
      <c r="M20" s="27" t="n">
        <v>1.8</v>
      </c>
      <c r="N20" s="28" t="n">
        <v>0.555556</v>
      </c>
      <c r="O20" s="28" t="n">
        <v>0.620128</v>
      </c>
      <c r="P20" s="28" t="n"/>
      <c r="Q20" s="28" t="n">
        <v>0.064572</v>
      </c>
      <c r="R20" s="26" t="n">
        <v>54</v>
      </c>
      <c r="S20" s="29" t="n">
        <v>1.5</v>
      </c>
      <c r="T20" s="24" t="inlineStr">
        <is>
          <t>mlb-elo-trend-lr-v8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5</v>
      </c>
      <c r="Y20" s="25" t="n"/>
      <c r="Z20" s="26" t="n">
        <v>-125</v>
      </c>
      <c r="AA20" s="28" t="n">
        <v>0.555</v>
      </c>
      <c r="AB20" s="28" t="n">
        <v>-0.000556</v>
      </c>
      <c r="AC20" s="30" t="n">
        <v>1.2</v>
      </c>
      <c r="AD20" s="24" t="inlineStr">
        <is>
          <t>2026-08-06T03:25:38.681711Z</t>
        </is>
      </c>
      <c r="AE20" s="31" t="inlineStr">
        <is>
          <t>Learned LR call at threshold 0.5873; executable ask 0.5550 (aec-mlb-laa-bal-2026-08-05); model edge vs ask +0.0651.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NO_CALL_WINNER_OVERVALUED</t>
        </is>
      </c>
      <c r="AP20" s="24" t="inlineStr">
        <is>
          <t>mlb-laa</t>
        </is>
      </c>
      <c r="AQ20" s="24" t="inlineStr">
        <is>
          <t>Los Angeles Angels</t>
        </is>
      </c>
      <c r="AR20" s="24" t="inlineStr">
        <is>
          <t>Los Angeles Angels</t>
        </is>
      </c>
      <c r="AS20" s="24" t="inlineStr">
        <is>
          <t>mlb-bal</t>
        </is>
      </c>
      <c r="AT20" s="24" t="inlineStr">
        <is>
          <t>Baltimore Orioles</t>
        </is>
      </c>
      <c r="AU20" s="24" t="inlineStr">
        <is>
          <t>Baltimore Orioles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6a5c79541b0e50cb9f7318270e63d5ccc65cbd7bc53a019748ff772d49de5075</t>
        </is>
      </c>
      <c r="BB20" s="24" t="inlineStr">
        <is>
          <t>learned_lr</t>
        </is>
      </c>
      <c r="BC20" s="24" t="inlineStr">
        <is>
          <t>mlb-elo-trend-lr-v8</t>
        </is>
      </c>
      <c r="BD20" s="24" t="inlineStr">
        <is>
          <t>6a5c79541b0e50cb9f7318270e63d5ccc65cbd7bc53a019748ff772d49de5075</t>
        </is>
      </c>
      <c r="BE20" s="24" t="inlineStr">
        <is>
          <t>733906b627a19369</t>
        </is>
      </c>
      <c r="BF20" s="24" t="inlineStr">
        <is>
          <t>1</t>
        </is>
      </c>
      <c r="BG20" s="24" t="inlineStr">
        <is>
          <t>mlb-elo-trend-lr-v8</t>
        </is>
      </c>
      <c r="BH20" s="24" t="inlineStr">
        <is>
          <t>2026-08-05T21:00:45.060709Z</t>
        </is>
      </c>
      <c r="BI20" s="24" t="inlineStr">
        <is>
          <t>["same_event","same_team_same_day","same_league_same_day"]</t>
        </is>
      </c>
      <c r="BJ20" s="25" t="n"/>
      <c r="BK20" s="26" t="n">
        <v>-125</v>
      </c>
      <c r="BL20" s="27" t="n">
        <v>1.8</v>
      </c>
      <c r="BM20" s="28" t="n">
        <v>0.555556</v>
      </c>
      <c r="BN20" s="28" t="n">
        <v>0.552239</v>
      </c>
      <c r="BO20" s="28" t="n"/>
      <c r="BP20" s="25" t="n"/>
      <c r="BQ20" s="27" t="n">
        <v>1.8</v>
      </c>
      <c r="BR20" s="28" t="n">
        <v>0.555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0.6265993564</t>
        </is>
      </c>
      <c r="CD20" s="24" t="inlineStr">
        <is>
          <t>0.186002</t>
        </is>
      </c>
      <c r="CE20" s="24" t="inlineStr">
        <is>
          <t>1.03</t>
        </is>
      </c>
      <c r="CF20" s="24" t="inlineStr">
        <is>
          <t>1.0124</t>
        </is>
      </c>
      <c r="CG20" s="24" t="n"/>
      <c r="CH20" s="24" t="n"/>
      <c r="CI20" s="24" t="n"/>
      <c r="CJ20" s="24" t="inlineStr">
        <is>
          <t>-1.60185</t>
        </is>
      </c>
      <c r="CK20" s="24" t="n"/>
      <c r="CL20" s="24" t="inlineStr">
        <is>
          <t>0.070802</t>
        </is>
      </c>
      <c r="CM20" s="24" t="inlineStr">
        <is>
          <t>-4.8571</t>
        </is>
      </c>
      <c r="CN20" s="24" t="n"/>
      <c r="CO20" s="24" t="n"/>
      <c r="CP20" s="24" t="n"/>
      <c r="CQ20" s="24" t="n"/>
      <c r="CR20" s="24" t="inlineStr">
        <is>
          <t>0.620128</t>
        </is>
      </c>
      <c r="CS20" s="24" t="inlineStr">
        <is>
          <t>True</t>
        </is>
      </c>
    </row>
    <row r="21" ht="36" customHeight="1">
      <c r="A21" s="24" t="inlineStr">
        <is>
          <t>45514563121b4834</t>
        </is>
      </c>
      <c r="B21" s="24" t="inlineStr">
        <is>
          <t>2026-08-05T21:01:20.386769Z</t>
        </is>
      </c>
      <c r="C21" s="24" t="inlineStr">
        <is>
          <t>2026-08-05T18:40:00-0400</t>
        </is>
      </c>
      <c r="D21" s="24" t="inlineStr">
        <is>
          <t>401816400</t>
        </is>
      </c>
      <c r="E21" s="24" t="inlineStr">
        <is>
          <t>MLB</t>
        </is>
      </c>
      <c r="F21" s="24" t="inlineStr">
        <is>
          <t>Athletics</t>
        </is>
      </c>
      <c r="G21" s="24" t="inlineStr">
        <is>
          <t>Cincinnati Reds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0.532159</v>
      </c>
      <c r="P21" s="28" t="n"/>
      <c r="Q21" s="28" t="n">
        <v>-0.067841</v>
      </c>
      <c r="R21" s="26" t="n">
        <v>0</v>
      </c>
      <c r="S21" s="29" t="n">
        <v>1</v>
      </c>
      <c r="T21" s="24" t="inlineStr">
        <is>
          <t>mlb-elo-trend-lr-v8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>
        <v>-150</v>
      </c>
      <c r="AA21" s="28" t="n">
        <v>0.6</v>
      </c>
      <c r="AB21" s="28" t="n">
        <v>0</v>
      </c>
      <c r="AC21" s="30" t="n">
        <v>0.6667</v>
      </c>
      <c r="AD21" s="24" t="inlineStr">
        <is>
          <t>2026-08-06T03:25:40.517053Z</t>
        </is>
      </c>
      <c r="AE21" s="31" t="inlineStr">
        <is>
          <t>Learned LR call at threshold 0.5873; executable ask 0.6000 (aec-mlb-ath-cin-2026-08-05); model edge vs ask -0.0678.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mlb-ath</t>
        </is>
      </c>
      <c r="AQ21" s="24" t="inlineStr">
        <is>
          <t>Athletics</t>
        </is>
      </c>
      <c r="AR21" s="24" t="inlineStr">
        <is>
          <t>Athletics</t>
        </is>
      </c>
      <c r="AS21" s="24" t="inlineStr">
        <is>
          <t>mlb-cin</t>
        </is>
      </c>
      <c r="AT21" s="24" t="inlineStr">
        <is>
          <t>Cincinnati Reds</t>
        </is>
      </c>
      <c r="AU21" s="24" t="inlineStr">
        <is>
          <t>Cincinnati Reds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6a5c79541b0e50cb9f7318270e63d5ccc65cbd7bc53a019748ff772d49de5075</t>
        </is>
      </c>
      <c r="BB21" s="24" t="inlineStr">
        <is>
          <t>learned_lr</t>
        </is>
      </c>
      <c r="BC21" s="24" t="inlineStr">
        <is>
          <t>mlb-elo-trend-lr-v8</t>
        </is>
      </c>
      <c r="BD21" s="24" t="inlineStr">
        <is>
          <t>6a5c79541b0e50cb9f7318270e63d5ccc65cbd7bc53a019748ff772d49de5075</t>
        </is>
      </c>
      <c r="BE21" s="24" t="inlineStr">
        <is>
          <t>2f8950260ee7a4d4</t>
        </is>
      </c>
      <c r="BF21" s="24" t="inlineStr">
        <is>
          <t>1</t>
        </is>
      </c>
      <c r="BG21" s="24" t="inlineStr">
        <is>
          <t>mlb-elo-trend-lr-v8</t>
        </is>
      </c>
      <c r="BH21" s="24" t="inlineStr">
        <is>
          <t>2026-08-05T21:00:46.705183Z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>
        <v>0.597015</v>
      </c>
      <c r="BO21" s="28" t="n"/>
      <c r="BP21" s="25" t="n"/>
      <c r="BQ21" s="27" t="n">
        <v>1.666667</v>
      </c>
      <c r="BR21" s="28" t="n">
        <v>0.6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0.605145909</t>
        </is>
      </c>
      <c r="CD21" s="24" t="inlineStr">
        <is>
          <t>1.683621</t>
        </is>
      </c>
      <c r="CE21" s="24" t="inlineStr">
        <is>
          <t>1.036</t>
        </is>
      </c>
      <c r="CF21" s="24" t="inlineStr">
        <is>
          <t>1.0179</t>
        </is>
      </c>
      <c r="CG21" s="24" t="n"/>
      <c r="CH21" s="24" t="n"/>
      <c r="CI21" s="24" t="n"/>
      <c r="CJ21" s="24" t="inlineStr">
        <is>
          <t>1.179075</t>
        </is>
      </c>
      <c r="CK21" s="24" t="n"/>
      <c r="CL21" s="24" t="inlineStr">
        <is>
          <t>-0.944095</t>
        </is>
      </c>
      <c r="CM21" s="24" t="inlineStr">
        <is>
          <t>0.2662</t>
        </is>
      </c>
      <c r="CN21" s="24" t="n"/>
      <c r="CO21" s="24" t="n"/>
      <c r="CP21" s="24" t="n"/>
      <c r="CQ21" s="24" t="n"/>
      <c r="CR21" s="24" t="inlineStr">
        <is>
          <t>0.532159</t>
        </is>
      </c>
      <c r="CS21" s="24" t="inlineStr">
        <is>
          <t>False</t>
        </is>
      </c>
    </row>
    <row r="22" ht="36" customHeight="1">
      <c r="A22" s="24" t="inlineStr">
        <is>
          <t>9f1403eeb3a54967</t>
        </is>
      </c>
      <c r="B22" s="24" t="inlineStr">
        <is>
          <t>2026-08-05T21:01:20.386769Z</t>
        </is>
      </c>
      <c r="C22" s="24" t="inlineStr">
        <is>
          <t>2026-08-05T18:40:00-0400</t>
        </is>
      </c>
      <c r="D22" s="24" t="inlineStr">
        <is>
          <t>401816403</t>
        </is>
      </c>
      <c r="E22" s="24" t="inlineStr">
        <is>
          <t>MLB</t>
        </is>
      </c>
      <c r="F22" s="24" t="inlineStr">
        <is>
          <t>New York Mets</t>
        </is>
      </c>
      <c r="G22" s="24" t="inlineStr">
        <is>
          <t>Cleveland Guardians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-106</v>
      </c>
      <c r="M22" s="27" t="n">
        <v>1.943396</v>
      </c>
      <c r="N22" s="28" t="n">
        <v>0.514563</v>
      </c>
      <c r="O22" s="28" t="n">
        <v>0.570176</v>
      </c>
      <c r="P22" s="28" t="n"/>
      <c r="Q22" s="28" t="n">
        <v>0.055613</v>
      </c>
      <c r="R22" s="26" t="n">
        <v>49</v>
      </c>
      <c r="S22" s="29" t="n">
        <v>1.25</v>
      </c>
      <c r="T22" s="24" t="inlineStr">
        <is>
          <t>mlb-elo-trend-lr-v8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/>
      <c r="Z22" s="26" t="n">
        <v>-106</v>
      </c>
      <c r="AA22" s="28" t="n">
        <v>0.515</v>
      </c>
      <c r="AB22" s="28" t="n">
        <v>0.000437</v>
      </c>
      <c r="AC22" s="30" t="n">
        <v>-1.25</v>
      </c>
      <c r="AD22" s="24" t="inlineStr">
        <is>
          <t>2026-08-06T03:25:42.473577Z</t>
        </is>
      </c>
      <c r="AE22" s="31" t="inlineStr">
        <is>
          <t>Learned LR call at threshold 0.5873; executable ask 0.5150 (aec-mlb-nym-cle-2026-08-05); model edge vs ask +0.0552.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NO_CALL_WINNER_OVERVALUED</t>
        </is>
      </c>
      <c r="AP22" s="24" t="inlineStr">
        <is>
          <t>mlb-nym</t>
        </is>
      </c>
      <c r="AQ22" s="24" t="inlineStr">
        <is>
          <t>New York Mets</t>
        </is>
      </c>
      <c r="AR22" s="24" t="inlineStr">
        <is>
          <t>New York Mets</t>
        </is>
      </c>
      <c r="AS22" s="24" t="inlineStr">
        <is>
          <t>mlb-cle</t>
        </is>
      </c>
      <c r="AT22" s="24" t="inlineStr">
        <is>
          <t>Cleveland Guardians</t>
        </is>
      </c>
      <c r="AU22" s="24" t="inlineStr">
        <is>
          <t>Cleveland Guardians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6a5c79541b0e50cb9f7318270e63d5ccc65cbd7bc53a019748ff772d49de5075</t>
        </is>
      </c>
      <c r="BB22" s="24" t="inlineStr">
        <is>
          <t>learned_lr</t>
        </is>
      </c>
      <c r="BC22" s="24" t="inlineStr">
        <is>
          <t>mlb-elo-trend-lr-v8</t>
        </is>
      </c>
      <c r="BD22" s="24" t="inlineStr">
        <is>
          <t>6a5c79541b0e50cb9f7318270e63d5ccc65cbd7bc53a019748ff772d49de5075</t>
        </is>
      </c>
      <c r="BE22" s="24" t="inlineStr">
        <is>
          <t>1967000172c70546</t>
        </is>
      </c>
      <c r="BF22" s="24" t="inlineStr">
        <is>
          <t>1</t>
        </is>
      </c>
      <c r="BG22" s="24" t="inlineStr">
        <is>
          <t>mlb-elo-trend-lr-v8</t>
        </is>
      </c>
      <c r="BH22" s="24" t="inlineStr">
        <is>
          <t>2026-08-05T21:00:46.075346Z</t>
        </is>
      </c>
      <c r="BI22" s="24" t="inlineStr">
        <is>
          <t>["same_event","same_team_same_day","same_league_same_day"]</t>
        </is>
      </c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>
        <v>1.943396</v>
      </c>
      <c r="BR22" s="28" t="n">
        <v>0.515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0.5729512211</t>
        </is>
      </c>
      <c r="CD22" s="24" t="inlineStr">
        <is>
          <t>0.551507</t>
        </is>
      </c>
      <c r="CE22" s="24" t="inlineStr">
        <is>
          <t>0.966</t>
        </is>
      </c>
      <c r="CF22" s="24" t="inlineStr">
        <is>
          <t>1.0103</t>
        </is>
      </c>
      <c r="CG22" s="24" t="n"/>
      <c r="CH22" s="24" t="n"/>
      <c r="CI22" s="24" t="n"/>
      <c r="CJ22" s="24" t="inlineStr">
        <is>
          <t>-1.579202</t>
        </is>
      </c>
      <c r="CK22" s="24" t="n"/>
      <c r="CL22" s="24" t="inlineStr">
        <is>
          <t>0.100477</t>
        </is>
      </c>
      <c r="CM22" s="24" t="inlineStr">
        <is>
          <t>0.3016</t>
        </is>
      </c>
      <c r="CN22" s="24" t="n"/>
      <c r="CO22" s="24" t="n"/>
      <c r="CP22" s="24" t="n"/>
      <c r="CQ22" s="24" t="n"/>
      <c r="CR22" s="24" t="inlineStr">
        <is>
          <t>0.570176</t>
        </is>
      </c>
      <c r="CS22" s="24" t="inlineStr">
        <is>
          <t>True</t>
        </is>
      </c>
    </row>
    <row r="23" ht="36" customHeight="1">
      <c r="A23" s="24" t="inlineStr">
        <is>
          <t>fee81a9093ef4d27</t>
        </is>
      </c>
      <c r="B23" s="24" t="inlineStr">
        <is>
          <t>2026-08-05T21:01:20.386769Z</t>
        </is>
      </c>
      <c r="C23" s="24" t="inlineStr">
        <is>
          <t>2026-08-05T18:40:00-0400</t>
        </is>
      </c>
      <c r="D23" s="24" t="inlineStr">
        <is>
          <t>401816405</t>
        </is>
      </c>
      <c r="E23" s="24" t="inlineStr">
        <is>
          <t>MLB</t>
        </is>
      </c>
      <c r="F23" s="24" t="inlineStr">
        <is>
          <t>Washington Nationals</t>
        </is>
      </c>
      <c r="G23" s="24" t="inlineStr">
        <is>
          <t>Philadelphia Phillies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0.568061</v>
      </c>
      <c r="P23" s="28" t="n"/>
      <c r="Q23" s="28" t="n">
        <v>-0.082289</v>
      </c>
      <c r="R23" s="26" t="n">
        <v>0</v>
      </c>
      <c r="S23" s="29" t="n">
        <v>1</v>
      </c>
      <c r="T23" s="24" t="inlineStr">
        <is>
          <t>mlb-elo-trend-lr-v8</t>
        </is>
      </c>
      <c r="U23" s="24" t="inlineStr">
        <is>
          <t>settled</t>
        </is>
      </c>
      <c r="V23" s="24" t="inlineStr">
        <is>
          <t>loss</t>
        </is>
      </c>
      <c r="W23" s="26" t="n">
        <v>10</v>
      </c>
      <c r="X23" s="26" t="n">
        <v>4</v>
      </c>
      <c r="Y23" s="25" t="n"/>
      <c r="Z23" s="26" t="n">
        <v>-182</v>
      </c>
      <c r="AA23" s="28" t="n">
        <v>0.645</v>
      </c>
      <c r="AB23" s="28" t="n">
        <v>-0.00535</v>
      </c>
      <c r="AC23" s="30" t="n">
        <v>-1</v>
      </c>
      <c r="AD23" s="24" t="inlineStr">
        <is>
          <t>2026-08-06T03:25:44.341154Z</t>
        </is>
      </c>
      <c r="AE23" s="31" t="inlineStr">
        <is>
          <t>Learned LR call at threshold 0.5873; executable ask 0.6500 (aec-mlb-wsh-phi-2026-08-05); model edge vs ask -0.0819.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mlb-wsh</t>
        </is>
      </c>
      <c r="AQ23" s="24" t="inlineStr">
        <is>
          <t>Washington Nationals</t>
        </is>
      </c>
      <c r="AR23" s="24" t="inlineStr">
        <is>
          <t>Washington Nationals</t>
        </is>
      </c>
      <c r="AS23" s="24" t="inlineStr">
        <is>
          <t>mlb-phi</t>
        </is>
      </c>
      <c r="AT23" s="24" t="inlineStr">
        <is>
          <t>Philadelphia Phillies</t>
        </is>
      </c>
      <c r="AU23" s="24" t="inlineStr">
        <is>
          <t>Philadelphia Phillies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6a5c79541b0e50cb9f7318270e63d5ccc65cbd7bc53a019748ff772d49de5075</t>
        </is>
      </c>
      <c r="BB23" s="24" t="inlineStr">
        <is>
          <t>learned_lr</t>
        </is>
      </c>
      <c r="BC23" s="24" t="inlineStr">
        <is>
          <t>mlb-elo-trend-lr-v8</t>
        </is>
      </c>
      <c r="BD23" s="24" t="inlineStr">
        <is>
          <t>6a5c79541b0e50cb9f7318270e63d5ccc65cbd7bc53a019748ff772d49de5075</t>
        </is>
      </c>
      <c r="BE23" s="24" t="inlineStr">
        <is>
          <t>f438f0ddf592c10b</t>
        </is>
      </c>
      <c r="BF23" s="24" t="inlineStr">
        <is>
          <t>1</t>
        </is>
      </c>
      <c r="BG23" s="24" t="inlineStr">
        <is>
          <t>mlb-elo-trend-lr-v8</t>
        </is>
      </c>
      <c r="BH23" s="24" t="inlineStr">
        <is>
          <t>2026-08-05T21:00:45.630183Z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>
        <v>0.646766</v>
      </c>
      <c r="BO23" s="28" t="n"/>
      <c r="BP23" s="25" t="n"/>
      <c r="BQ23" s="27" t="n">
        <v>1.549451</v>
      </c>
      <c r="BR23" s="28" t="n">
        <v>0.645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0.6453660607</t>
        </is>
      </c>
      <c r="CD23" s="24" t="inlineStr">
        <is>
          <t>2.331583</t>
        </is>
      </c>
      <c r="CE23" s="24" t="inlineStr">
        <is>
          <t>1.018</t>
        </is>
      </c>
      <c r="CF23" s="24" t="inlineStr">
        <is>
          <t>1.0114</t>
        </is>
      </c>
      <c r="CG23" s="24" t="n"/>
      <c r="CH23" s="24" t="n"/>
      <c r="CI23" s="24" t="n"/>
      <c r="CJ23" s="24" t="inlineStr">
        <is>
          <t>1.636672</t>
        </is>
      </c>
      <c r="CK23" s="24" t="n"/>
      <c r="CL23" s="24" t="inlineStr">
        <is>
          <t>-0.548625</t>
        </is>
      </c>
      <c r="CM23" s="24" t="inlineStr">
        <is>
          <t>2.3324</t>
        </is>
      </c>
      <c r="CN23" s="24" t="n"/>
      <c r="CO23" s="24" t="n"/>
      <c r="CP23" s="24" t="n"/>
      <c r="CQ23" s="24" t="n"/>
      <c r="CR23" s="24" t="inlineStr">
        <is>
          <t>0.568061</t>
        </is>
      </c>
      <c r="CS23" s="24" t="inlineStr">
        <is>
          <t>False</t>
        </is>
      </c>
    </row>
    <row r="24" ht="36" customHeight="1">
      <c r="A24" s="24" t="inlineStr">
        <is>
          <t>7a26630ed45f4c2d</t>
        </is>
      </c>
      <c r="B24" s="24" t="inlineStr">
        <is>
          <t>2026-08-05T21:01:20.386769Z</t>
        </is>
      </c>
      <c r="C24" s="24" t="inlineStr">
        <is>
          <t>2026-08-05T19:05:00-0400</t>
        </is>
      </c>
      <c r="D24" s="24" t="inlineStr">
        <is>
          <t>401816404</t>
        </is>
      </c>
      <c r="E24" s="24" t="inlineStr">
        <is>
          <t>MLB</t>
        </is>
      </c>
      <c r="F24" s="24" t="inlineStr">
        <is>
          <t>St. Louis Cardinals</t>
        </is>
      </c>
      <c r="G24" s="24" t="inlineStr">
        <is>
          <t>New York Yankees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-147</v>
      </c>
      <c r="M24" s="27" t="n">
        <v>1.680272</v>
      </c>
      <c r="N24" s="28" t="n">
        <v>0.5951419999999999</v>
      </c>
      <c r="O24" s="28" t="n">
        <v>0.585803</v>
      </c>
      <c r="P24" s="28" t="n"/>
      <c r="Q24" s="28" t="n">
        <v>-0.009339</v>
      </c>
      <c r="R24" s="26" t="n">
        <v>17</v>
      </c>
      <c r="S24" s="29" t="n">
        <v>1.25</v>
      </c>
      <c r="T24" s="24" t="inlineStr">
        <is>
          <t>mlb-elo-trend-lr-v8</t>
        </is>
      </c>
      <c r="U24" s="24" t="inlineStr">
        <is>
          <t>settled</t>
        </is>
      </c>
      <c r="V24" s="24" t="inlineStr">
        <is>
          <t>loss</t>
        </is>
      </c>
      <c r="W24" s="26" t="n">
        <v>3</v>
      </c>
      <c r="X24" s="26" t="n">
        <v>1</v>
      </c>
      <c r="Y24" s="25" t="n"/>
      <c r="Z24" s="26" t="n">
        <v>-147</v>
      </c>
      <c r="AA24" s="28" t="n">
        <v>0.595</v>
      </c>
      <c r="AB24" s="28" t="n">
        <v>-0.000142</v>
      </c>
      <c r="AC24" s="30" t="n">
        <v>-1.25</v>
      </c>
      <c r="AD24" s="24" t="inlineStr">
        <is>
          <t>2026-08-06T18:54:02.045528Z</t>
        </is>
      </c>
      <c r="AE24" s="31" t="inlineStr">
        <is>
          <t>Learned LR call at threshold 0.5873; executable ask 0.5950 (aec-mlb-stl-nyy-2026-08-05); model edge vs ask -0.0092.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NO_CALL_WINNER_OVERVALUED</t>
        </is>
      </c>
      <c r="AP24" s="24" t="inlineStr">
        <is>
          <t>mlb-stl</t>
        </is>
      </c>
      <c r="AQ24" s="24" t="inlineStr">
        <is>
          <t>St. Louis Cardinals</t>
        </is>
      </c>
      <c r="AR24" s="24" t="inlineStr">
        <is>
          <t>St. Louis Cardinals</t>
        </is>
      </c>
      <c r="AS24" s="24" t="inlineStr">
        <is>
          <t>mlb-nyy</t>
        </is>
      </c>
      <c r="AT24" s="24" t="inlineStr">
        <is>
          <t>New York Yankees</t>
        </is>
      </c>
      <c r="AU24" s="24" t="inlineStr">
        <is>
          <t>New York Yankees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6a5c79541b0e50cb9f7318270e63d5ccc65cbd7bc53a019748ff772d49de5075</t>
        </is>
      </c>
      <c r="BB24" s="24" t="inlineStr">
        <is>
          <t>learned_lr</t>
        </is>
      </c>
      <c r="BC24" s="24" t="inlineStr">
        <is>
          <t>mlb-elo-trend-lr-v8</t>
        </is>
      </c>
      <c r="BD24" s="24" t="inlineStr">
        <is>
          <t>6a5c79541b0e50cb9f7318270e63d5ccc65cbd7bc53a019748ff772d49de5075</t>
        </is>
      </c>
      <c r="BE24" s="24" t="inlineStr">
        <is>
          <t>f0272f609cc15047</t>
        </is>
      </c>
      <c r="BF24" s="24" t="inlineStr">
        <is>
          <t>1</t>
        </is>
      </c>
      <c r="BG24" s="24" t="inlineStr">
        <is>
          <t>mlb-elo-trend-lr-v8</t>
        </is>
      </c>
      <c r="BH24" s="24" t="inlineStr">
        <is>
          <t>2026-08-05T21:00:47.059173Z</t>
        </is>
      </c>
      <c r="BI24" s="24" t="inlineStr">
        <is>
          <t>["same_event","same_team_same_day","same_league_same_day"]</t>
        </is>
      </c>
      <c r="BJ24" s="25" t="n"/>
      <c r="BK24" s="26" t="n">
        <v>-147</v>
      </c>
      <c r="BL24" s="27" t="n">
        <v>1.680272</v>
      </c>
      <c r="BM24" s="28" t="n">
        <v>0.5951419999999999</v>
      </c>
      <c r="BN24" s="28" t="n">
        <v>0.59204</v>
      </c>
      <c r="BO24" s="28" t="n"/>
      <c r="BP24" s="25" t="n"/>
      <c r="BQ24" s="27" t="n">
        <v>1.680272</v>
      </c>
      <c r="BR24" s="28" t="n">
        <v>0.595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0.6062088889</t>
        </is>
      </c>
      <c r="CD24" s="24" t="inlineStr">
        <is>
          <t>-0.586294</t>
        </is>
      </c>
      <c r="CE24" s="24" t="inlineStr">
        <is>
          <t>1.012</t>
        </is>
      </c>
      <c r="CF24" s="24" t="inlineStr">
        <is>
          <t>1.0078</t>
        </is>
      </c>
      <c r="CG24" s="24" t="n"/>
      <c r="CH24" s="24" t="n"/>
      <c r="CI24" s="24" t="n"/>
      <c r="CJ24" s="24" t="inlineStr">
        <is>
          <t>-0.477024</t>
        </is>
      </c>
      <c r="CK24" s="24" t="n"/>
      <c r="CL24" s="24" t="inlineStr">
        <is>
          <t>0.013507</t>
        </is>
      </c>
      <c r="CM24" s="24" t="inlineStr">
        <is>
          <t>0.9011</t>
        </is>
      </c>
      <c r="CN24" s="24" t="n"/>
      <c r="CO24" s="24" t="n"/>
      <c r="CP24" s="24" t="n"/>
      <c r="CQ24" s="24" t="n"/>
      <c r="CR24" s="24" t="inlineStr">
        <is>
          <t>0.585803</t>
        </is>
      </c>
      <c r="CS24" s="24" t="inlineStr">
        <is>
          <t>False</t>
        </is>
      </c>
    </row>
    <row r="25" ht="36" customHeight="1">
      <c r="A25" s="24" t="inlineStr">
        <is>
          <t>6bd95bae4459465e</t>
        </is>
      </c>
      <c r="B25" s="24" t="inlineStr">
        <is>
          <t>2026-08-05T21:01:20.386769Z</t>
        </is>
      </c>
      <c r="C25" s="24" t="inlineStr">
        <is>
          <t>2026-08-05T19:10:00-0400</t>
        </is>
      </c>
      <c r="D25" s="24" t="inlineStr">
        <is>
          <t>401816401</t>
        </is>
      </c>
      <c r="E25" s="24" t="inlineStr">
        <is>
          <t>MLB</t>
        </is>
      </c>
      <c r="F25" s="24" t="inlineStr">
        <is>
          <t>Chicago White Sox</t>
        </is>
      </c>
      <c r="G25" s="24" t="inlineStr">
        <is>
          <t>Boston Red Sox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0.576049</v>
      </c>
      <c r="P25" s="28" t="n"/>
      <c r="Q25" s="28" t="n">
        <v>0.016578</v>
      </c>
      <c r="R25" s="26" t="n">
        <v>29</v>
      </c>
      <c r="S25" s="29" t="n">
        <v>1.25</v>
      </c>
      <c r="T25" s="24" t="inlineStr">
        <is>
          <t>mlb-elo-trend-lr-v8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4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2026-08-06T03:25:46.288618Z</t>
        </is>
      </c>
      <c r="AE25" s="31" t="inlineStr">
        <is>
          <t>Learned LR call at threshold 0.5873; executable ask 0.5600 (aec-mlb-cws-bos-2026-08-05); model edge vs ask +0.0160.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mlb-cws</t>
        </is>
      </c>
      <c r="AQ25" s="24" t="inlineStr">
        <is>
          <t>Chicago White Sox</t>
        </is>
      </c>
      <c r="AR25" s="24" t="inlineStr">
        <is>
          <t>Chicago White Sox</t>
        </is>
      </c>
      <c r="AS25" s="24" t="inlineStr">
        <is>
          <t>mlb-bos</t>
        </is>
      </c>
      <c r="AT25" s="24" t="inlineStr">
        <is>
          <t>Boston Red Sox</t>
        </is>
      </c>
      <c r="AU25" s="24" t="inlineStr">
        <is>
          <t>Boston Red Sox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6a5c79541b0e50cb9f7318270e63d5ccc65cbd7bc53a019748ff772d49de5075</t>
        </is>
      </c>
      <c r="BB25" s="24" t="inlineStr">
        <is>
          <t>learned_lr</t>
        </is>
      </c>
      <c r="BC25" s="24" t="inlineStr">
        <is>
          <t>mlb-elo-trend-lr-v8</t>
        </is>
      </c>
      <c r="BD25" s="24" t="inlineStr">
        <is>
          <t>6a5c79541b0e50cb9f7318270e63d5ccc65cbd7bc53a019748ff772d49de5075</t>
        </is>
      </c>
      <c r="BE25" s="24" t="inlineStr">
        <is>
          <t>efcfcc3269a8ddbe</t>
        </is>
      </c>
      <c r="BF25" s="24" t="inlineStr">
        <is>
          <t>1</t>
        </is>
      </c>
      <c r="BG25" s="24" t="inlineStr">
        <is>
          <t>mlb-elo-trend-lr-v8</t>
        </is>
      </c>
      <c r="BH25" s="24" t="inlineStr">
        <is>
          <t>2026-08-05T21:00:47.679094Z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>
        <v>0.557214</v>
      </c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0.6209636925</t>
        </is>
      </c>
      <c r="CD25" s="24" t="inlineStr">
        <is>
          <t>2.562589</t>
        </is>
      </c>
      <c r="CE25" s="24" t="inlineStr">
        <is>
          <t>1.017</t>
        </is>
      </c>
      <c r="CF25" s="24" t="inlineStr">
        <is>
          <t>1.0148</t>
        </is>
      </c>
      <c r="CG25" s="24" t="n"/>
      <c r="CH25" s="24" t="n"/>
      <c r="CI25" s="24" t="n"/>
      <c r="CJ25" s="24" t="inlineStr">
        <is>
          <t>1.037236</t>
        </is>
      </c>
      <c r="CK25" s="24" t="n"/>
      <c r="CL25" s="24" t="inlineStr">
        <is>
          <t>-0.139607</t>
        </is>
      </c>
      <c r="CM25" s="24" t="inlineStr">
        <is>
          <t>-0.3228</t>
        </is>
      </c>
      <c r="CN25" s="24" t="n"/>
      <c r="CO25" s="24" t="n"/>
      <c r="CP25" s="24" t="n"/>
      <c r="CQ25" s="24" t="n"/>
      <c r="CR25" s="24" t="inlineStr">
        <is>
          <t>0.576049</t>
        </is>
      </c>
      <c r="CS25" s="24" t="inlineStr">
        <is>
          <t>True</t>
        </is>
      </c>
    </row>
    <row r="26" ht="36" customHeight="1">
      <c r="A26" s="24" t="inlineStr">
        <is>
          <t>3e9ac27b6b1b4803</t>
        </is>
      </c>
      <c r="B26" s="24" t="inlineStr">
        <is>
          <t>2026-08-05T21:01:20.386769Z</t>
        </is>
      </c>
      <c r="C26" s="24" t="inlineStr">
        <is>
          <t>2026-08-05T19:15:00-0400</t>
        </is>
      </c>
      <c r="D26" s="24" t="inlineStr">
        <is>
          <t>401816402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Atlanta Braves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-120</v>
      </c>
      <c r="M26" s="27" t="n">
        <v>1.833333</v>
      </c>
      <c r="N26" s="28" t="n">
        <v>0.545455</v>
      </c>
      <c r="O26" s="28" t="n">
        <v>0.590919</v>
      </c>
      <c r="P26" s="28" t="n"/>
      <c r="Q26" s="28" t="n">
        <v>0.045464</v>
      </c>
      <c r="R26" s="26" t="n">
        <v>44</v>
      </c>
      <c r="S26" s="29" t="n">
        <v>1.25</v>
      </c>
      <c r="T26" s="24" t="inlineStr">
        <is>
          <t>mlb-elo-trend-lr-v8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>
        <v>-120</v>
      </c>
      <c r="AA26" s="28" t="n">
        <v>0.545</v>
      </c>
      <c r="AB26" s="28" t="n">
        <v>-0.000455</v>
      </c>
      <c r="AC26" s="30" t="n">
        <v>1.0417</v>
      </c>
      <c r="AD26" s="24" t="inlineStr">
        <is>
          <t>2026-08-06T03:25:48.838087Z</t>
        </is>
      </c>
      <c r="AE26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mlb-mia</t>
        </is>
      </c>
      <c r="AQ26" s="24" t="inlineStr">
        <is>
          <t>Miami Marlins</t>
        </is>
      </c>
      <c r="AR26" s="24" t="inlineStr">
        <is>
          <t>Miami Marlins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6a5c79541b0e50cb9f7318270e63d5ccc65cbd7bc53a019748ff772d49de5075</t>
        </is>
      </c>
      <c r="BB26" s="24" t="inlineStr">
        <is>
          <t>learned_lr</t>
        </is>
      </c>
      <c r="BC26" s="24" t="inlineStr">
        <is>
          <t>mlb-elo-trend-lr-v8</t>
        </is>
      </c>
      <c r="BD26" s="24" t="inlineStr">
        <is>
          <t>6a5c79541b0e50cb9f7318270e63d5ccc65cbd7bc53a019748ff772d49de5075</t>
        </is>
      </c>
      <c r="BE26" s="24" t="inlineStr">
        <is>
          <t>15ad345ce9703e7c</t>
        </is>
      </c>
      <c r="BF26" s="24" t="inlineStr">
        <is>
          <t>1</t>
        </is>
      </c>
      <c r="BG26" s="24" t="inlineStr">
        <is>
          <t>mlb-elo-trend-lr-v8</t>
        </is>
      </c>
      <c r="BH26" s="24" t="inlineStr">
        <is>
          <t>2026-08-05T21:00:48.076723Z</t>
        </is>
      </c>
      <c r="BI26" s="24" t="inlineStr">
        <is>
          <t>["same_event","same_team_same_day","same_league_same_day"]</t>
        </is>
      </c>
      <c r="BJ26" s="25" t="n"/>
      <c r="BK26" s="26" t="n">
        <v>-120</v>
      </c>
      <c r="BL26" s="27" t="n">
        <v>1.833333</v>
      </c>
      <c r="BM26" s="28" t="n">
        <v>0.545455</v>
      </c>
      <c r="BN26" s="28" t="n">
        <v>0.542289</v>
      </c>
      <c r="BO26" s="28" t="n"/>
      <c r="BP26" s="25" t="n"/>
      <c r="BQ26" s="27" t="n">
        <v>1.833333</v>
      </c>
      <c r="BR26" s="28" t="n">
        <v>0.545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0.5924601602</t>
        </is>
      </c>
      <c r="CD26" s="24" t="inlineStr">
        <is>
          <t>0.154672</t>
        </is>
      </c>
      <c r="CE26" s="24" t="inlineStr">
        <is>
          <t>0.929</t>
        </is>
      </c>
      <c r="CF26" s="24" t="inlineStr">
        <is>
          <t>1.0068</t>
        </is>
      </c>
      <c r="CG26" s="24" t="n"/>
      <c r="CH26" s="24" t="n"/>
      <c r="CI26" s="24" t="inlineStr">
        <is>
          <t>NO_CALL_STARTER_ERA_GAP_INSUFFICIENT_HISTORY</t>
        </is>
      </c>
      <c r="CJ26" s="24" t="inlineStr">
        <is>
          <t>0.044324</t>
        </is>
      </c>
      <c r="CK26" s="24" t="n"/>
      <c r="CL26" s="24" t="inlineStr">
        <is>
          <t>-0.05834</t>
        </is>
      </c>
      <c r="CM26" s="24" t="inlineStr">
        <is>
          <t>0.0</t>
        </is>
      </c>
      <c r="CN26" s="24" t="n"/>
      <c r="CO26" s="24" t="n"/>
      <c r="CP26" s="24" t="n"/>
      <c r="CQ26" s="24" t="n"/>
      <c r="CR26" s="24" t="inlineStr">
        <is>
          <t>0.590919</t>
        </is>
      </c>
      <c r="CS26" s="24" t="inlineStr">
        <is>
          <t>True</t>
        </is>
      </c>
    </row>
    <row r="27" ht="36" customHeight="1">
      <c r="A27" s="24" t="inlineStr">
        <is>
          <t>4cb1e041ed9e4b75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401816408</t>
        </is>
      </c>
      <c r="E27" s="24" t="inlineStr">
        <is>
          <t>MLB</t>
        </is>
      </c>
      <c r="F27" s="24" t="inlineStr">
        <is>
          <t>Pittsburgh Pirates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0.6155080000000001</v>
      </c>
      <c r="P27" s="28" t="n"/>
      <c r="Q27" s="28" t="n">
        <v>0.065958</v>
      </c>
      <c r="R27" s="26" t="n">
        <v>54</v>
      </c>
      <c r="S27" s="29" t="n">
        <v>1.5</v>
      </c>
      <c r="T27" s="24" t="inlineStr">
        <is>
          <t>mlb-elo-trend-lr-v8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4</v>
      </c>
      <c r="Y27" s="25" t="n"/>
      <c r="Z27" s="26" t="n">
        <v>-122</v>
      </c>
      <c r="AA27" s="28" t="n">
        <v>0.55</v>
      </c>
      <c r="AB27" s="28" t="n">
        <v>0.00045</v>
      </c>
      <c r="AC27" s="30" t="n">
        <v>1.2295</v>
      </c>
      <c r="AD27" s="24" t="inlineStr">
        <is>
          <t>2026-08-06T03:25:50.890975Z</t>
        </is>
      </c>
      <c r="AE27" s="31" t="inlineStr">
        <is>
          <t>Learned LR call at threshold 0.5873; executable ask 0.5500 (aec-mlb-pit-mil-2026-08-05); model edge vs ask +0.0655.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mlb-pit</t>
        </is>
      </c>
      <c r="AQ27" s="24" t="inlineStr">
        <is>
          <t>Pittsburgh Pirates</t>
        </is>
      </c>
      <c r="AR27" s="24" t="inlineStr">
        <is>
          <t>Pittsburgh Pirates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6a5c79541b0e50cb9f7318270e63d5ccc65cbd7bc53a019748ff772d49de5075</t>
        </is>
      </c>
      <c r="BB27" s="24" t="inlineStr">
        <is>
          <t>learned_lr</t>
        </is>
      </c>
      <c r="BC27" s="24" t="inlineStr">
        <is>
          <t>mlb-elo-trend-lr-v8</t>
        </is>
      </c>
      <c r="BD27" s="24" t="inlineStr">
        <is>
          <t>6a5c79541b0e50cb9f7318270e63d5ccc65cbd7bc53a019748ff772d49de5075</t>
        </is>
      </c>
      <c r="BE27" s="24" t="inlineStr">
        <is>
          <t>23aa584b6028ab97</t>
        </is>
      </c>
      <c r="BF27" s="24" t="inlineStr">
        <is>
          <t>1</t>
        </is>
      </c>
      <c r="BG27" s="24" t="inlineStr">
        <is>
          <t>mlb-elo-trend-lr-v8</t>
        </is>
      </c>
      <c r="BH27" s="24" t="inlineStr">
        <is>
          <t>2026-08-05T21:00:48.549898Z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>
        <v>0.547264</v>
      </c>
      <c r="BO27" s="28" t="n"/>
      <c r="BP27" s="25" t="n"/>
      <c r="BQ27" s="27" t="n">
        <v>1.819672</v>
      </c>
      <c r="BR27" s="28" t="n">
        <v>0.55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0.6284314187</t>
        </is>
      </c>
      <c r="CD27" s="24" t="inlineStr">
        <is>
          <t>0.320781</t>
        </is>
      </c>
      <c r="CE27" s="24" t="inlineStr">
        <is>
          <t>0.997</t>
        </is>
      </c>
      <c r="CF27" s="24" t="inlineStr">
        <is>
          <t>1.0</t>
        </is>
      </c>
      <c r="CG27" s="24" t="n"/>
      <c r="CH27" s="24" t="n"/>
      <c r="CI27" s="24" t="n"/>
      <c r="CJ27" s="24" t="inlineStr">
        <is>
          <t>0.061913</t>
        </is>
      </c>
      <c r="CK27" s="24" t="n"/>
      <c r="CL27" s="24" t="inlineStr">
        <is>
          <t>0.125345</t>
        </is>
      </c>
      <c r="CM27" s="24" t="inlineStr">
        <is>
          <t>-1.5183</t>
        </is>
      </c>
      <c r="CN27" s="24" t="n"/>
      <c r="CO27" s="24" t="n"/>
      <c r="CP27" s="24" t="n"/>
      <c r="CQ27" s="24" t="n"/>
      <c r="CR27" s="24" t="inlineStr">
        <is>
          <t>0.615508</t>
        </is>
      </c>
      <c r="CS27" s="24" t="inlineStr">
        <is>
          <t>True</t>
        </is>
      </c>
    </row>
    <row r="28" ht="36" customHeight="1">
      <c r="A28" s="24" t="inlineStr">
        <is>
          <t>ffd50a0b86f4496e</t>
        </is>
      </c>
      <c r="B28" s="24" t="inlineStr">
        <is>
          <t>2026-08-05T21:01:20.386769Z</t>
        </is>
      </c>
      <c r="C28" s="24" t="inlineStr">
        <is>
          <t>2026-08-05T19:40:00-0400</t>
        </is>
      </c>
      <c r="D28" s="24" t="inlineStr">
        <is>
          <t>401816407</t>
        </is>
      </c>
      <c r="E28" s="24" t="inlineStr">
        <is>
          <t>MLB</t>
        </is>
      </c>
      <c r="F28" s="24" t="inlineStr">
        <is>
          <t>Minnesota Twins</t>
        </is>
      </c>
      <c r="G28" s="24" t="inlineStr">
        <is>
          <t>Kansas City Royals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0.525738</v>
      </c>
      <c r="P28" s="28" t="n"/>
      <c r="Q28" s="28" t="n">
        <v>-0.004778</v>
      </c>
      <c r="R28" s="26" t="n">
        <v>19</v>
      </c>
      <c r="S28" s="29" t="n">
        <v>1</v>
      </c>
      <c r="T28" s="24" t="inlineStr">
        <is>
          <t>mlb-elo-trend-lr-v8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2</v>
      </c>
      <c r="Y28" s="25" t="n"/>
      <c r="Z28" s="26" t="n">
        <v>-113</v>
      </c>
      <c r="AA28" s="28" t="n">
        <v>0.53</v>
      </c>
      <c r="AB28" s="28" t="n">
        <v>-0.000516</v>
      </c>
      <c r="AC28" s="30" t="n">
        <v>0.885</v>
      </c>
      <c r="AD28" s="24" t="inlineStr">
        <is>
          <t>2026-08-06T03:25:52.818937Z</t>
        </is>
      </c>
      <c r="AE28" s="31" t="inlineStr">
        <is>
          <t>Learned LR call at threshold 0.5873; executable ask 0.5300 (aec-mlb-min-kc-2026-08-05); model edge vs ask -0.0043.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mlb-min</t>
        </is>
      </c>
      <c r="AQ28" s="24" t="inlineStr">
        <is>
          <t>Minnesota Twins</t>
        </is>
      </c>
      <c r="AR28" s="24" t="inlineStr">
        <is>
          <t>Minnesota Twins</t>
        </is>
      </c>
      <c r="AS28" s="24" t="inlineStr">
        <is>
          <t>mlb-kc</t>
        </is>
      </c>
      <c r="AT28" s="24" t="inlineStr">
        <is>
          <t>Kansas City Royals</t>
        </is>
      </c>
      <c r="AU28" s="24" t="inlineStr">
        <is>
          <t>Kansas City Royals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6a5c79541b0e50cb9f7318270e63d5ccc65cbd7bc53a019748ff772d49de5075</t>
        </is>
      </c>
      <c r="BB28" s="24" t="inlineStr">
        <is>
          <t>learned_lr</t>
        </is>
      </c>
      <c r="BC28" s="24" t="inlineStr">
        <is>
          <t>mlb-elo-trend-lr-v8</t>
        </is>
      </c>
      <c r="BD28" s="24" t="inlineStr">
        <is>
          <t>6a5c79541b0e50cb9f7318270e63d5ccc65cbd7bc53a019748ff772d49de5075</t>
        </is>
      </c>
      <c r="BE28" s="24" t="inlineStr">
        <is>
          <t>f737968b03170f81</t>
        </is>
      </c>
      <c r="BF28" s="24" t="inlineStr">
        <is>
          <t>1</t>
        </is>
      </c>
      <c r="BG28" s="24" t="inlineStr">
        <is>
          <t>mlb-elo-trend-lr-v8</t>
        </is>
      </c>
      <c r="BH28" s="24" t="inlineStr">
        <is>
          <t>2026-08-05T21:00:49.052291Z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>
        <v>0.527363</v>
      </c>
      <c r="BO28" s="28" t="n"/>
      <c r="BP28" s="25" t="n"/>
      <c r="BQ28" s="27" t="n">
        <v>1.884956</v>
      </c>
      <c r="BR28" s="28" t="n">
        <v>0.53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0.5155726117</t>
        </is>
      </c>
      <c r="CD28" s="24" t="inlineStr">
        <is>
          <t>0.043044</t>
        </is>
      </c>
      <c r="CE28" s="24" t="inlineStr">
        <is>
          <t>0.972</t>
        </is>
      </c>
      <c r="CF28" s="24" t="inlineStr">
        <is>
          <t>1.0045</t>
        </is>
      </c>
      <c r="CG28" s="24" t="n"/>
      <c r="CH28" s="24" t="n"/>
      <c r="CI28" s="24" t="n"/>
      <c r="CJ28" s="24" t="inlineStr">
        <is>
          <t>0.628543</t>
        </is>
      </c>
      <c r="CK28" s="24" t="n"/>
      <c r="CL28" s="24" t="inlineStr">
        <is>
          <t>0.503895</t>
        </is>
      </c>
      <c r="CM28" s="24" t="inlineStr">
        <is>
          <t>4.2618</t>
        </is>
      </c>
      <c r="CN28" s="24" t="n"/>
      <c r="CO28" s="24" t="n"/>
      <c r="CP28" s="24" t="n"/>
      <c r="CQ28" s="24" t="n"/>
      <c r="CR28" s="24" t="inlineStr">
        <is>
          <t>0.525738</t>
        </is>
      </c>
      <c r="CS28" s="24" t="inlineStr">
        <is>
          <t>False</t>
        </is>
      </c>
    </row>
    <row r="29" ht="36" customHeight="1">
      <c r="A29" s="24" t="inlineStr">
        <is>
          <t>b6ec679c2814407c</t>
        </is>
      </c>
      <c r="B29" s="24" t="inlineStr">
        <is>
          <t>2026-08-05T21:01:36.734850Z</t>
        </is>
      </c>
      <c r="C29" s="24" t="inlineStr">
        <is>
          <t>2026-08-05T22:35Z</t>
        </is>
      </c>
      <c r="D29" s="24" t="inlineStr">
        <is>
          <t>401816399</t>
        </is>
      </c>
      <c r="E29" s="24" t="inlineStr">
        <is>
          <t>MLB</t>
        </is>
      </c>
      <c r="F29" s="24" t="inlineStr">
        <is>
          <t>Los Angeles Angels</t>
        </is>
      </c>
      <c r="G29" s="24" t="inlineStr">
        <is>
          <t>Baltimore Orioles</t>
        </is>
      </c>
      <c r="H29" s="24" t="inlineStr">
        <is>
          <t>spread</t>
        </is>
      </c>
      <c r="I29" s="24" t="inlineStr">
        <is>
          <t>home</t>
        </is>
      </c>
      <c r="J29" s="25" t="n">
        <v>-1.5</v>
      </c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0.412338</v>
      </c>
      <c r="P29" s="28" t="n">
        <v>0.042131</v>
      </c>
      <c r="Q29" s="28" t="n">
        <v>0.03211</v>
      </c>
      <c r="R29" s="26" t="n">
        <v>42</v>
      </c>
      <c r="S29" s="29" t="n">
        <v>1.25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5</v>
      </c>
      <c r="Y29" s="25" t="n">
        <v>-1.5</v>
      </c>
      <c r="Z29" s="26" t="n">
        <v>163</v>
      </c>
      <c r="AA29" s="28" t="n">
        <v>0.38</v>
      </c>
      <c r="AB29" s="28" t="n">
        <v>-0.000228</v>
      </c>
      <c r="AC29" s="30" t="n">
        <v>2.0375</v>
      </c>
      <c r="AD29" s="24" t="inlineStr">
        <is>
          <t>2026-08-06T03:25:58.278840Z</t>
        </is>
      </c>
      <c r="AE29" s="31" t="inlineStr">
        <is>
          <t>Measured Edge Margin: Trend Engine projected 4.25-4.70; raw selected-side p=0.3714, calibrated p=0.4123.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mlb-laa</t>
        </is>
      </c>
      <c r="AQ29" s="24" t="inlineStr">
        <is>
          <t>Los Angeles Angels</t>
        </is>
      </c>
      <c r="AR29" s="24" t="inlineStr">
        <is>
          <t>Los Angeles Angels</t>
        </is>
      </c>
      <c r="AS29" s="24" t="inlineStr">
        <is>
          <t>mlb-bal</t>
        </is>
      </c>
      <c r="AT29" s="24" t="inlineStr">
        <is>
          <t>Baltimore Orioles</t>
        </is>
      </c>
      <c r="AU29" s="24" t="inlineStr">
        <is>
          <t>Baltimore Orioles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2026-08-05T21:01:36.734850Z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163</v>
      </c>
      <c r="BL29" s="27" t="n">
        <v>2.63</v>
      </c>
      <c r="BM29" s="28" t="n">
        <v>0.380228</v>
      </c>
      <c r="BN29" s="28" t="n">
        <v>0.378109</v>
      </c>
      <c r="BO29" s="28" t="n"/>
      <c r="BP29" s="25" t="n"/>
      <c r="BQ29" s="27" t="n">
        <v>2.63</v>
      </c>
      <c r="BR29" s="28" t="n">
        <v>0.38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9a03f1a0392149b2</t>
        </is>
      </c>
      <c r="B30" s="24" t="inlineStr">
        <is>
          <t>2026-08-05T21:01:36.734850Z</t>
        </is>
      </c>
      <c r="C30" s="24" t="inlineStr">
        <is>
          <t>2026-08-05T22:35Z</t>
        </is>
      </c>
      <c r="D30" s="24" t="inlineStr">
        <is>
          <t>401816399</t>
        </is>
      </c>
      <c r="E30" s="24" t="inlineStr">
        <is>
          <t>MLB</t>
        </is>
      </c>
      <c r="F30" s="24" t="inlineStr">
        <is>
          <t>Los Angeles Angels</t>
        </is>
      </c>
      <c r="G30" s="24" t="inlineStr">
        <is>
          <t>Baltimore Orioles</t>
        </is>
      </c>
      <c r="H30" s="24" t="inlineStr">
        <is>
          <t>total</t>
        </is>
      </c>
      <c r="I30" s="24" t="inlineStr">
        <is>
          <t>over</t>
        </is>
      </c>
      <c r="J30" s="25" t="n">
        <v>7.5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0.528131</v>
      </c>
      <c r="P30" s="28" t="n">
        <v>0.042131</v>
      </c>
      <c r="Q30" s="28" t="n">
        <v>-0.002385</v>
      </c>
      <c r="R30" s="26" t="n">
        <v>25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loss</t>
        </is>
      </c>
      <c r="W30" s="26" t="n">
        <v>2</v>
      </c>
      <c r="X30" s="26" t="n">
        <v>5</v>
      </c>
      <c r="Y30" s="25" t="n">
        <v>7.5</v>
      </c>
      <c r="Z30" s="26" t="n">
        <v>-113</v>
      </c>
      <c r="AA30" s="28" t="n">
        <v>0.53</v>
      </c>
      <c r="AB30" s="28" t="n">
        <v>-0.000516</v>
      </c>
      <c r="AC30" s="30" t="n">
        <v>-1</v>
      </c>
      <c r="AD30" s="24" t="inlineStr">
        <is>
          <t>2026-08-06T03:26:00.084784Z</t>
        </is>
      </c>
      <c r="AE30" s="31" t="inlineStr">
        <is>
          <t>Measured Edge Totals: Trend Engine projected 4.25-4.70; raw selected-side p=0.5899, calibrated p=0.5281.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mlb-laa</t>
        </is>
      </c>
      <c r="AQ30" s="24" t="inlineStr">
        <is>
          <t>Los Angeles Angels</t>
        </is>
      </c>
      <c r="AR30" s="24" t="inlineStr">
        <is>
          <t>Los Angeles Angels</t>
        </is>
      </c>
      <c r="AS30" s="24" t="inlineStr">
        <is>
          <t>mlb-bal</t>
        </is>
      </c>
      <c r="AT30" s="24" t="inlineStr">
        <is>
          <t>Baltimore Orioles</t>
        </is>
      </c>
      <c r="AU30" s="24" t="inlineStr">
        <is>
          <t>Baltimore Orioles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2026-08-05T21:01:36.734850Z</t>
        </is>
      </c>
      <c r="BI30" s="24" t="inlineStr">
        <is>
          <t>["same_event","same_team_same_day","same_league_same_day"]</t>
        </is>
      </c>
      <c r="BJ30" s="25" t="n">
        <v>7.5</v>
      </c>
      <c r="BK30" s="26" t="n">
        <v>-113</v>
      </c>
      <c r="BL30" s="27" t="n">
        <v>1.884956</v>
      </c>
      <c r="BM30" s="28" t="n">
        <v>0.530516</v>
      </c>
      <c r="BN30" s="28" t="n">
        <v>0.527363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835dc1a5404b4a18</t>
        </is>
      </c>
      <c r="B31" s="24" t="inlineStr">
        <is>
          <t>2026-08-05T21:01:36.734850Z</t>
        </is>
      </c>
      <c r="C31" s="24" t="inlineStr">
        <is>
          <t>2026-08-05T22:40Z</t>
        </is>
      </c>
      <c r="D31" s="24" t="inlineStr">
        <is>
          <t>401816400</t>
        </is>
      </c>
      <c r="E31" s="24" t="inlineStr">
        <is>
          <t>MLB</t>
        </is>
      </c>
      <c r="F31" s="24" t="inlineStr">
        <is>
          <t>Athletics</t>
        </is>
      </c>
      <c r="G31" s="24" t="inlineStr">
        <is>
          <t>Cincinnati Reds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135</v>
      </c>
      <c r="M31" s="27" t="n">
        <v>2.35</v>
      </c>
      <c r="N31" s="28" t="n">
        <v>0.425532</v>
      </c>
      <c r="O31" s="28" t="n">
        <v>0.405047</v>
      </c>
      <c r="P31" s="28" t="n">
        <v>0.042131</v>
      </c>
      <c r="Q31" s="28" t="n">
        <v>-0.020485</v>
      </c>
      <c r="R31" s="26" t="n">
        <v>16</v>
      </c>
      <c r="S31" s="29" t="n">
        <v>1.25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3</v>
      </c>
      <c r="Y31" s="25" t="n">
        <v>-1.5</v>
      </c>
      <c r="Z31" s="26" t="n">
        <v>135</v>
      </c>
      <c r="AA31" s="28" t="n">
        <v>0.425</v>
      </c>
      <c r="AB31" s="28" t="n">
        <v>-0.000532</v>
      </c>
      <c r="AC31" s="30" t="n">
        <v>-1.25</v>
      </c>
      <c r="AD31" s="24" t="inlineStr">
        <is>
          <t>2026-08-06T03:26:01.887070Z</t>
        </is>
      </c>
      <c r="AE31" s="31" t="inlineStr">
        <is>
          <t>Measured Edge Margin: Trend Engine projected 4.90-5.09; raw selected-side p=0.3607, calibrated p=0.4050.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mlb-ath</t>
        </is>
      </c>
      <c r="AQ31" s="24" t="inlineStr">
        <is>
          <t>Athletics</t>
        </is>
      </c>
      <c r="AR31" s="24" t="inlineStr">
        <is>
          <t>Athletics</t>
        </is>
      </c>
      <c r="AS31" s="24" t="inlineStr">
        <is>
          <t>mlb-cin</t>
        </is>
      </c>
      <c r="AT31" s="24" t="inlineStr">
        <is>
          <t>Cincinnati Reds</t>
        </is>
      </c>
      <c r="AU31" s="24" t="inlineStr">
        <is>
          <t>Cincinnati Reds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2026-08-05T21:01:36.734850Z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135</v>
      </c>
      <c r="BL31" s="27" t="n">
        <v>2.35</v>
      </c>
      <c r="BM31" s="28" t="n">
        <v>0.425532</v>
      </c>
      <c r="BN31" s="28" t="n">
        <v>0.422886</v>
      </c>
      <c r="BO31" s="28" t="n"/>
      <c r="BP31" s="25" t="n"/>
      <c r="BQ31" s="27" t="n">
        <v>2.35</v>
      </c>
      <c r="BR31" s="28" t="n">
        <v>0.425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86a1c03461894e40</t>
        </is>
      </c>
      <c r="B32" s="24" t="inlineStr">
        <is>
          <t>2026-08-05T21:01:36.734850Z</t>
        </is>
      </c>
      <c r="C32" s="24" t="inlineStr">
        <is>
          <t>2026-08-05T22:40Z</t>
        </is>
      </c>
      <c r="D32" s="24" t="inlineStr">
        <is>
          <t>401816400</t>
        </is>
      </c>
      <c r="E32" s="24" t="inlineStr">
        <is>
          <t>MLB</t>
        </is>
      </c>
      <c r="F32" s="24" t="inlineStr">
        <is>
          <t>Athletics</t>
        </is>
      </c>
      <c r="G32" s="24" t="inlineStr">
        <is>
          <t>Cincinnati Reds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-111</v>
      </c>
      <c r="M32" s="27" t="n">
        <v>1.900901</v>
      </c>
      <c r="N32" s="28" t="n">
        <v>0.526066</v>
      </c>
      <c r="O32" s="28" t="n">
        <v>0.5079360000000001</v>
      </c>
      <c r="P32" s="28" t="n">
        <v>0.042131</v>
      </c>
      <c r="Q32" s="28" t="n">
        <v>-0.01813</v>
      </c>
      <c r="R32" s="26" t="n">
        <v>17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3</v>
      </c>
      <c r="Y32" s="25" t="n">
        <v>9.5</v>
      </c>
      <c r="Z32" s="26" t="n">
        <v>-111</v>
      </c>
      <c r="AA32" s="28" t="n">
        <v>0.525</v>
      </c>
      <c r="AB32" s="28" t="n">
        <v>-0.001066</v>
      </c>
      <c r="AC32" s="30" t="n">
        <v>0.9009</v>
      </c>
      <c r="AD32" s="24" t="inlineStr">
        <is>
          <t>2026-08-06T03:26:03.849315Z</t>
        </is>
      </c>
      <c r="AE32" s="31" t="inlineStr">
        <is>
          <t>Measured Edge Totals: Trend Engine projected 4.90-5.09; raw selected-side p=0.5086, calibrated p=0.5079.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mlb-ath</t>
        </is>
      </c>
      <c r="AQ32" s="24" t="inlineStr">
        <is>
          <t>Athletics</t>
        </is>
      </c>
      <c r="AR32" s="24" t="inlineStr">
        <is>
          <t>Athletics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2026-08-05T21:01:36.734850Z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-111</v>
      </c>
      <c r="BL32" s="27" t="n">
        <v>1.900901</v>
      </c>
      <c r="BM32" s="28" t="n">
        <v>0.526066</v>
      </c>
      <c r="BN32" s="28" t="n">
        <v>0.522388</v>
      </c>
      <c r="BO32" s="28" t="n"/>
      <c r="BP32" s="25" t="n"/>
      <c r="BQ32" s="27" t="n">
        <v>1.900901</v>
      </c>
      <c r="BR32" s="28" t="n">
        <v>0.525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50ef32bcb7204e32</t>
        </is>
      </c>
      <c r="B33" s="24" t="inlineStr">
        <is>
          <t>2026-08-05T21:01:36.734850Z</t>
        </is>
      </c>
      <c r="C33" s="24" t="inlineStr">
        <is>
          <t>2026-08-05T22:40Z</t>
        </is>
      </c>
      <c r="D33" s="24" t="inlineStr">
        <is>
          <t>401816403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Cleveland Guardians</t>
        </is>
      </c>
      <c r="H33" s="24" t="inlineStr">
        <is>
          <t>spread</t>
        </is>
      </c>
      <c r="I33" s="24" t="inlineStr">
        <is>
          <t>away</t>
        </is>
      </c>
      <c r="J33" s="25" t="n">
        <v>-1.5</v>
      </c>
      <c r="K33" s="24" t="inlineStr">
        <is>
          <t>polymarket_us</t>
        </is>
      </c>
      <c r="L33" s="26" t="n">
        <v>170</v>
      </c>
      <c r="M33" s="27" t="n">
        <v>2.7</v>
      </c>
      <c r="N33" s="28" t="n">
        <v>0.37037</v>
      </c>
      <c r="O33" s="28" t="n">
        <v>0.39762</v>
      </c>
      <c r="P33" s="28" t="n">
        <v>0.042131</v>
      </c>
      <c r="Q33" s="28" t="n">
        <v>0.02725</v>
      </c>
      <c r="R33" s="26" t="n">
        <v>39</v>
      </c>
      <c r="S33" s="29" t="n">
        <v>1.5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5</v>
      </c>
      <c r="Y33" s="25" t="n">
        <v>-1.5</v>
      </c>
      <c r="Z33" s="26" t="n">
        <v>170</v>
      </c>
      <c r="AA33" s="28" t="n">
        <v>0.37</v>
      </c>
      <c r="AB33" s="28" t="n">
        <v>-0.00037</v>
      </c>
      <c r="AC33" s="30" t="n">
        <v>-1.5</v>
      </c>
      <c r="AD33" s="24" t="inlineStr">
        <is>
          <t>2026-08-06T03:26:05.771379Z</t>
        </is>
      </c>
      <c r="AE33" s="31" t="inlineStr">
        <is>
          <t>Measured Edge Margin: Trend Engine projected 4.46-4.23; raw selected-side p=0.3498, calibrated p=0.3976.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NO_CALL_WINNER_OVERVALUED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mlb-cle</t>
        </is>
      </c>
      <c r="AT33" s="24" t="inlineStr">
        <is>
          <t>Cleveland Guardians</t>
        </is>
      </c>
      <c r="AU33" s="24" t="inlineStr">
        <is>
          <t>Cleveland Guardians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2026-08-05T21:01:36.734850Z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170</v>
      </c>
      <c r="BL33" s="27" t="n">
        <v>2.7</v>
      </c>
      <c r="BM33" s="28" t="n">
        <v>0.37037</v>
      </c>
      <c r="BN33" s="28" t="n">
        <v>0.368159</v>
      </c>
      <c r="BO33" s="28" t="n"/>
      <c r="BP33" s="25" t="n"/>
      <c r="BQ33" s="27" t="n">
        <v>2.7</v>
      </c>
      <c r="BR33" s="28" t="n">
        <v>0.37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3062b1c43e874d70</t>
        </is>
      </c>
      <c r="B34" s="24" t="inlineStr">
        <is>
          <t>2026-08-05T21:01:36.734850Z</t>
        </is>
      </c>
      <c r="C34" s="24" t="inlineStr">
        <is>
          <t>2026-08-05T22:40Z</t>
        </is>
      </c>
      <c r="D34" s="24" t="inlineStr">
        <is>
          <t>401816403</t>
        </is>
      </c>
      <c r="E34" s="24" t="inlineStr">
        <is>
          <t>MLB</t>
        </is>
      </c>
      <c r="F34" s="24" t="inlineStr">
        <is>
          <t>New York Mets</t>
        </is>
      </c>
      <c r="G34" s="24" t="inlineStr">
        <is>
          <t>Cleveland Guardians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-106</v>
      </c>
      <c r="M34" s="27" t="n">
        <v>1.943396</v>
      </c>
      <c r="N34" s="28" t="n">
        <v>0.514563</v>
      </c>
      <c r="O34" s="28" t="n">
        <v>0.521238</v>
      </c>
      <c r="P34" s="28" t="n">
        <v>0.042131</v>
      </c>
      <c r="Q34" s="28" t="n">
        <v>0.006675</v>
      </c>
      <c r="R34" s="26" t="n">
        <v>29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6</v>
      </c>
      <c r="X34" s="26" t="n">
        <v>5</v>
      </c>
      <c r="Y34" s="25" t="n">
        <v>7.5</v>
      </c>
      <c r="Z34" s="26" t="n">
        <v>-106</v>
      </c>
      <c r="AA34" s="28" t="n">
        <v>0.515</v>
      </c>
      <c r="AB34" s="28" t="n">
        <v>0.000437</v>
      </c>
      <c r="AC34" s="30" t="n">
        <v>0.9434</v>
      </c>
      <c r="AD34" s="24" t="inlineStr">
        <is>
          <t>2026-08-06T03:26:07.681388Z</t>
        </is>
      </c>
      <c r="AE34" s="31" t="inlineStr">
        <is>
          <t>Measured Edge Totals: Trend Engine projected 4.46-4.23; raw selected-side p=0.5622, calibrated p=0.5212.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mlb-nym</t>
        </is>
      </c>
      <c r="AQ34" s="24" t="inlineStr">
        <is>
          <t>New York Mets</t>
        </is>
      </c>
      <c r="AR34" s="24" t="inlineStr">
        <is>
          <t>New York Mets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2026-08-05T21:01:36.734850Z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-106</v>
      </c>
      <c r="BL34" s="27" t="n">
        <v>1.943396</v>
      </c>
      <c r="BM34" s="28" t="n">
        <v>0.514563</v>
      </c>
      <c r="BN34" s="28" t="n">
        <v>0.5124379999999999</v>
      </c>
      <c r="BO34" s="28" t="n"/>
      <c r="BP34" s="25" t="n"/>
      <c r="BQ34" s="27" t="n">
        <v>1.943396</v>
      </c>
      <c r="BR34" s="28" t="n">
        <v>0.515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0f0ad6db5d7d46d2</t>
        </is>
      </c>
      <c r="B35" s="24" t="inlineStr">
        <is>
          <t>2026-08-05T21:01:36.734850Z</t>
        </is>
      </c>
      <c r="C35" s="24" t="inlineStr">
        <is>
          <t>2026-08-05T22:40Z</t>
        </is>
      </c>
      <c r="D35" s="24" t="inlineStr">
        <is>
          <t>401816405</t>
        </is>
      </c>
      <c r="E35" s="24" t="inlineStr">
        <is>
          <t>MLB</t>
        </is>
      </c>
      <c r="F35" s="24" t="inlineStr">
        <is>
          <t>Washington Nationals</t>
        </is>
      </c>
      <c r="G35" s="24" t="inlineStr">
        <is>
          <t>Philadelphia Phillies</t>
        </is>
      </c>
      <c r="H35" s="24" t="inlineStr">
        <is>
          <t>spread</t>
        </is>
      </c>
      <c r="I35" s="24" t="inlineStr">
        <is>
          <t>home</t>
        </is>
      </c>
      <c r="J35" s="25" t="n">
        <v>-1.5</v>
      </c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0.401878</v>
      </c>
      <c r="P35" s="28" t="n">
        <v>0.042131</v>
      </c>
      <c r="Q35" s="28" t="n">
        <v>-0.067606</v>
      </c>
      <c r="R35" s="26" t="n">
        <v>0</v>
      </c>
      <c r="S35" s="29" t="n">
        <v>1.25</v>
      </c>
      <c r="T35" s="24" t="inlineStr">
        <is>
          <t>measured-edge-margin-v3</t>
        </is>
      </c>
      <c r="U35" s="24" t="inlineStr">
        <is>
          <t>settled</t>
        </is>
      </c>
      <c r="V35" s="24" t="inlineStr">
        <is>
          <t>loss</t>
        </is>
      </c>
      <c r="W35" s="26" t="n">
        <v>10</v>
      </c>
      <c r="X35" s="26" t="n">
        <v>4</v>
      </c>
      <c r="Y35" s="25" t="n">
        <v>-1.5</v>
      </c>
      <c r="Z35" s="26" t="n">
        <v>113</v>
      </c>
      <c r="AA35" s="28" t="n">
        <v>0.47</v>
      </c>
      <c r="AB35" s="28" t="n">
        <v>0.000516</v>
      </c>
      <c r="AC35" s="30" t="n">
        <v>-1.25</v>
      </c>
      <c r="AD35" s="24" t="inlineStr">
        <is>
          <t>2026-08-06T03:26:09.500168Z</t>
        </is>
      </c>
      <c r="AE35" s="31" t="inlineStr">
        <is>
          <t>Measured Edge Margin: Trend Engine projected 5.21-5.30; raw selected-side p=0.3560, calibrated p=0.4019.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mlb-wsh</t>
        </is>
      </c>
      <c r="AQ35" s="24" t="inlineStr">
        <is>
          <t>Washington Nationals</t>
        </is>
      </c>
      <c r="AR35" s="24" t="inlineStr">
        <is>
          <t>Washington Nationals</t>
        </is>
      </c>
      <c r="AS35" s="24" t="inlineStr">
        <is>
          <t>mlb-phi</t>
        </is>
      </c>
      <c r="AT35" s="24" t="inlineStr">
        <is>
          <t>Philadelphia Phillies</t>
        </is>
      </c>
      <c r="AU35" s="24" t="inlineStr">
        <is>
          <t>Philadelphia Phillies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dd339a2eed50d7d83ab2127837995ddab82e879afd27f5414bb6c1f9cd60ba4c</t>
        </is>
      </c>
      <c r="BB35" s="24" t="inlineStr">
        <is>
          <t>flat_probability_shrinkage_toward_half</t>
        </is>
      </c>
      <c r="BC35" s="24" t="inlineStr">
        <is>
          <t>measured-edge-margin-v3</t>
        </is>
      </c>
      <c r="BD35" s="24" t="inlineStr">
        <is>
          <t>dd339a2eed50d7d83ab2127837995ddab82e879afd27f5414bb6c1f9cd60ba4c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2026-08-05T21:01:36.734850Z</t>
        </is>
      </c>
      <c r="BI35" s="24" t="inlineStr">
        <is>
          <t>["same_event","same_team_same_day","same_league_same_day"]</t>
        </is>
      </c>
      <c r="BJ35" s="25" t="n">
        <v>-1.5</v>
      </c>
      <c r="BK35" s="26" t="n">
        <v>113</v>
      </c>
      <c r="BL35" s="27" t="n">
        <v>2.13</v>
      </c>
      <c r="BM35" s="28" t="n">
        <v>0.469484</v>
      </c>
      <c r="BN35" s="28" t="n">
        <v>0.467662</v>
      </c>
      <c r="BO35" s="28" t="n"/>
      <c r="BP35" s="25" t="n"/>
      <c r="BQ35" s="27" t="n">
        <v>2.13</v>
      </c>
      <c r="BR35" s="28" t="n">
        <v>0.47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064d9c54694446ab</t>
        </is>
      </c>
      <c r="B36" s="24" t="inlineStr">
        <is>
          <t>2026-08-05T21:01:36.734850Z</t>
        </is>
      </c>
      <c r="C36" s="24" t="inlineStr">
        <is>
          <t>2026-08-05T22:40Z</t>
        </is>
      </c>
      <c r="D36" s="24" t="inlineStr">
        <is>
          <t>401816405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Philadelphia Phillies</t>
        </is>
      </c>
      <c r="H36" s="24" t="inlineStr">
        <is>
          <t>total</t>
        </is>
      </c>
      <c r="I36" s="24" t="inlineStr">
        <is>
          <t>over</t>
        </is>
      </c>
      <c r="J36" s="25" t="n">
        <v>9.5</v>
      </c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0.514109</v>
      </c>
      <c r="P36" s="28" t="n">
        <v>0.042131</v>
      </c>
      <c r="Q36" s="28" t="n">
        <v>0.009159</v>
      </c>
      <c r="R36" s="26" t="n">
        <v>31</v>
      </c>
      <c r="S36" s="29" t="n">
        <v>1</v>
      </c>
      <c r="T36" s="24" t="inlineStr">
        <is>
          <t>measured-edge-totals-v3</t>
        </is>
      </c>
      <c r="U36" s="24" t="inlineStr">
        <is>
          <t>settled</t>
        </is>
      </c>
      <c r="V36" s="24" t="inlineStr">
        <is>
          <t>win</t>
        </is>
      </c>
      <c r="W36" s="26" t="n">
        <v>10</v>
      </c>
      <c r="X36" s="26" t="n">
        <v>4</v>
      </c>
      <c r="Y36" s="25" t="n">
        <v>9.5</v>
      </c>
      <c r="Z36" s="26" t="n">
        <v>-102</v>
      </c>
      <c r="AA36" s="28" t="n">
        <v>0.505</v>
      </c>
      <c r="AB36" s="28" t="n">
        <v>5e-05</v>
      </c>
      <c r="AC36" s="30" t="n">
        <v>0.9804</v>
      </c>
      <c r="AD36" s="24" t="inlineStr">
        <is>
          <t>2026-08-06T03:26:11.321346Z</t>
        </is>
      </c>
      <c r="AE36" s="31" t="inlineStr">
        <is>
          <t>Measured Edge Totals: Trend Engine projected 5.21-5.30; raw selected-side p=0.5334, calibrated p=0.5141.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mlb-wsh</t>
        </is>
      </c>
      <c r="AQ36" s="24" t="inlineStr">
        <is>
          <t>Washington Nationals</t>
        </is>
      </c>
      <c r="AR36" s="24" t="inlineStr">
        <is>
          <t>Washington Nationals</t>
        </is>
      </c>
      <c r="AS36" s="24" t="inlineStr">
        <is>
          <t>mlb-phi</t>
        </is>
      </c>
      <c r="AT36" s="24" t="inlineStr">
        <is>
          <t>Philadelphia Phillies</t>
        </is>
      </c>
      <c r="AU36" s="24" t="inlineStr">
        <is>
          <t>Philadelphia Phillies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95b84332c75d2ce54036eb8de6ada9c78d0f80228c50825c0347281a8b9b49c7</t>
        </is>
      </c>
      <c r="BB36" s="24" t="inlineStr">
        <is>
          <t>flat_probability_shrinkage_toward_half</t>
        </is>
      </c>
      <c r="BC36" s="24" t="inlineStr">
        <is>
          <t>measured-edge-totals-v3</t>
        </is>
      </c>
      <c r="BD36" s="24" t="inlineStr">
        <is>
          <t>95b84332c75d2ce54036eb8de6ada9c78d0f80228c50825c0347281a8b9b49c7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2026-08-05T21:01:36.734850Z</t>
        </is>
      </c>
      <c r="BI36" s="24" t="inlineStr">
        <is>
          <t>["same_event","same_team_same_day","same_league_same_day"]</t>
        </is>
      </c>
      <c r="BJ36" s="25" t="n">
        <v>9.5</v>
      </c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>
        <v>1.980392</v>
      </c>
      <c r="BR36" s="28" t="n">
        <v>0.505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424470d1727a45b8</t>
        </is>
      </c>
      <c r="B37" s="24" t="inlineStr">
        <is>
          <t>2026-08-05T21:01:36.734850Z</t>
        </is>
      </c>
      <c r="C37" s="24" t="inlineStr">
        <is>
          <t>2026-08-05T23:05Z</t>
        </is>
      </c>
      <c r="D37" s="24" t="inlineStr">
        <is>
          <t>401816404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0.62732</v>
      </c>
      <c r="P37" s="28" t="n">
        <v>0.042131</v>
      </c>
      <c r="Q37" s="28" t="n">
        <v>0.037156</v>
      </c>
      <c r="R37" s="26" t="n">
        <v>45</v>
      </c>
      <c r="S37" s="29" t="n">
        <v>1.5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1.5</v>
      </c>
      <c r="Z37" s="26" t="n">
        <v>-144</v>
      </c>
      <c r="AA37" s="28" t="n">
        <v>0.59</v>
      </c>
      <c r="AB37" s="28" t="n">
        <v>-0.000164</v>
      </c>
      <c r="AC37" s="30" t="n">
        <v>1.0417</v>
      </c>
      <c r="AD37" s="24" t="inlineStr">
        <is>
          <t>2026-08-06T18:54:03.977241Z</t>
        </is>
      </c>
      <c r="AE37" s="31" t="inlineStr">
        <is>
          <t>Measured Edge Margin: Trend Engine projected 4.74-4.57; raw selected-side p=0.6868, calibrated p=0.6273.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NO_CALL_WINNER_OVERVALUED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2026-08-05T21:01:36.734850Z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-144</v>
      </c>
      <c r="BL37" s="27" t="n">
        <v>1.694444</v>
      </c>
      <c r="BM37" s="28" t="n">
        <v>0.590164</v>
      </c>
      <c r="BN37" s="28" t="n">
        <v>0.5870649999999999</v>
      </c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0348f0e490244675</t>
        </is>
      </c>
      <c r="B38" s="24" t="inlineStr">
        <is>
          <t>2026-08-05T21:01:36.734850Z</t>
        </is>
      </c>
      <c r="C38" s="24" t="inlineStr">
        <is>
          <t>2026-08-05T23:05Z</t>
        </is>
      </c>
      <c r="D38" s="24" t="inlineStr">
        <is>
          <t>401816404</t>
        </is>
      </c>
      <c r="E38" s="24" t="inlineStr">
        <is>
          <t>MLB</t>
        </is>
      </c>
      <c r="F38" s="24" t="inlineStr">
        <is>
          <t>St. Louis Cardinals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0.51745</v>
      </c>
      <c r="P38" s="28" t="n">
        <v>0.042131</v>
      </c>
      <c r="Q38" s="28" t="n">
        <v>0.036681</v>
      </c>
      <c r="R38" s="26" t="n">
        <v>45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1</v>
      </c>
      <c r="Y38" s="25" t="n">
        <v>8.5</v>
      </c>
      <c r="Z38" s="26" t="n">
        <v>108</v>
      </c>
      <c r="AA38" s="28" t="n">
        <v>0.48</v>
      </c>
      <c r="AB38" s="28" t="n">
        <v>-0.000769</v>
      </c>
      <c r="AC38" s="30" t="n">
        <v>-1</v>
      </c>
      <c r="AD38" s="24" t="inlineStr">
        <is>
          <t>2026-08-06T18:54:05.977213Z</t>
        </is>
      </c>
      <c r="AE38" s="31" t="inlineStr">
        <is>
          <t>Measured Edge Totals: Trend Engine projected 4.74-4.57; raw selected-side p=0.5469, calibrated p=0.5174.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NO_CALL_WINNER_OVERVALUED</t>
        </is>
      </c>
      <c r="AP38" s="24" t="inlineStr">
        <is>
          <t>mlb-stl</t>
        </is>
      </c>
      <c r="AQ38" s="24" t="inlineStr">
        <is>
          <t>St. Louis Cardinals</t>
        </is>
      </c>
      <c r="AR38" s="24" t="inlineStr">
        <is>
          <t>St. Louis Cardinals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2026-08-05T21:01:36.734850Z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29b6bf8fe7074efd</t>
        </is>
      </c>
      <c r="B39" s="24" t="inlineStr">
        <is>
          <t>2026-08-05T21:01:36.734850Z</t>
        </is>
      </c>
      <c r="C39" s="24" t="inlineStr">
        <is>
          <t>2026-08-05T23:10Z</t>
        </is>
      </c>
      <c r="D39" s="24" t="inlineStr">
        <is>
          <t>401816401</t>
        </is>
      </c>
      <c r="E39" s="24" t="inlineStr">
        <is>
          <t>MLB</t>
        </is>
      </c>
      <c r="F39" s="24" t="inlineStr">
        <is>
          <t>Chicago White Sox</t>
        </is>
      </c>
      <c r="G39" s="24" t="inlineStr">
        <is>
          <t>Boston Red Sox</t>
        </is>
      </c>
      <c r="H39" s="24" t="inlineStr">
        <is>
          <t>spread</t>
        </is>
      </c>
      <c r="I39" s="24" t="inlineStr">
        <is>
          <t>away</t>
        </is>
      </c>
      <c r="J39" s="25" t="n">
        <v>1.5</v>
      </c>
      <c r="K39" s="24" t="inlineStr">
        <is>
          <t>polymarket_us</t>
        </is>
      </c>
      <c r="L39" s="26" t="n">
        <v>-160</v>
      </c>
      <c r="M39" s="27" t="n">
        <v>1.625</v>
      </c>
      <c r="N39" s="28" t="n">
        <v>0.615385</v>
      </c>
      <c r="O39" s="28" t="n">
        <v>0.636723</v>
      </c>
      <c r="P39" s="28" t="n">
        <v>0.042131</v>
      </c>
      <c r="Q39" s="28" t="n">
        <v>0.021338</v>
      </c>
      <c r="R39" s="26" t="n">
        <v>37</v>
      </c>
      <c r="S39" s="29" t="n">
        <v>1.75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4</v>
      </c>
      <c r="Y39" s="25" t="n">
        <v>1.5</v>
      </c>
      <c r="Z39" s="26" t="n">
        <v>-160</v>
      </c>
      <c r="AA39" s="28" t="n">
        <v>0.615</v>
      </c>
      <c r="AB39" s="28" t="n">
        <v>-0.000385</v>
      </c>
      <c r="AC39" s="30" t="n">
        <v>-1.75</v>
      </c>
      <c r="AD39" s="24" t="inlineStr">
        <is>
          <t>2026-08-06T03:26:13.196553Z</t>
        </is>
      </c>
      <c r="AE39" s="31" t="inlineStr">
        <is>
          <t>Measured Edge Margin: Trend Engine projected 4.13-3.98; raw selected-side p=0.7006, calibrated p=0.6367.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NO_CALL_WINNER_OVERVALUED</t>
        </is>
      </c>
      <c r="AP39" s="24" t="inlineStr">
        <is>
          <t>mlb-cws</t>
        </is>
      </c>
      <c r="AQ39" s="24" t="inlineStr">
        <is>
          <t>Chicago White Sox</t>
        </is>
      </c>
      <c r="AR39" s="24" t="inlineStr">
        <is>
          <t>Chicago White Sox</t>
        </is>
      </c>
      <c r="AS39" s="24" t="inlineStr">
        <is>
          <t>mlb-bos</t>
        </is>
      </c>
      <c r="AT39" s="24" t="inlineStr">
        <is>
          <t>Boston Red Sox</t>
        </is>
      </c>
      <c r="AU39" s="24" t="inlineStr">
        <is>
          <t>Boston Red Sox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2026-08-05T21:01:36.734850Z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-160</v>
      </c>
      <c r="BL39" s="27" t="n">
        <v>1.625</v>
      </c>
      <c r="BM39" s="28" t="n">
        <v>0.615385</v>
      </c>
      <c r="BN39" s="28" t="n">
        <v>0.61194</v>
      </c>
      <c r="BO39" s="28" t="n"/>
      <c r="BP39" s="25" t="n"/>
      <c r="BQ39" s="27" t="n">
        <v>1.625</v>
      </c>
      <c r="BR39" s="28" t="n">
        <v>0.615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a0ca5f9159074208</t>
        </is>
      </c>
      <c r="B40" s="24" t="inlineStr">
        <is>
          <t>2026-08-05T21:01:36.734850Z</t>
        </is>
      </c>
      <c r="C40" s="24" t="inlineStr">
        <is>
          <t>2026-08-05T23:10Z</t>
        </is>
      </c>
      <c r="D40" s="24" t="inlineStr">
        <is>
          <t>401816401</t>
        </is>
      </c>
      <c r="E40" s="24" t="inlineStr">
        <is>
          <t>MLB</t>
        </is>
      </c>
      <c r="F40" s="24" t="inlineStr">
        <is>
          <t>Chicago White Sox</t>
        </is>
      </c>
      <c r="G40" s="24" t="inlineStr">
        <is>
          <t>Boston Red Sox</t>
        </is>
      </c>
      <c r="H40" s="24" t="inlineStr">
        <is>
          <t>total</t>
        </is>
      </c>
      <c r="I40" s="24" t="inlineStr">
        <is>
          <t>under</t>
        </is>
      </c>
      <c r="J40" s="25" t="n">
        <v>8.5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0.521412</v>
      </c>
      <c r="P40" s="28" t="n">
        <v>0.042131</v>
      </c>
      <c r="Q40" s="28" t="n">
        <v>-0.004654</v>
      </c>
      <c r="R40" s="26" t="n">
        <v>24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4</v>
      </c>
      <c r="Y40" s="25" t="n">
        <v>8.5</v>
      </c>
      <c r="Z40" s="26" t="n">
        <v>-111</v>
      </c>
      <c r="AA40" s="28" t="n">
        <v>0.525</v>
      </c>
      <c r="AB40" s="28" t="n">
        <v>-0.001066</v>
      </c>
      <c r="AC40" s="30" t="n">
        <v>0.9009</v>
      </c>
      <c r="AD40" s="24" t="inlineStr">
        <is>
          <t>2026-08-06T03:26:15.021246Z</t>
        </is>
      </c>
      <c r="AE40" s="31" t="inlineStr">
        <is>
          <t>Measured Edge Totals: Trend Engine projected 4.13-3.98; raw selected-side p=0.5628, calibrated p=0.5214.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NO_CALL_WINNER_OVERVALUED</t>
        </is>
      </c>
      <c r="AP40" s="24" t="inlineStr">
        <is>
          <t>mlb-cws</t>
        </is>
      </c>
      <c r="AQ40" s="24" t="inlineStr">
        <is>
          <t>Chicago White Sox</t>
        </is>
      </c>
      <c r="AR40" s="24" t="inlineStr">
        <is>
          <t>Chicago White Sox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2026-08-05T21:01:36.734850Z</t>
        </is>
      </c>
      <c r="BI40" s="24" t="inlineStr">
        <is>
          <t>["same_event","same_team_same_day","same_league_same_day"]</t>
        </is>
      </c>
      <c r="BJ40" s="25" t="n">
        <v>8.5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55d1953eb04b4b40</t>
        </is>
      </c>
      <c r="B41" s="24" t="inlineStr">
        <is>
          <t>2026-08-05T21:01:36.734850Z</t>
        </is>
      </c>
      <c r="C41" s="24" t="inlineStr">
        <is>
          <t>2026-08-05T23:15Z</t>
        </is>
      </c>
      <c r="D41" s="24" t="inlineStr">
        <is>
          <t>401816402</t>
        </is>
      </c>
      <c r="E41" s="24" t="inlineStr">
        <is>
          <t>MLB</t>
        </is>
      </c>
      <c r="F41" s="24" t="inlineStr">
        <is>
          <t>Miami Marlins</t>
        </is>
      </c>
      <c r="G41" s="24" t="inlineStr">
        <is>
          <t>Atlanta Braves</t>
        </is>
      </c>
      <c r="H41" s="24" t="inlineStr">
        <is>
          <t>spread</t>
        </is>
      </c>
      <c r="I41" s="24" t="inlineStr">
        <is>
          <t>away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0.638869</v>
      </c>
      <c r="P41" s="28" t="n">
        <v>0.042131</v>
      </c>
      <c r="Q41" s="28" t="n">
        <v>0.003833</v>
      </c>
      <c r="R41" s="26" t="n">
        <v>28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4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-1.75</v>
      </c>
      <c r="AD41" s="24" t="inlineStr">
        <is>
          <t>2026-08-06T03:26:16.908637Z</t>
        </is>
      </c>
      <c r="AE41" s="31" t="inlineStr">
        <is>
          <t>Measured Edge Margin: Trend Engine projected 4.38-4.11; raw selected-side p=0.7038, calibrated p=0.6389.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NO_CALL_WINNER_OVERVALUED</t>
        </is>
      </c>
      <c r="AP41" s="24" t="inlineStr">
        <is>
          <t>mlb-mia</t>
        </is>
      </c>
      <c r="AQ41" s="24" t="inlineStr">
        <is>
          <t>Miami Marlins</t>
        </is>
      </c>
      <c r="AR41" s="24" t="inlineStr">
        <is>
          <t>Miami Marlins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2026-08-05T21:01:36.734850Z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945a3953e71347bb</t>
        </is>
      </c>
      <c r="B42" s="24" t="inlineStr">
        <is>
          <t>2026-08-05T21:01:36.734850Z</t>
        </is>
      </c>
      <c r="C42" s="24" t="inlineStr">
        <is>
          <t>2026-08-05T23:15Z</t>
        </is>
      </c>
      <c r="D42" s="24" t="inlineStr">
        <is>
          <t>401816402</t>
        </is>
      </c>
      <c r="E42" s="24" t="inlineStr">
        <is>
          <t>MLB</t>
        </is>
      </c>
      <c r="F42" s="24" t="inlineStr">
        <is>
          <t>Miami Marlins</t>
        </is>
      </c>
      <c r="G42" s="24" t="inlineStr">
        <is>
          <t>Atlanta Braves</t>
        </is>
      </c>
      <c r="H42" s="24" t="inlineStr">
        <is>
          <t>total</t>
        </is>
      </c>
      <c r="I42" s="24" t="inlineStr">
        <is>
          <t>under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0.512892</v>
      </c>
      <c r="P42" s="28" t="n">
        <v>0.042131</v>
      </c>
      <c r="Q42" s="28" t="n">
        <v>-0.006339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4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0.9258999999999999</v>
      </c>
      <c r="AD42" s="24" t="inlineStr">
        <is>
          <t>2026-08-06T03:26:18.715781Z</t>
        </is>
      </c>
      <c r="AE42" s="31" t="inlineStr">
        <is>
          <t>Measured Edge Totals: Trend Engine projected 4.38-4.11; raw selected-side p=0.5285, calibrated p=0.5129.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NO_CALL_WINNER_OVERVALUED</t>
        </is>
      </c>
      <c r="AP42" s="24" t="inlineStr">
        <is>
          <t>mlb-mia</t>
        </is>
      </c>
      <c r="AQ42" s="24" t="inlineStr">
        <is>
          <t>Miami Marlins</t>
        </is>
      </c>
      <c r="AR42" s="24" t="inlineStr">
        <is>
          <t>Miami Marlins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2026-08-05T21:01:36.734850Z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8402383065c24989</t>
        </is>
      </c>
      <c r="B43" s="24" t="inlineStr">
        <is>
          <t>2026-08-05T21:01:36.734850Z</t>
        </is>
      </c>
      <c r="C43" s="24" t="inlineStr">
        <is>
          <t>2026-08-05T23:30Z</t>
        </is>
      </c>
      <c r="D43" s="24" t="inlineStr">
        <is>
          <t>401816408</t>
        </is>
      </c>
      <c r="E43" s="24" t="inlineStr">
        <is>
          <t>MLB</t>
        </is>
      </c>
      <c r="F43" s="24" t="inlineStr">
        <is>
          <t>Pittsburgh Pirates</t>
        </is>
      </c>
      <c r="G43" s="24" t="inlineStr">
        <is>
          <t>Milwaukee Brewers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178</v>
      </c>
      <c r="M43" s="27" t="n">
        <v>2.78</v>
      </c>
      <c r="N43" s="28" t="n">
        <v>0.359712</v>
      </c>
      <c r="O43" s="28" t="n">
        <v>0.409646</v>
      </c>
      <c r="P43" s="28" t="n">
        <v>0.042131</v>
      </c>
      <c r="Q43" s="28" t="n">
        <v>0.049934</v>
      </c>
      <c r="R43" s="26" t="n">
        <v>50</v>
      </c>
      <c r="S43" s="29" t="n">
        <v>1.25</v>
      </c>
      <c r="T43" s="24" t="inlineStr">
        <is>
          <t>measured-edge-margin-v3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>
        <v>-1.5</v>
      </c>
      <c r="Z43" s="26" t="n">
        <v>178</v>
      </c>
      <c r="AA43" s="28" t="n">
        <v>0.36</v>
      </c>
      <c r="AB43" s="28" t="n">
        <v>0.000288</v>
      </c>
      <c r="AC43" s="30" t="n">
        <v>2.225</v>
      </c>
      <c r="AD43" s="24" t="inlineStr">
        <is>
          <t>2026-08-06T03:26:20.524928Z</t>
        </is>
      </c>
      <c r="AE43" s="31" t="inlineStr">
        <is>
          <t>Measured Edge Margin: Trend Engine projected 4.27-4.68; raw selected-side p=0.3674, calibrated p=0.4096.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not_applicable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NO_CALL_WINNER_OVERVALUED</t>
        </is>
      </c>
      <c r="AP43" s="24" t="inlineStr">
        <is>
          <t>mlb-pit</t>
        </is>
      </c>
      <c r="AQ43" s="24" t="inlineStr">
        <is>
          <t>Pittsburgh Pirates</t>
        </is>
      </c>
      <c r="AR43" s="24" t="inlineStr">
        <is>
          <t>Pittsburgh Pirates</t>
        </is>
      </c>
      <c r="AS43" s="24" t="inlineStr">
        <is>
          <t>mlb-mil</t>
        </is>
      </c>
      <c r="AT43" s="24" t="inlineStr">
        <is>
          <t>Milwaukee Brewers</t>
        </is>
      </c>
      <c r="AU43" s="24" t="inlineStr">
        <is>
          <t>Milwaukee Brewers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dd339a2eed50d7d83ab2127837995ddab82e879afd27f5414bb6c1f9cd60ba4c</t>
        </is>
      </c>
      <c r="BB43" s="24" t="inlineStr">
        <is>
          <t>flat_probability_shrinkage_toward_half</t>
        </is>
      </c>
      <c r="BC43" s="24" t="inlineStr">
        <is>
          <t>measured-edge-margin-v3</t>
        </is>
      </c>
      <c r="BD43" s="24" t="inlineStr">
        <is>
          <t>dd339a2eed50d7d83ab2127837995ddab82e879afd27f5414bb6c1f9cd60ba4c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2026-08-05T21:01:36.734850Z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178</v>
      </c>
      <c r="BL43" s="27" t="n">
        <v>2.78</v>
      </c>
      <c r="BM43" s="28" t="n">
        <v>0.359712</v>
      </c>
      <c r="BN43" s="28" t="n">
        <v>0.358209</v>
      </c>
      <c r="BO43" s="28" t="n"/>
      <c r="BP43" s="25" t="n"/>
      <c r="BQ43" s="27" t="n">
        <v>2.78</v>
      </c>
      <c r="BR43" s="28" t="n">
        <v>0.36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9ffad4fd12164465</t>
        </is>
      </c>
      <c r="B44" s="24" t="inlineStr">
        <is>
          <t>2026-08-05T21:01:36.734850Z</t>
        </is>
      </c>
      <c r="C44" s="24" t="inlineStr">
        <is>
          <t>2026-08-05T23:30Z</t>
        </is>
      </c>
      <c r="D44" s="24" t="inlineStr">
        <is>
          <t>401816408</t>
        </is>
      </c>
      <c r="E44" s="24" t="inlineStr">
        <is>
          <t>MLB</t>
        </is>
      </c>
      <c r="F44" s="24" t="inlineStr">
        <is>
          <t>Pittsburgh Pirates</t>
        </is>
      </c>
      <c r="G44" s="24" t="inlineStr">
        <is>
          <t>Milwaukee Brewers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127</v>
      </c>
      <c r="M44" s="27" t="n">
        <v>2.27</v>
      </c>
      <c r="N44" s="28" t="n">
        <v>0.440529</v>
      </c>
      <c r="O44" s="28" t="n">
        <v>0.527212</v>
      </c>
      <c r="P44" s="28" t="n">
        <v>0.042131</v>
      </c>
      <c r="Q44" s="28" t="n">
        <v>0.086683</v>
      </c>
      <c r="R44" s="26" t="n">
        <v>69</v>
      </c>
      <c r="S44" s="29" t="n">
        <v>1</v>
      </c>
      <c r="T44" s="24" t="inlineStr">
        <is>
          <t>measured-edge-totals-v3</t>
        </is>
      </c>
      <c r="U44" s="24" t="inlineStr">
        <is>
          <t>settled</t>
        </is>
      </c>
      <c r="V44" s="24" t="inlineStr">
        <is>
          <t>loss</t>
        </is>
      </c>
      <c r="W44" s="26" t="n">
        <v>2</v>
      </c>
      <c r="X44" s="26" t="n">
        <v>4</v>
      </c>
      <c r="Y44" s="25" t="n">
        <v>7.5</v>
      </c>
      <c r="Z44" s="26" t="n">
        <v>127</v>
      </c>
      <c r="AA44" s="28" t="n">
        <v>0.44</v>
      </c>
      <c r="AB44" s="28" t="n">
        <v>-0.000529</v>
      </c>
      <c r="AC44" s="30" t="n">
        <v>-1</v>
      </c>
      <c r="AD44" s="24" t="inlineStr">
        <is>
          <t>2026-08-06T03:26:22.402221Z</t>
        </is>
      </c>
      <c r="AE44" s="31" t="inlineStr">
        <is>
          <t>Measured Edge Totals: Trend Engine projected 4.27-4.68; raw selected-side p=0.5862, calibrated p=0.5272.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mlb-pit</t>
        </is>
      </c>
      <c r="AQ44" s="24" t="inlineStr">
        <is>
          <t>Pittsburgh Pirates</t>
        </is>
      </c>
      <c r="AR44" s="24" t="inlineStr">
        <is>
          <t>Pittsburgh Pirates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95b84332c75d2ce54036eb8de6ada9c78d0f80228c50825c0347281a8b9b49c7</t>
        </is>
      </c>
      <c r="BB44" s="24" t="inlineStr">
        <is>
          <t>flat_probability_shrinkage_toward_half</t>
        </is>
      </c>
      <c r="BC44" s="24" t="inlineStr">
        <is>
          <t>measured-edge-totals-v3</t>
        </is>
      </c>
      <c r="BD44" s="24" t="inlineStr">
        <is>
          <t>95b84332c75d2ce54036eb8de6ada9c78d0f80228c50825c0347281a8b9b49c7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2026-08-05T21:01:36.734850Z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127</v>
      </c>
      <c r="BL44" s="27" t="n">
        <v>2.27</v>
      </c>
      <c r="BM44" s="28" t="n">
        <v>0.440529</v>
      </c>
      <c r="BN44" s="28" t="n">
        <v>0.437811</v>
      </c>
      <c r="BO44" s="28" t="n"/>
      <c r="BP44" s="25" t="n"/>
      <c r="BQ44" s="27" t="n">
        <v>2.27</v>
      </c>
      <c r="BR44" s="28" t="n">
        <v>0.44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97b644fb9e814297</t>
        </is>
      </c>
      <c r="B45" s="24" t="inlineStr">
        <is>
          <t>2026-08-05T21:01:36.734850Z</t>
        </is>
      </c>
      <c r="C45" s="24" t="inlineStr">
        <is>
          <t>2026-08-05T23:40Z</t>
        </is>
      </c>
      <c r="D45" s="24" t="inlineStr">
        <is>
          <t>401816407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Kansas City Royals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-182</v>
      </c>
      <c r="M45" s="27" t="n">
        <v>1.549451</v>
      </c>
      <c r="N45" s="28" t="n">
        <v>0.64539</v>
      </c>
      <c r="O45" s="28" t="n">
        <v>0.650112</v>
      </c>
      <c r="P45" s="28" t="n">
        <v>0.05172</v>
      </c>
      <c r="Q45" s="28" t="n">
        <v>0.004722</v>
      </c>
      <c r="R45" s="26" t="n">
        <v>23</v>
      </c>
      <c r="S45" s="29" t="n">
        <v>1.75</v>
      </c>
      <c r="T45" s="24" t="inlineStr">
        <is>
          <t>measured-edge-margin-v3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2</v>
      </c>
      <c r="Y45" s="25" t="n">
        <v>1.5</v>
      </c>
      <c r="Z45" s="26" t="n">
        <v>-182</v>
      </c>
      <c r="AA45" s="28" t="n">
        <v>0.645</v>
      </c>
      <c r="AB45" s="28" t="n">
        <v>-0.00039</v>
      </c>
      <c r="AC45" s="30" t="n">
        <v>0.9615</v>
      </c>
      <c r="AD45" s="24" t="inlineStr">
        <is>
          <t>2026-08-06T03:26:24.215979Z</t>
        </is>
      </c>
      <c r="AE45" s="31" t="inlineStr">
        <is>
          <t>Measured Edge Margin: Trend Engine projected 4.58-5.18; raw selected-side p=0.7203, calibrated p=0.6501.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NO_CALL_WINNER_OVERVALUED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mlb-kc</t>
        </is>
      </c>
      <c r="AT45" s="24" t="inlineStr">
        <is>
          <t>Kansas City Royals</t>
        </is>
      </c>
      <c r="AU45" s="24" t="inlineStr">
        <is>
          <t>Kansas City Royals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dd339a2eed50d7d83ab2127837995ddab82e879afd27f5414bb6c1f9cd60ba4c</t>
        </is>
      </c>
      <c r="BB45" s="24" t="inlineStr">
        <is>
          <t>flat_probability_shrinkage_toward_half</t>
        </is>
      </c>
      <c r="BC45" s="24" t="inlineStr">
        <is>
          <t>measured-edge-margin-v3</t>
        </is>
      </c>
      <c r="BD45" s="24" t="inlineStr">
        <is>
          <t>dd339a2eed50d7d83ab2127837995ddab82e879afd27f5414bb6c1f9cd60ba4c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2026-08-05T21:01:36.734850Z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-182</v>
      </c>
      <c r="BL45" s="27" t="n">
        <v>1.549451</v>
      </c>
      <c r="BM45" s="28" t="n">
        <v>0.64539</v>
      </c>
      <c r="BN45" s="28" t="n">
        <v>0.641791</v>
      </c>
      <c r="BO45" s="28" t="n"/>
      <c r="BP45" s="25" t="n"/>
      <c r="BQ45" s="27" t="n">
        <v>1.549451</v>
      </c>
      <c r="BR45" s="28" t="n">
        <v>0.645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c06846d9f7b54aa3</t>
        </is>
      </c>
      <c r="B46" s="24" t="inlineStr">
        <is>
          <t>2026-08-05T21:01:36.734850Z</t>
        </is>
      </c>
      <c r="C46" s="24" t="inlineStr">
        <is>
          <t>2026-08-05T23:40Z</t>
        </is>
      </c>
      <c r="D46" s="24" t="inlineStr">
        <is>
          <t>401816407</t>
        </is>
      </c>
      <c r="E46" s="24" t="inlineStr">
        <is>
          <t>MLB</t>
        </is>
      </c>
      <c r="F46" s="24" t="inlineStr">
        <is>
          <t>Minnesota Twins</t>
        </is>
      </c>
      <c r="G46" s="24" t="inlineStr">
        <is>
          <t>Kansas City Royals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-113</v>
      </c>
      <c r="M46" s="27" t="n">
        <v>1.884956</v>
      </c>
      <c r="N46" s="28" t="n">
        <v>0.530516</v>
      </c>
      <c r="O46" s="28" t="n">
        <v>0.524132</v>
      </c>
      <c r="P46" s="28" t="n">
        <v>0.05172</v>
      </c>
      <c r="Q46" s="28" t="n">
        <v>-0.006384</v>
      </c>
      <c r="R46" s="26" t="n">
        <v>17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2</v>
      </c>
      <c r="Y46" s="25" t="n">
        <v>8.5</v>
      </c>
      <c r="Z46" s="26" t="n">
        <v>-113</v>
      </c>
      <c r="AA46" s="28" t="n">
        <v>0.53</v>
      </c>
      <c r="AB46" s="28" t="n">
        <v>-0.000516</v>
      </c>
      <c r="AC46" s="30" t="n">
        <v>-1</v>
      </c>
      <c r="AD46" s="24" t="inlineStr">
        <is>
          <t>2026-08-06T03:26:26.107549Z</t>
        </is>
      </c>
      <c r="AE46" s="31" t="inlineStr">
        <is>
          <t>Measured Edge Totals: Trend Engine projected 4.58-5.18; raw selected-side p=0.5738, calibrated p=0.5241.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NO_CALL_WINNER_OVERVALUED</t>
        </is>
      </c>
      <c r="AP46" s="24" t="inlineStr">
        <is>
          <t>mlb-min</t>
        </is>
      </c>
      <c r="AQ46" s="24" t="inlineStr">
        <is>
          <t>Minnesota Twins</t>
        </is>
      </c>
      <c r="AR46" s="24" t="inlineStr">
        <is>
          <t>Minnesota Twins</t>
        </is>
      </c>
      <c r="AS46" s="24" t="inlineStr">
        <is>
          <t>mlb-kc</t>
        </is>
      </c>
      <c r="AT46" s="24" t="inlineStr">
        <is>
          <t>Kansas City Royals</t>
        </is>
      </c>
      <c r="AU46" s="24" t="inlineStr">
        <is>
          <t>Kansas City Royals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-113</v>
      </c>
      <c r="BL46" s="27" t="n">
        <v>1.884956</v>
      </c>
      <c r="BM46" s="28" t="n">
        <v>0.530516</v>
      </c>
      <c r="BN46" s="28" t="n">
        <v>0.527363</v>
      </c>
      <c r="BO46" s="28" t="n"/>
      <c r="BP46" s="25" t="n"/>
      <c r="BQ46" s="27" t="n">
        <v>1.884956</v>
      </c>
      <c r="BR46" s="28" t="n">
        <v>0.53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28c7a36bf81d40a3</t>
        </is>
      </c>
      <c r="B47" s="24" t="inlineStr">
        <is>
          <t>2026-08-06T00:23:10.436172Z</t>
        </is>
      </c>
      <c r="C47" s="24" t="inlineStr">
        <is>
          <t>2026-08-05T21:40:00-0400</t>
        </is>
      </c>
      <c r="D47" s="24" t="inlineStr">
        <is>
          <t>401816412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Seattle Mariners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0.549586</v>
      </c>
      <c r="P47" s="28" t="n"/>
      <c r="Q47" s="28" t="n">
        <v>-0.035476</v>
      </c>
      <c r="R47" s="26" t="n">
        <v>4</v>
      </c>
      <c r="S47" s="29" t="n">
        <v>1</v>
      </c>
      <c r="T47" s="24" t="inlineStr">
        <is>
          <t>mlb-elo-trend-lr-v8</t>
        </is>
      </c>
      <c r="U47" s="24" t="inlineStr">
        <is>
          <t>settled</t>
        </is>
      </c>
      <c r="V47" s="24" t="inlineStr">
        <is>
          <t>win</t>
        </is>
      </c>
      <c r="W47" s="26" t="n">
        <v>2</v>
      </c>
      <c r="X47" s="26" t="n">
        <v>4</v>
      </c>
      <c r="Y47" s="25" t="n"/>
      <c r="Z47" s="26" t="n">
        <v>-141</v>
      </c>
      <c r="AA47" s="28" t="n">
        <v>0.585</v>
      </c>
      <c r="AB47" s="28" t="n">
        <v>-6.2e-05</v>
      </c>
      <c r="AC47" s="30" t="n">
        <v>0.7092000000000001</v>
      </c>
      <c r="AD47" s="24" t="inlineStr">
        <is>
          <t>2026-08-06T18:54:07.775786Z</t>
        </is>
      </c>
      <c r="AE47" s="31" t="inlineStr">
        <is>
          <t>Learned LR call at threshold 0.5873; executable ask 0.5850 (aec-mlb-det-sea-2026-08-05); model edge vs ask -0.0354.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NO_CALL_WINNER_OVERVALUED</t>
        </is>
      </c>
      <c r="AP47" s="24" t="inlineStr">
        <is>
          <t>mlb-det</t>
        </is>
      </c>
      <c r="AQ47" s="24" t="inlineStr">
        <is>
          <t>Detroit Tigers</t>
        </is>
      </c>
      <c r="AR47" s="24" t="inlineStr">
        <is>
          <t>Detroit Tigers</t>
        </is>
      </c>
      <c r="AS47" s="24" t="inlineStr">
        <is>
          <t>mlb-sea</t>
        </is>
      </c>
      <c r="AT47" s="24" t="inlineStr">
        <is>
          <t>Seattle Mariners</t>
        </is>
      </c>
      <c r="AU47" s="24" t="inlineStr">
        <is>
          <t>Seattle Mariners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6a5c79541b0e50cb9f7318270e63d5ccc65cbd7bc53a019748ff772d49de5075</t>
        </is>
      </c>
      <c r="BB47" s="24" t="inlineStr">
        <is>
          <t>learned_lr</t>
        </is>
      </c>
      <c r="BC47" s="24" t="inlineStr">
        <is>
          <t>mlb-elo-trend-lr-v8</t>
        </is>
      </c>
      <c r="BD47" s="24" t="inlineStr">
        <is>
          <t>6a5c79541b0e50cb9f7318270e63d5ccc65cbd7bc53a019748ff772d49de5075</t>
        </is>
      </c>
      <c r="BE47" s="24" t="inlineStr">
        <is>
          <t>18de224cacd80118</t>
        </is>
      </c>
      <c r="BF47" s="24" t="inlineStr">
        <is>
          <t>1</t>
        </is>
      </c>
      <c r="BG47" s="24" t="inlineStr">
        <is>
          <t>mlb-elo-trend-lr-v8</t>
        </is>
      </c>
      <c r="BH47" s="24" t="inlineStr">
        <is>
          <t>2026-08-06T00:22:57.008358Z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>
        <v>1.70922</v>
      </c>
      <c r="BR47" s="28" t="n">
        <v>0.585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0.5055935053</t>
        </is>
      </c>
      <c r="CD47" s="24" t="inlineStr">
        <is>
          <t>-3.145579</t>
        </is>
      </c>
      <c r="CE47" s="24" t="inlineStr">
        <is>
          <t>0.938</t>
        </is>
      </c>
      <c r="CF47" s="24" t="inlineStr">
        <is>
          <t>1.0</t>
        </is>
      </c>
      <c r="CG47" s="24" t="n"/>
      <c r="CH47" s="24" t="n"/>
      <c r="CI47" s="24" t="n"/>
      <c r="CJ47" s="24" t="inlineStr">
        <is>
          <t>-2.083614</t>
        </is>
      </c>
      <c r="CK47" s="24" t="n"/>
      <c r="CL47" s="24" t="inlineStr">
        <is>
          <t>0.392359</t>
        </is>
      </c>
      <c r="CM47" s="24" t="inlineStr">
        <is>
          <t>2.5845</t>
        </is>
      </c>
      <c r="CN47" s="24" t="n"/>
      <c r="CO47" s="24" t="n"/>
      <c r="CP47" s="24" t="n"/>
      <c r="CQ47" s="24" t="n"/>
      <c r="CR47" s="24" t="inlineStr">
        <is>
          <t>0.549586</t>
        </is>
      </c>
      <c r="CS47" s="24" t="inlineStr">
        <is>
          <t>False</t>
        </is>
      </c>
    </row>
    <row r="48" ht="36" customHeight="1">
      <c r="A48" s="24" t="inlineStr">
        <is>
          <t>31b907b6ba3a46d1</t>
        </is>
      </c>
      <c r="B48" s="24" t="inlineStr">
        <is>
          <t>2026-08-06T00:23:10.436172Z</t>
        </is>
      </c>
      <c r="C48" s="24" t="inlineStr">
        <is>
          <t>2026-08-05T21:40:00-0400</t>
        </is>
      </c>
      <c r="D48" s="24" t="inlineStr">
        <is>
          <t>401816413</t>
        </is>
      </c>
      <c r="E48" s="24" t="inlineStr">
        <is>
          <t>MLB</t>
        </is>
      </c>
      <c r="F48" s="24" t="inlineStr">
        <is>
          <t>San Diego Padres</t>
        </is>
      </c>
      <c r="G48" s="24" t="inlineStr">
        <is>
          <t>Arizona Diamondbacks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-130</v>
      </c>
      <c r="M48" s="27" t="n">
        <v>1.769231</v>
      </c>
      <c r="N48" s="28" t="n">
        <v>0.565217</v>
      </c>
      <c r="O48" s="28" t="n">
        <v>0.51228</v>
      </c>
      <c r="P48" s="28" t="n"/>
      <c r="Q48" s="28" t="n">
        <v>-0.052937</v>
      </c>
      <c r="R48" s="26" t="n">
        <v>0</v>
      </c>
      <c r="S48" s="29" t="n">
        <v>1</v>
      </c>
      <c r="T48" s="24" t="inlineStr">
        <is>
          <t>mlb-elo-trend-lr-v8</t>
        </is>
      </c>
      <c r="U48" s="24" t="inlineStr">
        <is>
          <t>settled</t>
        </is>
      </c>
      <c r="V48" s="24" t="inlineStr">
        <is>
          <t>loss</t>
        </is>
      </c>
      <c r="W48" s="26" t="n">
        <v>4</v>
      </c>
      <c r="X48" s="26" t="n">
        <v>10</v>
      </c>
      <c r="Y48" s="25" t="n"/>
      <c r="Z48" s="26" t="n">
        <v>-130</v>
      </c>
      <c r="AA48" s="28" t="n">
        <v>0.5649999999999999</v>
      </c>
      <c r="AB48" s="28" t="n">
        <v>-0.000217</v>
      </c>
      <c r="AC48" s="30" t="n">
        <v>-1</v>
      </c>
      <c r="AD48" s="24" t="inlineStr">
        <is>
          <t>2026-08-06T18:54:09.677702Z</t>
        </is>
      </c>
      <c r="AE48" s="31" t="inlineStr">
        <is>
          <t>Learned LR call at threshold 0.5873; executable ask 0.5650 (aec-mlb-sd-az-2026-08-05); model edge vs ask -0.0527.</t>
        </is>
      </c>
      <c r="AF48" s="31" t="inlineStr">
        <is>
          <t>Learned model; shadow-qualified via operator override.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NO_CALL_WINNER_OVERVALUED</t>
        </is>
      </c>
      <c r="AP48" s="24" t="inlineStr">
        <is>
          <t>mlb-sd</t>
        </is>
      </c>
      <c r="AQ48" s="24" t="inlineStr">
        <is>
          <t>San Diego Padres</t>
        </is>
      </c>
      <c r="AR48" s="24" t="inlineStr">
        <is>
          <t>San Diego Padres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6a5c79541b0e50cb9f7318270e63d5ccc65cbd7bc53a019748ff772d49de5075</t>
        </is>
      </c>
      <c r="BB48" s="24" t="inlineStr">
        <is>
          <t>learned_lr</t>
        </is>
      </c>
      <c r="BC48" s="24" t="inlineStr">
        <is>
          <t>mlb-elo-trend-lr-v8</t>
        </is>
      </c>
      <c r="BD48" s="24" t="inlineStr">
        <is>
          <t>6a5c79541b0e50cb9f7318270e63d5ccc65cbd7bc53a019748ff772d49de5075</t>
        </is>
      </c>
      <c r="BE48" s="24" t="inlineStr">
        <is>
          <t>0baa18332e487c9b</t>
        </is>
      </c>
      <c r="BF48" s="24" t="inlineStr">
        <is>
          <t>1</t>
        </is>
      </c>
      <c r="BG48" s="24" t="inlineStr">
        <is>
          <t>mlb-elo-trend-lr-v8</t>
        </is>
      </c>
      <c r="BH48" s="24" t="inlineStr">
        <is>
          <t>2026-08-06T00:22:57.322907Z</t>
        </is>
      </c>
      <c r="BI48" s="24" t="inlineStr">
        <is>
          <t>["same_event","same_team_same_day","same_league_same_day"]</t>
        </is>
      </c>
      <c r="BJ48" s="25" t="n"/>
      <c r="BK48" s="26" t="n">
        <v>-130</v>
      </c>
      <c r="BL48" s="27" t="n">
        <v>1.769231</v>
      </c>
      <c r="BM48" s="28" t="n">
        <v>0.565217</v>
      </c>
      <c r="BN48" s="28" t="n">
        <v>0.562189</v>
      </c>
      <c r="BO48" s="28" t="n"/>
      <c r="BP48" s="25" t="n"/>
      <c r="BQ48" s="27" t="n">
        <v>1.769231</v>
      </c>
      <c r="BR48" s="28" t="n">
        <v>0.5649999999999999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0.5327218645</t>
        </is>
      </c>
      <c r="CD48" s="24" t="inlineStr">
        <is>
          <t>0.544245</t>
        </is>
      </c>
      <c r="CE48" s="24" t="inlineStr">
        <is>
          <t>1.097</t>
        </is>
      </c>
      <c r="CF48" s="24" t="inlineStr">
        <is>
          <t>1.0</t>
        </is>
      </c>
      <c r="CG48" s="24" t="n"/>
      <c r="CH48" s="24" t="n"/>
      <c r="CI48" s="24" t="n"/>
      <c r="CJ48" s="24" t="inlineStr">
        <is>
          <t>-0.130548</t>
        </is>
      </c>
      <c r="CK48" s="24" t="n"/>
      <c r="CL48" s="24" t="inlineStr">
        <is>
          <t>-0.205643</t>
        </is>
      </c>
      <c r="CM48" s="24" t="inlineStr">
        <is>
          <t>2.8235</t>
        </is>
      </c>
      <c r="CN48" s="24" t="n"/>
      <c r="CO48" s="24" t="n"/>
      <c r="CP48" s="24" t="n"/>
      <c r="CQ48" s="24" t="n"/>
      <c r="CR48" s="24" t="inlineStr">
        <is>
          <t>0.51228</t>
        </is>
      </c>
      <c r="CS48" s="24" t="inlineStr">
        <is>
          <t>False</t>
        </is>
      </c>
    </row>
    <row r="49" ht="36" customHeight="1">
      <c r="A49" s="24" t="inlineStr">
        <is>
          <t>b37a3dbe04264c93</t>
        </is>
      </c>
      <c r="B49" s="24" t="inlineStr">
        <is>
          <t>2026-08-06T00:23:19.173489Z</t>
        </is>
      </c>
      <c r="C49" s="24" t="inlineStr">
        <is>
          <t>2026-08-06T01:40Z</t>
        </is>
      </c>
      <c r="D49" s="24" t="inlineStr">
        <is>
          <t>401816412</t>
        </is>
      </c>
      <c r="E49" s="24" t="inlineStr">
        <is>
          <t>MLB</t>
        </is>
      </c>
      <c r="F49" s="24" t="inlineStr">
        <is>
          <t>Detroit Tigers</t>
        </is>
      </c>
      <c r="G49" s="24" t="inlineStr">
        <is>
          <t>Seattle Mariners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-153</v>
      </c>
      <c r="M49" s="27" t="n">
        <v>1.653595</v>
      </c>
      <c r="N49" s="28" t="n">
        <v>0.604743</v>
      </c>
      <c r="O49" s="28" t="n">
        <v>0.630999</v>
      </c>
      <c r="P49" s="28" t="n">
        <v>0.042131</v>
      </c>
      <c r="Q49" s="28" t="n">
        <v>0.026256</v>
      </c>
      <c r="R49" s="26" t="n">
        <v>39</v>
      </c>
      <c r="S49" s="29" t="n">
        <v>1.5</v>
      </c>
      <c r="T49" s="24" t="inlineStr">
        <is>
          <t>measured-edge-margin-v3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>
        <v>1.5</v>
      </c>
      <c r="Z49" s="26" t="n">
        <v>-153</v>
      </c>
      <c r="AA49" s="28" t="n">
        <v>0.605</v>
      </c>
      <c r="AB49" s="28" t="n">
        <v>0.000257</v>
      </c>
      <c r="AC49" s="30" t="n">
        <v>-1.5</v>
      </c>
      <c r="AD49" s="24" t="inlineStr">
        <is>
          <t>2026-08-06T18:54:11.468896Z</t>
        </is>
      </c>
      <c r="AE49" s="31" t="inlineStr">
        <is>
          <t>Measured Edge Margin: Trend Engine projected 4.87-4.56; raw selected-side p=0.6923, calibrated p=0.6310.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NO_CALL_WINNER_OVERVALUED</t>
        </is>
      </c>
      <c r="AP49" s="24" t="inlineStr">
        <is>
          <t>mlb-det</t>
        </is>
      </c>
      <c r="AQ49" s="24" t="inlineStr">
        <is>
          <t>Detroit Tigers</t>
        </is>
      </c>
      <c r="AR49" s="24" t="inlineStr">
        <is>
          <t>Detroit Tigers</t>
        </is>
      </c>
      <c r="AS49" s="24" t="inlineStr">
        <is>
          <t>mlb-sea</t>
        </is>
      </c>
      <c r="AT49" s="24" t="inlineStr">
        <is>
          <t>Seattle Mariners</t>
        </is>
      </c>
      <c r="AU49" s="24" t="inlineStr">
        <is>
          <t>Seattle Mariners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dd339a2eed50d7d83ab2127837995ddab82e879afd27f5414bb6c1f9cd60ba4c</t>
        </is>
      </c>
      <c r="BB49" s="24" t="inlineStr">
        <is>
          <t>flat_probability_shrinkage_toward_half</t>
        </is>
      </c>
      <c r="BC49" s="24" t="inlineStr">
        <is>
          <t>measured-edge-margin-v3</t>
        </is>
      </c>
      <c r="BD49" s="24" t="inlineStr">
        <is>
          <t>dd339a2eed50d7d83ab2127837995ddab82e879afd27f5414bb6c1f9cd60ba4c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2026-08-06T00:23:19.173489Z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-153</v>
      </c>
      <c r="BL49" s="27" t="n">
        <v>1.653595</v>
      </c>
      <c r="BM49" s="28" t="n">
        <v>0.604743</v>
      </c>
      <c r="BN49" s="28" t="n">
        <v>0.60199</v>
      </c>
      <c r="BO49" s="28" t="n"/>
      <c r="BP49" s="25" t="n"/>
      <c r="BQ49" s="27" t="n">
        <v>1.653595</v>
      </c>
      <c r="BR49" s="28" t="n">
        <v>0.605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f2134a98f7544f46</t>
        </is>
      </c>
      <c r="B50" s="24" t="inlineStr">
        <is>
          <t>2026-08-06T00:23:19.173489Z</t>
        </is>
      </c>
      <c r="C50" s="24" t="inlineStr">
        <is>
          <t>2026-08-06T01:40Z</t>
        </is>
      </c>
      <c r="D50" s="24" t="inlineStr">
        <is>
          <t>401816412</t>
        </is>
      </c>
      <c r="E50" s="24" t="inlineStr">
        <is>
          <t>MLB</t>
        </is>
      </c>
      <c r="F50" s="24" t="inlineStr">
        <is>
          <t>Detroit Tigers</t>
        </is>
      </c>
      <c r="G50" s="24" t="inlineStr">
        <is>
          <t>Seattle Mariners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-108</v>
      </c>
      <c r="M50" s="27" t="n">
        <v>1.925926</v>
      </c>
      <c r="N50" s="28" t="n">
        <v>0.519231</v>
      </c>
      <c r="O50" s="28" t="n">
        <v>0.536862</v>
      </c>
      <c r="P50" s="28" t="n">
        <v>0.042131</v>
      </c>
      <c r="Q50" s="28" t="n">
        <v>0.017631</v>
      </c>
      <c r="R50" s="26" t="n">
        <v>34</v>
      </c>
      <c r="S50" s="29" t="n">
        <v>1</v>
      </c>
      <c r="T50" s="24" t="inlineStr">
        <is>
          <t>measured-edge-totals-v3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4</v>
      </c>
      <c r="Y50" s="25" t="n">
        <v>7.5</v>
      </c>
      <c r="Z50" s="26" t="n">
        <v>-108</v>
      </c>
      <c r="AA50" s="28" t="n">
        <v>0.52</v>
      </c>
      <c r="AB50" s="28" t="n">
        <v>0.000769</v>
      </c>
      <c r="AC50" s="30" t="n">
        <v>-1</v>
      </c>
      <c r="AD50" s="24" t="inlineStr">
        <is>
          <t>2026-08-06T18:54:13.257089Z</t>
        </is>
      </c>
      <c r="AE50" s="31" t="inlineStr">
        <is>
          <t>Measured Edge Totals: Trend Engine projected 4.87-4.56; raw selected-side p=0.6250, calibrated p=0.5369.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NO_CALL_WINNER_OVERVALUED</t>
        </is>
      </c>
      <c r="AP50" s="24" t="inlineStr">
        <is>
          <t>mlb-det</t>
        </is>
      </c>
      <c r="AQ50" s="24" t="inlineStr">
        <is>
          <t>Detroit Tigers</t>
        </is>
      </c>
      <c r="AR50" s="24" t="inlineStr">
        <is>
          <t>Detroit Tigers</t>
        </is>
      </c>
      <c r="AS50" s="24" t="inlineStr">
        <is>
          <t>mlb-sea</t>
        </is>
      </c>
      <c r="AT50" s="24" t="inlineStr">
        <is>
          <t>Seattle Mariners</t>
        </is>
      </c>
      <c r="AU50" s="24" t="inlineStr">
        <is>
          <t>Seattle Mariners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95b84332c75d2ce54036eb8de6ada9c78d0f80228c50825c0347281a8b9b49c7</t>
        </is>
      </c>
      <c r="BB50" s="24" t="inlineStr">
        <is>
          <t>flat_probability_shrinkage_toward_half</t>
        </is>
      </c>
      <c r="BC50" s="24" t="inlineStr">
        <is>
          <t>measured-edge-totals-v3</t>
        </is>
      </c>
      <c r="BD50" s="24" t="inlineStr">
        <is>
          <t>95b84332c75d2ce54036eb8de6ada9c78d0f80228c50825c0347281a8b9b49c7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2026-08-06T00:23:19.173489Z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-108</v>
      </c>
      <c r="BL50" s="27" t="n">
        <v>1.925926</v>
      </c>
      <c r="BM50" s="28" t="n">
        <v>0.519231</v>
      </c>
      <c r="BN50" s="28" t="n">
        <v>0.517413</v>
      </c>
      <c r="BO50" s="28" t="n"/>
      <c r="BP50" s="25" t="n"/>
      <c r="BQ50" s="27" t="n">
        <v>1.925926</v>
      </c>
      <c r="BR50" s="28" t="n">
        <v>0.52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70715d5c0d904f4a</t>
        </is>
      </c>
      <c r="B51" s="24" t="inlineStr">
        <is>
          <t>2026-08-06T00:23:19.173489Z</t>
        </is>
      </c>
      <c r="C51" s="24" t="inlineStr">
        <is>
          <t>2026-08-06T01:40Z</t>
        </is>
      </c>
      <c r="D51" s="24" t="inlineStr">
        <is>
          <t>401816413</t>
        </is>
      </c>
      <c r="E51" s="24" t="inlineStr">
        <is>
          <t>MLB</t>
        </is>
      </c>
      <c r="F51" s="24" t="inlineStr">
        <is>
          <t>San Diego Padres</t>
        </is>
      </c>
      <c r="G51" s="24" t="inlineStr">
        <is>
          <t>Arizona Diamondbacks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127</v>
      </c>
      <c r="M51" s="27" t="n">
        <v>2.27</v>
      </c>
      <c r="N51" s="28" t="n">
        <v>0.440529</v>
      </c>
      <c r="O51" s="28" t="n">
        <v>0.415472</v>
      </c>
      <c r="P51" s="28" t="n">
        <v>0.05172</v>
      </c>
      <c r="Q51" s="28" t="n">
        <v>-0.025057</v>
      </c>
      <c r="R51" s="26" t="n">
        <v>9</v>
      </c>
      <c r="S51" s="29" t="n">
        <v>1.25</v>
      </c>
      <c r="T51" s="24" t="inlineStr">
        <is>
          <t>measured-edge-margin-v3</t>
        </is>
      </c>
      <c r="U51" s="24" t="inlineStr">
        <is>
          <t>settled</t>
        </is>
      </c>
      <c r="V51" s="24" t="inlineStr">
        <is>
          <t>loss</t>
        </is>
      </c>
      <c r="W51" s="26" t="n">
        <v>4</v>
      </c>
      <c r="X51" s="26" t="n">
        <v>10</v>
      </c>
      <c r="Y51" s="25" t="n">
        <v>-1.5</v>
      </c>
      <c r="Z51" s="26" t="n">
        <v>127</v>
      </c>
      <c r="AA51" s="28" t="n">
        <v>0.44</v>
      </c>
      <c r="AB51" s="28" t="n">
        <v>-0.000529</v>
      </c>
      <c r="AC51" s="30" t="n">
        <v>-1.25</v>
      </c>
      <c r="AD51" s="24" t="inlineStr">
        <is>
          <t>2026-08-06T18:54:15.140035Z</t>
        </is>
      </c>
      <c r="AE51" s="31" t="inlineStr">
        <is>
          <t>Measured Edge Margin: Trend Engine projected 4.83-4.33; raw selected-side p=0.3760, calibrated p=0.4155.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NO_CALL_WINNER_OVERVALUED</t>
        </is>
      </c>
      <c r="AP51" s="24" t="inlineStr">
        <is>
          <t>mlb-sd</t>
        </is>
      </c>
      <c r="AQ51" s="24" t="inlineStr">
        <is>
          <t>San Diego Padres</t>
        </is>
      </c>
      <c r="AR51" s="24" t="inlineStr">
        <is>
          <t>San Diego Padres</t>
        </is>
      </c>
      <c r="AS51" s="24" t="inlineStr">
        <is>
          <t>mlb-ari</t>
        </is>
      </c>
      <c r="AT51" s="24" t="inlineStr">
        <is>
          <t>Arizona Diamondbacks</t>
        </is>
      </c>
      <c r="AU51" s="24" t="inlineStr">
        <is>
          <t>Arizona Diamondbacks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dd339a2eed50d7d83ab2127837995ddab82e879afd27f5414bb6c1f9cd60ba4c</t>
        </is>
      </c>
      <c r="BB51" s="24" t="inlineStr">
        <is>
          <t>flat_probability_shrinkage_toward_half</t>
        </is>
      </c>
      <c r="BC51" s="24" t="inlineStr">
        <is>
          <t>measured-edge-margin-v3</t>
        </is>
      </c>
      <c r="BD51" s="24" t="inlineStr">
        <is>
          <t>dd339a2eed50d7d83ab2127837995ddab82e879afd27f5414bb6c1f9cd60ba4c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2026-08-06T00:23:19.173489Z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127</v>
      </c>
      <c r="BL51" s="27" t="n">
        <v>2.27</v>
      </c>
      <c r="BM51" s="28" t="n">
        <v>0.440529</v>
      </c>
      <c r="BN51" s="28" t="n">
        <v>0.435644</v>
      </c>
      <c r="BO51" s="28" t="n"/>
      <c r="BP51" s="25" t="n"/>
      <c r="BQ51" s="27" t="n">
        <v>2.27</v>
      </c>
      <c r="BR51" s="28" t="n">
        <v>0.44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8436ed2961fc4b95</t>
        </is>
      </c>
      <c r="B52" s="24" t="inlineStr">
        <is>
          <t>2026-08-06T00:23:19.173489Z</t>
        </is>
      </c>
      <c r="C52" s="24" t="inlineStr">
        <is>
          <t>2026-08-06T01:40Z</t>
        </is>
      </c>
      <c r="D52" s="24" t="inlineStr">
        <is>
          <t>401816413</t>
        </is>
      </c>
      <c r="E52" s="24" t="inlineStr">
        <is>
          <t>MLB</t>
        </is>
      </c>
      <c r="F52" s="24" t="inlineStr">
        <is>
          <t>San Diego Padres</t>
        </is>
      </c>
      <c r="G52" s="24" t="inlineStr">
        <is>
          <t>Arizona Diamondbacks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-104</v>
      </c>
      <c r="M52" s="27" t="n">
        <v>1.961538</v>
      </c>
      <c r="N52" s="28" t="n">
        <v>0.509804</v>
      </c>
      <c r="O52" s="28" t="n">
        <v>0.513153</v>
      </c>
      <c r="P52" s="28" t="n">
        <v>0.05172</v>
      </c>
      <c r="Q52" s="28" t="n">
        <v>0.003349</v>
      </c>
      <c r="R52" s="26" t="n">
        <v>22</v>
      </c>
      <c r="S52" s="29" t="n">
        <v>1</v>
      </c>
      <c r="T52" s="24" t="inlineStr">
        <is>
          <t>measured-edge-totals-v3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10</v>
      </c>
      <c r="Y52" s="25" t="n">
        <v>8.5</v>
      </c>
      <c r="Z52" s="26" t="n">
        <v>-104</v>
      </c>
      <c r="AA52" s="28" t="n">
        <v>0.51</v>
      </c>
      <c r="AB52" s="28" t="n">
        <v>0.000196</v>
      </c>
      <c r="AC52" s="30" t="n">
        <v>0.9615</v>
      </c>
      <c r="AD52" s="24" t="inlineStr">
        <is>
          <t>2026-08-06T18:54:16.936484Z</t>
        </is>
      </c>
      <c r="AE52" s="31" t="inlineStr">
        <is>
          <t>Measured Edge Totals: Trend Engine projected 4.83-4.33; raw selected-side p=0.5296, calibrated p=0.5132.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NO_CALL_WINNER_OVERVALUED</t>
        </is>
      </c>
      <c r="AP52" s="24" t="inlineStr">
        <is>
          <t>mlb-sd</t>
        </is>
      </c>
      <c r="AQ52" s="24" t="inlineStr">
        <is>
          <t>San Diego Padres</t>
        </is>
      </c>
      <c r="AR52" s="24" t="inlineStr">
        <is>
          <t>San Diego Padres</t>
        </is>
      </c>
      <c r="AS52" s="24" t="inlineStr">
        <is>
          <t>mlb-ari</t>
        </is>
      </c>
      <c r="AT52" s="24" t="inlineStr">
        <is>
          <t>Arizona Diamondbacks</t>
        </is>
      </c>
      <c r="AU52" s="24" t="inlineStr">
        <is>
          <t>Arizona Diamondbacks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95b84332c75d2ce54036eb8de6ada9c78d0f80228c50825c0347281a8b9b49c7</t>
        </is>
      </c>
      <c r="BB52" s="24" t="inlineStr">
        <is>
          <t>flat_probability_shrinkage_toward_half</t>
        </is>
      </c>
      <c r="BC52" s="24" t="inlineStr">
        <is>
          <t>measured-edge-totals-v3</t>
        </is>
      </c>
      <c r="BD52" s="24" t="inlineStr">
        <is>
          <t>95b84332c75d2ce54036eb8de6ada9c78d0f80228c50825c0347281a8b9b49c7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2026-08-06T00:23:19.173489Z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-104</v>
      </c>
      <c r="BL52" s="27" t="n">
        <v>1.961538</v>
      </c>
      <c r="BM52" s="28" t="n">
        <v>0.509804</v>
      </c>
      <c r="BN52" s="28" t="n">
        <v>0.507463</v>
      </c>
      <c r="BO52" s="28" t="n"/>
      <c r="BP52" s="25" t="n"/>
      <c r="BQ52" s="27" t="n">
        <v>1.961538</v>
      </c>
      <c r="BR52" s="28" t="n">
        <v>0.51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08686cc71921402b</t>
        </is>
      </c>
      <c r="B53" s="24" t="inlineStr">
        <is>
          <t>2026-08-06T18:58:18.495512Z</t>
        </is>
      </c>
      <c r="C53" s="24" t="inlineStr">
        <is>
          <t>2026-08-06T16:10:00-0400</t>
        </is>
      </c>
      <c r="D53" s="24" t="inlineStr">
        <is>
          <t>401816422</t>
        </is>
      </c>
      <c r="E53" s="24" t="inlineStr">
        <is>
          <t>MLB</t>
        </is>
      </c>
      <c r="F53" s="24" t="inlineStr">
        <is>
          <t>Detroit Tigers</t>
        </is>
      </c>
      <c r="G53" s="24" t="inlineStr">
        <is>
          <t>Seattle Mariners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0.558121</v>
      </c>
      <c r="P53" s="28" t="n"/>
      <c r="Q53" s="28" t="n">
        <v>0.027605</v>
      </c>
      <c r="R53" s="26" t="n">
        <v>35</v>
      </c>
      <c r="S53" s="29" t="n">
        <v>1</v>
      </c>
      <c r="T53" s="24" t="inlineStr">
        <is>
          <t>mlb-elo-trend-lr-v8</t>
        </is>
      </c>
      <c r="U53" s="24" t="inlineStr">
        <is>
          <t>settled</t>
        </is>
      </c>
      <c r="V53" s="24" t="inlineStr">
        <is>
          <t>loss</t>
        </is>
      </c>
      <c r="W53" s="26" t="n">
        <v>11</v>
      </c>
      <c r="X53" s="26" t="n">
        <v>0</v>
      </c>
      <c r="Y53" s="25" t="n"/>
      <c r="Z53" s="26" t="n">
        <v>-113</v>
      </c>
      <c r="AA53" s="28" t="n">
        <v>0.53</v>
      </c>
      <c r="AB53" s="28" t="n">
        <v>-0.000516</v>
      </c>
      <c r="AC53" s="30" t="n">
        <v>-1</v>
      </c>
      <c r="AD53" s="24" t="inlineStr">
        <is>
          <t>2026-08-07T09:06:24.486479Z</t>
        </is>
      </c>
      <c r="AE53" s="31" t="inlineStr">
        <is>
          <t>Learned LR call at threshold 0.5873; executable ask 0.5300 (aec-mlb-det-sea-2026-08-06); model edge vs ask +0.0281.</t>
        </is>
      </c>
      <c r="AF53" s="31" t="inlineStr">
        <is>
          <t>Learned model; shadow-qualified via operator override.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NO_CALL_WINNER_OVERVALUED</t>
        </is>
      </c>
      <c r="AP53" s="24" t="inlineStr">
        <is>
          <t>mlb-det</t>
        </is>
      </c>
      <c r="AQ53" s="24" t="inlineStr">
        <is>
          <t>Detroit Tigers</t>
        </is>
      </c>
      <c r="AR53" s="24" t="inlineStr">
        <is>
          <t>Detroit Tigers</t>
        </is>
      </c>
      <c r="AS53" s="24" t="inlineStr">
        <is>
          <t>mlb-sea</t>
        </is>
      </c>
      <c r="AT53" s="24" t="inlineStr">
        <is>
          <t>Seattle Mariners</t>
        </is>
      </c>
      <c r="AU53" s="24" t="inlineStr">
        <is>
          <t>Seattle Mariners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6a5c79541b0e50cb9f7318270e63d5ccc65cbd7bc53a019748ff772d49de5075</t>
        </is>
      </c>
      <c r="BB53" s="24" t="inlineStr">
        <is>
          <t>learned_lr</t>
        </is>
      </c>
      <c r="BC53" s="24" t="inlineStr">
        <is>
          <t>mlb-elo-trend-lr-v8</t>
        </is>
      </c>
      <c r="BD53" s="24" t="inlineStr">
        <is>
          <t>6a5c79541b0e50cb9f7318270e63d5ccc65cbd7bc53a019748ff772d49de5075</t>
        </is>
      </c>
      <c r="BE53" s="24" t="inlineStr">
        <is>
          <t>77aa3b27790b8cf7</t>
        </is>
      </c>
      <c r="BF53" s="24" t="inlineStr">
        <is>
          <t>1</t>
        </is>
      </c>
      <c r="BG53" s="24" t="inlineStr">
        <is>
          <t>mlb-elo-trend-lr-v8</t>
        </is>
      </c>
      <c r="BH53" s="24" t="inlineStr">
        <is>
          <t>2026-08-06T18:57:53.058009Z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0.5118338721</t>
        </is>
      </c>
      <c r="CD53" s="24" t="inlineStr">
        <is>
          <t>-1.896927</t>
        </is>
      </c>
      <c r="CE53" s="24" t="inlineStr">
        <is>
          <t>0.938</t>
        </is>
      </c>
      <c r="CF53" s="24" t="inlineStr">
        <is>
          <t>1.0</t>
        </is>
      </c>
      <c r="CG53" s="24" t="n"/>
      <c r="CH53" s="24" t="n"/>
      <c r="CI53" s="24" t="n"/>
      <c r="CJ53" s="24" t="inlineStr">
        <is>
          <t>-1.161774</t>
        </is>
      </c>
      <c r="CK53" s="24" t="n"/>
      <c r="CL53" s="24" t="inlineStr">
        <is>
          <t>0.300803</t>
        </is>
      </c>
      <c r="CM53" s="24" t="inlineStr">
        <is>
          <t>-0.5977</t>
        </is>
      </c>
      <c r="CN53" s="24" t="n"/>
      <c r="CO53" s="24" t="n"/>
      <c r="CP53" s="24" t="n"/>
      <c r="CQ53" s="24" t="n"/>
      <c r="CR53" s="24" t="inlineStr">
        <is>
          <t>0.558121</t>
        </is>
      </c>
      <c r="CS53" s="24" t="inlineStr">
        <is>
          <t>True</t>
        </is>
      </c>
    </row>
    <row r="54" ht="36" customHeight="1">
      <c r="A54" s="24" t="inlineStr">
        <is>
          <t>ef62f42dc4b745a1</t>
        </is>
      </c>
      <c r="B54" s="24" t="inlineStr">
        <is>
          <t>2026-08-06T18:58:18.495512Z</t>
        </is>
      </c>
      <c r="C54" s="24" t="inlineStr">
        <is>
          <t>2026-08-06T18:05:00-0400</t>
        </is>
      </c>
      <c r="D54" s="24" t="inlineStr">
        <is>
          <t>401816419</t>
        </is>
      </c>
      <c r="E54" s="24" t="inlineStr">
        <is>
          <t>MLB</t>
        </is>
      </c>
      <c r="F54" s="24" t="inlineStr">
        <is>
          <t>Washington Nationals</t>
        </is>
      </c>
      <c r="G54" s="24" t="inlineStr">
        <is>
          <t>Philadelphia Phillies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-308</v>
      </c>
      <c r="M54" s="27" t="n">
        <v>1.324675</v>
      </c>
      <c r="N54" s="28" t="n">
        <v>0.754902</v>
      </c>
      <c r="O54" s="28" t="n">
        <v>0.579716</v>
      </c>
      <c r="P54" s="28" t="n"/>
      <c r="Q54" s="28" t="n">
        <v>-0.175186</v>
      </c>
      <c r="R54" s="26" t="n">
        <v>0</v>
      </c>
      <c r="S54" s="29" t="n">
        <v>1.25</v>
      </c>
      <c r="T54" s="24" t="inlineStr">
        <is>
          <t>mlb-elo-trend-lr-v8</t>
        </is>
      </c>
      <c r="U54" s="24" t="inlineStr">
        <is>
          <t>settled</t>
        </is>
      </c>
      <c r="V54" s="24" t="inlineStr">
        <is>
          <t>win</t>
        </is>
      </c>
      <c r="W54" s="26" t="n">
        <v>3</v>
      </c>
      <c r="X54" s="26" t="n">
        <v>7</v>
      </c>
      <c r="Y54" s="25" t="n"/>
      <c r="Z54" s="26" t="n">
        <v>-308</v>
      </c>
      <c r="AA54" s="28" t="n">
        <v>0.755</v>
      </c>
      <c r="AB54" s="28" t="n">
        <v>9.8e-05</v>
      </c>
      <c r="AC54" s="30" t="n">
        <v>0.4058</v>
      </c>
      <c r="AD54" s="24" t="inlineStr">
        <is>
          <t>2026-08-07T09:06:25.689946Z</t>
        </is>
      </c>
      <c r="AE54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NO_CALL_WINNER_OVERVALUED</t>
        </is>
      </c>
      <c r="AP54" s="24" t="inlineStr">
        <is>
          <t>mlb-wsh</t>
        </is>
      </c>
      <c r="AQ54" s="24" t="inlineStr">
        <is>
          <t>Washington Nationals</t>
        </is>
      </c>
      <c r="AR54" s="24" t="inlineStr">
        <is>
          <t>Washington Nationals</t>
        </is>
      </c>
      <c r="AS54" s="24" t="inlineStr">
        <is>
          <t>mlb-phi</t>
        </is>
      </c>
      <c r="AT54" s="24" t="inlineStr">
        <is>
          <t>Philadelphia Phillies</t>
        </is>
      </c>
      <c r="AU54" s="24" t="inlineStr">
        <is>
          <t>Philadelphia Phillies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6a5c79541b0e50cb9f7318270e63d5ccc65cbd7bc53a019748ff772d49de5075</t>
        </is>
      </c>
      <c r="BB54" s="24" t="inlineStr">
        <is>
          <t>learned_lr</t>
        </is>
      </c>
      <c r="BC54" s="24" t="inlineStr">
        <is>
          <t>mlb-elo-trend-lr-v8</t>
        </is>
      </c>
      <c r="BD54" s="24" t="inlineStr">
        <is>
          <t>6a5c79541b0e50cb9f7318270e63d5ccc65cbd7bc53a019748ff772d49de5075</t>
        </is>
      </c>
      <c r="BE54" s="24" t="inlineStr">
        <is>
          <t>3e52859e0e873013</t>
        </is>
      </c>
      <c r="BF54" s="24" t="inlineStr">
        <is>
          <t>1</t>
        </is>
      </c>
      <c r="BG54" s="24" t="inlineStr">
        <is>
          <t>mlb-elo-trend-lr-v8</t>
        </is>
      </c>
      <c r="BH54" s="24" t="inlineStr">
        <is>
          <t>2026-08-06T18:57:53.844371Z</t>
        </is>
      </c>
      <c r="BI54" s="24" t="inlineStr">
        <is>
          <t>["same_event","same_team_same_day","same_league_same_day"]</t>
        </is>
      </c>
      <c r="BJ54" s="25" t="n"/>
      <c r="BK54" s="26" t="n">
        <v>-308</v>
      </c>
      <c r="BL54" s="27" t="n">
        <v>1.324675</v>
      </c>
      <c r="BM54" s="28" t="n">
        <v>0.754902</v>
      </c>
      <c r="BN54" s="28" t="n">
        <v>0.751244</v>
      </c>
      <c r="BO54" s="28" t="n"/>
      <c r="BP54" s="25" t="n"/>
      <c r="BQ54" s="27" t="n">
        <v>1.324675</v>
      </c>
      <c r="BR54" s="28" t="n">
        <v>0.755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0.6313537645</t>
        </is>
      </c>
      <c r="CD54" s="24" t="inlineStr">
        <is>
          <t>0.613729</t>
        </is>
      </c>
      <c r="CE54" s="24" t="inlineStr">
        <is>
          <t>1.02</t>
        </is>
      </c>
      <c r="CF54" s="24" t="inlineStr">
        <is>
          <t>1.0162</t>
        </is>
      </c>
      <c r="CG54" s="24" t="n"/>
      <c r="CH54" s="24" t="n"/>
      <c r="CI54" s="24" t="inlineStr">
        <is>
          <t>NO_CALL_STARTER_ERA_GAP_INSUFFICIENT_HISTORY</t>
        </is>
      </c>
      <c r="CJ54" s="24" t="inlineStr">
        <is>
          <t>0.060121</t>
        </is>
      </c>
      <c r="CK54" s="24" t="n"/>
      <c r="CL54" s="24" t="inlineStr">
        <is>
          <t>-0.506633</t>
        </is>
      </c>
      <c r="CM54" s="24" t="inlineStr">
        <is>
          <t>0.0</t>
        </is>
      </c>
      <c r="CN54" s="24" t="n"/>
      <c r="CO54" s="24" t="n"/>
      <c r="CP54" s="24" t="n"/>
      <c r="CQ54" s="24" t="n"/>
      <c r="CR54" s="24" t="inlineStr">
        <is>
          <t>0.579716</t>
        </is>
      </c>
      <c r="CS54" s="24" t="inlineStr">
        <is>
          <t>False</t>
        </is>
      </c>
    </row>
    <row r="55" ht="36" customHeight="1">
      <c r="A55" s="24" t="inlineStr">
        <is>
          <t>a88df96abd9b46bd</t>
        </is>
      </c>
      <c r="B55" s="24" t="inlineStr">
        <is>
          <t>2026-08-06T18:58:18.495512Z</t>
        </is>
      </c>
      <c r="C55" s="24" t="inlineStr">
        <is>
          <t>2026-08-06T19:10:00-0400</t>
        </is>
      </c>
      <c r="D55" s="24" t="inlineStr">
        <is>
          <t>401816416</t>
        </is>
      </c>
      <c r="E55" s="24" t="inlineStr">
        <is>
          <t>MLB</t>
        </is>
      </c>
      <c r="F55" s="24" t="inlineStr">
        <is>
          <t>Chicago White Sox</t>
        </is>
      </c>
      <c r="G55" s="24" t="inlineStr">
        <is>
          <t>Boston Red Sox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-178</v>
      </c>
      <c r="M55" s="27" t="n">
        <v>1.561798</v>
      </c>
      <c r="N55" s="28" t="n">
        <v>0.640288</v>
      </c>
      <c r="O55" s="28" t="n">
        <v>0.576121</v>
      </c>
      <c r="P55" s="28" t="n"/>
      <c r="Q55" s="28" t="n">
        <v>-0.064167</v>
      </c>
      <c r="R55" s="26" t="n">
        <v>0</v>
      </c>
      <c r="S55" s="29" t="n">
        <v>1.25</v>
      </c>
      <c r="T55" s="24" t="inlineStr">
        <is>
          <t>mlb-elo-trend-lr-v8</t>
        </is>
      </c>
      <c r="U55" s="24" t="inlineStr">
        <is>
          <t>settled</t>
        </is>
      </c>
      <c r="V55" s="24" t="inlineStr">
        <is>
          <t>win</t>
        </is>
      </c>
      <c r="W55" s="26" t="n">
        <v>11</v>
      </c>
      <c r="X55" s="26" t="n">
        <v>12</v>
      </c>
      <c r="Y55" s="25" t="n"/>
      <c r="Z55" s="26" t="n">
        <v>-178</v>
      </c>
      <c r="AA55" s="28" t="n">
        <v>0.64</v>
      </c>
      <c r="AB55" s="28" t="n">
        <v>-0.000288</v>
      </c>
      <c r="AC55" s="30" t="n">
        <v>0.7022</v>
      </c>
      <c r="AD55" s="24" t="inlineStr">
        <is>
          <t>2026-08-07T09:06:26.838070Z</t>
        </is>
      </c>
      <c r="AE55" s="31" t="inlineStr">
        <is>
          <t>Learned LR call at threshold 0.5873; executable ask 0.6400 (aec-mlb-cws-bos-2026-08-06); model edge vs ask -0.0639.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NO_CALL_WINNER_OVERVALUED</t>
        </is>
      </c>
      <c r="AP55" s="24" t="inlineStr">
        <is>
          <t>mlb-cws</t>
        </is>
      </c>
      <c r="AQ55" s="24" t="inlineStr">
        <is>
          <t>Chicago White Sox</t>
        </is>
      </c>
      <c r="AR55" s="24" t="inlineStr">
        <is>
          <t>Chicago White Sox</t>
        </is>
      </c>
      <c r="AS55" s="24" t="inlineStr">
        <is>
          <t>mlb-bos</t>
        </is>
      </c>
      <c r="AT55" s="24" t="inlineStr">
        <is>
          <t>Boston Red Sox</t>
        </is>
      </c>
      <c r="AU55" s="24" t="inlineStr">
        <is>
          <t>Boston Red Sox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6a5c79541b0e50cb9f7318270e63d5ccc65cbd7bc53a019748ff772d49de5075</t>
        </is>
      </c>
      <c r="BB55" s="24" t="inlineStr">
        <is>
          <t>learned_lr</t>
        </is>
      </c>
      <c r="BC55" s="24" t="inlineStr">
        <is>
          <t>mlb-elo-trend-lr-v8</t>
        </is>
      </c>
      <c r="BD55" s="24" t="inlineStr">
        <is>
          <t>6a5c79541b0e50cb9f7318270e63d5ccc65cbd7bc53a019748ff772d49de5075</t>
        </is>
      </c>
      <c r="BE55" s="24" t="inlineStr">
        <is>
          <t>848a1fa2a5c55f74</t>
        </is>
      </c>
      <c r="BF55" s="24" t="inlineStr">
        <is>
          <t>1</t>
        </is>
      </c>
      <c r="BG55" s="24" t="inlineStr">
        <is>
          <t>mlb-elo-trend-lr-v8</t>
        </is>
      </c>
      <c r="BH55" s="24" t="inlineStr">
        <is>
          <t>2026-08-06T18:57:54.201474Z</t>
        </is>
      </c>
      <c r="BI55" s="24" t="inlineStr">
        <is>
          <t>["same_event","same_team_same_day","same_league_same_day"]</t>
        </is>
      </c>
      <c r="BJ55" s="25" t="n"/>
      <c r="BK55" s="26" t="n">
        <v>-178</v>
      </c>
      <c r="BL55" s="27" t="n">
        <v>1.561798</v>
      </c>
      <c r="BM55" s="28" t="n">
        <v>0.640288</v>
      </c>
      <c r="BN55" s="28" t="n">
        <v>0.636816</v>
      </c>
      <c r="BO55" s="28" t="n"/>
      <c r="BP55" s="25" t="n"/>
      <c r="BQ55" s="27" t="n">
        <v>1.561798</v>
      </c>
      <c r="BR55" s="28" t="n">
        <v>0.64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0.6273067169</t>
        </is>
      </c>
      <c r="CD55" s="24" t="inlineStr">
        <is>
          <t>2.702657</t>
        </is>
      </c>
      <c r="CE55" s="24" t="inlineStr">
        <is>
          <t>1.019</t>
        </is>
      </c>
      <c r="CF55" s="24" t="inlineStr">
        <is>
          <t>1.0148</t>
        </is>
      </c>
      <c r="CG55" s="24" t="n"/>
      <c r="CH55" s="24" t="n"/>
      <c r="CI55" s="24" t="n"/>
      <c r="CJ55" s="24" t="inlineStr">
        <is>
          <t>1.369787</t>
        </is>
      </c>
      <c r="CK55" s="24" t="n"/>
      <c r="CL55" s="24" t="inlineStr">
        <is>
          <t>-0.201961</t>
        </is>
      </c>
      <c r="CM55" s="24" t="inlineStr">
        <is>
          <t>-0.1006</t>
        </is>
      </c>
      <c r="CN55" s="24" t="n"/>
      <c r="CO55" s="24" t="n"/>
      <c r="CP55" s="24" t="n"/>
      <c r="CQ55" s="24" t="n"/>
      <c r="CR55" s="24" t="inlineStr">
        <is>
          <t>0.576121</t>
        </is>
      </c>
      <c r="CS55" s="24" t="inlineStr">
        <is>
          <t>False</t>
        </is>
      </c>
    </row>
    <row r="56" ht="36" customHeight="1">
      <c r="A56" s="24" t="inlineStr">
        <is>
          <t>bda428b356594a2b</t>
        </is>
      </c>
      <c r="B56" s="24" t="inlineStr">
        <is>
          <t>2026-08-06T18:58:18.495512Z</t>
        </is>
      </c>
      <c r="C56" s="24" t="inlineStr">
        <is>
          <t>2026-08-06T19:15:00-0400</t>
        </is>
      </c>
      <c r="D56" s="24" t="inlineStr">
        <is>
          <t>401816417</t>
        </is>
      </c>
      <c r="E56" s="24" t="inlineStr">
        <is>
          <t>MLB</t>
        </is>
      </c>
      <c r="F56" s="24" t="inlineStr">
        <is>
          <t>Miami Marlins</t>
        </is>
      </c>
      <c r="G56" s="24" t="inlineStr">
        <is>
          <t>Atlanta Braves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-135</v>
      </c>
      <c r="M56" s="27" t="n">
        <v>1.740741</v>
      </c>
      <c r="N56" s="28" t="n">
        <v>0.574468</v>
      </c>
      <c r="O56" s="28" t="n">
        <v>0.594958</v>
      </c>
      <c r="P56" s="28" t="n"/>
      <c r="Q56" s="28" t="n">
        <v>0.02049</v>
      </c>
      <c r="R56" s="26" t="n">
        <v>31</v>
      </c>
      <c r="S56" s="29" t="n">
        <v>1.25</v>
      </c>
      <c r="T56" s="24" t="inlineStr">
        <is>
          <t>mlb-elo-trend-lr-v8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11</v>
      </c>
      <c r="Y56" s="25" t="n"/>
      <c r="Z56" s="26" t="n">
        <v>-135</v>
      </c>
      <c r="AA56" s="28" t="n">
        <v>0.575</v>
      </c>
      <c r="AB56" s="28" t="n">
        <v>0.000532</v>
      </c>
      <c r="AC56" s="30" t="n">
        <v>0.9258999999999999</v>
      </c>
      <c r="AD56" s="24" t="inlineStr">
        <is>
          <t>2026-08-07T09:06:28.020111Z</t>
        </is>
      </c>
      <c r="AE56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NO_CALL_WINNER_OVERVALUED</t>
        </is>
      </c>
      <c r="AP56" s="24" t="inlineStr">
        <is>
          <t>mlb-mia</t>
        </is>
      </c>
      <c r="AQ56" s="24" t="inlineStr">
        <is>
          <t>Miami Marlins</t>
        </is>
      </c>
      <c r="AR56" s="24" t="inlineStr">
        <is>
          <t>Miami Marlins</t>
        </is>
      </c>
      <c r="AS56" s="24" t="inlineStr">
        <is>
          <t>mlb-atl</t>
        </is>
      </c>
      <c r="AT56" s="24" t="inlineStr">
        <is>
          <t>Atlanta Braves</t>
        </is>
      </c>
      <c r="AU56" s="24" t="inlineStr">
        <is>
          <t>Atlanta Braves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6a5c79541b0e50cb9f7318270e63d5ccc65cbd7bc53a019748ff772d49de5075</t>
        </is>
      </c>
      <c r="BB56" s="24" t="inlineStr">
        <is>
          <t>learned_lr</t>
        </is>
      </c>
      <c r="BC56" s="24" t="inlineStr">
        <is>
          <t>mlb-elo-trend-lr-v8</t>
        </is>
      </c>
      <c r="BD56" s="24" t="inlineStr">
        <is>
          <t>6a5c79541b0e50cb9f7318270e63d5ccc65cbd7bc53a019748ff772d49de5075</t>
        </is>
      </c>
      <c r="BE56" s="24" t="inlineStr">
        <is>
          <t>f529e3d523db2fe0</t>
        </is>
      </c>
      <c r="BF56" s="24" t="inlineStr">
        <is>
          <t>1</t>
        </is>
      </c>
      <c r="BG56" s="24" t="inlineStr">
        <is>
          <t>mlb-elo-trend-lr-v8</t>
        </is>
      </c>
      <c r="BH56" s="24" t="inlineStr">
        <is>
          <t>2026-08-06T18:57:54.768966Z</t>
        </is>
      </c>
      <c r="BI56" s="24" t="inlineStr">
        <is>
          <t>["same_event","same_team_same_day","same_league_same_day"]</t>
        </is>
      </c>
      <c r="BJ56" s="25" t="n"/>
      <c r="BK56" s="26" t="n">
        <v>-135</v>
      </c>
      <c r="BL56" s="27" t="n">
        <v>1.740741</v>
      </c>
      <c r="BM56" s="28" t="n">
        <v>0.574468</v>
      </c>
      <c r="BN56" s="28" t="n">
        <v>0.572139</v>
      </c>
      <c r="BO56" s="28" t="n"/>
      <c r="BP56" s="25" t="n"/>
      <c r="BQ56" s="27" t="n">
        <v>1.740741</v>
      </c>
      <c r="BR56" s="28" t="n">
        <v>0.575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0.5985473817</t>
        </is>
      </c>
      <c r="CD56" s="24" t="inlineStr">
        <is>
          <t>0.497636</t>
        </is>
      </c>
      <c r="CE56" s="24" t="inlineStr">
        <is>
          <t>0.929</t>
        </is>
      </c>
      <c r="CF56" s="24" t="inlineStr">
        <is>
          <t>1.0147</t>
        </is>
      </c>
      <c r="CG56" s="24" t="n"/>
      <c r="CH56" s="24" t="n"/>
      <c r="CI56" s="24" t="inlineStr">
        <is>
          <t>NO_CALL_STARTER_ERA_GAP_INSUFFICIENT_HISTORY</t>
        </is>
      </c>
      <c r="CJ56" s="24" t="inlineStr">
        <is>
          <t>0.555685</t>
        </is>
      </c>
      <c r="CK56" s="24" t="n"/>
      <c r="CL56" s="24" t="inlineStr">
        <is>
          <t>0.001632</t>
        </is>
      </c>
      <c r="CM56" s="24" t="inlineStr">
        <is>
          <t>0.0</t>
        </is>
      </c>
      <c r="CN56" s="24" t="n"/>
      <c r="CO56" s="24" t="n"/>
      <c r="CP56" s="24" t="n"/>
      <c r="CQ56" s="24" t="n"/>
      <c r="CR56" s="24" t="inlineStr">
        <is>
          <t>0.594958</t>
        </is>
      </c>
      <c r="CS56" s="24" t="inlineStr">
        <is>
          <t>True</t>
        </is>
      </c>
    </row>
    <row r="57" ht="36" customHeight="1">
      <c r="A57" s="24" t="inlineStr">
        <is>
          <t>9b4227b9515d4e38</t>
        </is>
      </c>
      <c r="B57" s="24" t="inlineStr">
        <is>
          <t>2026-08-06T18:58:18.495512Z</t>
        </is>
      </c>
      <c r="C57" s="24" t="inlineStr">
        <is>
          <t>2026-08-06T19:30:00-0400</t>
        </is>
      </c>
      <c r="D57" s="24" t="inlineStr">
        <is>
          <t>401816420</t>
        </is>
      </c>
      <c r="E57" s="24" t="inlineStr">
        <is>
          <t>MLB</t>
        </is>
      </c>
      <c r="F57" s="24" t="inlineStr">
        <is>
          <t>Minnesota Twins</t>
        </is>
      </c>
      <c r="G57" s="24" t="inlineStr">
        <is>
          <t>Kansas City Royals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-115</v>
      </c>
      <c r="M57" s="27" t="n">
        <v>1.869565</v>
      </c>
      <c r="N57" s="28" t="n">
        <v>0.534884</v>
      </c>
      <c r="O57" s="28" t="n">
        <v>0.55965</v>
      </c>
      <c r="P57" s="28" t="n"/>
      <c r="Q57" s="28" t="n">
        <v>0.024766</v>
      </c>
      <c r="R57" s="26" t="n">
        <v>34</v>
      </c>
      <c r="S57" s="29" t="n">
        <v>1</v>
      </c>
      <c r="T57" s="24" t="inlineStr">
        <is>
          <t>mlb-elo-trend-lr-v8</t>
        </is>
      </c>
      <c r="U57" s="24" t="inlineStr">
        <is>
          <t>settled</t>
        </is>
      </c>
      <c r="V57" s="24" t="inlineStr">
        <is>
          <t>loss</t>
        </is>
      </c>
      <c r="W57" s="26" t="n">
        <v>4</v>
      </c>
      <c r="X57" s="26" t="n">
        <v>3</v>
      </c>
      <c r="Y57" s="25" t="n"/>
      <c r="Z57" s="26" t="n">
        <v>-115</v>
      </c>
      <c r="AA57" s="28" t="n">
        <v>0.535</v>
      </c>
      <c r="AB57" s="28" t="n">
        <v>0.000116</v>
      </c>
      <c r="AC57" s="30" t="n">
        <v>-1</v>
      </c>
      <c r="AD57" s="24" t="inlineStr">
        <is>
          <t>2026-08-07T09:06:29.140766Z</t>
        </is>
      </c>
      <c r="AE57" s="31" t="inlineStr">
        <is>
          <t>Learned LR call at threshold 0.5873; executable ask 0.5350 (aec-mlb-min-kc-2026-08-06); model edge vs ask +0.0246.</t>
        </is>
      </c>
      <c r="AF57" s="31" t="inlineStr">
        <is>
          <t>Learned model; shadow-qualified via operator override.</t>
        </is>
      </c>
      <c r="AG57" s="24" t="inlineStr">
        <is>
          <t>review_required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NO_CALL_WINNER_OVERVALUED</t>
        </is>
      </c>
      <c r="AP57" s="24" t="inlineStr">
        <is>
          <t>mlb-min</t>
        </is>
      </c>
      <c r="AQ57" s="24" t="inlineStr">
        <is>
          <t>Minnesota Twins</t>
        </is>
      </c>
      <c r="AR57" s="24" t="inlineStr">
        <is>
          <t>Minnesota Twins</t>
        </is>
      </c>
      <c r="AS57" s="24" t="inlineStr">
        <is>
          <t>mlb-kc</t>
        </is>
      </c>
      <c r="AT57" s="24" t="inlineStr">
        <is>
          <t>Kansas City Royals</t>
        </is>
      </c>
      <c r="AU57" s="24" t="inlineStr">
        <is>
          <t>Kansas City Royals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6a5c79541b0e50cb9f7318270e63d5ccc65cbd7bc53a019748ff772d49de5075</t>
        </is>
      </c>
      <c r="BB57" s="24" t="inlineStr">
        <is>
          <t>learned_lr</t>
        </is>
      </c>
      <c r="BC57" s="24" t="inlineStr">
        <is>
          <t>mlb-elo-trend-lr-v8</t>
        </is>
      </c>
      <c r="BD57" s="24" t="inlineStr">
        <is>
          <t>6a5c79541b0e50cb9f7318270e63d5ccc65cbd7bc53a019748ff772d49de5075</t>
        </is>
      </c>
      <c r="BE57" s="24" t="inlineStr">
        <is>
          <t>e72f25a204594f46</t>
        </is>
      </c>
      <c r="BF57" s="24" t="inlineStr">
        <is>
          <t>1</t>
        </is>
      </c>
      <c r="BG57" s="24" t="inlineStr">
        <is>
          <t>mlb-elo-trend-lr-v8</t>
        </is>
      </c>
      <c r="BH57" s="24" t="inlineStr">
        <is>
          <t>2026-08-06T18:57:55.278501Z</t>
        </is>
      </c>
      <c r="BI57" s="24" t="inlineStr">
        <is>
          <t>["same_event","same_team_same_day","same_league_same_day"]</t>
        </is>
      </c>
      <c r="BJ57" s="25" t="n"/>
      <c r="BK57" s="26" t="n">
        <v>-115</v>
      </c>
      <c r="BL57" s="27" t="n">
        <v>1.869565</v>
      </c>
      <c r="BM57" s="28" t="n">
        <v>0.534884</v>
      </c>
      <c r="BN57" s="28" t="n">
        <v>0.532338</v>
      </c>
      <c r="BO57" s="28" t="n"/>
      <c r="BP57" s="25" t="n"/>
      <c r="BQ57" s="27" t="n">
        <v>1.869565</v>
      </c>
      <c r="BR57" s="28" t="n">
        <v>0.535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0.5194147604</t>
        </is>
      </c>
      <c r="CD57" s="24" t="inlineStr">
        <is>
          <t>0.240636</t>
        </is>
      </c>
      <c r="CE57" s="24" t="inlineStr">
        <is>
          <t>0.973</t>
        </is>
      </c>
      <c r="CF57" s="24" t="inlineStr">
        <is>
          <t>1.0102</t>
        </is>
      </c>
      <c r="CG57" s="24" t="n"/>
      <c r="CH57" s="24" t="n"/>
      <c r="CI57" s="24" t="n"/>
      <c r="CJ57" s="24" t="inlineStr">
        <is>
          <t>0.747114</t>
        </is>
      </c>
      <c r="CK57" s="24" t="n"/>
      <c r="CL57" s="24" t="inlineStr">
        <is>
          <t>0.615566</t>
        </is>
      </c>
      <c r="CM57" s="24" t="inlineStr">
        <is>
          <t>-1.8115</t>
        </is>
      </c>
      <c r="CN57" s="24" t="n"/>
      <c r="CO57" s="24" t="n"/>
      <c r="CP57" s="24" t="n"/>
      <c r="CQ57" s="24" t="n"/>
      <c r="CR57" s="24" t="inlineStr">
        <is>
          <t>0.55965</t>
        </is>
      </c>
      <c r="CS57" s="24" t="inlineStr">
        <is>
          <t>True</t>
        </is>
      </c>
    </row>
    <row r="58" ht="36" customHeight="1">
      <c r="A58" s="24" t="inlineStr">
        <is>
          <t>1311b9d6f8d84a49</t>
        </is>
      </c>
      <c r="B58" s="24" t="inlineStr">
        <is>
          <t>2026-08-06T18:58:18.495512Z</t>
        </is>
      </c>
      <c r="C58" s="24" t="inlineStr">
        <is>
          <t>2026-08-06T21:40:00-0400</t>
        </is>
      </c>
      <c r="D58" s="24" t="inlineStr">
        <is>
          <t>401816423</t>
        </is>
      </c>
      <c r="E58" s="24" t="inlineStr">
        <is>
          <t>MLB</t>
        </is>
      </c>
      <c r="F58" s="24" t="inlineStr">
        <is>
          <t>San Diego Padres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100</v>
      </c>
      <c r="M58" s="27" t="n">
        <v>2</v>
      </c>
      <c r="N58" s="28" t="n">
        <v>0.5</v>
      </c>
      <c r="O58" s="28" t="n">
        <v>0.508065</v>
      </c>
      <c r="P58" s="28" t="n"/>
      <c r="Q58" s="28" t="n">
        <v>0.008064999999999999</v>
      </c>
      <c r="R58" s="26" t="n">
        <v>25</v>
      </c>
      <c r="S58" s="29" t="n">
        <v>1</v>
      </c>
      <c r="T58" s="24" t="inlineStr">
        <is>
          <t>mlb-elo-trend-lr-v8</t>
        </is>
      </c>
      <c r="U58" s="24" t="inlineStr">
        <is>
          <t>settled</t>
        </is>
      </c>
      <c r="V58" s="24" t="inlineStr">
        <is>
          <t>loss</t>
        </is>
      </c>
      <c r="W58" s="26" t="n">
        <v>5</v>
      </c>
      <c r="X58" s="26" t="n">
        <v>1</v>
      </c>
      <c r="Y58" s="25" t="n"/>
      <c r="Z58" s="26" t="n">
        <v>100</v>
      </c>
      <c r="AA58" s="28" t="n">
        <v>0.5</v>
      </c>
      <c r="AB58" s="28" t="n">
        <v>0</v>
      </c>
      <c r="AC58" s="30" t="n">
        <v>-1</v>
      </c>
      <c r="AD58" s="24" t="inlineStr">
        <is>
          <t>2026-08-07T09:06:30.339771Z</t>
        </is>
      </c>
      <c r="AE58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NO_CALL_WINNER_OVERVALUED</t>
        </is>
      </c>
      <c r="AP58" s="24" t="inlineStr">
        <is>
          <t>mlb-sd</t>
        </is>
      </c>
      <c r="AQ58" s="24" t="inlineStr">
        <is>
          <t>San Diego Padres</t>
        </is>
      </c>
      <c r="AR58" s="24" t="inlineStr">
        <is>
          <t>San Diego Padres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6a5c79541b0e50cb9f7318270e63d5ccc65cbd7bc53a019748ff772d49de5075</t>
        </is>
      </c>
      <c r="BB58" s="24" t="inlineStr">
        <is>
          <t>learned_lr</t>
        </is>
      </c>
      <c r="BC58" s="24" t="inlineStr">
        <is>
          <t>mlb-elo-trend-lr-v8</t>
        </is>
      </c>
      <c r="BD58" s="24" t="inlineStr">
        <is>
          <t>6a5c79541b0e50cb9f7318270e63d5ccc65cbd7bc53a019748ff772d49de5075</t>
        </is>
      </c>
      <c r="BE58" s="24" t="inlineStr">
        <is>
          <t>6d072d85bcbb15af</t>
        </is>
      </c>
      <c r="BF58" s="24" t="inlineStr">
        <is>
          <t>1</t>
        </is>
      </c>
      <c r="BG58" s="24" t="inlineStr">
        <is>
          <t>mlb-elo-trend-lr-v8</t>
        </is>
      </c>
      <c r="BH58" s="24" t="inlineStr">
        <is>
          <t>2026-08-06T18:57:55.802850Z</t>
        </is>
      </c>
      <c r="BI58" s="24" t="inlineStr">
        <is>
          <t>["same_event","same_team_same_day","same_league_same_day"]</t>
        </is>
      </c>
      <c r="BJ58" s="25" t="n"/>
      <c r="BK58" s="26" t="n">
        <v>100</v>
      </c>
      <c r="BL58" s="27" t="n">
        <v>2</v>
      </c>
      <c r="BM58" s="28" t="n">
        <v>0.5</v>
      </c>
      <c r="BN58" s="28" t="n">
        <v>0.497512</v>
      </c>
      <c r="BO58" s="28" t="n"/>
      <c r="BP58" s="25" t="n"/>
      <c r="BQ58" s="27" t="n">
        <v>2</v>
      </c>
      <c r="BR58" s="28" t="n">
        <v>0.5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0.5430232921</t>
        </is>
      </c>
      <c r="CD58" s="24" t="inlineStr">
        <is>
          <t>1.633952</t>
        </is>
      </c>
      <c r="CE58" s="24" t="inlineStr">
        <is>
          <t>1.097</t>
        </is>
      </c>
      <c r="CF58" s="24" t="inlineStr">
        <is>
          <t>1.0</t>
        </is>
      </c>
      <c r="CG58" s="24" t="n"/>
      <c r="CH58" s="24" t="n"/>
      <c r="CI58" s="24" t="inlineStr">
        <is>
          <t>NO_CALL_STARTER_ERA_GAP_INSUFFICIENT_HISTORY</t>
        </is>
      </c>
      <c r="CJ58" s="24" t="inlineStr">
        <is>
          <t>0.750954</t>
        </is>
      </c>
      <c r="CK58" s="24" t="n"/>
      <c r="CL58" s="24" t="inlineStr">
        <is>
          <t>-0.051286</t>
        </is>
      </c>
      <c r="CM58" s="24" t="inlineStr">
        <is>
          <t>0.0</t>
        </is>
      </c>
      <c r="CN58" s="24" t="n"/>
      <c r="CO58" s="24" t="n"/>
      <c r="CP58" s="24" t="n"/>
      <c r="CQ58" s="24" t="n"/>
      <c r="CR58" s="24" t="inlineStr">
        <is>
          <t>0.508065</t>
        </is>
      </c>
      <c r="CS58" s="24" t="inlineStr">
        <is>
          <t>True</t>
        </is>
      </c>
    </row>
    <row r="59" ht="36" customHeight="1">
      <c r="A59" s="24" t="inlineStr">
        <is>
          <t>e5abeefbcd8f4917</t>
        </is>
      </c>
      <c r="B59" s="24" t="inlineStr">
        <is>
          <t>2026-08-06T18:58:40.093175Z</t>
        </is>
      </c>
      <c r="C59" s="24" t="inlineStr">
        <is>
          <t>2026-08-06T20:10Z</t>
        </is>
      </c>
      <c r="D59" s="24" t="inlineStr">
        <is>
          <t>401816422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Seattle Mariners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186</v>
      </c>
      <c r="M59" s="27" t="n">
        <v>2.86</v>
      </c>
      <c r="N59" s="28" t="n">
        <v>0.34965</v>
      </c>
      <c r="O59" s="28" t="n">
        <v>0.406137</v>
      </c>
      <c r="P59" s="28" t="n">
        <v>0.042131</v>
      </c>
      <c r="Q59" s="28" t="n">
        <v>0.056487</v>
      </c>
      <c r="R59" s="26" t="n">
        <v>54</v>
      </c>
      <c r="S59" s="29" t="n">
        <v>1.25</v>
      </c>
      <c r="T59" s="24" t="inlineStr">
        <is>
          <t>measured-edge-margin-v3</t>
        </is>
      </c>
      <c r="U59" s="24" t="inlineStr">
        <is>
          <t>settled</t>
        </is>
      </c>
      <c r="V59" s="24" t="inlineStr">
        <is>
          <t>loss</t>
        </is>
      </c>
      <c r="W59" s="26" t="n">
        <v>11</v>
      </c>
      <c r="X59" s="26" t="n">
        <v>0</v>
      </c>
      <c r="Y59" s="25" t="n">
        <v>-1.5</v>
      </c>
      <c r="Z59" s="26" t="n">
        <v>186</v>
      </c>
      <c r="AA59" s="28" t="n">
        <v>0.35</v>
      </c>
      <c r="AB59" s="28" t="n">
        <v>0.00035</v>
      </c>
      <c r="AC59" s="30" t="n">
        <v>-1.25</v>
      </c>
      <c r="AD59" s="24" t="inlineStr">
        <is>
          <t>2026-08-07T09:06:33.641082Z</t>
        </is>
      </c>
      <c r="AE59" s="31" t="inlineStr">
        <is>
          <t>Measured Edge Margin: Trend Engine projected 4.47-4.82; raw selected-side p=0.3623, calibrated p=0.4061.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NO_CALL_WINNER_OVERVALUED</t>
        </is>
      </c>
      <c r="AP59" s="24" t="inlineStr">
        <is>
          <t>mlb-det</t>
        </is>
      </c>
      <c r="AQ59" s="24" t="inlineStr">
        <is>
          <t>Detroit Tigers</t>
        </is>
      </c>
      <c r="AR59" s="24" t="inlineStr">
        <is>
          <t>Detroit Tigers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dd339a2eed50d7d83ab2127837995ddab82e879afd27f5414bb6c1f9cd60ba4c</t>
        </is>
      </c>
      <c r="BB59" s="24" t="inlineStr">
        <is>
          <t>flat_probability_shrinkage_toward_half</t>
        </is>
      </c>
      <c r="BC59" s="24" t="inlineStr">
        <is>
          <t>measured-edge-margin-v3</t>
        </is>
      </c>
      <c r="BD59" s="24" t="inlineStr">
        <is>
          <t>dd339a2eed50d7d83ab2127837995ddab82e879afd27f5414bb6c1f9cd60ba4c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2026-08-06T18:58:40.093175Z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186</v>
      </c>
      <c r="BL59" s="27" t="n">
        <v>2.86</v>
      </c>
      <c r="BM59" s="28" t="n">
        <v>0.34965</v>
      </c>
      <c r="BN59" s="28" t="n">
        <v>0.348259</v>
      </c>
      <c r="BO59" s="28" t="n"/>
      <c r="BP59" s="25" t="n"/>
      <c r="BQ59" s="27" t="n">
        <v>2.86</v>
      </c>
      <c r="BR59" s="28" t="n">
        <v>0.35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374b024852444047</t>
        </is>
      </c>
      <c r="B60" s="24" t="inlineStr">
        <is>
          <t>2026-08-06T18:58:40.093175Z</t>
        </is>
      </c>
      <c r="C60" s="24" t="inlineStr">
        <is>
          <t>2026-08-06T20:10Z</t>
        </is>
      </c>
      <c r="D60" s="24" t="inlineStr">
        <is>
          <t>401816422</t>
        </is>
      </c>
      <c r="E60" s="24" t="inlineStr">
        <is>
          <t>MLB</t>
        </is>
      </c>
      <c r="F60" s="24" t="inlineStr">
        <is>
          <t>Detroit Tigers</t>
        </is>
      </c>
      <c r="G60" s="24" t="inlineStr">
        <is>
          <t>Seattle Mariners</t>
        </is>
      </c>
      <c r="H60" s="24" t="inlineStr">
        <is>
          <t>total</t>
        </is>
      </c>
      <c r="I60" s="24" t="inlineStr">
        <is>
          <t>over</t>
        </is>
      </c>
      <c r="J60" s="25" t="n">
        <v>7.5</v>
      </c>
      <c r="K60" s="24" t="inlineStr">
        <is>
          <t>polymarket_us</t>
        </is>
      </c>
      <c r="L60" s="26" t="n">
        <v>-113</v>
      </c>
      <c r="M60" s="27" t="n">
        <v>1.884956</v>
      </c>
      <c r="N60" s="28" t="n">
        <v>0.530516</v>
      </c>
      <c r="O60" s="28" t="n">
        <v>0.535235</v>
      </c>
      <c r="P60" s="28" t="n">
        <v>0.042131</v>
      </c>
      <c r="Q60" s="28" t="n">
        <v>0.004719</v>
      </c>
      <c r="R60" s="26" t="n">
        <v>29</v>
      </c>
      <c r="S60" s="29" t="n">
        <v>1</v>
      </c>
      <c r="T60" s="24" t="inlineStr">
        <is>
          <t>measured-edge-totals-v3</t>
        </is>
      </c>
      <c r="U60" s="24" t="inlineStr">
        <is>
          <t>settled</t>
        </is>
      </c>
      <c r="V60" s="24" t="inlineStr">
        <is>
          <t>win</t>
        </is>
      </c>
      <c r="W60" s="26" t="n">
        <v>11</v>
      </c>
      <c r="X60" s="26" t="n">
        <v>0</v>
      </c>
      <c r="Y60" s="25" t="n">
        <v>7.5</v>
      </c>
      <c r="Z60" s="26" t="n">
        <v>-113</v>
      </c>
      <c r="AA60" s="28" t="n">
        <v>0.53</v>
      </c>
      <c r="AB60" s="28" t="n">
        <v>-0.000516</v>
      </c>
      <c r="AC60" s="30" t="n">
        <v>0.885</v>
      </c>
      <c r="AD60" s="24" t="inlineStr">
        <is>
          <t>2026-08-07T09:06:34.782154Z</t>
        </is>
      </c>
      <c r="AE60" s="31" t="inlineStr">
        <is>
          <t>Measured Edge Totals: Trend Engine projected 4.47-4.82; raw selected-side p=0.6185, calibrated p=0.5352.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NO_CALL_WINNER_OVERVALUED</t>
        </is>
      </c>
      <c r="AP60" s="24" t="inlineStr">
        <is>
          <t>mlb-det</t>
        </is>
      </c>
      <c r="AQ60" s="24" t="inlineStr">
        <is>
          <t>Detroit Tigers</t>
        </is>
      </c>
      <c r="AR60" s="24" t="inlineStr">
        <is>
          <t>Detroit Tigers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95b84332c75d2ce54036eb8de6ada9c78d0f80228c50825c0347281a8b9b49c7</t>
        </is>
      </c>
      <c r="BB60" s="24" t="inlineStr">
        <is>
          <t>flat_probability_shrinkage_toward_half</t>
        </is>
      </c>
      <c r="BC60" s="24" t="inlineStr">
        <is>
          <t>measured-edge-totals-v3</t>
        </is>
      </c>
      <c r="BD60" s="24" t="inlineStr">
        <is>
          <t>95b84332c75d2ce54036eb8de6ada9c78d0f80228c50825c0347281a8b9b49c7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2026-08-06T18:58:40.093175Z</t>
        </is>
      </c>
      <c r="BI60" s="24" t="inlineStr">
        <is>
          <t>["same_event","same_team_same_day","same_league_same_day"]</t>
        </is>
      </c>
      <c r="BJ60" s="25" t="n">
        <v>7.5</v>
      </c>
      <c r="BK60" s="26" t="n">
        <v>-113</v>
      </c>
      <c r="BL60" s="27" t="n">
        <v>1.884956</v>
      </c>
      <c r="BM60" s="28" t="n">
        <v>0.530516</v>
      </c>
      <c r="BN60" s="28" t="n">
        <v>0.527363</v>
      </c>
      <c r="BO60" s="28" t="n"/>
      <c r="BP60" s="25" t="n"/>
      <c r="BQ60" s="27" t="n">
        <v>1.884956</v>
      </c>
      <c r="BR60" s="28" t="n">
        <v>0.53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30f93105ab19471c</t>
        </is>
      </c>
      <c r="B61" s="24" t="inlineStr">
        <is>
          <t>2026-08-06T18:58:40.093175Z</t>
        </is>
      </c>
      <c r="C61" s="24" t="inlineStr">
        <is>
          <t>2026-08-06T22:05Z</t>
        </is>
      </c>
      <c r="D61" s="24" t="inlineStr">
        <is>
          <t>401816419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Philadelphia Phillies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106</v>
      </c>
      <c r="M61" s="27" t="n">
        <v>2.06</v>
      </c>
      <c r="N61" s="28" t="n">
        <v>0.485437</v>
      </c>
      <c r="O61" s="28" t="n">
        <v>0.396529</v>
      </c>
      <c r="P61" s="28" t="n">
        <v>0.042131</v>
      </c>
      <c r="Q61" s="28" t="n">
        <v>-0.088908</v>
      </c>
      <c r="R61" s="26" t="n">
        <v>0</v>
      </c>
      <c r="S61" s="29" t="n">
        <v>1.5</v>
      </c>
      <c r="T61" s="24" t="inlineStr">
        <is>
          <t>measured-edge-margin-v3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7</v>
      </c>
      <c r="Y61" s="25" t="n">
        <v>-2.5</v>
      </c>
      <c r="Z61" s="26" t="n">
        <v>106</v>
      </c>
      <c r="AA61" s="28" t="n">
        <v>0.485</v>
      </c>
      <c r="AB61" s="28" t="n">
        <v>-0.000437</v>
      </c>
      <c r="AC61" s="30" t="n">
        <v>1.59</v>
      </c>
      <c r="AD61" s="24" t="inlineStr">
        <is>
          <t>2026-08-07T09:06:35.981159Z</t>
        </is>
      </c>
      <c r="AE61" s="31" t="inlineStr">
        <is>
          <t>Measured Edge Margin: Trend Engine projected 4.15-5.34; raw selected-side p=0.3482, calibrated p=0.3965.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NO_CALL_WINNER_OVERVALUED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mlb-phi</t>
        </is>
      </c>
      <c r="AT61" s="24" t="inlineStr">
        <is>
          <t>Philadelphia Phillies</t>
        </is>
      </c>
      <c r="AU61" s="24" t="inlineStr">
        <is>
          <t>Philadelphia Phillies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dd339a2eed50d7d83ab2127837995ddab82e879afd27f5414bb6c1f9cd60ba4c</t>
        </is>
      </c>
      <c r="BB61" s="24" t="inlineStr">
        <is>
          <t>flat_probability_shrinkage_toward_half</t>
        </is>
      </c>
      <c r="BC61" s="24" t="inlineStr">
        <is>
          <t>measured-edge-margin-v3</t>
        </is>
      </c>
      <c r="BD61" s="24" t="inlineStr">
        <is>
          <t>dd339a2eed50d7d83ab2127837995ddab82e879afd27f5414bb6c1f9cd60ba4c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2026-08-06T18:58:40.093175Z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106</v>
      </c>
      <c r="BL61" s="27" t="n">
        <v>2.06</v>
      </c>
      <c r="BM61" s="28" t="n">
        <v>0.485437</v>
      </c>
      <c r="BN61" s="28" t="n">
        <v>0.482587</v>
      </c>
      <c r="BO61" s="28" t="n"/>
      <c r="BP61" s="25" t="n"/>
      <c r="BQ61" s="27" t="n">
        <v>2.06</v>
      </c>
      <c r="BR61" s="28" t="n">
        <v>0.485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</row>
    <row r="62" ht="36" customHeight="1">
      <c r="A62" s="24" t="inlineStr">
        <is>
          <t>b02057f77180421f</t>
        </is>
      </c>
      <c r="B62" s="24" t="inlineStr">
        <is>
          <t>2026-08-06T18:58:40.093175Z</t>
        </is>
      </c>
      <c r="C62" s="24" t="inlineStr">
        <is>
          <t>2026-08-06T22:05Z</t>
        </is>
      </c>
      <c r="D62" s="24" t="inlineStr">
        <is>
          <t>401816419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Philadelphia Phillies</t>
        </is>
      </c>
      <c r="H62" s="24" t="inlineStr">
        <is>
          <t>total</t>
        </is>
      </c>
      <c r="I62" s="24" t="inlineStr">
        <is>
          <t>over</t>
        </is>
      </c>
      <c r="J62" s="25" t="n">
        <v>8.5</v>
      </c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0.520878</v>
      </c>
      <c r="P62" s="28" t="n">
        <v>0.042131</v>
      </c>
      <c r="Q62" s="28" t="n">
        <v>-0.018293</v>
      </c>
      <c r="R62" s="26" t="n">
        <v>17</v>
      </c>
      <c r="S62" s="29" t="n">
        <v>1</v>
      </c>
      <c r="T62" s="24" t="inlineStr">
        <is>
          <t>measured-edge-totals-v3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7</v>
      </c>
      <c r="Y62" s="25" t="n">
        <v>8.5</v>
      </c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2026-08-07T09:06:37.125918Z</t>
        </is>
      </c>
      <c r="AE62" s="31" t="inlineStr">
        <is>
          <t>Measured Edge Totals: Trend Engine projected 4.15-5.34; raw selected-side p=0.5607, calibrated p=0.5209.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NO_CALL_WINNER_OVERVALUED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mlb-phi</t>
        </is>
      </c>
      <c r="AT62" s="24" t="inlineStr">
        <is>
          <t>Philadelphia Phillies</t>
        </is>
      </c>
      <c r="AU62" s="24" t="inlineStr">
        <is>
          <t>Philadelphia Phillies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95b84332c75d2ce54036eb8de6ada9c78d0f80228c50825c0347281a8b9b49c7</t>
        </is>
      </c>
      <c r="BB62" s="24" t="inlineStr">
        <is>
          <t>flat_probability_shrinkage_toward_half</t>
        </is>
      </c>
      <c r="BC62" s="24" t="inlineStr">
        <is>
          <t>measured-edge-totals-v3</t>
        </is>
      </c>
      <c r="BD62" s="24" t="inlineStr">
        <is>
          <t>95b84332c75d2ce54036eb8de6ada9c78d0f80228c50825c0347281a8b9b49c7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2026-08-06T18:58:40.093175Z</t>
        </is>
      </c>
      <c r="BI62" s="24" t="inlineStr">
        <is>
          <t>["same_event","same_team_same_day","same_league_same_day"]</t>
        </is>
      </c>
      <c r="BJ62" s="25" t="n">
        <v>8.5</v>
      </c>
      <c r="BK62" s="26" t="n">
        <v>-117</v>
      </c>
      <c r="BL62" s="27" t="n">
        <v>1.854701</v>
      </c>
      <c r="BM62" s="28" t="n">
        <v>0.539171</v>
      </c>
      <c r="BN62" s="28" t="n">
        <v>0.537313</v>
      </c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e6d3a757381c48e3</t>
        </is>
      </c>
      <c r="B63" s="24" t="inlineStr">
        <is>
          <t>2026-08-06T18:58:40.093175Z</t>
        </is>
      </c>
      <c r="C63" s="24" t="inlineStr">
        <is>
          <t>2026-08-06T23:10Z</t>
        </is>
      </c>
      <c r="D63" s="24" t="inlineStr">
        <is>
          <t>401816416</t>
        </is>
      </c>
      <c r="E63" s="24" t="inlineStr">
        <is>
          <t>MLB</t>
        </is>
      </c>
      <c r="F63" s="24" t="inlineStr">
        <is>
          <t>Chicago White Sox</t>
        </is>
      </c>
      <c r="G63" s="24" t="inlineStr">
        <is>
          <t>Boston Red Sox</t>
        </is>
      </c>
      <c r="H63" s="24" t="inlineStr">
        <is>
          <t>spread</t>
        </is>
      </c>
      <c r="I63" s="24" t="inlineStr">
        <is>
          <t>home</t>
        </is>
      </c>
      <c r="J63" s="25" t="n">
        <v>-1.5</v>
      </c>
      <c r="K63" s="24" t="inlineStr">
        <is>
          <t>polymarket_us</t>
        </is>
      </c>
      <c r="L63" s="26" t="n">
        <v>111</v>
      </c>
      <c r="M63" s="27" t="n">
        <v>2.11</v>
      </c>
      <c r="N63" s="28" t="n">
        <v>0.473934</v>
      </c>
      <c r="O63" s="28" t="n">
        <v>0.433223</v>
      </c>
      <c r="P63" s="28" t="n">
        <v>0.042131</v>
      </c>
      <c r="Q63" s="28" t="n">
        <v>-0.040711</v>
      </c>
      <c r="R63" s="26" t="n">
        <v>5</v>
      </c>
      <c r="S63" s="29" t="n">
        <v>1.25</v>
      </c>
      <c r="T63" s="24" t="inlineStr">
        <is>
          <t>measured-edge-margin-v3</t>
        </is>
      </c>
      <c r="U63" s="24" t="inlineStr">
        <is>
          <t>settled</t>
        </is>
      </c>
      <c r="V63" s="24" t="inlineStr">
        <is>
          <t>loss</t>
        </is>
      </c>
      <c r="W63" s="26" t="n">
        <v>11</v>
      </c>
      <c r="X63" s="26" t="n">
        <v>12</v>
      </c>
      <c r="Y63" s="25" t="n">
        <v>-1.5</v>
      </c>
      <c r="Z63" s="26" t="n">
        <v>111</v>
      </c>
      <c r="AA63" s="28" t="n">
        <v>0.475</v>
      </c>
      <c r="AB63" s="28" t="n">
        <v>0.001066</v>
      </c>
      <c r="AC63" s="30" t="n">
        <v>-1.25</v>
      </c>
      <c r="AD63" s="24" t="inlineStr">
        <is>
          <t>2026-08-07T09:06:38.295379Z</t>
        </is>
      </c>
      <c r="AE63" s="31" t="inlineStr">
        <is>
          <t>Measured Edge Margin: Trend Engine projected 4.15-4.89; raw selected-side p=0.4020, calibrated p=0.4332.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NO_CALL_WINNER_OVERVALUED</t>
        </is>
      </c>
      <c r="AP63" s="24" t="inlineStr">
        <is>
          <t>mlb-cws</t>
        </is>
      </c>
      <c r="AQ63" s="24" t="inlineStr">
        <is>
          <t>Chicago White Sox</t>
        </is>
      </c>
      <c r="AR63" s="24" t="inlineStr">
        <is>
          <t>Chicago White Sox</t>
        </is>
      </c>
      <c r="AS63" s="24" t="inlineStr">
        <is>
          <t>mlb-bos</t>
        </is>
      </c>
      <c r="AT63" s="24" t="inlineStr">
        <is>
          <t>Boston Red Sox</t>
        </is>
      </c>
      <c r="AU63" s="24" t="inlineStr">
        <is>
          <t>Boston Red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dd339a2eed50d7d83ab2127837995ddab82e879afd27f5414bb6c1f9cd60ba4c</t>
        </is>
      </c>
      <c r="BB63" s="24" t="inlineStr">
        <is>
          <t>flat_probability_shrinkage_toward_half</t>
        </is>
      </c>
      <c r="BC63" s="24" t="inlineStr">
        <is>
          <t>measured-edge-margin-v3</t>
        </is>
      </c>
      <c r="BD63" s="24" t="inlineStr">
        <is>
          <t>dd339a2eed50d7d83ab2127837995ddab82e879afd27f5414bb6c1f9cd60ba4c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2026-08-06T18:58:40.093175Z</t>
        </is>
      </c>
      <c r="BI63" s="24" t="inlineStr">
        <is>
          <t>["same_event","same_team_same_day","same_league_same_day"]</t>
        </is>
      </c>
      <c r="BJ63" s="25" t="n">
        <v>-1.5</v>
      </c>
      <c r="BK63" s="26" t="n">
        <v>111</v>
      </c>
      <c r="BL63" s="27" t="n">
        <v>2.11</v>
      </c>
      <c r="BM63" s="28" t="n">
        <v>0.473934</v>
      </c>
      <c r="BN63" s="28" t="n">
        <v>0.472637</v>
      </c>
      <c r="BO63" s="28" t="n"/>
      <c r="BP63" s="25" t="n"/>
      <c r="BQ63" s="27" t="n">
        <v>2.11</v>
      </c>
      <c r="BR63" s="28" t="n">
        <v>0.475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</row>
    <row r="64" ht="36" customHeight="1">
      <c r="A64" s="24" t="inlineStr">
        <is>
          <t>e5c9d2dd1168445c</t>
        </is>
      </c>
      <c r="B64" s="24" t="inlineStr">
        <is>
          <t>2026-08-06T18:58:40.093175Z</t>
        </is>
      </c>
      <c r="C64" s="24" t="inlineStr">
        <is>
          <t>2026-08-06T23:10Z</t>
        </is>
      </c>
      <c r="D64" s="24" t="inlineStr">
        <is>
          <t>401816416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Boston Red Sox</t>
        </is>
      </c>
      <c r="H64" s="24" t="inlineStr">
        <is>
          <t>total</t>
        </is>
      </c>
      <c r="I64" s="24" t="inlineStr">
        <is>
          <t>over</t>
        </is>
      </c>
      <c r="J64" s="25" t="n">
        <v>8.5</v>
      </c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0.511737</v>
      </c>
      <c r="P64" s="28" t="n">
        <v>0.042131</v>
      </c>
      <c r="Q64" s="28" t="n">
        <v>-0.018779</v>
      </c>
      <c r="R64" s="26" t="n">
        <v>17</v>
      </c>
      <c r="S64" s="29" t="n">
        <v>1</v>
      </c>
      <c r="T64" s="24" t="inlineStr">
        <is>
          <t>measured-edge-totals-v3</t>
        </is>
      </c>
      <c r="U64" s="24" t="inlineStr">
        <is>
          <t>settled</t>
        </is>
      </c>
      <c r="V64" s="24" t="inlineStr">
        <is>
          <t>win</t>
        </is>
      </c>
      <c r="W64" s="26" t="n">
        <v>11</v>
      </c>
      <c r="X64" s="26" t="n">
        <v>12</v>
      </c>
      <c r="Y64" s="25" t="n">
        <v>8.5</v>
      </c>
      <c r="Z64" s="26" t="n">
        <v>-113</v>
      </c>
      <c r="AA64" s="28" t="n">
        <v>0.53</v>
      </c>
      <c r="AB64" s="28" t="n">
        <v>-0.000516</v>
      </c>
      <c r="AC64" s="30" t="n">
        <v>0.885</v>
      </c>
      <c r="AD64" s="24" t="inlineStr">
        <is>
          <t>2026-08-07T09:06:39.427778Z</t>
        </is>
      </c>
      <c r="AE64" s="31" t="inlineStr">
        <is>
          <t>Measured Edge Totals: Trend Engine projected 4.15-4.89; raw selected-side p=0.5239, calibrated p=0.5117.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NO_CALL_WINNER_OVERVALUED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mlb-bos</t>
        </is>
      </c>
      <c r="AT64" s="24" t="inlineStr">
        <is>
          <t>Boston Red Sox</t>
        </is>
      </c>
      <c r="AU64" s="24" t="inlineStr">
        <is>
          <t>Boston Red Sox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95b84332c75d2ce54036eb8de6ada9c78d0f80228c50825c0347281a8b9b49c7</t>
        </is>
      </c>
      <c r="BB64" s="24" t="inlineStr">
        <is>
          <t>flat_probability_shrinkage_toward_half</t>
        </is>
      </c>
      <c r="BC64" s="24" t="inlineStr">
        <is>
          <t>measured-edge-totals-v3</t>
        </is>
      </c>
      <c r="BD64" s="24" t="inlineStr">
        <is>
          <t>95b84332c75d2ce54036eb8de6ada9c78d0f80228c50825c0347281a8b9b49c7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2026-08-06T18:58:40.093175Z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-113</v>
      </c>
      <c r="BL64" s="27" t="n">
        <v>1.884956</v>
      </c>
      <c r="BM64" s="28" t="n">
        <v>0.530516</v>
      </c>
      <c r="BN64" s="28" t="n">
        <v>0.527363</v>
      </c>
      <c r="BO64" s="28" t="n"/>
      <c r="BP64" s="25" t="n"/>
      <c r="BQ64" s="27" t="n">
        <v>1.884956</v>
      </c>
      <c r="BR64" s="28" t="n">
        <v>0.53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d03151d4d9c1491c</t>
        </is>
      </c>
      <c r="B65" s="24" t="inlineStr">
        <is>
          <t>2026-08-06T18:58:40.093175Z</t>
        </is>
      </c>
      <c r="C65" s="24" t="inlineStr">
        <is>
          <t>2026-08-06T23:15Z</t>
        </is>
      </c>
      <c r="D65" s="24" t="inlineStr">
        <is>
          <t>401816417</t>
        </is>
      </c>
      <c r="E65" s="24" t="inlineStr">
        <is>
          <t>MLB</t>
        </is>
      </c>
      <c r="F65" s="24" t="inlineStr">
        <is>
          <t>Miami Marlins</t>
        </is>
      </c>
      <c r="G65" s="24" t="inlineStr">
        <is>
          <t>Atlanta Braves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144</v>
      </c>
      <c r="M65" s="27" t="n">
        <v>2.44</v>
      </c>
      <c r="N65" s="28" t="n">
        <v>0.409836</v>
      </c>
      <c r="O65" s="28" t="n">
        <v>0.4044</v>
      </c>
      <c r="P65" s="28" t="n">
        <v>0.042131</v>
      </c>
      <c r="Q65" s="28" t="n">
        <v>-0.005436</v>
      </c>
      <c r="R65" s="26" t="n">
        <v>23</v>
      </c>
      <c r="S65" s="29" t="n">
        <v>1.25</v>
      </c>
      <c r="T65" s="24" t="inlineStr">
        <is>
          <t>measured-edge-margin-v3</t>
        </is>
      </c>
      <c r="U65" s="24" t="inlineStr">
        <is>
          <t>settled</t>
        </is>
      </c>
      <c r="V65" s="24" t="inlineStr">
        <is>
          <t>win</t>
        </is>
      </c>
      <c r="W65" s="26" t="n">
        <v>3</v>
      </c>
      <c r="X65" s="26" t="n">
        <v>11</v>
      </c>
      <c r="Y65" s="25" t="n">
        <v>-1.5</v>
      </c>
      <c r="Z65" s="26" t="n">
        <v>144</v>
      </c>
      <c r="AA65" s="28" t="n">
        <v>0.41</v>
      </c>
      <c r="AB65" s="28" t="n">
        <v>0.000164</v>
      </c>
      <c r="AC65" s="30" t="n">
        <v>1.8</v>
      </c>
      <c r="AD65" s="24" t="inlineStr">
        <is>
          <t>2026-08-07T09:06:40.603325Z</t>
        </is>
      </c>
      <c r="AE65" s="31" t="inlineStr">
        <is>
          <t>Measured Edge Margin: Trend Engine projected 4.25-4.56; raw selected-side p=0.3597, calibrated p=0.4044.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NO_CALL_WINNER_OVERVALUED</t>
        </is>
      </c>
      <c r="AP65" s="24" t="inlineStr">
        <is>
          <t>mlb-mia</t>
        </is>
      </c>
      <c r="AQ65" s="24" t="inlineStr">
        <is>
          <t>Miami Marlins</t>
        </is>
      </c>
      <c r="AR65" s="24" t="inlineStr">
        <is>
          <t>Miami Marlins</t>
        </is>
      </c>
      <c r="AS65" s="24" t="inlineStr">
        <is>
          <t>mlb-atl</t>
        </is>
      </c>
      <c r="AT65" s="24" t="inlineStr">
        <is>
          <t>Atlanta Braves</t>
        </is>
      </c>
      <c r="AU65" s="24" t="inlineStr">
        <is>
          <t>Atlanta Braves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dd339a2eed50d7d83ab2127837995ddab82e879afd27f5414bb6c1f9cd60ba4c</t>
        </is>
      </c>
      <c r="BB65" s="24" t="inlineStr">
        <is>
          <t>flat_probability_shrinkage_toward_half</t>
        </is>
      </c>
      <c r="BC65" s="24" t="inlineStr">
        <is>
          <t>measured-edge-margin-v3</t>
        </is>
      </c>
      <c r="BD65" s="24" t="inlineStr">
        <is>
          <t>dd339a2eed50d7d83ab2127837995ddab82e879afd27f5414bb6c1f9cd60ba4c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2026-08-06T18:58:40.093175Z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144</v>
      </c>
      <c r="BL65" s="27" t="n">
        <v>2.44</v>
      </c>
      <c r="BM65" s="28" t="n">
        <v>0.409836</v>
      </c>
      <c r="BN65" s="28" t="n">
        <v>0.40796</v>
      </c>
      <c r="BO65" s="28" t="n"/>
      <c r="BP65" s="25" t="n"/>
      <c r="BQ65" s="27" t="n">
        <v>2.44</v>
      </c>
      <c r="BR65" s="28" t="n">
        <v>0.41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</row>
    <row r="66" ht="36" customHeight="1">
      <c r="A66" s="24" t="inlineStr">
        <is>
          <t>5d89f94deb7543e8</t>
        </is>
      </c>
      <c r="B66" s="24" t="inlineStr">
        <is>
          <t>2026-08-06T18:58:40.093175Z</t>
        </is>
      </c>
      <c r="C66" s="24" t="inlineStr">
        <is>
          <t>2026-08-06T23:15Z</t>
        </is>
      </c>
      <c r="D66" s="24" t="inlineStr">
        <is>
          <t>401816417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Atlanta Braves</t>
        </is>
      </c>
      <c r="H66" s="24" t="inlineStr">
        <is>
          <t>total</t>
        </is>
      </c>
      <c r="I66" s="24" t="inlineStr">
        <is>
          <t>under</t>
        </is>
      </c>
      <c r="J66" s="25" t="n">
        <v>9.5</v>
      </c>
      <c r="K66" s="24" t="inlineStr">
        <is>
          <t>polymarket_us</t>
        </is>
      </c>
      <c r="L66" s="26" t="n">
        <v>-125</v>
      </c>
      <c r="M66" s="27" t="n">
        <v>1.8</v>
      </c>
      <c r="N66" s="28" t="n">
        <v>0.555556</v>
      </c>
      <c r="O66" s="28" t="n">
        <v>0.5349120000000001</v>
      </c>
      <c r="P66" s="28" t="n">
        <v>0.042131</v>
      </c>
      <c r="Q66" s="28" t="n">
        <v>-0.020644</v>
      </c>
      <c r="R66" s="26" t="n">
        <v>16</v>
      </c>
      <c r="S66" s="29" t="n">
        <v>1</v>
      </c>
      <c r="T66" s="24" t="inlineStr">
        <is>
          <t>measured-edge-totals-v3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11</v>
      </c>
      <c r="Y66" s="25" t="n">
        <v>9.5</v>
      </c>
      <c r="Z66" s="26" t="n">
        <v>-125</v>
      </c>
      <c r="AA66" s="28" t="n">
        <v>0.555</v>
      </c>
      <c r="AB66" s="28" t="n">
        <v>-0.000556</v>
      </c>
      <c r="AC66" s="30" t="n">
        <v>-1</v>
      </c>
      <c r="AD66" s="24" t="inlineStr">
        <is>
          <t>2026-08-07T09:06:41.732187Z</t>
        </is>
      </c>
      <c r="AE66" s="31" t="inlineStr">
        <is>
          <t>Measured Edge Totals: Trend Engine projected 4.25-4.56; raw selected-side p=0.6172, calibrated p=0.5349.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NO_CALL_WINNER_OVERVALUED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mlb-atl</t>
        </is>
      </c>
      <c r="AT66" s="24" t="inlineStr">
        <is>
          <t>Atlanta Braves</t>
        </is>
      </c>
      <c r="AU66" s="24" t="inlineStr">
        <is>
          <t>Atlanta Braves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95b84332c75d2ce54036eb8de6ada9c78d0f80228c50825c0347281a8b9b49c7</t>
        </is>
      </c>
      <c r="BB66" s="24" t="inlineStr">
        <is>
          <t>flat_probability_shrinkage_toward_half</t>
        </is>
      </c>
      <c r="BC66" s="24" t="inlineStr">
        <is>
          <t>measured-edge-totals-v3</t>
        </is>
      </c>
      <c r="BD66" s="24" t="inlineStr">
        <is>
          <t>95b84332c75d2ce54036eb8de6ada9c78d0f80228c50825c0347281a8b9b49c7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2026-08-06T18:58:40.093175Z</t>
        </is>
      </c>
      <c r="BI66" s="24" t="inlineStr">
        <is>
          <t>["same_event","same_team_same_day","same_league_same_day"]</t>
        </is>
      </c>
      <c r="BJ66" s="25" t="n">
        <v>9.5</v>
      </c>
      <c r="BK66" s="26" t="n">
        <v>-125</v>
      </c>
      <c r="BL66" s="27" t="n">
        <v>1.8</v>
      </c>
      <c r="BM66" s="28" t="n">
        <v>0.555556</v>
      </c>
      <c r="BN66" s="28" t="n">
        <v>0.552239</v>
      </c>
      <c r="BO66" s="28" t="n"/>
      <c r="BP66" s="25" t="n"/>
      <c r="BQ66" s="27" t="n">
        <v>1.8</v>
      </c>
      <c r="BR66" s="28" t="n">
        <v>0.555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25e29ff339434141</t>
        </is>
      </c>
      <c r="B67" s="24" t="inlineStr">
        <is>
          <t>2026-08-06T18:58:40.093175Z</t>
        </is>
      </c>
      <c r="C67" s="24" t="inlineStr">
        <is>
          <t>2026-08-06T23:30Z</t>
        </is>
      </c>
      <c r="D67" s="24" t="inlineStr">
        <is>
          <t>401816420</t>
        </is>
      </c>
      <c r="E67" s="24" t="inlineStr">
        <is>
          <t>MLB</t>
        </is>
      </c>
      <c r="F67" s="24" t="inlineStr">
        <is>
          <t>Minnesota Twins</t>
        </is>
      </c>
      <c r="G67" s="24" t="inlineStr">
        <is>
          <t>Kansas City Royals</t>
        </is>
      </c>
      <c r="H67" s="24" t="inlineStr">
        <is>
          <t>spread</t>
        </is>
      </c>
      <c r="I67" s="24" t="inlineStr">
        <is>
          <t>home</t>
        </is>
      </c>
      <c r="J67" s="25" t="n">
        <v>-1.5</v>
      </c>
      <c r="K67" s="24" t="inlineStr">
        <is>
          <t>polymarket_us</t>
        </is>
      </c>
      <c r="L67" s="26" t="n">
        <v>174</v>
      </c>
      <c r="M67" s="27" t="n">
        <v>2.74</v>
      </c>
      <c r="N67" s="28" t="n">
        <v>0.364964</v>
      </c>
      <c r="O67" s="28" t="n">
        <v>0.409306</v>
      </c>
      <c r="P67" s="28" t="n">
        <v>0.042131</v>
      </c>
      <c r="Q67" s="28" t="n">
        <v>0.044342</v>
      </c>
      <c r="R67" s="26" t="n">
        <v>48</v>
      </c>
      <c r="S67" s="29" t="n">
        <v>1.25</v>
      </c>
      <c r="T67" s="24" t="inlineStr">
        <is>
          <t>measured-edge-margin-v3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3</v>
      </c>
      <c r="Y67" s="25" t="n">
        <v>-1.5</v>
      </c>
      <c r="Z67" s="26" t="n">
        <v>174</v>
      </c>
      <c r="AA67" s="28" t="n">
        <v>0.365</v>
      </c>
      <c r="AB67" s="28" t="n">
        <v>3.6e-05</v>
      </c>
      <c r="AC67" s="30" t="n">
        <v>-1.25</v>
      </c>
      <c r="AD67" s="24" t="inlineStr">
        <is>
          <t>2026-08-07T09:06:42.895820Z</t>
        </is>
      </c>
      <c r="AE67" s="31" t="inlineStr">
        <is>
          <t>Measured Edge Margin: Trend Engine projected 4.42-4.83; raw selected-side p=0.3669, calibrated p=0.4093.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NO_CALL_WINNER_OVERVALUED</t>
        </is>
      </c>
      <c r="AP67" s="24" t="inlineStr">
        <is>
          <t>mlb-min</t>
        </is>
      </c>
      <c r="AQ67" s="24" t="inlineStr">
        <is>
          <t>Minnesota Twins</t>
        </is>
      </c>
      <c r="AR67" s="24" t="inlineStr">
        <is>
          <t>Minnesota Twins</t>
        </is>
      </c>
      <c r="AS67" s="24" t="inlineStr">
        <is>
          <t>mlb-kc</t>
        </is>
      </c>
      <c r="AT67" s="24" t="inlineStr">
        <is>
          <t>Kansas City Royals</t>
        </is>
      </c>
      <c r="AU67" s="24" t="inlineStr">
        <is>
          <t>Kansas City Royals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dd339a2eed50d7d83ab2127837995ddab82e879afd27f5414bb6c1f9cd60ba4c</t>
        </is>
      </c>
      <c r="BB67" s="24" t="inlineStr">
        <is>
          <t>flat_probability_shrinkage_toward_half</t>
        </is>
      </c>
      <c r="BC67" s="24" t="inlineStr">
        <is>
          <t>measured-edge-margin-v3</t>
        </is>
      </c>
      <c r="BD67" s="24" t="inlineStr">
        <is>
          <t>dd339a2eed50d7d83ab2127837995ddab82e879afd27f5414bb6c1f9cd60ba4c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2026-08-06T18:58:40.093175Z</t>
        </is>
      </c>
      <c r="BI67" s="24" t="inlineStr">
        <is>
          <t>["same_event","same_team_same_day","same_league_same_day"]</t>
        </is>
      </c>
      <c r="BJ67" s="25" t="n">
        <v>-1.5</v>
      </c>
      <c r="BK67" s="26" t="n">
        <v>174</v>
      </c>
      <c r="BL67" s="27" t="n">
        <v>2.74</v>
      </c>
      <c r="BM67" s="28" t="n">
        <v>0.364964</v>
      </c>
      <c r="BN67" s="28" t="n">
        <v>0.363184</v>
      </c>
      <c r="BO67" s="28" t="n"/>
      <c r="BP67" s="25" t="n"/>
      <c r="BQ67" s="27" t="n">
        <v>2.74</v>
      </c>
      <c r="BR67" s="28" t="n">
        <v>0.365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c5934bf90d1b4d88</t>
        </is>
      </c>
      <c r="B68" s="24" t="inlineStr">
        <is>
          <t>2026-08-06T18:58:40.093175Z</t>
        </is>
      </c>
      <c r="C68" s="24" t="inlineStr">
        <is>
          <t>2026-08-06T23:30Z</t>
        </is>
      </c>
      <c r="D68" s="24" t="inlineStr">
        <is>
          <t>401816420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Kansas City Royals</t>
        </is>
      </c>
      <c r="H68" s="24" t="inlineStr">
        <is>
          <t>total</t>
        </is>
      </c>
      <c r="I68" s="24" t="inlineStr">
        <is>
          <t>over</t>
        </is>
      </c>
      <c r="J68" s="25" t="n">
        <v>8.5</v>
      </c>
      <c r="K68" s="24" t="inlineStr">
        <is>
          <t>polymarket_us</t>
        </is>
      </c>
      <c r="L68" s="26" t="n">
        <v>-117</v>
      </c>
      <c r="M68" s="27" t="n">
        <v>1.854701</v>
      </c>
      <c r="N68" s="28" t="n">
        <v>0.539171</v>
      </c>
      <c r="O68" s="28" t="n">
        <v>0.515463</v>
      </c>
      <c r="P68" s="28" t="n">
        <v>0.042131</v>
      </c>
      <c r="Q68" s="28" t="n">
        <v>-0.023708</v>
      </c>
      <c r="R68" s="26" t="n">
        <v>14</v>
      </c>
      <c r="S68" s="29" t="n">
        <v>1</v>
      </c>
      <c r="T68" s="24" t="inlineStr">
        <is>
          <t>measured-edge-totals-v3</t>
        </is>
      </c>
      <c r="U68" s="24" t="inlineStr">
        <is>
          <t>settled</t>
        </is>
      </c>
      <c r="V68" s="24" t="inlineStr">
        <is>
          <t>loss</t>
        </is>
      </c>
      <c r="W68" s="26" t="n">
        <v>4</v>
      </c>
      <c r="X68" s="26" t="n">
        <v>3</v>
      </c>
      <c r="Y68" s="25" t="n">
        <v>8.5</v>
      </c>
      <c r="Z68" s="26" t="n">
        <v>-117</v>
      </c>
      <c r="AA68" s="28" t="n">
        <v>0.54</v>
      </c>
      <c r="AB68" s="28" t="n">
        <v>0.000829</v>
      </c>
      <c r="AC68" s="30" t="n">
        <v>-1</v>
      </c>
      <c r="AD68" s="24" t="inlineStr">
        <is>
          <t>2026-08-07T09:06:44.032015Z</t>
        </is>
      </c>
      <c r="AE68" s="31" t="inlineStr">
        <is>
          <t>Measured Edge Totals: Trend Engine projected 4.42-4.83; raw selected-side p=0.5389, calibrated p=0.5155.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NO_CALL_WINNER_OVERVALUED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mlb-kc</t>
        </is>
      </c>
      <c r="AT68" s="24" t="inlineStr">
        <is>
          <t>Kansas City Royals</t>
        </is>
      </c>
      <c r="AU68" s="24" t="inlineStr">
        <is>
          <t>Kansas City Royals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95b84332c75d2ce54036eb8de6ada9c78d0f80228c50825c0347281a8b9b49c7</t>
        </is>
      </c>
      <c r="BB68" s="24" t="inlineStr">
        <is>
          <t>flat_probability_shrinkage_toward_half</t>
        </is>
      </c>
      <c r="BC68" s="24" t="inlineStr">
        <is>
          <t>measured-edge-totals-v3</t>
        </is>
      </c>
      <c r="BD68" s="24" t="inlineStr">
        <is>
          <t>95b84332c75d2ce54036eb8de6ada9c78d0f80228c50825c0347281a8b9b49c7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2026-08-06T18:58:40.093175Z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-117</v>
      </c>
      <c r="BL68" s="27" t="n">
        <v>1.854701</v>
      </c>
      <c r="BM68" s="28" t="n">
        <v>0.539171</v>
      </c>
      <c r="BN68" s="28" t="n">
        <v>0.537313</v>
      </c>
      <c r="BO68" s="28" t="n"/>
      <c r="BP68" s="25" t="n"/>
      <c r="BQ68" s="27" t="n">
        <v>1.854701</v>
      </c>
      <c r="BR68" s="28" t="n">
        <v>0.54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</row>
    <row r="69" ht="36" customHeight="1">
      <c r="A69" s="24" t="inlineStr">
        <is>
          <t>634c36fa715241fd</t>
        </is>
      </c>
      <c r="B69" s="24" t="inlineStr">
        <is>
          <t>2026-08-06T18:58:40.093175Z</t>
        </is>
      </c>
      <c r="C69" s="24" t="inlineStr">
        <is>
          <t>2026-08-07T01:40Z</t>
        </is>
      </c>
      <c r="D69" s="24" t="inlineStr">
        <is>
          <t>401816423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Arizona Diamondbacks</t>
        </is>
      </c>
      <c r="H69" s="24" t="inlineStr">
        <is>
          <t>spread</t>
        </is>
      </c>
      <c r="I69" s="24" t="inlineStr">
        <is>
          <t>home</t>
        </is>
      </c>
      <c r="J69" s="25" t="n">
        <v>1.5</v>
      </c>
      <c r="K69" s="24" t="inlineStr">
        <is>
          <t>polymarket_us</t>
        </is>
      </c>
      <c r="L69" s="26" t="n">
        <v>-163</v>
      </c>
      <c r="M69" s="27" t="n">
        <v>1.613497</v>
      </c>
      <c r="N69" s="28" t="n">
        <v>0.619772</v>
      </c>
      <c r="O69" s="28" t="n">
        <v>0.644491</v>
      </c>
      <c r="P69" s="28" t="n">
        <v>0.05172</v>
      </c>
      <c r="Q69" s="28" t="n">
        <v>0.024719</v>
      </c>
      <c r="R69" s="26" t="n">
        <v>33</v>
      </c>
      <c r="S69" s="29" t="n">
        <v>1.5</v>
      </c>
      <c r="T69" s="24" t="inlineStr">
        <is>
          <t>measured-edge-margin-v3</t>
        </is>
      </c>
      <c r="U69" s="24" t="inlineStr">
        <is>
          <t>settled</t>
        </is>
      </c>
      <c r="V69" s="24" t="inlineStr">
        <is>
          <t>loss</t>
        </is>
      </c>
      <c r="W69" s="26" t="n">
        <v>5</v>
      </c>
      <c r="X69" s="26" t="n">
        <v>1</v>
      </c>
      <c r="Y69" s="25" t="n">
        <v>1.5</v>
      </c>
      <c r="Z69" s="26" t="n">
        <v>-163</v>
      </c>
      <c r="AA69" s="28" t="n">
        <v>0.62</v>
      </c>
      <c r="AB69" s="28" t="n">
        <v>0.000228</v>
      </c>
      <c r="AC69" s="30" t="n">
        <v>-1.5</v>
      </c>
      <c r="AD69" s="24" t="inlineStr">
        <is>
          <t>2026-08-07T09:06:45.183976Z</t>
        </is>
      </c>
      <c r="AE69" s="31" t="inlineStr">
        <is>
          <t>Measured Edge Margin: Trend Engine projected 4.77-5.38; raw selected-side p=0.7120, calibrated p=0.6445.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NO_CALL_WINNER_OVERVALUED</t>
        </is>
      </c>
      <c r="AP69" s="24" t="inlineStr">
        <is>
          <t>mlb-sd</t>
        </is>
      </c>
      <c r="AQ69" s="24" t="inlineStr">
        <is>
          <t>San Diego Padres</t>
        </is>
      </c>
      <c r="AR69" s="24" t="inlineStr">
        <is>
          <t>San Diego Padres</t>
        </is>
      </c>
      <c r="AS69" s="24" t="inlineStr">
        <is>
          <t>mlb-ari</t>
        </is>
      </c>
      <c r="AT69" s="24" t="inlineStr">
        <is>
          <t>Arizona Diamondbacks</t>
        </is>
      </c>
      <c r="AU69" s="24" t="inlineStr">
        <is>
          <t>Arizona Diamondbacks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dd339a2eed50d7d83ab2127837995ddab82e879afd27f5414bb6c1f9cd60ba4c</t>
        </is>
      </c>
      <c r="BB69" s="24" t="inlineStr">
        <is>
          <t>flat_probability_shrinkage_toward_half</t>
        </is>
      </c>
      <c r="BC69" s="24" t="inlineStr">
        <is>
          <t>measured-edge-margin-v3</t>
        </is>
      </c>
      <c r="BD69" s="24" t="inlineStr">
        <is>
          <t>dd339a2eed50d7d83ab2127837995ddab82e879afd27f5414bb6c1f9cd60ba4c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2026-08-06T18:58:40.093175Z</t>
        </is>
      </c>
      <c r="BI69" s="24" t="inlineStr">
        <is>
          <t>["same_event","same_team_same_day","same_league_same_day"]</t>
        </is>
      </c>
      <c r="BJ69" s="25" t="n">
        <v>1.5</v>
      </c>
      <c r="BK69" s="26" t="n">
        <v>-163</v>
      </c>
      <c r="BL69" s="27" t="n">
        <v>1.613497</v>
      </c>
      <c r="BM69" s="28" t="n">
        <v>0.619772</v>
      </c>
      <c r="BN69" s="28" t="n">
        <v>0.616915</v>
      </c>
      <c r="BO69" s="28" t="n"/>
      <c r="BP69" s="25" t="n"/>
      <c r="BQ69" s="27" t="n">
        <v>1.613497</v>
      </c>
      <c r="BR69" s="28" t="n">
        <v>0.62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26f54c2b6fbe4d99</t>
        </is>
      </c>
      <c r="B70" s="24" t="inlineStr">
        <is>
          <t>2026-08-06T18:58:40.093175Z</t>
        </is>
      </c>
      <c r="C70" s="24" t="inlineStr">
        <is>
          <t>2026-08-07T01:40Z</t>
        </is>
      </c>
      <c r="D70" s="24" t="inlineStr">
        <is>
          <t>401816423</t>
        </is>
      </c>
      <c r="E70" s="24" t="inlineStr">
        <is>
          <t>MLB</t>
        </is>
      </c>
      <c r="F70" s="24" t="inlineStr">
        <is>
          <t>San Diego Padres</t>
        </is>
      </c>
      <c r="G70" s="24" t="inlineStr">
        <is>
          <t>Arizona Diamondbacks</t>
        </is>
      </c>
      <c r="H70" s="24" t="inlineStr">
        <is>
          <t>total</t>
        </is>
      </c>
      <c r="I70" s="24" t="inlineStr">
        <is>
          <t>over</t>
        </is>
      </c>
      <c r="J70" s="25" t="n">
        <v>9.5</v>
      </c>
      <c r="K70" s="24" t="inlineStr">
        <is>
          <t>polymarket_us</t>
        </is>
      </c>
      <c r="L70" s="26" t="n">
        <v>120</v>
      </c>
      <c r="M70" s="27" t="n">
        <v>2.2</v>
      </c>
      <c r="N70" s="28" t="n">
        <v>0.454545</v>
      </c>
      <c r="O70" s="28" t="n">
        <v>0.507104</v>
      </c>
      <c r="P70" s="28" t="n">
        <v>0.05172</v>
      </c>
      <c r="Q70" s="28" t="n">
        <v>0.052559</v>
      </c>
      <c r="R70" s="26" t="n">
        <v>46</v>
      </c>
      <c r="S70" s="29" t="n">
        <v>1</v>
      </c>
      <c r="T70" s="24" t="inlineStr">
        <is>
          <t>measured-edge-totals-v3</t>
        </is>
      </c>
      <c r="U70" s="24" t="inlineStr">
        <is>
          <t>settled</t>
        </is>
      </c>
      <c r="V70" s="24" t="inlineStr">
        <is>
          <t>loss</t>
        </is>
      </c>
      <c r="W70" s="26" t="n">
        <v>5</v>
      </c>
      <c r="X70" s="26" t="n">
        <v>1</v>
      </c>
      <c r="Y70" s="25" t="n">
        <v>9.5</v>
      </c>
      <c r="Z70" s="26" t="n">
        <v>120</v>
      </c>
      <c r="AA70" s="28" t="n">
        <v>0.455</v>
      </c>
      <c r="AB70" s="28" t="n">
        <v>0.000455</v>
      </c>
      <c r="AC70" s="30" t="n">
        <v>-1</v>
      </c>
      <c r="AD70" s="24" t="inlineStr">
        <is>
          <t>2026-08-07T09:06:46.359331Z</t>
        </is>
      </c>
      <c r="AE70" s="31" t="inlineStr">
        <is>
          <t>Measured Edge Totals: Trend Engine projected 4.77-5.38; raw selected-side p=0.5052, calibrated p=0.5071.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NO_CALL_WINNER_OVERVALUED</t>
        </is>
      </c>
      <c r="AP70" s="24" t="inlineStr">
        <is>
          <t>mlb-sd</t>
        </is>
      </c>
      <c r="AQ70" s="24" t="inlineStr">
        <is>
          <t>San Diego Padres</t>
        </is>
      </c>
      <c r="AR70" s="24" t="inlineStr">
        <is>
          <t>San Diego Padres</t>
        </is>
      </c>
      <c r="AS70" s="24" t="inlineStr">
        <is>
          <t>mlb-ari</t>
        </is>
      </c>
      <c r="AT70" s="24" t="inlineStr">
        <is>
          <t>Arizona Diamondbacks</t>
        </is>
      </c>
      <c r="AU70" s="24" t="inlineStr">
        <is>
          <t>Arizona Diamondbacks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95b84332c75d2ce54036eb8de6ada9c78d0f80228c50825c0347281a8b9b49c7</t>
        </is>
      </c>
      <c r="BB70" s="24" t="inlineStr">
        <is>
          <t>flat_probability_shrinkage_toward_half</t>
        </is>
      </c>
      <c r="BC70" s="24" t="inlineStr">
        <is>
          <t>measured-edge-totals-v3</t>
        </is>
      </c>
      <c r="BD70" s="24" t="inlineStr">
        <is>
          <t>95b84332c75d2ce54036eb8de6ada9c78d0f80228c50825c0347281a8b9b49c7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2026-08-06T18:58:40.093175Z</t>
        </is>
      </c>
      <c r="BI70" s="24" t="inlineStr">
        <is>
          <t>["same_event","same_team_same_day","same_league_same_day"]</t>
        </is>
      </c>
      <c r="BJ70" s="25" t="n">
        <v>9.5</v>
      </c>
      <c r="BK70" s="26" t="n">
        <v>120</v>
      </c>
      <c r="BL70" s="27" t="n">
        <v>2.2</v>
      </c>
      <c r="BM70" s="28" t="n">
        <v>0.454545</v>
      </c>
      <c r="BN70" s="28" t="n">
        <v>0.452736</v>
      </c>
      <c r="BO70" s="28" t="n"/>
      <c r="BP70" s="25" t="n"/>
      <c r="BQ70" s="27" t="n">
        <v>2.2</v>
      </c>
      <c r="BR70" s="28" t="n">
        <v>0.455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652dbdc0383c4a2a</t>
        </is>
      </c>
      <c r="B71" s="24" t="inlineStr">
        <is>
          <t>2026-08-07T21:56:24.360448Z</t>
        </is>
      </c>
      <c r="C71" s="24" t="inlineStr">
        <is>
          <t>2026-08-07T18:40:00-0400</t>
        </is>
      </c>
      <c r="D71" s="24" t="inlineStr">
        <is>
          <t>401816428</t>
        </is>
      </c>
      <c r="E71" s="24" t="inlineStr">
        <is>
          <t>MLB</t>
        </is>
      </c>
      <c r="F71" s="24" t="inlineStr">
        <is>
          <t>New York Mets</t>
        </is>
      </c>
      <c r="G71" s="24" t="inlineStr">
        <is>
          <t>Pittsburgh Pirates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0.581832</v>
      </c>
      <c r="P71" s="28" t="n"/>
      <c r="Q71" s="28" t="n">
        <v>0.026276</v>
      </c>
      <c r="R71" s="26" t="n">
        <v>35</v>
      </c>
      <c r="S71" s="29" t="n">
        <v>1.25</v>
      </c>
      <c r="T71" s="24" t="inlineStr">
        <is>
          <t>mlb-elo-trend-lr-v8</t>
        </is>
      </c>
      <c r="U71" s="24" t="inlineStr">
        <is>
          <t>settled</t>
        </is>
      </c>
      <c r="V71" s="24" t="inlineStr">
        <is>
          <t>loss</t>
        </is>
      </c>
      <c r="W71" s="26" t="n">
        <v>6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-1.25</v>
      </c>
      <c r="AD71" s="24" t="inlineStr">
        <is>
          <t>2026-08-08T04:03:12.996017Z</t>
        </is>
      </c>
      <c r="AE71" s="31" t="inlineStr">
        <is>
          <t>Learned LR call at threshold 0.5873; executable ask 0.5550 (aec-mlb-nym-pit-2026-08-07); model edge vs ask +0.0268. NOTE: NO_CALL_STARTER_ERA_GAP_INSUFFICIENT_HISTORY unavailable for this game — defaulted to neutral, other features used normally.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NO_CALL_WINNER_OVERVALUED</t>
        </is>
      </c>
      <c r="AP71" s="24" t="inlineStr">
        <is>
          <t>mlb-nym</t>
        </is>
      </c>
      <c r="AQ71" s="24" t="inlineStr">
        <is>
          <t>New York Mets</t>
        </is>
      </c>
      <c r="AR71" s="24" t="inlineStr">
        <is>
          <t>New York Mets</t>
        </is>
      </c>
      <c r="AS71" s="24" t="inlineStr">
        <is>
          <t>mlb-pit</t>
        </is>
      </c>
      <c r="AT71" s="24" t="inlineStr">
        <is>
          <t>Pittsburgh Pirates</t>
        </is>
      </c>
      <c r="AU71" s="24" t="inlineStr">
        <is>
          <t>Pittsburgh Pirates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6a5c79541b0e50cb9f7318270e63d5ccc65cbd7bc53a019748ff772d49de5075</t>
        </is>
      </c>
      <c r="BB71" s="24" t="inlineStr">
        <is>
          <t>learned_lr</t>
        </is>
      </c>
      <c r="BC71" s="24" t="inlineStr">
        <is>
          <t>mlb-elo-trend-lr-v8</t>
        </is>
      </c>
      <c r="BD71" s="24" t="inlineStr">
        <is>
          <t>6a5c79541b0e50cb9f7318270e63d5ccc65cbd7bc53a019748ff772d49de5075</t>
        </is>
      </c>
      <c r="BE71" s="24" t="inlineStr">
        <is>
          <t>1571756562aed555</t>
        </is>
      </c>
      <c r="BF71" s="24" t="inlineStr">
        <is>
          <t>1</t>
        </is>
      </c>
      <c r="BG71" s="24" t="inlineStr">
        <is>
          <t>mlb-elo-trend-lr-v8</t>
        </is>
      </c>
      <c r="BH71" s="24" t="inlineStr">
        <is>
          <t>2026-08-07T21:55:51.996541Z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0.5635051859</t>
        </is>
      </c>
      <c r="CD71" s="24" t="inlineStr">
        <is>
          <t>-3.337301</t>
        </is>
      </c>
      <c r="CE71" s="24" t="inlineStr">
        <is>
          <t>0.989</t>
        </is>
      </c>
      <c r="CF71" s="24" t="inlineStr">
        <is>
          <t>1.0095</t>
        </is>
      </c>
      <c r="CG71" s="24" t="n"/>
      <c r="CH71" s="24" t="n"/>
      <c r="CI71" s="24" t="inlineStr">
        <is>
          <t>NO_CALL_STARTER_ERA_GAP_INSUFFICIENT_HISTORY</t>
        </is>
      </c>
      <c r="CJ71" s="24" t="inlineStr">
        <is>
          <t>-0.188433</t>
        </is>
      </c>
      <c r="CK71" s="24" t="n"/>
      <c r="CL71" s="24" t="inlineStr">
        <is>
          <t>0.063988</t>
        </is>
      </c>
      <c r="CM71" s="24" t="inlineStr">
        <is>
          <t>0.0</t>
        </is>
      </c>
      <c r="CN71" s="24" t="n"/>
      <c r="CO71" s="24" t="n"/>
      <c r="CP71" s="24" t="n"/>
      <c r="CQ71" s="24" t="n"/>
      <c r="CR71" s="24" t="inlineStr">
        <is>
          <t>0.581832</t>
        </is>
      </c>
      <c r="CS71" s="24" t="inlineStr">
        <is>
          <t>True</t>
        </is>
      </c>
    </row>
    <row r="72" ht="36" customHeight="1">
      <c r="A72" s="24" t="inlineStr">
        <is>
          <t>c4bd0ec6a9524f5a</t>
        </is>
      </c>
      <c r="B72" s="24" t="inlineStr">
        <is>
          <t>2026-08-07T21:56:24.360448Z</t>
        </is>
      </c>
      <c r="C72" s="24" t="inlineStr">
        <is>
          <t>2026-08-07T18:40:00-0400</t>
        </is>
      </c>
      <c r="D72" s="24" t="inlineStr">
        <is>
          <t>401816429</t>
        </is>
      </c>
      <c r="E72" s="24" t="inlineStr">
        <is>
          <t>MLB</t>
        </is>
      </c>
      <c r="F72" s="24" t="inlineStr">
        <is>
          <t>Toronto Blue Jays</t>
        </is>
      </c>
      <c r="G72" s="24" t="inlineStr">
        <is>
          <t>Philadelphia Phillies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-199</v>
      </c>
      <c r="M72" s="27" t="n">
        <v>1.502513</v>
      </c>
      <c r="N72" s="28" t="n">
        <v>0.665552</v>
      </c>
      <c r="O72" s="28" t="n">
        <v>0.5634209999999999</v>
      </c>
      <c r="P72" s="28" t="n"/>
      <c r="Q72" s="28" t="n">
        <v>-0.102131</v>
      </c>
      <c r="R72" s="26" t="n">
        <v>0</v>
      </c>
      <c r="S72" s="29" t="n">
        <v>1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4</v>
      </c>
      <c r="Y72" s="25" t="n"/>
      <c r="Z72" s="26" t="n">
        <v>-199</v>
      </c>
      <c r="AA72" s="28" t="n">
        <v>0.665</v>
      </c>
      <c r="AB72" s="28" t="n">
        <v>-0.000552</v>
      </c>
      <c r="AC72" s="30" t="n">
        <v>-1</v>
      </c>
      <c r="AD72" s="24" t="inlineStr">
        <is>
          <t>2026-08-08T18:32:59.687060Z</t>
        </is>
      </c>
      <c r="AE72" s="31" t="inlineStr">
        <is>
          <t>Learned LR call at threshold 0.5873; executable ask 0.6650 (aec-mlb-tor-phi-2026-08-07); model edge vs ask -0.1016. NOTE: NO_CALL_STARTER_ERA_GAP_INSUFFICIENT_HISTORY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NO_CALL_WINNER_OVERVALUED</t>
        </is>
      </c>
      <c r="AP72" s="24" t="inlineStr">
        <is>
          <t>mlb-tor</t>
        </is>
      </c>
      <c r="AQ72" s="24" t="inlineStr">
        <is>
          <t>Toronto Blue Jays</t>
        </is>
      </c>
      <c r="AR72" s="24" t="inlineStr">
        <is>
          <t>Toronto Blue Jays</t>
        </is>
      </c>
      <c r="AS72" s="24" t="inlineStr">
        <is>
          <t>mlb-phi</t>
        </is>
      </c>
      <c r="AT72" s="24" t="inlineStr">
        <is>
          <t>Philadelphia Phillies</t>
        </is>
      </c>
      <c r="AU72" s="24" t="inlineStr">
        <is>
          <t>Philadelphia Phillies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6a5c79541b0e50cb9f7318270e63d5ccc65cbd7bc53a019748ff772d49de5075</t>
        </is>
      </c>
      <c r="BB72" s="24" t="inlineStr">
        <is>
          <t>learned_lr</t>
        </is>
      </c>
      <c r="BC72" s="24" t="inlineStr">
        <is>
          <t>mlb-elo-trend-lr-v8</t>
        </is>
      </c>
      <c r="BD72" s="24" t="inlineStr">
        <is>
          <t>6a5c79541b0e50cb9f7318270e63d5ccc65cbd7bc53a019748ff772d49de5075</t>
        </is>
      </c>
      <c r="BE72" s="24" t="inlineStr">
        <is>
          <t>aa91e0e0cbf74040</t>
        </is>
      </c>
      <c r="BF72" s="24" t="inlineStr">
        <is>
          <t>1</t>
        </is>
      </c>
      <c r="BG72" s="24" t="inlineStr">
        <is>
          <t>mlb-elo-trend-lr-v8</t>
        </is>
      </c>
      <c r="BH72" s="24" t="inlineStr">
        <is>
          <t>2026-08-07T21:55:51.444975Z</t>
        </is>
      </c>
      <c r="BI72" s="24" t="inlineStr">
        <is>
          <t>["same_event","same_team_same_day","same_league_same_day"]</t>
        </is>
      </c>
      <c r="BJ72" s="25" t="n"/>
      <c r="BK72" s="26" t="n">
        <v>-199</v>
      </c>
      <c r="BL72" s="27" t="n">
        <v>1.502513</v>
      </c>
      <c r="BM72" s="28" t="n">
        <v>0.665552</v>
      </c>
      <c r="BN72" s="28" t="n">
        <v>0.6616919999999999</v>
      </c>
      <c r="BO72" s="28" t="n"/>
      <c r="BP72" s="25" t="n"/>
      <c r="BQ72" s="27" t="n">
        <v>1.502513</v>
      </c>
      <c r="BR72" s="28" t="n">
        <v>0.665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0.5955885365</t>
        </is>
      </c>
      <c r="CD72" s="24" t="inlineStr">
        <is>
          <t>0.866572</t>
        </is>
      </c>
      <c r="CE72" s="24" t="inlineStr">
        <is>
          <t>1.02</t>
        </is>
      </c>
      <c r="CF72" s="24" t="inlineStr">
        <is>
          <t>1.0075</t>
        </is>
      </c>
      <c r="CG72" s="24" t="n"/>
      <c r="CH72" s="24" t="n"/>
      <c r="CI72" s="24" t="inlineStr">
        <is>
          <t>NO_CALL_STARTER_ERA_GAP_INSUFFICIENT_HISTORY</t>
        </is>
      </c>
      <c r="CJ72" s="24" t="inlineStr">
        <is>
          <t>-0.234068</t>
        </is>
      </c>
      <c r="CK72" s="24" t="n"/>
      <c r="CL72" s="24" t="inlineStr">
        <is>
          <t>-0.204695</t>
        </is>
      </c>
      <c r="CM72" s="24" t="inlineStr">
        <is>
          <t>0.0</t>
        </is>
      </c>
      <c r="CN72" s="24" t="n"/>
      <c r="CO72" s="24" t="n"/>
      <c r="CP72" s="24" t="n"/>
      <c r="CQ72" s="24" t="n"/>
      <c r="CR72" s="24" t="inlineStr">
        <is>
          <t>0.563421</t>
        </is>
      </c>
      <c r="CS72" s="24" t="inlineStr">
        <is>
          <t>False</t>
        </is>
      </c>
    </row>
    <row r="73" ht="36" customHeight="1">
      <c r="A73" s="24" t="inlineStr">
        <is>
          <t>8178702f0032476c</t>
        </is>
      </c>
      <c r="B73" s="24" t="inlineStr">
        <is>
          <t>2026-08-07T21:56:24.360448Z</t>
        </is>
      </c>
      <c r="C73" s="24" t="inlineStr">
        <is>
          <t>2026-08-07T18:45:00-0400</t>
        </is>
      </c>
      <c r="D73" s="24" t="inlineStr">
        <is>
          <t>401816427</t>
        </is>
      </c>
      <c r="E73" s="24" t="inlineStr">
        <is>
          <t>MLB</t>
        </is>
      </c>
      <c r="F73" s="24" t="inlineStr">
        <is>
          <t>Cincinnati Reds</t>
        </is>
      </c>
      <c r="G73" s="24" t="inlineStr">
        <is>
          <t>Washington Nationals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-115</v>
      </c>
      <c r="M73" s="27" t="n">
        <v>1.869565</v>
      </c>
      <c r="N73" s="28" t="n">
        <v>0.534884</v>
      </c>
      <c r="O73" s="28" t="n">
        <v>0.557877</v>
      </c>
      <c r="P73" s="28" t="n"/>
      <c r="Q73" s="28" t="n">
        <v>0.022993</v>
      </c>
      <c r="R73" s="26" t="n">
        <v>33</v>
      </c>
      <c r="S73" s="29" t="n">
        <v>1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5</v>
      </c>
      <c r="Y73" s="25" t="n"/>
      <c r="Z73" s="26" t="n">
        <v>-115</v>
      </c>
      <c r="AA73" s="28" t="n">
        <v>0.535</v>
      </c>
      <c r="AB73" s="28" t="n">
        <v>0.000116</v>
      </c>
      <c r="AC73" s="30" t="n">
        <v>0.8696</v>
      </c>
      <c r="AD73" s="24" t="inlineStr">
        <is>
          <t>2026-08-08T04:03:14.134309Z</t>
        </is>
      </c>
      <c r="AE73" s="31" t="inlineStr">
        <is>
          <t>Learned LR call at threshold 0.5873; executable ask 0.5350 (aec-mlb-cin-wsh-2026-08-07); model edge vs ask +0.0229.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NO_CALL_WINNER_OVERVALUED</t>
        </is>
      </c>
      <c r="AP73" s="24" t="inlineStr">
        <is>
          <t>mlb-cin</t>
        </is>
      </c>
      <c r="AQ73" s="24" t="inlineStr">
        <is>
          <t>Cincinnati Reds</t>
        </is>
      </c>
      <c r="AR73" s="24" t="inlineStr">
        <is>
          <t>Cincinnati Reds</t>
        </is>
      </c>
      <c r="AS73" s="24" t="inlineStr">
        <is>
          <t>mlb-wsh</t>
        </is>
      </c>
      <c r="AT73" s="24" t="inlineStr">
        <is>
          <t>Washington Nationals</t>
        </is>
      </c>
      <c r="AU73" s="24" t="inlineStr">
        <is>
          <t>Washington Nationals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6a5c79541b0e50cb9f7318270e63d5ccc65cbd7bc53a019748ff772d49de5075</t>
        </is>
      </c>
      <c r="BB73" s="24" t="inlineStr">
        <is>
          <t>learned_lr</t>
        </is>
      </c>
      <c r="BC73" s="24" t="inlineStr">
        <is>
          <t>mlb-elo-trend-lr-v8</t>
        </is>
      </c>
      <c r="BD73" s="24" t="inlineStr">
        <is>
          <t>6a5c79541b0e50cb9f7318270e63d5ccc65cbd7bc53a019748ff772d49de5075</t>
        </is>
      </c>
      <c r="BE73" s="24" t="inlineStr">
        <is>
          <t>6caefe8d1b3d76aa</t>
        </is>
      </c>
      <c r="BF73" s="24" t="inlineStr">
        <is>
          <t>1</t>
        </is>
      </c>
      <c r="BG73" s="24" t="inlineStr">
        <is>
          <t>mlb-elo-trend-lr-v8</t>
        </is>
      </c>
      <c r="BH73" s="24" t="inlineStr">
        <is>
          <t>2026-08-07T21:55:52.503465Z</t>
        </is>
      </c>
      <c r="BI73" s="24" t="inlineStr">
        <is>
          <t>["same_event","same_team_same_day","same_league_same_day"]</t>
        </is>
      </c>
      <c r="BJ73" s="25" t="n"/>
      <c r="BK73" s="26" t="n">
        <v>-115</v>
      </c>
      <c r="BL73" s="27" t="n">
        <v>1.869565</v>
      </c>
      <c r="BM73" s="28" t="n">
        <v>0.534884</v>
      </c>
      <c r="BN73" s="28" t="n">
        <v>0.532338</v>
      </c>
      <c r="BO73" s="28" t="n"/>
      <c r="BP73" s="25" t="n"/>
      <c r="BQ73" s="27" t="n">
        <v>1.869565</v>
      </c>
      <c r="BR73" s="28" t="n">
        <v>0.535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0.5055268624</t>
        </is>
      </c>
      <c r="CD73" s="24" t="inlineStr">
        <is>
          <t>-1.04483</t>
        </is>
      </c>
      <c r="CE73" s="24" t="inlineStr">
        <is>
          <t>1.045</t>
        </is>
      </c>
      <c r="CF73" s="24" t="inlineStr">
        <is>
          <t>1.0157</t>
        </is>
      </c>
      <c r="CG73" s="24" t="n"/>
      <c r="CH73" s="24" t="n"/>
      <c r="CI73" s="24" t="n"/>
      <c r="CJ73" s="24" t="inlineStr">
        <is>
          <t>-0.693377</t>
        </is>
      </c>
      <c r="CK73" s="24" t="n"/>
      <c r="CL73" s="24" t="inlineStr">
        <is>
          <t>0.262981</t>
        </is>
      </c>
      <c r="CM73" s="24" t="inlineStr">
        <is>
          <t>-8.2866</t>
        </is>
      </c>
      <c r="CN73" s="24" t="n"/>
      <c r="CO73" s="24" t="n"/>
      <c r="CP73" s="24" t="n"/>
      <c r="CQ73" s="24" t="n"/>
      <c r="CR73" s="24" t="inlineStr">
        <is>
          <t>0.557877</t>
        </is>
      </c>
      <c r="CS73" s="24" t="inlineStr">
        <is>
          <t>True</t>
        </is>
      </c>
    </row>
    <row r="74" ht="36" customHeight="1">
      <c r="A74" s="24" t="inlineStr">
        <is>
          <t>8d59dfa9fdc641bd</t>
        </is>
      </c>
      <c r="B74" s="24" t="inlineStr">
        <is>
          <t>2026-08-07T21:56:24.360448Z</t>
        </is>
      </c>
      <c r="C74" s="24" t="inlineStr">
        <is>
          <t>2026-08-07T19:05:00-0400</t>
        </is>
      </c>
      <c r="D74" s="24" t="inlineStr">
        <is>
          <t>401816426</t>
        </is>
      </c>
      <c r="E74" s="24" t="inlineStr">
        <is>
          <t>MLB</t>
        </is>
      </c>
      <c r="F74" s="24" t="inlineStr">
        <is>
          <t>Atlanta Braves</t>
        </is>
      </c>
      <c r="G74" s="24" t="inlineStr">
        <is>
          <t>New York Yankees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-120</v>
      </c>
      <c r="M74" s="27" t="n">
        <v>1.833333</v>
      </c>
      <c r="N74" s="28" t="n">
        <v>0.545455</v>
      </c>
      <c r="O74" s="28" t="n">
        <v>0.530524</v>
      </c>
      <c r="P74" s="28" t="n"/>
      <c r="Q74" s="28" t="n">
        <v>-0.014931</v>
      </c>
      <c r="R74" s="26" t="n">
        <v>14</v>
      </c>
      <c r="S74" s="29" t="n">
        <v>1</v>
      </c>
      <c r="T74" s="24" t="inlineStr">
        <is>
          <t>mlb-elo-trend-lr-v8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-120</v>
      </c>
      <c r="AA74" s="28" t="n">
        <v>0.545</v>
      </c>
      <c r="AB74" s="28" t="n">
        <v>-0.000455</v>
      </c>
      <c r="AC74" s="30" t="n">
        <v>0.8333</v>
      </c>
      <c r="AD74" s="24" t="inlineStr">
        <is>
          <t>2026-08-08T18:33:00.912718Z</t>
        </is>
      </c>
      <c r="AE74" s="31" t="inlineStr">
        <is>
          <t>Learned LR call at threshold 0.5873; executable ask 0.5450 (aec-mlb-atl-nyy-2026-08-07); model edge vs ask -0.0145.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NO_CALL_WINNER_OVERVALUED</t>
        </is>
      </c>
      <c r="AP74" s="24" t="inlineStr">
        <is>
          <t>mlb-atl</t>
        </is>
      </c>
      <c r="AQ74" s="24" t="inlineStr">
        <is>
          <t>Atlanta Braves</t>
        </is>
      </c>
      <c r="AR74" s="24" t="inlineStr">
        <is>
          <t>Atlanta Braves</t>
        </is>
      </c>
      <c r="AS74" s="24" t="inlineStr">
        <is>
          <t>mlb-nyy</t>
        </is>
      </c>
      <c r="AT74" s="24" t="inlineStr">
        <is>
          <t>New York Yankees</t>
        </is>
      </c>
      <c r="AU74" s="24" t="inlineStr">
        <is>
          <t>New York Yankees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6a5c79541b0e50cb9f7318270e63d5ccc65cbd7bc53a019748ff772d49de5075</t>
        </is>
      </c>
      <c r="BB74" s="24" t="inlineStr">
        <is>
          <t>learned_lr</t>
        </is>
      </c>
      <c r="BC74" s="24" t="inlineStr">
        <is>
          <t>mlb-elo-trend-lr-v8</t>
        </is>
      </c>
      <c r="BD74" s="24" t="inlineStr">
        <is>
          <t>6a5c79541b0e50cb9f7318270e63d5ccc65cbd7bc53a019748ff772d49de5075</t>
        </is>
      </c>
      <c r="BE74" s="24" t="inlineStr">
        <is>
          <t>9aaf8561b5a381b8</t>
        </is>
      </c>
      <c r="BF74" s="24" t="inlineStr">
        <is>
          <t>1</t>
        </is>
      </c>
      <c r="BG74" s="24" t="inlineStr">
        <is>
          <t>mlb-elo-trend-lr-v8</t>
        </is>
      </c>
      <c r="BH74" s="24" t="inlineStr">
        <is>
          <t>2026-08-07T21:55:53.004564Z</t>
        </is>
      </c>
      <c r="BI74" s="24" t="inlineStr">
        <is>
          <t>["same_event","same_team_same_day","same_league_same_day"]</t>
        </is>
      </c>
      <c r="BJ74" s="25" t="n"/>
      <c r="BK74" s="26" t="n">
        <v>-120</v>
      </c>
      <c r="BL74" s="27" t="n">
        <v>1.833333</v>
      </c>
      <c r="BM74" s="28" t="n">
        <v>0.545455</v>
      </c>
      <c r="BN74" s="28" t="n">
        <v>0.542289</v>
      </c>
      <c r="BO74" s="28" t="n"/>
      <c r="BP74" s="25" t="n"/>
      <c r="BQ74" s="27" t="n">
        <v>1.833333</v>
      </c>
      <c r="BR74" s="28" t="n">
        <v>0.545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0.5131234641</t>
        </is>
      </c>
      <c r="CD74" s="24" t="inlineStr">
        <is>
          <t>-1.651621</t>
        </is>
      </c>
      <c r="CE74" s="24" t="inlineStr">
        <is>
          <t>1.014</t>
        </is>
      </c>
      <c r="CF74" s="24" t="inlineStr">
        <is>
          <t>1.0203</t>
        </is>
      </c>
      <c r="CG74" s="24" t="n"/>
      <c r="CH74" s="24" t="n"/>
      <c r="CI74" s="24" t="n"/>
      <c r="CJ74" s="24" t="inlineStr">
        <is>
          <t>-1.123984</t>
        </is>
      </c>
      <c r="CK74" s="24" t="n"/>
      <c r="CL74" s="24" t="inlineStr">
        <is>
          <t>0.132746</t>
        </is>
      </c>
      <c r="CM74" s="24" t="inlineStr">
        <is>
          <t>-0.1255</t>
        </is>
      </c>
      <c r="CN74" s="24" t="n"/>
      <c r="CO74" s="24" t="n"/>
      <c r="CP74" s="24" t="n"/>
      <c r="CQ74" s="24" t="n"/>
      <c r="CR74" s="24" t="inlineStr">
        <is>
          <t>0.530524</t>
        </is>
      </c>
      <c r="CS74" s="24" t="inlineStr">
        <is>
          <t>False</t>
        </is>
      </c>
    </row>
    <row r="75" ht="36" customHeight="1">
      <c r="A75" s="24" t="inlineStr">
        <is>
          <t>d8b6323536584c30</t>
        </is>
      </c>
      <c r="B75" s="24" t="inlineStr">
        <is>
          <t>2026-08-07T21:56:24.360448Z</t>
        </is>
      </c>
      <c r="C75" s="24" t="inlineStr">
        <is>
          <t>2026-08-07T19:10:00-0400</t>
        </is>
      </c>
      <c r="D75" s="24" t="inlineStr">
        <is>
          <t>401816424</t>
        </is>
      </c>
      <c r="E75" s="24" t="inlineStr">
        <is>
          <t>MLB</t>
        </is>
      </c>
      <c r="F75" s="24" t="inlineStr">
        <is>
          <t>Los Angeles Angels</t>
        </is>
      </c>
      <c r="G75" s="24" t="inlineStr">
        <is>
          <t>Miami Marlins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0.641185</v>
      </c>
      <c r="P75" s="28" t="n"/>
      <c r="Q75" s="28" t="n">
        <v>0.046043</v>
      </c>
      <c r="R75" s="26" t="n">
        <v>45</v>
      </c>
      <c r="S75" s="29" t="n">
        <v>1.5</v>
      </c>
      <c r="T75" s="24" t="inlineStr">
        <is>
          <t>mlb-elo-trend-lr-v8</t>
        </is>
      </c>
      <c r="U75" s="24" t="inlineStr">
        <is>
          <t>settled</t>
        </is>
      </c>
      <c r="V75" s="24" t="inlineStr">
        <is>
          <t>loss</t>
        </is>
      </c>
      <c r="W75" s="26" t="n">
        <v>4</v>
      </c>
      <c r="X75" s="26" t="n">
        <v>3</v>
      </c>
      <c r="Y75" s="25" t="n"/>
      <c r="Z75" s="26" t="n">
        <v>-147</v>
      </c>
      <c r="AA75" s="28" t="n">
        <v>0.595</v>
      </c>
      <c r="AB75" s="28" t="n">
        <v>-0.000142</v>
      </c>
      <c r="AC75" s="30" t="n">
        <v>-1.5</v>
      </c>
      <c r="AD75" s="24" t="inlineStr">
        <is>
          <t>2026-08-08T04:03:15.282720Z</t>
        </is>
      </c>
      <c r="AE75" s="31" t="inlineStr">
        <is>
          <t>Learned LR call at threshold 0.5873; executable ask 0.5950 (aec-mlb-laa-mia-2026-08-07); model edge vs ask +0.0462.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NO_CALL_WINNER_OVERVALUED</t>
        </is>
      </c>
      <c r="AP75" s="24" t="inlineStr">
        <is>
          <t>mlb-laa</t>
        </is>
      </c>
      <c r="AQ75" s="24" t="inlineStr">
        <is>
          <t>Los Angeles Angels</t>
        </is>
      </c>
      <c r="AR75" s="24" t="inlineStr">
        <is>
          <t>Los Angeles Angels</t>
        </is>
      </c>
      <c r="AS75" s="24" t="inlineStr">
        <is>
          <t>mlb-mia</t>
        </is>
      </c>
      <c r="AT75" s="24" t="inlineStr">
        <is>
          <t>Miami Marlins</t>
        </is>
      </c>
      <c r="AU75" s="24" t="inlineStr">
        <is>
          <t>Miami Marlins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6a5c79541b0e50cb9f7318270e63d5ccc65cbd7bc53a019748ff772d49de5075</t>
        </is>
      </c>
      <c r="BB75" s="24" t="inlineStr">
        <is>
          <t>learned_lr</t>
        </is>
      </c>
      <c r="BC75" s="24" t="inlineStr">
        <is>
          <t>mlb-elo-trend-lr-v8</t>
        </is>
      </c>
      <c r="BD75" s="24" t="inlineStr">
        <is>
          <t>6a5c79541b0e50cb9f7318270e63d5ccc65cbd7bc53a019748ff772d49de5075</t>
        </is>
      </c>
      <c r="BE75" s="24" t="inlineStr">
        <is>
          <t>8bd990e177da70c3</t>
        </is>
      </c>
      <c r="BF75" s="24" t="inlineStr">
        <is>
          <t>1</t>
        </is>
      </c>
      <c r="BG75" s="24" t="inlineStr">
        <is>
          <t>mlb-elo-trend-lr-v8</t>
        </is>
      </c>
      <c r="BH75" s="24" t="inlineStr">
        <is>
          <t>2026-08-07T21:55:54.065466Z</t>
        </is>
      </c>
      <c r="BI75" s="24" t="inlineStr">
        <is>
          <t>["same_event","same_team_same_day","same_league_same_day"]</t>
        </is>
      </c>
      <c r="BJ75" s="25" t="n"/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0.6253477542</t>
        </is>
      </c>
      <c r="CD75" s="24" t="inlineStr">
        <is>
          <t>0.013657</t>
        </is>
      </c>
      <c r="CE75" s="24" t="inlineStr">
        <is>
          <t>1.002</t>
        </is>
      </c>
      <c r="CF75" s="24" t="inlineStr">
        <is>
          <t>1.0</t>
        </is>
      </c>
      <c r="CG75" s="24" t="n"/>
      <c r="CH75" s="24" t="n"/>
      <c r="CI75" s="24" t="n"/>
      <c r="CJ75" s="24" t="inlineStr">
        <is>
          <t>-1.728336</t>
        </is>
      </c>
      <c r="CK75" s="24" t="n"/>
      <c r="CL75" s="24" t="inlineStr">
        <is>
          <t>0.20354</t>
        </is>
      </c>
      <c r="CM75" s="24" t="inlineStr">
        <is>
          <t>-7.0022</t>
        </is>
      </c>
      <c r="CN75" s="24" t="n"/>
      <c r="CO75" s="24" t="n"/>
      <c r="CP75" s="24" t="n"/>
      <c r="CQ75" s="24" t="n"/>
      <c r="CR75" s="24" t="inlineStr">
        <is>
          <t>0.641185</t>
        </is>
      </c>
      <c r="CS75" s="24" t="inlineStr">
        <is>
          <t>True</t>
        </is>
      </c>
    </row>
    <row r="76" ht="36" customHeight="1">
      <c r="A76" s="24" t="inlineStr">
        <is>
          <t>724e341823d847f4</t>
        </is>
      </c>
      <c r="B76" s="24" t="inlineStr">
        <is>
          <t>2026-08-07T21:56:24.360448Z</t>
        </is>
      </c>
      <c r="C76" s="24" t="inlineStr">
        <is>
          <t>2026-08-07T19:10:00-0400</t>
        </is>
      </c>
      <c r="D76" s="24" t="inlineStr">
        <is>
          <t>401816425</t>
        </is>
      </c>
      <c r="E76" s="24" t="inlineStr">
        <is>
          <t>MLB</t>
        </is>
      </c>
      <c r="F76" s="24" t="inlineStr">
        <is>
          <t>Athletics</t>
        </is>
      </c>
      <c r="G76" s="24" t="inlineStr">
        <is>
          <t>Boston Red Sox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-251</v>
      </c>
      <c r="M76" s="27" t="n">
        <v>1.398406</v>
      </c>
      <c r="N76" s="28" t="n">
        <v>0.7151</v>
      </c>
      <c r="O76" s="28" t="n">
        <v>0.633595</v>
      </c>
      <c r="P76" s="28" t="n"/>
      <c r="Q76" s="28" t="n">
        <v>-0.08150499999999999</v>
      </c>
      <c r="R76" s="26" t="n">
        <v>0</v>
      </c>
      <c r="S76" s="29" t="n">
        <v>1.5</v>
      </c>
      <c r="T76" s="24" t="inlineStr">
        <is>
          <t>mlb-elo-trend-lr-v8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13</v>
      </c>
      <c r="Y76" s="25" t="n"/>
      <c r="Z76" s="26" t="n">
        <v>-251</v>
      </c>
      <c r="AA76" s="28" t="n">
        <v>0.715</v>
      </c>
      <c r="AB76" s="28" t="n">
        <v>-0.0001</v>
      </c>
      <c r="AC76" s="30" t="n">
        <v>0.5976</v>
      </c>
      <c r="AD76" s="24" t="inlineStr">
        <is>
          <t>2026-08-08T04:03:16.395302Z</t>
        </is>
      </c>
      <c r="AE76" s="31" t="inlineStr">
        <is>
          <t>Learned LR call at threshold 0.5873; executable ask 0.7150 (aec-mlb-ath-bos-2026-08-07); model edge vs ask -0.0814.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NO_CALL_WINNER_OVERVALUED</t>
        </is>
      </c>
      <c r="AP76" s="24" t="inlineStr">
        <is>
          <t>mlb-ath</t>
        </is>
      </c>
      <c r="AQ76" s="24" t="inlineStr">
        <is>
          <t>Athletics</t>
        </is>
      </c>
      <c r="AR76" s="24" t="inlineStr">
        <is>
          <t>Athletics</t>
        </is>
      </c>
      <c r="AS76" s="24" t="inlineStr">
        <is>
          <t>mlb-bos</t>
        </is>
      </c>
      <c r="AT76" s="24" t="inlineStr">
        <is>
          <t>Boston Red Sox</t>
        </is>
      </c>
      <c r="AU76" s="24" t="inlineStr">
        <is>
          <t>Boston Red Sox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6a5c79541b0e50cb9f7318270e63d5ccc65cbd7bc53a019748ff772d49de5075</t>
        </is>
      </c>
      <c r="BB76" s="24" t="inlineStr">
        <is>
          <t>learned_lr</t>
        </is>
      </c>
      <c r="BC76" s="24" t="inlineStr">
        <is>
          <t>mlb-elo-trend-lr-v8</t>
        </is>
      </c>
      <c r="BD76" s="24" t="inlineStr">
        <is>
          <t>6a5c79541b0e50cb9f7318270e63d5ccc65cbd7bc53a019748ff772d49de5075</t>
        </is>
      </c>
      <c r="BE76" s="24" t="inlineStr">
        <is>
          <t>0ff3d2b2c501e1c6</t>
        </is>
      </c>
      <c r="BF76" s="24" t="inlineStr">
        <is>
          <t>1</t>
        </is>
      </c>
      <c r="BG76" s="24" t="inlineStr">
        <is>
          <t>mlb-elo-trend-lr-v8</t>
        </is>
      </c>
      <c r="BH76" s="24" t="inlineStr">
        <is>
          <t>2026-08-07T21:55:53.566253Z</t>
        </is>
      </c>
      <c r="BI76" s="24" t="inlineStr">
        <is>
          <t>["same_event","same_team_same_day","same_league_same_day"]</t>
        </is>
      </c>
      <c r="BJ76" s="25" t="n"/>
      <c r="BK76" s="26" t="n">
        <v>-251</v>
      </c>
      <c r="BL76" s="27" t="n">
        <v>1.398406</v>
      </c>
      <c r="BM76" s="28" t="n">
        <v>0.7151</v>
      </c>
      <c r="BN76" s="28" t="n">
        <v>0.711443</v>
      </c>
      <c r="BO76" s="28" t="n"/>
      <c r="BP76" s="25" t="n"/>
      <c r="BQ76" s="27" t="n">
        <v>1.398406</v>
      </c>
      <c r="BR76" s="28" t="n">
        <v>0.715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0.7202110418</t>
        </is>
      </c>
      <c r="CD76" s="24" t="inlineStr">
        <is>
          <t>3.133709</t>
        </is>
      </c>
      <c r="CE76" s="24" t="inlineStr">
        <is>
          <t>1.019</t>
        </is>
      </c>
      <c r="CF76" s="24" t="inlineStr">
        <is>
          <t>1.0202</t>
        </is>
      </c>
      <c r="CG76" s="24" t="n"/>
      <c r="CH76" s="24" t="n"/>
      <c r="CI76" s="24" t="n"/>
      <c r="CJ76" s="24" t="inlineStr">
        <is>
          <t>-0.951967</t>
        </is>
      </c>
      <c r="CK76" s="24" t="n"/>
      <c r="CL76" s="24" t="inlineStr">
        <is>
          <t>-1.020116</t>
        </is>
      </c>
      <c r="CM76" s="24" t="inlineStr">
        <is>
          <t>-5.0942</t>
        </is>
      </c>
      <c r="CN76" s="24" t="n"/>
      <c r="CO76" s="24" t="n"/>
      <c r="CP76" s="24" t="n"/>
      <c r="CQ76" s="24" t="n"/>
      <c r="CR76" s="24" t="inlineStr">
        <is>
          <t>0.633595</t>
        </is>
      </c>
      <c r="CS76" s="24" t="inlineStr">
        <is>
          <t>False</t>
        </is>
      </c>
    </row>
    <row r="77" ht="36" customHeight="1">
      <c r="A77" s="24" t="inlineStr">
        <is>
          <t>b11880ae2c644f89</t>
        </is>
      </c>
      <c r="B77" s="24" t="inlineStr">
        <is>
          <t>2026-08-07T21:56:24.360448Z</t>
        </is>
      </c>
      <c r="C77" s="24" t="inlineStr">
        <is>
          <t>2026-08-07T19:40:00-0400</t>
        </is>
      </c>
      <c r="D77" s="24" t="inlineStr">
        <is>
          <t>401816432</t>
        </is>
      </c>
      <c r="E77" s="24" t="inlineStr">
        <is>
          <t>MLB</t>
        </is>
      </c>
      <c r="F77" s="24" t="inlineStr">
        <is>
          <t>Cleveland Guardians</t>
        </is>
      </c>
      <c r="G77" s="24" t="inlineStr">
        <is>
          <t>Chicago White Sox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133</v>
      </c>
      <c r="M77" s="27" t="n">
        <v>2.33</v>
      </c>
      <c r="N77" s="28" t="n">
        <v>0.429185</v>
      </c>
      <c r="O77" s="28" t="n">
        <v>0.521944</v>
      </c>
      <c r="P77" s="28" t="n"/>
      <c r="Q77" s="28" t="n">
        <v>0.09275899999999999</v>
      </c>
      <c r="R77" s="26" t="n">
        <v>67</v>
      </c>
      <c r="S77" s="29" t="n">
        <v>1</v>
      </c>
      <c r="T77" s="24" t="inlineStr">
        <is>
          <t>mlb-elo-trend-lr-v8</t>
        </is>
      </c>
      <c r="U77" s="24" t="inlineStr">
        <is>
          <t>settled</t>
        </is>
      </c>
      <c r="V77" s="24" t="inlineStr">
        <is>
          <t>loss</t>
        </is>
      </c>
      <c r="W77" s="26" t="n">
        <v>8</v>
      </c>
      <c r="X77" s="26" t="n">
        <v>2</v>
      </c>
      <c r="Y77" s="25" t="n"/>
      <c r="Z77" s="26" t="n">
        <v>133</v>
      </c>
      <c r="AA77" s="28" t="n">
        <v>0.43</v>
      </c>
      <c r="AB77" s="28" t="n">
        <v>0.000815</v>
      </c>
      <c r="AC77" s="30" t="n">
        <v>-1</v>
      </c>
      <c r="AD77" s="24" t="inlineStr">
        <is>
          <t>2026-08-08T04:03:17.551687Z</t>
        </is>
      </c>
      <c r="AE77" s="31" t="inlineStr">
        <is>
          <t>Learned LR call at threshold 0.5873; executable ask 0.4300 (aec-mlb-cle-cws-2026-08-07); model edge vs ask +0.0919.</t>
        </is>
      </c>
      <c r="AF77" s="31" t="inlineStr">
        <is>
          <t>Learned model; shadow-qualified via operator override.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NO_CALL_BELOW_LEARNED_CONFIDENCE</t>
        </is>
      </c>
      <c r="AP77" s="24" t="inlineStr">
        <is>
          <t>mlb-cle</t>
        </is>
      </c>
      <c r="AQ77" s="24" t="inlineStr">
        <is>
          <t>Cleveland Guardians</t>
        </is>
      </c>
      <c r="AR77" s="24" t="inlineStr">
        <is>
          <t>Cleveland Guardians</t>
        </is>
      </c>
      <c r="AS77" s="24" t="inlineStr">
        <is>
          <t>mlb-cws</t>
        </is>
      </c>
      <c r="AT77" s="24" t="inlineStr">
        <is>
          <t>Chicago White Sox</t>
        </is>
      </c>
      <c r="AU77" s="24" t="inlineStr">
        <is>
          <t>Chicago White Sox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6a5c79541b0e50cb9f7318270e63d5ccc65cbd7bc53a019748ff772d49de5075</t>
        </is>
      </c>
      <c r="BB77" s="24" t="inlineStr">
        <is>
          <t>learned_lr</t>
        </is>
      </c>
      <c r="BC77" s="24" t="inlineStr">
        <is>
          <t>mlb-elo-trend-lr-v8</t>
        </is>
      </c>
      <c r="BD77" s="24" t="inlineStr">
        <is>
          <t>6a5c79541b0e50cb9f7318270e63d5ccc65cbd7bc53a019748ff772d49de5075</t>
        </is>
      </c>
      <c r="BE77" s="24" t="inlineStr">
        <is>
          <t>1c2e6755c94f81d5</t>
        </is>
      </c>
      <c r="BF77" s="24" t="inlineStr">
        <is>
          <t>1</t>
        </is>
      </c>
      <c r="BG77" s="24" t="inlineStr">
        <is>
          <t>mlb-elo-trend-lr-v8</t>
        </is>
      </c>
      <c r="BH77" s="24" t="inlineStr">
        <is>
          <t>2026-08-07T21:55:54.886411Z</t>
        </is>
      </c>
      <c r="BI77" s="24" t="inlineStr">
        <is>
          <t>["same_event","same_team_same_day","same_league_same_day"]</t>
        </is>
      </c>
      <c r="BJ77" s="25" t="n"/>
      <c r="BK77" s="26" t="n">
        <v>133</v>
      </c>
      <c r="BL77" s="27" t="n">
        <v>2.33</v>
      </c>
      <c r="BM77" s="28" t="n">
        <v>0.429185</v>
      </c>
      <c r="BN77" s="28" t="n">
        <v>0.427861</v>
      </c>
      <c r="BO77" s="28" t="n"/>
      <c r="BP77" s="25" t="n"/>
      <c r="BQ77" s="27" t="n">
        <v>2.33</v>
      </c>
      <c r="BR77" s="28" t="n">
        <v>0.43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0.5453292229</t>
        </is>
      </c>
      <c r="CD77" s="24" t="inlineStr">
        <is>
          <t>-0.187486</t>
        </is>
      </c>
      <c r="CE77" s="24" t="inlineStr">
        <is>
          <t>0.94</t>
        </is>
      </c>
      <c r="CF77" s="24" t="inlineStr">
        <is>
          <t>1.0109</t>
        </is>
      </c>
      <c r="CG77" s="24" t="n"/>
      <c r="CH77" s="24" t="n"/>
      <c r="CI77" s="24" t="n"/>
      <c r="CJ77" s="24" t="inlineStr">
        <is>
          <t>0.152159</t>
        </is>
      </c>
      <c r="CK77" s="24" t="n"/>
      <c r="CL77" s="24" t="inlineStr">
        <is>
          <t>-0.472478</t>
        </is>
      </c>
      <c r="CM77" s="24" t="inlineStr">
        <is>
          <t>3.7345</t>
        </is>
      </c>
      <c r="CN77" s="24" t="n"/>
      <c r="CO77" s="24" t="n"/>
      <c r="CP77" s="24" t="n"/>
      <c r="CQ77" s="24" t="n"/>
      <c r="CR77" s="24" t="inlineStr">
        <is>
          <t>0.521944</t>
        </is>
      </c>
      <c r="CS77" s="24" t="inlineStr">
        <is>
          <t>True</t>
        </is>
      </c>
    </row>
    <row r="78" ht="36" customHeight="1">
      <c r="A78" s="24" t="inlineStr">
        <is>
          <t>bb31b1bf35984663</t>
        </is>
      </c>
      <c r="B78" s="24" t="inlineStr">
        <is>
          <t>2026-08-07T21:56:24.360448Z</t>
        </is>
      </c>
      <c r="C78" s="24" t="inlineStr">
        <is>
          <t>2026-08-07T19:40:00-0400</t>
        </is>
      </c>
      <c r="D78" s="24" t="inlineStr">
        <is>
          <t>401816434</t>
        </is>
      </c>
      <c r="E78" s="24" t="inlineStr">
        <is>
          <t>MLB</t>
        </is>
      </c>
      <c r="F78" s="24" t="inlineStr">
        <is>
          <t>Minnesota Twins</t>
        </is>
      </c>
      <c r="G78" s="24" t="inlineStr">
        <is>
          <t>Milwaukee Brewers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0.651659</v>
      </c>
      <c r="P78" s="28" t="n"/>
      <c r="Q78" s="28" t="n">
        <v>0.031887</v>
      </c>
      <c r="R78" s="26" t="n">
        <v>37</v>
      </c>
      <c r="S78" s="29" t="n">
        <v>1.75</v>
      </c>
      <c r="T78" s="24" t="inlineStr">
        <is>
          <t>mlb-elo-trend-lr-v8</t>
        </is>
      </c>
      <c r="U78" s="24" t="inlineStr">
        <is>
          <t>settled</t>
        </is>
      </c>
      <c r="V78" s="24" t="inlineStr">
        <is>
          <t>loss</t>
        </is>
      </c>
      <c r="W78" s="26" t="n">
        <v>8</v>
      </c>
      <c r="X78" s="26" t="n">
        <v>6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-1.75</v>
      </c>
      <c r="AD78" s="24" t="inlineStr">
        <is>
          <t>2026-08-08T04:03:18.674135Z</t>
        </is>
      </c>
      <c r="AE78" s="31" t="inlineStr">
        <is>
          <t>Learned LR call at threshold 0.5873; executable ask 0.6200 (aec-mlb-min-mil-2026-08-07); model edge vs ask +0.0317.</t>
        </is>
      </c>
      <c r="AF78" s="31" t="inlineStr">
        <is>
          <t>Learned model; shadow-qualified via operator override.</t>
        </is>
      </c>
      <c r="AG78" s="24" t="inlineStr">
        <is>
          <t>review_required</t>
        </is>
      </c>
      <c r="AH78" s="24" t="n"/>
      <c r="AI78" s="31" t="n"/>
      <c r="AJ7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NO_CALL_WINNER_OVERVALUED</t>
        </is>
      </c>
      <c r="AP78" s="24" t="inlineStr">
        <is>
          <t>mlb-min</t>
        </is>
      </c>
      <c r="AQ78" s="24" t="inlineStr">
        <is>
          <t>Minnesota Twins</t>
        </is>
      </c>
      <c r="AR78" s="24" t="inlineStr">
        <is>
          <t>Minnesota Twins</t>
        </is>
      </c>
      <c r="AS78" s="24" t="inlineStr">
        <is>
          <t>mlb-mil</t>
        </is>
      </c>
      <c r="AT78" s="24" t="inlineStr">
        <is>
          <t>Milwaukee Brewers</t>
        </is>
      </c>
      <c r="AU78" s="24" t="inlineStr">
        <is>
          <t>Milwaukee Brewers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6a5c79541b0e50cb9f7318270e63d5ccc65cbd7bc53a019748ff772d49de5075</t>
        </is>
      </c>
      <c r="BB78" s="24" t="inlineStr">
        <is>
          <t>learned_lr</t>
        </is>
      </c>
      <c r="BC78" s="24" t="inlineStr">
        <is>
          <t>mlb-elo-trend-lr-v8</t>
        </is>
      </c>
      <c r="BD78" s="24" t="inlineStr">
        <is>
          <t>6a5c79541b0e50cb9f7318270e63d5ccc65cbd7bc53a019748ff772d49de5075</t>
        </is>
      </c>
      <c r="BE78" s="24" t="inlineStr">
        <is>
          <t>6930bf181d0a558c</t>
        </is>
      </c>
      <c r="BF78" s="24" t="inlineStr">
        <is>
          <t>1</t>
        </is>
      </c>
      <c r="BG78" s="24" t="inlineStr">
        <is>
          <t>mlb-elo-trend-lr-v8</t>
        </is>
      </c>
      <c r="BH78" s="24" t="inlineStr">
        <is>
          <t>2026-08-07T21:55:54.574354Z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>
        <v>0.616915</v>
      </c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0.6744913947</t>
        </is>
      </c>
      <c r="CD78" s="24" t="inlineStr">
        <is>
          <t>0.315297</t>
        </is>
      </c>
      <c r="CE78" s="24" t="inlineStr">
        <is>
          <t>0.997</t>
        </is>
      </c>
      <c r="CF78" s="24" t="inlineStr">
        <is>
          <t>1.0</t>
        </is>
      </c>
      <c r="CG78" s="24" t="n"/>
      <c r="CH78" s="24" t="n"/>
      <c r="CI78" s="24" t="n"/>
      <c r="CJ78" s="24" t="inlineStr">
        <is>
          <t>0.124056</t>
        </is>
      </c>
      <c r="CK78" s="24" t="n"/>
      <c r="CL78" s="24" t="inlineStr">
        <is>
          <t>-0.026606</t>
        </is>
      </c>
      <c r="CM78" s="24" t="inlineStr">
        <is>
          <t>-3.5537</t>
        </is>
      </c>
      <c r="CN78" s="24" t="n"/>
      <c r="CO78" s="24" t="n"/>
      <c r="CP78" s="24" t="n"/>
      <c r="CQ78" s="24" t="n"/>
      <c r="CR78" s="24" t="inlineStr">
        <is>
          <t>0.651659</t>
        </is>
      </c>
      <c r="CS78" s="24" t="inlineStr">
        <is>
          <t>True</t>
        </is>
      </c>
    </row>
    <row r="79" ht="36" customHeight="1">
      <c r="A79" s="24" t="inlineStr">
        <is>
          <t>798159da52af4096</t>
        </is>
      </c>
      <c r="B79" s="24" t="inlineStr">
        <is>
          <t>2026-08-07T21:56:24.360448Z</t>
        </is>
      </c>
      <c r="C79" s="24" t="inlineStr">
        <is>
          <t>2026-08-07T20:10:00-0400</t>
        </is>
      </c>
      <c r="D79" s="24" t="inlineStr">
        <is>
          <t>401816431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Kansas City Royals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-160</v>
      </c>
      <c r="M79" s="27" t="n">
        <v>1.625</v>
      </c>
      <c r="N79" s="28" t="n">
        <v>0.615385</v>
      </c>
      <c r="O79" s="28" t="n">
        <v>0.532407</v>
      </c>
      <c r="P79" s="28" t="n"/>
      <c r="Q79" s="28" t="n">
        <v>-0.082978</v>
      </c>
      <c r="R79" s="26" t="n">
        <v>0</v>
      </c>
      <c r="S79" s="29" t="n">
        <v>1</v>
      </c>
      <c r="T79" s="24" t="inlineStr">
        <is>
          <t>mlb-elo-trend-lr-v8</t>
        </is>
      </c>
      <c r="U79" s="24" t="inlineStr">
        <is>
          <t>settled</t>
        </is>
      </c>
      <c r="V79" s="24" t="inlineStr">
        <is>
          <t>win</t>
        </is>
      </c>
      <c r="W79" s="26" t="n">
        <v>6</v>
      </c>
      <c r="X79" s="26" t="n">
        <v>4</v>
      </c>
      <c r="Y79" s="25" t="n"/>
      <c r="Z79" s="26" t="n">
        <v>-160</v>
      </c>
      <c r="AA79" s="28" t="n">
        <v>0.615</v>
      </c>
      <c r="AB79" s="28" t="n">
        <v>-0.000385</v>
      </c>
      <c r="AC79" s="30" t="n">
        <v>0.625</v>
      </c>
      <c r="AD79" s="24" t="inlineStr">
        <is>
          <t>2026-08-08T04:03:19.835611Z</t>
        </is>
      </c>
      <c r="AE79" s="31" t="inlineStr">
        <is>
          <t>Learned LR call at threshold 0.5873; executable ask 0.6150 (aec-mlb-chc-kc-2026-08-07); model edge vs ask -0.0826.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NO_CALL_WINNER_OVERVALUED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mlb-kc</t>
        </is>
      </c>
      <c r="AT79" s="24" t="inlineStr">
        <is>
          <t>Kansas City Royals</t>
        </is>
      </c>
      <c r="AU79" s="24" t="inlineStr">
        <is>
          <t>Kansas City Royals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6a5c79541b0e50cb9f7318270e63d5ccc65cbd7bc53a019748ff772d49de5075</t>
        </is>
      </c>
      <c r="BB79" s="24" t="inlineStr">
        <is>
          <t>learned_lr</t>
        </is>
      </c>
      <c r="BC79" s="24" t="inlineStr">
        <is>
          <t>mlb-elo-trend-lr-v8</t>
        </is>
      </c>
      <c r="BD79" s="24" t="inlineStr">
        <is>
          <t>6a5c79541b0e50cb9f7318270e63d5ccc65cbd7bc53a019748ff772d49de5075</t>
        </is>
      </c>
      <c r="BE79" s="24" t="inlineStr">
        <is>
          <t>6a10316f6881dd5b</t>
        </is>
      </c>
      <c r="BF79" s="24" t="inlineStr">
        <is>
          <t>1</t>
        </is>
      </c>
      <c r="BG79" s="24" t="inlineStr">
        <is>
          <t>mlb-elo-trend-lr-v8</t>
        </is>
      </c>
      <c r="BH79" s="24" t="inlineStr">
        <is>
          <t>2026-08-07T21:55:55.373871Z</t>
        </is>
      </c>
      <c r="BI79" s="24" t="inlineStr">
        <is>
          <t>["same_event","same_team_same_day","same_league_same_day"]</t>
        </is>
      </c>
      <c r="BJ79" s="25" t="n"/>
      <c r="BK79" s="26" t="n">
        <v>-160</v>
      </c>
      <c r="BL79" s="27" t="n">
        <v>1.625</v>
      </c>
      <c r="BM79" s="28" t="n">
        <v>0.615385</v>
      </c>
      <c r="BN79" s="28" t="n">
        <v>0.61194</v>
      </c>
      <c r="BO79" s="28" t="n"/>
      <c r="BP79" s="25" t="n"/>
      <c r="BQ79" s="27" t="n">
        <v>1.625</v>
      </c>
      <c r="BR79" s="28" t="n">
        <v>0.615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0.3994270935</t>
        </is>
      </c>
      <c r="CD79" s="24" t="inlineStr">
        <is>
          <t>-0.897514</t>
        </is>
      </c>
      <c r="CE79" s="24" t="inlineStr">
        <is>
          <t>0.973</t>
        </is>
      </c>
      <c r="CF79" s="24" t="inlineStr">
        <is>
          <t>1.0152</t>
        </is>
      </c>
      <c r="CG79" s="24" t="n"/>
      <c r="CH79" s="24" t="n"/>
      <c r="CI79" s="24" t="n"/>
      <c r="CJ79" s="24" t="inlineStr">
        <is>
          <t>-0.095985</t>
        </is>
      </c>
      <c r="CK79" s="24" t="n"/>
      <c r="CL79" s="24" t="inlineStr">
        <is>
          <t>0.727975</t>
        </is>
      </c>
      <c r="CM79" s="24" t="inlineStr">
        <is>
          <t>0.7448</t>
        </is>
      </c>
      <c r="CN79" s="24" t="n"/>
      <c r="CO79" s="24" t="n"/>
      <c r="CP79" s="24" t="n"/>
      <c r="CQ79" s="24" t="n"/>
      <c r="CR79" s="24" t="inlineStr">
        <is>
          <t>0.532407</t>
        </is>
      </c>
      <c r="CS79" s="24" t="inlineStr">
        <is>
          <t>False</t>
        </is>
      </c>
    </row>
    <row r="80" ht="36" customHeight="1">
      <c r="A80" s="24" t="inlineStr">
        <is>
          <t>7528904623704e21</t>
        </is>
      </c>
      <c r="B80" s="24" t="inlineStr">
        <is>
          <t>2026-08-07T21:56:24.360448Z</t>
        </is>
      </c>
      <c r="C80" s="24" t="inlineStr">
        <is>
          <t>2026-08-07T20:15:00-0400</t>
        </is>
      </c>
      <c r="D80" s="24" t="inlineStr">
        <is>
          <t>401816430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Texas Rangers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0.551691</v>
      </c>
      <c r="P80" s="28" t="n"/>
      <c r="Q80" s="28" t="n">
        <v>-0.022777</v>
      </c>
      <c r="R80" s="26" t="n">
        <v>10</v>
      </c>
      <c r="S80" s="29" t="n">
        <v>1</v>
      </c>
      <c r="T80" s="24" t="inlineStr">
        <is>
          <t>mlb-elo-trend-lr-v8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2</v>
      </c>
      <c r="Y80" s="25" t="n"/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2026-08-08T04:03:20.956903Z</t>
        </is>
      </c>
      <c r="AE80" s="31" t="inlineStr">
        <is>
          <t>Learned LR call at threshold 0.5873; executable ask 0.5750 (aec-mlb-bal-tex-2026-08-07); model edge vs ask -0.0233.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NO_CALL_WINNER_OVERVALUED</t>
        </is>
      </c>
      <c r="AP80" s="24" t="inlineStr">
        <is>
          <t>mlb-bal</t>
        </is>
      </c>
      <c r="AQ80" s="24" t="inlineStr">
        <is>
          <t>Baltimore Orioles</t>
        </is>
      </c>
      <c r="AR80" s="24" t="inlineStr">
        <is>
          <t>Baltimore Orioles</t>
        </is>
      </c>
      <c r="AS80" s="24" t="inlineStr">
        <is>
          <t>mlb-tex</t>
        </is>
      </c>
      <c r="AT80" s="24" t="inlineStr">
        <is>
          <t>Texas Rangers</t>
        </is>
      </c>
      <c r="AU80" s="24" t="inlineStr">
        <is>
          <t>Texas Rangers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6a5c79541b0e50cb9f7318270e63d5ccc65cbd7bc53a019748ff772d49de5075</t>
        </is>
      </c>
      <c r="BB80" s="24" t="inlineStr">
        <is>
          <t>learned_lr</t>
        </is>
      </c>
      <c r="BC80" s="24" t="inlineStr">
        <is>
          <t>mlb-elo-trend-lr-v8</t>
        </is>
      </c>
      <c r="BD80" s="24" t="inlineStr">
        <is>
          <t>6a5c79541b0e50cb9f7318270e63d5ccc65cbd7bc53a019748ff772d49de5075</t>
        </is>
      </c>
      <c r="BE80" s="24" t="inlineStr">
        <is>
          <t>014888ea3e3e3318</t>
        </is>
      </c>
      <c r="BF80" s="24" t="inlineStr">
        <is>
          <t>1</t>
        </is>
      </c>
      <c r="BG80" s="24" t="inlineStr">
        <is>
          <t>mlb-elo-trend-lr-v8</t>
        </is>
      </c>
      <c r="BH80" s="24" t="inlineStr">
        <is>
          <t>2026-08-07T21:55:55.937158Z</t>
        </is>
      </c>
      <c r="BI80" s="24" t="inlineStr">
        <is>
          <t>["same_event","same_team_same_day","same_league_same_day"]</t>
        </is>
      </c>
      <c r="BJ80" s="25" t="n"/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0.5134715749</t>
        </is>
      </c>
      <c r="CD80" s="24" t="inlineStr">
        <is>
          <t>1.011957</t>
        </is>
      </c>
      <c r="CE80" s="24" t="inlineStr">
        <is>
          <t>0.913</t>
        </is>
      </c>
      <c r="CF80" s="24" t="inlineStr">
        <is>
          <t>1.0</t>
        </is>
      </c>
      <c r="CG80" s="24" t="n"/>
      <c r="CH80" s="24" t="n"/>
      <c r="CI80" s="24" t="n"/>
      <c r="CJ80" s="24" t="inlineStr">
        <is>
          <t>0.687309</t>
        </is>
      </c>
      <c r="CK80" s="24" t="n"/>
      <c r="CL80" s="24" t="inlineStr">
        <is>
          <t>0.517489</t>
        </is>
      </c>
      <c r="CM80" s="24" t="inlineStr">
        <is>
          <t>0.1441</t>
        </is>
      </c>
      <c r="CN80" s="24" t="n"/>
      <c r="CO80" s="24" t="n"/>
      <c r="CP80" s="24" t="n"/>
      <c r="CQ80" s="24" t="n"/>
      <c r="CR80" s="24" t="inlineStr">
        <is>
          <t>0.551691</t>
        </is>
      </c>
      <c r="CS80" s="24" t="inlineStr">
        <is>
          <t>False</t>
        </is>
      </c>
    </row>
    <row r="81" ht="36" customHeight="1">
      <c r="A81" s="24" t="inlineStr">
        <is>
          <t>ff8003c495d44786</t>
        </is>
      </c>
      <c r="B81" s="24" t="inlineStr">
        <is>
          <t>2026-08-07T21:56:24.360448Z</t>
        </is>
      </c>
      <c r="C81" s="24" t="inlineStr">
        <is>
          <t>2026-08-07T20:15:00-0400</t>
        </is>
      </c>
      <c r="D81" s="24" t="inlineStr">
        <is>
          <t>401816433</t>
        </is>
      </c>
      <c r="E81" s="24" t="inlineStr">
        <is>
          <t>MLB</t>
        </is>
      </c>
      <c r="F81" s="24" t="inlineStr">
        <is>
          <t>Colorado Rockies</t>
        </is>
      </c>
      <c r="G81" s="24" t="inlineStr">
        <is>
          <t>St. Louis Cardinals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-160</v>
      </c>
      <c r="M81" s="27" t="n">
        <v>1.625</v>
      </c>
      <c r="N81" s="28" t="n">
        <v>0.615385</v>
      </c>
      <c r="O81" s="28" t="n">
        <v>0.667099</v>
      </c>
      <c r="P81" s="28" t="n"/>
      <c r="Q81" s="28" t="n">
        <v>0.051714</v>
      </c>
      <c r="R81" s="26" t="n">
        <v>48</v>
      </c>
      <c r="S81" s="29" t="n">
        <v>1.75</v>
      </c>
      <c r="T81" s="24" t="inlineStr">
        <is>
          <t>mlb-elo-trend-lr-v8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3</v>
      </c>
      <c r="Y81" s="25" t="n"/>
      <c r="Z81" s="26" t="n">
        <v>-160</v>
      </c>
      <c r="AA81" s="28" t="n">
        <v>0.615</v>
      </c>
      <c r="AB81" s="28" t="n">
        <v>-0.000385</v>
      </c>
      <c r="AC81" s="30" t="n">
        <v>1.0938</v>
      </c>
      <c r="AD81" s="24" t="inlineStr">
        <is>
          <t>2026-08-08T04:03:22.121246Z</t>
        </is>
      </c>
      <c r="AE81" s="31" t="inlineStr">
        <is>
          <t>Learned LR call at threshold 0.5873; executable ask 0.6150 (aec-mlb-col-stl-2026-08-07); model edge vs ask +0.0521.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NO_CALL_WINNER_OVERVALUED</t>
        </is>
      </c>
      <c r="AP81" s="24" t="inlineStr">
        <is>
          <t>mlb-col</t>
        </is>
      </c>
      <c r="AQ81" s="24" t="inlineStr">
        <is>
          <t>Colorado Rockies</t>
        </is>
      </c>
      <c r="AR81" s="24" t="inlineStr">
        <is>
          <t>Colorado Rockies</t>
        </is>
      </c>
      <c r="AS81" s="24" t="inlineStr">
        <is>
          <t>mlb-stl</t>
        </is>
      </c>
      <c r="AT81" s="24" t="inlineStr">
        <is>
          <t>St. Louis Cardinals</t>
        </is>
      </c>
      <c r="AU81" s="24" t="inlineStr">
        <is>
          <t>St. Louis Cardinals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6a5c79541b0e50cb9f7318270e63d5ccc65cbd7bc53a019748ff772d49de5075</t>
        </is>
      </c>
      <c r="BB81" s="24" t="inlineStr">
        <is>
          <t>learned_lr</t>
        </is>
      </c>
      <c r="BC81" s="24" t="inlineStr">
        <is>
          <t>mlb-elo-trend-lr-v8</t>
        </is>
      </c>
      <c r="BD81" s="24" t="inlineStr">
        <is>
          <t>6a5c79541b0e50cb9f7318270e63d5ccc65cbd7bc53a019748ff772d49de5075</t>
        </is>
      </c>
      <c r="BE81" s="24" t="inlineStr">
        <is>
          <t>bec8568f64cb98f8</t>
        </is>
      </c>
      <c r="BF81" s="24" t="inlineStr">
        <is>
          <t>1</t>
        </is>
      </c>
      <c r="BG81" s="24" t="inlineStr">
        <is>
          <t>mlb-elo-trend-lr-v8</t>
        </is>
      </c>
      <c r="BH81" s="24" t="inlineStr">
        <is>
          <t>2026-08-07T21:55:56.639585Z</t>
        </is>
      </c>
      <c r="BI81" s="24" t="inlineStr">
        <is>
          <t>["same_event","same_team_same_day","same_league_same_day"]</t>
        </is>
      </c>
      <c r="BJ81" s="25" t="n"/>
      <c r="BK81" s="26" t="n">
        <v>-160</v>
      </c>
      <c r="BL81" s="27" t="n">
        <v>1.625</v>
      </c>
      <c r="BM81" s="28" t="n">
        <v>0.615385</v>
      </c>
      <c r="BN81" s="28" t="n">
        <v>0.61194</v>
      </c>
      <c r="BO81" s="28" t="n"/>
      <c r="BP81" s="25" t="n"/>
      <c r="BQ81" s="27" t="n">
        <v>1.625</v>
      </c>
      <c r="BR81" s="28" t="n">
        <v>0.615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0.6585400856</t>
        </is>
      </c>
      <c r="CD81" s="24" t="inlineStr">
        <is>
          <t>-0.721171</t>
        </is>
      </c>
      <c r="CE81" s="24" t="inlineStr">
        <is>
          <t>0.946</t>
        </is>
      </c>
      <c r="CF81" s="24" t="inlineStr">
        <is>
          <t>1.0185</t>
        </is>
      </c>
      <c r="CG81" s="24" t="n"/>
      <c r="CH81" s="24" t="n"/>
      <c r="CI81" s="24" t="n"/>
      <c r="CJ81" s="24" t="inlineStr">
        <is>
          <t>1.490394</t>
        </is>
      </c>
      <c r="CK81" s="24" t="n"/>
      <c r="CL81" s="24" t="inlineStr">
        <is>
          <t>0.06385</t>
        </is>
      </c>
      <c r="CM81" s="24" t="inlineStr">
        <is>
          <t>-5.5113</t>
        </is>
      </c>
      <c r="CN81" s="24" t="n"/>
      <c r="CO81" s="24" t="n"/>
      <c r="CP81" s="24" t="n"/>
      <c r="CQ81" s="24" t="n"/>
      <c r="CR81" s="24" t="inlineStr">
        <is>
          <t>0.667099</t>
        </is>
      </c>
      <c r="CS81" s="24" t="inlineStr">
        <is>
          <t>True</t>
        </is>
      </c>
    </row>
    <row r="82" ht="36" customHeight="1">
      <c r="A82" s="24" t="inlineStr">
        <is>
          <t>1167f2c80d134ad8</t>
        </is>
      </c>
      <c r="B82" s="24" t="inlineStr">
        <is>
          <t>2026-08-07T21:56:47.081526Z</t>
        </is>
      </c>
      <c r="C82" s="24" t="inlineStr">
        <is>
          <t>2026-08-07T22:40Z</t>
        </is>
      </c>
      <c r="D82" s="24" t="inlineStr">
        <is>
          <t>401816428</t>
        </is>
      </c>
      <c r="E82" s="24" t="inlineStr">
        <is>
          <t>MLB</t>
        </is>
      </c>
      <c r="F82" s="24" t="inlineStr">
        <is>
          <t>New York Mets</t>
        </is>
      </c>
      <c r="G82" s="24" t="inlineStr">
        <is>
          <t>Pittsburgh Pirates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-167</v>
      </c>
      <c r="M82" s="27" t="n">
        <v>1.598802</v>
      </c>
      <c r="N82" s="28" t="n">
        <v>0.625468</v>
      </c>
      <c r="O82" s="28" t="n">
        <v>0.625718</v>
      </c>
      <c r="P82" s="28" t="n">
        <v>0.05172</v>
      </c>
      <c r="Q82" s="28" t="n">
        <v>0.00025</v>
      </c>
      <c r="R82" s="26" t="n">
        <v>21</v>
      </c>
      <c r="S82" s="29" t="n">
        <v>1.5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4</v>
      </c>
      <c r="Y82" s="25" t="n">
        <v>1.5</v>
      </c>
      <c r="Z82" s="26" t="n">
        <v>-167</v>
      </c>
      <c r="AA82" s="28" t="n">
        <v>0.625</v>
      </c>
      <c r="AB82" s="28" t="n">
        <v>-0.000468</v>
      </c>
      <c r="AC82" s="30" t="n">
        <v>0.8982</v>
      </c>
      <c r="AD82" s="24" t="inlineStr">
        <is>
          <t>2026-08-08T04:03:24.992473Z</t>
        </is>
      </c>
      <c r="AE82" s="31" t="inlineStr">
        <is>
          <t>Measured Edge Margin: Trend Engine projected 4.19-4.16; raw selected-side p=0.6845, calibrated p=0.6257.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NO_CALL_WINNER_OVERVALUED</t>
        </is>
      </c>
      <c r="AP82" s="24" t="inlineStr">
        <is>
          <t>mlb-nym</t>
        </is>
      </c>
      <c r="AQ82" s="24" t="inlineStr">
        <is>
          <t>New York Mets</t>
        </is>
      </c>
      <c r="AR82" s="24" t="inlineStr">
        <is>
          <t>New York Mets</t>
        </is>
      </c>
      <c r="AS82" s="24" t="inlineStr">
        <is>
          <t>mlb-pit</t>
        </is>
      </c>
      <c r="AT82" s="24" t="inlineStr">
        <is>
          <t>Pittsburgh Pirates</t>
        </is>
      </c>
      <c r="AU82" s="24" t="inlineStr">
        <is>
          <t>Pittsburgh Pirates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2026-08-07T21:56:47.081526Z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-167</v>
      </c>
      <c r="BL82" s="27" t="n">
        <v>1.598802</v>
      </c>
      <c r="BM82" s="28" t="n">
        <v>0.625468</v>
      </c>
      <c r="BN82" s="28" t="n">
        <v>0.621891</v>
      </c>
      <c r="BO82" s="28" t="n"/>
      <c r="BP82" s="25" t="n"/>
      <c r="BQ82" s="27" t="n">
        <v>1.598802</v>
      </c>
      <c r="BR82" s="28" t="n">
        <v>0.625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9ce162c41aeb4475</t>
        </is>
      </c>
      <c r="B83" s="24" t="inlineStr">
        <is>
          <t>2026-08-07T21:56:47.081526Z</t>
        </is>
      </c>
      <c r="C83" s="24" t="inlineStr">
        <is>
          <t>2026-08-07T22:40Z</t>
        </is>
      </c>
      <c r="D83" s="24" t="inlineStr">
        <is>
          <t>401816428</t>
        </is>
      </c>
      <c r="E83" s="24" t="inlineStr">
        <is>
          <t>MLB</t>
        </is>
      </c>
      <c r="F83" s="24" t="inlineStr">
        <is>
          <t>New York Mets</t>
        </is>
      </c>
      <c r="G83" s="24" t="inlineStr">
        <is>
          <t>Pittsburgh Pirates</t>
        </is>
      </c>
      <c r="H83" s="24" t="inlineStr">
        <is>
          <t>total</t>
        </is>
      </c>
      <c r="I83" s="24" t="inlineStr">
        <is>
          <t>under</t>
        </is>
      </c>
      <c r="J83" s="25" t="n">
        <v>8.5</v>
      </c>
      <c r="K83" s="24" t="inlineStr">
        <is>
          <t>polymarket_us</t>
        </is>
      </c>
      <c r="L83" s="26" t="n">
        <v>-108</v>
      </c>
      <c r="M83" s="27" t="n">
        <v>1.925926</v>
      </c>
      <c r="N83" s="28" t="n">
        <v>0.519231</v>
      </c>
      <c r="O83" s="28" t="n">
        <v>0.5161829999999999</v>
      </c>
      <c r="P83" s="28" t="n">
        <v>0.05172</v>
      </c>
      <c r="Q83" s="28" t="n">
        <v>-0.003048</v>
      </c>
      <c r="R83" s="26" t="n">
        <v>20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4</v>
      </c>
      <c r="Y83" s="25" t="n">
        <v>8.5</v>
      </c>
      <c r="Z83" s="26" t="n">
        <v>-108</v>
      </c>
      <c r="AA83" s="28" t="n">
        <v>0.52</v>
      </c>
      <c r="AB83" s="28" t="n">
        <v>0.000769</v>
      </c>
      <c r="AC83" s="30" t="n">
        <v>-1</v>
      </c>
      <c r="AD83" s="24" t="inlineStr">
        <is>
          <t>2026-08-08T04:03:26.119460Z</t>
        </is>
      </c>
      <c r="AE83" s="31" t="inlineStr">
        <is>
          <t>Measured Edge Totals: Trend Engine projected 4.19-4.16; raw selected-side p=0.5418, calibrated p=0.5162.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NO_CALL_WINNER_OVERVALUED</t>
        </is>
      </c>
      <c r="AP83" s="24" t="inlineStr">
        <is>
          <t>mlb-nym</t>
        </is>
      </c>
      <c r="AQ83" s="24" t="inlineStr">
        <is>
          <t>New York Mets</t>
        </is>
      </c>
      <c r="AR83" s="24" t="inlineStr">
        <is>
          <t>New York Mets</t>
        </is>
      </c>
      <c r="AS83" s="24" t="inlineStr">
        <is>
          <t>mlb-pit</t>
        </is>
      </c>
      <c r="AT83" s="24" t="inlineStr">
        <is>
          <t>Pittsburgh Pirates</t>
        </is>
      </c>
      <c r="AU83" s="24" t="inlineStr">
        <is>
          <t>Pittsburgh Pirates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2026-08-07T21:56:47.081526Z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-108</v>
      </c>
      <c r="BL83" s="27" t="n">
        <v>1.925926</v>
      </c>
      <c r="BM83" s="28" t="n">
        <v>0.519231</v>
      </c>
      <c r="BN83" s="28" t="n">
        <v>0.5148509999999999</v>
      </c>
      <c r="BO83" s="28" t="n"/>
      <c r="BP83" s="25" t="n"/>
      <c r="BQ83" s="27" t="n">
        <v>1.925926</v>
      </c>
      <c r="BR83" s="28" t="n">
        <v>0.52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ebfa4c83f07e4db9</t>
        </is>
      </c>
      <c r="B84" s="24" t="inlineStr">
        <is>
          <t>2026-08-07T21:56:47.081526Z</t>
        </is>
      </c>
      <c r="C84" s="24" t="inlineStr">
        <is>
          <t>2026-08-07T22:40Z</t>
        </is>
      </c>
      <c r="D84" s="24" t="inlineStr">
        <is>
          <t>401816429</t>
        </is>
      </c>
      <c r="E84" s="24" t="inlineStr">
        <is>
          <t>MLB</t>
        </is>
      </c>
      <c r="F84" s="24" t="inlineStr">
        <is>
          <t>Toronto Blue Jays</t>
        </is>
      </c>
      <c r="G84" s="24" t="inlineStr">
        <is>
          <t>Philadelphia Phillies</t>
        </is>
      </c>
      <c r="H84" s="24" t="inlineStr">
        <is>
          <t>spread</t>
        </is>
      </c>
      <c r="I84" s="24" t="inlineStr">
        <is>
          <t>home</t>
        </is>
      </c>
      <c r="J84" s="25" t="n">
        <v>-1.5</v>
      </c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0.412713</v>
      </c>
      <c r="P84" s="28" t="n">
        <v>0.042131</v>
      </c>
      <c r="Q84" s="28" t="n">
        <v>-0.06805600000000001</v>
      </c>
      <c r="R84" s="26" t="n">
        <v>0</v>
      </c>
      <c r="S84" s="29" t="n">
        <v>1.25</v>
      </c>
      <c r="T84" s="24" t="inlineStr">
        <is>
          <t>measured-edge-margin-v3</t>
        </is>
      </c>
      <c r="U84" s="24" t="inlineStr">
        <is>
          <t>settled</t>
        </is>
      </c>
      <c r="V84" s="24" t="inlineStr">
        <is>
          <t>loss</t>
        </is>
      </c>
      <c r="W84" s="26" t="n">
        <v>5</v>
      </c>
      <c r="X84" s="26" t="n">
        <v>4</v>
      </c>
      <c r="Y84" s="25" t="n">
        <v>-1.5</v>
      </c>
      <c r="Z84" s="26" t="n">
        <v>108</v>
      </c>
      <c r="AA84" s="28" t="n">
        <v>0.48</v>
      </c>
      <c r="AB84" s="28" t="n">
        <v>-0.000769</v>
      </c>
      <c r="AC84" s="30" t="n">
        <v>-1.25</v>
      </c>
      <c r="AD84" s="24" t="inlineStr">
        <is>
          <t>2026-08-08T18:33:02.239974Z</t>
        </is>
      </c>
      <c r="AE84" s="31" t="inlineStr">
        <is>
          <t>Measured Edge Margin: Trend Engine projected 3.99-4.51; raw selected-side p=0.3719, calibrated p=0.4127.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review_required</t>
        </is>
      </c>
      <c r="AH84" s="24" t="n"/>
      <c r="AI84" s="31" t="n"/>
      <c r="AJ8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NO_CALL_WINNER_OVERVALUED</t>
        </is>
      </c>
      <c r="AP84" s="24" t="inlineStr">
        <is>
          <t>mlb-tor</t>
        </is>
      </c>
      <c r="AQ84" s="24" t="inlineStr">
        <is>
          <t>Toronto Blue Jays</t>
        </is>
      </c>
      <c r="AR84" s="24" t="inlineStr">
        <is>
          <t>Toronto Blue Jays</t>
        </is>
      </c>
      <c r="AS84" s="24" t="inlineStr">
        <is>
          <t>mlb-phi</t>
        </is>
      </c>
      <c r="AT84" s="24" t="inlineStr">
        <is>
          <t>Philadelphia Phillies</t>
        </is>
      </c>
      <c r="AU84" s="24" t="inlineStr">
        <is>
          <t>Philadelphia Phillies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dd339a2eed50d7d83ab2127837995ddab82e879afd27f5414bb6c1f9cd60ba4c</t>
        </is>
      </c>
      <c r="BB84" s="24" t="inlineStr">
        <is>
          <t>flat_probability_shrinkage_toward_half</t>
        </is>
      </c>
      <c r="BC84" s="24" t="inlineStr">
        <is>
          <t>measured-edge-margin-v3</t>
        </is>
      </c>
      <c r="BD84" s="24" t="inlineStr">
        <is>
          <t>dd339a2eed50d7d83ab2127837995ddab82e879afd27f5414bb6c1f9cd60ba4c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2026-08-07T21:56:47.081526Z</t>
        </is>
      </c>
      <c r="BI84" s="24" t="inlineStr">
        <is>
          <t>["same_event","same_team_same_day","same_league_same_day"]</t>
        </is>
      </c>
      <c r="BJ84" s="25" t="n">
        <v>-1.5</v>
      </c>
      <c r="BK84" s="26" t="n">
        <v>108</v>
      </c>
      <c r="BL84" s="27" t="n">
        <v>2.08</v>
      </c>
      <c r="BM84" s="28" t="n">
        <v>0.480769</v>
      </c>
      <c r="BN84" s="28" t="n">
        <v>0.477612</v>
      </c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56ee8ac2c1fe43c4</t>
        </is>
      </c>
      <c r="B85" s="24" t="inlineStr">
        <is>
          <t>2026-08-07T21:56:47.081526Z</t>
        </is>
      </c>
      <c r="C85" s="24" t="inlineStr">
        <is>
          <t>2026-08-07T22:40Z</t>
        </is>
      </c>
      <c r="D85" s="24" t="inlineStr">
        <is>
          <t>401816429</t>
        </is>
      </c>
      <c r="E85" s="24" t="inlineStr">
        <is>
          <t>MLB</t>
        </is>
      </c>
      <c r="F85" s="24" t="inlineStr">
        <is>
          <t>Toronto Blue Jays</t>
        </is>
      </c>
      <c r="G85" s="24" t="inlineStr">
        <is>
          <t>Philadelphia Phillies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-102</v>
      </c>
      <c r="M85" s="27" t="n">
        <v>1.980392</v>
      </c>
      <c r="N85" s="28" t="n">
        <v>0.50495</v>
      </c>
      <c r="O85" s="28" t="n">
        <v>0.516841</v>
      </c>
      <c r="P85" s="28" t="n">
        <v>0.042131</v>
      </c>
      <c r="Q85" s="28" t="n">
        <v>0.011891</v>
      </c>
      <c r="R85" s="26" t="n">
        <v>32</v>
      </c>
      <c r="S85" s="29" t="n">
        <v>1</v>
      </c>
      <c r="T85" s="24" t="inlineStr">
        <is>
          <t>measured-edge-totals-v3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4</v>
      </c>
      <c r="Y85" s="25" t="n">
        <v>7.5</v>
      </c>
      <c r="Z85" s="26" t="n">
        <v>-102</v>
      </c>
      <c r="AA85" s="28" t="n">
        <v>0.505</v>
      </c>
      <c r="AB85" s="28" t="n">
        <v>5e-05</v>
      </c>
      <c r="AC85" s="30" t="n">
        <v>0.9804</v>
      </c>
      <c r="AD85" s="24" t="inlineStr">
        <is>
          <t>2026-08-08T18:33:03.466250Z</t>
        </is>
      </c>
      <c r="AE85" s="31" t="inlineStr">
        <is>
          <t>Measured Edge Totals: Trend Engine projected 3.99-4.51; raw selected-side p=0.5444, calibrated p=0.5168.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mlb-tor</t>
        </is>
      </c>
      <c r="AQ85" s="24" t="inlineStr">
        <is>
          <t>Toronto Blue Jays</t>
        </is>
      </c>
      <c r="AR85" s="24" t="inlineStr">
        <is>
          <t>Toronto Blue Jays</t>
        </is>
      </c>
      <c r="AS85" s="24" t="inlineStr">
        <is>
          <t>mlb-phi</t>
        </is>
      </c>
      <c r="AT85" s="24" t="inlineStr">
        <is>
          <t>Philadelphia Phillies</t>
        </is>
      </c>
      <c r="AU85" s="24" t="inlineStr">
        <is>
          <t>Philadelphia Phillies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95b84332c75d2ce54036eb8de6ada9c78d0f80228c50825c0347281a8b9b49c7</t>
        </is>
      </c>
      <c r="BB85" s="24" t="inlineStr">
        <is>
          <t>flat_probability_shrinkage_toward_half</t>
        </is>
      </c>
      <c r="BC85" s="24" t="inlineStr">
        <is>
          <t>measured-edge-totals-v3</t>
        </is>
      </c>
      <c r="BD85" s="24" t="inlineStr">
        <is>
          <t>95b84332c75d2ce54036eb8de6ada9c78d0f80228c50825c0347281a8b9b49c7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2026-08-07T21:56:47.081526Z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-102</v>
      </c>
      <c r="BL85" s="27" t="n">
        <v>1.980392</v>
      </c>
      <c r="BM85" s="28" t="n">
        <v>0.50495</v>
      </c>
      <c r="BN85" s="28" t="n">
        <v>0.502488</v>
      </c>
      <c r="BO85" s="28" t="n"/>
      <c r="BP85" s="25" t="n"/>
      <c r="BQ85" s="27" t="n">
        <v>1.980392</v>
      </c>
      <c r="BR85" s="28" t="n">
        <v>0.505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e061cc1090534a29</t>
        </is>
      </c>
      <c r="B86" s="24" t="inlineStr">
        <is>
          <t>2026-08-07T21:56:47.081526Z</t>
        </is>
      </c>
      <c r="C86" s="24" t="inlineStr">
        <is>
          <t>2026-08-07T22:45Z</t>
        </is>
      </c>
      <c r="D86" s="24" t="inlineStr">
        <is>
          <t>401816427</t>
        </is>
      </c>
      <c r="E86" s="24" t="inlineStr">
        <is>
          <t>MLB</t>
        </is>
      </c>
      <c r="F86" s="24" t="inlineStr">
        <is>
          <t>Cincinnati Reds</t>
        </is>
      </c>
      <c r="G86" s="24" t="inlineStr">
        <is>
          <t>Washington Nationals</t>
        </is>
      </c>
      <c r="H86" s="24" t="inlineStr">
        <is>
          <t>spread</t>
        </is>
      </c>
      <c r="I86" s="24" t="inlineStr">
        <is>
          <t>home</t>
        </is>
      </c>
      <c r="J86" s="25" t="n">
        <v>-1.5</v>
      </c>
      <c r="K86" s="24" t="inlineStr">
        <is>
          <t>polymarket_us</t>
        </is>
      </c>
      <c r="L86" s="26" t="n">
        <v>174</v>
      </c>
      <c r="M86" s="27" t="n">
        <v>2.74</v>
      </c>
      <c r="N86" s="28" t="n">
        <v>0.364964</v>
      </c>
      <c r="O86" s="28" t="n">
        <v>0.420549</v>
      </c>
      <c r="P86" s="28" t="n">
        <v>0.042131</v>
      </c>
      <c r="Q86" s="28" t="n">
        <v>0.055585</v>
      </c>
      <c r="R86" s="26" t="n">
        <v>53</v>
      </c>
      <c r="S86" s="29" t="n">
        <v>1.25</v>
      </c>
      <c r="T86" s="24" t="inlineStr">
        <is>
          <t>measured-edge-margin-v3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>
        <v>-1.5</v>
      </c>
      <c r="Z86" s="26" t="n">
        <v>174</v>
      </c>
      <c r="AA86" s="28" t="n">
        <v>0.365</v>
      </c>
      <c r="AB86" s="28" t="n">
        <v>3.6e-05</v>
      </c>
      <c r="AC86" s="30" t="n">
        <v>2.175</v>
      </c>
      <c r="AD86" s="24" t="inlineStr">
        <is>
          <t>2026-08-08T04:03:27.269853Z</t>
        </is>
      </c>
      <c r="AE86" s="31" t="inlineStr">
        <is>
          <t>Measured Edge Margin: Trend Engine projected 4.31-4.83; raw selected-side p=0.3834, calibrated p=0.4205.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mlb-cin</t>
        </is>
      </c>
      <c r="AQ86" s="24" t="inlineStr">
        <is>
          <t>Cincinnati Reds</t>
        </is>
      </c>
      <c r="AR86" s="24" t="inlineStr">
        <is>
          <t>Cincinnati Reds</t>
        </is>
      </c>
      <c r="AS86" s="24" t="inlineStr">
        <is>
          <t>mlb-wsh</t>
        </is>
      </c>
      <c r="AT86" s="24" t="inlineStr">
        <is>
          <t>Washington Nationals</t>
        </is>
      </c>
      <c r="AU86" s="24" t="inlineStr">
        <is>
          <t>Washington Nationals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dd339a2eed50d7d83ab2127837995ddab82e879afd27f5414bb6c1f9cd60ba4c</t>
        </is>
      </c>
      <c r="BB86" s="24" t="inlineStr">
        <is>
          <t>flat_probability_shrinkage_toward_half</t>
        </is>
      </c>
      <c r="BC86" s="24" t="inlineStr">
        <is>
          <t>measured-edge-margin-v3</t>
        </is>
      </c>
      <c r="BD86" s="24" t="inlineStr">
        <is>
          <t>dd339a2eed50d7d83ab2127837995ddab82e879afd27f5414bb6c1f9cd60ba4c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2026-08-07T21:56:47.081526Z</t>
        </is>
      </c>
      <c r="BI86" s="24" t="inlineStr">
        <is>
          <t>["same_event","same_team_same_day","same_league_same_day"]</t>
        </is>
      </c>
      <c r="BJ86" s="25" t="n">
        <v>-1.5</v>
      </c>
      <c r="BK86" s="26" t="n">
        <v>174</v>
      </c>
      <c r="BL86" s="27" t="n">
        <v>2.74</v>
      </c>
      <c r="BM86" s="28" t="n">
        <v>0.364964</v>
      </c>
      <c r="BN86" s="28" t="n">
        <v>0.363184</v>
      </c>
      <c r="BO86" s="28" t="n"/>
      <c r="BP86" s="25" t="n"/>
      <c r="BQ86" s="27" t="n">
        <v>2.74</v>
      </c>
      <c r="BR86" s="28" t="n">
        <v>0.365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bb638445c3ee45e7</t>
        </is>
      </c>
      <c r="B87" s="24" t="inlineStr">
        <is>
          <t>2026-08-07T21:56:47.081526Z</t>
        </is>
      </c>
      <c r="C87" s="24" t="inlineStr">
        <is>
          <t>2026-08-07T22:45Z</t>
        </is>
      </c>
      <c r="D87" s="24" t="inlineStr">
        <is>
          <t>401816427</t>
        </is>
      </c>
      <c r="E87" s="24" t="inlineStr">
        <is>
          <t>MLB</t>
        </is>
      </c>
      <c r="F87" s="24" t="inlineStr">
        <is>
          <t>Cincinnati Reds</t>
        </is>
      </c>
      <c r="G87" s="24" t="inlineStr">
        <is>
          <t>Washington Nationals</t>
        </is>
      </c>
      <c r="H87" s="24" t="inlineStr">
        <is>
          <t>total</t>
        </is>
      </c>
      <c r="I87" s="24" t="inlineStr">
        <is>
          <t>over</t>
        </is>
      </c>
      <c r="J87" s="25" t="n">
        <v>8.5</v>
      </c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0.511724</v>
      </c>
      <c r="P87" s="28" t="n">
        <v>0.042131</v>
      </c>
      <c r="Q87" s="28" t="n">
        <v>-0.037826</v>
      </c>
      <c r="R87" s="26" t="n">
        <v>8</v>
      </c>
      <c r="S87" s="29" t="n">
        <v>1</v>
      </c>
      <c r="T87" s="24" t="inlineStr">
        <is>
          <t>measured-edge-totals-v3</t>
        </is>
      </c>
      <c r="U87" s="24" t="inlineStr">
        <is>
          <t>settled</t>
        </is>
      </c>
      <c r="V87" s="24" t="inlineStr">
        <is>
          <t>loss</t>
        </is>
      </c>
      <c r="W87" s="26" t="n">
        <v>3</v>
      </c>
      <c r="X87" s="26" t="n">
        <v>5</v>
      </c>
      <c r="Y87" s="25" t="n">
        <v>8.5</v>
      </c>
      <c r="Z87" s="26" t="n">
        <v>-122</v>
      </c>
      <c r="AA87" s="28" t="n">
        <v>0.55</v>
      </c>
      <c r="AB87" s="28" t="n">
        <v>0.00045</v>
      </c>
      <c r="AC87" s="30" t="n">
        <v>-1</v>
      </c>
      <c r="AD87" s="24" t="inlineStr">
        <is>
          <t>2026-08-08T04:03:28.412942Z</t>
        </is>
      </c>
      <c r="AE87" s="31" t="inlineStr">
        <is>
          <t>Measured Edge Totals: Trend Engine projected 4.31-4.83; raw selected-side p=0.5239, calibrated p=0.5117.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mlb-cin</t>
        </is>
      </c>
      <c r="AQ87" s="24" t="inlineStr">
        <is>
          <t>Cincinnati Reds</t>
        </is>
      </c>
      <c r="AR87" s="24" t="inlineStr">
        <is>
          <t>Cincinnati Reds</t>
        </is>
      </c>
      <c r="AS87" s="24" t="inlineStr">
        <is>
          <t>mlb-wsh</t>
        </is>
      </c>
      <c r="AT87" s="24" t="inlineStr">
        <is>
          <t>Washington Nationals</t>
        </is>
      </c>
      <c r="AU87" s="24" t="inlineStr">
        <is>
          <t>Washington Nationals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95b84332c75d2ce54036eb8de6ada9c78d0f80228c50825c0347281a8b9b49c7</t>
        </is>
      </c>
      <c r="BB87" s="24" t="inlineStr">
        <is>
          <t>flat_probability_shrinkage_toward_half</t>
        </is>
      </c>
      <c r="BC87" s="24" t="inlineStr">
        <is>
          <t>measured-edge-totals-v3</t>
        </is>
      </c>
      <c r="BD87" s="24" t="inlineStr">
        <is>
          <t>95b84332c75d2ce54036eb8de6ada9c78d0f80228c50825c0347281a8b9b49c7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2026-08-07T21:56:47.081526Z</t>
        </is>
      </c>
      <c r="BI87" s="24" t="inlineStr">
        <is>
          <t>["same_event","same_team_same_day","same_league_same_day"]</t>
        </is>
      </c>
      <c r="BJ87" s="25" t="n">
        <v>8.5</v>
      </c>
      <c r="BK87" s="26" t="n">
        <v>-122</v>
      </c>
      <c r="BL87" s="27" t="n">
        <v>1.819672</v>
      </c>
      <c r="BM87" s="28" t="n">
        <v>0.54955</v>
      </c>
      <c r="BN87" s="28" t="n">
        <v>0.544554</v>
      </c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b18d2acd98884c42</t>
        </is>
      </c>
      <c r="B88" s="24" t="inlineStr">
        <is>
          <t>2026-08-07T21:56:47.081526Z</t>
        </is>
      </c>
      <c r="C88" s="24" t="inlineStr">
        <is>
          <t>2026-08-07T23:05Z</t>
        </is>
      </c>
      <c r="D88" s="24" t="inlineStr">
        <is>
          <t>401816426</t>
        </is>
      </c>
      <c r="E88" s="24" t="inlineStr">
        <is>
          <t>MLB</t>
        </is>
      </c>
      <c r="F88" s="24" t="inlineStr">
        <is>
          <t>Atlanta Braves</t>
        </is>
      </c>
      <c r="G88" s="24" t="inlineStr">
        <is>
          <t>New York Yankees</t>
        </is>
      </c>
      <c r="H88" s="24" t="inlineStr">
        <is>
          <t>spread</t>
        </is>
      </c>
      <c r="I88" s="24" t="inlineStr">
        <is>
          <t>home</t>
        </is>
      </c>
      <c r="J88" s="25" t="n">
        <v>-1.5</v>
      </c>
      <c r="K88" s="24" t="inlineStr">
        <is>
          <t>polymarket_us</t>
        </is>
      </c>
      <c r="L88" s="26" t="n">
        <v>163</v>
      </c>
      <c r="M88" s="27" t="n">
        <v>2.63</v>
      </c>
      <c r="N88" s="28" t="n">
        <v>0.380228</v>
      </c>
      <c r="O88" s="28" t="n">
        <v>0.395541</v>
      </c>
      <c r="P88" s="28" t="n">
        <v>0.042131</v>
      </c>
      <c r="Q88" s="28" t="n">
        <v>0.015313</v>
      </c>
      <c r="R88" s="26" t="n">
        <v>33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3</v>
      </c>
      <c r="Y88" s="25" t="n">
        <v>-1.5</v>
      </c>
      <c r="Z88" s="26" t="n">
        <v>163</v>
      </c>
      <c r="AA88" s="28" t="n">
        <v>0.38</v>
      </c>
      <c r="AB88" s="28" t="n">
        <v>-0.000228</v>
      </c>
      <c r="AC88" s="30" t="n">
        <v>-1.5</v>
      </c>
      <c r="AD88" s="24" t="inlineStr">
        <is>
          <t>2026-08-08T18:33:04.630416Z</t>
        </is>
      </c>
      <c r="AE88" s="31" t="inlineStr">
        <is>
          <t>Measured Edge Margin: Trend Engine projected 4.54-4.75; raw selected-side p=0.3467, calibrated p=0.3955.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mlb-atl</t>
        </is>
      </c>
      <c r="AQ88" s="24" t="inlineStr">
        <is>
          <t>Atlanta Braves</t>
        </is>
      </c>
      <c r="AR88" s="24" t="inlineStr">
        <is>
          <t>Atlanta Braves</t>
        </is>
      </c>
      <c r="AS88" s="24" t="inlineStr">
        <is>
          <t>mlb-nyy</t>
        </is>
      </c>
      <c r="AT88" s="24" t="inlineStr">
        <is>
          <t>New York Yankees</t>
        </is>
      </c>
      <c r="AU88" s="24" t="inlineStr">
        <is>
          <t>New York Yankees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2026-08-07T21:56:47.081526Z</t>
        </is>
      </c>
      <c r="BI88" s="24" t="inlineStr">
        <is>
          <t>["same_event","same_team_same_day","same_league_same_day"]</t>
        </is>
      </c>
      <c r="BJ88" s="25" t="n">
        <v>-1.5</v>
      </c>
      <c r="BK88" s="26" t="n">
        <v>163</v>
      </c>
      <c r="BL88" s="27" t="n">
        <v>2.63</v>
      </c>
      <c r="BM88" s="28" t="n">
        <v>0.380228</v>
      </c>
      <c r="BN88" s="28" t="n">
        <v>0.378109</v>
      </c>
      <c r="BO88" s="28" t="n"/>
      <c r="BP88" s="25" t="n"/>
      <c r="BQ88" s="27" t="n">
        <v>2.63</v>
      </c>
      <c r="BR88" s="28" t="n">
        <v>0.38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e12efbe19ff64ca1</t>
        </is>
      </c>
      <c r="B89" s="24" t="inlineStr">
        <is>
          <t>2026-08-07T21:56:47.081526Z</t>
        </is>
      </c>
      <c r="C89" s="24" t="inlineStr">
        <is>
          <t>2026-08-07T23:05Z</t>
        </is>
      </c>
      <c r="D89" s="24" t="inlineStr">
        <is>
          <t>401816426</t>
        </is>
      </c>
      <c r="E89" s="24" t="inlineStr">
        <is>
          <t>MLB</t>
        </is>
      </c>
      <c r="F89" s="24" t="inlineStr">
        <is>
          <t>Atlanta Braves</t>
        </is>
      </c>
      <c r="G89" s="24" t="inlineStr">
        <is>
          <t>New York Yankees</t>
        </is>
      </c>
      <c r="H89" s="24" t="inlineStr">
        <is>
          <t>total</t>
        </is>
      </c>
      <c r="I89" s="24" t="inlineStr">
        <is>
          <t>over</t>
        </is>
      </c>
      <c r="J89" s="25" t="n">
        <v>7.5</v>
      </c>
      <c r="K89" s="24" t="inlineStr">
        <is>
          <t>polymarket_us</t>
        </is>
      </c>
      <c r="L89" s="26" t="n">
        <v>-120</v>
      </c>
      <c r="M89" s="27" t="n">
        <v>1.833333</v>
      </c>
      <c r="N89" s="28" t="n">
        <v>0.545455</v>
      </c>
      <c r="O89" s="28" t="n">
        <v>0.532975</v>
      </c>
      <c r="P89" s="28" t="n">
        <v>0.042131</v>
      </c>
      <c r="Q89" s="28" t="n">
        <v>-0.01248</v>
      </c>
      <c r="R89" s="26" t="n">
        <v>20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2</v>
      </c>
      <c r="X89" s="26" t="n">
        <v>3</v>
      </c>
      <c r="Y89" s="25" t="n">
        <v>7.5</v>
      </c>
      <c r="Z89" s="26" t="n">
        <v>-120</v>
      </c>
      <c r="AA89" s="28" t="n">
        <v>0.545</v>
      </c>
      <c r="AB89" s="28" t="n">
        <v>-0.000455</v>
      </c>
      <c r="AC89" s="30" t="n">
        <v>-1</v>
      </c>
      <c r="AD89" s="24" t="inlineStr">
        <is>
          <t>2026-08-08T18:33:05.854501Z</t>
        </is>
      </c>
      <c r="AE89" s="31" t="inlineStr">
        <is>
          <t>Measured Edge Totals: Trend Engine projected 4.54-4.75; raw selected-side p=0.6094, calibrated p=0.5330.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mlb-atl</t>
        </is>
      </c>
      <c r="AQ89" s="24" t="inlineStr">
        <is>
          <t>Atlanta Braves</t>
        </is>
      </c>
      <c r="AR89" s="24" t="inlineStr">
        <is>
          <t>Atlanta Braves</t>
        </is>
      </c>
      <c r="AS89" s="24" t="inlineStr">
        <is>
          <t>mlb-nyy</t>
        </is>
      </c>
      <c r="AT89" s="24" t="inlineStr">
        <is>
          <t>New York Yankees</t>
        </is>
      </c>
      <c r="AU89" s="24" t="inlineStr">
        <is>
          <t>New York Yankees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2026-08-07T21:56:47.081526Z</t>
        </is>
      </c>
      <c r="BI89" s="24" t="inlineStr">
        <is>
          <t>["same_event","same_team_same_day","same_league_same_day"]</t>
        </is>
      </c>
      <c r="BJ89" s="25" t="n">
        <v>7.5</v>
      </c>
      <c r="BK89" s="26" t="n">
        <v>-120</v>
      </c>
      <c r="BL89" s="27" t="n">
        <v>1.833333</v>
      </c>
      <c r="BM89" s="28" t="n">
        <v>0.545455</v>
      </c>
      <c r="BN89" s="28" t="n">
        <v>0.542289</v>
      </c>
      <c r="BO89" s="28" t="n"/>
      <c r="BP89" s="25" t="n"/>
      <c r="BQ89" s="27" t="n">
        <v>1.833333</v>
      </c>
      <c r="BR89" s="28" t="n">
        <v>0.545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fd762caef3c94396</t>
        </is>
      </c>
      <c r="B90" s="24" t="inlineStr">
        <is>
          <t>2026-08-07T21:56:47.081526Z</t>
        </is>
      </c>
      <c r="C90" s="24" t="inlineStr">
        <is>
          <t>2026-08-07T23:10Z</t>
        </is>
      </c>
      <c r="D90" s="24" t="inlineStr">
        <is>
          <t>401816424</t>
        </is>
      </c>
      <c r="E90" s="24" t="inlineStr">
        <is>
          <t>MLB</t>
        </is>
      </c>
      <c r="F90" s="24" t="inlineStr">
        <is>
          <t>Los Angeles Angels</t>
        </is>
      </c>
      <c r="G90" s="24" t="inlineStr">
        <is>
          <t>Miami Marlins</t>
        </is>
      </c>
      <c r="H90" s="24" t="inlineStr">
        <is>
          <t>spread</t>
        </is>
      </c>
      <c r="I90" s="24" t="inlineStr">
        <is>
          <t>home</t>
        </is>
      </c>
      <c r="J90" s="25" t="n">
        <v>-1.5</v>
      </c>
      <c r="K90" s="24" t="inlineStr">
        <is>
          <t>polymarket_us</t>
        </is>
      </c>
      <c r="L90" s="26" t="n">
        <v>138</v>
      </c>
      <c r="M90" s="27" t="n">
        <v>2.38</v>
      </c>
      <c r="N90" s="28" t="n">
        <v>0.420168</v>
      </c>
      <c r="O90" s="28" t="n">
        <v>0.438776</v>
      </c>
      <c r="P90" s="28" t="n">
        <v>0.05172</v>
      </c>
      <c r="Q90" s="28" t="n">
        <v>0.018608</v>
      </c>
      <c r="R90" s="26" t="n">
        <v>29</v>
      </c>
      <c r="S90" s="29" t="n">
        <v>1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3</v>
      </c>
      <c r="Y90" s="25" t="n">
        <v>-1.5</v>
      </c>
      <c r="Z90" s="26" t="n">
        <v>138</v>
      </c>
      <c r="AA90" s="28" t="n">
        <v>0.42</v>
      </c>
      <c r="AB90" s="28" t="n">
        <v>-0.000168</v>
      </c>
      <c r="AC90" s="30" t="n">
        <v>-1</v>
      </c>
      <c r="AD90" s="24" t="inlineStr">
        <is>
          <t>2026-08-08T04:03:29.601130Z</t>
        </is>
      </c>
      <c r="AE90" s="31" t="inlineStr">
        <is>
          <t>Measured Edge Margin: Trend Engine projected 4.33-5.11; raw selected-side p=0.4102, calibrated p=0.4388.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NO_CALL_WINNER_OVERVALUED</t>
        </is>
      </c>
      <c r="AP90" s="24" t="inlineStr">
        <is>
          <t>mlb-laa</t>
        </is>
      </c>
      <c r="AQ90" s="24" t="inlineStr">
        <is>
          <t>Los Angeles Angels</t>
        </is>
      </c>
      <c r="AR90" s="24" t="inlineStr">
        <is>
          <t>Los Angeles Angels</t>
        </is>
      </c>
      <c r="AS90" s="24" t="inlineStr">
        <is>
          <t>mlb-mia</t>
        </is>
      </c>
      <c r="AT90" s="24" t="inlineStr">
        <is>
          <t>Miami Marlins</t>
        </is>
      </c>
      <c r="AU90" s="24" t="inlineStr">
        <is>
          <t>Miami Marlins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2026-08-07T21:56:47.081526Z</t>
        </is>
      </c>
      <c r="BI90" s="24" t="inlineStr">
        <is>
          <t>["same_event","same_team_same_day","same_league_same_day"]</t>
        </is>
      </c>
      <c r="BJ90" s="25" t="n">
        <v>-1.5</v>
      </c>
      <c r="BK90" s="26" t="n">
        <v>138</v>
      </c>
      <c r="BL90" s="27" t="n">
        <v>2.38</v>
      </c>
      <c r="BM90" s="28" t="n">
        <v>0.420168</v>
      </c>
      <c r="BN90" s="28" t="n">
        <v>0.41791</v>
      </c>
      <c r="BO90" s="28" t="n"/>
      <c r="BP90" s="25" t="n"/>
      <c r="BQ90" s="27" t="n">
        <v>2.38</v>
      </c>
      <c r="BR90" s="28" t="n">
        <v>0.42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f9dfc5780cb845fe</t>
        </is>
      </c>
      <c r="B91" s="24" t="inlineStr">
        <is>
          <t>2026-08-07T21:56:47.081526Z</t>
        </is>
      </c>
      <c r="C91" s="24" t="inlineStr">
        <is>
          <t>2026-08-07T23:10Z</t>
        </is>
      </c>
      <c r="D91" s="24" t="inlineStr">
        <is>
          <t>401816424</t>
        </is>
      </c>
      <c r="E91" s="24" t="inlineStr">
        <is>
          <t>MLB</t>
        </is>
      </c>
      <c r="F91" s="24" t="inlineStr">
        <is>
          <t>Los Angeles Angels</t>
        </is>
      </c>
      <c r="G91" s="24" t="inlineStr">
        <is>
          <t>Miami Marlins</t>
        </is>
      </c>
      <c r="H91" s="24" t="inlineStr">
        <is>
          <t>total</t>
        </is>
      </c>
      <c r="I91" s="24" t="inlineStr">
        <is>
          <t>over</t>
        </is>
      </c>
      <c r="J91" s="25" t="n">
        <v>8.5</v>
      </c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0.518096</v>
      </c>
      <c r="P91" s="28" t="n">
        <v>0.05172</v>
      </c>
      <c r="Q91" s="28" t="n">
        <v>-0.01242</v>
      </c>
      <c r="R91" s="26" t="n">
        <v>14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4</v>
      </c>
      <c r="X91" s="26" t="n">
        <v>3</v>
      </c>
      <c r="Y91" s="25" t="n">
        <v>8.5</v>
      </c>
      <c r="Z91" s="26" t="n">
        <v>-113</v>
      </c>
      <c r="AA91" s="28" t="n">
        <v>0.53</v>
      </c>
      <c r="AB91" s="28" t="n">
        <v>-0.000516</v>
      </c>
      <c r="AC91" s="30" t="n">
        <v>-1</v>
      </c>
      <c r="AD91" s="24" t="inlineStr">
        <is>
          <t>2026-08-08T04:03:30.730518Z</t>
        </is>
      </c>
      <c r="AE91" s="31" t="inlineStr">
        <is>
          <t>Measured Edge Totals: Trend Engine projected 4.33-5.11; raw selected-side p=0.5495, calibrated p=0.5181.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mlb-laa</t>
        </is>
      </c>
      <c r="AQ91" s="24" t="inlineStr">
        <is>
          <t>Los Angeles Angels</t>
        </is>
      </c>
      <c r="AR91" s="24" t="inlineStr">
        <is>
          <t>Los Angeles Angels</t>
        </is>
      </c>
      <c r="AS91" s="24" t="inlineStr">
        <is>
          <t>mlb-mia</t>
        </is>
      </c>
      <c r="AT91" s="24" t="inlineStr">
        <is>
          <t>Miami Marlins</t>
        </is>
      </c>
      <c r="AU91" s="24" t="inlineStr">
        <is>
          <t>Miami Marlins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2026-08-07T21:56:47.081526Z</t>
        </is>
      </c>
      <c r="BI91" s="24" t="inlineStr">
        <is>
          <t>["same_event","same_team_same_day","same_league_same_day"]</t>
        </is>
      </c>
      <c r="BJ91" s="25" t="n">
        <v>8.5</v>
      </c>
      <c r="BK91" s="26" t="n">
        <v>-113</v>
      </c>
      <c r="BL91" s="27" t="n">
        <v>1.884956</v>
      </c>
      <c r="BM91" s="28" t="n">
        <v>0.530516</v>
      </c>
      <c r="BN91" s="28" t="n">
        <v>0.527363</v>
      </c>
      <c r="BO91" s="28" t="n"/>
      <c r="BP91" s="25" t="n"/>
      <c r="BQ91" s="27" t="n">
        <v>1.884956</v>
      </c>
      <c r="BR91" s="28" t="n">
        <v>0.53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e4ff7023c3d6402c</t>
        </is>
      </c>
      <c r="B92" s="24" t="inlineStr">
        <is>
          <t>2026-08-07T21:56:47.081526Z</t>
        </is>
      </c>
      <c r="C92" s="24" t="inlineStr">
        <is>
          <t>2026-08-07T23:10Z</t>
        </is>
      </c>
      <c r="D92" s="24" t="inlineStr">
        <is>
          <t>401816425</t>
        </is>
      </c>
      <c r="E92" s="24" t="inlineStr">
        <is>
          <t>MLB</t>
        </is>
      </c>
      <c r="F92" s="24" t="inlineStr">
        <is>
          <t>Athletics</t>
        </is>
      </c>
      <c r="G92" s="24" t="inlineStr">
        <is>
          <t>Boston Red Sox</t>
        </is>
      </c>
      <c r="H92" s="24" t="inlineStr">
        <is>
          <t>spread</t>
        </is>
      </c>
      <c r="I92" s="24" t="inlineStr">
        <is>
          <t>home</t>
        </is>
      </c>
      <c r="J92" s="25" t="n">
        <v>-1.5</v>
      </c>
      <c r="K92" s="24" t="inlineStr">
        <is>
          <t>polymarket_us</t>
        </is>
      </c>
      <c r="L92" s="26" t="n">
        <v>-125</v>
      </c>
      <c r="M92" s="27" t="n">
        <v>1.8</v>
      </c>
      <c r="N92" s="28" t="n">
        <v>0.555556</v>
      </c>
      <c r="O92" s="28" t="n">
        <v>0.501669</v>
      </c>
      <c r="P92" s="28" t="n">
        <v>0.042131</v>
      </c>
      <c r="Q92" s="28" t="n">
        <v>-0.053887</v>
      </c>
      <c r="R92" s="26" t="n">
        <v>0</v>
      </c>
      <c r="S92" s="29" t="n">
        <v>1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13</v>
      </c>
      <c r="Y92" s="25" t="n">
        <v>-1.5</v>
      </c>
      <c r="Z92" s="26" t="n">
        <v>-125</v>
      </c>
      <c r="AA92" s="28" t="n">
        <v>0.555</v>
      </c>
      <c r="AB92" s="28" t="n">
        <v>-0.000556</v>
      </c>
      <c r="AC92" s="30" t="n">
        <v>0.8</v>
      </c>
      <c r="AD92" s="24" t="inlineStr">
        <is>
          <t>2026-08-08T04:03:31.902370Z</t>
        </is>
      </c>
      <c r="AE92" s="31" t="inlineStr">
        <is>
          <t>Measured Edge Margin: Trend Engine projected 4.05-5.72; raw selected-side p=0.5024, calibrated p=0.5017.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NO_CALL_WINNER_OVERVALUED</t>
        </is>
      </c>
      <c r="AP92" s="24" t="inlineStr">
        <is>
          <t>mlb-ath</t>
        </is>
      </c>
      <c r="AQ92" s="24" t="inlineStr">
        <is>
          <t>Athletics</t>
        </is>
      </c>
      <c r="AR92" s="24" t="inlineStr">
        <is>
          <t>Athletics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2026-08-07T21:56:47.081526Z</t>
        </is>
      </c>
      <c r="BI92" s="24" t="inlineStr">
        <is>
          <t>["same_event","same_team_same_day","same_league_same_day"]</t>
        </is>
      </c>
      <c r="BJ92" s="25" t="n">
        <v>-1.5</v>
      </c>
      <c r="BK92" s="26" t="n">
        <v>-125</v>
      </c>
      <c r="BL92" s="27" t="n">
        <v>1.8</v>
      </c>
      <c r="BM92" s="28" t="n">
        <v>0.555556</v>
      </c>
      <c r="BN92" s="28" t="n">
        <v>0.552239</v>
      </c>
      <c r="BO92" s="28" t="n"/>
      <c r="BP92" s="25" t="n"/>
      <c r="BQ92" s="27" t="n">
        <v>1.8</v>
      </c>
      <c r="BR92" s="28" t="n">
        <v>0.555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23942dfe84324747</t>
        </is>
      </c>
      <c r="B93" s="24" t="inlineStr">
        <is>
          <t>2026-08-07T21:56:47.081526Z</t>
        </is>
      </c>
      <c r="C93" s="24" t="inlineStr">
        <is>
          <t>2026-08-07T23:10Z</t>
        </is>
      </c>
      <c r="D93" s="24" t="inlineStr">
        <is>
          <t>401816425</t>
        </is>
      </c>
      <c r="E93" s="24" t="inlineStr">
        <is>
          <t>MLB</t>
        </is>
      </c>
      <c r="F93" s="24" t="inlineStr">
        <is>
          <t>Athletics</t>
        </is>
      </c>
      <c r="G93" s="24" t="inlineStr">
        <is>
          <t>Boston Red Sox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-102</v>
      </c>
      <c r="M93" s="27" t="n">
        <v>1.980392</v>
      </c>
      <c r="N93" s="28" t="n">
        <v>0.50495</v>
      </c>
      <c r="O93" s="28" t="n">
        <v>0.52443</v>
      </c>
      <c r="P93" s="28" t="n">
        <v>0.042131</v>
      </c>
      <c r="Q93" s="28" t="n">
        <v>0.01948</v>
      </c>
      <c r="R93" s="26" t="n">
        <v>36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13</v>
      </c>
      <c r="Y93" s="25" t="n">
        <v>8.5</v>
      </c>
      <c r="Z93" s="26" t="n">
        <v>-102</v>
      </c>
      <c r="AA93" s="28" t="n">
        <v>0.505</v>
      </c>
      <c r="AB93" s="28" t="n">
        <v>5e-05</v>
      </c>
      <c r="AC93" s="30" t="n">
        <v>0.9804</v>
      </c>
      <c r="AD93" s="24" t="inlineStr">
        <is>
          <t>2026-08-08T04:03:33.026767Z</t>
        </is>
      </c>
      <c r="AE93" s="31" t="inlineStr">
        <is>
          <t>Measured Edge Totals: Trend Engine projected 4.05-5.72; raw selected-side p=0.5750, calibrated p=0.5244.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mlb-ath</t>
        </is>
      </c>
      <c r="AQ93" s="24" t="inlineStr">
        <is>
          <t>Athletics</t>
        </is>
      </c>
      <c r="AR93" s="24" t="inlineStr">
        <is>
          <t>Athletics</t>
        </is>
      </c>
      <c r="AS93" s="24" t="inlineStr">
        <is>
          <t>mlb-bos</t>
        </is>
      </c>
      <c r="AT93" s="24" t="inlineStr">
        <is>
          <t>Boston Red Sox</t>
        </is>
      </c>
      <c r="AU93" s="24" t="inlineStr">
        <is>
          <t>Boston Red Sox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2026-08-07T21:56:47.081526Z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-102</v>
      </c>
      <c r="BL93" s="27" t="n">
        <v>1.980392</v>
      </c>
      <c r="BM93" s="28" t="n">
        <v>0.50495</v>
      </c>
      <c r="BN93" s="28" t="n">
        <v>0.502488</v>
      </c>
      <c r="BO93" s="28" t="n"/>
      <c r="BP93" s="25" t="n"/>
      <c r="BQ93" s="27" t="n">
        <v>1.980392</v>
      </c>
      <c r="BR93" s="28" t="n">
        <v>0.505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b5306b0195154aeb</t>
        </is>
      </c>
      <c r="B94" s="24" t="inlineStr">
        <is>
          <t>2026-08-07T21:56:47.081526Z</t>
        </is>
      </c>
      <c r="C94" s="24" t="inlineStr">
        <is>
          <t>2026-08-07T23:40Z</t>
        </is>
      </c>
      <c r="D94" s="24" t="inlineStr">
        <is>
          <t>401816432</t>
        </is>
      </c>
      <c r="E94" s="24" t="inlineStr">
        <is>
          <t>MLB</t>
        </is>
      </c>
      <c r="F94" s="24" t="inlineStr">
        <is>
          <t>Cleveland Guardians</t>
        </is>
      </c>
      <c r="G94" s="24" t="inlineStr">
        <is>
          <t>Chicago White Sox</t>
        </is>
      </c>
      <c r="H94" s="24" t="inlineStr">
        <is>
          <t>spread</t>
        </is>
      </c>
      <c r="I94" s="24" t="inlineStr">
        <is>
          <t>away</t>
        </is>
      </c>
      <c r="J94" s="25" t="n">
        <v>-1.5</v>
      </c>
      <c r="K94" s="24" t="inlineStr">
        <is>
          <t>polymarket_us</t>
        </is>
      </c>
      <c r="L94" s="26" t="n">
        <v>125</v>
      </c>
      <c r="M94" s="27" t="n">
        <v>2.25</v>
      </c>
      <c r="N94" s="28" t="n">
        <v>0.444444</v>
      </c>
      <c r="O94" s="28" t="n">
        <v>0.427158</v>
      </c>
      <c r="P94" s="28" t="n">
        <v>0.042131</v>
      </c>
      <c r="Q94" s="28" t="n">
        <v>-0.017286</v>
      </c>
      <c r="R94" s="26" t="n">
        <v>18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win</t>
        </is>
      </c>
      <c r="W94" s="26" t="n">
        <v>8</v>
      </c>
      <c r="X94" s="26" t="n">
        <v>2</v>
      </c>
      <c r="Y94" s="25" t="n">
        <v>-1.5</v>
      </c>
      <c r="Z94" s="26" t="n">
        <v>125</v>
      </c>
      <c r="AA94" s="28" t="n">
        <v>0.445</v>
      </c>
      <c r="AB94" s="28" t="n">
        <v>0.000556</v>
      </c>
      <c r="AC94" s="30" t="n">
        <v>1.5625</v>
      </c>
      <c r="AD94" s="24" t="inlineStr">
        <is>
          <t>2026-08-08T04:03:34.211238Z</t>
        </is>
      </c>
      <c r="AE94" s="31" t="inlineStr">
        <is>
          <t>Measured Edge Margin: Trend Engine projected 4.69-4.01; raw selected-side p=0.3931, calibrated p=0.4272.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NO_CALL_WINNER_OVERVALUED</t>
        </is>
      </c>
      <c r="AP94" s="24" t="inlineStr">
        <is>
          <t>mlb-cle</t>
        </is>
      </c>
      <c r="AQ94" s="24" t="inlineStr">
        <is>
          <t>Cleveland Guardians</t>
        </is>
      </c>
      <c r="AR94" s="24" t="inlineStr">
        <is>
          <t>Cleveland Guardians</t>
        </is>
      </c>
      <c r="AS94" s="24" t="inlineStr">
        <is>
          <t>mlb-cws</t>
        </is>
      </c>
      <c r="AT94" s="24" t="inlineStr">
        <is>
          <t>Chicago White Sox</t>
        </is>
      </c>
      <c r="AU94" s="24" t="inlineStr">
        <is>
          <t>Chicago White Sox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2026-08-07T21:56:47.081526Z</t>
        </is>
      </c>
      <c r="BI94" s="24" t="inlineStr">
        <is>
          <t>["same_event","same_team_same_day","same_league_same_day"]</t>
        </is>
      </c>
      <c r="BJ94" s="25" t="n">
        <v>-1.5</v>
      </c>
      <c r="BK94" s="26" t="n">
        <v>125</v>
      </c>
      <c r="BL94" s="27" t="n">
        <v>2.25</v>
      </c>
      <c r="BM94" s="28" t="n">
        <v>0.444444</v>
      </c>
      <c r="BN94" s="28" t="n">
        <v>0.440594</v>
      </c>
      <c r="BO94" s="28" t="n"/>
      <c r="BP94" s="25" t="n"/>
      <c r="BQ94" s="27" t="n">
        <v>2.25</v>
      </c>
      <c r="BR94" s="28" t="n">
        <v>0.445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</row>
    <row r="95" ht="36" customHeight="1">
      <c r="A95" s="24" t="inlineStr">
        <is>
          <t>458d30013957408a</t>
        </is>
      </c>
      <c r="B95" s="24" t="inlineStr">
        <is>
          <t>2026-08-07T21:56:47.081526Z</t>
        </is>
      </c>
      <c r="C95" s="24" t="inlineStr">
        <is>
          <t>2026-08-07T23:40Z</t>
        </is>
      </c>
      <c r="D95" s="24" t="inlineStr">
        <is>
          <t>401816432</t>
        </is>
      </c>
      <c r="E95" s="24" t="inlineStr">
        <is>
          <t>MLB</t>
        </is>
      </c>
      <c r="F95" s="24" t="inlineStr">
        <is>
          <t>Cleveland Guardians</t>
        </is>
      </c>
      <c r="G95" s="24" t="inlineStr">
        <is>
          <t>Chicago White Sox</t>
        </is>
      </c>
      <c r="H95" s="24" t="inlineStr">
        <is>
          <t>total</t>
        </is>
      </c>
      <c r="I95" s="24" t="inlineStr">
        <is>
          <t>over</t>
        </is>
      </c>
      <c r="J95" s="25" t="n">
        <v>7.5</v>
      </c>
      <c r="K95" s="24" t="inlineStr">
        <is>
          <t>polymarket_us</t>
        </is>
      </c>
      <c r="L95" s="26" t="n">
        <v>-104</v>
      </c>
      <c r="M95" s="27" t="n">
        <v>1.961538</v>
      </c>
      <c r="N95" s="28" t="n">
        <v>0.509804</v>
      </c>
      <c r="O95" s="28" t="n">
        <v>0.521275</v>
      </c>
      <c r="P95" s="28" t="n">
        <v>0.042131</v>
      </c>
      <c r="Q95" s="28" t="n">
        <v>0.011471</v>
      </c>
      <c r="R95" s="26" t="n">
        <v>32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8</v>
      </c>
      <c r="X95" s="26" t="n">
        <v>2</v>
      </c>
      <c r="Y95" s="25" t="n">
        <v>7.5</v>
      </c>
      <c r="Z95" s="26" t="n">
        <v>-104</v>
      </c>
      <c r="AA95" s="28" t="n">
        <v>0.51</v>
      </c>
      <c r="AB95" s="28" t="n">
        <v>0.000196</v>
      </c>
      <c r="AC95" s="30" t="n">
        <v>0.9615</v>
      </c>
      <c r="AD95" s="24" t="inlineStr">
        <is>
          <t>2026-08-08T04:03:35.385786Z</t>
        </is>
      </c>
      <c r="AE95" s="31" t="inlineStr">
        <is>
          <t>Measured Edge Totals: Trend Engine projected 4.69-4.01; raw selected-side p=0.5623, calibrated p=0.5213.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NO_CALL_WINNER_OVERVALUED</t>
        </is>
      </c>
      <c r="AP95" s="24" t="inlineStr">
        <is>
          <t>mlb-cle</t>
        </is>
      </c>
      <c r="AQ95" s="24" t="inlineStr">
        <is>
          <t>Cleveland Guardians</t>
        </is>
      </c>
      <c r="AR95" s="24" t="inlineStr">
        <is>
          <t>Cleveland Guardians</t>
        </is>
      </c>
      <c r="AS95" s="24" t="inlineStr">
        <is>
          <t>mlb-cws</t>
        </is>
      </c>
      <c r="AT95" s="24" t="inlineStr">
        <is>
          <t>Chicago White Sox</t>
        </is>
      </c>
      <c r="AU95" s="24" t="inlineStr">
        <is>
          <t>Chicago White Sox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2026-08-07T21:56:47.081526Z</t>
        </is>
      </c>
      <c r="BI95" s="24" t="inlineStr">
        <is>
          <t>["same_event","same_team_same_day","same_league_same_day"]</t>
        </is>
      </c>
      <c r="BJ95" s="25" t="n">
        <v>7.5</v>
      </c>
      <c r="BK95" s="26" t="n">
        <v>-104</v>
      </c>
      <c r="BL95" s="27" t="n">
        <v>1.961538</v>
      </c>
      <c r="BM95" s="28" t="n">
        <v>0.509804</v>
      </c>
      <c r="BN95" s="28" t="n">
        <v>0.507463</v>
      </c>
      <c r="BO95" s="28" t="n"/>
      <c r="BP95" s="25" t="n"/>
      <c r="BQ95" s="27" t="n">
        <v>1.961538</v>
      </c>
      <c r="BR95" s="28" t="n">
        <v>0.51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3c10f7fe979b4bdb</t>
        </is>
      </c>
      <c r="B96" s="24" t="inlineStr">
        <is>
          <t>2026-08-07T21:56:47.081526Z</t>
        </is>
      </c>
      <c r="C96" s="24" t="inlineStr">
        <is>
          <t>2026-08-07T23:40Z</t>
        </is>
      </c>
      <c r="D96" s="24" t="inlineStr">
        <is>
          <t>401816434</t>
        </is>
      </c>
      <c r="E96" s="24" t="inlineStr">
        <is>
          <t>MLB</t>
        </is>
      </c>
      <c r="F96" s="24" t="inlineStr">
        <is>
          <t>Minnesota Twins</t>
        </is>
      </c>
      <c r="G96" s="24" t="inlineStr">
        <is>
          <t>Milwaukee Brewers</t>
        </is>
      </c>
      <c r="H96" s="24" t="inlineStr">
        <is>
          <t>spread</t>
        </is>
      </c>
      <c r="I96" s="24" t="inlineStr">
        <is>
          <t>home</t>
        </is>
      </c>
      <c r="J96" s="25" t="n">
        <v>-1.5</v>
      </c>
      <c r="K96" s="24" t="inlineStr">
        <is>
          <t>polymarket_us</t>
        </is>
      </c>
      <c r="L96" s="26" t="n">
        <v>125</v>
      </c>
      <c r="M96" s="27" t="n">
        <v>2.25</v>
      </c>
      <c r="N96" s="28" t="n">
        <v>0.444444</v>
      </c>
      <c r="O96" s="28" t="n">
        <v>0.434483</v>
      </c>
      <c r="P96" s="28" t="n">
        <v>0.042131</v>
      </c>
      <c r="Q96" s="28" t="n">
        <v>-0.009960999999999999</v>
      </c>
      <c r="R96" s="26" t="n">
        <v>21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8</v>
      </c>
      <c r="X96" s="26" t="n">
        <v>6</v>
      </c>
      <c r="Y96" s="25" t="n">
        <v>-1.5</v>
      </c>
      <c r="Z96" s="26" t="n">
        <v>125</v>
      </c>
      <c r="AA96" s="28" t="n">
        <v>0.445</v>
      </c>
      <c r="AB96" s="28" t="n">
        <v>0.000556</v>
      </c>
      <c r="AC96" s="30" t="n">
        <v>-1.25</v>
      </c>
      <c r="AD96" s="24" t="inlineStr">
        <is>
          <t>2026-08-08T04:03:36.520236Z</t>
        </is>
      </c>
      <c r="AE96" s="31" t="inlineStr">
        <is>
          <t>Measured Edge Margin: Trend Engine projected 4.36-5.14; raw selected-side p=0.4038, calibrated p=0.4345.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NO_CALL_WINNER_OVERVALUED</t>
        </is>
      </c>
      <c r="AP96" s="24" t="inlineStr">
        <is>
          <t>mlb-min</t>
        </is>
      </c>
      <c r="AQ96" s="24" t="inlineStr">
        <is>
          <t>Minnesota Twins</t>
        </is>
      </c>
      <c r="AR96" s="24" t="inlineStr">
        <is>
          <t>Minnesota Twins</t>
        </is>
      </c>
      <c r="AS96" s="24" t="inlineStr">
        <is>
          <t>mlb-mil</t>
        </is>
      </c>
      <c r="AT96" s="24" t="inlineStr">
        <is>
          <t>Milwaukee Brewers</t>
        </is>
      </c>
      <c r="AU96" s="24" t="inlineStr">
        <is>
          <t>Milwaukee Brewers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2026-08-07T21:56:47.081526Z</t>
        </is>
      </c>
      <c r="BI96" s="24" t="inlineStr">
        <is>
          <t>["same_event","same_team_same_day","same_league_same_day"]</t>
        </is>
      </c>
      <c r="BJ96" s="25" t="n">
        <v>-1.5</v>
      </c>
      <c r="BK96" s="26" t="n">
        <v>125</v>
      </c>
      <c r="BL96" s="27" t="n">
        <v>2.25</v>
      </c>
      <c r="BM96" s="28" t="n">
        <v>0.444444</v>
      </c>
      <c r="BN96" s="28" t="n">
        <v>0.442786</v>
      </c>
      <c r="BO96" s="28" t="n"/>
      <c r="BP96" s="25" t="n"/>
      <c r="BQ96" s="27" t="n">
        <v>2.25</v>
      </c>
      <c r="BR96" s="28" t="n">
        <v>0.445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4d10ada276d14b16</t>
        </is>
      </c>
      <c r="B97" s="24" t="inlineStr">
        <is>
          <t>2026-08-07T21:56:47.081526Z</t>
        </is>
      </c>
      <c r="C97" s="24" t="inlineStr">
        <is>
          <t>2026-08-07T23:40Z</t>
        </is>
      </c>
      <c r="D97" s="24" t="inlineStr">
        <is>
          <t>401816434</t>
        </is>
      </c>
      <c r="E97" s="24" t="inlineStr">
        <is>
          <t>MLB</t>
        </is>
      </c>
      <c r="F97" s="24" t="inlineStr">
        <is>
          <t>Minnesota Twins</t>
        </is>
      </c>
      <c r="G97" s="24" t="inlineStr">
        <is>
          <t>Milwaukee Brewers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113</v>
      </c>
      <c r="M97" s="27" t="n">
        <v>2.13</v>
      </c>
      <c r="N97" s="28" t="n">
        <v>0.469484</v>
      </c>
      <c r="O97" s="28" t="n">
        <v>0.520381</v>
      </c>
      <c r="P97" s="28" t="n">
        <v>0.042131</v>
      </c>
      <c r="Q97" s="28" t="n">
        <v>0.050897</v>
      </c>
      <c r="R97" s="26" t="n">
        <v>51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win</t>
        </is>
      </c>
      <c r="W97" s="26" t="n">
        <v>8</v>
      </c>
      <c r="X97" s="26" t="n">
        <v>6</v>
      </c>
      <c r="Y97" s="25" t="n">
        <v>8.5</v>
      </c>
      <c r="Z97" s="26" t="n">
        <v>113</v>
      </c>
      <c r="AA97" s="28" t="n">
        <v>0.47</v>
      </c>
      <c r="AB97" s="28" t="n">
        <v>0.000516</v>
      </c>
      <c r="AC97" s="30" t="n">
        <v>1.13</v>
      </c>
      <c r="AD97" s="24" t="inlineStr">
        <is>
          <t>2026-08-08T04:03:37.689207Z</t>
        </is>
      </c>
      <c r="AE97" s="31" t="inlineStr">
        <is>
          <t>Measured Edge Totals: Trend Engine projected 4.36-5.14; raw selected-side p=0.5587, calibrated p=0.5204.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mlb-min</t>
        </is>
      </c>
      <c r="AQ97" s="24" t="inlineStr">
        <is>
          <t>Minnesota Twins</t>
        </is>
      </c>
      <c r="AR97" s="24" t="inlineStr">
        <is>
          <t>Minnesota Twins</t>
        </is>
      </c>
      <c r="AS97" s="24" t="inlineStr">
        <is>
          <t>mlb-mil</t>
        </is>
      </c>
      <c r="AT97" s="24" t="inlineStr">
        <is>
          <t>Milwaukee Brewers</t>
        </is>
      </c>
      <c r="AU97" s="24" t="inlineStr">
        <is>
          <t>Milwaukee Brewers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2026-08-07T21:56:47.081526Z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113</v>
      </c>
      <c r="BL97" s="27" t="n">
        <v>2.13</v>
      </c>
      <c r="BM97" s="28" t="n">
        <v>0.469484</v>
      </c>
      <c r="BN97" s="28" t="n">
        <v>0.467662</v>
      </c>
      <c r="BO97" s="28" t="n"/>
      <c r="BP97" s="25" t="n"/>
      <c r="BQ97" s="27" t="n">
        <v>2.13</v>
      </c>
      <c r="BR97" s="28" t="n">
        <v>0.47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2361f17b536942e2</t>
        </is>
      </c>
      <c r="B98" s="24" t="inlineStr">
        <is>
          <t>2026-08-07T21:56:47.081526Z</t>
        </is>
      </c>
      <c r="C98" s="24" t="inlineStr">
        <is>
          <t>2026-08-08T00:10Z</t>
        </is>
      </c>
      <c r="D98" s="24" t="inlineStr">
        <is>
          <t>401816431</t>
        </is>
      </c>
      <c r="E98" s="24" t="inlineStr">
        <is>
          <t>MLB</t>
        </is>
      </c>
      <c r="F98" s="24" t="inlineStr">
        <is>
          <t>Chicago Cubs</t>
        </is>
      </c>
      <c r="G98" s="24" t="inlineStr">
        <is>
          <t>Kansas City Royals</t>
        </is>
      </c>
      <c r="H98" s="24" t="inlineStr">
        <is>
          <t>spread</t>
        </is>
      </c>
      <c r="I98" s="24" t="inlineStr">
        <is>
          <t>home</t>
        </is>
      </c>
      <c r="J98" s="25" t="n">
        <v>1.5</v>
      </c>
      <c r="K98" s="24" t="inlineStr">
        <is>
          <t>polymarket_us</t>
        </is>
      </c>
      <c r="L98" s="26" t="n">
        <v>-102</v>
      </c>
      <c r="M98" s="27" t="n">
        <v>1.980392</v>
      </c>
      <c r="N98" s="28" t="n">
        <v>0.50495</v>
      </c>
      <c r="O98" s="28" t="n">
        <v>0.658426</v>
      </c>
      <c r="P98" s="28" t="n">
        <v>0.042131</v>
      </c>
      <c r="Q98" s="28" t="n">
        <v>0.153476</v>
      </c>
      <c r="R98" s="26" t="n">
        <v>100</v>
      </c>
      <c r="S98" s="29" t="n">
        <v>1.75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4</v>
      </c>
      <c r="Y98" s="25" t="n">
        <v>1.5</v>
      </c>
      <c r="Z98" s="26" t="n">
        <v>-102</v>
      </c>
      <c r="AA98" s="28" t="n">
        <v>0.505</v>
      </c>
      <c r="AB98" s="28" t="n">
        <v>5e-05</v>
      </c>
      <c r="AC98" s="30" t="n">
        <v>-1.75</v>
      </c>
      <c r="AD98" s="24" t="inlineStr">
        <is>
          <t>2026-08-08T04:03:38.826015Z</t>
        </is>
      </c>
      <c r="AE98" s="31" t="inlineStr">
        <is>
          <t>Measured Edge Margin: Trend Engine projected 4.08-4.72; raw selected-side p=0.7325, calibrated p=0.6584.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mlb-chc</t>
        </is>
      </c>
      <c r="AQ98" s="24" t="inlineStr">
        <is>
          <t>Chicago Cubs</t>
        </is>
      </c>
      <c r="AR98" s="24" t="inlineStr">
        <is>
          <t>Chicago Cubs</t>
        </is>
      </c>
      <c r="AS98" s="24" t="inlineStr">
        <is>
          <t>mlb-kc</t>
        </is>
      </c>
      <c r="AT98" s="24" t="inlineStr">
        <is>
          <t>Kansas City Royals</t>
        </is>
      </c>
      <c r="AU98" s="24" t="inlineStr">
        <is>
          <t>Kansas City Royals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2026-08-07T21:56:47.081526Z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-102</v>
      </c>
      <c r="BL98" s="27" t="n">
        <v>1.980392</v>
      </c>
      <c r="BM98" s="28" t="n">
        <v>0.50495</v>
      </c>
      <c r="BN98" s="28" t="n">
        <v>0.502488</v>
      </c>
      <c r="BO98" s="28" t="n"/>
      <c r="BP98" s="25" t="n"/>
      <c r="BQ98" s="27" t="n">
        <v>1.980392</v>
      </c>
      <c r="BR98" s="28" t="n">
        <v>0.505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6688150e01dd46a0</t>
        </is>
      </c>
      <c r="B99" s="24" t="inlineStr">
        <is>
          <t>2026-08-07T21:56:47.081526Z</t>
        </is>
      </c>
      <c r="C99" s="24" t="inlineStr">
        <is>
          <t>2026-08-08T00:10Z</t>
        </is>
      </c>
      <c r="D99" s="24" t="inlineStr">
        <is>
          <t>401816431</t>
        </is>
      </c>
      <c r="E99" s="24" t="inlineStr">
        <is>
          <t>MLB</t>
        </is>
      </c>
      <c r="F99" s="24" t="inlineStr">
        <is>
          <t>Chicago Cubs</t>
        </is>
      </c>
      <c r="G99" s="24" t="inlineStr">
        <is>
          <t>Kansas City Royals</t>
        </is>
      </c>
      <c r="H99" s="24" t="inlineStr">
        <is>
          <t>total</t>
        </is>
      </c>
      <c r="I99" s="24" t="inlineStr">
        <is>
          <t>under</t>
        </is>
      </c>
      <c r="J99" s="25" t="n">
        <v>9.5</v>
      </c>
      <c r="K99" s="24" t="inlineStr">
        <is>
          <t>polymarket_us</t>
        </is>
      </c>
      <c r="L99" s="26" t="n">
        <v>-113</v>
      </c>
      <c r="M99" s="27" t="n">
        <v>1.884956</v>
      </c>
      <c r="N99" s="28" t="n">
        <v>0.530516</v>
      </c>
      <c r="O99" s="28" t="n">
        <v>0.535695</v>
      </c>
      <c r="P99" s="28" t="n">
        <v>0.042131</v>
      </c>
      <c r="Q99" s="28" t="n">
        <v>0.005179</v>
      </c>
      <c r="R99" s="26" t="n">
        <v>29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loss</t>
        </is>
      </c>
      <c r="W99" s="26" t="n">
        <v>6</v>
      </c>
      <c r="X99" s="26" t="n">
        <v>4</v>
      </c>
      <c r="Y99" s="25" t="n">
        <v>9.5</v>
      </c>
      <c r="Z99" s="26" t="n">
        <v>-113</v>
      </c>
      <c r="AA99" s="28" t="n">
        <v>0.53</v>
      </c>
      <c r="AB99" s="28" t="n">
        <v>-0.000516</v>
      </c>
      <c r="AC99" s="30" t="n">
        <v>-1</v>
      </c>
      <c r="AD99" s="24" t="inlineStr">
        <is>
          <t>2026-08-08T04:03:40.003826Z</t>
        </is>
      </c>
      <c r="AE99" s="31" t="inlineStr">
        <is>
          <t>Measured Edge Totals: Trend Engine projected 4.08-4.72; raw selected-side p=0.6203, calibrated p=0.5357.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mlb-chc</t>
        </is>
      </c>
      <c r="AQ99" s="24" t="inlineStr">
        <is>
          <t>Chicago Cubs</t>
        </is>
      </c>
      <c r="AR99" s="24" t="inlineStr">
        <is>
          <t>Chicago Cubs</t>
        </is>
      </c>
      <c r="AS99" s="24" t="inlineStr">
        <is>
          <t>mlb-kc</t>
        </is>
      </c>
      <c r="AT99" s="24" t="inlineStr">
        <is>
          <t>Kansas City Royals</t>
        </is>
      </c>
      <c r="AU99" s="24" t="inlineStr">
        <is>
          <t>Kansas City Royals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2026-08-07T21:56:47.081526Z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-113</v>
      </c>
      <c r="BL99" s="27" t="n">
        <v>1.884956</v>
      </c>
      <c r="BM99" s="28" t="n">
        <v>0.530516</v>
      </c>
      <c r="BN99" s="28" t="n">
        <v>0.527363</v>
      </c>
      <c r="BO99" s="28" t="n"/>
      <c r="BP99" s="25" t="n"/>
      <c r="BQ99" s="27" t="n">
        <v>1.884956</v>
      </c>
      <c r="BR99" s="28" t="n">
        <v>0.53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64976566de8148bd</t>
        </is>
      </c>
      <c r="B100" s="24" t="inlineStr">
        <is>
          <t>2026-08-07T21:56:47.081526Z</t>
        </is>
      </c>
      <c r="C100" s="24" t="inlineStr">
        <is>
          <t>2026-08-08T00:15Z</t>
        </is>
      </c>
      <c r="D100" s="24" t="inlineStr">
        <is>
          <t>401816430</t>
        </is>
      </c>
      <c r="E100" s="24" t="inlineStr">
        <is>
          <t>MLB</t>
        </is>
      </c>
      <c r="F100" s="24" t="inlineStr">
        <is>
          <t>Baltimore Orioles</t>
        </is>
      </c>
      <c r="G100" s="24" t="inlineStr">
        <is>
          <t>Texas Rangers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-163</v>
      </c>
      <c r="M100" s="27" t="n">
        <v>1.613497</v>
      </c>
      <c r="N100" s="28" t="n">
        <v>0.619772</v>
      </c>
      <c r="O100" s="28" t="n">
        <v>0.639176</v>
      </c>
      <c r="P100" s="28" t="n">
        <v>0.042131</v>
      </c>
      <c r="Q100" s="28" t="n">
        <v>0.019404</v>
      </c>
      <c r="R100" s="26" t="n">
        <v>36</v>
      </c>
      <c r="S100" s="29" t="n">
        <v>1.75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2</v>
      </c>
      <c r="Y100" s="25" t="n">
        <v>1.5</v>
      </c>
      <c r="Z100" s="26" t="n">
        <v>-163</v>
      </c>
      <c r="AA100" s="28" t="n">
        <v>0.62</v>
      </c>
      <c r="AB100" s="28" t="n">
        <v>0.000228</v>
      </c>
      <c r="AC100" s="30" t="n">
        <v>1.0736</v>
      </c>
      <c r="AD100" s="24" t="inlineStr">
        <is>
          <t>2026-08-08T04:03:41.136165Z</t>
        </is>
      </c>
      <c r="AE100" s="31" t="inlineStr">
        <is>
          <t>Measured Edge Margin: Trend Engine projected 4.66-4.27; raw selected-side p=0.7043, calibrated p=0.6392.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NO_CALL_WINNER_OVERVALUED</t>
        </is>
      </c>
      <c r="AP100" s="24" t="inlineStr">
        <is>
          <t>mlb-bal</t>
        </is>
      </c>
      <c r="AQ100" s="24" t="inlineStr">
        <is>
          <t>Baltimore Orioles</t>
        </is>
      </c>
      <c r="AR100" s="24" t="inlineStr">
        <is>
          <t>Baltimore Orioles</t>
        </is>
      </c>
      <c r="AS100" s="24" t="inlineStr">
        <is>
          <t>mlb-tex</t>
        </is>
      </c>
      <c r="AT100" s="24" t="inlineStr">
        <is>
          <t>Texas Rangers</t>
        </is>
      </c>
      <c r="AU100" s="24" t="inlineStr">
        <is>
          <t>Texas Rangers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2026-08-07T21:56:47.081526Z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-163</v>
      </c>
      <c r="BL100" s="27" t="n">
        <v>1.613497</v>
      </c>
      <c r="BM100" s="28" t="n">
        <v>0.619772</v>
      </c>
      <c r="BN100" s="28" t="n">
        <v>0.616915</v>
      </c>
      <c r="BO100" s="28" t="n"/>
      <c r="BP100" s="25" t="n"/>
      <c r="BQ100" s="27" t="n">
        <v>1.613497</v>
      </c>
      <c r="BR100" s="28" t="n">
        <v>0.62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92a6b8c65edb434b</t>
        </is>
      </c>
      <c r="B101" s="24" t="inlineStr">
        <is>
          <t>2026-08-07T21:56:47.081526Z</t>
        </is>
      </c>
      <c r="C101" s="24" t="inlineStr">
        <is>
          <t>2026-08-08T00:15Z</t>
        </is>
      </c>
      <c r="D101" s="24" t="inlineStr">
        <is>
          <t>401816430</t>
        </is>
      </c>
      <c r="E101" s="24" t="inlineStr">
        <is>
          <t>MLB</t>
        </is>
      </c>
      <c r="F101" s="24" t="inlineStr">
        <is>
          <t>Baltimore Orioles</t>
        </is>
      </c>
      <c r="G101" s="24" t="inlineStr">
        <is>
          <t>Texas Rangers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0.527311</v>
      </c>
      <c r="P101" s="28" t="n">
        <v>0.042131</v>
      </c>
      <c r="Q101" s="28" t="n">
        <v>0.041874</v>
      </c>
      <c r="R101" s="26" t="n">
        <v>47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2</v>
      </c>
      <c r="Y101" s="25" t="n">
        <v>7.5</v>
      </c>
      <c r="Z101" s="26" t="n">
        <v>106</v>
      </c>
      <c r="AA101" s="28" t="n">
        <v>0.485</v>
      </c>
      <c r="AB101" s="28" t="n">
        <v>-0.000437</v>
      </c>
      <c r="AC101" s="30" t="n">
        <v>-1</v>
      </c>
      <c r="AD101" s="24" t="inlineStr">
        <is>
          <t>2026-08-08T04:03:42.310024Z</t>
        </is>
      </c>
      <c r="AE101" s="31" t="inlineStr">
        <is>
          <t>Measured Edge Totals: Trend Engine projected 4.66-4.27; raw selected-side p=0.5866, calibrated p=0.5273.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mlb-bal</t>
        </is>
      </c>
      <c r="AQ101" s="24" t="inlineStr">
        <is>
          <t>Baltimore Orioles</t>
        </is>
      </c>
      <c r="AR101" s="24" t="inlineStr">
        <is>
          <t>Baltimore Orioles</t>
        </is>
      </c>
      <c r="AS101" s="24" t="inlineStr">
        <is>
          <t>mlb-tex</t>
        </is>
      </c>
      <c r="AT101" s="24" t="inlineStr">
        <is>
          <t>Texas Rangers</t>
        </is>
      </c>
      <c r="AU101" s="24" t="inlineStr">
        <is>
          <t>Texas Rangers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2026-08-07T21:56:47.081526Z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>
        <v>2.06</v>
      </c>
      <c r="BR101" s="28" t="n">
        <v>0.485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078e2fec941d41d3</t>
        </is>
      </c>
      <c r="B102" s="24" t="inlineStr">
        <is>
          <t>2026-08-07T21:56:47.081526Z</t>
        </is>
      </c>
      <c r="C102" s="24" t="inlineStr">
        <is>
          <t>2026-08-08T00:15Z</t>
        </is>
      </c>
      <c r="D102" s="24" t="inlineStr">
        <is>
          <t>401816433</t>
        </is>
      </c>
      <c r="E102" s="24" t="inlineStr">
        <is>
          <t>MLB</t>
        </is>
      </c>
      <c r="F102" s="24" t="inlineStr">
        <is>
          <t>Colorado Rockies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-1.5</v>
      </c>
      <c r="K102" s="24" t="inlineStr">
        <is>
          <t>polymarket_us</t>
        </is>
      </c>
      <c r="L102" s="26" t="n">
        <v>130</v>
      </c>
      <c r="M102" s="27" t="n">
        <v>2.3</v>
      </c>
      <c r="N102" s="28" t="n">
        <v>0.434783</v>
      </c>
      <c r="O102" s="28" t="n">
        <v>0.464976</v>
      </c>
      <c r="P102" s="28" t="n">
        <v>0.042131</v>
      </c>
      <c r="Q102" s="28" t="n">
        <v>0.030193</v>
      </c>
      <c r="R102" s="26" t="n">
        <v>42</v>
      </c>
      <c r="S102" s="29" t="n">
        <v>1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2</v>
      </c>
      <c r="X102" s="26" t="n">
        <v>3</v>
      </c>
      <c r="Y102" s="25" t="n">
        <v>-1.5</v>
      </c>
      <c r="Z102" s="26" t="n">
        <v>130</v>
      </c>
      <c r="AA102" s="28" t="n">
        <v>0.435</v>
      </c>
      <c r="AB102" s="28" t="n">
        <v>0.000217</v>
      </c>
      <c r="AC102" s="30" t="n">
        <v>-1</v>
      </c>
      <c r="AD102" s="24" t="inlineStr">
        <is>
          <t>2026-08-08T04:03:43.444193Z</t>
        </is>
      </c>
      <c r="AE102" s="31" t="inlineStr">
        <is>
          <t>Measured Edge Margin: Trend Engine projected 4.03-5.24; raw selected-side p=0.4486, calibrated p=0.4650.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NO_CALL_WINNER_OVERVALUED</t>
        </is>
      </c>
      <c r="AP102" s="24" t="inlineStr">
        <is>
          <t>mlb-col</t>
        </is>
      </c>
      <c r="AQ102" s="24" t="inlineStr">
        <is>
          <t>Colorado Rockies</t>
        </is>
      </c>
      <c r="AR102" s="24" t="inlineStr">
        <is>
          <t>Colorado Rockies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2026-08-07T21:56:47.081526Z</t>
        </is>
      </c>
      <c r="BI102" s="24" t="inlineStr">
        <is>
          <t>["same_event","same_team_same_day","same_league_same_day"]</t>
        </is>
      </c>
      <c r="BJ102" s="25" t="n">
        <v>-1.5</v>
      </c>
      <c r="BK102" s="26" t="n">
        <v>130</v>
      </c>
      <c r="BL102" s="27" t="n">
        <v>2.3</v>
      </c>
      <c r="BM102" s="28" t="n">
        <v>0.434783</v>
      </c>
      <c r="BN102" s="28" t="n">
        <v>0.430693</v>
      </c>
      <c r="BO102" s="28" t="n"/>
      <c r="BP102" s="25" t="n"/>
      <c r="BQ102" s="27" t="n">
        <v>2.3</v>
      </c>
      <c r="BR102" s="28" t="n">
        <v>0.435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0d085dbef4b540f4</t>
        </is>
      </c>
      <c r="B103" s="24" t="inlineStr">
        <is>
          <t>2026-08-07T21:56:47.081526Z</t>
        </is>
      </c>
      <c r="C103" s="24" t="inlineStr">
        <is>
          <t>2026-08-08T00:15Z</t>
        </is>
      </c>
      <c r="D103" s="24" t="inlineStr">
        <is>
          <t>401816433</t>
        </is>
      </c>
      <c r="E103" s="24" t="inlineStr">
        <is>
          <t>MLB</t>
        </is>
      </c>
      <c r="F103" s="24" t="inlineStr">
        <is>
          <t>Colorado Rockies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-108</v>
      </c>
      <c r="M103" s="27" t="n">
        <v>1.925926</v>
      </c>
      <c r="N103" s="28" t="n">
        <v>0.519231</v>
      </c>
      <c r="O103" s="28" t="n">
        <v>0.515103</v>
      </c>
      <c r="P103" s="28" t="n">
        <v>0.042131</v>
      </c>
      <c r="Q103" s="28" t="n">
        <v>-0.004128</v>
      </c>
      <c r="R103" s="26" t="n">
        <v>24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loss</t>
        </is>
      </c>
      <c r="W103" s="26" t="n">
        <v>2</v>
      </c>
      <c r="X103" s="26" t="n">
        <v>3</v>
      </c>
      <c r="Y103" s="25" t="n">
        <v>8.5</v>
      </c>
      <c r="Z103" s="26" t="n">
        <v>-108</v>
      </c>
      <c r="AA103" s="28" t="n">
        <v>0.52</v>
      </c>
      <c r="AB103" s="28" t="n">
        <v>0.000769</v>
      </c>
      <c r="AC103" s="30" t="n">
        <v>-1</v>
      </c>
      <c r="AD103" s="24" t="inlineStr">
        <is>
          <t>2026-08-08T04:03:44.626957Z</t>
        </is>
      </c>
      <c r="AE103" s="31" t="inlineStr">
        <is>
          <t>Measured Edge Totals: Trend Engine projected 4.03-5.24; raw selected-side p=0.5374, calibrated p=0.5151.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mlb-col</t>
        </is>
      </c>
      <c r="AQ103" s="24" t="inlineStr">
        <is>
          <t>Colorado Rockies</t>
        </is>
      </c>
      <c r="AR103" s="24" t="inlineStr">
        <is>
          <t>Colorado Rockies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2026-08-07T21:56:47.081526Z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-108</v>
      </c>
      <c r="BL103" s="27" t="n">
        <v>1.925926</v>
      </c>
      <c r="BM103" s="28" t="n">
        <v>0.519231</v>
      </c>
      <c r="BN103" s="28" t="n">
        <v>0.517413</v>
      </c>
      <c r="BO103" s="28" t="n"/>
      <c r="BP103" s="25" t="n"/>
      <c r="BQ103" s="27" t="n">
        <v>1.925926</v>
      </c>
      <c r="BR103" s="28" t="n">
        <v>0.52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cedc9f3959ef487d</t>
        </is>
      </c>
      <c r="B104" s="24" t="inlineStr">
        <is>
          <t>2026-08-08T01:00:54.678171Z</t>
        </is>
      </c>
      <c r="C104" s="24" t="inlineStr">
        <is>
          <t>2026-08-07T21:40:00-0400</t>
        </is>
      </c>
      <c r="D104" s="24" t="inlineStr">
        <is>
          <t>401816436</t>
        </is>
      </c>
      <c r="E104" s="24" t="inlineStr">
        <is>
          <t>MLB</t>
        </is>
      </c>
      <c r="F104" s="24" t="inlineStr">
        <is>
          <t>Houston Astros</t>
        </is>
      </c>
      <c r="G104" s="24" t="inlineStr">
        <is>
          <t>San Diego Padres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-106</v>
      </c>
      <c r="M104" s="27" t="n">
        <v>1.943396</v>
      </c>
      <c r="N104" s="28" t="n">
        <v>0.514563</v>
      </c>
      <c r="O104" s="28" t="n">
        <v>0.58632</v>
      </c>
      <c r="P104" s="28" t="n"/>
      <c r="Q104" s="28" t="n">
        <v>0.071757</v>
      </c>
      <c r="R104" s="26" t="n">
        <v>57</v>
      </c>
      <c r="S104" s="29" t="n">
        <v>1.25</v>
      </c>
      <c r="T104" s="24" t="inlineStr">
        <is>
          <t>mlb-elo-trend-lr-v8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3</v>
      </c>
      <c r="Y104" s="25" t="n"/>
      <c r="Z104" s="26" t="n">
        <v>-106</v>
      </c>
      <c r="AA104" s="28" t="n">
        <v>0.515</v>
      </c>
      <c r="AB104" s="28" t="n">
        <v>0.000437</v>
      </c>
      <c r="AC104" s="30" t="n">
        <v>-1.25</v>
      </c>
      <c r="AD104" s="24" t="inlineStr">
        <is>
          <t>2026-08-08T18:33:07.020575Z</t>
        </is>
      </c>
      <c r="AE104" s="31" t="inlineStr">
        <is>
          <t>Learned LR call at threshold 0.5873; executable ask 0.5150 (aec-mlb-hou-sd-2026-08-07); model edge vs ask +0.0713.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NO_CALL_WINNER_OVERVALUED</t>
        </is>
      </c>
      <c r="AP104" s="24" t="inlineStr">
        <is>
          <t>mlb-hou</t>
        </is>
      </c>
      <c r="AQ104" s="24" t="inlineStr">
        <is>
          <t>Houston Astros</t>
        </is>
      </c>
      <c r="AR104" s="24" t="inlineStr">
        <is>
          <t>Houston Astros</t>
        </is>
      </c>
      <c r="AS104" s="24" t="inlineStr">
        <is>
          <t>mlb-sd</t>
        </is>
      </c>
      <c r="AT104" s="24" t="inlineStr">
        <is>
          <t>San Diego Padres</t>
        </is>
      </c>
      <c r="AU104" s="24" t="inlineStr">
        <is>
          <t>San Diego Padres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6a5c79541b0e50cb9f7318270e63d5ccc65cbd7bc53a019748ff772d49de5075</t>
        </is>
      </c>
      <c r="BB104" s="24" t="inlineStr">
        <is>
          <t>learned_lr</t>
        </is>
      </c>
      <c r="BC104" s="24" t="inlineStr">
        <is>
          <t>mlb-elo-trend-lr-v8</t>
        </is>
      </c>
      <c r="BD104" s="24" t="inlineStr">
        <is>
          <t>6a5c79541b0e50cb9f7318270e63d5ccc65cbd7bc53a019748ff772d49de5075</t>
        </is>
      </c>
      <c r="BE104" s="24" t="inlineStr">
        <is>
          <t>ce3b16db9f1363ad</t>
        </is>
      </c>
      <c r="BF104" s="24" t="inlineStr">
        <is>
          <t>1</t>
        </is>
      </c>
      <c r="BG104" s="24" t="inlineStr">
        <is>
          <t>mlb-elo-trend-lr-v8</t>
        </is>
      </c>
      <c r="BH104" s="24" t="inlineStr">
        <is>
          <t>2026-08-08T01:00:42.002683Z</t>
        </is>
      </c>
      <c r="BI104" s="24" t="inlineStr">
        <is>
          <t>["same_event","same_team_same_day","same_league_same_day"]</t>
        </is>
      </c>
      <c r="BJ104" s="25" t="n"/>
      <c r="BK104" s="26" t="n">
        <v>-106</v>
      </c>
      <c r="BL104" s="27" t="n">
        <v>1.943396</v>
      </c>
      <c r="BM104" s="28" t="n">
        <v>0.514563</v>
      </c>
      <c r="BN104" s="28" t="n">
        <v>0.5124379999999999</v>
      </c>
      <c r="BO104" s="28" t="n"/>
      <c r="BP104" s="25" t="n"/>
      <c r="BQ104" s="27" t="n">
        <v>1.943396</v>
      </c>
      <c r="BR104" s="28" t="n">
        <v>0.515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0.5604308496</t>
        </is>
      </c>
      <c r="CD104" s="24" t="inlineStr">
        <is>
          <t>-0.466958</t>
        </is>
      </c>
      <c r="CE104" s="24" t="inlineStr">
        <is>
          <t>0.947</t>
        </is>
      </c>
      <c r="CF104" s="24" t="inlineStr">
        <is>
          <t>1.0059</t>
        </is>
      </c>
      <c r="CG104" s="24" t="n"/>
      <c r="CH104" s="24" t="n"/>
      <c r="CI104" s="24" t="n"/>
      <c r="CJ104" s="24" t="inlineStr">
        <is>
          <t>-0.578718</t>
        </is>
      </c>
      <c r="CK104" s="24" t="n"/>
      <c r="CL104" s="24" t="inlineStr">
        <is>
          <t>0.186693</t>
        </is>
      </c>
      <c r="CM104" s="24" t="inlineStr">
        <is>
          <t>-2.1888</t>
        </is>
      </c>
      <c r="CN104" s="24" t="n"/>
      <c r="CO104" s="24" t="n"/>
      <c r="CP104" s="24" t="n"/>
      <c r="CQ104" s="24" t="n"/>
      <c r="CR104" s="24" t="inlineStr">
        <is>
          <t>0.58632</t>
        </is>
      </c>
      <c r="CS104" s="24" t="inlineStr">
        <is>
          <t>True</t>
        </is>
      </c>
    </row>
    <row r="105" ht="36" customHeight="1">
      <c r="A105" s="24" t="inlineStr">
        <is>
          <t>4f34ab538ae34557</t>
        </is>
      </c>
      <c r="B105" s="24" t="inlineStr">
        <is>
          <t>2026-08-08T01:00:54.678171Z</t>
        </is>
      </c>
      <c r="C105" s="24" t="inlineStr">
        <is>
          <t>2026-08-07T21:40:00-0400</t>
        </is>
      </c>
      <c r="D105" s="24" t="inlineStr">
        <is>
          <t>401816437</t>
        </is>
      </c>
      <c r="E105" s="24" t="inlineStr">
        <is>
          <t>MLB</t>
        </is>
      </c>
      <c r="F105" s="24" t="inlineStr">
        <is>
          <t>Los Angeles Dodgers</t>
        </is>
      </c>
      <c r="G105" s="24" t="inlineStr">
        <is>
          <t>Arizona Diamondbacks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-163</v>
      </c>
      <c r="M105" s="27" t="n">
        <v>1.613497</v>
      </c>
      <c r="N105" s="28" t="n">
        <v>0.619772</v>
      </c>
      <c r="O105" s="28" t="n">
        <v>0.527996</v>
      </c>
      <c r="P105" s="28" t="n"/>
      <c r="Q105" s="28" t="n">
        <v>-0.091776</v>
      </c>
      <c r="R105" s="26" t="n">
        <v>0</v>
      </c>
      <c r="S105" s="29" t="n">
        <v>1</v>
      </c>
      <c r="T105" s="24" t="inlineStr">
        <is>
          <t>mlb-elo-trend-lr-v8</t>
        </is>
      </c>
      <c r="U105" s="24" t="inlineStr">
        <is>
          <t>settled</t>
        </is>
      </c>
      <c r="V105" s="24" t="inlineStr">
        <is>
          <t>loss</t>
        </is>
      </c>
      <c r="W105" s="26" t="n">
        <v>3</v>
      </c>
      <c r="X105" s="26" t="n">
        <v>4</v>
      </c>
      <c r="Y105" s="25" t="n"/>
      <c r="Z105" s="26" t="n">
        <v>-163</v>
      </c>
      <c r="AA105" s="28" t="n">
        <v>0.62</v>
      </c>
      <c r="AB105" s="28" t="n">
        <v>0.000228</v>
      </c>
      <c r="AC105" s="30" t="n">
        <v>-1</v>
      </c>
      <c r="AD105" s="24" t="inlineStr">
        <is>
          <t>2026-08-08T18:33:08.243380Z</t>
        </is>
      </c>
      <c r="AE105" s="31" t="inlineStr">
        <is>
          <t>Learned LR call at threshold 0.5873; executable ask 0.6200 (aec-mlb-lad-az-2026-08-07); model edge vs ask -0.0920.</t>
        </is>
      </c>
      <c r="AF105" s="31" t="inlineStr">
        <is>
          <t>Learned model; shadow-qualified via operator override.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mlb-lad</t>
        </is>
      </c>
      <c r="AQ105" s="24" t="inlineStr">
        <is>
          <t>Los Angeles Dodgers</t>
        </is>
      </c>
      <c r="AR105" s="24" t="inlineStr">
        <is>
          <t>Los Angeles Dodgers</t>
        </is>
      </c>
      <c r="AS105" s="24" t="inlineStr">
        <is>
          <t>mlb-ari</t>
        </is>
      </c>
      <c r="AT105" s="24" t="inlineStr">
        <is>
          <t>Arizona Diamondbacks</t>
        </is>
      </c>
      <c r="AU105" s="24" t="inlineStr">
        <is>
          <t>Arizona Diamondbacks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6a5c79541b0e50cb9f7318270e63d5ccc65cbd7bc53a019748ff772d49de5075</t>
        </is>
      </c>
      <c r="BB105" s="24" t="inlineStr">
        <is>
          <t>learned_lr</t>
        </is>
      </c>
      <c r="BC105" s="24" t="inlineStr">
        <is>
          <t>mlb-elo-trend-lr-v8</t>
        </is>
      </c>
      <c r="BD105" s="24" t="inlineStr">
        <is>
          <t>6a5c79541b0e50cb9f7318270e63d5ccc65cbd7bc53a019748ff772d49de5075</t>
        </is>
      </c>
      <c r="BE105" s="24" t="inlineStr">
        <is>
          <t>807bfd9a83666e43</t>
        </is>
      </c>
      <c r="BF105" s="24" t="inlineStr">
        <is>
          <t>1</t>
        </is>
      </c>
      <c r="BG105" s="24" t="inlineStr">
        <is>
          <t>mlb-elo-trend-lr-v8</t>
        </is>
      </c>
      <c r="BH105" s="24" t="inlineStr">
        <is>
          <t>2026-08-08T01:00:42.475216Z</t>
        </is>
      </c>
      <c r="BI105" s="24" t="inlineStr">
        <is>
          <t>["same_event","same_team_same_day","same_league_same_day"]</t>
        </is>
      </c>
      <c r="BJ105" s="25" t="n"/>
      <c r="BK105" s="26" t="n">
        <v>-163</v>
      </c>
      <c r="BL105" s="27" t="n">
        <v>1.613497</v>
      </c>
      <c r="BM105" s="28" t="n">
        <v>0.619772</v>
      </c>
      <c r="BN105" s="28" t="n">
        <v>0.616915</v>
      </c>
      <c r="BO105" s="28" t="n"/>
      <c r="BP105" s="25" t="n"/>
      <c r="BQ105" s="27" t="n">
        <v>1.613497</v>
      </c>
      <c r="BR105" s="28" t="n">
        <v>0.62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0.4742141149</t>
        </is>
      </c>
      <c r="CD105" s="24" t="inlineStr">
        <is>
          <t>0.990554</t>
        </is>
      </c>
      <c r="CE105" s="24" t="inlineStr">
        <is>
          <t>1.097</t>
        </is>
      </c>
      <c r="CF105" s="24" t="inlineStr">
        <is>
          <t>1.0</t>
        </is>
      </c>
      <c r="CG105" s="24" t="n"/>
      <c r="CH105" s="24" t="n"/>
      <c r="CI105" s="24" t="n"/>
      <c r="CJ105" s="24" t="inlineStr">
        <is>
          <t>1.63029</t>
        </is>
      </c>
      <c r="CK105" s="24" t="n"/>
      <c r="CL105" s="24" t="inlineStr">
        <is>
          <t>0.13886</t>
        </is>
      </c>
      <c r="CM105" s="24" t="inlineStr">
        <is>
          <t>-1.0479</t>
        </is>
      </c>
      <c r="CN105" s="24" t="n"/>
      <c r="CO105" s="24" t="n"/>
      <c r="CP105" s="24" t="n"/>
      <c r="CQ105" s="24" t="n"/>
      <c r="CR105" s="24" t="inlineStr">
        <is>
          <t>0.527996</t>
        </is>
      </c>
      <c r="CS105" s="24" t="inlineStr">
        <is>
          <t>False</t>
        </is>
      </c>
    </row>
    <row r="106" ht="36" customHeight="1">
      <c r="A106" s="24" t="inlineStr">
        <is>
          <t>69e46b194eb443ea</t>
        </is>
      </c>
      <c r="B106" s="24" t="inlineStr">
        <is>
          <t>2026-08-08T01:00:54.678171Z</t>
        </is>
      </c>
      <c r="C106" s="24" t="inlineStr">
        <is>
          <t>2026-08-07T21:45:00-0400</t>
        </is>
      </c>
      <c r="D106" s="24" t="inlineStr">
        <is>
          <t>401816438</t>
        </is>
      </c>
      <c r="E106" s="24" t="inlineStr">
        <is>
          <t>MLB</t>
        </is>
      </c>
      <c r="F106" s="24" t="inlineStr">
        <is>
          <t>Tampa Bay Rays</t>
        </is>
      </c>
      <c r="G106" s="24" t="inlineStr">
        <is>
          <t>Seattle Mariners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0.556751</v>
      </c>
      <c r="P106" s="28" t="n"/>
      <c r="Q106" s="28" t="n">
        <v>0.03752</v>
      </c>
      <c r="R106" s="26" t="n">
        <v>40</v>
      </c>
      <c r="S106" s="29" t="n">
        <v>1</v>
      </c>
      <c r="T106" s="24" t="inlineStr">
        <is>
          <t>mlb-elo-trend-lr-v8</t>
        </is>
      </c>
      <c r="U106" s="24" t="inlineStr">
        <is>
          <t>settled</t>
        </is>
      </c>
      <c r="V106" s="24" t="inlineStr">
        <is>
          <t>loss</t>
        </is>
      </c>
      <c r="W106" s="26" t="n">
        <v>2</v>
      </c>
      <c r="X106" s="26" t="n">
        <v>1</v>
      </c>
      <c r="Y106" s="25" t="n"/>
      <c r="Z106" s="26" t="n">
        <v>-108</v>
      </c>
      <c r="AA106" s="28" t="n">
        <v>0.52</v>
      </c>
      <c r="AB106" s="28" t="n">
        <v>0.000769</v>
      </c>
      <c r="AC106" s="30" t="n">
        <v>-1</v>
      </c>
      <c r="AD106" s="24" t="inlineStr">
        <is>
          <t>2026-08-08T18:33:09.497487Z</t>
        </is>
      </c>
      <c r="AE106" s="31" t="inlineStr">
        <is>
          <t>Learned LR call at threshold 0.5873; executable ask 0.5200 (aec-mlb-tb-sea-2026-08-07); model edge vs ask +0.0368.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mlb-tb</t>
        </is>
      </c>
      <c r="AQ106" s="24" t="inlineStr">
        <is>
          <t>Tampa Bay Rays</t>
        </is>
      </c>
      <c r="AR106" s="24" t="inlineStr">
        <is>
          <t>Tampa Bay Rays</t>
        </is>
      </c>
      <c r="AS106" s="24" t="inlineStr">
        <is>
          <t>mlb-sea</t>
        </is>
      </c>
      <c r="AT106" s="24" t="inlineStr">
        <is>
          <t>Seattle Mariners</t>
        </is>
      </c>
      <c r="AU106" s="24" t="inlineStr">
        <is>
          <t>Seattle Mariners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6a5c79541b0e50cb9f7318270e63d5ccc65cbd7bc53a019748ff772d49de5075</t>
        </is>
      </c>
      <c r="BB106" s="24" t="inlineStr">
        <is>
          <t>learned_lr</t>
        </is>
      </c>
      <c r="BC106" s="24" t="inlineStr">
        <is>
          <t>mlb-elo-trend-lr-v8</t>
        </is>
      </c>
      <c r="BD106" s="24" t="inlineStr">
        <is>
          <t>6a5c79541b0e50cb9f7318270e63d5ccc65cbd7bc53a019748ff772d49de5075</t>
        </is>
      </c>
      <c r="BE106" s="24" t="inlineStr">
        <is>
          <t>cf9d26fcd493bc83</t>
        </is>
      </c>
      <c r="BF106" s="24" t="inlineStr">
        <is>
          <t>1</t>
        </is>
      </c>
      <c r="BG106" s="24" t="inlineStr">
        <is>
          <t>mlb-elo-trend-lr-v8</t>
        </is>
      </c>
      <c r="BH106" s="24" t="inlineStr">
        <is>
          <t>2026-08-08T01:00:42.968239Z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>
        <v>0.517413</v>
      </c>
      <c r="BO106" s="28" t="n"/>
      <c r="BP106" s="25" t="n"/>
      <c r="BQ106" s="27" t="n">
        <v>1.925926</v>
      </c>
      <c r="BR106" s="28" t="n">
        <v>0.52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0.5166228758</t>
        </is>
      </c>
      <c r="CD106" s="24" t="inlineStr">
        <is>
          <t>-0.75321</t>
        </is>
      </c>
      <c r="CE106" s="24" t="inlineStr">
        <is>
          <t>0.938</t>
        </is>
      </c>
      <c r="CF106" s="24" t="inlineStr">
        <is>
          <t>1.0</t>
        </is>
      </c>
      <c r="CG106" s="24" t="n"/>
      <c r="CH106" s="24" t="n"/>
      <c r="CI106" s="24" t="n"/>
      <c r="CJ106" s="24" t="inlineStr">
        <is>
          <t>-1.077092</t>
        </is>
      </c>
      <c r="CK106" s="24" t="n"/>
      <c r="CL106" s="24" t="inlineStr">
        <is>
          <t>0.31629</t>
        </is>
      </c>
      <c r="CM106" s="24" t="inlineStr">
        <is>
          <t>-0.9125</t>
        </is>
      </c>
      <c r="CN106" s="24" t="n"/>
      <c r="CO106" s="24" t="n"/>
      <c r="CP106" s="24" t="n"/>
      <c r="CQ106" s="24" t="n"/>
      <c r="CR106" s="24" t="inlineStr">
        <is>
          <t>0.556751</t>
        </is>
      </c>
      <c r="CS106" s="24" t="inlineStr">
        <is>
          <t>True</t>
        </is>
      </c>
    </row>
    <row r="107" ht="36" customHeight="1">
      <c r="A107" s="24" t="inlineStr">
        <is>
          <t>4c35e7eb4a314683</t>
        </is>
      </c>
      <c r="B107" s="24" t="inlineStr">
        <is>
          <t>2026-08-08T01:00:54.678171Z</t>
        </is>
      </c>
      <c r="C107" s="24" t="inlineStr">
        <is>
          <t>2026-08-07T22:15:00-0400</t>
        </is>
      </c>
      <c r="D107" s="24" t="inlineStr">
        <is>
          <t>401816435</t>
        </is>
      </c>
      <c r="E107" s="24" t="inlineStr">
        <is>
          <t>MLB</t>
        </is>
      </c>
      <c r="F107" s="24" t="inlineStr">
        <is>
          <t>Detroit Tigers</t>
        </is>
      </c>
      <c r="G107" s="24" t="inlineStr">
        <is>
          <t>San Francisco Giants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-133</v>
      </c>
      <c r="M107" s="27" t="n">
        <v>1.75188</v>
      </c>
      <c r="N107" s="28" t="n">
        <v>0.570815</v>
      </c>
      <c r="O107" s="28" t="n">
        <v>0.508057</v>
      </c>
      <c r="P107" s="28" t="n"/>
      <c r="Q107" s="28" t="n">
        <v>-0.06275799999999999</v>
      </c>
      <c r="R107" s="26" t="n">
        <v>0</v>
      </c>
      <c r="S107" s="29" t="n">
        <v>1</v>
      </c>
      <c r="T107" s="24" t="inlineStr">
        <is>
          <t>mlb-elo-trend-lr-v8</t>
        </is>
      </c>
      <c r="U107" s="24" t="inlineStr">
        <is>
          <t>settled</t>
        </is>
      </c>
      <c r="V107" s="24" t="inlineStr">
        <is>
          <t>loss</t>
        </is>
      </c>
      <c r="W107" s="26" t="n">
        <v>2</v>
      </c>
      <c r="X107" s="26" t="n">
        <v>5</v>
      </c>
      <c r="Y107" s="25" t="n"/>
      <c r="Z107" s="26" t="n">
        <v>-133</v>
      </c>
      <c r="AA107" s="28" t="n">
        <v>0.57</v>
      </c>
      <c r="AB107" s="28" t="n">
        <v>-0.000815</v>
      </c>
      <c r="AC107" s="30" t="n">
        <v>-1</v>
      </c>
      <c r="AD107" s="24" t="inlineStr">
        <is>
          <t>2026-08-08T18:33:10.678484Z</t>
        </is>
      </c>
      <c r="AE107" s="31" t="inlineStr">
        <is>
          <t>Learned LR call at threshold 0.5873; executable ask 0.5700 (aec-mlb-det-sf-2026-08-07); model edge vs ask -0.0619. NOTE: NO_CALL_STARTER_ERA_GAP_INSUFFICIENT_HISTORY unavailable for this game — defaulted to neutral, other features used normally.</t>
        </is>
      </c>
      <c r="AF107" s="31" t="inlineStr">
        <is>
          <t>Learned model; shadow-qualified via operator override.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NO_CALL_WINNER_OVERVALUED</t>
        </is>
      </c>
      <c r="AP107" s="24" t="inlineStr">
        <is>
          <t>mlb-det</t>
        </is>
      </c>
      <c r="AQ107" s="24" t="inlineStr">
        <is>
          <t>Detroit Tigers</t>
        </is>
      </c>
      <c r="AR107" s="24" t="inlineStr">
        <is>
          <t>Detroit Tigers</t>
        </is>
      </c>
      <c r="AS107" s="24" t="inlineStr">
        <is>
          <t>mlb-sf</t>
        </is>
      </c>
      <c r="AT107" s="24" t="inlineStr">
        <is>
          <t>San Francisco Giants</t>
        </is>
      </c>
      <c r="AU107" s="24" t="inlineStr">
        <is>
          <t>San Francisco Giants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6a5c79541b0e50cb9f7318270e63d5ccc65cbd7bc53a019748ff772d49de5075</t>
        </is>
      </c>
      <c r="BB107" s="24" t="inlineStr">
        <is>
          <t>learned_lr</t>
        </is>
      </c>
      <c r="BC107" s="24" t="inlineStr">
        <is>
          <t>mlb-elo-trend-lr-v8</t>
        </is>
      </c>
      <c r="BD107" s="24" t="inlineStr">
        <is>
          <t>6a5c79541b0e50cb9f7318270e63d5ccc65cbd7bc53a019748ff772d49de5075</t>
        </is>
      </c>
      <c r="BE107" s="24" t="inlineStr">
        <is>
          <t>ea91bad86b130d41</t>
        </is>
      </c>
      <c r="BF107" s="24" t="inlineStr">
        <is>
          <t>1</t>
        </is>
      </c>
      <c r="BG107" s="24" t="inlineStr">
        <is>
          <t>mlb-elo-trend-lr-v8</t>
        </is>
      </c>
      <c r="BH107" s="24" t="inlineStr">
        <is>
          <t>2026-08-08T01:00:43.585489Z</t>
        </is>
      </c>
      <c r="BI107" s="24" t="inlineStr">
        <is>
          <t>["same_event","same_team_same_day","same_league_same_day"]</t>
        </is>
      </c>
      <c r="BJ107" s="25" t="n"/>
      <c r="BK107" s="26" t="n">
        <v>-133</v>
      </c>
      <c r="BL107" s="27" t="n">
        <v>1.75188</v>
      </c>
      <c r="BM107" s="28" t="n">
        <v>0.570815</v>
      </c>
      <c r="BN107" s="28" t="n">
        <v>0.567164</v>
      </c>
      <c r="BO107" s="28" t="n"/>
      <c r="BP107" s="25" t="n"/>
      <c r="BQ107" s="27" t="n">
        <v>1.75188</v>
      </c>
      <c r="BR107" s="28" t="n">
        <v>0.57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0.4512491472</t>
        </is>
      </c>
      <c r="CD107" s="24" t="inlineStr">
        <is>
          <t>-2.888108</t>
        </is>
      </c>
      <c r="CE107" s="24" t="inlineStr">
        <is>
          <t>0.982</t>
        </is>
      </c>
      <c r="CF107" s="24" t="inlineStr">
        <is>
          <t>0.9945</t>
        </is>
      </c>
      <c r="CG107" s="24" t="n"/>
      <c r="CH107" s="24" t="n"/>
      <c r="CI107" s="24" t="inlineStr">
        <is>
          <t>NO_CALL_STARTER_ERA_GAP_INSUFFICIENT_HISTORY</t>
        </is>
      </c>
      <c r="CJ107" s="24" t="inlineStr">
        <is>
          <t>-1.325674</t>
        </is>
      </c>
      <c r="CK107" s="24" t="n"/>
      <c r="CL107" s="24" t="inlineStr">
        <is>
          <t>-0.072995</t>
        </is>
      </c>
      <c r="CM107" s="24" t="inlineStr">
        <is>
          <t>0.0</t>
        </is>
      </c>
      <c r="CN107" s="24" t="n"/>
      <c r="CO107" s="24" t="n"/>
      <c r="CP107" s="24" t="n"/>
      <c r="CQ107" s="24" t="n"/>
      <c r="CR107" s="24" t="inlineStr">
        <is>
          <t>0.508057</t>
        </is>
      </c>
      <c r="CS107" s="24" t="inlineStr">
        <is>
          <t>False</t>
        </is>
      </c>
    </row>
    <row r="108" ht="36" customHeight="1">
      <c r="A108" s="24" t="inlineStr">
        <is>
          <t>f607563057c94742</t>
        </is>
      </c>
      <c r="B108" s="24" t="inlineStr">
        <is>
          <t>2026-08-08T01:01:06.197155Z</t>
        </is>
      </c>
      <c r="C108" s="24" t="inlineStr">
        <is>
          <t>2026-08-08T01:40Z</t>
        </is>
      </c>
      <c r="D108" s="24" t="inlineStr">
        <is>
          <t>401816436</t>
        </is>
      </c>
      <c r="E108" s="24" t="inlineStr">
        <is>
          <t>MLB</t>
        </is>
      </c>
      <c r="F108" s="24" t="inlineStr">
        <is>
          <t>Houston Astros</t>
        </is>
      </c>
      <c r="G108" s="24" t="inlineStr">
        <is>
          <t>San Diego Padres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-174</v>
      </c>
      <c r="M108" s="27" t="n">
        <v>1.574713</v>
      </c>
      <c r="N108" s="28" t="n">
        <v>0.635036</v>
      </c>
      <c r="O108" s="28" t="n">
        <v>0.675461</v>
      </c>
      <c r="P108" s="28" t="n">
        <v>0.05172</v>
      </c>
      <c r="Q108" s="28" t="n">
        <v>0.040425</v>
      </c>
      <c r="R108" s="26" t="n">
        <v>41</v>
      </c>
      <c r="S108" s="29" t="n">
        <v>1.75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loss</t>
        </is>
      </c>
      <c r="W108" s="26" t="n">
        <v>6</v>
      </c>
      <c r="X108" s="26" t="n">
        <v>3</v>
      </c>
      <c r="Y108" s="25" t="n">
        <v>1.5</v>
      </c>
      <c r="Z108" s="26" t="n">
        <v>-174</v>
      </c>
      <c r="AA108" s="28" t="n">
        <v>0.635</v>
      </c>
      <c r="AB108" s="28" t="n">
        <v>-3.6e-05</v>
      </c>
      <c r="AC108" s="30" t="n">
        <v>-1.75</v>
      </c>
      <c r="AD108" s="24" t="inlineStr">
        <is>
          <t>2026-08-08T18:33:11.899586Z</t>
        </is>
      </c>
      <c r="AE108" s="31" t="inlineStr">
        <is>
          <t>Measured Edge Margin: Trend Engine projected 4.04-5.04; raw selected-side p=0.7575, calibrated p=0.6755.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NO_CALL_WINNER_OVERVALUED</t>
        </is>
      </c>
      <c r="AP108" s="24" t="inlineStr">
        <is>
          <t>mlb-hou</t>
        </is>
      </c>
      <c r="AQ108" s="24" t="inlineStr">
        <is>
          <t>Houston Astros</t>
        </is>
      </c>
      <c r="AR108" s="24" t="inlineStr">
        <is>
          <t>Houston Astros</t>
        </is>
      </c>
      <c r="AS108" s="24" t="inlineStr">
        <is>
          <t>mlb-sd</t>
        </is>
      </c>
      <c r="AT108" s="24" t="inlineStr">
        <is>
          <t>San Diego Padres</t>
        </is>
      </c>
      <c r="AU108" s="24" t="inlineStr">
        <is>
          <t>San Diego Padres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2026-08-08T01:01:06.197155Z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-174</v>
      </c>
      <c r="BL108" s="27" t="n">
        <v>1.574713</v>
      </c>
      <c r="BM108" s="28" t="n">
        <v>0.635036</v>
      </c>
      <c r="BN108" s="28" t="n">
        <v>0.631841</v>
      </c>
      <c r="BO108" s="28" t="n"/>
      <c r="BP108" s="25" t="n"/>
      <c r="BQ108" s="27" t="n">
        <v>1.574713</v>
      </c>
      <c r="BR108" s="28" t="n">
        <v>0.635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7b8ff0f15404418a</t>
        </is>
      </c>
      <c r="B109" s="24" t="inlineStr">
        <is>
          <t>2026-08-08T01:01:06.197155Z</t>
        </is>
      </c>
      <c r="C109" s="24" t="inlineStr">
        <is>
          <t>2026-08-08T01:40Z</t>
        </is>
      </c>
      <c r="D109" s="24" t="inlineStr">
        <is>
          <t>401816436</t>
        </is>
      </c>
      <c r="E109" s="24" t="inlineStr">
        <is>
          <t>MLB</t>
        </is>
      </c>
      <c r="F109" s="24" t="inlineStr">
        <is>
          <t>Houston Astros</t>
        </is>
      </c>
      <c r="G109" s="24" t="inlineStr">
        <is>
          <t>San Diego Padres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-104</v>
      </c>
      <c r="M109" s="27" t="n">
        <v>1.961538</v>
      </c>
      <c r="N109" s="28" t="n">
        <v>0.509804</v>
      </c>
      <c r="O109" s="28" t="n">
        <v>0.511861</v>
      </c>
      <c r="P109" s="28" t="n">
        <v>0.05172</v>
      </c>
      <c r="Q109" s="28" t="n">
        <v>0.002057</v>
      </c>
      <c r="R109" s="26" t="n">
        <v>21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win</t>
        </is>
      </c>
      <c r="W109" s="26" t="n">
        <v>6</v>
      </c>
      <c r="X109" s="26" t="n">
        <v>3</v>
      </c>
      <c r="Y109" s="25" t="n">
        <v>8.5</v>
      </c>
      <c r="Z109" s="26" t="n">
        <v>-104</v>
      </c>
      <c r="AA109" s="28" t="n">
        <v>0.51</v>
      </c>
      <c r="AB109" s="28" t="n">
        <v>0.000196</v>
      </c>
      <c r="AC109" s="30" t="n">
        <v>0.9615</v>
      </c>
      <c r="AD109" s="24" t="inlineStr">
        <is>
          <t>2026-08-08T18:33:13.069619Z</t>
        </is>
      </c>
      <c r="AE109" s="31" t="inlineStr">
        <is>
          <t>Measured Edge Totals: Trend Engine projected 4.04-5.04; raw selected-side p=0.5244, calibrated p=0.5119.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mlb-hou</t>
        </is>
      </c>
      <c r="AQ109" s="24" t="inlineStr">
        <is>
          <t>Houston Astros</t>
        </is>
      </c>
      <c r="AR109" s="24" t="inlineStr">
        <is>
          <t>Houston Astros</t>
        </is>
      </c>
      <c r="AS109" s="24" t="inlineStr">
        <is>
          <t>mlb-sd</t>
        </is>
      </c>
      <c r="AT109" s="24" t="inlineStr">
        <is>
          <t>San Diego Padres</t>
        </is>
      </c>
      <c r="AU109" s="24" t="inlineStr">
        <is>
          <t>San Diego Padres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2026-08-08T01:01:06.197155Z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-104</v>
      </c>
      <c r="BL109" s="27" t="n">
        <v>1.961538</v>
      </c>
      <c r="BM109" s="28" t="n">
        <v>0.509804</v>
      </c>
      <c r="BN109" s="28" t="n">
        <v>0.507463</v>
      </c>
      <c r="BO109" s="28" t="n"/>
      <c r="BP109" s="25" t="n"/>
      <c r="BQ109" s="27" t="n">
        <v>1.961538</v>
      </c>
      <c r="BR109" s="28" t="n">
        <v>0.51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55a17fb017874abe</t>
        </is>
      </c>
      <c r="B110" s="24" t="inlineStr">
        <is>
          <t>2026-08-08T01:01:06.197155Z</t>
        </is>
      </c>
      <c r="C110" s="24" t="inlineStr">
        <is>
          <t>2026-08-08T01:40Z</t>
        </is>
      </c>
      <c r="D110" s="24" t="inlineStr">
        <is>
          <t>401816437</t>
        </is>
      </c>
      <c r="E110" s="24" t="inlineStr">
        <is>
          <t>MLB</t>
        </is>
      </c>
      <c r="F110" s="24" t="inlineStr">
        <is>
          <t>Los Angeles Dodgers</t>
        </is>
      </c>
      <c r="G110" s="24" t="inlineStr">
        <is>
          <t>Arizona Diamondbacks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0.631578</v>
      </c>
      <c r="P110" s="28" t="n">
        <v>0.042131</v>
      </c>
      <c r="Q110" s="28" t="n">
        <v>0.131578</v>
      </c>
      <c r="R110" s="26" t="n">
        <v>92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100</v>
      </c>
      <c r="AA110" s="28" t="n">
        <v>0.5</v>
      </c>
      <c r="AB110" s="28" t="n">
        <v>0</v>
      </c>
      <c r="AC110" s="30" t="n">
        <v>1.5</v>
      </c>
      <c r="AD110" s="24" t="inlineStr">
        <is>
          <t>2026-08-08T18:33:14.306910Z</t>
        </is>
      </c>
      <c r="AE110" s="31" t="inlineStr">
        <is>
          <t>Measured Edge Margin: Trend Engine projected 4.62-4.87; raw selected-side p=0.6931, calibrated p=0.6316.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mlb-lad</t>
        </is>
      </c>
      <c r="AQ110" s="24" t="inlineStr">
        <is>
          <t>Los Angeles Dodgers</t>
        </is>
      </c>
      <c r="AR110" s="24" t="inlineStr">
        <is>
          <t>Los Angeles Dodgers</t>
        </is>
      </c>
      <c r="AS110" s="24" t="inlineStr">
        <is>
          <t>mlb-ari</t>
        </is>
      </c>
      <c r="AT110" s="24" t="inlineStr">
        <is>
          <t>Arizona Diamondbacks</t>
        </is>
      </c>
      <c r="AU110" s="24" t="inlineStr">
        <is>
          <t>Arizona Diamondbacks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2026-08-08T01:01:06.197155Z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6a8af204e03b44b7</t>
        </is>
      </c>
      <c r="B111" s="24" t="inlineStr">
        <is>
          <t>2026-08-08T01:01:06.197155Z</t>
        </is>
      </c>
      <c r="C111" s="24" t="inlineStr">
        <is>
          <t>2026-08-08T01:40Z</t>
        </is>
      </c>
      <c r="D111" s="24" t="inlineStr">
        <is>
          <t>401816437</t>
        </is>
      </c>
      <c r="E111" s="24" t="inlineStr">
        <is>
          <t>MLB</t>
        </is>
      </c>
      <c r="F111" s="24" t="inlineStr">
        <is>
          <t>Los Angeles Dodgers</t>
        </is>
      </c>
      <c r="G111" s="24" t="inlineStr">
        <is>
          <t>Arizona Diamondbacks</t>
        </is>
      </c>
      <c r="H111" s="24" t="inlineStr">
        <is>
          <t>total</t>
        </is>
      </c>
      <c r="I111" s="24" t="inlineStr">
        <is>
          <t>over</t>
        </is>
      </c>
      <c r="J111" s="25" t="n">
        <v>8.5</v>
      </c>
      <c r="K111" s="24" t="inlineStr">
        <is>
          <t>polymarket_us</t>
        </is>
      </c>
      <c r="L111" s="26" t="n">
        <v>-127</v>
      </c>
      <c r="M111" s="27" t="n">
        <v>1.787402</v>
      </c>
      <c r="N111" s="28" t="n">
        <v>0.5594710000000001</v>
      </c>
      <c r="O111" s="28" t="n">
        <v>0.521325</v>
      </c>
      <c r="P111" s="28" t="n">
        <v>0.042131</v>
      </c>
      <c r="Q111" s="28" t="n">
        <v>-0.038146</v>
      </c>
      <c r="R111" s="26" t="n">
        <v>7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loss</t>
        </is>
      </c>
      <c r="W111" s="26" t="n">
        <v>3</v>
      </c>
      <c r="X111" s="26" t="n">
        <v>4</v>
      </c>
      <c r="Y111" s="25" t="n">
        <v>8.5</v>
      </c>
      <c r="Z111" s="26" t="n">
        <v>-127</v>
      </c>
      <c r="AA111" s="28" t="n">
        <v>0.5600000000000001</v>
      </c>
      <c r="AB111" s="28" t="n">
        <v>0.000529</v>
      </c>
      <c r="AC111" s="30" t="n">
        <v>-1</v>
      </c>
      <c r="AD111" s="24" t="inlineStr">
        <is>
          <t>2026-08-08T18:33:15.528852Z</t>
        </is>
      </c>
      <c r="AE111" s="31" t="inlineStr">
        <is>
          <t>Measured Edge Totals: Trend Engine projected 4.62-4.87; raw selected-side p=0.5625, calibrated p=0.5213.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review_required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mlb-lad</t>
        </is>
      </c>
      <c r="AQ111" s="24" t="inlineStr">
        <is>
          <t>Los Angeles Dodgers</t>
        </is>
      </c>
      <c r="AR111" s="24" t="inlineStr">
        <is>
          <t>Los Angeles Dodgers</t>
        </is>
      </c>
      <c r="AS111" s="24" t="inlineStr">
        <is>
          <t>mlb-ari</t>
        </is>
      </c>
      <c r="AT111" s="24" t="inlineStr">
        <is>
          <t>Arizona Diamondbacks</t>
        </is>
      </c>
      <c r="AU111" s="24" t="inlineStr">
        <is>
          <t>Arizona Diamondbacks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2026-08-08T01:01:06.197155Z</t>
        </is>
      </c>
      <c r="BI111" s="24" t="inlineStr">
        <is>
          <t>["same_event","same_team_same_day","same_league_same_day"]</t>
        </is>
      </c>
      <c r="BJ111" s="25" t="n">
        <v>8.5</v>
      </c>
      <c r="BK111" s="26" t="n">
        <v>-127</v>
      </c>
      <c r="BL111" s="27" t="n">
        <v>1.787402</v>
      </c>
      <c r="BM111" s="28" t="n">
        <v>0.5594710000000001</v>
      </c>
      <c r="BN111" s="28" t="n">
        <v>0.557214</v>
      </c>
      <c r="BO111" s="28" t="n"/>
      <c r="BP111" s="25" t="n"/>
      <c r="BQ111" s="27" t="n">
        <v>1.787402</v>
      </c>
      <c r="BR111" s="28" t="n">
        <v>0.5600000000000001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64c9541dfe414cf0</t>
        </is>
      </c>
      <c r="B112" s="24" t="inlineStr">
        <is>
          <t>2026-08-08T01:01:06.197155Z</t>
        </is>
      </c>
      <c r="C112" s="24" t="inlineStr">
        <is>
          <t>2026-08-08T01:45Z</t>
        </is>
      </c>
      <c r="D112" s="24" t="inlineStr">
        <is>
          <t>401816438</t>
        </is>
      </c>
      <c r="E112" s="24" t="inlineStr">
        <is>
          <t>MLB</t>
        </is>
      </c>
      <c r="F112" s="24" t="inlineStr">
        <is>
          <t>Tampa Bay Rays</t>
        </is>
      </c>
      <c r="G112" s="24" t="inlineStr">
        <is>
          <t>Seattle Mariners</t>
        </is>
      </c>
      <c r="H112" s="24" t="inlineStr">
        <is>
          <t>spread</t>
        </is>
      </c>
      <c r="I112" s="24" t="inlineStr">
        <is>
          <t>away</t>
        </is>
      </c>
      <c r="J112" s="25" t="n">
        <v>-1.5</v>
      </c>
      <c r="K112" s="24" t="inlineStr">
        <is>
          <t>polymarket_us</t>
        </is>
      </c>
      <c r="L112" s="26" t="n">
        <v>194</v>
      </c>
      <c r="M112" s="27" t="n">
        <v>2.94</v>
      </c>
      <c r="N112" s="28" t="n">
        <v>0.340136</v>
      </c>
      <c r="O112" s="28" t="n">
        <v>0.386445</v>
      </c>
      <c r="P112" s="28" t="n">
        <v>0.042131</v>
      </c>
      <c r="Q112" s="28" t="n">
        <v>0.046309</v>
      </c>
      <c r="R112" s="26" t="n">
        <v>49</v>
      </c>
      <c r="S112" s="29" t="n">
        <v>1.5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1</v>
      </c>
      <c r="Y112" s="25" t="n">
        <v>-1.5</v>
      </c>
      <c r="Z112" s="26" t="n">
        <v>194</v>
      </c>
      <c r="AA112" s="28" t="n">
        <v>0.34</v>
      </c>
      <c r="AB112" s="28" t="n">
        <v>-0.000136</v>
      </c>
      <c r="AC112" s="30" t="n">
        <v>-1.5</v>
      </c>
      <c r="AD112" s="24" t="inlineStr">
        <is>
          <t>2026-08-08T18:33:16.734796Z</t>
        </is>
      </c>
      <c r="AE112" s="31" t="inlineStr">
        <is>
          <t>Measured Edge Margin: Trend Engine projected 4.35-4.28; raw selected-side p=0.3333, calibrated p=0.3864.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mlb-tb</t>
        </is>
      </c>
      <c r="AQ112" s="24" t="inlineStr">
        <is>
          <t>Tampa Bay Rays</t>
        </is>
      </c>
      <c r="AR112" s="24" t="inlineStr">
        <is>
          <t>Tampa Bay Rays</t>
        </is>
      </c>
      <c r="AS112" s="24" t="inlineStr">
        <is>
          <t>mlb-sea</t>
        </is>
      </c>
      <c r="AT112" s="24" t="inlineStr">
        <is>
          <t>Seattle Mariners</t>
        </is>
      </c>
      <c r="AU112" s="24" t="inlineStr">
        <is>
          <t>Seattle Mariners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2026-08-08T01:01:06.197155Z</t>
        </is>
      </c>
      <c r="BI112" s="24" t="inlineStr">
        <is>
          <t>["same_event","same_team_same_day","same_league_same_day"]</t>
        </is>
      </c>
      <c r="BJ112" s="25" t="n">
        <v>-1.5</v>
      </c>
      <c r="BK112" s="26" t="n">
        <v>194</v>
      </c>
      <c r="BL112" s="27" t="n">
        <v>2.94</v>
      </c>
      <c r="BM112" s="28" t="n">
        <v>0.340136</v>
      </c>
      <c r="BN112" s="28" t="n">
        <v>0.338308</v>
      </c>
      <c r="BO112" s="28" t="n"/>
      <c r="BP112" s="25" t="n"/>
      <c r="BQ112" s="27" t="n">
        <v>2.94</v>
      </c>
      <c r="BR112" s="28" t="n">
        <v>0.34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</row>
    <row r="113" ht="36" customHeight="1">
      <c r="A113" s="24" t="inlineStr">
        <is>
          <t>6bc423a2b8234040</t>
        </is>
      </c>
      <c r="B113" s="24" t="inlineStr">
        <is>
          <t>2026-08-08T01:01:06.197155Z</t>
        </is>
      </c>
      <c r="C113" s="24" t="inlineStr">
        <is>
          <t>2026-08-08T01:45Z</t>
        </is>
      </c>
      <c r="D113" s="24" t="inlineStr">
        <is>
          <t>401816438</t>
        </is>
      </c>
      <c r="E113" s="24" t="inlineStr">
        <is>
          <t>MLB</t>
        </is>
      </c>
      <c r="F113" s="24" t="inlineStr">
        <is>
          <t>Tampa Bay Rays</t>
        </is>
      </c>
      <c r="G113" s="24" t="inlineStr">
        <is>
          <t>Seattle Mariners</t>
        </is>
      </c>
      <c r="H113" s="24" t="inlineStr">
        <is>
          <t>total</t>
        </is>
      </c>
      <c r="I113" s="24" t="inlineStr">
        <is>
          <t>over</t>
        </is>
      </c>
      <c r="J113" s="25" t="n">
        <v>6.5</v>
      </c>
      <c r="K113" s="24" t="inlineStr">
        <is>
          <t>polymarket_us</t>
        </is>
      </c>
      <c r="L113" s="26" t="n">
        <v>-115</v>
      </c>
      <c r="M113" s="27" t="n">
        <v>1.869565</v>
      </c>
      <c r="N113" s="28" t="n">
        <v>0.534884</v>
      </c>
      <c r="O113" s="28" t="n">
        <v>0.551096</v>
      </c>
      <c r="P113" s="28" t="n">
        <v>0.042131</v>
      </c>
      <c r="Q113" s="28" t="n">
        <v>0.016212</v>
      </c>
      <c r="R113" s="26" t="n">
        <v>34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2</v>
      </c>
      <c r="X113" s="26" t="n">
        <v>1</v>
      </c>
      <c r="Y113" s="25" t="n">
        <v>6.5</v>
      </c>
      <c r="Z113" s="26" t="n">
        <v>-115</v>
      </c>
      <c r="AA113" s="28" t="n">
        <v>0.535</v>
      </c>
      <c r="AB113" s="28" t="n">
        <v>0.000116</v>
      </c>
      <c r="AC113" s="30" t="n">
        <v>-1</v>
      </c>
      <c r="AD113" s="24" t="inlineStr">
        <is>
          <t>2026-08-08T18:33:17.913785Z</t>
        </is>
      </c>
      <c r="AE113" s="31" t="inlineStr">
        <is>
          <t>Measured Edge Totals: Trend Engine projected 4.35-4.28; raw selected-side p=0.6824, calibrated p=0.5511.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mlb-tb</t>
        </is>
      </c>
      <c r="AQ113" s="24" t="inlineStr">
        <is>
          <t>Tampa Bay Rays</t>
        </is>
      </c>
      <c r="AR113" s="24" t="inlineStr">
        <is>
          <t>Tampa Bay Rays</t>
        </is>
      </c>
      <c r="AS113" s="24" t="inlineStr">
        <is>
          <t>mlb-sea</t>
        </is>
      </c>
      <c r="AT113" s="24" t="inlineStr">
        <is>
          <t>Seattle Mariners</t>
        </is>
      </c>
      <c r="AU113" s="24" t="inlineStr">
        <is>
          <t>Seattle Mariners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2026-08-08T01:01:06.197155Z</t>
        </is>
      </c>
      <c r="BI113" s="24" t="inlineStr">
        <is>
          <t>["same_event","same_team_same_day","same_league_same_day"]</t>
        </is>
      </c>
      <c r="BJ113" s="25" t="n">
        <v>6.5</v>
      </c>
      <c r="BK113" s="26" t="n">
        <v>-115</v>
      </c>
      <c r="BL113" s="27" t="n">
        <v>1.869565</v>
      </c>
      <c r="BM113" s="28" t="n">
        <v>0.534884</v>
      </c>
      <c r="BN113" s="28" t="n">
        <v>0.532338</v>
      </c>
      <c r="BO113" s="28" t="n"/>
      <c r="BP113" s="25" t="n"/>
      <c r="BQ113" s="27" t="n">
        <v>1.869565</v>
      </c>
      <c r="BR113" s="28" t="n">
        <v>0.535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da33d3d3a5da4682</t>
        </is>
      </c>
      <c r="B114" s="24" t="inlineStr">
        <is>
          <t>2026-08-08T01:01:06.197155Z</t>
        </is>
      </c>
      <c r="C114" s="24" t="inlineStr">
        <is>
          <t>2026-08-08T02:15Z</t>
        </is>
      </c>
      <c r="D114" s="24" t="inlineStr">
        <is>
          <t>401816435</t>
        </is>
      </c>
      <c r="E114" s="24" t="inlineStr">
        <is>
          <t>MLB</t>
        </is>
      </c>
      <c r="F114" s="24" t="inlineStr">
        <is>
          <t>Detroit Tigers</t>
        </is>
      </c>
      <c r="G114" s="24" t="inlineStr">
        <is>
          <t>San Francisco Giants</t>
        </is>
      </c>
      <c r="H114" s="24" t="inlineStr">
        <is>
          <t>spread</t>
        </is>
      </c>
      <c r="I114" s="24" t="inlineStr">
        <is>
          <t>away</t>
        </is>
      </c>
      <c r="J114" s="25" t="n">
        <v>-1.5</v>
      </c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0.389715</v>
      </c>
      <c r="P114" s="28" t="n">
        <v>0.042131</v>
      </c>
      <c r="Q114" s="28" t="n">
        <v>-0.050814</v>
      </c>
      <c r="R114" s="26" t="n">
        <v>1</v>
      </c>
      <c r="S114" s="29" t="n">
        <v>1.5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5</v>
      </c>
      <c r="Y114" s="25" t="n">
        <v>-1.5</v>
      </c>
      <c r="Z114" s="26" t="n">
        <v>127</v>
      </c>
      <c r="AA114" s="28" t="n">
        <v>0.44</v>
      </c>
      <c r="AB114" s="28" t="n">
        <v>-0.000529</v>
      </c>
      <c r="AC114" s="30" t="n">
        <v>-1.5</v>
      </c>
      <c r="AD114" s="24" t="inlineStr">
        <is>
          <t>2026-08-08T18:33:19.136145Z</t>
        </is>
      </c>
      <c r="AE114" s="31" t="inlineStr">
        <is>
          <t>Measured Edge Margin: Trend Engine projected 4.54-4.39; raw selected-side p=0.3382, calibrated p=0.3897.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NO_CALL_WINNER_OVERVALUED</t>
        </is>
      </c>
      <c r="AP114" s="24" t="inlineStr">
        <is>
          <t>mlb-det</t>
        </is>
      </c>
      <c r="AQ114" s="24" t="inlineStr">
        <is>
          <t>Detroit Tigers</t>
        </is>
      </c>
      <c r="AR114" s="24" t="inlineStr">
        <is>
          <t>Detroit Tigers</t>
        </is>
      </c>
      <c r="AS114" s="24" t="inlineStr">
        <is>
          <t>mlb-sf</t>
        </is>
      </c>
      <c r="AT114" s="24" t="inlineStr">
        <is>
          <t>San Francisco Giants</t>
        </is>
      </c>
      <c r="AU114" s="24" t="inlineStr">
        <is>
          <t>San Francisco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2026-08-08T01:01:06.197155Z</t>
        </is>
      </c>
      <c r="BI114" s="24" t="inlineStr">
        <is>
          <t>["same_event","same_team_same_day","same_league_same_day"]</t>
        </is>
      </c>
      <c r="BJ114" s="25" t="n">
        <v>-1.5</v>
      </c>
      <c r="BK114" s="26" t="n">
        <v>127</v>
      </c>
      <c r="BL114" s="27" t="n">
        <v>2.27</v>
      </c>
      <c r="BM114" s="28" t="n">
        <v>0.440529</v>
      </c>
      <c r="BN114" s="28" t="n">
        <v>0.437811</v>
      </c>
      <c r="BO114" s="28" t="n"/>
      <c r="BP114" s="25" t="n"/>
      <c r="BQ114" s="27" t="n">
        <v>2.27</v>
      </c>
      <c r="BR114" s="28" t="n">
        <v>0.44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1227c56b01c346af</t>
        </is>
      </c>
      <c r="B115" s="24" t="inlineStr">
        <is>
          <t>2026-08-08T01:01:06.197155Z</t>
        </is>
      </c>
      <c r="C115" s="24" t="inlineStr">
        <is>
          <t>2026-08-08T02:15Z</t>
        </is>
      </c>
      <c r="D115" s="24" t="inlineStr">
        <is>
          <t>401816435</t>
        </is>
      </c>
      <c r="E115" s="24" t="inlineStr">
        <is>
          <t>MLB</t>
        </is>
      </c>
      <c r="F115" s="24" t="inlineStr">
        <is>
          <t>Detroit Tigers</t>
        </is>
      </c>
      <c r="G115" s="24" t="inlineStr">
        <is>
          <t>San Francisco Giants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104</v>
      </c>
      <c r="M115" s="27" t="n">
        <v>2.04</v>
      </c>
      <c r="N115" s="28" t="n">
        <v>0.490196</v>
      </c>
      <c r="O115" s="28" t="n">
        <v>0.5078</v>
      </c>
      <c r="P115" s="28" t="n">
        <v>0.042131</v>
      </c>
      <c r="Q115" s="28" t="n">
        <v>0.017604</v>
      </c>
      <c r="R115" s="26" t="n">
        <v>36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loss</t>
        </is>
      </c>
      <c r="W115" s="26" t="n">
        <v>2</v>
      </c>
      <c r="X115" s="26" t="n">
        <v>5</v>
      </c>
      <c r="Y115" s="25" t="n">
        <v>8.5</v>
      </c>
      <c r="Z115" s="26" t="n">
        <v>104</v>
      </c>
      <c r="AA115" s="28" t="n">
        <v>0.49</v>
      </c>
      <c r="AB115" s="28" t="n">
        <v>-0.000196</v>
      </c>
      <c r="AC115" s="30" t="n">
        <v>-1</v>
      </c>
      <c r="AD115" s="24" t="inlineStr">
        <is>
          <t>2026-08-08T18:33:20.316663Z</t>
        </is>
      </c>
      <c r="AE115" s="31" t="inlineStr">
        <is>
          <t>Measured Edge Totals: Trend Engine projected 4.54-4.39; raw selected-side p=0.5081, calibrated p=0.5078.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NO_CALL_WINNER_OVERVALUED</t>
        </is>
      </c>
      <c r="AP115" s="24" t="inlineStr">
        <is>
          <t>mlb-det</t>
        </is>
      </c>
      <c r="AQ115" s="24" t="inlineStr">
        <is>
          <t>Detroit Tigers</t>
        </is>
      </c>
      <c r="AR115" s="24" t="inlineStr">
        <is>
          <t>Detroit Tigers</t>
        </is>
      </c>
      <c r="AS115" s="24" t="inlineStr">
        <is>
          <t>mlb-sf</t>
        </is>
      </c>
      <c r="AT115" s="24" t="inlineStr">
        <is>
          <t>San Francisco Giants</t>
        </is>
      </c>
      <c r="AU115" s="24" t="inlineStr">
        <is>
          <t>San Francisco Giants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2026-08-08T01:01:06.197155Z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104</v>
      </c>
      <c r="BL115" s="27" t="n">
        <v>2.04</v>
      </c>
      <c r="BM115" s="28" t="n">
        <v>0.490196</v>
      </c>
      <c r="BN115" s="28" t="n">
        <v>0.485149</v>
      </c>
      <c r="BO115" s="28" t="n"/>
      <c r="BP115" s="25" t="n"/>
      <c r="BQ115" s="27" t="n">
        <v>2.04</v>
      </c>
      <c r="BR115" s="28" t="n">
        <v>0.49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96e56f6b2623406b</t>
        </is>
      </c>
      <c r="B116" s="24" t="inlineStr">
        <is>
          <t>2026-08-08T18:35:59.410253Z</t>
        </is>
      </c>
      <c r="C116" s="24" t="inlineStr">
        <is>
          <t>2026-08-08T15:05:00-0400</t>
        </is>
      </c>
      <c r="D116" s="24" t="inlineStr">
        <is>
          <t>401816441</t>
        </is>
      </c>
      <c r="E116" s="24" t="inlineStr">
        <is>
          <t>MLB</t>
        </is>
      </c>
      <c r="F116" s="24" t="inlineStr">
        <is>
          <t>Atlanta Braves</t>
        </is>
      </c>
      <c r="G116" s="24" t="inlineStr">
        <is>
          <t>New York Yankees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141</v>
      </c>
      <c r="M116" s="27" t="n">
        <v>2.41</v>
      </c>
      <c r="N116" s="28" t="n">
        <v>0.414938</v>
      </c>
      <c r="O116" s="28" t="n">
        <v>0.517673</v>
      </c>
      <c r="P116" s="28" t="n"/>
      <c r="Q116" s="28" t="n">
        <v>0.102735</v>
      </c>
      <c r="R116" s="26" t="n">
        <v>72</v>
      </c>
      <c r="S116" s="29" t="n">
        <v>1</v>
      </c>
      <c r="T116" s="24" t="inlineStr">
        <is>
          <t>mlb-elo-trend-lr-v8</t>
        </is>
      </c>
      <c r="U116" s="24" t="inlineStr">
        <is>
          <t>settled</t>
        </is>
      </c>
      <c r="V116" s="24" t="inlineStr">
        <is>
          <t>win</t>
        </is>
      </c>
      <c r="W116" s="26" t="n">
        <v>4</v>
      </c>
      <c r="X116" s="26" t="n">
        <v>5</v>
      </c>
      <c r="Y116" s="25" t="n"/>
      <c r="Z116" s="26" t="n">
        <v>141</v>
      </c>
      <c r="AA116" s="28" t="n">
        <v>0.415</v>
      </c>
      <c r="AB116" s="28" t="n">
        <v>6.2e-05</v>
      </c>
      <c r="AC116" s="30" t="n">
        <v>1.41</v>
      </c>
      <c r="AD116" s="24" t="inlineStr">
        <is>
          <t>2026-08-09T05:12:08.210545Z</t>
        </is>
      </c>
      <c r="AE116" s="31" t="inlineStr">
        <is>
          <t>Learned LR call at threshold 0.5873; executable ask 0.4150 (aec-mlb-atl-nyy-2026-08-08); model edge vs ask +0.1027.</t>
        </is>
      </c>
      <c r="AF116" s="31" t="inlineStr">
        <is>
          <t>Learned model; shadow-qualified via operator override.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NO_CALL_BELOW_LEARNED_CONFIDENCE</t>
        </is>
      </c>
      <c r="AP116" s="24" t="inlineStr">
        <is>
          <t>mlb-atl</t>
        </is>
      </c>
      <c r="AQ116" s="24" t="inlineStr">
        <is>
          <t>Atlanta Braves</t>
        </is>
      </c>
      <c r="AR116" s="24" t="inlineStr">
        <is>
          <t>Atlanta Braves</t>
        </is>
      </c>
      <c r="AS116" s="24" t="inlineStr">
        <is>
          <t>mlb-nyy</t>
        </is>
      </c>
      <c r="AT116" s="24" t="inlineStr">
        <is>
          <t>New York Yankees</t>
        </is>
      </c>
      <c r="AU116" s="24" t="inlineStr">
        <is>
          <t>New York Yankees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6a5c79541b0e50cb9f7318270e63d5ccc65cbd7bc53a019748ff772d49de5075</t>
        </is>
      </c>
      <c r="BB116" s="24" t="inlineStr">
        <is>
          <t>learned_lr</t>
        </is>
      </c>
      <c r="BC116" s="24" t="inlineStr">
        <is>
          <t>mlb-elo-trend-lr-v8</t>
        </is>
      </c>
      <c r="BD116" s="24" t="inlineStr">
        <is>
          <t>6a5c79541b0e50cb9f7318270e63d5ccc65cbd7bc53a019748ff772d49de5075</t>
        </is>
      </c>
      <c r="BE116" s="24" t="inlineStr">
        <is>
          <t>e1613c414a1be3bc</t>
        </is>
      </c>
      <c r="BF116" s="24" t="inlineStr">
        <is>
          <t>1</t>
        </is>
      </c>
      <c r="BG116" s="24" t="inlineStr">
        <is>
          <t>mlb-elo-trend-lr-v8</t>
        </is>
      </c>
      <c r="BH116" s="24" t="inlineStr">
        <is>
          <t>2026-08-08T18:35:32.489777Z</t>
        </is>
      </c>
      <c r="BI116" s="24" t="inlineStr">
        <is>
          <t>["same_event","same_team_same_day","same_league_same_day"]</t>
        </is>
      </c>
      <c r="BJ116" s="25" t="n"/>
      <c r="BK116" s="26" t="n">
        <v>141</v>
      </c>
      <c r="BL116" s="27" t="n">
        <v>2.41</v>
      </c>
      <c r="BM116" s="28" t="n">
        <v>0.414938</v>
      </c>
      <c r="BN116" s="28" t="n">
        <v>0.412935</v>
      </c>
      <c r="BO116" s="28" t="n"/>
      <c r="BP116" s="25" t="n"/>
      <c r="BQ116" s="27" t="n">
        <v>2.41</v>
      </c>
      <c r="BR116" s="28" t="n">
        <v>0.415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inlineStr">
        <is>
          <t>0.5131234641</t>
        </is>
      </c>
      <c r="CD116" s="24" t="inlineStr">
        <is>
          <t>-1.651335</t>
        </is>
      </c>
      <c r="CE116" s="24" t="inlineStr">
        <is>
          <t>1.014</t>
        </is>
      </c>
      <c r="CF116" s="24" t="inlineStr">
        <is>
          <t>1.0229</t>
        </is>
      </c>
      <c r="CG116" s="24" t="n"/>
      <c r="CH116" s="24" t="n"/>
      <c r="CI116" s="24" t="n"/>
      <c r="CJ116" s="24" t="inlineStr">
        <is>
          <t>-1.126204</t>
        </is>
      </c>
      <c r="CK116" s="24" t="n"/>
      <c r="CL116" s="24" t="inlineStr">
        <is>
          <t>0.122776</t>
        </is>
      </c>
      <c r="CM116" s="24" t="inlineStr">
        <is>
          <t>2.4618</t>
        </is>
      </c>
      <c r="CN116" s="24" t="n"/>
      <c r="CO116" s="24" t="n"/>
      <c r="CP116" s="24" t="n"/>
      <c r="CQ116" s="24" t="n"/>
      <c r="CR116" s="24" t="inlineStr">
        <is>
          <t>0.517673</t>
        </is>
      </c>
      <c r="CS116" s="24" t="inlineStr">
        <is>
          <t>True</t>
        </is>
      </c>
    </row>
    <row r="117" ht="36" customHeight="1">
      <c r="A117" s="24" t="inlineStr">
        <is>
          <t>d709cf7318904587</t>
        </is>
      </c>
      <c r="B117" s="24" t="inlineStr">
        <is>
          <t>2026-08-08T18:35:59.410253Z</t>
        </is>
      </c>
      <c r="C117" s="24" t="inlineStr">
        <is>
          <t>2026-08-08T16:10:00-0400</t>
        </is>
      </c>
      <c r="D117" s="24" t="inlineStr">
        <is>
          <t>401816439</t>
        </is>
      </c>
      <c r="E117" s="24" t="inlineStr">
        <is>
          <t>MLB</t>
        </is>
      </c>
      <c r="F117" s="24" t="inlineStr">
        <is>
          <t>Los Angeles Angels</t>
        </is>
      </c>
      <c r="G117" s="24" t="inlineStr">
        <is>
          <t>Miami Marlins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-147</v>
      </c>
      <c r="M117" s="27" t="n">
        <v>1.680272</v>
      </c>
      <c r="N117" s="28" t="n">
        <v>0.5951419999999999</v>
      </c>
      <c r="O117" s="28" t="n">
        <v>0.6055430000000001</v>
      </c>
      <c r="P117" s="28" t="n"/>
      <c r="Q117" s="28" t="n">
        <v>0.010401</v>
      </c>
      <c r="R117" s="26" t="n">
        <v>27</v>
      </c>
      <c r="S117" s="29" t="n">
        <v>1.25</v>
      </c>
      <c r="T117" s="24" t="inlineStr">
        <is>
          <t>mlb-elo-trend-lr-v8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7</v>
      </c>
      <c r="Y117" s="25" t="n"/>
      <c r="Z117" s="26" t="n">
        <v>-147</v>
      </c>
      <c r="AA117" s="28" t="n">
        <v>0.595</v>
      </c>
      <c r="AB117" s="28" t="n">
        <v>-0.000142</v>
      </c>
      <c r="AC117" s="30" t="n">
        <v>0.8502999999999999</v>
      </c>
      <c r="AD117" s="24" t="inlineStr">
        <is>
          <t>2026-08-09T05:12:11.197964Z</t>
        </is>
      </c>
      <c r="AE117" s="31" t="inlineStr">
        <is>
          <t>Learned LR call at threshold 0.5873; executable ask 0.5950 (aec-mlb-laa-mia-2026-08-08); model edge vs ask +0.0105. NOTE: NO_CALL_STARTER_ERA_GAP_INSUFFICIENT_HISTORY unavailable for this game — defaulted to neutral, other features used normally.</t>
        </is>
      </c>
      <c r="AF117" s="31" t="inlineStr">
        <is>
          <t>Learned model; shadow-qualified via operator override.</t>
        </is>
      </c>
      <c r="AG117" s="24" t="inlineStr">
        <is>
          <t>not_applicable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mlb-laa</t>
        </is>
      </c>
      <c r="AQ117" s="24" t="inlineStr">
        <is>
          <t>Los Angeles Angels</t>
        </is>
      </c>
      <c r="AR117" s="24" t="inlineStr">
        <is>
          <t>Los Angeles Angels</t>
        </is>
      </c>
      <c r="AS117" s="24" t="inlineStr">
        <is>
          <t>mlb-mia</t>
        </is>
      </c>
      <c r="AT117" s="24" t="inlineStr">
        <is>
          <t>Miami Marlins</t>
        </is>
      </c>
      <c r="AU117" s="24" t="inlineStr">
        <is>
          <t>Miami Marlins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6a5c79541b0e50cb9f7318270e63d5ccc65cbd7bc53a019748ff772d49de5075</t>
        </is>
      </c>
      <c r="BB117" s="24" t="inlineStr">
        <is>
          <t>learned_lr</t>
        </is>
      </c>
      <c r="BC117" s="24" t="inlineStr">
        <is>
          <t>mlb-elo-trend-lr-v8</t>
        </is>
      </c>
      <c r="BD117" s="24" t="inlineStr">
        <is>
          <t>6a5c79541b0e50cb9f7318270e63d5ccc65cbd7bc53a019748ff772d49de5075</t>
        </is>
      </c>
      <c r="BE117" s="24" t="inlineStr">
        <is>
          <t>50da3d44a6bc9c7e</t>
        </is>
      </c>
      <c r="BF117" s="24" t="inlineStr">
        <is>
          <t>1</t>
        </is>
      </c>
      <c r="BG117" s="24" t="inlineStr">
        <is>
          <t>mlb-elo-trend-lr-v8</t>
        </is>
      </c>
      <c r="BH117" s="24" t="inlineStr">
        <is>
          <t>2026-08-08T18:35:33.603860Z</t>
        </is>
      </c>
      <c r="BI117" s="24" t="inlineStr">
        <is>
          <t>["same_event","same_team_same_day","same_league_same_day"]</t>
        </is>
      </c>
      <c r="BJ117" s="25" t="n"/>
      <c r="BK117" s="26" t="n">
        <v>-147</v>
      </c>
      <c r="BL117" s="27" t="n">
        <v>1.680272</v>
      </c>
      <c r="BM117" s="28" t="n">
        <v>0.5951419999999999</v>
      </c>
      <c r="BN117" s="28" t="n">
        <v>0.59204</v>
      </c>
      <c r="BO117" s="28" t="n"/>
      <c r="BP117" s="25" t="n"/>
      <c r="BQ117" s="27" t="n">
        <v>1.680272</v>
      </c>
      <c r="BR117" s="28" t="n">
        <v>0.595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inlineStr">
        <is>
          <t>0.6204612889</t>
        </is>
      </c>
      <c r="CD117" s="24" t="inlineStr">
        <is>
          <t>-0.245814</t>
        </is>
      </c>
      <c r="CE117" s="24" t="inlineStr">
        <is>
          <t>1.002</t>
        </is>
      </c>
      <c r="CF117" s="24" t="inlineStr">
        <is>
          <t>1.0</t>
        </is>
      </c>
      <c r="CG117" s="24" t="n"/>
      <c r="CH117" s="24" t="n"/>
      <c r="CI117" s="24" t="inlineStr">
        <is>
          <t>NO_CALL_STARTER_ERA_GAP_INSUFFICIENT_HISTORY</t>
        </is>
      </c>
      <c r="CJ117" s="24" t="inlineStr">
        <is>
          <t>-1.61386</t>
        </is>
      </c>
      <c r="CK117" s="24" t="n"/>
      <c r="CL117" s="24" t="inlineStr">
        <is>
          <t>0.136026</t>
        </is>
      </c>
      <c r="CM117" s="24" t="inlineStr">
        <is>
          <t>0.0</t>
        </is>
      </c>
      <c r="CN117" s="24" t="n"/>
      <c r="CO117" s="24" t="n"/>
      <c r="CP117" s="24" t="n"/>
      <c r="CQ117" s="24" t="n"/>
      <c r="CR117" s="24" t="inlineStr">
        <is>
          <t>0.605543</t>
        </is>
      </c>
      <c r="CS117" s="24" t="inlineStr">
        <is>
          <t>True</t>
        </is>
      </c>
    </row>
    <row r="118" ht="36" customHeight="1">
      <c r="A118" s="24" t="inlineStr">
        <is>
          <t>b3ffcbffa75547a1</t>
        </is>
      </c>
      <c r="B118" s="24" t="inlineStr">
        <is>
          <t>2026-08-08T18:35:59.410253Z</t>
        </is>
      </c>
      <c r="C118" s="24" t="inlineStr">
        <is>
          <t>2026-08-08T16:10:00-0400</t>
        </is>
      </c>
      <c r="D118" s="24" t="inlineStr">
        <is>
          <t>401816440</t>
        </is>
      </c>
      <c r="E118" s="24" t="inlineStr">
        <is>
          <t>MLB</t>
        </is>
      </c>
      <c r="F118" s="24" t="inlineStr">
        <is>
          <t>Athletics</t>
        </is>
      </c>
      <c r="G118" s="24" t="inlineStr">
        <is>
          <t>Boston Red Sox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-251</v>
      </c>
      <c r="M118" s="27" t="n">
        <v>1.398406</v>
      </c>
      <c r="N118" s="28" t="n">
        <v>0.7151</v>
      </c>
      <c r="O118" s="28" t="n">
        <v>0.636676</v>
      </c>
      <c r="P118" s="28" t="n"/>
      <c r="Q118" s="28" t="n">
        <v>-0.07842399999999999</v>
      </c>
      <c r="R118" s="26" t="n">
        <v>0</v>
      </c>
      <c r="S118" s="29" t="n">
        <v>1.5</v>
      </c>
      <c r="T118" s="24" t="inlineStr">
        <is>
          <t>mlb-elo-trend-lr-v8</t>
        </is>
      </c>
      <c r="U118" s="24" t="inlineStr">
        <is>
          <t>settled</t>
        </is>
      </c>
      <c r="V118" s="24" t="inlineStr">
        <is>
          <t>loss</t>
        </is>
      </c>
      <c r="W118" s="26" t="n">
        <v>7</v>
      </c>
      <c r="X118" s="26" t="n">
        <v>3</v>
      </c>
      <c r="Y118" s="25" t="n"/>
      <c r="Z118" s="26" t="n">
        <v>-213</v>
      </c>
      <c r="AA118" s="28" t="n">
        <v>0.68</v>
      </c>
      <c r="AB118" s="28" t="n">
        <v>-0.0351</v>
      </c>
      <c r="AC118" s="30" t="n">
        <v>-1.5</v>
      </c>
      <c r="AD118" s="24" t="inlineStr">
        <is>
          <t>2026-08-09T05:12:13.877658Z</t>
        </is>
      </c>
      <c r="AE118" s="31" t="inlineStr">
        <is>
          <t>Learned LR call at threshold 0.5873; executable ask 0.7150 (aec-mlb-ath-bos-2026-08-08); model edge vs ask -0.0783.</t>
        </is>
      </c>
      <c r="AF118" s="31" t="inlineStr">
        <is>
          <t>Learned model; shadow-qualified via operator override.</t>
        </is>
      </c>
      <c r="AG118" s="24" t="inlineStr">
        <is>
          <t>review_required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mlb-ath</t>
        </is>
      </c>
      <c r="AQ118" s="24" t="inlineStr">
        <is>
          <t>Athletics</t>
        </is>
      </c>
      <c r="AR118" s="24" t="inlineStr">
        <is>
          <t>Athletics</t>
        </is>
      </c>
      <c r="AS118" s="24" t="inlineStr">
        <is>
          <t>mlb-bos</t>
        </is>
      </c>
      <c r="AT118" s="24" t="inlineStr">
        <is>
          <t>Boston Red Sox</t>
        </is>
      </c>
      <c r="AU118" s="24" t="inlineStr">
        <is>
          <t>Boston Red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6a5c79541b0e50cb9f7318270e63d5ccc65cbd7bc53a019748ff772d49de5075</t>
        </is>
      </c>
      <c r="BB118" s="24" t="inlineStr">
        <is>
          <t>learned_lr</t>
        </is>
      </c>
      <c r="BC118" s="24" t="inlineStr">
        <is>
          <t>mlb-elo-trend-lr-v8</t>
        </is>
      </c>
      <c r="BD118" s="24" t="inlineStr">
        <is>
          <t>6a5c79541b0e50cb9f7318270e63d5ccc65cbd7bc53a019748ff772d49de5075</t>
        </is>
      </c>
      <c r="BE118" s="24" t="inlineStr">
        <is>
          <t>132c59294fd5b13f</t>
        </is>
      </c>
      <c r="BF118" s="24" t="inlineStr">
        <is>
          <t>1</t>
        </is>
      </c>
      <c r="BG118" s="24" t="inlineStr">
        <is>
          <t>mlb-elo-trend-lr-v8</t>
        </is>
      </c>
      <c r="BH118" s="24" t="inlineStr">
        <is>
          <t>2026-08-08T18:35:33.064556Z</t>
        </is>
      </c>
      <c r="BI118" s="24" t="inlineStr">
        <is>
          <t>["same_event","same_team_same_day","same_league_same_day"]</t>
        </is>
      </c>
      <c r="BJ118" s="25" t="n"/>
      <c r="BK118" s="26" t="n">
        <v>-251</v>
      </c>
      <c r="BL118" s="27" t="n">
        <v>1.398406</v>
      </c>
      <c r="BM118" s="28" t="n">
        <v>0.7151</v>
      </c>
      <c r="BN118" s="28" t="n">
        <v>0.711443</v>
      </c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inlineStr">
        <is>
          <t>0.7263657746</t>
        </is>
      </c>
      <c r="CD118" s="24" t="inlineStr">
        <is>
          <t>3.972179</t>
        </is>
      </c>
      <c r="CE118" s="24" t="inlineStr">
        <is>
          <t>1.019</t>
        </is>
      </c>
      <c r="CF118" s="24" t="inlineStr">
        <is>
          <t>1.0245</t>
        </is>
      </c>
      <c r="CG118" s="24" t="n"/>
      <c r="CH118" s="24" t="n"/>
      <c r="CI118" s="24" t="n"/>
      <c r="CJ118" s="24" t="inlineStr">
        <is>
          <t>0.671083</t>
        </is>
      </c>
      <c r="CK118" s="24" t="n"/>
      <c r="CL118" s="24" t="inlineStr">
        <is>
          <t>-1.155753</t>
        </is>
      </c>
      <c r="CM118" s="24" t="inlineStr">
        <is>
          <t>-7.0566</t>
        </is>
      </c>
      <c r="CN118" s="24" t="n"/>
      <c r="CO118" s="24" t="n"/>
      <c r="CP118" s="24" t="n"/>
      <c r="CQ118" s="24" t="n"/>
      <c r="CR118" s="24" t="inlineStr">
        <is>
          <t>0.636676</t>
        </is>
      </c>
      <c r="CS118" s="24" t="inlineStr">
        <is>
          <t>False</t>
        </is>
      </c>
    </row>
    <row r="119" ht="36" customHeight="1">
      <c r="A119" s="24" t="inlineStr">
        <is>
          <t>d1f13d508c2641c1</t>
        </is>
      </c>
      <c r="B119" s="24" t="inlineStr">
        <is>
          <t>2026-08-08T18:35:59.410253Z</t>
        </is>
      </c>
      <c r="C119" s="24" t="inlineStr">
        <is>
          <t>2026-08-08T18:05:00-0400</t>
        </is>
      </c>
      <c r="D119" s="24" t="inlineStr">
        <is>
          <t>401816444</t>
        </is>
      </c>
      <c r="E119" s="24" t="inlineStr">
        <is>
          <t>MLB</t>
        </is>
      </c>
      <c r="F119" s="24" t="inlineStr">
        <is>
          <t>Toronto Blue Jays</t>
        </is>
      </c>
      <c r="G119" s="24" t="inlineStr">
        <is>
          <t>Philadelphia Phillies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-160</v>
      </c>
      <c r="M119" s="27" t="n">
        <v>1.625</v>
      </c>
      <c r="N119" s="28" t="n">
        <v>0.615385</v>
      </c>
      <c r="O119" s="28" t="n">
        <v>0.5880339999999999</v>
      </c>
      <c r="P119" s="28" t="n"/>
      <c r="Q119" s="28" t="n">
        <v>-0.027351</v>
      </c>
      <c r="R119" s="26" t="n">
        <v>8</v>
      </c>
      <c r="S119" s="29" t="n">
        <v>1.25</v>
      </c>
      <c r="T119" s="24" t="inlineStr">
        <is>
          <t>mlb-elo-trend-lr-v8</t>
        </is>
      </c>
      <c r="U119" s="24" t="inlineStr">
        <is>
          <t>settled</t>
        </is>
      </c>
      <c r="V119" s="24" t="inlineStr">
        <is>
          <t>loss</t>
        </is>
      </c>
      <c r="W119" s="26" t="n">
        <v>7</v>
      </c>
      <c r="X119" s="26" t="n">
        <v>5</v>
      </c>
      <c r="Y119" s="25" t="n"/>
      <c r="Z119" s="26" t="n">
        <v>-147</v>
      </c>
      <c r="AA119" s="28" t="n">
        <v>0.595</v>
      </c>
      <c r="AB119" s="28" t="n">
        <v>-0.020385</v>
      </c>
      <c r="AC119" s="30" t="n">
        <v>-1.25</v>
      </c>
      <c r="AD119" s="24" t="inlineStr">
        <is>
          <t>2026-08-09T05:12:16.626452Z</t>
        </is>
      </c>
      <c r="AE119" s="31" t="inlineStr">
        <is>
          <t>Learned LR call at threshold 0.5873; executable ask 0.6150 (aec-mlb-tor-phi-2026-08-08); model edge vs ask -0.0270.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mlb-tor</t>
        </is>
      </c>
      <c r="AQ119" s="24" t="inlineStr">
        <is>
          <t>Toronto Blue Jays</t>
        </is>
      </c>
      <c r="AR119" s="24" t="inlineStr">
        <is>
          <t>Toronto Blue Jays</t>
        </is>
      </c>
      <c r="AS119" s="24" t="inlineStr">
        <is>
          <t>mlb-phi</t>
        </is>
      </c>
      <c r="AT119" s="24" t="inlineStr">
        <is>
          <t>Philadelphia Phillies</t>
        </is>
      </c>
      <c r="AU119" s="24" t="inlineStr">
        <is>
          <t>Philadelphia Phillies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6a5c79541b0e50cb9f7318270e63d5ccc65cbd7bc53a019748ff772d49de5075</t>
        </is>
      </c>
      <c r="BB119" s="24" t="inlineStr">
        <is>
          <t>learned_lr</t>
        </is>
      </c>
      <c r="BC119" s="24" t="inlineStr">
        <is>
          <t>mlb-elo-trend-lr-v8</t>
        </is>
      </c>
      <c r="BD119" s="24" t="inlineStr">
        <is>
          <t>6a5c79541b0e50cb9f7318270e63d5ccc65cbd7bc53a019748ff772d49de5075</t>
        </is>
      </c>
      <c r="BE119" s="24" t="inlineStr">
        <is>
          <t>7f780cca52d36015</t>
        </is>
      </c>
      <c r="BF119" s="24" t="inlineStr">
        <is>
          <t>1</t>
        </is>
      </c>
      <c r="BG119" s="24" t="inlineStr">
        <is>
          <t>mlb-elo-trend-lr-v8</t>
        </is>
      </c>
      <c r="BH119" s="24" t="inlineStr">
        <is>
          <t>2026-08-08T18:35:34.214416Z</t>
        </is>
      </c>
      <c r="BI119" s="24" t="inlineStr">
        <is>
          <t>["same_event","same_team_same_day","same_league_same_day"]</t>
        </is>
      </c>
      <c r="BJ119" s="25" t="n"/>
      <c r="BK119" s="26" t="n">
        <v>-160</v>
      </c>
      <c r="BL119" s="27" t="n">
        <v>1.625</v>
      </c>
      <c r="BM119" s="28" t="n">
        <v>0.615385</v>
      </c>
      <c r="BN119" s="28" t="n">
        <v>0.61194</v>
      </c>
      <c r="BO119" s="28" t="n"/>
      <c r="BP119" s="25" t="n"/>
      <c r="BQ119" s="27" t="n">
        <v>1.680272</v>
      </c>
      <c r="BR119" s="28" t="n">
        <v>0.595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0.5908562529</t>
        </is>
      </c>
      <c r="CD119" s="24" t="inlineStr">
        <is>
          <t>0.274735</t>
        </is>
      </c>
      <c r="CE119" s="24" t="inlineStr">
        <is>
          <t>1.02</t>
        </is>
      </c>
      <c r="CF119" s="24" t="inlineStr">
        <is>
          <t>1.012</t>
        </is>
      </c>
      <c r="CG119" s="24" t="n"/>
      <c r="CH119" s="24" t="n"/>
      <c r="CI119" s="24" t="n"/>
      <c r="CJ119" s="24" t="inlineStr">
        <is>
          <t>-0.418394</t>
        </is>
      </c>
      <c r="CK119" s="24" t="n"/>
      <c r="CL119" s="24" t="inlineStr">
        <is>
          <t>-0.1149</t>
        </is>
      </c>
      <c r="CM119" s="24" t="inlineStr">
        <is>
          <t>-4.6324</t>
        </is>
      </c>
      <c r="CN119" s="24" t="n"/>
      <c r="CO119" s="24" t="n"/>
      <c r="CP119" s="24" t="n"/>
      <c r="CQ119" s="24" t="n"/>
      <c r="CR119" s="24" t="inlineStr">
        <is>
          <t>0.588034</t>
        </is>
      </c>
      <c r="CS119" s="24" t="inlineStr">
        <is>
          <t>False</t>
        </is>
      </c>
    </row>
    <row r="120" ht="36" customHeight="1">
      <c r="A120" s="24" t="inlineStr">
        <is>
          <t>087c910b868d4804</t>
        </is>
      </c>
      <c r="B120" s="24" t="inlineStr">
        <is>
          <t>2026-08-08T18:35:59.410253Z</t>
        </is>
      </c>
      <c r="C120" s="24" t="inlineStr">
        <is>
          <t>2026-08-08T18:40:00-0400</t>
        </is>
      </c>
      <c r="D120" s="24" t="inlineStr">
        <is>
          <t>401816443</t>
        </is>
      </c>
      <c r="E120" s="24" t="inlineStr">
        <is>
          <t>MLB</t>
        </is>
      </c>
      <c r="F120" s="24" t="inlineStr">
        <is>
          <t>New York Mets</t>
        </is>
      </c>
      <c r="G120" s="24" t="inlineStr">
        <is>
          <t>Pittsburgh Pirates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0.568631</v>
      </c>
      <c r="P120" s="28" t="n"/>
      <c r="Q120" s="28" t="n">
        <v>0.02946</v>
      </c>
      <c r="R120" s="26" t="n">
        <v>36</v>
      </c>
      <c r="S120" s="29" t="n">
        <v>1</v>
      </c>
      <c r="T120" s="24" t="inlineStr">
        <is>
          <t>mlb-elo-trend-lr-v8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9</v>
      </c>
      <c r="Y120" s="25" t="n"/>
      <c r="Z120" s="26" t="n">
        <v>-133</v>
      </c>
      <c r="AA120" s="28" t="n">
        <v>0.57</v>
      </c>
      <c r="AB120" s="28" t="n">
        <v>0.030829</v>
      </c>
      <c r="AC120" s="30" t="n">
        <v>0.8547</v>
      </c>
      <c r="AD120" s="24" t="inlineStr">
        <is>
          <t>2026-08-09T05:12:19.445443Z</t>
        </is>
      </c>
      <c r="AE120" s="31" t="inlineStr">
        <is>
          <t>Learned LR call at threshold 0.5873; executable ask 0.5400 (aec-mlb-nym-pit-2026-08-08); model edge vs ask +0.0286. NOTE: NO_CALL_STARTER_ERA_GAP_INSUFFICIENT_HISTORY unavailable for this game — defaulted to neutral, other features used normally.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mlb-nym</t>
        </is>
      </c>
      <c r="AQ120" s="24" t="inlineStr">
        <is>
          <t>New York Mets</t>
        </is>
      </c>
      <c r="AR120" s="24" t="inlineStr">
        <is>
          <t>New York Mets</t>
        </is>
      </c>
      <c r="AS120" s="24" t="inlineStr">
        <is>
          <t>mlb-pit</t>
        </is>
      </c>
      <c r="AT120" s="24" t="inlineStr">
        <is>
          <t>Pittsburgh Pirates</t>
        </is>
      </c>
      <c r="AU120" s="24" t="inlineStr">
        <is>
          <t>Pittsburgh Pirates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6a5c79541b0e50cb9f7318270e63d5ccc65cbd7bc53a019748ff772d49de5075</t>
        </is>
      </c>
      <c r="BB120" s="24" t="inlineStr">
        <is>
          <t>learned_lr</t>
        </is>
      </c>
      <c r="BC120" s="24" t="inlineStr">
        <is>
          <t>mlb-elo-trend-lr-v8</t>
        </is>
      </c>
      <c r="BD120" s="24" t="inlineStr">
        <is>
          <t>6a5c79541b0e50cb9f7318270e63d5ccc65cbd7bc53a019748ff772d49de5075</t>
        </is>
      </c>
      <c r="BE120" s="24" t="inlineStr">
        <is>
          <t>19667aee26455113</t>
        </is>
      </c>
      <c r="BF120" s="24" t="inlineStr">
        <is>
          <t>1</t>
        </is>
      </c>
      <c r="BG120" s="24" t="inlineStr">
        <is>
          <t>mlb-elo-trend-lr-v8</t>
        </is>
      </c>
      <c r="BH120" s="24" t="inlineStr">
        <is>
          <t>2026-08-08T18:35:34.746462Z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>
        <v>0.537313</v>
      </c>
      <c r="BO120" s="28" t="n"/>
      <c r="BP120" s="25" t="n"/>
      <c r="BQ120" s="27" t="n">
        <v>1.75188</v>
      </c>
      <c r="BR120" s="28" t="n">
        <v>0.57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0.5563357408</t>
        </is>
      </c>
      <c r="CD120" s="24" t="inlineStr">
        <is>
          <t>-3.063243</t>
        </is>
      </c>
      <c r="CE120" s="24" t="inlineStr">
        <is>
          <t>0.989</t>
        </is>
      </c>
      <c r="CF120" s="24" t="inlineStr">
        <is>
          <t>1.0117</t>
        </is>
      </c>
      <c r="CG120" s="24" t="n"/>
      <c r="CH120" s="24" t="n"/>
      <c r="CI120" s="24" t="inlineStr">
        <is>
          <t>NO_CALL_STARTER_ERA_GAP_INSUFFICIENT_HISTORY</t>
        </is>
      </c>
      <c r="CJ120" s="24" t="inlineStr">
        <is>
          <t>-0.422383</t>
        </is>
      </c>
      <c r="CK120" s="24" t="n"/>
      <c r="CL120" s="24" t="inlineStr">
        <is>
          <t>-0.09889</t>
        </is>
      </c>
      <c r="CM120" s="24" t="inlineStr">
        <is>
          <t>0.0</t>
        </is>
      </c>
      <c r="CN120" s="24" t="n"/>
      <c r="CO120" s="24" t="n"/>
      <c r="CP120" s="24" t="n"/>
      <c r="CQ120" s="24" t="n"/>
      <c r="CR120" s="24" t="inlineStr">
        <is>
          <t>0.568631</t>
        </is>
      </c>
      <c r="CS120" s="24" t="inlineStr">
        <is>
          <t>True</t>
        </is>
      </c>
    </row>
    <row r="121" ht="36" customHeight="1">
      <c r="A121" s="24" t="inlineStr">
        <is>
          <t>b0c69140e1654090</t>
        </is>
      </c>
      <c r="B121" s="24" t="inlineStr">
        <is>
          <t>2026-08-08T18:35:59.410253Z</t>
        </is>
      </c>
      <c r="C121" s="24" t="inlineStr">
        <is>
          <t>2026-08-08T18:45:00-0400</t>
        </is>
      </c>
      <c r="D121" s="24" t="inlineStr">
        <is>
          <t>401816442</t>
        </is>
      </c>
      <c r="E121" s="24" t="inlineStr">
        <is>
          <t>MLB</t>
        </is>
      </c>
      <c r="F121" s="24" t="inlineStr">
        <is>
          <t>Cincinnati Reds</t>
        </is>
      </c>
      <c r="G121" s="24" t="inlineStr">
        <is>
          <t>Washington Nationals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135</v>
      </c>
      <c r="M121" s="27" t="n">
        <v>2.35</v>
      </c>
      <c r="N121" s="28" t="n">
        <v>0.425532</v>
      </c>
      <c r="O121" s="28" t="n">
        <v>0.517557</v>
      </c>
      <c r="P121" s="28" t="n"/>
      <c r="Q121" s="28" t="n">
        <v>0.092025</v>
      </c>
      <c r="R121" s="26" t="n">
        <v>67</v>
      </c>
      <c r="S121" s="29" t="n">
        <v>1</v>
      </c>
      <c r="T121" s="24" t="inlineStr">
        <is>
          <t>mlb-elo-trend-lr-v8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127</v>
      </c>
      <c r="AA121" s="28" t="n">
        <v>0.44</v>
      </c>
      <c r="AB121" s="28" t="n">
        <v>0.014468</v>
      </c>
      <c r="AC121" s="30" t="n">
        <v>1.35</v>
      </c>
      <c r="AD121" s="24" t="inlineStr">
        <is>
          <t>2026-08-09T05:12:22.474848Z</t>
        </is>
      </c>
      <c r="AE121" s="31" t="inlineStr">
        <is>
          <t>Learned LR call at threshold 0.5873; executable ask 0.4250 (aec-mlb-cin-wsh-2026-08-08); model edge vs ask +0.0926.</t>
        </is>
      </c>
      <c r="AF121" s="31" t="inlineStr">
        <is>
          <t>Learned model; shadow-qualified via operator override.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NO_CALL_BELOW_LEARNED_CONFIDENCE</t>
        </is>
      </c>
      <c r="AP121" s="24" t="inlineStr">
        <is>
          <t>mlb-cin</t>
        </is>
      </c>
      <c r="AQ121" s="24" t="inlineStr">
        <is>
          <t>Cincinnati Reds</t>
        </is>
      </c>
      <c r="AR121" s="24" t="inlineStr">
        <is>
          <t>Cincinnati Reds</t>
        </is>
      </c>
      <c r="AS121" s="24" t="inlineStr">
        <is>
          <t>mlb-wsh</t>
        </is>
      </c>
      <c r="AT121" s="24" t="inlineStr">
        <is>
          <t>Washington Nationals</t>
        </is>
      </c>
      <c r="AU121" s="24" t="inlineStr">
        <is>
          <t>Washington Nationals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6a5c79541b0e50cb9f7318270e63d5ccc65cbd7bc53a019748ff772d49de5075</t>
        </is>
      </c>
      <c r="BB121" s="24" t="inlineStr">
        <is>
          <t>learned_lr</t>
        </is>
      </c>
      <c r="BC121" s="24" t="inlineStr">
        <is>
          <t>mlb-elo-trend-lr-v8</t>
        </is>
      </c>
      <c r="BD121" s="24" t="inlineStr">
        <is>
          <t>6a5c79541b0e50cb9f7318270e63d5ccc65cbd7bc53a019748ff772d49de5075</t>
        </is>
      </c>
      <c r="BE121" s="24" t="inlineStr">
        <is>
          <t>e209a9ddb1285514</t>
        </is>
      </c>
      <c r="BF121" s="24" t="inlineStr">
        <is>
          <t>1</t>
        </is>
      </c>
      <c r="BG121" s="24" t="inlineStr">
        <is>
          <t>mlb-elo-trend-lr-v8</t>
        </is>
      </c>
      <c r="BH121" s="24" t="inlineStr">
        <is>
          <t>2026-08-08T18:35:35.271992Z</t>
        </is>
      </c>
      <c r="BI121" s="24" t="inlineStr">
        <is>
          <t>["same_event","same_team_same_day","same_league_same_day"]</t>
        </is>
      </c>
      <c r="BJ121" s="25" t="n"/>
      <c r="BK121" s="26" t="n">
        <v>135</v>
      </c>
      <c r="BL121" s="27" t="n">
        <v>2.35</v>
      </c>
      <c r="BM121" s="28" t="n">
        <v>0.425532</v>
      </c>
      <c r="BN121" s="28" t="n">
        <v>0.422886</v>
      </c>
      <c r="BO121" s="28" t="n"/>
      <c r="BP121" s="25" t="n"/>
      <c r="BQ121" s="27" t="n">
        <v>2.27</v>
      </c>
      <c r="BR121" s="28" t="n">
        <v>0.44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0.5117682302</t>
        </is>
      </c>
      <c r="CD121" s="24" t="inlineStr">
        <is>
          <t>-0.539221</t>
        </is>
      </c>
      <c r="CE121" s="24" t="inlineStr">
        <is>
          <t>1.045</t>
        </is>
      </c>
      <c r="CF121" s="24" t="inlineStr">
        <is>
          <t>1.0191</t>
        </is>
      </c>
      <c r="CG121" s="24" t="n"/>
      <c r="CH121" s="24" t="n"/>
      <c r="CI121" s="24" t="n"/>
      <c r="CJ121" s="24" t="inlineStr">
        <is>
          <t>-0.107544</t>
        </is>
      </c>
      <c r="CK121" s="24" t="n"/>
      <c r="CL121" s="24" t="inlineStr">
        <is>
          <t>0.223608</t>
        </is>
      </c>
      <c r="CM121" s="24" t="inlineStr">
        <is>
          <t>0.2114</t>
        </is>
      </c>
      <c r="CN121" s="24" t="n"/>
      <c r="CO121" s="24" t="n"/>
      <c r="CP121" s="24" t="n"/>
      <c r="CQ121" s="24" t="n"/>
      <c r="CR121" s="24" t="inlineStr">
        <is>
          <t>0.517557</t>
        </is>
      </c>
      <c r="CS121" s="24" t="inlineStr">
        <is>
          <t>True</t>
        </is>
      </c>
    </row>
    <row r="122" ht="36" customHeight="1">
      <c r="A122" s="24" t="inlineStr">
        <is>
          <t>72035f7a82824c88</t>
        </is>
      </c>
      <c r="B122" s="24" t="inlineStr">
        <is>
          <t>2026-08-08T18:35:59.410253Z</t>
        </is>
      </c>
      <c r="C122" s="24" t="inlineStr">
        <is>
          <t>2026-08-08T19:10:00-0400</t>
        </is>
      </c>
      <c r="D122" s="24" t="inlineStr">
        <is>
          <t>401816446</t>
        </is>
      </c>
      <c r="E122" s="24" t="inlineStr">
        <is>
          <t>MLB</t>
        </is>
      </c>
      <c r="F122" s="24" t="inlineStr">
        <is>
          <t>Chicago Cubs</t>
        </is>
      </c>
      <c r="G122" s="24" t="inlineStr">
        <is>
          <t>Kansas City Royals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-153</v>
      </c>
      <c r="M122" s="27" t="n">
        <v>1.653595</v>
      </c>
      <c r="N122" s="28" t="n">
        <v>0.604743</v>
      </c>
      <c r="O122" s="28" t="n">
        <v>0.555655</v>
      </c>
      <c r="P122" s="28" t="n"/>
      <c r="Q122" s="28" t="n">
        <v>-0.049088</v>
      </c>
      <c r="R122" s="26" t="n">
        <v>0</v>
      </c>
      <c r="S122" s="29" t="n">
        <v>1</v>
      </c>
      <c r="T122" s="24" t="inlineStr">
        <is>
          <t>mlb-elo-trend-lr-v8</t>
        </is>
      </c>
      <c r="U122" s="24" t="inlineStr">
        <is>
          <t>settled</t>
        </is>
      </c>
      <c r="V122" s="24" t="inlineStr">
        <is>
          <t>loss</t>
        </is>
      </c>
      <c r="W122" s="26" t="n">
        <v>3</v>
      </c>
      <c r="X122" s="26" t="n">
        <v>6</v>
      </c>
      <c r="Y122" s="25" t="n"/>
      <c r="Z122" s="26" t="n">
        <v>-160</v>
      </c>
      <c r="AA122" s="28" t="n">
        <v>0.615</v>
      </c>
      <c r="AB122" s="28" t="n">
        <v>0.010257</v>
      </c>
      <c r="AC122" s="30" t="n">
        <v>-1</v>
      </c>
      <c r="AD122" s="24" t="inlineStr">
        <is>
          <t>2026-08-09T05:12:26.412325Z</t>
        </is>
      </c>
      <c r="AE122" s="31" t="inlineStr">
        <is>
          <t>Learned LR call at threshold 0.5873; executable ask 0.6050 (aec-mlb-chc-kc-2026-08-08); model edge vs ask -0.0493.</t>
        </is>
      </c>
      <c r="AF122" s="31" t="inlineStr">
        <is>
          <t>Learned model; shadow-qualified via operator override.</t>
        </is>
      </c>
      <c r="AG122" s="24" t="inlineStr">
        <is>
          <t>review_required</t>
        </is>
      </c>
      <c r="AH122" s="24" t="n"/>
      <c r="AI122" s="31" t="n"/>
      <c r="AJ1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NO_CALL_WINNER_OVERVALUED</t>
        </is>
      </c>
      <c r="AP122" s="24" t="inlineStr">
        <is>
          <t>mlb-chc</t>
        </is>
      </c>
      <c r="AQ122" s="24" t="inlineStr">
        <is>
          <t>Chicago Cubs</t>
        </is>
      </c>
      <c r="AR122" s="24" t="inlineStr">
        <is>
          <t>Chicago Cubs</t>
        </is>
      </c>
      <c r="AS122" s="24" t="inlineStr">
        <is>
          <t>mlb-kc</t>
        </is>
      </c>
      <c r="AT122" s="24" t="inlineStr">
        <is>
          <t>Kansas City Royals</t>
        </is>
      </c>
      <c r="AU122" s="24" t="inlineStr">
        <is>
          <t>Kansas City Royals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6a5c79541b0e50cb9f7318270e63d5ccc65cbd7bc53a019748ff772d49de5075</t>
        </is>
      </c>
      <c r="BB122" s="24" t="inlineStr">
        <is>
          <t>learned_lr</t>
        </is>
      </c>
      <c r="BC122" s="24" t="inlineStr">
        <is>
          <t>mlb-elo-trend-lr-v8</t>
        </is>
      </c>
      <c r="BD122" s="24" t="inlineStr">
        <is>
          <t>6a5c79541b0e50cb9f7318270e63d5ccc65cbd7bc53a019748ff772d49de5075</t>
        </is>
      </c>
      <c r="BE122" s="24" t="inlineStr">
        <is>
          <t>751c667ff3e460c7</t>
        </is>
      </c>
      <c r="BF122" s="24" t="inlineStr">
        <is>
          <t>1</t>
        </is>
      </c>
      <c r="BG122" s="24" t="inlineStr">
        <is>
          <t>mlb-elo-trend-lr-v8</t>
        </is>
      </c>
      <c r="BH122" s="24" t="inlineStr">
        <is>
          <t>2026-08-08T18:35:35.772229Z</t>
        </is>
      </c>
      <c r="BI122" s="24" t="inlineStr">
        <is>
          <t>["same_event","same_team_same_day","same_league_same_day"]</t>
        </is>
      </c>
      <c r="BJ122" s="25" t="n"/>
      <c r="BK122" s="26" t="n">
        <v>-153</v>
      </c>
      <c r="BL122" s="27" t="n">
        <v>1.653595</v>
      </c>
      <c r="BM122" s="28" t="n">
        <v>0.604743</v>
      </c>
      <c r="BN122" s="28" t="n">
        <v>0.60199</v>
      </c>
      <c r="BO122" s="28" t="n"/>
      <c r="BP122" s="25" t="n"/>
      <c r="BQ122" s="27" t="n">
        <v>1.625</v>
      </c>
      <c r="BR122" s="28" t="n">
        <v>0.615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0.3947400738</t>
        </is>
      </c>
      <c r="CD122" s="24" t="inlineStr">
        <is>
          <t>-0.885458</t>
        </is>
      </c>
      <c r="CE122" s="24" t="inlineStr">
        <is>
          <t>0.973</t>
        </is>
      </c>
      <c r="CF122" s="24" t="inlineStr">
        <is>
          <t>1.0218</t>
        </is>
      </c>
      <c r="CG122" s="24" t="n"/>
      <c r="CH122" s="24" t="n"/>
      <c r="CI122" s="24" t="n"/>
      <c r="CJ122" s="24" t="inlineStr">
        <is>
          <t>-0.092714</t>
        </is>
      </c>
      <c r="CK122" s="24" t="n"/>
      <c r="CL122" s="24" t="inlineStr">
        <is>
          <t>0.540938</t>
        </is>
      </c>
      <c r="CM122" s="24" t="inlineStr">
        <is>
          <t>3.3092</t>
        </is>
      </c>
      <c r="CN122" s="24" t="n"/>
      <c r="CO122" s="24" t="n"/>
      <c r="CP122" s="24" t="n"/>
      <c r="CQ122" s="24" t="n"/>
      <c r="CR122" s="24" t="inlineStr">
        <is>
          <t>0.555655</t>
        </is>
      </c>
      <c r="CS122" s="24" t="inlineStr">
        <is>
          <t>False</t>
        </is>
      </c>
    </row>
    <row r="123" ht="36" customHeight="1">
      <c r="A123" s="24" t="inlineStr">
        <is>
          <t>247c00b8b7b341eb</t>
        </is>
      </c>
      <c r="B123" s="24" t="inlineStr">
        <is>
          <t>2026-08-08T18:35:59.410253Z</t>
        </is>
      </c>
      <c r="C123" s="24" t="inlineStr">
        <is>
          <t>2026-08-08T19:10:00-0400</t>
        </is>
      </c>
      <c r="D123" s="24" t="inlineStr">
        <is>
          <t>401816449</t>
        </is>
      </c>
      <c r="E123" s="24" t="inlineStr">
        <is>
          <t>MLB</t>
        </is>
      </c>
      <c r="F123" s="24" t="inlineStr">
        <is>
          <t>Minnesota Twins</t>
        </is>
      </c>
      <c r="G123" s="24" t="inlineStr">
        <is>
          <t>Milwaukee Brewers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-135</v>
      </c>
      <c r="M123" s="27" t="n">
        <v>1.740741</v>
      </c>
      <c r="N123" s="28" t="n">
        <v>0.574468</v>
      </c>
      <c r="O123" s="28" t="n">
        <v>0.6256350000000001</v>
      </c>
      <c r="P123" s="28" t="n"/>
      <c r="Q123" s="28" t="n">
        <v>0.051167</v>
      </c>
      <c r="R123" s="26" t="n">
        <v>47</v>
      </c>
      <c r="S123" s="29" t="n">
        <v>1.5</v>
      </c>
      <c r="T123" s="24" t="inlineStr">
        <is>
          <t>mlb-elo-trend-lr-v8</t>
        </is>
      </c>
      <c r="U123" s="24" t="inlineStr">
        <is>
          <t>settled</t>
        </is>
      </c>
      <c r="V123" s="24" t="inlineStr">
        <is>
          <t>win</t>
        </is>
      </c>
      <c r="W123" s="26" t="n">
        <v>3</v>
      </c>
      <c r="X123" s="26" t="n">
        <v>4</v>
      </c>
      <c r="Y123" s="25" t="n"/>
      <c r="Z123" s="26" t="n">
        <v>-144</v>
      </c>
      <c r="AA123" s="28" t="n">
        <v>0.59</v>
      </c>
      <c r="AB123" s="28" t="n">
        <v>0.015532</v>
      </c>
      <c r="AC123" s="30" t="n">
        <v>1.1111</v>
      </c>
      <c r="AD123" s="24" t="inlineStr">
        <is>
          <t>2026-08-09T05:12:31.074981Z</t>
        </is>
      </c>
      <c r="AE123" s="31" t="inlineStr">
        <is>
          <t>Learned LR call at threshold 0.5873; executable ask 0.5750 (aec-mlb-min-mil-2026-08-08); model edge vs ask +0.0506.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NO_CALL_WINNER_OVERVALUED</t>
        </is>
      </c>
      <c r="AP123" s="24" t="inlineStr">
        <is>
          <t>mlb-min</t>
        </is>
      </c>
      <c r="AQ123" s="24" t="inlineStr">
        <is>
          <t>Minnesota Twins</t>
        </is>
      </c>
      <c r="AR123" s="24" t="inlineStr">
        <is>
          <t>Minnesota Twins</t>
        </is>
      </c>
      <c r="AS123" s="24" t="inlineStr">
        <is>
          <t>mlb-mil</t>
        </is>
      </c>
      <c r="AT123" s="24" t="inlineStr">
        <is>
          <t>Milwaukee Brewers</t>
        </is>
      </c>
      <c r="AU123" s="24" t="inlineStr">
        <is>
          <t>Milwaukee Brewers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6a5c79541b0e50cb9f7318270e63d5ccc65cbd7bc53a019748ff772d49de5075</t>
        </is>
      </c>
      <c r="BB123" s="24" t="inlineStr">
        <is>
          <t>learned_lr</t>
        </is>
      </c>
      <c r="BC123" s="24" t="inlineStr">
        <is>
          <t>mlb-elo-trend-lr-v8</t>
        </is>
      </c>
      <c r="BD123" s="24" t="inlineStr">
        <is>
          <t>6a5c79541b0e50cb9f7318270e63d5ccc65cbd7bc53a019748ff772d49de5075</t>
        </is>
      </c>
      <c r="BE123" s="24" t="inlineStr">
        <is>
          <t>08b7cd4200672257</t>
        </is>
      </c>
      <c r="BF123" s="24" t="inlineStr">
        <is>
          <t>1</t>
        </is>
      </c>
      <c r="BG123" s="24" t="inlineStr">
        <is>
          <t>mlb-elo-trend-lr-v8</t>
        </is>
      </c>
      <c r="BH123" s="24" t="inlineStr">
        <is>
          <t>2026-08-08T18:35:36.374513Z</t>
        </is>
      </c>
      <c r="BI123" s="24" t="inlineStr">
        <is>
          <t>["same_event","same_team_same_day","same_league_same_day"]</t>
        </is>
      </c>
      <c r="BJ123" s="25" t="n"/>
      <c r="BK123" s="26" t="n">
        <v>-135</v>
      </c>
      <c r="BL123" s="27" t="n">
        <v>1.740741</v>
      </c>
      <c r="BM123" s="28" t="n">
        <v>0.574468</v>
      </c>
      <c r="BN123" s="28" t="n">
        <v>0.572139</v>
      </c>
      <c r="BO123" s="28" t="n"/>
      <c r="BP123" s="25" t="n"/>
      <c r="BQ123" s="27" t="n">
        <v>1.694444</v>
      </c>
      <c r="BR123" s="28" t="n">
        <v>0.59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0.6664922675</t>
        </is>
      </c>
      <c r="CD123" s="24" t="inlineStr">
        <is>
          <t>-0.376899</t>
        </is>
      </c>
      <c r="CE123" s="24" t="inlineStr">
        <is>
          <t>0.997</t>
        </is>
      </c>
      <c r="CF123" s="24" t="inlineStr">
        <is>
          <t>1.0</t>
        </is>
      </c>
      <c r="CG123" s="24" t="n"/>
      <c r="CH123" s="24" t="n"/>
      <c r="CI123" s="24" t="n"/>
      <c r="CJ123" s="24" t="inlineStr">
        <is>
          <t>-0.522416</t>
        </is>
      </c>
      <c r="CK123" s="24" t="n"/>
      <c r="CL123" s="24" t="inlineStr">
        <is>
          <t>-0.128856</t>
        </is>
      </c>
      <c r="CM123" s="24" t="inlineStr">
        <is>
          <t>1.1848</t>
        </is>
      </c>
      <c r="CN123" s="24" t="n"/>
      <c r="CO123" s="24" t="n"/>
      <c r="CP123" s="24" t="n"/>
      <c r="CQ123" s="24" t="n"/>
      <c r="CR123" s="24" t="inlineStr">
        <is>
          <t>0.625635</t>
        </is>
      </c>
      <c r="CS123" s="24" t="inlineStr">
        <is>
          <t>True</t>
        </is>
      </c>
    </row>
    <row r="124" ht="36" customHeight="1">
      <c r="A124" s="24" t="inlineStr">
        <is>
          <t>3b07221881cb444a</t>
        </is>
      </c>
      <c r="B124" s="24" t="inlineStr">
        <is>
          <t>2026-08-08T18:35:59.410253Z</t>
        </is>
      </c>
      <c r="C124" s="24" t="inlineStr">
        <is>
          <t>2026-08-08T19:15:00-0400</t>
        </is>
      </c>
      <c r="D124" s="24" t="inlineStr">
        <is>
          <t>401816445</t>
        </is>
      </c>
      <c r="E124" s="24" t="inlineStr">
        <is>
          <t>MLB</t>
        </is>
      </c>
      <c r="F124" s="24" t="inlineStr">
        <is>
          <t>Baltimore Orioles</t>
        </is>
      </c>
      <c r="G124" s="24" t="inlineStr">
        <is>
          <t>Texas Rangers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-141</v>
      </c>
      <c r="M124" s="27" t="n">
        <v>1.70922</v>
      </c>
      <c r="N124" s="28" t="n">
        <v>0.585062</v>
      </c>
      <c r="O124" s="28" t="n">
        <v>0.538034</v>
      </c>
      <c r="P124" s="28" t="n"/>
      <c r="Q124" s="28" t="n">
        <v>-0.047028</v>
      </c>
      <c r="R124" s="26" t="n">
        <v>0</v>
      </c>
      <c r="S124" s="29" t="n">
        <v>1</v>
      </c>
      <c r="T124" s="24" t="inlineStr">
        <is>
          <t>mlb-elo-trend-lr-v8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5</v>
      </c>
      <c r="Y124" s="25" t="n"/>
      <c r="Z124" s="26" t="n">
        <v>-133</v>
      </c>
      <c r="AA124" s="28" t="n">
        <v>0.57</v>
      </c>
      <c r="AB124" s="28" t="n">
        <v>-0.015062</v>
      </c>
      <c r="AC124" s="30" t="n">
        <v>0.7092000000000001</v>
      </c>
      <c r="AD124" s="24" t="inlineStr">
        <is>
          <t>2026-08-09T05:12:33.899828Z</t>
        </is>
      </c>
      <c r="AE124" s="31" t="inlineStr">
        <is>
          <t>Learned LR call at threshold 0.5873; executable ask 0.5850 (aec-mlb-bal-tex-2026-08-08); model edge vs ask -0.0470.</t>
        </is>
      </c>
      <c r="AF124" s="31" t="inlineStr">
        <is>
          <t>Learned model; shadow-qualified via operator override.</t>
        </is>
      </c>
      <c r="AG124" s="24" t="inlineStr">
        <is>
          <t>not_applicable</t>
        </is>
      </c>
      <c r="AH124" s="24" t="n"/>
      <c r="AI124" s="31" t="n"/>
      <c r="AJ1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NO_CALL_WINNER_OVERVALUED</t>
        </is>
      </c>
      <c r="AP124" s="24" t="inlineStr">
        <is>
          <t>mlb-bal</t>
        </is>
      </c>
      <c r="AQ124" s="24" t="inlineStr">
        <is>
          <t>Baltimore Orioles</t>
        </is>
      </c>
      <c r="AR124" s="24" t="inlineStr">
        <is>
          <t>Baltimore Orioles</t>
        </is>
      </c>
      <c r="AS124" s="24" t="inlineStr">
        <is>
          <t>mlb-tex</t>
        </is>
      </c>
      <c r="AT124" s="24" t="inlineStr">
        <is>
          <t>Texas Rangers</t>
        </is>
      </c>
      <c r="AU124" s="24" t="inlineStr">
        <is>
          <t>Texas Rangers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6a5c79541b0e50cb9f7318270e63d5ccc65cbd7bc53a019748ff772d49de5075</t>
        </is>
      </c>
      <c r="BB124" s="24" t="inlineStr">
        <is>
          <t>learned_lr</t>
        </is>
      </c>
      <c r="BC124" s="24" t="inlineStr">
        <is>
          <t>mlb-elo-trend-lr-v8</t>
        </is>
      </c>
      <c r="BD124" s="24" t="inlineStr">
        <is>
          <t>6a5c79541b0e50cb9f7318270e63d5ccc65cbd7bc53a019748ff772d49de5075</t>
        </is>
      </c>
      <c r="BE124" s="24" t="inlineStr">
        <is>
          <t>0deef6e3d747cf97</t>
        </is>
      </c>
      <c r="BF124" s="24" t="inlineStr">
        <is>
          <t>1</t>
        </is>
      </c>
      <c r="BG124" s="24" t="inlineStr">
        <is>
          <t>mlb-elo-trend-lr-v8</t>
        </is>
      </c>
      <c r="BH124" s="24" t="inlineStr">
        <is>
          <t>2026-08-08T18:35:37.373560Z</t>
        </is>
      </c>
      <c r="BI124" s="24" t="inlineStr">
        <is>
          <t>["same_event","same_team_same_day","same_league_same_day"]</t>
        </is>
      </c>
      <c r="BJ124" s="25" t="n"/>
      <c r="BK124" s="26" t="n">
        <v>-141</v>
      </c>
      <c r="BL124" s="27" t="n">
        <v>1.70922</v>
      </c>
      <c r="BM124" s="28" t="n">
        <v>0.585062</v>
      </c>
      <c r="BN124" s="28" t="n">
        <v>0.58209</v>
      </c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inlineStr">
        <is>
          <t>0.5173340031</t>
        </is>
      </c>
      <c r="CD124" s="24" t="inlineStr">
        <is>
          <t>0.999093</t>
        </is>
      </c>
      <c r="CE124" s="24" t="inlineStr">
        <is>
          <t>0.913</t>
        </is>
      </c>
      <c r="CF124" s="24" t="inlineStr">
        <is>
          <t>1.0</t>
        </is>
      </c>
      <c r="CG124" s="24" t="n"/>
      <c r="CH124" s="24" t="n"/>
      <c r="CI124" s="24" t="n"/>
      <c r="CJ124" s="24" t="inlineStr">
        <is>
          <t>0.831514</t>
        </is>
      </c>
      <c r="CK124" s="24" t="n"/>
      <c r="CL124" s="24" t="inlineStr">
        <is>
          <t>0.412794</t>
        </is>
      </c>
      <c r="CM124" s="24" t="inlineStr">
        <is>
          <t>2.8362</t>
        </is>
      </c>
      <c r="CN124" s="24" t="n"/>
      <c r="CO124" s="24" t="n"/>
      <c r="CP124" s="24" t="n"/>
      <c r="CQ124" s="24" t="n"/>
      <c r="CR124" s="24" t="inlineStr">
        <is>
          <t>0.538034</t>
        </is>
      </c>
      <c r="CS124" s="24" t="inlineStr">
        <is>
          <t>False</t>
        </is>
      </c>
    </row>
    <row r="125" ht="36" customHeight="1">
      <c r="A125" s="24" t="inlineStr">
        <is>
          <t>7b7d72e318094ae7</t>
        </is>
      </c>
      <c r="B125" s="24" t="inlineStr">
        <is>
          <t>2026-08-08T18:35:59.410253Z</t>
        </is>
      </c>
      <c r="C125" s="24" t="inlineStr">
        <is>
          <t>2026-08-08T19:15:00-0400</t>
        </is>
      </c>
      <c r="D125" s="24" t="inlineStr">
        <is>
          <t>401816447</t>
        </is>
      </c>
      <c r="E125" s="24" t="inlineStr">
        <is>
          <t>MLB</t>
        </is>
      </c>
      <c r="F125" s="24" t="inlineStr">
        <is>
          <t>Cleveland Guardians</t>
        </is>
      </c>
      <c r="G125" s="24" t="inlineStr">
        <is>
          <t>Chicago White Sox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125</v>
      </c>
      <c r="M125" s="27" t="n">
        <v>2.25</v>
      </c>
      <c r="N125" s="28" t="n">
        <v>0.444444</v>
      </c>
      <c r="O125" s="28" t="n">
        <v>0.546791</v>
      </c>
      <c r="P125" s="28" t="n"/>
      <c r="Q125" s="28" t="n">
        <v>0.102347</v>
      </c>
      <c r="R125" s="26" t="n">
        <v>72</v>
      </c>
      <c r="S125" s="29" t="n">
        <v>1</v>
      </c>
      <c r="T125" s="24" t="inlineStr">
        <is>
          <t>mlb-elo-trend-lr-v8</t>
        </is>
      </c>
      <c r="U125" s="24" t="inlineStr">
        <is>
          <t>settled</t>
        </is>
      </c>
      <c r="V125" s="24" t="inlineStr">
        <is>
          <t>win</t>
        </is>
      </c>
      <c r="W125" s="26" t="n">
        <v>3</v>
      </c>
      <c r="X125" s="26" t="n">
        <v>6</v>
      </c>
      <c r="Y125" s="25" t="n"/>
      <c r="Z125" s="26" t="n">
        <v>115</v>
      </c>
      <c r="AA125" s="28" t="n">
        <v>0.465</v>
      </c>
      <c r="AB125" s="28" t="n">
        <v>0.020556</v>
      </c>
      <c r="AC125" s="30" t="n">
        <v>1.25</v>
      </c>
      <c r="AD125" s="24" t="inlineStr">
        <is>
          <t>2026-08-09T05:12:36.450879Z</t>
        </is>
      </c>
      <c r="AE125" s="31" t="inlineStr">
        <is>
          <t>Learned LR call at threshold 0.5873; executable ask 0.4450 (aec-mlb-cle-cws-2026-08-08); model edge vs ask +0.1018.</t>
        </is>
      </c>
      <c r="AF125" s="31" t="inlineStr">
        <is>
          <t>Learned model; shadow-qualified via operator override.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NO_CALL_BELOW_LEARNED_CONFIDENCE</t>
        </is>
      </c>
      <c r="AP125" s="24" t="inlineStr">
        <is>
          <t>mlb-cle</t>
        </is>
      </c>
      <c r="AQ125" s="24" t="inlineStr">
        <is>
          <t>Cleveland Guardians</t>
        </is>
      </c>
      <c r="AR125" s="24" t="inlineStr">
        <is>
          <t>Cleveland Guardians</t>
        </is>
      </c>
      <c r="AS125" s="24" t="inlineStr">
        <is>
          <t>mlb-cws</t>
        </is>
      </c>
      <c r="AT125" s="24" t="inlineStr">
        <is>
          <t>Chicago White Sox</t>
        </is>
      </c>
      <c r="AU125" s="24" t="inlineStr">
        <is>
          <t>Chicago White Sox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6a5c79541b0e50cb9f7318270e63d5ccc65cbd7bc53a019748ff772d49de5075</t>
        </is>
      </c>
      <c r="BB125" s="24" t="inlineStr">
        <is>
          <t>learned_lr</t>
        </is>
      </c>
      <c r="BC125" s="24" t="inlineStr">
        <is>
          <t>mlb-elo-trend-lr-v8</t>
        </is>
      </c>
      <c r="BD125" s="24" t="inlineStr">
        <is>
          <t>6a5c79541b0e50cb9f7318270e63d5ccc65cbd7bc53a019748ff772d49de5075</t>
        </is>
      </c>
      <c r="BE125" s="24" t="inlineStr">
        <is>
          <t>78a81b232edd138a</t>
        </is>
      </c>
      <c r="BF125" s="24" t="inlineStr">
        <is>
          <t>1</t>
        </is>
      </c>
      <c r="BG125" s="24" t="inlineStr">
        <is>
          <t>mlb-elo-trend-lr-v8</t>
        </is>
      </c>
      <c r="BH125" s="24" t="inlineStr">
        <is>
          <t>2026-08-08T18:35:37.785912Z</t>
        </is>
      </c>
      <c r="BI125" s="24" t="inlineStr">
        <is>
          <t>["same_event","same_team_same_day","same_league_same_day"]</t>
        </is>
      </c>
      <c r="BJ125" s="25" t="n"/>
      <c r="BK125" s="26" t="n">
        <v>125</v>
      </c>
      <c r="BL125" s="27" t="n">
        <v>2.25</v>
      </c>
      <c r="BM125" s="28" t="n">
        <v>0.444444</v>
      </c>
      <c r="BN125" s="28" t="n">
        <v>0.442786</v>
      </c>
      <c r="BO125" s="28" t="n"/>
      <c r="BP125" s="25" t="n"/>
      <c r="BQ125" s="27" t="n">
        <v>2.15</v>
      </c>
      <c r="BR125" s="28" t="n">
        <v>0.465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inlineStr">
        <is>
          <t>0.5330109092</t>
        </is>
      </c>
      <c r="CD125" s="24" t="inlineStr">
        <is>
          <t>-1.264903</t>
        </is>
      </c>
      <c r="CE125" s="24" t="inlineStr">
        <is>
          <t>0.94</t>
        </is>
      </c>
      <c r="CF125" s="24" t="inlineStr">
        <is>
          <t>1.0066</t>
        </is>
      </c>
      <c r="CG125" s="24" t="n"/>
      <c r="CH125" s="24" t="n"/>
      <c r="CI125" s="24" t="n"/>
      <c r="CJ125" s="24" t="inlineStr">
        <is>
          <t>-1.046056</t>
        </is>
      </c>
      <c r="CK125" s="24" t="n"/>
      <c r="CL125" s="24" t="inlineStr">
        <is>
          <t>-0.31214</t>
        </is>
      </c>
      <c r="CM125" s="24" t="inlineStr">
        <is>
          <t>-0.7261</t>
        </is>
      </c>
      <c r="CN125" s="24" t="n"/>
      <c r="CO125" s="24" t="n"/>
      <c r="CP125" s="24" t="n"/>
      <c r="CQ125" s="24" t="n"/>
      <c r="CR125" s="24" t="inlineStr">
        <is>
          <t>0.546791</t>
        </is>
      </c>
      <c r="CS125" s="24" t="inlineStr">
        <is>
          <t>True</t>
        </is>
      </c>
    </row>
    <row r="126" ht="36" customHeight="1">
      <c r="A126" s="24" t="inlineStr">
        <is>
          <t>2b05b124b454436f</t>
        </is>
      </c>
      <c r="B126" s="24" t="inlineStr">
        <is>
          <t>2026-08-08T18:35:59.410253Z</t>
        </is>
      </c>
      <c r="C126" s="24" t="inlineStr">
        <is>
          <t>2026-08-08T19:15:00-0400</t>
        </is>
      </c>
      <c r="D126" s="24" t="inlineStr">
        <is>
          <t>401816448</t>
        </is>
      </c>
      <c r="E126" s="24" t="inlineStr">
        <is>
          <t>MLB</t>
        </is>
      </c>
      <c r="F126" s="24" t="inlineStr">
        <is>
          <t>Colorado Rockies</t>
        </is>
      </c>
      <c r="G126" s="24" t="inlineStr">
        <is>
          <t>St. Louis Cardinals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-144</v>
      </c>
      <c r="M126" s="27" t="n">
        <v>1.694444</v>
      </c>
      <c r="N126" s="28" t="n">
        <v>0.590164</v>
      </c>
      <c r="O126" s="28" t="n">
        <v>0.652181</v>
      </c>
      <c r="P126" s="28" t="n"/>
      <c r="Q126" s="28" t="n">
        <v>0.062017</v>
      </c>
      <c r="R126" s="26" t="n">
        <v>53</v>
      </c>
      <c r="S126" s="29" t="n">
        <v>1.75</v>
      </c>
      <c r="T126" s="24" t="inlineStr">
        <is>
          <t>mlb-elo-trend-lr-v8</t>
        </is>
      </c>
      <c r="U126" s="24" t="inlineStr">
        <is>
          <t>settled</t>
        </is>
      </c>
      <c r="V126" s="24" t="inlineStr">
        <is>
          <t>loss</t>
        </is>
      </c>
      <c r="W126" s="26" t="n">
        <v>8</v>
      </c>
      <c r="X126" s="26" t="n">
        <v>6</v>
      </c>
      <c r="Y126" s="25" t="n"/>
      <c r="Z126" s="26" t="n">
        <v>-150</v>
      </c>
      <c r="AA126" s="28" t="n">
        <v>0.6</v>
      </c>
      <c r="AB126" s="28" t="n">
        <v>0.009835999999999999</v>
      </c>
      <c r="AC126" s="30" t="n">
        <v>-1.75</v>
      </c>
      <c r="AD126" s="24" t="inlineStr">
        <is>
          <t>2026-08-09T05:12:39.080924Z</t>
        </is>
      </c>
      <c r="AE126" s="31" t="inlineStr">
        <is>
          <t>Learned LR call at threshold 0.5873; executable ask 0.5900 (aec-mlb-col-stl-2026-08-08); model edge vs ask +0.0622.</t>
        </is>
      </c>
      <c r="AF126" s="31" t="inlineStr">
        <is>
          <t>Learned model; shadow-qualified via operator override.</t>
        </is>
      </c>
      <c r="AG126" s="24" t="inlineStr">
        <is>
          <t>review_required</t>
        </is>
      </c>
      <c r="AH126" s="24" t="n"/>
      <c r="AI126" s="31" t="n"/>
      <c r="AJ1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NO_CALL_WINNER_OVERVALUED</t>
        </is>
      </c>
      <c r="AP126" s="24" t="inlineStr">
        <is>
          <t>mlb-col</t>
        </is>
      </c>
      <c r="AQ126" s="24" t="inlineStr">
        <is>
          <t>Colorado Rockies</t>
        </is>
      </c>
      <c r="AR126" s="24" t="inlineStr">
        <is>
          <t>Colorado Rockies</t>
        </is>
      </c>
      <c r="AS126" s="24" t="inlineStr">
        <is>
          <t>mlb-stl</t>
        </is>
      </c>
      <c r="AT126" s="24" t="inlineStr">
        <is>
          <t>St. Louis Cardinals</t>
        </is>
      </c>
      <c r="AU126" s="24" t="inlineStr">
        <is>
          <t>St. Louis Cardinals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6a5c79541b0e50cb9f7318270e63d5ccc65cbd7bc53a019748ff772d49de5075</t>
        </is>
      </c>
      <c r="BB126" s="24" t="inlineStr">
        <is>
          <t>learned_lr</t>
        </is>
      </c>
      <c r="BC126" s="24" t="inlineStr">
        <is>
          <t>mlb-elo-trend-lr-v8</t>
        </is>
      </c>
      <c r="BD126" s="24" t="inlineStr">
        <is>
          <t>6a5c79541b0e50cb9f7318270e63d5ccc65cbd7bc53a019748ff772d49de5075</t>
        </is>
      </c>
      <c r="BE126" s="24" t="inlineStr">
        <is>
          <t>49503d27abde1658</t>
        </is>
      </c>
      <c r="BF126" s="24" t="inlineStr">
        <is>
          <t>1</t>
        </is>
      </c>
      <c r="BG126" s="24" t="inlineStr">
        <is>
          <t>mlb-elo-trend-lr-v8</t>
        </is>
      </c>
      <c r="BH126" s="24" t="inlineStr">
        <is>
          <t>2026-08-08T18:35:36.837369Z</t>
        </is>
      </c>
      <c r="BI126" s="24" t="inlineStr">
        <is>
          <t>["same_event","same_team_same_day","same_league_same_day"]</t>
        </is>
      </c>
      <c r="BJ126" s="25" t="n"/>
      <c r="BK126" s="26" t="n">
        <v>-144</v>
      </c>
      <c r="BL126" s="27" t="n">
        <v>1.694444</v>
      </c>
      <c r="BM126" s="28" t="n">
        <v>0.590164</v>
      </c>
      <c r="BN126" s="28" t="n">
        <v>0.5870649999999999</v>
      </c>
      <c r="BO126" s="28" t="n"/>
      <c r="BP126" s="25" t="n"/>
      <c r="BQ126" s="27" t="n">
        <v>1.666667</v>
      </c>
      <c r="BR126" s="28" t="n">
        <v>0.6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0.6608663398</t>
        </is>
      </c>
      <c r="CD126" s="24" t="inlineStr">
        <is>
          <t>-0.358062</t>
        </is>
      </c>
      <c r="CE126" s="24" t="inlineStr">
        <is>
          <t>0.946</t>
        </is>
      </c>
      <c r="CF126" s="24" t="inlineStr">
        <is>
          <t>1.0204</t>
        </is>
      </c>
      <c r="CG126" s="24" t="n"/>
      <c r="CH126" s="24" t="n"/>
      <c r="CI126" s="24" t="n"/>
      <c r="CJ126" s="24" t="inlineStr">
        <is>
          <t>1.053598</t>
        </is>
      </c>
      <c r="CK126" s="24" t="n"/>
      <c r="CL126" s="24" t="inlineStr">
        <is>
          <t>0.05486</t>
        </is>
      </c>
      <c r="CM126" s="24" t="inlineStr">
        <is>
          <t>-2.2234</t>
        </is>
      </c>
      <c r="CN126" s="24" t="n"/>
      <c r="CO126" s="24" t="n"/>
      <c r="CP126" s="24" t="n"/>
      <c r="CQ126" s="24" t="n"/>
      <c r="CR126" s="24" t="inlineStr">
        <is>
          <t>0.652181</t>
        </is>
      </c>
      <c r="CS126" s="24" t="inlineStr">
        <is>
          <t>True</t>
        </is>
      </c>
    </row>
    <row r="127" ht="36" customHeight="1">
      <c r="A127" s="24" t="inlineStr">
        <is>
          <t>11fcbcb6ca584666</t>
        </is>
      </c>
      <c r="B127" s="24" t="inlineStr">
        <is>
          <t>2026-08-08T18:35:59.410253Z</t>
        </is>
      </c>
      <c r="C127" s="24" t="inlineStr">
        <is>
          <t>2026-08-08T19:15:00-0400</t>
        </is>
      </c>
      <c r="D127" s="24" t="inlineStr">
        <is>
          <t>401816450</t>
        </is>
      </c>
      <c r="E127" s="24" t="inlineStr">
        <is>
          <t>MLB</t>
        </is>
      </c>
      <c r="F127" s="24" t="inlineStr">
        <is>
          <t>Detroit Tigers</t>
        </is>
      </c>
      <c r="G127" s="24" t="inlineStr">
        <is>
          <t>San Francisco Giants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-113</v>
      </c>
      <c r="M127" s="27" t="n">
        <v>1.884956</v>
      </c>
      <c r="N127" s="28" t="n">
        <v>0.530516</v>
      </c>
      <c r="O127" s="28" t="n">
        <v>0.510009</v>
      </c>
      <c r="P127" s="28" t="n"/>
      <c r="Q127" s="28" t="n">
        <v>-0.020507</v>
      </c>
      <c r="R127" s="26" t="n">
        <v>11</v>
      </c>
      <c r="S127" s="29" t="n">
        <v>1</v>
      </c>
      <c r="T127" s="24" t="inlineStr">
        <is>
          <t>mlb-elo-trend-lr-v8</t>
        </is>
      </c>
      <c r="U127" s="24" t="inlineStr">
        <is>
          <t>settled</t>
        </is>
      </c>
      <c r="V127" s="24" t="inlineStr">
        <is>
          <t>win</t>
        </is>
      </c>
      <c r="W127" s="26" t="n">
        <v>8</v>
      </c>
      <c r="X127" s="26" t="n">
        <v>0</v>
      </c>
      <c r="Y127" s="25" t="n"/>
      <c r="Z127" s="26" t="n">
        <v>-102</v>
      </c>
      <c r="AA127" s="28" t="n">
        <v>0.505</v>
      </c>
      <c r="AB127" s="28" t="n">
        <v>-0.025516</v>
      </c>
      <c r="AC127" s="30" t="n">
        <v>0.885</v>
      </c>
      <c r="AD127" s="24" t="inlineStr">
        <is>
          <t>2026-08-09T05:12:41.786491Z</t>
        </is>
      </c>
      <c r="AE127" s="31" t="inlineStr">
        <is>
          <t>Learned LR call at threshold 0.5873; executable ask 0.5300 (aec-mlb-det-sf-2026-08-08); model edge vs ask -0.0200.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NO_CALL_WINNER_OVERVALUED</t>
        </is>
      </c>
      <c r="AP127" s="24" t="inlineStr">
        <is>
          <t>mlb-det</t>
        </is>
      </c>
      <c r="AQ127" s="24" t="inlineStr">
        <is>
          <t>Detroit Tigers</t>
        </is>
      </c>
      <c r="AR127" s="24" t="inlineStr">
        <is>
          <t>Detroit Tigers</t>
        </is>
      </c>
      <c r="AS127" s="24" t="inlineStr">
        <is>
          <t>mlb-sf</t>
        </is>
      </c>
      <c r="AT127" s="24" t="inlineStr">
        <is>
          <t>San Francisco Giants</t>
        </is>
      </c>
      <c r="AU127" s="24" t="inlineStr">
        <is>
          <t>San Francisco Giants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6a5c79541b0e50cb9f7318270e63d5ccc65cbd7bc53a019748ff772d49de5075</t>
        </is>
      </c>
      <c r="BB127" s="24" t="inlineStr">
        <is>
          <t>learned_lr</t>
        </is>
      </c>
      <c r="BC127" s="24" t="inlineStr">
        <is>
          <t>mlb-elo-trend-lr-v8</t>
        </is>
      </c>
      <c r="BD127" s="24" t="inlineStr">
        <is>
          <t>6a5c79541b0e50cb9f7318270e63d5ccc65cbd7bc53a019748ff772d49de5075</t>
        </is>
      </c>
      <c r="BE127" s="24" t="inlineStr">
        <is>
          <t>c6bd1a7b7b409579</t>
        </is>
      </c>
      <c r="BF127" s="24" t="inlineStr">
        <is>
          <t>1</t>
        </is>
      </c>
      <c r="BG127" s="24" t="inlineStr">
        <is>
          <t>mlb-elo-trend-lr-v8</t>
        </is>
      </c>
      <c r="BH127" s="24" t="inlineStr">
        <is>
          <t>2026-08-08T18:35:38.899508Z</t>
        </is>
      </c>
      <c r="BI127" s="24" t="inlineStr">
        <is>
          <t>["same_event","same_team_same_day","same_league_same_day"]</t>
        </is>
      </c>
      <c r="BJ127" s="25" t="n"/>
      <c r="BK127" s="26" t="n">
        <v>-113</v>
      </c>
      <c r="BL127" s="27" t="n">
        <v>1.884956</v>
      </c>
      <c r="BM127" s="28" t="n">
        <v>0.530516</v>
      </c>
      <c r="BN127" s="28" t="n">
        <v>0.527363</v>
      </c>
      <c r="BO127" s="28" t="n"/>
      <c r="BP127" s="25" t="n"/>
      <c r="BQ127" s="27" t="n">
        <v>1.980392</v>
      </c>
      <c r="BR127" s="28" t="n">
        <v>0.505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0.4512491472</t>
        </is>
      </c>
      <c r="CD127" s="24" t="inlineStr">
        <is>
          <t>-2.881739</t>
        </is>
      </c>
      <c r="CE127" s="24" t="inlineStr">
        <is>
          <t>0.982</t>
        </is>
      </c>
      <c r="CF127" s="24" t="inlineStr">
        <is>
          <t>1.0058</t>
        </is>
      </c>
      <c r="CG127" s="24" t="n"/>
      <c r="CH127" s="24" t="n"/>
      <c r="CI127" s="24" t="n"/>
      <c r="CJ127" s="24" t="inlineStr">
        <is>
          <t>-1.325333</t>
        </is>
      </c>
      <c r="CK127" s="24" t="n"/>
      <c r="CL127" s="24" t="inlineStr">
        <is>
          <t>-0.175408</t>
        </is>
      </c>
      <c r="CM127" s="24" t="inlineStr">
        <is>
          <t>-0.5929</t>
        </is>
      </c>
      <c r="CN127" s="24" t="n"/>
      <c r="CO127" s="24" t="n"/>
      <c r="CP127" s="24" t="n"/>
      <c r="CQ127" s="24" t="n"/>
      <c r="CR127" s="24" t="inlineStr">
        <is>
          <t>0.510009</t>
        </is>
      </c>
      <c r="CS127" s="24" t="inlineStr">
        <is>
          <t>False</t>
        </is>
      </c>
    </row>
    <row r="128" ht="36" customHeight="1">
      <c r="A128" s="24" t="inlineStr">
        <is>
          <t>daa6a70458104816</t>
        </is>
      </c>
      <c r="B128" s="24" t="inlineStr">
        <is>
          <t>2026-08-08T18:35:59.410253Z</t>
        </is>
      </c>
      <c r="C128" s="24" t="inlineStr">
        <is>
          <t>2026-08-08T19:15:00-0400</t>
        </is>
      </c>
      <c r="D128" s="24" t="inlineStr">
        <is>
          <t>401816451</t>
        </is>
      </c>
      <c r="E128" s="24" t="inlineStr">
        <is>
          <t>MLB</t>
        </is>
      </c>
      <c r="F128" s="24" t="inlineStr">
        <is>
          <t>Houston Astros</t>
        </is>
      </c>
      <c r="G128" s="24" t="inlineStr">
        <is>
          <t>San Diego Padres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-113</v>
      </c>
      <c r="M128" s="27" t="n">
        <v>1.884956</v>
      </c>
      <c r="N128" s="28" t="n">
        <v>0.530516</v>
      </c>
      <c r="O128" s="28" t="n">
        <v>0.574353</v>
      </c>
      <c r="P128" s="28" t="n"/>
      <c r="Q128" s="28" t="n">
        <v>0.043837</v>
      </c>
      <c r="R128" s="26" t="n">
        <v>43</v>
      </c>
      <c r="S128" s="29" t="n">
        <v>1.25</v>
      </c>
      <c r="T128" s="24" t="inlineStr">
        <is>
          <t>mlb-elo-trend-lr-v8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3</v>
      </c>
      <c r="Y128" s="25" t="n"/>
      <c r="Z128" s="26" t="n">
        <v>-115</v>
      </c>
      <c r="AA128" s="28" t="n">
        <v>0.535</v>
      </c>
      <c r="AB128" s="28" t="n">
        <v>0.004484</v>
      </c>
      <c r="AC128" s="30" t="n">
        <v>1.1062</v>
      </c>
      <c r="AD128" s="24" t="inlineStr">
        <is>
          <t>2026-08-09T05:12:44.506651Z</t>
        </is>
      </c>
      <c r="AE128" s="31" t="inlineStr">
        <is>
          <t>Learned LR call at threshold 0.5873; executable ask 0.5300 (aec-mlb-hou-sd-2026-08-08); model edge vs ask +0.0444.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NO_CALL_WINNER_OVERVALUED</t>
        </is>
      </c>
      <c r="AP128" s="24" t="inlineStr">
        <is>
          <t>mlb-hou</t>
        </is>
      </c>
      <c r="AQ128" s="24" t="inlineStr">
        <is>
          <t>Houston Astros</t>
        </is>
      </c>
      <c r="AR128" s="24" t="inlineStr">
        <is>
          <t>Houston Astros</t>
        </is>
      </c>
      <c r="AS128" s="24" t="inlineStr">
        <is>
          <t>mlb-sd</t>
        </is>
      </c>
      <c r="AT128" s="24" t="inlineStr">
        <is>
          <t>San Diego Padres</t>
        </is>
      </c>
      <c r="AU128" s="24" t="inlineStr">
        <is>
          <t>San Diego Padres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6a5c79541b0e50cb9f7318270e63d5ccc65cbd7bc53a019748ff772d49de5075</t>
        </is>
      </c>
      <c r="BB128" s="24" t="inlineStr">
        <is>
          <t>learned_lr</t>
        </is>
      </c>
      <c r="BC128" s="24" t="inlineStr">
        <is>
          <t>mlb-elo-trend-lr-v8</t>
        </is>
      </c>
      <c r="BD128" s="24" t="inlineStr">
        <is>
          <t>6a5c79541b0e50cb9f7318270e63d5ccc65cbd7bc53a019748ff772d49de5075</t>
        </is>
      </c>
      <c r="BE128" s="24" t="inlineStr">
        <is>
          <t>61d05a4208614dbc</t>
        </is>
      </c>
      <c r="BF128" s="24" t="inlineStr">
        <is>
          <t>1</t>
        </is>
      </c>
      <c r="BG128" s="24" t="inlineStr">
        <is>
          <t>mlb-elo-trend-lr-v8</t>
        </is>
      </c>
      <c r="BH128" s="24" t="inlineStr">
        <is>
          <t>2026-08-08T18:35:38.454839Z</t>
        </is>
      </c>
      <c r="BI128" s="24" t="inlineStr">
        <is>
          <t>["same_event","same_team_same_day","same_league_same_day"]</t>
        </is>
      </c>
      <c r="BJ128" s="25" t="n"/>
      <c r="BK128" s="26" t="n">
        <v>-113</v>
      </c>
      <c r="BL128" s="27" t="n">
        <v>1.884956</v>
      </c>
      <c r="BM128" s="28" t="n">
        <v>0.530516</v>
      </c>
      <c r="BN128" s="28" t="n">
        <v>0.527363</v>
      </c>
      <c r="BO128" s="28" t="n"/>
      <c r="BP128" s="25" t="n"/>
      <c r="BQ128" s="27" t="n">
        <v>1.869565</v>
      </c>
      <c r="BR128" s="28" t="n">
        <v>0.535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0.5604308496</t>
        </is>
      </c>
      <c r="CD128" s="24" t="inlineStr">
        <is>
          <t>-0.469736</t>
        </is>
      </c>
      <c r="CE128" s="24" t="inlineStr">
        <is>
          <t>0.947</t>
        </is>
      </c>
      <c r="CF128" s="24" t="inlineStr">
        <is>
          <t>1.0117</t>
        </is>
      </c>
      <c r="CG128" s="24" t="n"/>
      <c r="CH128" s="24" t="n"/>
      <c r="CI128" s="24" t="n"/>
      <c r="CJ128" s="24" t="inlineStr">
        <is>
          <t>-0.578519</t>
        </is>
      </c>
      <c r="CK128" s="24" t="n"/>
      <c r="CL128" s="24" t="inlineStr">
        <is>
          <t>0.308141</t>
        </is>
      </c>
      <c r="CM128" s="24" t="inlineStr">
        <is>
          <t>1.2767</t>
        </is>
      </c>
      <c r="CN128" s="24" t="n"/>
      <c r="CO128" s="24" t="n"/>
      <c r="CP128" s="24" t="n"/>
      <c r="CQ128" s="24" t="n"/>
      <c r="CR128" s="24" t="inlineStr">
        <is>
          <t>0.574353</t>
        </is>
      </c>
      <c r="CS128" s="24" t="inlineStr">
        <is>
          <t>True</t>
        </is>
      </c>
    </row>
    <row r="129" ht="36" customHeight="1">
      <c r="A129" s="24" t="inlineStr">
        <is>
          <t>13c6fdb79ce94b9d</t>
        </is>
      </c>
      <c r="B129" s="24" t="inlineStr">
        <is>
          <t>2026-08-08T18:35:59.410253Z</t>
        </is>
      </c>
      <c r="C129" s="24" t="inlineStr">
        <is>
          <t>2026-08-08T20:10:00-0400</t>
        </is>
      </c>
      <c r="D129" s="24" t="inlineStr">
        <is>
          <t>401816452</t>
        </is>
      </c>
      <c r="E129" s="24" t="inlineStr">
        <is>
          <t>MLB</t>
        </is>
      </c>
      <c r="F129" s="24" t="inlineStr">
        <is>
          <t>Los Angeles Dodgers</t>
        </is>
      </c>
      <c r="G129" s="24" t="inlineStr">
        <is>
          <t>Arizona Diamondbacks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-182</v>
      </c>
      <c r="M129" s="27" t="n">
        <v>1.549451</v>
      </c>
      <c r="N129" s="28" t="n">
        <v>0.64539</v>
      </c>
      <c r="O129" s="28" t="n">
        <v>0.523891</v>
      </c>
      <c r="P129" s="28" t="n"/>
      <c r="Q129" s="28" t="n">
        <v>-0.121499</v>
      </c>
      <c r="R129" s="26" t="n">
        <v>0</v>
      </c>
      <c r="S129" s="29" t="n">
        <v>1</v>
      </c>
      <c r="T129" s="24" t="inlineStr">
        <is>
          <t>mlb-elo-trend-lr-v8</t>
        </is>
      </c>
      <c r="U129" s="24" t="inlineStr">
        <is>
          <t>settled</t>
        </is>
      </c>
      <c r="V129" s="24" t="inlineStr">
        <is>
          <t>win</t>
        </is>
      </c>
      <c r="W129" s="26" t="n">
        <v>2</v>
      </c>
      <c r="X129" s="26" t="n">
        <v>1</v>
      </c>
      <c r="Y129" s="25" t="n"/>
      <c r="Z129" s="26" t="n">
        <v>-156</v>
      </c>
      <c r="AA129" s="28" t="n">
        <v>0.61</v>
      </c>
      <c r="AB129" s="28" t="n">
        <v>-0.03539</v>
      </c>
      <c r="AC129" s="30" t="n">
        <v>0.5495</v>
      </c>
      <c r="AD129" s="24" t="inlineStr">
        <is>
          <t>2026-08-09T05:12:47.114118Z</t>
        </is>
      </c>
      <c r="AE129" s="31" t="inlineStr">
        <is>
          <t>Learned LR call at threshold 0.5873; executable ask 0.6450 (aec-mlb-lad-az-2026-08-08); model edge vs ask -0.1211.</t>
        </is>
      </c>
      <c r="AF129" s="31" t="inlineStr">
        <is>
          <t>Learned model; shadow-qualified via operator override.</t>
        </is>
      </c>
      <c r="AG129" s="24" t="inlineStr">
        <is>
          <t>not_applicable</t>
        </is>
      </c>
      <c r="AH129" s="24" t="n"/>
      <c r="AI129" s="31" t="n"/>
      <c r="AJ1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NO_CALL_WINNER_OVERVALUED</t>
        </is>
      </c>
      <c r="AP129" s="24" t="inlineStr">
        <is>
          <t>mlb-lad</t>
        </is>
      </c>
      <c r="AQ129" s="24" t="inlineStr">
        <is>
          <t>Los Angeles Dodgers</t>
        </is>
      </c>
      <c r="AR129" s="24" t="inlineStr">
        <is>
          <t>Los Angeles Dodgers</t>
        </is>
      </c>
      <c r="AS129" s="24" t="inlineStr">
        <is>
          <t>mlb-ari</t>
        </is>
      </c>
      <c r="AT129" s="24" t="inlineStr">
        <is>
          <t>Arizona Diamondbacks</t>
        </is>
      </c>
      <c r="AU129" s="24" t="inlineStr">
        <is>
          <t>Arizona Diamondbacks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6a5c79541b0e50cb9f7318270e63d5ccc65cbd7bc53a019748ff772d49de5075</t>
        </is>
      </c>
      <c r="BB129" s="24" t="inlineStr">
        <is>
          <t>learned_lr</t>
        </is>
      </c>
      <c r="BC129" s="24" t="inlineStr">
        <is>
          <t>mlb-elo-trend-lr-v8</t>
        </is>
      </c>
      <c r="BD129" s="24" t="inlineStr">
        <is>
          <t>6a5c79541b0e50cb9f7318270e63d5ccc65cbd7bc53a019748ff772d49de5075</t>
        </is>
      </c>
      <c r="BE129" s="24" t="inlineStr">
        <is>
          <t>416bfa50445f715c</t>
        </is>
      </c>
      <c r="BF129" s="24" t="inlineStr">
        <is>
          <t>1</t>
        </is>
      </c>
      <c r="BG129" s="24" t="inlineStr">
        <is>
          <t>mlb-elo-trend-lr-v8</t>
        </is>
      </c>
      <c r="BH129" s="24" t="inlineStr">
        <is>
          <t>2026-08-08T18:35:39.324262Z</t>
        </is>
      </c>
      <c r="BI129" s="24" t="inlineStr">
        <is>
          <t>["same_event","same_team_same_day","same_league_same_day"]</t>
        </is>
      </c>
      <c r="BJ129" s="25" t="n"/>
      <c r="BK129" s="26" t="n">
        <v>-182</v>
      </c>
      <c r="BL129" s="27" t="n">
        <v>1.549451</v>
      </c>
      <c r="BM129" s="28" t="n">
        <v>0.64539</v>
      </c>
      <c r="BN129" s="28" t="n">
        <v>0.641791</v>
      </c>
      <c r="BO129" s="28" t="n"/>
      <c r="BP129" s="25" t="n"/>
      <c r="BQ129" s="27" t="n">
        <v>1.641026</v>
      </c>
      <c r="BR129" s="28" t="n">
        <v>0.61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0.4742141149</t>
        </is>
      </c>
      <c r="CD129" s="24" t="inlineStr">
        <is>
          <t>0.98932</t>
        </is>
      </c>
      <c r="CE129" s="24" t="inlineStr">
        <is>
          <t>1.097</t>
        </is>
      </c>
      <c r="CF129" s="24" t="inlineStr">
        <is>
          <t>1.0</t>
        </is>
      </c>
      <c r="CG129" s="24" t="n"/>
      <c r="CH129" s="24" t="n"/>
      <c r="CI129" s="24" t="n"/>
      <c r="CJ129" s="24" t="inlineStr">
        <is>
          <t>1.625018</t>
        </is>
      </c>
      <c r="CK129" s="24" t="n"/>
      <c r="CL129" s="24" t="inlineStr">
        <is>
          <t>0.17493</t>
        </is>
      </c>
      <c r="CM129" s="24" t="inlineStr">
        <is>
          <t>-1.6235</t>
        </is>
      </c>
      <c r="CN129" s="24" t="n"/>
      <c r="CO129" s="24" t="n"/>
      <c r="CP129" s="24" t="n"/>
      <c r="CQ129" s="24" t="n"/>
      <c r="CR129" s="24" t="inlineStr">
        <is>
          <t>0.523891</t>
        </is>
      </c>
      <c r="CS129" s="24" t="inlineStr">
        <is>
          <t>False</t>
        </is>
      </c>
    </row>
    <row r="130" ht="36" customHeight="1">
      <c r="A130" s="24" t="inlineStr">
        <is>
          <t>414edf31d08e466f</t>
        </is>
      </c>
      <c r="B130" s="24" t="inlineStr">
        <is>
          <t>2026-08-08T18:35:59.410253Z</t>
        </is>
      </c>
      <c r="C130" s="24" t="inlineStr">
        <is>
          <t>2026-08-08T21:50:00-0400</t>
        </is>
      </c>
      <c r="D130" s="24" t="inlineStr">
        <is>
          <t>401816453</t>
        </is>
      </c>
      <c r="E130" s="24" t="inlineStr">
        <is>
          <t>MLB</t>
        </is>
      </c>
      <c r="F130" s="24" t="inlineStr">
        <is>
          <t>Tampa Bay Rays</t>
        </is>
      </c>
      <c r="G130" s="24" t="inlineStr">
        <is>
          <t>Seattle Mariners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-108</v>
      </c>
      <c r="M130" s="27" t="n">
        <v>1.925926</v>
      </c>
      <c r="N130" s="28" t="n">
        <v>0.519231</v>
      </c>
      <c r="O130" s="28" t="n">
        <v>0.563624</v>
      </c>
      <c r="P130" s="28" t="n"/>
      <c r="Q130" s="28" t="n">
        <v>0.044393</v>
      </c>
      <c r="R130" s="26" t="n">
        <v>43</v>
      </c>
      <c r="S130" s="29" t="n">
        <v>1</v>
      </c>
      <c r="T130" s="24" t="inlineStr">
        <is>
          <t>mlb-elo-trend-lr-v8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>
        <v>-111</v>
      </c>
      <c r="AA130" s="28" t="n">
        <v>0.525</v>
      </c>
      <c r="AB130" s="28" t="n">
        <v>0.005769</v>
      </c>
      <c r="AC130" s="30" t="n">
        <v>-1</v>
      </c>
      <c r="AD130" s="24" t="inlineStr">
        <is>
          <t>2026-08-09T05:12:49.815992Z</t>
        </is>
      </c>
      <c r="AE130" s="31" t="inlineStr">
        <is>
          <t>Learned LR call at threshold 0.5873; executable ask 0.5200 (aec-mlb-tb-sea-2026-08-08); model edge vs ask +0.0436.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NO_CALL_WINNER_OVERVALUED</t>
        </is>
      </c>
      <c r="AP130" s="24" t="inlineStr">
        <is>
          <t>mlb-tb</t>
        </is>
      </c>
      <c r="AQ130" s="24" t="inlineStr">
        <is>
          <t>Tampa Bay Rays</t>
        </is>
      </c>
      <c r="AR130" s="24" t="inlineStr">
        <is>
          <t>Tampa Bay Rays</t>
        </is>
      </c>
      <c r="AS130" s="24" t="inlineStr">
        <is>
          <t>mlb-sea</t>
        </is>
      </c>
      <c r="AT130" s="24" t="inlineStr">
        <is>
          <t>Seattle Mariners</t>
        </is>
      </c>
      <c r="AU130" s="24" t="inlineStr">
        <is>
          <t>Seattle Mariners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6a5c79541b0e50cb9f7318270e63d5ccc65cbd7bc53a019748ff772d49de5075</t>
        </is>
      </c>
      <c r="BB130" s="24" t="inlineStr">
        <is>
          <t>learned_lr</t>
        </is>
      </c>
      <c r="BC130" s="24" t="inlineStr">
        <is>
          <t>mlb-elo-trend-lr-v8</t>
        </is>
      </c>
      <c r="BD130" s="24" t="inlineStr">
        <is>
          <t>6a5c79541b0e50cb9f7318270e63d5ccc65cbd7bc53a019748ff772d49de5075</t>
        </is>
      </c>
      <c r="BE130" s="24" t="inlineStr">
        <is>
          <t>d06448996d9b4b8f</t>
        </is>
      </c>
      <c r="BF130" s="24" t="inlineStr">
        <is>
          <t>1</t>
        </is>
      </c>
      <c r="BG130" s="24" t="inlineStr">
        <is>
          <t>mlb-elo-trend-lr-v8</t>
        </is>
      </c>
      <c r="BH130" s="24" t="inlineStr">
        <is>
          <t>2026-08-08T18:35:40.003752Z</t>
        </is>
      </c>
      <c r="BI130" s="24" t="inlineStr">
        <is>
          <t>["same_event","same_team_same_day","same_league_same_day"]</t>
        </is>
      </c>
      <c r="BJ130" s="25" t="n"/>
      <c r="BK130" s="26" t="n">
        <v>-108</v>
      </c>
      <c r="BL130" s="27" t="n">
        <v>1.925926</v>
      </c>
      <c r="BM130" s="28" t="n">
        <v>0.519231</v>
      </c>
      <c r="BN130" s="28" t="n">
        <v>0.517413</v>
      </c>
      <c r="BO130" s="28" t="n"/>
      <c r="BP130" s="25" t="n"/>
      <c r="BQ130" s="27" t="n">
        <v>1.900901</v>
      </c>
      <c r="BR130" s="28" t="n">
        <v>0.525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0.5166228758</t>
        </is>
      </c>
      <c r="CD130" s="24" t="inlineStr">
        <is>
          <t>-0.756058</t>
        </is>
      </c>
      <c r="CE130" s="24" t="inlineStr">
        <is>
          <t>0.938</t>
        </is>
      </c>
      <c r="CF130" s="24" t="inlineStr">
        <is>
          <t>1.0</t>
        </is>
      </c>
      <c r="CG130" s="24" t="n"/>
      <c r="CH130" s="24" t="n"/>
      <c r="CI130" s="24" t="n"/>
      <c r="CJ130" s="24" t="inlineStr">
        <is>
          <t>-1.070798</t>
        </is>
      </c>
      <c r="CK130" s="24" t="n"/>
      <c r="CL130" s="24" t="inlineStr">
        <is>
          <t>0.236714</t>
        </is>
      </c>
      <c r="CM130" s="24" t="inlineStr">
        <is>
          <t>-3.0105</t>
        </is>
      </c>
      <c r="CN130" s="24" t="n"/>
      <c r="CO130" s="24" t="n"/>
      <c r="CP130" s="24" t="n"/>
      <c r="CQ130" s="24" t="n"/>
      <c r="CR130" s="24" t="inlineStr">
        <is>
          <t>0.563624</t>
        </is>
      </c>
      <c r="CS130" s="24" t="inlineStr">
        <is>
          <t>True</t>
        </is>
      </c>
    </row>
    <row r="131" ht="36" customHeight="1">
      <c r="A131" s="24" t="inlineStr">
        <is>
          <t>fe23d7a6e93742f2</t>
        </is>
      </c>
      <c r="B131" s="24" t="inlineStr">
        <is>
          <t>2026-08-09T13:59:23.763456Z</t>
        </is>
      </c>
      <c r="C131" s="24" t="inlineStr">
        <is>
          <t>2026-08-09T12:15:00-0400</t>
        </is>
      </c>
      <c r="D131" s="24" t="inlineStr">
        <is>
          <t>401816457</t>
        </is>
      </c>
      <c r="E131" s="24" t="inlineStr">
        <is>
          <t>MLB</t>
        </is>
      </c>
      <c r="F131" s="24" t="inlineStr">
        <is>
          <t>Cincinnati Reds</t>
        </is>
      </c>
      <c r="G131" s="24" t="inlineStr">
        <is>
          <t>Washington Nationals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-102</v>
      </c>
      <c r="M131" s="27" t="n">
        <v>1.980392</v>
      </c>
      <c r="N131" s="28" t="n">
        <v>0.50495</v>
      </c>
      <c r="O131" s="28" t="n">
        <v>0.5168430000000001</v>
      </c>
      <c r="P131" s="28" t="n"/>
      <c r="Q131" s="28" t="n">
        <v>0.011893</v>
      </c>
      <c r="R131" s="26" t="n">
        <v>27</v>
      </c>
      <c r="S131" s="29" t="n">
        <v>1</v>
      </c>
      <c r="T131" s="24" t="inlineStr">
        <is>
          <t>mlb-elo-trend-lr-v8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7</v>
      </c>
      <c r="Y131" s="25" t="n"/>
      <c r="Z131" s="26" t="n">
        <v>-102</v>
      </c>
      <c r="AA131" s="28" t="n">
        <v>0.505</v>
      </c>
      <c r="AB131" s="28" t="n">
        <v>5e-05</v>
      </c>
      <c r="AC131" s="30" t="n">
        <v>0.9804</v>
      </c>
      <c r="AD131" s="24" t="inlineStr">
        <is>
          <t>2026-08-09T20:24:36.243090Z</t>
        </is>
      </c>
      <c r="AE131" s="31" t="inlineStr">
        <is>
          <t>Learned LR call at threshold 0.5873; executable ask 0.5050 (aec-mlb-cin-wsh-2026-08-09); model edge vs ask +0.0118.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NO_CALL_WINNER_OVERVALUED</t>
        </is>
      </c>
      <c r="AP131" s="24" t="inlineStr">
        <is>
          <t>mlb-cin</t>
        </is>
      </c>
      <c r="AQ131" s="24" t="inlineStr">
        <is>
          <t>Cincinnati Reds</t>
        </is>
      </c>
      <c r="AR131" s="24" t="inlineStr">
        <is>
          <t>Cincinnati Reds</t>
        </is>
      </c>
      <c r="AS131" s="24" t="inlineStr">
        <is>
          <t>mlb-wsh</t>
        </is>
      </c>
      <c r="AT131" s="24" t="inlineStr">
        <is>
          <t>Washington Nationals</t>
        </is>
      </c>
      <c r="AU131" s="24" t="inlineStr">
        <is>
          <t>Washington Nationals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6a5c79541b0e50cb9f7318270e63d5ccc65cbd7bc53a019748ff772d49de5075</t>
        </is>
      </c>
      <c r="BB131" s="24" t="inlineStr">
        <is>
          <t>learned_lr</t>
        </is>
      </c>
      <c r="BC131" s="24" t="inlineStr">
        <is>
          <t>mlb-elo-trend-lr-v8</t>
        </is>
      </c>
      <c r="BD131" s="24" t="inlineStr">
        <is>
          <t>6a5c79541b0e50cb9f7318270e63d5ccc65cbd7bc53a019748ff772d49de5075</t>
        </is>
      </c>
      <c r="BE131" s="24" t="inlineStr">
        <is>
          <t>6fd6d978156de795</t>
        </is>
      </c>
      <c r="BF131" s="24" t="inlineStr">
        <is>
          <t>1</t>
        </is>
      </c>
      <c r="BG131" s="24" t="inlineStr">
        <is>
          <t>mlb-elo-trend-lr-v8</t>
        </is>
      </c>
      <c r="BH131" s="24" t="inlineStr">
        <is>
          <t>2026-08-09T13:58:04.211660Z</t>
        </is>
      </c>
      <c r="BI131" s="24" t="inlineStr">
        <is>
          <t>["same_event","same_team_same_day","same_league_same_day"]</t>
        </is>
      </c>
      <c r="BJ131" s="25" t="n"/>
      <c r="BK131" s="26" t="n">
        <v>-102</v>
      </c>
      <c r="BL131" s="27" t="n">
        <v>1.980392</v>
      </c>
      <c r="BM131" s="28" t="n">
        <v>0.50495</v>
      </c>
      <c r="BN131" s="28" t="n">
        <v>0.502488</v>
      </c>
      <c r="BO131" s="28" t="n"/>
      <c r="BP131" s="25" t="n"/>
      <c r="BQ131" s="27" t="n">
        <v>1.980392</v>
      </c>
      <c r="BR131" s="28" t="n">
        <v>0.505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0.522652288</t>
        </is>
      </c>
      <c r="CD131" s="24" t="inlineStr">
        <is>
          <t>0.513003</t>
        </is>
      </c>
      <c r="CE131" s="24" t="inlineStr">
        <is>
          <t>1.045</t>
        </is>
      </c>
      <c r="CF131" s="24" t="inlineStr">
        <is>
          <t>1.0197</t>
        </is>
      </c>
      <c r="CG131" s="24" t="n"/>
      <c r="CH131" s="24" t="n"/>
      <c r="CI131" s="24" t="n"/>
      <c r="CJ131" s="24" t="inlineStr">
        <is>
          <t>1.03586</t>
        </is>
      </c>
      <c r="CK131" s="24" t="n"/>
      <c r="CL131" s="24" t="inlineStr">
        <is>
          <t>0.211606</t>
        </is>
      </c>
      <c r="CM131" s="24" t="inlineStr">
        <is>
          <t>0.6196</t>
        </is>
      </c>
      <c r="CN131" s="24" t="n"/>
      <c r="CO131" s="24" t="n"/>
      <c r="CP131" s="24" t="n"/>
      <c r="CQ131" s="24" t="n"/>
      <c r="CR131" s="24" t="inlineStr">
        <is>
          <t>0.516843</t>
        </is>
      </c>
      <c r="CS131" s="24" t="inlineStr">
        <is>
          <t>True</t>
        </is>
      </c>
    </row>
    <row r="132" ht="36" customHeight="1">
      <c r="A132" s="24" t="inlineStr">
        <is>
          <t>343f5a2a95c343f7</t>
        </is>
      </c>
      <c r="B132" s="24" t="inlineStr">
        <is>
          <t>2026-08-09T14:00:08.454871Z</t>
        </is>
      </c>
      <c r="C132" s="24" t="inlineStr">
        <is>
          <t>2026-08-09T16:15Z</t>
        </is>
      </c>
      <c r="D132" s="24" t="inlineStr">
        <is>
          <t>401816457</t>
        </is>
      </c>
      <c r="E132" s="24" t="inlineStr">
        <is>
          <t>MLB</t>
        </is>
      </c>
      <c r="F132" s="24" t="inlineStr">
        <is>
          <t>Cincinnati Reds</t>
        </is>
      </c>
      <c r="G132" s="24" t="inlineStr">
        <is>
          <t>Washington Nationals</t>
        </is>
      </c>
      <c r="H132" s="24" t="inlineStr">
        <is>
          <t>spread</t>
        </is>
      </c>
      <c r="I132" s="24" t="inlineStr">
        <is>
          <t>away</t>
        </is>
      </c>
      <c r="J132" s="25" t="n">
        <v>-1.5</v>
      </c>
      <c r="K132" s="24" t="inlineStr">
        <is>
          <t>polymarket_us</t>
        </is>
      </c>
      <c r="L132" s="26" t="n">
        <v>156</v>
      </c>
      <c r="M132" s="27" t="n">
        <v>2.56</v>
      </c>
      <c r="N132" s="28" t="n">
        <v>0.390625</v>
      </c>
      <c r="O132" s="28" t="n">
        <v>0.412713</v>
      </c>
      <c r="P132" s="28" t="n">
        <v>0.042131</v>
      </c>
      <c r="Q132" s="28" t="n">
        <v>0.022088</v>
      </c>
      <c r="R132" s="26" t="n">
        <v>37</v>
      </c>
      <c r="S132" s="29" t="n">
        <v>1.25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7</v>
      </c>
      <c r="Y132" s="25" t="n">
        <v>-1.5</v>
      </c>
      <c r="Z132" s="26" t="n">
        <v>156</v>
      </c>
      <c r="AA132" s="28" t="n">
        <v>0.39</v>
      </c>
      <c r="AB132" s="28" t="n">
        <v>-0.000625</v>
      </c>
      <c r="AC132" s="30" t="n">
        <v>-1.25</v>
      </c>
      <c r="AD132" s="24" t="inlineStr">
        <is>
          <t>2026-08-09T20:24:38.377569Z</t>
        </is>
      </c>
      <c r="AE132" s="31" t="inlineStr">
        <is>
          <t>Measured Edge Margin: Trend Engine projected 5.10-4.76; raw selected-side p=0.3719, calibrated p=0.4127.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NO_CALL_WINNER_OVERVALUED</t>
        </is>
      </c>
      <c r="AP132" s="24" t="inlineStr">
        <is>
          <t>mlb-cin</t>
        </is>
      </c>
      <c r="AQ132" s="24" t="inlineStr">
        <is>
          <t>Cincinnati Reds</t>
        </is>
      </c>
      <c r="AR132" s="24" t="inlineStr">
        <is>
          <t>Cincinnati Reds</t>
        </is>
      </c>
      <c r="AS132" s="24" t="inlineStr">
        <is>
          <t>mlb-wsh</t>
        </is>
      </c>
      <c r="AT132" s="24" t="inlineStr">
        <is>
          <t>Washington Nationals</t>
        </is>
      </c>
      <c r="AU132" s="24" t="inlineStr">
        <is>
          <t>Washington Nationals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2026-08-09T14:00:08.454871Z</t>
        </is>
      </c>
      <c r="BI132" s="24" t="inlineStr">
        <is>
          <t>["same_event","same_team_same_day","same_league_same_day"]</t>
        </is>
      </c>
      <c r="BJ132" s="25" t="n">
        <v>-1.5</v>
      </c>
      <c r="BK132" s="26" t="n">
        <v>156</v>
      </c>
      <c r="BL132" s="27" t="n">
        <v>2.56</v>
      </c>
      <c r="BM132" s="28" t="n">
        <v>0.390625</v>
      </c>
      <c r="BN132" s="28" t="n">
        <v>0.38806</v>
      </c>
      <c r="BO132" s="28" t="n"/>
      <c r="BP132" s="25" t="n"/>
      <c r="BQ132" s="27" t="n">
        <v>2.56</v>
      </c>
      <c r="BR132" s="28" t="n">
        <v>0.39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2787f72d18264193</t>
        </is>
      </c>
      <c r="B133" s="24" t="inlineStr">
        <is>
          <t>2026-08-09T14:00:08.454871Z</t>
        </is>
      </c>
      <c r="C133" s="24" t="inlineStr">
        <is>
          <t>2026-08-09T16:15Z</t>
        </is>
      </c>
      <c r="D133" s="24" t="inlineStr">
        <is>
          <t>401816457</t>
        </is>
      </c>
      <c r="E133" s="24" t="inlineStr">
        <is>
          <t>MLB</t>
        </is>
      </c>
      <c r="F133" s="24" t="inlineStr">
        <is>
          <t>Cincinnati Reds</t>
        </is>
      </c>
      <c r="G133" s="24" t="inlineStr">
        <is>
          <t>Washington Nationals</t>
        </is>
      </c>
      <c r="H133" s="24" t="inlineStr">
        <is>
          <t>total</t>
        </is>
      </c>
      <c r="I133" s="24" t="inlineStr">
        <is>
          <t>under</t>
        </is>
      </c>
      <c r="J133" s="25" t="n">
        <v>9.5</v>
      </c>
      <c r="K133" s="24" t="inlineStr">
        <is>
          <t>polymarket_us</t>
        </is>
      </c>
      <c r="L133" s="26" t="n">
        <v>-111</v>
      </c>
      <c r="M133" s="27" t="n">
        <v>1.900901</v>
      </c>
      <c r="N133" s="28" t="n">
        <v>0.526066</v>
      </c>
      <c r="O133" s="28" t="n">
        <v>0.5108549999999999</v>
      </c>
      <c r="P133" s="28" t="n">
        <v>0.042131</v>
      </c>
      <c r="Q133" s="28" t="n">
        <v>-0.015211</v>
      </c>
      <c r="R133" s="26" t="n">
        <v>19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win</t>
        </is>
      </c>
      <c r="W133" s="26" t="n">
        <v>1</v>
      </c>
      <c r="X133" s="26" t="n">
        <v>7</v>
      </c>
      <c r="Y133" s="25" t="n">
        <v>9.5</v>
      </c>
      <c r="Z133" s="26" t="n">
        <v>-111</v>
      </c>
      <c r="AA133" s="28" t="n">
        <v>0.525</v>
      </c>
      <c r="AB133" s="28" t="n">
        <v>-0.001066</v>
      </c>
      <c r="AC133" s="30" t="n">
        <v>0.9009</v>
      </c>
      <c r="AD133" s="24" t="inlineStr">
        <is>
          <t>2026-08-09T20:24:39.770221Z</t>
        </is>
      </c>
      <c r="AE133" s="31" t="inlineStr">
        <is>
          <t>Measured Edge Totals: Trend Engine projected 5.10-4.76; raw selected-side p=0.5203, calibrated p=0.5109.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not_applicable</t>
        </is>
      </c>
      <c r="AH133" s="24" t="n"/>
      <c r="AI133" s="31" t="n"/>
      <c r="AJ1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NO_CALL_WINNER_OVERVALUED</t>
        </is>
      </c>
      <c r="AP133" s="24" t="inlineStr">
        <is>
          <t>mlb-cin</t>
        </is>
      </c>
      <c r="AQ133" s="24" t="inlineStr">
        <is>
          <t>Cincinnati Reds</t>
        </is>
      </c>
      <c r="AR133" s="24" t="inlineStr">
        <is>
          <t>Cincinnati Reds</t>
        </is>
      </c>
      <c r="AS133" s="24" t="inlineStr">
        <is>
          <t>mlb-wsh</t>
        </is>
      </c>
      <c r="AT133" s="24" t="inlineStr">
        <is>
          <t>Washington Nationals</t>
        </is>
      </c>
      <c r="AU133" s="24" t="inlineStr">
        <is>
          <t>Washington Nationals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2026-08-09T14:00:08.454871Z</t>
        </is>
      </c>
      <c r="BI133" s="24" t="inlineStr">
        <is>
          <t>["same_event","same_team_same_day","same_league_same_day"]</t>
        </is>
      </c>
      <c r="BJ133" s="25" t="n">
        <v>9.5</v>
      </c>
      <c r="BK133" s="26" t="n">
        <v>-111</v>
      </c>
      <c r="BL133" s="27" t="n">
        <v>1.900901</v>
      </c>
      <c r="BM133" s="28" t="n">
        <v>0.526066</v>
      </c>
      <c r="BN133" s="28" t="n">
        <v>0.522388</v>
      </c>
      <c r="BO133" s="28" t="n"/>
      <c r="BP133" s="25" t="n"/>
      <c r="BQ133" s="27" t="n">
        <v>1.900901</v>
      </c>
      <c r="BR133" s="28" t="n">
        <v>0.525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0828a4af81304ea4</t>
        </is>
      </c>
      <c r="B134" s="24" t="inlineStr">
        <is>
          <t>2026-08-09T17:06:21.079905Z</t>
        </is>
      </c>
      <c r="C134" s="24" t="inlineStr">
        <is>
          <t>2026-08-09T13:35:00-0400</t>
        </is>
      </c>
      <c r="D134" s="24" t="inlineStr">
        <is>
          <t>401816455</t>
        </is>
      </c>
      <c r="E134" s="24" t="inlineStr">
        <is>
          <t>MLB</t>
        </is>
      </c>
      <c r="F134" s="24" t="inlineStr">
        <is>
          <t>Athletics</t>
        </is>
      </c>
      <c r="G134" s="24" t="inlineStr">
        <is>
          <t>Boston Red Sox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-213</v>
      </c>
      <c r="M134" s="27" t="n">
        <v>1.469484</v>
      </c>
      <c r="N134" s="28" t="n">
        <v>0.680511</v>
      </c>
      <c r="O134" s="28" t="n">
        <v>0.630089</v>
      </c>
      <c r="P134" s="28" t="n"/>
      <c r="Q134" s="28" t="n">
        <v>-0.050422</v>
      </c>
      <c r="R134" s="26" t="n">
        <v>0</v>
      </c>
      <c r="S134" s="29" t="n">
        <v>1.5</v>
      </c>
      <c r="T134" s="24" t="inlineStr">
        <is>
          <t>mlb-elo-trend-lr-v8</t>
        </is>
      </c>
      <c r="U134" s="24" t="inlineStr">
        <is>
          <t>settled</t>
        </is>
      </c>
      <c r="V134" s="24" t="inlineStr">
        <is>
          <t>loss</t>
        </is>
      </c>
      <c r="W134" s="26" t="n">
        <v>4</v>
      </c>
      <c r="X134" s="26" t="n">
        <v>3</v>
      </c>
      <c r="Y134" s="25" t="n"/>
      <c r="Z134" s="26" t="n">
        <v>-208</v>
      </c>
      <c r="AA134" s="28" t="n">
        <v>0.675</v>
      </c>
      <c r="AB134" s="28" t="n">
        <v>-0.005511</v>
      </c>
      <c r="AC134" s="30" t="n">
        <v>-1.5</v>
      </c>
      <c r="AD134" s="24" t="inlineStr">
        <is>
          <t>2026-08-09T20:24:51.845351Z</t>
        </is>
      </c>
      <c r="AE134" s="31" t="inlineStr">
        <is>
          <t>Learned LR call at threshold 0.5873; executable ask 0.6800 (aec-mlb-ath-bos-2026-08-09); model edge vs ask -0.0499.</t>
        </is>
      </c>
      <c r="AF134" s="31" t="inlineStr">
        <is>
          <t>Learned model; shadow-qualified via operator override.</t>
        </is>
      </c>
      <c r="AG134" s="24" t="inlineStr">
        <is>
          <t>review_required</t>
        </is>
      </c>
      <c r="AH134" s="24" t="n"/>
      <c r="AI134" s="31" t="n"/>
      <c r="AJ1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NO_CALL_WINNER_OVERVALUED</t>
        </is>
      </c>
      <c r="AP134" s="24" t="inlineStr">
        <is>
          <t>mlb-ath</t>
        </is>
      </c>
      <c r="AQ134" s="24" t="inlineStr">
        <is>
          <t>Athletics</t>
        </is>
      </c>
      <c r="AR134" s="24" t="inlineStr">
        <is>
          <t>Athletics</t>
        </is>
      </c>
      <c r="AS134" s="24" t="inlineStr">
        <is>
          <t>mlb-bos</t>
        </is>
      </c>
      <c r="AT134" s="24" t="inlineStr">
        <is>
          <t>Boston Red Sox</t>
        </is>
      </c>
      <c r="AU134" s="24" t="inlineStr">
        <is>
          <t>Boston Red Sox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6a5c79541b0e50cb9f7318270e63d5ccc65cbd7bc53a019748ff772d49de5075</t>
        </is>
      </c>
      <c r="BB134" s="24" t="inlineStr">
        <is>
          <t>learned_lr</t>
        </is>
      </c>
      <c r="BC134" s="24" t="inlineStr">
        <is>
          <t>mlb-elo-trend-lr-v8</t>
        </is>
      </c>
      <c r="BD134" s="24" t="inlineStr">
        <is>
          <t>6a5c79541b0e50cb9f7318270e63d5ccc65cbd7bc53a019748ff772d49de5075</t>
        </is>
      </c>
      <c r="BE134" s="24" t="inlineStr">
        <is>
          <t>0d2601ead858c9c8</t>
        </is>
      </c>
      <c r="BF134" s="24" t="inlineStr">
        <is>
          <t>1</t>
        </is>
      </c>
      <c r="BG134" s="24" t="inlineStr">
        <is>
          <t>mlb-elo-trend-lr-v8</t>
        </is>
      </c>
      <c r="BH134" s="24" t="inlineStr">
        <is>
          <t>2026-08-09T17:05:34.473779Z</t>
        </is>
      </c>
      <c r="BI134" s="24" t="inlineStr">
        <is>
          <t>["same_event","same_team_same_day","same_league_same_day"]</t>
        </is>
      </c>
      <c r="BJ134" s="25" t="n"/>
      <c r="BK134" s="26" t="n">
        <v>-213</v>
      </c>
      <c r="BL134" s="27" t="n">
        <v>1.469484</v>
      </c>
      <c r="BM134" s="28" t="n">
        <v>0.680511</v>
      </c>
      <c r="BN134" s="28" t="n">
        <v>0.676617</v>
      </c>
      <c r="BO134" s="28" t="n"/>
      <c r="BP134" s="25" t="n"/>
      <c r="BQ134" s="27" t="n">
        <v>1.480769</v>
      </c>
      <c r="BR134" s="28" t="n">
        <v>0.675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0.7146198021</t>
        </is>
      </c>
      <c r="CD134" s="24" t="inlineStr">
        <is>
          <t>2.091646</t>
        </is>
      </c>
      <c r="CE134" s="24" t="inlineStr">
        <is>
          <t>1.019</t>
        </is>
      </c>
      <c r="CF134" s="24" t="inlineStr">
        <is>
          <t>1.0263</t>
        </is>
      </c>
      <c r="CG134" s="24" t="n"/>
      <c r="CH134" s="24" t="n"/>
      <c r="CI134" s="24" t="n"/>
      <c r="CJ134" s="24" t="inlineStr">
        <is>
          <t>-0.709198</t>
        </is>
      </c>
      <c r="CK134" s="24" t="n"/>
      <c r="CL134" s="24" t="inlineStr">
        <is>
          <t>-1.119842</t>
        </is>
      </c>
      <c r="CM134" s="24" t="inlineStr">
        <is>
          <t>-4.725</t>
        </is>
      </c>
      <c r="CN134" s="24" t="n"/>
      <c r="CO134" s="24" t="n"/>
      <c r="CP134" s="24" t="n"/>
      <c r="CQ134" s="24" t="n"/>
      <c r="CR134" s="24" t="inlineStr">
        <is>
          <t>0.630089</t>
        </is>
      </c>
      <c r="CS134" s="24" t="inlineStr">
        <is>
          <t>False</t>
        </is>
      </c>
    </row>
    <row r="135" ht="36" customHeight="1">
      <c r="A135" s="24" t="inlineStr">
        <is>
          <t>0c1bcf311f824071</t>
        </is>
      </c>
      <c r="B135" s="24" t="inlineStr">
        <is>
          <t>2026-08-09T17:06:21.079905Z</t>
        </is>
      </c>
      <c r="C135" s="24" t="inlineStr">
        <is>
          <t>2026-08-09T13:35:00-0400</t>
        </is>
      </c>
      <c r="D135" s="24" t="inlineStr">
        <is>
          <t>401816456</t>
        </is>
      </c>
      <c r="E135" s="24" t="inlineStr">
        <is>
          <t>MLB</t>
        </is>
      </c>
      <c r="F135" s="24" t="inlineStr">
        <is>
          <t>Atlanta Braves</t>
        </is>
      </c>
      <c r="G135" s="24" t="inlineStr">
        <is>
          <t>New York Yankees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-135</v>
      </c>
      <c r="M135" s="27" t="n">
        <v>1.740741</v>
      </c>
      <c r="N135" s="28" t="n">
        <v>0.574468</v>
      </c>
      <c r="O135" s="28" t="n">
        <v>0.508966</v>
      </c>
      <c r="P135" s="28" t="n"/>
      <c r="Q135" s="28" t="n">
        <v>-0.065502</v>
      </c>
      <c r="R135" s="26" t="n">
        <v>0</v>
      </c>
      <c r="S135" s="29" t="n">
        <v>1</v>
      </c>
      <c r="T135" s="24" t="inlineStr">
        <is>
          <t>mlb-elo-trend-lr-v8</t>
        </is>
      </c>
      <c r="U135" s="24" t="inlineStr">
        <is>
          <t>settled</t>
        </is>
      </c>
      <c r="V135" s="24" t="inlineStr">
        <is>
          <t>loss</t>
        </is>
      </c>
      <c r="W135" s="26" t="n">
        <v>2</v>
      </c>
      <c r="X135" s="26" t="n">
        <v>1</v>
      </c>
      <c r="Y135" s="25" t="n"/>
      <c r="Z135" s="26" t="n">
        <v>-135</v>
      </c>
      <c r="AA135" s="28" t="n">
        <v>0.575</v>
      </c>
      <c r="AB135" s="28" t="n">
        <v>0.000532</v>
      </c>
      <c r="AC135" s="30" t="n">
        <v>-1</v>
      </c>
      <c r="AD135" s="24" t="inlineStr">
        <is>
          <t>2026-08-09T20:24:53.285077Z</t>
        </is>
      </c>
      <c r="AE135" s="31" t="inlineStr">
        <is>
          <t>Learned LR call at threshold 0.5873; executable ask 0.5750 (aec-mlb-atl-nyy-2026-08-09); model edge vs ask -0.0660.</t>
        </is>
      </c>
      <c r="AF135" s="31" t="inlineStr">
        <is>
          <t>Learned model; shadow-qualified via operator override.</t>
        </is>
      </c>
      <c r="AG135" s="24" t="inlineStr">
        <is>
          <t>review_required</t>
        </is>
      </c>
      <c r="AH135" s="24" t="n"/>
      <c r="AI135" s="31" t="n"/>
      <c r="AJ1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NO_CALL_WINNER_OVERVALUED</t>
        </is>
      </c>
      <c r="AP135" s="24" t="inlineStr">
        <is>
          <t>mlb-atl</t>
        </is>
      </c>
      <c r="AQ135" s="24" t="inlineStr">
        <is>
          <t>Atlanta Braves</t>
        </is>
      </c>
      <c r="AR135" s="24" t="inlineStr">
        <is>
          <t>Atlanta Braves</t>
        </is>
      </c>
      <c r="AS135" s="24" t="inlineStr">
        <is>
          <t>mlb-nyy</t>
        </is>
      </c>
      <c r="AT135" s="24" t="inlineStr">
        <is>
          <t>New York Yankees</t>
        </is>
      </c>
      <c r="AU135" s="24" t="inlineStr">
        <is>
          <t>New York Yankees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6a5c79541b0e50cb9f7318270e63d5ccc65cbd7bc53a019748ff772d49de5075</t>
        </is>
      </c>
      <c r="BB135" s="24" t="inlineStr">
        <is>
          <t>learned_lr</t>
        </is>
      </c>
      <c r="BC135" s="24" t="inlineStr">
        <is>
          <t>mlb-elo-trend-lr-v8</t>
        </is>
      </c>
      <c r="BD135" s="24" t="inlineStr">
        <is>
          <t>6a5c79541b0e50cb9f7318270e63d5ccc65cbd7bc53a019748ff772d49de5075</t>
        </is>
      </c>
      <c r="BE135" s="24" t="inlineStr">
        <is>
          <t>bca56122e5696a72</t>
        </is>
      </c>
      <c r="BF135" s="24" t="inlineStr">
        <is>
          <t>1</t>
        </is>
      </c>
      <c r="BG135" s="24" t="inlineStr">
        <is>
          <t>mlb-elo-trend-lr-v8</t>
        </is>
      </c>
      <c r="BH135" s="24" t="inlineStr">
        <is>
          <t>2026-08-09T17:05:33.917886Z</t>
        </is>
      </c>
      <c r="BI135" s="24" t="inlineStr">
        <is>
          <t>["same_event","same_team_same_day","same_league_same_day"]</t>
        </is>
      </c>
      <c r="BJ135" s="25" t="n"/>
      <c r="BK135" s="26" t="n">
        <v>-135</v>
      </c>
      <c r="BL135" s="27" t="n">
        <v>1.740741</v>
      </c>
      <c r="BM135" s="28" t="n">
        <v>0.574468</v>
      </c>
      <c r="BN135" s="28" t="n">
        <v>0.572139</v>
      </c>
      <c r="BO135" s="28" t="n"/>
      <c r="BP135" s="25" t="n"/>
      <c r="BQ135" s="27" t="n">
        <v>1.740741</v>
      </c>
      <c r="BR135" s="28" t="n">
        <v>0.575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0.5169892426</t>
        </is>
      </c>
      <c r="CD135" s="24" t="inlineStr">
        <is>
          <t>-0.969005</t>
        </is>
      </c>
      <c r="CE135" s="24" t="inlineStr">
        <is>
          <t>1.014</t>
        </is>
      </c>
      <c r="CF135" s="24" t="inlineStr">
        <is>
          <t>1.0223</t>
        </is>
      </c>
      <c r="CG135" s="24" t="n"/>
      <c r="CH135" s="24" t="n"/>
      <c r="CI135" s="24" t="n"/>
      <c r="CJ135" s="24" t="inlineStr">
        <is>
          <t>-0.782026</t>
        </is>
      </c>
      <c r="CK135" s="24" t="n"/>
      <c r="CL135" s="24" t="inlineStr">
        <is>
          <t>0.092324</t>
        </is>
      </c>
      <c r="CM135" s="24" t="inlineStr">
        <is>
          <t>3.7853</t>
        </is>
      </c>
      <c r="CN135" s="24" t="n"/>
      <c r="CO135" s="24" t="n"/>
      <c r="CP135" s="24" t="n"/>
      <c r="CQ135" s="24" t="n"/>
      <c r="CR135" s="24" t="inlineStr">
        <is>
          <t>0.508966</t>
        </is>
      </c>
      <c r="CS135" s="24" t="inlineStr">
        <is>
          <t>False</t>
        </is>
      </c>
    </row>
    <row r="136" ht="36" customHeight="1">
      <c r="A136" s="24" t="inlineStr">
        <is>
          <t>0122080e04964201</t>
        </is>
      </c>
      <c r="B136" s="24" t="inlineStr">
        <is>
          <t>2026-08-09T17:06:21.079905Z</t>
        </is>
      </c>
      <c r="C136" s="24" t="inlineStr">
        <is>
          <t>2026-08-09T13:35:00-0400</t>
        </is>
      </c>
      <c r="D136" s="24" t="inlineStr">
        <is>
          <t>401816458</t>
        </is>
      </c>
      <c r="E136" s="24" t="inlineStr">
        <is>
          <t>MLB</t>
        </is>
      </c>
      <c r="F136" s="24" t="inlineStr">
        <is>
          <t>New York Mets</t>
        </is>
      </c>
      <c r="G136" s="24" t="inlineStr">
        <is>
          <t>Pittsburgh Pirates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-133</v>
      </c>
      <c r="M136" s="27" t="n">
        <v>1.75188</v>
      </c>
      <c r="N136" s="28" t="n">
        <v>0.570815</v>
      </c>
      <c r="O136" s="28" t="n">
        <v>0.570389</v>
      </c>
      <c r="P136" s="28" t="n"/>
      <c r="Q136" s="28" t="n">
        <v>-0.000426</v>
      </c>
      <c r="R136" s="26" t="n">
        <v>22</v>
      </c>
      <c r="S136" s="29" t="n">
        <v>1.25</v>
      </c>
      <c r="T136" s="24" t="inlineStr">
        <is>
          <t>mlb-elo-trend-lr-v8</t>
        </is>
      </c>
      <c r="U136" s="24" t="inlineStr">
        <is>
          <t>settled</t>
        </is>
      </c>
      <c r="V136" s="24" t="inlineStr">
        <is>
          <t>loss</t>
        </is>
      </c>
      <c r="W136" s="26" t="n">
        <v>11</v>
      </c>
      <c r="X136" s="26" t="n">
        <v>1</v>
      </c>
      <c r="Y136" s="25" t="n"/>
      <c r="Z136" s="26" t="n">
        <v>-133</v>
      </c>
      <c r="AA136" s="28" t="n">
        <v>0.57</v>
      </c>
      <c r="AB136" s="28" t="n">
        <v>-0.000815</v>
      </c>
      <c r="AC136" s="30" t="n">
        <v>-1.25</v>
      </c>
      <c r="AD136" s="24" t="inlineStr">
        <is>
          <t>2026-08-09T20:24:54.732772Z</t>
        </is>
      </c>
      <c r="AE136" s="31" t="inlineStr">
        <is>
          <t>Learned LR call at threshold 0.5873; executable ask 0.5700 (aec-mlb-nym-pit-2026-08-09); model edge vs ask +0.0004.</t>
        </is>
      </c>
      <c r="AF136" s="31" t="inlineStr">
        <is>
          <t>Learned model; shadow-qualified via operator override.</t>
        </is>
      </c>
      <c r="AG136" s="24" t="inlineStr">
        <is>
          <t>review_required</t>
        </is>
      </c>
      <c r="AH136" s="24" t="n"/>
      <c r="AI136" s="31" t="n"/>
      <c r="AJ1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NO_CALL_WINNER_OVERVALUED</t>
        </is>
      </c>
      <c r="AP136" s="24" t="inlineStr">
        <is>
          <t>mlb-nym</t>
        </is>
      </c>
      <c r="AQ136" s="24" t="inlineStr">
        <is>
          <t>New York Mets</t>
        </is>
      </c>
      <c r="AR136" s="24" t="inlineStr">
        <is>
          <t>New York Mets</t>
        </is>
      </c>
      <c r="AS136" s="24" t="inlineStr">
        <is>
          <t>mlb-pit</t>
        </is>
      </c>
      <c r="AT136" s="24" t="inlineStr">
        <is>
          <t>Pittsburgh Pirates</t>
        </is>
      </c>
      <c r="AU136" s="24" t="inlineStr">
        <is>
          <t>Pittsburgh Pirates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6a5c79541b0e50cb9f7318270e63d5ccc65cbd7bc53a019748ff772d49de5075</t>
        </is>
      </c>
      <c r="BB136" s="24" t="inlineStr">
        <is>
          <t>learned_lr</t>
        </is>
      </c>
      <c r="BC136" s="24" t="inlineStr">
        <is>
          <t>mlb-elo-trend-lr-v8</t>
        </is>
      </c>
      <c r="BD136" s="24" t="inlineStr">
        <is>
          <t>6a5c79541b0e50cb9f7318270e63d5ccc65cbd7bc53a019748ff772d49de5075</t>
        </is>
      </c>
      <c r="BE136" s="24" t="inlineStr">
        <is>
          <t>1fc2f8b5cc38b147</t>
        </is>
      </c>
      <c r="BF136" s="24" t="inlineStr">
        <is>
          <t>1</t>
        </is>
      </c>
      <c r="BG136" s="24" t="inlineStr">
        <is>
          <t>mlb-elo-trend-lr-v8</t>
        </is>
      </c>
      <c r="BH136" s="24" t="inlineStr">
        <is>
          <t>2026-08-09T17:05:35.441158Z</t>
        </is>
      </c>
      <c r="BI136" s="24" t="inlineStr">
        <is>
          <t>["same_event","same_team_same_day","same_league_same_day"]</t>
        </is>
      </c>
      <c r="BJ136" s="25" t="n"/>
      <c r="BK136" s="26" t="n">
        <v>-133</v>
      </c>
      <c r="BL136" s="27" t="n">
        <v>1.75188</v>
      </c>
      <c r="BM136" s="28" t="n">
        <v>0.570815</v>
      </c>
      <c r="BN136" s="28" t="n">
        <v>0.567164</v>
      </c>
      <c r="BO136" s="28" t="n"/>
      <c r="BP136" s="25" t="n"/>
      <c r="BQ136" s="27" t="n">
        <v>1.75188</v>
      </c>
      <c r="BR136" s="28" t="n">
        <v>0.57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0.5677122403</t>
        </is>
      </c>
      <c r="CD136" s="24" t="inlineStr">
        <is>
          <t>-0.918907</t>
        </is>
      </c>
      <c r="CE136" s="24" t="inlineStr">
        <is>
          <t>0.989</t>
        </is>
      </c>
      <c r="CF136" s="24" t="inlineStr">
        <is>
          <t>1.0126</t>
        </is>
      </c>
      <c r="CG136" s="24" t="n"/>
      <c r="CH136" s="24" t="n"/>
      <c r="CI136" s="24" t="n"/>
      <c r="CJ136" s="24" t="inlineStr">
        <is>
          <t>1.324105</t>
        </is>
      </c>
      <c r="CK136" s="24" t="n"/>
      <c r="CL136" s="24" t="inlineStr">
        <is>
          <t>-0.062596</t>
        </is>
      </c>
      <c r="CM136" s="24" t="inlineStr">
        <is>
          <t>-1.0871</t>
        </is>
      </c>
      <c r="CN136" s="24" t="n"/>
      <c r="CO136" s="24" t="n"/>
      <c r="CP136" s="24" t="n"/>
      <c r="CQ136" s="24" t="n"/>
      <c r="CR136" s="24" t="inlineStr">
        <is>
          <t>0.570389</t>
        </is>
      </c>
      <c r="CS136" s="24" t="inlineStr">
        <is>
          <t>False</t>
        </is>
      </c>
    </row>
    <row r="137" ht="36" customHeight="1">
      <c r="A137" s="24" t="inlineStr">
        <is>
          <t>3e6ad83e017d40e9</t>
        </is>
      </c>
      <c r="B137" s="24" t="inlineStr">
        <is>
          <t>2026-08-09T17:06:21.079905Z</t>
        </is>
      </c>
      <c r="C137" s="24" t="inlineStr">
        <is>
          <t>2026-08-09T13:35:00-0400</t>
        </is>
      </c>
      <c r="D137" s="24" t="inlineStr">
        <is>
          <t>401816459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Philadelphia Phillies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-223</v>
      </c>
      <c r="M137" s="27" t="n">
        <v>1.44843</v>
      </c>
      <c r="N137" s="28" t="n">
        <v>0.690402</v>
      </c>
      <c r="O137" s="28" t="n">
        <v>0.569003</v>
      </c>
      <c r="P137" s="28" t="n"/>
      <c r="Q137" s="28" t="n">
        <v>-0.121399</v>
      </c>
      <c r="R137" s="26" t="n">
        <v>0</v>
      </c>
      <c r="S137" s="29" t="n">
        <v>1.25</v>
      </c>
      <c r="T137" s="24" t="inlineStr">
        <is>
          <t>mlb-elo-trend-lr-v8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/>
      <c r="Z137" s="26" t="n">
        <v>-223</v>
      </c>
      <c r="AA137" s="28" t="n">
        <v>0.6899999999999999</v>
      </c>
      <c r="AB137" s="28" t="n">
        <v>-0.000402</v>
      </c>
      <c r="AC137" s="30" t="n">
        <v>0.5605</v>
      </c>
      <c r="AD137" s="24" t="inlineStr">
        <is>
          <t>2026-08-09T23:29:12.453523Z</t>
        </is>
      </c>
      <c r="AE137" s="31" t="inlineStr">
        <is>
          <t>Learned LR call at threshold 0.5873; executable ask 0.6900 (aec-mlb-tor-phi-2026-08-09); model edge vs ask -0.1210. NOTE: NO_CALL_STARTER_ERA_GAP_INSUFFICIENT_HISTORY unavailable for this game — defaulted to neutral, other features used normally.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NO_CALL_WINNER_OVERVALUED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mlb-phi</t>
        </is>
      </c>
      <c r="AT137" s="24" t="inlineStr">
        <is>
          <t>Philadelphia Phillies</t>
        </is>
      </c>
      <c r="AU137" s="24" t="inlineStr">
        <is>
          <t>Philadelphia Phillies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6a5c79541b0e50cb9f7318270e63d5ccc65cbd7bc53a019748ff772d49de5075</t>
        </is>
      </c>
      <c r="BB137" s="24" t="inlineStr">
        <is>
          <t>learned_lr</t>
        </is>
      </c>
      <c r="BC137" s="24" t="inlineStr">
        <is>
          <t>mlb-elo-trend-lr-v8</t>
        </is>
      </c>
      <c r="BD137" s="24" t="inlineStr">
        <is>
          <t>6a5c79541b0e50cb9f7318270e63d5ccc65cbd7bc53a019748ff772d49de5075</t>
        </is>
      </c>
      <c r="BE137" s="24" t="inlineStr">
        <is>
          <t>724274e92be83231</t>
        </is>
      </c>
      <c r="BF137" s="24" t="inlineStr">
        <is>
          <t>1</t>
        </is>
      </c>
      <c r="BG137" s="24" t="inlineStr">
        <is>
          <t>mlb-elo-trend-lr-v8</t>
        </is>
      </c>
      <c r="BH137" s="24" t="inlineStr">
        <is>
          <t>2026-08-09T17:05:35.036891Z</t>
        </is>
      </c>
      <c r="BI137" s="24" t="inlineStr">
        <is>
          <t>["same_event","same_team_same_day","same_league_same_day"]</t>
        </is>
      </c>
      <c r="BJ137" s="25" t="n"/>
      <c r="BK137" s="26" t="n">
        <v>-223</v>
      </c>
      <c r="BL137" s="27" t="n">
        <v>1.44843</v>
      </c>
      <c r="BM137" s="28" t="n">
        <v>0.690402</v>
      </c>
      <c r="BN137" s="28" t="n">
        <v>0.686567</v>
      </c>
      <c r="BO137" s="28" t="n"/>
      <c r="BP137" s="25" t="n"/>
      <c r="BQ137" s="27" t="n">
        <v>1.44843</v>
      </c>
      <c r="BR137" s="28" t="n">
        <v>0.6899999999999999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0.5833934632</t>
        </is>
      </c>
      <c r="CD137" s="24" t="inlineStr">
        <is>
          <t>-0.385205</t>
        </is>
      </c>
      <c r="CE137" s="24" t="inlineStr">
        <is>
          <t>1.02</t>
        </is>
      </c>
      <c r="CF137" s="24" t="inlineStr">
        <is>
          <t>1.0238</t>
        </is>
      </c>
      <c r="CG137" s="24" t="n"/>
      <c r="CH137" s="24" t="n"/>
      <c r="CI137" s="24" t="inlineStr">
        <is>
          <t>NO_CALL_STARTER_ERA_GAP_INSUFFICIENT_HISTORY</t>
        </is>
      </c>
      <c r="CJ137" s="24" t="inlineStr">
        <is>
          <t>-0.74156</t>
        </is>
      </c>
      <c r="CK137" s="24" t="n"/>
      <c r="CL137" s="24" t="inlineStr">
        <is>
          <t>0.015846</t>
        </is>
      </c>
      <c r="CM137" s="24" t="inlineStr">
        <is>
          <t>0.0</t>
        </is>
      </c>
      <c r="CN137" s="24" t="n"/>
      <c r="CO137" s="24" t="n"/>
      <c r="CP137" s="24" t="n"/>
      <c r="CQ137" s="24" t="n"/>
      <c r="CR137" s="24" t="inlineStr">
        <is>
          <t>0.569003</t>
        </is>
      </c>
      <c r="CS137" s="24" t="inlineStr">
        <is>
          <t>False</t>
        </is>
      </c>
    </row>
    <row r="138" ht="36" customHeight="1">
      <c r="A138" s="24" t="inlineStr">
        <is>
          <t>ffa0526ea86e4f6c</t>
        </is>
      </c>
      <c r="B138" s="24" t="inlineStr">
        <is>
          <t>2026-08-09T17:06:21.079905Z</t>
        </is>
      </c>
      <c r="C138" s="24" t="inlineStr">
        <is>
          <t>2026-08-09T13:40:00-0400</t>
        </is>
      </c>
      <c r="D138" s="24" t="inlineStr">
        <is>
          <t>401816454</t>
        </is>
      </c>
      <c r="E138" s="24" t="inlineStr">
        <is>
          <t>MLB</t>
        </is>
      </c>
      <c r="F138" s="24" t="inlineStr">
        <is>
          <t>Los Angeles Angels</t>
        </is>
      </c>
      <c r="G138" s="24" t="inlineStr">
        <is>
          <t>Miami Marlins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-135</v>
      </c>
      <c r="M138" s="27" t="n">
        <v>1.740741</v>
      </c>
      <c r="N138" s="28" t="n">
        <v>0.574468</v>
      </c>
      <c r="O138" s="28" t="n">
        <v>0.611325</v>
      </c>
      <c r="P138" s="28" t="n"/>
      <c r="Q138" s="28" t="n">
        <v>0.036857</v>
      </c>
      <c r="R138" s="26" t="n">
        <v>40</v>
      </c>
      <c r="S138" s="29" t="n">
        <v>1.5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3</v>
      </c>
      <c r="X138" s="26" t="n">
        <v>12</v>
      </c>
      <c r="Y138" s="25" t="n"/>
      <c r="Z138" s="26" t="n">
        <v>-135</v>
      </c>
      <c r="AA138" s="28" t="n">
        <v>0.575</v>
      </c>
      <c r="AB138" s="28" t="n">
        <v>0.000532</v>
      </c>
      <c r="AC138" s="30" t="n">
        <v>1.1111</v>
      </c>
      <c r="AD138" s="24" t="inlineStr">
        <is>
          <t>2026-08-09T23:29:13.823604Z</t>
        </is>
      </c>
      <c r="AE138" s="31" t="inlineStr">
        <is>
          <t>Learned LR call at threshold 0.5873; executable ask 0.5750 (aec-mlb-laa-mia-2026-08-09); model edge vs ask +0.0363.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NO_CALL_WINNER_OVERVALUED</t>
        </is>
      </c>
      <c r="AP138" s="24" t="inlineStr">
        <is>
          <t>mlb-laa</t>
        </is>
      </c>
      <c r="AQ138" s="24" t="inlineStr">
        <is>
          <t>Los Angeles Angels</t>
        </is>
      </c>
      <c r="AR138" s="24" t="inlineStr">
        <is>
          <t>Los Angeles Angels</t>
        </is>
      </c>
      <c r="AS138" s="24" t="inlineStr">
        <is>
          <t>mlb-mia</t>
        </is>
      </c>
      <c r="AT138" s="24" t="inlineStr">
        <is>
          <t>Miami Marlins</t>
        </is>
      </c>
      <c r="AU138" s="24" t="inlineStr">
        <is>
          <t>Miami Marlins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6a5c79541b0e50cb9f7318270e63d5ccc65cbd7bc53a019748ff772d49de5075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6a5c79541b0e50cb9f7318270e63d5ccc65cbd7bc53a019748ff772d49de5075</t>
        </is>
      </c>
      <c r="BE138" s="24" t="inlineStr">
        <is>
          <t>7c67bee7b96b8e5e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2026-08-09T17:05:36.013539Z</t>
        </is>
      </c>
      <c r="BI138" s="24" t="inlineStr">
        <is>
          <t>["same_event","same_team_same_day","same_league_same_day"]</t>
        </is>
      </c>
      <c r="BJ138" s="25" t="n"/>
      <c r="BK138" s="26" t="n">
        <v>-135</v>
      </c>
      <c r="BL138" s="27" t="n">
        <v>1.740741</v>
      </c>
      <c r="BM138" s="28" t="n">
        <v>0.574468</v>
      </c>
      <c r="BN138" s="28" t="n">
        <v>0.572139</v>
      </c>
      <c r="BO138" s="28" t="n"/>
      <c r="BP138" s="25" t="n"/>
      <c r="BQ138" s="27" t="n">
        <v>1.740741</v>
      </c>
      <c r="BR138" s="28" t="n">
        <v>0.575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0.6286650347</t>
        </is>
      </c>
      <c r="CD138" s="24" t="inlineStr">
        <is>
          <t>0.811272</t>
        </is>
      </c>
      <c r="CE138" s="24" t="inlineStr">
        <is>
          <t>1.002</t>
        </is>
      </c>
      <c r="CF138" s="24" t="inlineStr">
        <is>
          <t>1.0</t>
        </is>
      </c>
      <c r="CG138" s="24" t="n"/>
      <c r="CH138" s="24" t="n"/>
      <c r="CI138" s="24" t="n"/>
      <c r="CJ138" s="24" t="inlineStr">
        <is>
          <t>-0.029117</t>
        </is>
      </c>
      <c r="CK138" s="24" t="n"/>
      <c r="CL138" s="24" t="inlineStr">
        <is>
          <t>0.128614</t>
        </is>
      </c>
      <c r="CM138" s="24" t="inlineStr">
        <is>
          <t>-1.4062</t>
        </is>
      </c>
      <c r="CN138" s="24" t="n"/>
      <c r="CO138" s="24" t="n"/>
      <c r="CP138" s="24" t="n"/>
      <c r="CQ138" s="24" t="n"/>
      <c r="CR138" s="24" t="inlineStr">
        <is>
          <t>0.611325</t>
        </is>
      </c>
      <c r="CS138" s="24" t="inlineStr">
        <is>
          <t>True</t>
        </is>
      </c>
    </row>
    <row r="139" ht="36" customHeight="1">
      <c r="A139" s="24" t="inlineStr">
        <is>
          <t>b717c2b0d48749b1</t>
        </is>
      </c>
      <c r="B139" s="24" t="inlineStr">
        <is>
          <t>2026-08-09T17:06:21.079905Z</t>
        </is>
      </c>
      <c r="C139" s="24" t="inlineStr">
        <is>
          <t>2026-08-09T14:10:00-0400</t>
        </is>
      </c>
      <c r="D139" s="24" t="inlineStr">
        <is>
          <t>401816461</t>
        </is>
      </c>
      <c r="E139" s="24" t="inlineStr">
        <is>
          <t>MLB</t>
        </is>
      </c>
      <c r="F139" s="24" t="inlineStr">
        <is>
          <t>Chicago Cubs</t>
        </is>
      </c>
      <c r="G139" s="24" t="inlineStr">
        <is>
          <t>Kansas City Royals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-156</v>
      </c>
      <c r="M139" s="27" t="n">
        <v>1.641026</v>
      </c>
      <c r="N139" s="28" t="n">
        <v>0.609375</v>
      </c>
      <c r="O139" s="28" t="n">
        <v>0.5385529999999999</v>
      </c>
      <c r="P139" s="28" t="n"/>
      <c r="Q139" s="28" t="n">
        <v>-0.070822</v>
      </c>
      <c r="R139" s="26" t="n">
        <v>0</v>
      </c>
      <c r="S139" s="29" t="n">
        <v>1</v>
      </c>
      <c r="T139" s="24" t="inlineStr">
        <is>
          <t>mlb-elo-trend-lr-v8</t>
        </is>
      </c>
      <c r="U139" s="24" t="inlineStr">
        <is>
          <t>settled</t>
        </is>
      </c>
      <c r="V139" s="24" t="inlineStr">
        <is>
          <t>win</t>
        </is>
      </c>
      <c r="W139" s="26" t="n">
        <v>10</v>
      </c>
      <c r="X139" s="26" t="n">
        <v>2</v>
      </c>
      <c r="Y139" s="25" t="n"/>
      <c r="Z139" s="26" t="n">
        <v>-156</v>
      </c>
      <c r="AA139" s="28" t="n">
        <v>0.61</v>
      </c>
      <c r="AB139" s="28" t="n">
        <v>0.000625</v>
      </c>
      <c r="AC139" s="30" t="n">
        <v>0.641</v>
      </c>
      <c r="AD139" s="24" t="inlineStr">
        <is>
          <t>2026-08-09T23:29:15.139941Z</t>
        </is>
      </c>
      <c r="AE139" s="31" t="inlineStr">
        <is>
          <t>Learned LR call at threshold 0.5873; executable ask 0.6100 (aec-mlb-chc-kc-2026-08-09); model edge vs ask -0.0714.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NO_CALL_WINNER_OVERVALUED</t>
        </is>
      </c>
      <c r="AP139" s="24" t="inlineStr">
        <is>
          <t>mlb-chc</t>
        </is>
      </c>
      <c r="AQ139" s="24" t="inlineStr">
        <is>
          <t>Chicago Cubs</t>
        </is>
      </c>
      <c r="AR139" s="24" t="inlineStr">
        <is>
          <t>Chicago Cubs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6a5c79541b0e50cb9f7318270e63d5ccc65cbd7bc53a019748ff772d49de5075</t>
        </is>
      </c>
      <c r="BB139" s="24" t="inlineStr">
        <is>
          <t>learned_lr</t>
        </is>
      </c>
      <c r="BC139" s="24" t="inlineStr">
        <is>
          <t>mlb-elo-trend-lr-v8</t>
        </is>
      </c>
      <c r="BD139" s="24" t="inlineStr">
        <is>
          <t>6a5c79541b0e50cb9f7318270e63d5ccc65cbd7bc53a019748ff772d49de5075</t>
        </is>
      </c>
      <c r="BE139" s="24" t="inlineStr">
        <is>
          <t>2d457d81b01460c1</t>
        </is>
      </c>
      <c r="BF139" s="24" t="inlineStr">
        <is>
          <t>1</t>
        </is>
      </c>
      <c r="BG139" s="24" t="inlineStr">
        <is>
          <t>mlb-elo-trend-lr-v8</t>
        </is>
      </c>
      <c r="BH139" s="24" t="inlineStr">
        <is>
          <t>2026-08-09T17:05:36.921166Z</t>
        </is>
      </c>
      <c r="BI139" s="24" t="inlineStr">
        <is>
          <t>["same_event","same_team_same_day","same_league_same_day"]</t>
        </is>
      </c>
      <c r="BJ139" s="25" t="n"/>
      <c r="BK139" s="26" t="n">
        <v>-156</v>
      </c>
      <c r="BL139" s="27" t="n">
        <v>1.641026</v>
      </c>
      <c r="BM139" s="28" t="n">
        <v>0.609375</v>
      </c>
      <c r="BN139" s="28" t="n">
        <v>0.606965</v>
      </c>
      <c r="BO139" s="28" t="n"/>
      <c r="BP139" s="25" t="n"/>
      <c r="BQ139" s="27" t="n">
        <v>1.641026</v>
      </c>
      <c r="BR139" s="28" t="n">
        <v>0.61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0.4043336606</t>
        </is>
      </c>
      <c r="CD139" s="24" t="inlineStr">
        <is>
          <t>0.050839</t>
        </is>
      </c>
      <c r="CE139" s="24" t="inlineStr">
        <is>
          <t>0.973</t>
        </is>
      </c>
      <c r="CF139" s="24" t="inlineStr">
        <is>
          <t>1.0302</t>
        </is>
      </c>
      <c r="CG139" s="24" t="n"/>
      <c r="CH139" s="24" t="n"/>
      <c r="CI139" s="24" t="n"/>
      <c r="CJ139" s="24" t="inlineStr">
        <is>
          <t>0.763532</t>
        </is>
      </c>
      <c r="CK139" s="24" t="n"/>
      <c r="CL139" s="24" t="inlineStr">
        <is>
          <t>0.349425</t>
        </is>
      </c>
      <c r="CM139" s="24" t="inlineStr">
        <is>
          <t>-1.6714</t>
        </is>
      </c>
      <c r="CN139" s="24" t="n"/>
      <c r="CO139" s="24" t="n"/>
      <c r="CP139" s="24" t="n"/>
      <c r="CQ139" s="24" t="n"/>
      <c r="CR139" s="24" t="inlineStr">
        <is>
          <t>0.538553</t>
        </is>
      </c>
      <c r="CS139" s="24" t="inlineStr">
        <is>
          <t>False</t>
        </is>
      </c>
    </row>
    <row r="140" ht="36" customHeight="1">
      <c r="A140" s="24" t="inlineStr">
        <is>
          <t>9a6386c5bfb141e8</t>
        </is>
      </c>
      <c r="B140" s="24" t="inlineStr">
        <is>
          <t>2026-08-09T17:06:21.079905Z</t>
        </is>
      </c>
      <c r="C140" s="24" t="inlineStr">
        <is>
          <t>2026-08-09T14:10:00-0400</t>
        </is>
      </c>
      <c r="D140" s="24" t="inlineStr">
        <is>
          <t>401816462</t>
        </is>
      </c>
      <c r="E140" s="24" t="inlineStr">
        <is>
          <t>MLB</t>
        </is>
      </c>
      <c r="F140" s="24" t="inlineStr">
        <is>
          <t>Cleveland Guardians</t>
        </is>
      </c>
      <c r="G140" s="24" t="inlineStr">
        <is>
          <t>Chicago White Sox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0.524392</v>
      </c>
      <c r="P140" s="28" t="n"/>
      <c r="Q140" s="28" t="n">
        <v>0.06356299999999999</v>
      </c>
      <c r="R140" s="26" t="n">
        <v>53</v>
      </c>
      <c r="S140" s="29" t="n">
        <v>1</v>
      </c>
      <c r="T140" s="24" t="inlineStr">
        <is>
          <t>mlb-elo-trend-lr-v8</t>
        </is>
      </c>
      <c r="U140" s="24" t="inlineStr">
        <is>
          <t>settled</t>
        </is>
      </c>
      <c r="V140" s="24" t="inlineStr">
        <is>
          <t>win</t>
        </is>
      </c>
      <c r="W140" s="26" t="n">
        <v>3</v>
      </c>
      <c r="X140" s="26" t="n">
        <v>5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1.17</v>
      </c>
      <c r="AD140" s="24" t="inlineStr">
        <is>
          <t>2026-08-09T23:29:16.509373Z</t>
        </is>
      </c>
      <c r="AE140" s="31" t="inlineStr">
        <is>
          <t>Learned LR call at threshold 0.5873; executable ask 0.4600 (aec-mlb-cle-cws-2026-08-09); model edge vs ask +0.0644.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NO_CALL_WINNER_OVERVALUED</t>
        </is>
      </c>
      <c r="AP140" s="24" t="inlineStr">
        <is>
          <t>mlb-cle</t>
        </is>
      </c>
      <c r="AQ140" s="24" t="inlineStr">
        <is>
          <t>Cleveland Guardians</t>
        </is>
      </c>
      <c r="AR140" s="24" t="inlineStr">
        <is>
          <t>Cleveland Guardians</t>
        </is>
      </c>
      <c r="AS140" s="24" t="inlineStr">
        <is>
          <t>mlb-cws</t>
        </is>
      </c>
      <c r="AT140" s="24" t="inlineStr">
        <is>
          <t>Chicago White Sox</t>
        </is>
      </c>
      <c r="AU140" s="24" t="inlineStr">
        <is>
          <t>Chicago White Sox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6a5c79541b0e50cb9f7318270e63d5ccc65cbd7bc53a019748ff772d49de5075</t>
        </is>
      </c>
      <c r="BB140" s="24" t="inlineStr">
        <is>
          <t>learned_lr</t>
        </is>
      </c>
      <c r="BC140" s="24" t="inlineStr">
        <is>
          <t>mlb-elo-trend-lr-v8</t>
        </is>
      </c>
      <c r="BD140" s="24" t="inlineStr">
        <is>
          <t>6a5c79541b0e50cb9f7318270e63d5ccc65cbd7bc53a019748ff772d49de5075</t>
        </is>
      </c>
      <c r="BE140" s="24" t="inlineStr">
        <is>
          <t>7cbd1ac72f054b7b</t>
        </is>
      </c>
      <c r="BF140" s="24" t="inlineStr">
        <is>
          <t>1</t>
        </is>
      </c>
      <c r="BG140" s="24" t="inlineStr">
        <is>
          <t>mlb-elo-trend-lr-v8</t>
        </is>
      </c>
      <c r="BH140" s="24" t="inlineStr">
        <is>
          <t>2026-08-09T17:05:37.368908Z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>
        <v>0.457711</v>
      </c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0.540347346</t>
        </is>
      </c>
      <c r="CD140" s="24" t="inlineStr">
        <is>
          <t>-0.501586</t>
        </is>
      </c>
      <c r="CE140" s="24" t="inlineStr">
        <is>
          <t>0.94</t>
        </is>
      </c>
      <c r="CF140" s="24" t="inlineStr">
        <is>
          <t>1.018</t>
        </is>
      </c>
      <c r="CG140" s="24" t="n"/>
      <c r="CH140" s="24" t="n"/>
      <c r="CI140" s="24" t="n"/>
      <c r="CJ140" s="24" t="inlineStr">
        <is>
          <t>-0.240276</t>
        </is>
      </c>
      <c r="CK140" s="24" t="n"/>
      <c r="CL140" s="24" t="inlineStr">
        <is>
          <t>-0.398017</t>
        </is>
      </c>
      <c r="CM140" s="24" t="inlineStr">
        <is>
          <t>3.3171</t>
        </is>
      </c>
      <c r="CN140" s="24" t="n"/>
      <c r="CO140" s="24" t="n"/>
      <c r="CP140" s="24" t="n"/>
      <c r="CQ140" s="24" t="n"/>
      <c r="CR140" s="24" t="inlineStr">
        <is>
          <t>0.524392</t>
        </is>
      </c>
      <c r="CS140" s="24" t="inlineStr">
        <is>
          <t>True</t>
        </is>
      </c>
    </row>
    <row r="141" ht="36" customHeight="1">
      <c r="A141" s="24" t="inlineStr">
        <is>
          <t>935851a9563244af</t>
        </is>
      </c>
      <c r="B141" s="24" t="inlineStr">
        <is>
          <t>2026-08-09T17:06:21.079905Z</t>
        </is>
      </c>
      <c r="C141" s="24" t="inlineStr">
        <is>
          <t>2026-08-09T14:10:00-0400</t>
        </is>
      </c>
      <c r="D141" s="24" t="inlineStr">
        <is>
          <t>401816464</t>
        </is>
      </c>
      <c r="E141" s="24" t="inlineStr">
        <is>
          <t>MLB</t>
        </is>
      </c>
      <c r="F141" s="24" t="inlineStr">
        <is>
          <t>Minnesota Twins</t>
        </is>
      </c>
      <c r="G141" s="24" t="inlineStr">
        <is>
          <t>Milwaukee Brewers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-251</v>
      </c>
      <c r="M141" s="27" t="n">
        <v>1.398406</v>
      </c>
      <c r="N141" s="28" t="n">
        <v>0.7151</v>
      </c>
      <c r="O141" s="28" t="n">
        <v>0.640576</v>
      </c>
      <c r="P141" s="28" t="n"/>
      <c r="Q141" s="28" t="n">
        <v>-0.07452400000000001</v>
      </c>
      <c r="R141" s="26" t="n">
        <v>0</v>
      </c>
      <c r="S141" s="29" t="n">
        <v>1.5</v>
      </c>
      <c r="T141" s="24" t="inlineStr">
        <is>
          <t>mlb-elo-trend-lr-v8</t>
        </is>
      </c>
      <c r="U141" s="24" t="inlineStr">
        <is>
          <t>settled</t>
        </is>
      </c>
      <c r="V141" s="24" t="inlineStr">
        <is>
          <t>win</t>
        </is>
      </c>
      <c r="W141" s="26" t="n">
        <v>3</v>
      </c>
      <c r="X141" s="26" t="n">
        <v>4</v>
      </c>
      <c r="Y141" s="25" t="n"/>
      <c r="Z141" s="26" t="n">
        <v>-251</v>
      </c>
      <c r="AA141" s="28" t="n">
        <v>0.715</v>
      </c>
      <c r="AB141" s="28" t="n">
        <v>-0.0001</v>
      </c>
      <c r="AC141" s="30" t="n">
        <v>0.5976</v>
      </c>
      <c r="AD141" s="24" t="inlineStr">
        <is>
          <t>2026-08-09T23:29:17.892549Z</t>
        </is>
      </c>
      <c r="AE141" s="31" t="inlineStr">
        <is>
          <t>Learned LR call at threshold 0.5873; executable ask 0.7150 (aec-mlb-min-mil-2026-08-09); model edge vs ask -0.0744.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NO_CALL_WINNER_OVERVALUED</t>
        </is>
      </c>
      <c r="AP141" s="24" t="inlineStr">
        <is>
          <t>mlb-min</t>
        </is>
      </c>
      <c r="AQ141" s="24" t="inlineStr">
        <is>
          <t>Minnesota Twins</t>
        </is>
      </c>
      <c r="AR141" s="24" t="inlineStr">
        <is>
          <t>Minnesota Twins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6a5c79541b0e50cb9f7318270e63d5ccc65cbd7bc53a019748ff772d49de5075</t>
        </is>
      </c>
      <c r="BB141" s="24" t="inlineStr">
        <is>
          <t>learned_lr</t>
        </is>
      </c>
      <c r="BC141" s="24" t="inlineStr">
        <is>
          <t>mlb-elo-trend-lr-v8</t>
        </is>
      </c>
      <c r="BD141" s="24" t="inlineStr">
        <is>
          <t>6a5c79541b0e50cb9f7318270e63d5ccc65cbd7bc53a019748ff772d49de5075</t>
        </is>
      </c>
      <c r="BE141" s="24" t="inlineStr">
        <is>
          <t>21d4da21b018d1f2</t>
        </is>
      </c>
      <c r="BF141" s="24" t="inlineStr">
        <is>
          <t>1</t>
        </is>
      </c>
      <c r="BG141" s="24" t="inlineStr">
        <is>
          <t>mlb-elo-trend-lr-v8</t>
        </is>
      </c>
      <c r="BH141" s="24" t="inlineStr">
        <is>
          <t>2026-08-09T17:05:36.603159Z</t>
        </is>
      </c>
      <c r="BI141" s="24" t="inlineStr">
        <is>
          <t>["same_event","same_team_same_day","same_league_same_day"]</t>
        </is>
      </c>
      <c r="BJ141" s="25" t="n"/>
      <c r="BK141" s="26" t="n">
        <v>-251</v>
      </c>
      <c r="BL141" s="27" t="n">
        <v>1.398406</v>
      </c>
      <c r="BM141" s="28" t="n">
        <v>0.7151</v>
      </c>
      <c r="BN141" s="28" t="n">
        <v>0.711443</v>
      </c>
      <c r="BO141" s="28" t="n"/>
      <c r="BP141" s="25" t="n"/>
      <c r="BQ141" s="27" t="n">
        <v>1.398406</v>
      </c>
      <c r="BR141" s="28" t="n">
        <v>0.715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0.6687321655</t>
        </is>
      </c>
      <c r="CD141" s="24" t="inlineStr">
        <is>
          <t>-0.226419</t>
        </is>
      </c>
      <c r="CE141" s="24" t="inlineStr">
        <is>
          <t>0.997</t>
        </is>
      </c>
      <c r="CF141" s="24" t="inlineStr">
        <is>
          <t>1.0</t>
        </is>
      </c>
      <c r="CG141" s="24" t="n"/>
      <c r="CH141" s="24" t="n"/>
      <c r="CI141" s="24" t="n"/>
      <c r="CJ141" s="24" t="inlineStr">
        <is>
          <t>-0.484852</t>
        </is>
      </c>
      <c r="CK141" s="24" t="n"/>
      <c r="CL141" s="24" t="inlineStr">
        <is>
          <t>-0.143495</t>
        </is>
      </c>
      <c r="CM141" s="24" t="inlineStr">
        <is>
          <t>-2.1518</t>
        </is>
      </c>
      <c r="CN141" s="24" t="n"/>
      <c r="CO141" s="24" t="n"/>
      <c r="CP141" s="24" t="n"/>
      <c r="CQ141" s="24" t="n"/>
      <c r="CR141" s="24" t="inlineStr">
        <is>
          <t>0.640576</t>
        </is>
      </c>
      <c r="CS141" s="24" t="inlineStr">
        <is>
          <t>False</t>
        </is>
      </c>
    </row>
    <row r="142" ht="36" customHeight="1">
      <c r="A142" s="24" t="inlineStr">
        <is>
          <t>d204a241ce2048a0</t>
        </is>
      </c>
      <c r="B142" s="24" t="inlineStr">
        <is>
          <t>2026-08-09T17:06:21.079905Z</t>
        </is>
      </c>
      <c r="C142" s="24" t="inlineStr">
        <is>
          <t>2026-08-09T14:15:00-0400</t>
        </is>
      </c>
      <c r="D142" s="24" t="inlineStr">
        <is>
          <t>401816463</t>
        </is>
      </c>
      <c r="E142" s="24" t="inlineStr">
        <is>
          <t>MLB</t>
        </is>
      </c>
      <c r="F142" s="24" t="inlineStr">
        <is>
          <t>Colorado Rockies</t>
        </is>
      </c>
      <c r="G142" s="24" t="inlineStr">
        <is>
          <t>St. Louis Cardinals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-153</v>
      </c>
      <c r="M142" s="27" t="n">
        <v>1.653595</v>
      </c>
      <c r="N142" s="28" t="n">
        <v>0.604743</v>
      </c>
      <c r="O142" s="28" t="n">
        <v>0.653323</v>
      </c>
      <c r="P142" s="28" t="n"/>
      <c r="Q142" s="28" t="n">
        <v>0.04858</v>
      </c>
      <c r="R142" s="26" t="n">
        <v>46</v>
      </c>
      <c r="S142" s="29" t="n">
        <v>1.75</v>
      </c>
      <c r="T142" s="24" t="inlineStr">
        <is>
          <t>mlb-elo-trend-lr-v8</t>
        </is>
      </c>
      <c r="U142" s="24" t="inlineStr">
        <is>
          <t>settled</t>
        </is>
      </c>
      <c r="V142" s="24" t="inlineStr">
        <is>
          <t>win</t>
        </is>
      </c>
      <c r="W142" s="26" t="n">
        <v>4</v>
      </c>
      <c r="X142" s="26" t="n">
        <v>7</v>
      </c>
      <c r="Y142" s="25" t="n"/>
      <c r="Z142" s="26" t="n">
        <v>-153</v>
      </c>
      <c r="AA142" s="28" t="n">
        <v>0.605</v>
      </c>
      <c r="AB142" s="28" t="n">
        <v>0.000257</v>
      </c>
      <c r="AC142" s="30" t="n">
        <v>1.1438</v>
      </c>
      <c r="AD142" s="24" t="inlineStr">
        <is>
          <t>2026-08-09T23:29:19.222106Z</t>
        </is>
      </c>
      <c r="AE142" s="31" t="inlineStr">
        <is>
          <t>Learned LR call at threshold 0.5873; executable ask 0.6050 (aec-mlb-col-stl-2026-08-09); model edge vs ask +0.0483.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NO_CALL_WINNER_OVERVALUED</t>
        </is>
      </c>
      <c r="AP142" s="24" t="inlineStr">
        <is>
          <t>mlb-col</t>
        </is>
      </c>
      <c r="AQ142" s="24" t="inlineStr">
        <is>
          <t>Colorado Rockies</t>
        </is>
      </c>
      <c r="AR142" s="24" t="inlineStr">
        <is>
          <t>Colorado Rockies</t>
        </is>
      </c>
      <c r="AS142" s="24" t="inlineStr">
        <is>
          <t>mlb-stl</t>
        </is>
      </c>
      <c r="AT142" s="24" t="inlineStr">
        <is>
          <t>St. Louis Cardinals</t>
        </is>
      </c>
      <c r="AU142" s="24" t="inlineStr">
        <is>
          <t>St. Louis Cardinals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6a5c79541b0e50cb9f7318270e63d5ccc65cbd7bc53a019748ff772d49de5075</t>
        </is>
      </c>
      <c r="BB142" s="24" t="inlineStr">
        <is>
          <t>learned_lr</t>
        </is>
      </c>
      <c r="BC142" s="24" t="inlineStr">
        <is>
          <t>mlb-elo-trend-lr-v8</t>
        </is>
      </c>
      <c r="BD142" s="24" t="inlineStr">
        <is>
          <t>6a5c79541b0e50cb9f7318270e63d5ccc65cbd7bc53a019748ff772d49de5075</t>
        </is>
      </c>
      <c r="BE142" s="24" t="inlineStr">
        <is>
          <t>e37248301eb7acf4</t>
        </is>
      </c>
      <c r="BF142" s="24" t="inlineStr">
        <is>
          <t>1</t>
        </is>
      </c>
      <c r="BG142" s="24" t="inlineStr">
        <is>
          <t>mlb-elo-trend-lr-v8</t>
        </is>
      </c>
      <c r="BH142" s="24" t="inlineStr">
        <is>
          <t>2026-08-09T17:05:38.039098Z</t>
        </is>
      </c>
      <c r="BI142" s="24" t="inlineStr">
        <is>
          <t>["same_event","same_team_same_day","same_league_same_day"]</t>
        </is>
      </c>
      <c r="BJ142" s="25" t="n"/>
      <c r="BK142" s="26" t="n">
        <v>-153</v>
      </c>
      <c r="BL142" s="27" t="n">
        <v>1.653595</v>
      </c>
      <c r="BM142" s="28" t="n">
        <v>0.604743</v>
      </c>
      <c r="BN142" s="28" t="n">
        <v>0.60199</v>
      </c>
      <c r="BO142" s="28" t="n"/>
      <c r="BP142" s="25" t="n"/>
      <c r="BQ142" s="27" t="n">
        <v>1.653595</v>
      </c>
      <c r="BR142" s="28" t="n">
        <v>0.605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0.6529117223</t>
        </is>
      </c>
      <c r="CD142" s="24" t="inlineStr">
        <is>
          <t>-0.716361</t>
        </is>
      </c>
      <c r="CE142" s="24" t="inlineStr">
        <is>
          <t>0.946</t>
        </is>
      </c>
      <c r="CF142" s="24" t="inlineStr">
        <is>
          <t>1.0293</t>
        </is>
      </c>
      <c r="CG142" s="24" t="n"/>
      <c r="CH142" s="24" t="n"/>
      <c r="CI142" s="24" t="n"/>
      <c r="CJ142" s="24" t="inlineStr">
        <is>
          <t>0.155234</t>
        </is>
      </c>
      <c r="CK142" s="24" t="n"/>
      <c r="CL142" s="24" t="inlineStr">
        <is>
          <t>0.060177</t>
        </is>
      </c>
      <c r="CM142" s="24" t="inlineStr">
        <is>
          <t>-3.3879</t>
        </is>
      </c>
      <c r="CN142" s="24" t="n"/>
      <c r="CO142" s="24" t="n"/>
      <c r="CP142" s="24" t="n"/>
      <c r="CQ142" s="24" t="n"/>
      <c r="CR142" s="24" t="inlineStr">
        <is>
          <t>0.653323</t>
        </is>
      </c>
      <c r="CS142" s="24" t="inlineStr">
        <is>
          <t>True</t>
        </is>
      </c>
    </row>
    <row r="143" ht="36" customHeight="1">
      <c r="A143" s="24" t="inlineStr">
        <is>
          <t>67c72c61d1b24593</t>
        </is>
      </c>
      <c r="B143" s="24" t="inlineStr">
        <is>
          <t>2026-08-09T17:06:21.079905Z</t>
        </is>
      </c>
      <c r="C143" s="24" t="inlineStr">
        <is>
          <t>2026-08-09T14:35:00-0400</t>
        </is>
      </c>
      <c r="D143" s="24" t="inlineStr">
        <is>
          <t>401816460</t>
        </is>
      </c>
      <c r="E143" s="24" t="inlineStr">
        <is>
          <t>MLB</t>
        </is>
      </c>
      <c r="F143" s="24" t="inlineStr">
        <is>
          <t>Baltimore Orioles</t>
        </is>
      </c>
      <c r="G143" s="24" t="inlineStr">
        <is>
          <t>Texas Rangers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-120</v>
      </c>
      <c r="M143" s="27" t="n">
        <v>1.833333</v>
      </c>
      <c r="N143" s="28" t="n">
        <v>0.545455</v>
      </c>
      <c r="O143" s="28" t="n">
        <v>0.5361399999999999</v>
      </c>
      <c r="P143" s="28" t="n"/>
      <c r="Q143" s="28" t="n">
        <v>-0.009315</v>
      </c>
      <c r="R143" s="26" t="n">
        <v>17</v>
      </c>
      <c r="S143" s="29" t="n">
        <v>1</v>
      </c>
      <c r="T143" s="24" t="inlineStr">
        <is>
          <t>mlb-elo-trend-lr-v8</t>
        </is>
      </c>
      <c r="U143" s="24" t="inlineStr">
        <is>
          <t>settled</t>
        </is>
      </c>
      <c r="V143" s="24" t="inlineStr">
        <is>
          <t>loss</t>
        </is>
      </c>
      <c r="W143" s="26" t="n">
        <v>10</v>
      </c>
      <c r="X143" s="26" t="n">
        <v>5</v>
      </c>
      <c r="Y143" s="25" t="n"/>
      <c r="Z143" s="26" t="n">
        <v>-120</v>
      </c>
      <c r="AA143" s="28" t="n">
        <v>0.545</v>
      </c>
      <c r="AB143" s="28" t="n">
        <v>-0.000455</v>
      </c>
      <c r="AC143" s="30" t="n">
        <v>-1</v>
      </c>
      <c r="AD143" s="24" t="inlineStr">
        <is>
          <t>2026-08-09T23:29:20.606410Z</t>
        </is>
      </c>
      <c r="AE143" s="31" t="inlineStr">
        <is>
          <t>Learned LR call at threshold 0.5873; executable ask 0.5450 (aec-mlb-bal-tex-2026-08-09); model edge vs ask -0.0089.</t>
        </is>
      </c>
      <c r="AF143" s="31" t="inlineStr">
        <is>
          <t>Learned model; shadow-qualified via operator override.</t>
        </is>
      </c>
      <c r="AG143" s="24" t="inlineStr">
        <is>
          <t>review_required</t>
        </is>
      </c>
      <c r="AH143" s="24" t="n"/>
      <c r="AI143" s="31" t="n"/>
      <c r="AJ1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NO_CALL_WINNER_OVERVALUED</t>
        </is>
      </c>
      <c r="AP143" s="24" t="inlineStr">
        <is>
          <t>mlb-bal</t>
        </is>
      </c>
      <c r="AQ143" s="24" t="inlineStr">
        <is>
          <t>Baltimore Orioles</t>
        </is>
      </c>
      <c r="AR143" s="24" t="inlineStr">
        <is>
          <t>Baltimore Orioles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6a5c79541b0e50cb9f7318270e63d5ccc65cbd7bc53a019748ff772d49de5075</t>
        </is>
      </c>
      <c r="BB143" s="24" t="inlineStr">
        <is>
          <t>learned_lr</t>
        </is>
      </c>
      <c r="BC143" s="24" t="inlineStr">
        <is>
          <t>mlb-elo-trend-lr-v8</t>
        </is>
      </c>
      <c r="BD143" s="24" t="inlineStr">
        <is>
          <t>6a5c79541b0e50cb9f7318270e63d5ccc65cbd7bc53a019748ff772d49de5075</t>
        </is>
      </c>
      <c r="BE143" s="24" t="inlineStr">
        <is>
          <t>d830eb2ea62a9e6c</t>
        </is>
      </c>
      <c r="BF143" s="24" t="inlineStr">
        <is>
          <t>1</t>
        </is>
      </c>
      <c r="BG143" s="24" t="inlineStr">
        <is>
          <t>mlb-elo-trend-lr-v8</t>
        </is>
      </c>
      <c r="BH143" s="24" t="inlineStr">
        <is>
          <t>2026-08-09T17:05:38.458433Z</t>
        </is>
      </c>
      <c r="BI143" s="24" t="inlineStr">
        <is>
          <t>["same_event","same_team_same_day","same_league_same_day"]</t>
        </is>
      </c>
      <c r="BJ143" s="25" t="n"/>
      <c r="BK143" s="26" t="n">
        <v>-120</v>
      </c>
      <c r="BL143" s="27" t="n">
        <v>1.833333</v>
      </c>
      <c r="BM143" s="28" t="n">
        <v>0.545455</v>
      </c>
      <c r="BN143" s="28" t="n">
        <v>0.542289</v>
      </c>
      <c r="BO143" s="28" t="n"/>
      <c r="BP143" s="25" t="n"/>
      <c r="BQ143" s="27" t="n">
        <v>1.833333</v>
      </c>
      <c r="BR143" s="28" t="n">
        <v>0.545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inlineStr">
        <is>
          <t>0.526211665</t>
        </is>
      </c>
      <c r="CD143" s="24" t="inlineStr">
        <is>
          <t>1.482199</t>
        </is>
      </c>
      <c r="CE143" s="24" t="inlineStr">
        <is>
          <t>0.913</t>
        </is>
      </c>
      <c r="CF143" s="24" t="inlineStr">
        <is>
          <t>1.0</t>
        </is>
      </c>
      <c r="CG143" s="24" t="n"/>
      <c r="CH143" s="24" t="n"/>
      <c r="CI143" s="24" t="n"/>
      <c r="CJ143" s="24" t="inlineStr">
        <is>
          <t>1.494093</t>
        </is>
      </c>
      <c r="CK143" s="24" t="n"/>
      <c r="CL143" s="24" t="inlineStr">
        <is>
          <t>0.154309</t>
        </is>
      </c>
      <c r="CM143" s="24" t="inlineStr">
        <is>
          <t>1.9587</t>
        </is>
      </c>
      <c r="CN143" s="24" t="n"/>
      <c r="CO143" s="24" t="n"/>
      <c r="CP143" s="24" t="n"/>
      <c r="CQ143" s="24" t="n"/>
      <c r="CR143" s="24" t="inlineStr">
        <is>
          <t>0.53614</t>
        </is>
      </c>
      <c r="CS143" s="24" t="inlineStr">
        <is>
          <t>False</t>
        </is>
      </c>
    </row>
    <row r="144" ht="36" customHeight="1">
      <c r="A144" s="24" t="inlineStr">
        <is>
          <t>1ff258bb32e9420c</t>
        </is>
      </c>
      <c r="B144" s="24" t="inlineStr">
        <is>
          <t>2026-08-09T17:06:21.079905Z</t>
        </is>
      </c>
      <c r="C144" s="24" t="inlineStr">
        <is>
          <t>2026-08-09T16:05:00-0400</t>
        </is>
      </c>
      <c r="D144" s="24" t="inlineStr">
        <is>
          <t>401816465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San Francisco Giants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-117</v>
      </c>
      <c r="M144" s="27" t="n">
        <v>1.854701</v>
      </c>
      <c r="N144" s="28" t="n">
        <v>0.539171</v>
      </c>
      <c r="O144" s="28" t="n">
        <v>0.523918</v>
      </c>
      <c r="P144" s="28" t="n"/>
      <c r="Q144" s="28" t="n">
        <v>-0.015253</v>
      </c>
      <c r="R144" s="26" t="n">
        <v>13</v>
      </c>
      <c r="S144" s="29" t="n">
        <v>1</v>
      </c>
      <c r="T144" s="24" t="inlineStr">
        <is>
          <t>mlb-elo-trend-lr-v8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1</v>
      </c>
      <c r="Y144" s="25" t="n"/>
      <c r="Z144" s="26" t="n">
        <v>-117</v>
      </c>
      <c r="AA144" s="28" t="n">
        <v>0.54</v>
      </c>
      <c r="AB144" s="28" t="n">
        <v>0.000829</v>
      </c>
      <c r="AC144" s="30" t="n">
        <v>0.8547</v>
      </c>
      <c r="AD144" s="24" t="inlineStr">
        <is>
          <t>2026-08-09T23:29:22.020402Z</t>
        </is>
      </c>
      <c r="AE144" s="31" t="inlineStr">
        <is>
          <t>Learned LR call at threshold 0.5873; executable ask 0.5400 (aec-mlb-det-sf-2026-08-09); model edge vs ask -0.0161.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NO_CALL_WINNER_OVERVALUED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mlb-sf</t>
        </is>
      </c>
      <c r="AT144" s="24" t="inlineStr">
        <is>
          <t>San Francisco Giants</t>
        </is>
      </c>
      <c r="AU144" s="24" t="inlineStr">
        <is>
          <t>San Francisco Giants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6a5c79541b0e50cb9f7318270e63d5ccc65cbd7bc53a019748ff772d49de5075</t>
        </is>
      </c>
      <c r="BB144" s="24" t="inlineStr">
        <is>
          <t>learned_lr</t>
        </is>
      </c>
      <c r="BC144" s="24" t="inlineStr">
        <is>
          <t>mlb-elo-trend-lr-v8</t>
        </is>
      </c>
      <c r="BD144" s="24" t="inlineStr">
        <is>
          <t>6a5c79541b0e50cb9f7318270e63d5ccc65cbd7bc53a019748ff772d49de5075</t>
        </is>
      </c>
      <c r="BE144" s="24" t="inlineStr">
        <is>
          <t>f469f5a9760bf0fd</t>
        </is>
      </c>
      <c r="BF144" s="24" t="inlineStr">
        <is>
          <t>1</t>
        </is>
      </c>
      <c r="BG144" s="24" t="inlineStr">
        <is>
          <t>mlb-elo-trend-lr-v8</t>
        </is>
      </c>
      <c r="BH144" s="24" t="inlineStr">
        <is>
          <t>2026-08-09T17:05:39.000411Z</t>
        </is>
      </c>
      <c r="BI144" s="24" t="inlineStr">
        <is>
          <t>["same_event","same_team_same_day","same_league_same_day"]</t>
        </is>
      </c>
      <c r="BJ144" s="25" t="n"/>
      <c r="BK144" s="26" t="n">
        <v>-117</v>
      </c>
      <c r="BL144" s="27" t="n">
        <v>1.854701</v>
      </c>
      <c r="BM144" s="28" t="n">
        <v>0.539171</v>
      </c>
      <c r="BN144" s="28" t="n">
        <v>0.537313</v>
      </c>
      <c r="BO144" s="28" t="n"/>
      <c r="BP144" s="25" t="n"/>
      <c r="BQ144" s="27" t="n">
        <v>1.854701</v>
      </c>
      <c r="BR144" s="28" t="n">
        <v>0.54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0.4401408662</t>
        </is>
      </c>
      <c r="CD144" s="24" t="inlineStr">
        <is>
          <t>-3.514012</t>
        </is>
      </c>
      <c r="CE144" s="24" t="inlineStr">
        <is>
          <t>0.982</t>
        </is>
      </c>
      <c r="CF144" s="24" t="inlineStr">
        <is>
          <t>1.0043</t>
        </is>
      </c>
      <c r="CG144" s="24" t="n"/>
      <c r="CH144" s="24" t="n"/>
      <c r="CI144" s="24" t="n"/>
      <c r="CJ144" s="24" t="inlineStr">
        <is>
          <t>-2.215083</t>
        </is>
      </c>
      <c r="CK144" s="24" t="n"/>
      <c r="CL144" s="24" t="inlineStr">
        <is>
          <t>0.143478</t>
        </is>
      </c>
      <c r="CM144" s="24" t="inlineStr">
        <is>
          <t>3.9572</t>
        </is>
      </c>
      <c r="CN144" s="24" t="n"/>
      <c r="CO144" s="24" t="n"/>
      <c r="CP144" s="24" t="n"/>
      <c r="CQ144" s="24" t="n"/>
      <c r="CR144" s="24" t="inlineStr">
        <is>
          <t>0.523918</t>
        </is>
      </c>
      <c r="CS144" s="24" t="inlineStr">
        <is>
          <t>False</t>
        </is>
      </c>
    </row>
    <row r="145" ht="36" customHeight="1">
      <c r="A145" s="24" t="inlineStr">
        <is>
          <t>ef92dd36222647d7</t>
        </is>
      </c>
      <c r="B145" s="24" t="inlineStr">
        <is>
          <t>2026-08-09T17:06:21.079905Z</t>
        </is>
      </c>
      <c r="C145" s="24" t="inlineStr">
        <is>
          <t>2026-08-09T16:10:00-0400</t>
        </is>
      </c>
      <c r="D145" s="24" t="inlineStr">
        <is>
          <t>401816467</t>
        </is>
      </c>
      <c r="E145" s="24" t="inlineStr">
        <is>
          <t>MLB</t>
        </is>
      </c>
      <c r="F145" s="24" t="inlineStr">
        <is>
          <t>Los Angeles Dodgers</t>
        </is>
      </c>
      <c r="G145" s="24" t="inlineStr">
        <is>
          <t>Arizona Diamondbacks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-135</v>
      </c>
      <c r="M145" s="27" t="n">
        <v>1.740741</v>
      </c>
      <c r="N145" s="28" t="n">
        <v>0.574468</v>
      </c>
      <c r="O145" s="28" t="n">
        <v>0.537223</v>
      </c>
      <c r="P145" s="28" t="n"/>
      <c r="Q145" s="28" t="n">
        <v>-0.037245</v>
      </c>
      <c r="R145" s="26" t="n">
        <v>3</v>
      </c>
      <c r="S145" s="29" t="n">
        <v>1</v>
      </c>
      <c r="T145" s="24" t="inlineStr">
        <is>
          <t>mlb-elo-trend-lr-v8</t>
        </is>
      </c>
      <c r="U145" s="24" t="inlineStr">
        <is>
          <t>settled</t>
        </is>
      </c>
      <c r="V145" s="24" t="inlineStr">
        <is>
          <t>loss</t>
        </is>
      </c>
      <c r="W145" s="26" t="n">
        <v>2</v>
      </c>
      <c r="X145" s="26" t="n">
        <v>4</v>
      </c>
      <c r="Y145" s="25" t="n"/>
      <c r="Z145" s="26" t="n">
        <v>-135</v>
      </c>
      <c r="AA145" s="28" t="n">
        <v>0.575</v>
      </c>
      <c r="AB145" s="28" t="n">
        <v>0.000532</v>
      </c>
      <c r="AC145" s="30" t="n">
        <v>-1</v>
      </c>
      <c r="AD145" s="24" t="inlineStr">
        <is>
          <t>2026-08-09T23:29:23.414165Z</t>
        </is>
      </c>
      <c r="AE145" s="31" t="inlineStr">
        <is>
          <t>Learned LR call at threshold 0.5873; executable ask 0.5750 (aec-mlb-lad-az-2026-08-09); model edge vs ask -0.0378.</t>
        </is>
      </c>
      <c r="AF145" s="31" t="inlineStr">
        <is>
          <t>Learned model; shadow-qualified via operator override.</t>
        </is>
      </c>
      <c r="AG145" s="24" t="inlineStr">
        <is>
          <t>review_required</t>
        </is>
      </c>
      <c r="AH145" s="24" t="n"/>
      <c r="AI145" s="31" t="n"/>
      <c r="AJ1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NO_CALL_WINNER_OVERVALUED</t>
        </is>
      </c>
      <c r="AP145" s="24" t="inlineStr">
        <is>
          <t>mlb-lad</t>
        </is>
      </c>
      <c r="AQ145" s="24" t="inlineStr">
        <is>
          <t>Los Angeles Dodgers</t>
        </is>
      </c>
      <c r="AR145" s="24" t="inlineStr">
        <is>
          <t>Los Angeles Dodgers</t>
        </is>
      </c>
      <c r="AS145" s="24" t="inlineStr">
        <is>
          <t>mlb-ari</t>
        </is>
      </c>
      <c r="AT145" s="24" t="inlineStr">
        <is>
          <t>Arizona Diamondbacks</t>
        </is>
      </c>
      <c r="AU145" s="24" t="inlineStr">
        <is>
          <t>Arizona Diamondbacks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6a5c79541b0e50cb9f7318270e63d5ccc65cbd7bc53a019748ff772d49de5075</t>
        </is>
      </c>
      <c r="BB145" s="24" t="inlineStr">
        <is>
          <t>learned_lr</t>
        </is>
      </c>
      <c r="BC145" s="24" t="inlineStr">
        <is>
          <t>mlb-elo-trend-lr-v8</t>
        </is>
      </c>
      <c r="BD145" s="24" t="inlineStr">
        <is>
          <t>6a5c79541b0e50cb9f7318270e63d5ccc65cbd7bc53a019748ff772d49de5075</t>
        </is>
      </c>
      <c r="BE145" s="24" t="inlineStr">
        <is>
          <t>aac436d6916cd50c</t>
        </is>
      </c>
      <c r="BF145" s="24" t="inlineStr">
        <is>
          <t>1</t>
        </is>
      </c>
      <c r="BG145" s="24" t="inlineStr">
        <is>
          <t>mlb-elo-trend-lr-v8</t>
        </is>
      </c>
      <c r="BH145" s="24" t="inlineStr">
        <is>
          <t>2026-08-09T17:05:39.558971Z</t>
        </is>
      </c>
      <c r="BI145" s="24" t="inlineStr">
        <is>
          <t>["same_event","same_team_same_day","same_league_same_day"]</t>
        </is>
      </c>
      <c r="BJ145" s="25" t="n"/>
      <c r="BK145" s="26" t="n">
        <v>-135</v>
      </c>
      <c r="BL145" s="27" t="n">
        <v>1.740741</v>
      </c>
      <c r="BM145" s="28" t="n">
        <v>0.574468</v>
      </c>
      <c r="BN145" s="28" t="n">
        <v>0.572139</v>
      </c>
      <c r="BO145" s="28" t="n"/>
      <c r="BP145" s="25" t="n"/>
      <c r="BQ145" s="27" t="n">
        <v>1.740741</v>
      </c>
      <c r="BR145" s="28" t="n">
        <v>0.575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0.470471916</t>
        </is>
      </c>
      <c r="CD145" s="24" t="inlineStr">
        <is>
          <t>0.648918</t>
        </is>
      </c>
      <c r="CE145" s="24" t="inlineStr">
        <is>
          <t>1.097</t>
        </is>
      </c>
      <c r="CF145" s="24" t="inlineStr">
        <is>
          <t>1.0</t>
        </is>
      </c>
      <c r="CG145" s="24" t="n"/>
      <c r="CH145" s="24" t="n"/>
      <c r="CI145" s="24" t="n"/>
      <c r="CJ145" s="24" t="inlineStr">
        <is>
          <t>1.119977</t>
        </is>
      </c>
      <c r="CK145" s="24" t="n"/>
      <c r="CL145" s="24" t="inlineStr">
        <is>
          <t>0.195971</t>
        </is>
      </c>
      <c r="CM145" s="24" t="inlineStr">
        <is>
          <t>1.205</t>
        </is>
      </c>
      <c r="CN145" s="24" t="n"/>
      <c r="CO145" s="24" t="n"/>
      <c r="CP145" s="24" t="n"/>
      <c r="CQ145" s="24" t="n"/>
      <c r="CR145" s="24" t="inlineStr">
        <is>
          <t>0.537223</t>
        </is>
      </c>
      <c r="CS145" s="24" t="inlineStr">
        <is>
          <t>False</t>
        </is>
      </c>
    </row>
    <row r="146" ht="36" customHeight="1">
      <c r="A146" s="24" t="inlineStr">
        <is>
          <t>1ed9295d5cbb44b3</t>
        </is>
      </c>
      <c r="B146" s="24" t="inlineStr">
        <is>
          <t>2026-08-09T17:06:21.079905Z</t>
        </is>
      </c>
      <c r="C146" s="24" t="inlineStr">
        <is>
          <t>2026-08-09T16:10:00-0400</t>
        </is>
      </c>
      <c r="D146" s="24" t="inlineStr">
        <is>
          <t>401816468</t>
        </is>
      </c>
      <c r="E146" s="24" t="inlineStr">
        <is>
          <t>MLB</t>
        </is>
      </c>
      <c r="F146" s="24" t="inlineStr">
        <is>
          <t>Tampa Bay Rays</t>
        </is>
      </c>
      <c r="G146" s="24" t="inlineStr">
        <is>
          <t>Seattle Mariners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0.560094</v>
      </c>
      <c r="P146" s="28" t="n"/>
      <c r="Q146" s="28" t="n">
        <v>0.055144</v>
      </c>
      <c r="R146" s="26" t="n">
        <v>49</v>
      </c>
      <c r="S146" s="29" t="n">
        <v>1</v>
      </c>
      <c r="T146" s="24" t="inlineStr">
        <is>
          <t>mlb-elo-trend-lr-v8</t>
        </is>
      </c>
      <c r="U146" s="24" t="inlineStr">
        <is>
          <t>settled</t>
        </is>
      </c>
      <c r="V146" s="24" t="inlineStr">
        <is>
          <t>loss</t>
        </is>
      </c>
      <c r="W146" s="26" t="n">
        <v>4</v>
      </c>
      <c r="X146" s="26" t="n">
        <v>1</v>
      </c>
      <c r="Y146" s="25" t="n"/>
      <c r="Z146" s="26" t="n">
        <v>-102</v>
      </c>
      <c r="AA146" s="28" t="n">
        <v>0.505</v>
      </c>
      <c r="AB146" s="28" t="n">
        <v>5e-05</v>
      </c>
      <c r="AC146" s="30" t="n">
        <v>-1</v>
      </c>
      <c r="AD146" s="24" t="inlineStr">
        <is>
          <t>2026-08-09T23:29:24.808725Z</t>
        </is>
      </c>
      <c r="AE146" s="31" t="inlineStr">
        <is>
          <t>Learned LR call at threshold 0.5873; executable ask 0.5050 (aec-mlb-tb-sea-2026-08-09); model edge vs ask +0.0551.</t>
        </is>
      </c>
      <c r="AF146" s="31" t="inlineStr">
        <is>
          <t>Learned model; shadow-qualified via operator override.</t>
        </is>
      </c>
      <c r="AG146" s="24" t="inlineStr">
        <is>
          <t>review_required</t>
        </is>
      </c>
      <c r="AH146" s="24" t="n"/>
      <c r="AI146" s="31" t="n"/>
      <c r="AJ1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NO_CALL_WINNER_OVERVALUED</t>
        </is>
      </c>
      <c r="AP146" s="24" t="inlineStr">
        <is>
          <t>mlb-tb</t>
        </is>
      </c>
      <c r="AQ146" s="24" t="inlineStr">
        <is>
          <t>Tampa Bay Rays</t>
        </is>
      </c>
      <c r="AR146" s="24" t="inlineStr">
        <is>
          <t>Tampa Bay Rays</t>
        </is>
      </c>
      <c r="AS146" s="24" t="inlineStr">
        <is>
          <t>mlb-sea</t>
        </is>
      </c>
      <c r="AT146" s="24" t="inlineStr">
        <is>
          <t>Seattle Mariners</t>
        </is>
      </c>
      <c r="AU146" s="24" t="inlineStr">
        <is>
          <t>Seattle Mariners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6a5c79541b0e50cb9f7318270e63d5ccc65cbd7bc53a019748ff772d49de5075</t>
        </is>
      </c>
      <c r="BB146" s="24" t="inlineStr">
        <is>
          <t>learned_lr</t>
        </is>
      </c>
      <c r="BC146" s="24" t="inlineStr">
        <is>
          <t>mlb-elo-trend-lr-v8</t>
        </is>
      </c>
      <c r="BD146" s="24" t="inlineStr">
        <is>
          <t>6a5c79541b0e50cb9f7318270e63d5ccc65cbd7bc53a019748ff772d49de5075</t>
        </is>
      </c>
      <c r="BE146" s="24" t="inlineStr">
        <is>
          <t>3da8ce3665ef8ca2</t>
        </is>
      </c>
      <c r="BF146" s="24" t="inlineStr">
        <is>
          <t>1</t>
        </is>
      </c>
      <c r="BG146" s="24" t="inlineStr">
        <is>
          <t>mlb-elo-trend-lr-v8</t>
        </is>
      </c>
      <c r="BH146" s="24" t="inlineStr">
        <is>
          <t>2026-08-09T17:05:40.155337Z</t>
        </is>
      </c>
      <c r="BI146" s="24" t="inlineStr">
        <is>
          <t>["same_event","same_team_same_day","same_league_same_day"]</t>
        </is>
      </c>
      <c r="BJ146" s="25" t="n"/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0.5124819133</t>
        </is>
      </c>
      <c r="CD146" s="24" t="inlineStr">
        <is>
          <t>-0.736747</t>
        </is>
      </c>
      <c r="CE146" s="24" t="inlineStr">
        <is>
          <t>0.938</t>
        </is>
      </c>
      <c r="CF146" s="24" t="inlineStr">
        <is>
          <t>1.0</t>
        </is>
      </c>
      <c r="CG146" s="24" t="n"/>
      <c r="CH146" s="24" t="n"/>
      <c r="CI146" s="24" t="n"/>
      <c r="CJ146" s="24" t="inlineStr">
        <is>
          <t>-1.011663</t>
        </is>
      </c>
      <c r="CK146" s="24" t="n"/>
      <c r="CL146" s="24" t="inlineStr">
        <is>
          <t>0.333848</t>
        </is>
      </c>
      <c r="CM146" s="24" t="inlineStr">
        <is>
          <t>-2.1681</t>
        </is>
      </c>
      <c r="CN146" s="24" t="n"/>
      <c r="CO146" s="24" t="n"/>
      <c r="CP146" s="24" t="n"/>
      <c r="CQ146" s="24" t="n"/>
      <c r="CR146" s="24" t="inlineStr">
        <is>
          <t>0.560094</t>
        </is>
      </c>
      <c r="CS146" s="24" t="inlineStr">
        <is>
          <t>True</t>
        </is>
      </c>
    </row>
    <row r="147" ht="36" customHeight="1">
      <c r="A147" s="24" t="inlineStr">
        <is>
          <t>9f37416867b54dda</t>
        </is>
      </c>
      <c r="B147" s="24" t="inlineStr">
        <is>
          <t>2026-08-09T17:06:46.891600Z</t>
        </is>
      </c>
      <c r="C147" s="24" t="inlineStr">
        <is>
          <t>2026-08-09T17:35Z</t>
        </is>
      </c>
      <c r="D147" s="24" t="inlineStr">
        <is>
          <t>401816455</t>
        </is>
      </c>
      <c r="E147" s="24" t="inlineStr">
        <is>
          <t>MLB</t>
        </is>
      </c>
      <c r="F147" s="24" t="inlineStr">
        <is>
          <t>Athletics</t>
        </is>
      </c>
      <c r="G147" s="24" t="inlineStr">
        <is>
          <t>Boston Red Sox</t>
        </is>
      </c>
      <c r="H147" s="24" t="inlineStr">
        <is>
          <t>spread</t>
        </is>
      </c>
      <c r="I147" s="24" t="inlineStr">
        <is>
          <t>home</t>
        </is>
      </c>
      <c r="J147" s="25" t="n">
        <v>-1.5</v>
      </c>
      <c r="K147" s="24" t="inlineStr">
        <is>
          <t>polymarket_us</t>
        </is>
      </c>
      <c r="L147" s="26" t="n">
        <v>-108</v>
      </c>
      <c r="M147" s="27" t="n">
        <v>1.925926</v>
      </c>
      <c r="N147" s="28" t="n">
        <v>0.519231</v>
      </c>
      <c r="O147" s="28" t="n">
        <v>0.457821</v>
      </c>
      <c r="P147" s="28" t="n">
        <v>0.042131</v>
      </c>
      <c r="Q147" s="28" t="n">
        <v>-0.06141</v>
      </c>
      <c r="R147" s="26" t="n">
        <v>0</v>
      </c>
      <c r="S147" s="29" t="n">
        <v>1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4</v>
      </c>
      <c r="X147" s="26" t="n">
        <v>3</v>
      </c>
      <c r="Y147" s="25" t="n">
        <v>-1.5</v>
      </c>
      <c r="Z147" s="26" t="n">
        <v>-108</v>
      </c>
      <c r="AA147" s="28" t="n">
        <v>0.52</v>
      </c>
      <c r="AB147" s="28" t="n">
        <v>0.000769</v>
      </c>
      <c r="AC147" s="30" t="n">
        <v>-1</v>
      </c>
      <c r="AD147" s="24" t="inlineStr">
        <is>
          <t>2026-08-09T20:24:56.102716Z</t>
        </is>
      </c>
      <c r="AE147" s="31" t="inlineStr">
        <is>
          <t>Measured Edge Margin: Trend Engine projected 3.98-5.04; raw selected-side p=0.4381, calibrated p=0.4578.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NO_CALL_WINNER_OVERVALUED</t>
        </is>
      </c>
      <c r="AP147" s="24" t="inlineStr">
        <is>
          <t>mlb-ath</t>
        </is>
      </c>
      <c r="AQ147" s="24" t="inlineStr">
        <is>
          <t>Athletics</t>
        </is>
      </c>
      <c r="AR147" s="24" t="inlineStr">
        <is>
          <t>Athletics</t>
        </is>
      </c>
      <c r="AS147" s="24" t="inlineStr">
        <is>
          <t>mlb-bos</t>
        </is>
      </c>
      <c r="AT147" s="24" t="inlineStr">
        <is>
          <t>Boston Red Sox</t>
        </is>
      </c>
      <c r="AU147" s="24" t="inlineStr">
        <is>
          <t>Boston Red Sox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2026-08-09T17:06:46.891600Z</t>
        </is>
      </c>
      <c r="BI147" s="24" t="inlineStr">
        <is>
          <t>["same_event","same_team_same_day","same_league_same_day"]</t>
        </is>
      </c>
      <c r="BJ147" s="25" t="n">
        <v>-1.5</v>
      </c>
      <c r="BK147" s="26" t="n">
        <v>-108</v>
      </c>
      <c r="BL147" s="27" t="n">
        <v>1.925926</v>
      </c>
      <c r="BM147" s="28" t="n">
        <v>0.519231</v>
      </c>
      <c r="BN147" s="28" t="n">
        <v>0.517413</v>
      </c>
      <c r="BO147" s="28" t="n"/>
      <c r="BP147" s="25" t="n"/>
      <c r="BQ147" s="27" t="n">
        <v>1.925926</v>
      </c>
      <c r="BR147" s="28" t="n">
        <v>0.52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360b2c8d410d495b</t>
        </is>
      </c>
      <c r="B148" s="24" t="inlineStr">
        <is>
          <t>2026-08-09T17:06:46.891600Z</t>
        </is>
      </c>
      <c r="C148" s="24" t="inlineStr">
        <is>
          <t>2026-08-09T17:35Z</t>
        </is>
      </c>
      <c r="D148" s="24" t="inlineStr">
        <is>
          <t>401816455</t>
        </is>
      </c>
      <c r="E148" s="24" t="inlineStr">
        <is>
          <t>MLB</t>
        </is>
      </c>
      <c r="F148" s="24" t="inlineStr">
        <is>
          <t>Athletics</t>
        </is>
      </c>
      <c r="G148" s="24" t="inlineStr">
        <is>
          <t>Boston Red Sox</t>
        </is>
      </c>
      <c r="H148" s="24" t="inlineStr">
        <is>
          <t>total</t>
        </is>
      </c>
      <c r="I148" s="24" t="inlineStr">
        <is>
          <t>under</t>
        </is>
      </c>
      <c r="J148" s="25" t="n">
        <v>9.5</v>
      </c>
      <c r="K148" s="24" t="inlineStr">
        <is>
          <t>polymarket_us</t>
        </is>
      </c>
      <c r="L148" s="26" t="n">
        <v>-113</v>
      </c>
      <c r="M148" s="27" t="n">
        <v>1.884956</v>
      </c>
      <c r="N148" s="28" t="n">
        <v>0.530516</v>
      </c>
      <c r="O148" s="28" t="n">
        <v>0.529957</v>
      </c>
      <c r="P148" s="28" t="n">
        <v>0.042131</v>
      </c>
      <c r="Q148" s="28" t="n">
        <v>-0.000559</v>
      </c>
      <c r="R148" s="26" t="n">
        <v>26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4</v>
      </c>
      <c r="X148" s="26" t="n">
        <v>3</v>
      </c>
      <c r="Y148" s="25" t="n">
        <v>9.5</v>
      </c>
      <c r="Z148" s="26" t="n">
        <v>-113</v>
      </c>
      <c r="AA148" s="28" t="n">
        <v>0.53</v>
      </c>
      <c r="AB148" s="28" t="n">
        <v>-0.000516</v>
      </c>
      <c r="AC148" s="30" t="n">
        <v>0.885</v>
      </c>
      <c r="AD148" s="24" t="inlineStr">
        <is>
          <t>2026-08-09T20:24:57.520329Z</t>
        </is>
      </c>
      <c r="AE148" s="31" t="inlineStr">
        <is>
          <t>Measured Edge Totals: Trend Engine projected 3.98-5.04; raw selected-side p=0.5972, calibrated p=0.5300.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NO_CALL_WINNER_OVERVALUED</t>
        </is>
      </c>
      <c r="AP148" s="24" t="inlineStr">
        <is>
          <t>mlb-ath</t>
        </is>
      </c>
      <c r="AQ148" s="24" t="inlineStr">
        <is>
          <t>Athletics</t>
        </is>
      </c>
      <c r="AR148" s="24" t="inlineStr">
        <is>
          <t>Athletics</t>
        </is>
      </c>
      <c r="AS148" s="24" t="inlineStr">
        <is>
          <t>mlb-bos</t>
        </is>
      </c>
      <c r="AT148" s="24" t="inlineStr">
        <is>
          <t>Boston Red Sox</t>
        </is>
      </c>
      <c r="AU148" s="24" t="inlineStr">
        <is>
          <t>Boston Red Sox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2026-08-09T17:06:46.891600Z</t>
        </is>
      </c>
      <c r="BI148" s="24" t="inlineStr">
        <is>
          <t>["same_event","same_team_same_day","same_league_same_day"]</t>
        </is>
      </c>
      <c r="BJ148" s="25" t="n">
        <v>9.5</v>
      </c>
      <c r="BK148" s="26" t="n">
        <v>-113</v>
      </c>
      <c r="BL148" s="27" t="n">
        <v>1.884956</v>
      </c>
      <c r="BM148" s="28" t="n">
        <v>0.530516</v>
      </c>
      <c r="BN148" s="28" t="n">
        <v>0.527363</v>
      </c>
      <c r="BO148" s="28" t="n"/>
      <c r="BP148" s="25" t="n"/>
      <c r="BQ148" s="27" t="n">
        <v>1.884956</v>
      </c>
      <c r="BR148" s="28" t="n">
        <v>0.53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3722d37c29094dd0</t>
        </is>
      </c>
      <c r="B149" s="24" t="inlineStr">
        <is>
          <t>2026-08-09T17:06:46.891600Z</t>
        </is>
      </c>
      <c r="C149" s="24" t="inlineStr">
        <is>
          <t>2026-08-09T17:35Z</t>
        </is>
      </c>
      <c r="D149" s="24" t="inlineStr">
        <is>
          <t>401816456</t>
        </is>
      </c>
      <c r="E149" s="24" t="inlineStr">
        <is>
          <t>MLB</t>
        </is>
      </c>
      <c r="F149" s="24" t="inlineStr">
        <is>
          <t>Atlanta Braves</t>
        </is>
      </c>
      <c r="G149" s="24" t="inlineStr">
        <is>
          <t>New York Yankees</t>
        </is>
      </c>
      <c r="H149" s="24" t="inlineStr">
        <is>
          <t>spread</t>
        </is>
      </c>
      <c r="I149" s="24" t="inlineStr">
        <is>
          <t>home</t>
        </is>
      </c>
      <c r="J149" s="25" t="n">
        <v>-1.5</v>
      </c>
      <c r="K149" s="24" t="inlineStr">
        <is>
          <t>polymarket_us</t>
        </is>
      </c>
      <c r="L149" s="26" t="n">
        <v>153</v>
      </c>
      <c r="M149" s="27" t="n">
        <v>2.53</v>
      </c>
      <c r="N149" s="28" t="n">
        <v>0.395257</v>
      </c>
      <c r="O149" s="28" t="n">
        <v>0.40348</v>
      </c>
      <c r="P149" s="28" t="n">
        <v>0.042131</v>
      </c>
      <c r="Q149" s="28" t="n">
        <v>0.008222999999999999</v>
      </c>
      <c r="R149" s="26" t="n">
        <v>30</v>
      </c>
      <c r="S149" s="29" t="n">
        <v>1.25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loss</t>
        </is>
      </c>
      <c r="W149" s="26" t="n">
        <v>2</v>
      </c>
      <c r="X149" s="26" t="n">
        <v>1</v>
      </c>
      <c r="Y149" s="25" t="n">
        <v>-1.5</v>
      </c>
      <c r="Z149" s="26" t="n">
        <v>153</v>
      </c>
      <c r="AA149" s="28" t="n">
        <v>0.395</v>
      </c>
      <c r="AB149" s="28" t="n">
        <v>-0.000257</v>
      </c>
      <c r="AC149" s="30" t="n">
        <v>-1.25</v>
      </c>
      <c r="AD149" s="24" t="inlineStr">
        <is>
          <t>2026-08-09T20:24:58.919722Z</t>
        </is>
      </c>
      <c r="AE149" s="31" t="inlineStr">
        <is>
          <t>Measured Edge Margin: Trend Engine projected 4.17-4.50; raw selected-side p=0.3584, calibrated p=0.4035.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review_required</t>
        </is>
      </c>
      <c r="AH149" s="24" t="n"/>
      <c r="AI149" s="31" t="n"/>
      <c r="AJ1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NO_CALL_WINNER_OVERVALUED</t>
        </is>
      </c>
      <c r="AP149" s="24" t="inlineStr">
        <is>
          <t>mlb-atl</t>
        </is>
      </c>
      <c r="AQ149" s="24" t="inlineStr">
        <is>
          <t>Atlanta Braves</t>
        </is>
      </c>
      <c r="AR149" s="24" t="inlineStr">
        <is>
          <t>Atlanta Braves</t>
        </is>
      </c>
      <c r="AS149" s="24" t="inlineStr">
        <is>
          <t>mlb-nyy</t>
        </is>
      </c>
      <c r="AT149" s="24" t="inlineStr">
        <is>
          <t>New York Yankees</t>
        </is>
      </c>
      <c r="AU149" s="24" t="inlineStr">
        <is>
          <t>New York Yankees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2026-08-09T17:06:46.891600Z</t>
        </is>
      </c>
      <c r="BI149" s="24" t="inlineStr">
        <is>
          <t>["same_event","same_team_same_day","same_league_same_day"]</t>
        </is>
      </c>
      <c r="BJ149" s="25" t="n">
        <v>-1.5</v>
      </c>
      <c r="BK149" s="26" t="n">
        <v>153</v>
      </c>
      <c r="BL149" s="27" t="n">
        <v>2.53</v>
      </c>
      <c r="BM149" s="28" t="n">
        <v>0.395257</v>
      </c>
      <c r="BN149" s="28" t="n">
        <v>0.393035</v>
      </c>
      <c r="BO149" s="28" t="n"/>
      <c r="BP149" s="25" t="n"/>
      <c r="BQ149" s="27" t="n">
        <v>2.53</v>
      </c>
      <c r="BR149" s="28" t="n">
        <v>0.395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df8dd643ca144af5</t>
        </is>
      </c>
      <c r="B150" s="24" t="inlineStr">
        <is>
          <t>2026-08-09T17:06:46.891600Z</t>
        </is>
      </c>
      <c r="C150" s="24" t="inlineStr">
        <is>
          <t>2026-08-09T17:35Z</t>
        </is>
      </c>
      <c r="D150" s="24" t="inlineStr">
        <is>
          <t>401816456</t>
        </is>
      </c>
      <c r="E150" s="24" t="inlineStr">
        <is>
          <t>MLB</t>
        </is>
      </c>
      <c r="F150" s="24" t="inlineStr">
        <is>
          <t>Atlanta Braves</t>
        </is>
      </c>
      <c r="G150" s="24" t="inlineStr">
        <is>
          <t>New York Yankees</t>
        </is>
      </c>
      <c r="H150" s="24" t="inlineStr">
        <is>
          <t>total</t>
        </is>
      </c>
      <c r="I150" s="24" t="inlineStr">
        <is>
          <t>under</t>
        </is>
      </c>
      <c r="J150" s="25" t="n">
        <v>8.5</v>
      </c>
      <c r="K150" s="24" t="inlineStr">
        <is>
          <t>polymarket_us</t>
        </is>
      </c>
      <c r="L150" s="26" t="n">
        <v>-102</v>
      </c>
      <c r="M150" s="27" t="n">
        <v>1.980392</v>
      </c>
      <c r="N150" s="28" t="n">
        <v>0.50495</v>
      </c>
      <c r="O150" s="28" t="n">
        <v>0.507651</v>
      </c>
      <c r="P150" s="28" t="n">
        <v>0.042131</v>
      </c>
      <c r="Q150" s="28" t="n">
        <v>0.002701</v>
      </c>
      <c r="R150" s="26" t="n">
        <v>27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2</v>
      </c>
      <c r="X150" s="26" t="n">
        <v>1</v>
      </c>
      <c r="Y150" s="25" t="n">
        <v>8.5</v>
      </c>
      <c r="Z150" s="26" t="n">
        <v>-102</v>
      </c>
      <c r="AA150" s="28" t="n">
        <v>0.505</v>
      </c>
      <c r="AB150" s="28" t="n">
        <v>5e-05</v>
      </c>
      <c r="AC150" s="30" t="n">
        <v>0.9804</v>
      </c>
      <c r="AD150" s="24" t="inlineStr">
        <is>
          <t>2026-08-09T20:25:00.287479Z</t>
        </is>
      </c>
      <c r="AE150" s="31" t="inlineStr">
        <is>
          <t>Measured Edge Totals: Trend Engine projected 4.17-4.50; raw selected-side p=0.5074, calibrated p=0.5077.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NO_CALL_WINNER_OVERVALUED</t>
        </is>
      </c>
      <c r="AP150" s="24" t="inlineStr">
        <is>
          <t>mlb-atl</t>
        </is>
      </c>
      <c r="AQ150" s="24" t="inlineStr">
        <is>
          <t>Atlanta Braves</t>
        </is>
      </c>
      <c r="AR150" s="24" t="inlineStr">
        <is>
          <t>Atlanta Braves</t>
        </is>
      </c>
      <c r="AS150" s="24" t="inlineStr">
        <is>
          <t>mlb-nyy</t>
        </is>
      </c>
      <c r="AT150" s="24" t="inlineStr">
        <is>
          <t>New York Yankees</t>
        </is>
      </c>
      <c r="AU150" s="24" t="inlineStr">
        <is>
          <t>New York Yankees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2026-08-09T17:06:46.891600Z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-102</v>
      </c>
      <c r="BL150" s="27" t="n">
        <v>1.980392</v>
      </c>
      <c r="BM150" s="28" t="n">
        <v>0.50495</v>
      </c>
      <c r="BN150" s="28" t="n">
        <v>0.502488</v>
      </c>
      <c r="BO150" s="28" t="n"/>
      <c r="BP150" s="25" t="n"/>
      <c r="BQ150" s="27" t="n">
        <v>1.980392</v>
      </c>
      <c r="BR150" s="28" t="n">
        <v>0.505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89f7edc0ce7e4965</t>
        </is>
      </c>
      <c r="B151" s="24" t="inlineStr">
        <is>
          <t>2026-08-09T17:06:46.891600Z</t>
        </is>
      </c>
      <c r="C151" s="24" t="inlineStr">
        <is>
          <t>2026-08-09T17:35Z</t>
        </is>
      </c>
      <c r="D151" s="24" t="inlineStr">
        <is>
          <t>401816458</t>
        </is>
      </c>
      <c r="E151" s="24" t="inlineStr">
        <is>
          <t>MLB</t>
        </is>
      </c>
      <c r="F151" s="24" t="inlineStr">
        <is>
          <t>New York Mets</t>
        </is>
      </c>
      <c r="G151" s="24" t="inlineStr">
        <is>
          <t>Pittsburgh Pirates</t>
        </is>
      </c>
      <c r="H151" s="24" t="inlineStr">
        <is>
          <t>spread</t>
        </is>
      </c>
      <c r="I151" s="24" t="inlineStr">
        <is>
          <t>home</t>
        </is>
      </c>
      <c r="J151" s="25" t="n">
        <v>-1.5</v>
      </c>
      <c r="K151" s="24" t="inlineStr">
        <is>
          <t>polymarket_us</t>
        </is>
      </c>
      <c r="L151" s="26" t="n">
        <v>153</v>
      </c>
      <c r="M151" s="27" t="n">
        <v>2.53</v>
      </c>
      <c r="N151" s="28" t="n">
        <v>0.395257</v>
      </c>
      <c r="O151" s="28" t="n">
        <v>0.401947</v>
      </c>
      <c r="P151" s="28" t="n">
        <v>0.042131</v>
      </c>
      <c r="Q151" s="28" t="n">
        <v>0.00669</v>
      </c>
      <c r="R151" s="26" t="n">
        <v>29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11</v>
      </c>
      <c r="X151" s="26" t="n">
        <v>1</v>
      </c>
      <c r="Y151" s="25" t="n">
        <v>-1.5</v>
      </c>
      <c r="Z151" s="26" t="n">
        <v>153</v>
      </c>
      <c r="AA151" s="28" t="n">
        <v>0.395</v>
      </c>
      <c r="AB151" s="28" t="n">
        <v>-0.000257</v>
      </c>
      <c r="AC151" s="30" t="n">
        <v>-1.25</v>
      </c>
      <c r="AD151" s="24" t="inlineStr">
        <is>
          <t>2026-08-09T20:25:01.697715Z</t>
        </is>
      </c>
      <c r="AE151" s="31" t="inlineStr">
        <is>
          <t>Measured Edge Margin: Trend Engine projected 4.22-4.54; raw selected-side p=0.3561, calibrated p=0.4019.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NO_CALL_WINNER_OVERVALUED</t>
        </is>
      </c>
      <c r="AP151" s="24" t="inlineStr">
        <is>
          <t>mlb-nym</t>
        </is>
      </c>
      <c r="AQ151" s="24" t="inlineStr">
        <is>
          <t>New York Mets</t>
        </is>
      </c>
      <c r="AR151" s="24" t="inlineStr">
        <is>
          <t>New York Mets</t>
        </is>
      </c>
      <c r="AS151" s="24" t="inlineStr">
        <is>
          <t>mlb-pit</t>
        </is>
      </c>
      <c r="AT151" s="24" t="inlineStr">
        <is>
          <t>Pittsburgh Pirates</t>
        </is>
      </c>
      <c r="AU151" s="24" t="inlineStr">
        <is>
          <t>Pittsburgh Pirates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2026-08-09T17:06:46.891600Z</t>
        </is>
      </c>
      <c r="BI151" s="24" t="inlineStr">
        <is>
          <t>["same_event","same_team_same_day","same_league_same_day"]</t>
        </is>
      </c>
      <c r="BJ151" s="25" t="n">
        <v>-1.5</v>
      </c>
      <c r="BK151" s="26" t="n">
        <v>153</v>
      </c>
      <c r="BL151" s="27" t="n">
        <v>2.53</v>
      </c>
      <c r="BM151" s="28" t="n">
        <v>0.395257</v>
      </c>
      <c r="BN151" s="28" t="n">
        <v>0.393035</v>
      </c>
      <c r="BO151" s="28" t="n"/>
      <c r="BP151" s="25" t="n"/>
      <c r="BQ151" s="27" t="n">
        <v>2.53</v>
      </c>
      <c r="BR151" s="28" t="n">
        <v>0.395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f124aebed4754c0a</t>
        </is>
      </c>
      <c r="B152" s="24" t="inlineStr">
        <is>
          <t>2026-08-09T17:06:46.891600Z</t>
        </is>
      </c>
      <c r="C152" s="24" t="inlineStr">
        <is>
          <t>2026-08-09T17:35Z</t>
        </is>
      </c>
      <c r="D152" s="24" t="inlineStr">
        <is>
          <t>401816458</t>
        </is>
      </c>
      <c r="E152" s="24" t="inlineStr">
        <is>
          <t>MLB</t>
        </is>
      </c>
      <c r="F152" s="24" t="inlineStr">
        <is>
          <t>New York Mets</t>
        </is>
      </c>
      <c r="G152" s="24" t="inlineStr">
        <is>
          <t>Pittsburgh Pirates</t>
        </is>
      </c>
      <c r="H152" s="24" t="inlineStr">
        <is>
          <t>total</t>
        </is>
      </c>
      <c r="I152" s="24" t="inlineStr">
        <is>
          <t>under</t>
        </is>
      </c>
      <c r="J152" s="25" t="n">
        <v>8.5</v>
      </c>
      <c r="K152" s="24" t="inlineStr">
        <is>
          <t>polymarket_us</t>
        </is>
      </c>
      <c r="L152" s="26" t="n">
        <v>-106</v>
      </c>
      <c r="M152" s="27" t="n">
        <v>1.943396</v>
      </c>
      <c r="N152" s="28" t="n">
        <v>0.514563</v>
      </c>
      <c r="O152" s="28" t="n">
        <v>0.508768</v>
      </c>
      <c r="P152" s="28" t="n">
        <v>0.042131</v>
      </c>
      <c r="Q152" s="28" t="n">
        <v>-0.005795</v>
      </c>
      <c r="R152" s="26" t="n">
        <v>23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loss</t>
        </is>
      </c>
      <c r="W152" s="26" t="n">
        <v>11</v>
      </c>
      <c r="X152" s="26" t="n">
        <v>1</v>
      </c>
      <c r="Y152" s="25" t="n">
        <v>8.5</v>
      </c>
      <c r="Z152" s="26" t="n">
        <v>-106</v>
      </c>
      <c r="AA152" s="28" t="n">
        <v>0.515</v>
      </c>
      <c r="AB152" s="28" t="n">
        <v>0.000437</v>
      </c>
      <c r="AC152" s="30" t="n">
        <v>-1</v>
      </c>
      <c r="AD152" s="24" t="inlineStr">
        <is>
          <t>2026-08-09T20:25:03.117387Z</t>
        </is>
      </c>
      <c r="AE152" s="31" t="inlineStr">
        <is>
          <t>Measured Edge Totals: Trend Engine projected 4.22-4.54; raw selected-side p=0.5120, calibrated p=0.5088.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review_required</t>
        </is>
      </c>
      <c r="AH152" s="24" t="n"/>
      <c r="AI152" s="31" t="n"/>
      <c r="AJ1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NO_CALL_WINNER_OVERVALUED</t>
        </is>
      </c>
      <c r="AP152" s="24" t="inlineStr">
        <is>
          <t>mlb-nym</t>
        </is>
      </c>
      <c r="AQ152" s="24" t="inlineStr">
        <is>
          <t>New York Mets</t>
        </is>
      </c>
      <c r="AR152" s="24" t="inlineStr">
        <is>
          <t>New York Mets</t>
        </is>
      </c>
      <c r="AS152" s="24" t="inlineStr">
        <is>
          <t>mlb-pit</t>
        </is>
      </c>
      <c r="AT152" s="24" t="inlineStr">
        <is>
          <t>Pittsburgh Pirates</t>
        </is>
      </c>
      <c r="AU152" s="24" t="inlineStr">
        <is>
          <t>Pittsburgh Pirates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2026-08-09T17:06:46.891600Z</t>
        </is>
      </c>
      <c r="BI152" s="24" t="inlineStr">
        <is>
          <t>["same_event","same_team_same_day","same_league_same_day"]</t>
        </is>
      </c>
      <c r="BJ152" s="25" t="n">
        <v>8.5</v>
      </c>
      <c r="BK152" s="26" t="n">
        <v>-106</v>
      </c>
      <c r="BL152" s="27" t="n">
        <v>1.943396</v>
      </c>
      <c r="BM152" s="28" t="n">
        <v>0.514563</v>
      </c>
      <c r="BN152" s="28" t="n">
        <v>0.5124379999999999</v>
      </c>
      <c r="BO152" s="28" t="n"/>
      <c r="BP152" s="25" t="n"/>
      <c r="BQ152" s="27" t="n">
        <v>1.943396</v>
      </c>
      <c r="BR152" s="28" t="n">
        <v>0.515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41882d44725d4ca1</t>
        </is>
      </c>
      <c r="B153" s="24" t="inlineStr">
        <is>
          <t>2026-08-09T17:06:46.891600Z</t>
        </is>
      </c>
      <c r="C153" s="24" t="inlineStr">
        <is>
          <t>2026-08-09T17:35Z</t>
        </is>
      </c>
      <c r="D153" s="24" t="inlineStr">
        <is>
          <t>401816459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Philadelphia Phillies</t>
        </is>
      </c>
      <c r="H153" s="24" t="inlineStr">
        <is>
          <t>spread</t>
        </is>
      </c>
      <c r="I153" s="24" t="inlineStr">
        <is>
          <t>home</t>
        </is>
      </c>
      <c r="J153" s="25" t="n">
        <v>-1.5</v>
      </c>
      <c r="K153" s="24" t="inlineStr">
        <is>
          <t>polymarket_us</t>
        </is>
      </c>
      <c r="L153" s="26" t="n">
        <v>-108</v>
      </c>
      <c r="M153" s="27" t="n">
        <v>1.925926</v>
      </c>
      <c r="N153" s="28" t="n">
        <v>0.519231</v>
      </c>
      <c r="O153" s="28" t="n">
        <v>0.417891</v>
      </c>
      <c r="P153" s="28" t="n">
        <v>0.05172</v>
      </c>
      <c r="Q153" s="28" t="n">
        <v>-0.10134</v>
      </c>
      <c r="R153" s="26" t="n">
        <v>0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</v>
      </c>
      <c r="Y153" s="25" t="n">
        <v>-1.5</v>
      </c>
      <c r="Z153" s="26" t="n">
        <v>-108</v>
      </c>
      <c r="AA153" s="28" t="n">
        <v>0.52</v>
      </c>
      <c r="AB153" s="28" t="n">
        <v>0.000769</v>
      </c>
      <c r="AC153" s="30" t="n">
        <v>-1.25</v>
      </c>
      <c r="AD153" s="24" t="inlineStr">
        <is>
          <t>2026-08-09T23:29:28.268895Z</t>
        </is>
      </c>
      <c r="AE153" s="31" t="inlineStr">
        <is>
          <t>Measured Edge Margin: Trend Engine projected 4.15-4.68; raw selected-side p=0.3795, calibrated p=0.4179.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review_required</t>
        </is>
      </c>
      <c r="AH153" s="24" t="n"/>
      <c r="AI153" s="31" t="n"/>
      <c r="AJ1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NO_CALL_WINNER_OVERVALUED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mlb-phi</t>
        </is>
      </c>
      <c r="AT153" s="24" t="inlineStr">
        <is>
          <t>Philadelphia Phillies</t>
        </is>
      </c>
      <c r="AU153" s="24" t="inlineStr">
        <is>
          <t>Philadelphia Phillies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2026-08-09T17:06:46.891600Z</t>
        </is>
      </c>
      <c r="BI153" s="24" t="inlineStr">
        <is>
          <t>["same_event","same_team_same_day","same_league_same_day"]</t>
        </is>
      </c>
      <c r="BJ153" s="25" t="n">
        <v>-1.5</v>
      </c>
      <c r="BK153" s="26" t="n">
        <v>-108</v>
      </c>
      <c r="BL153" s="27" t="n">
        <v>1.925926</v>
      </c>
      <c r="BM153" s="28" t="n">
        <v>0.519231</v>
      </c>
      <c r="BN153" s="28" t="n">
        <v>0.517413</v>
      </c>
      <c r="BO153" s="28" t="n"/>
      <c r="BP153" s="25" t="n"/>
      <c r="BQ153" s="27" t="n">
        <v>1.925926</v>
      </c>
      <c r="BR153" s="28" t="n">
        <v>0.52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</row>
    <row r="154" ht="36" customHeight="1">
      <c r="A154" s="24" t="inlineStr">
        <is>
          <t>cb4ab462cdd148a0</t>
        </is>
      </c>
      <c r="B154" s="24" t="inlineStr">
        <is>
          <t>2026-08-09T17:06:46.891600Z</t>
        </is>
      </c>
      <c r="C154" s="24" t="inlineStr">
        <is>
          <t>2026-08-09T17:35Z</t>
        </is>
      </c>
      <c r="D154" s="24" t="inlineStr">
        <is>
          <t>401816459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Philadelphia Phillies</t>
        </is>
      </c>
      <c r="H154" s="24" t="inlineStr">
        <is>
          <t>total</t>
        </is>
      </c>
      <c r="I154" s="24" t="inlineStr">
        <is>
          <t>over</t>
        </is>
      </c>
      <c r="J154" s="25" t="n">
        <v>8.5</v>
      </c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0.506036</v>
      </c>
      <c r="P154" s="28" t="n">
        <v>0.05172</v>
      </c>
      <c r="Q154" s="28" t="n">
        <v>0.01584</v>
      </c>
      <c r="R154" s="26" t="n">
        <v>28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win</t>
        </is>
      </c>
      <c r="W154" s="26" t="n">
        <v>6</v>
      </c>
      <c r="X154" s="26" t="n">
        <v>7</v>
      </c>
      <c r="Y154" s="25" t="n">
        <v>8.5</v>
      </c>
      <c r="Z154" s="26" t="n">
        <v>104</v>
      </c>
      <c r="AA154" s="28" t="n">
        <v>0.49</v>
      </c>
      <c r="AB154" s="28" t="n">
        <v>-0.000196</v>
      </c>
      <c r="AC154" s="30" t="n">
        <v>1.04</v>
      </c>
      <c r="AD154" s="24" t="inlineStr">
        <is>
          <t>2026-08-09T23:29:29.653417Z</t>
        </is>
      </c>
      <c r="AE154" s="31" t="inlineStr">
        <is>
          <t>Measured Edge Totals: Trend Engine projected 4.15-4.68; raw selected-side p=0.5010, calibrated p=0.5060.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NO_CALL_WINNER_OVERVALUED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mlb-phi</t>
        </is>
      </c>
      <c r="AT154" s="24" t="inlineStr">
        <is>
          <t>Philadelphia Phillies</t>
        </is>
      </c>
      <c r="AU154" s="24" t="inlineStr">
        <is>
          <t>Philadelphia Phillies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2026-08-09T17:06:46.891600Z</t>
        </is>
      </c>
      <c r="BI154" s="24" t="inlineStr">
        <is>
          <t>["same_event","same_team_same_day","same_league_same_day"]</t>
        </is>
      </c>
      <c r="BJ154" s="25" t="n">
        <v>8.5</v>
      </c>
      <c r="BK154" s="26" t="n">
        <v>104</v>
      </c>
      <c r="BL154" s="27" t="n">
        <v>2.04</v>
      </c>
      <c r="BM154" s="28" t="n">
        <v>0.490196</v>
      </c>
      <c r="BN154" s="28" t="n">
        <v>0.487562</v>
      </c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15de29f6f9b842e3</t>
        </is>
      </c>
      <c r="B155" s="24" t="inlineStr">
        <is>
          <t>2026-08-09T17:06:46.891600Z</t>
        </is>
      </c>
      <c r="C155" s="24" t="inlineStr">
        <is>
          <t>2026-08-09T17:40Z</t>
        </is>
      </c>
      <c r="D155" s="24" t="inlineStr">
        <is>
          <t>401816454</t>
        </is>
      </c>
      <c r="E155" s="24" t="inlineStr">
        <is>
          <t>MLB</t>
        </is>
      </c>
      <c r="F155" s="24" t="inlineStr">
        <is>
          <t>Los Angeles Angels</t>
        </is>
      </c>
      <c r="G155" s="24" t="inlineStr">
        <is>
          <t>Miami Marlins</t>
        </is>
      </c>
      <c r="H155" s="24" t="inlineStr">
        <is>
          <t>spread</t>
        </is>
      </c>
      <c r="I155" s="24" t="inlineStr">
        <is>
          <t>home</t>
        </is>
      </c>
      <c r="J155" s="25" t="n">
        <v>-1.5</v>
      </c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0.434075</v>
      </c>
      <c r="P155" s="28" t="n">
        <v>0.042131</v>
      </c>
      <c r="Q155" s="28" t="n">
        <v>0.034075</v>
      </c>
      <c r="R155" s="26" t="n">
        <v>43</v>
      </c>
      <c r="S155" s="29" t="n">
        <v>1.25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win</t>
        </is>
      </c>
      <c r="W155" s="26" t="n">
        <v>3</v>
      </c>
      <c r="X155" s="26" t="n">
        <v>12</v>
      </c>
      <c r="Y155" s="25" t="n">
        <v>-1.5</v>
      </c>
      <c r="Z155" s="26" t="n">
        <v>150</v>
      </c>
      <c r="AA155" s="28" t="n">
        <v>0.4</v>
      </c>
      <c r="AB155" s="28" t="n">
        <v>0</v>
      </c>
      <c r="AC155" s="30" t="n">
        <v>1.875</v>
      </c>
      <c r="AD155" s="24" t="inlineStr">
        <is>
          <t>2026-08-09T23:29:31.001031Z</t>
        </is>
      </c>
      <c r="AE155" s="31" t="inlineStr">
        <is>
          <t>Measured Edge Margin: Trend Engine projected 4.52-5.18; raw selected-side p=0.4032, calibrated p=0.4341.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NO_CALL_WINNER_OVERVALUED</t>
        </is>
      </c>
      <c r="AP155" s="24" t="inlineStr">
        <is>
          <t>mlb-laa</t>
        </is>
      </c>
      <c r="AQ155" s="24" t="inlineStr">
        <is>
          <t>Los Angeles Angels</t>
        </is>
      </c>
      <c r="AR155" s="24" t="inlineStr">
        <is>
          <t>Los Angeles Angels</t>
        </is>
      </c>
      <c r="AS155" s="24" t="inlineStr">
        <is>
          <t>mlb-mia</t>
        </is>
      </c>
      <c r="AT155" s="24" t="inlineStr">
        <is>
          <t>Miami Marlins</t>
        </is>
      </c>
      <c r="AU155" s="24" t="inlineStr">
        <is>
          <t>Miami Marlins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2026-08-09T17:06:46.891600Z</t>
        </is>
      </c>
      <c r="BI155" s="24" t="inlineStr">
        <is>
          <t>["same_event","same_team_same_day","same_league_same_day"]</t>
        </is>
      </c>
      <c r="BJ155" s="25" t="n">
        <v>-1.5</v>
      </c>
      <c r="BK155" s="26" t="n">
        <v>150</v>
      </c>
      <c r="BL155" s="27" t="n">
        <v>2.5</v>
      </c>
      <c r="BM155" s="28" t="n">
        <v>0.4</v>
      </c>
      <c r="BN155" s="28" t="n">
        <v>0.39801</v>
      </c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61b9a6aad15944a0</t>
        </is>
      </c>
      <c r="B156" s="24" t="inlineStr">
        <is>
          <t>2026-08-09T17:06:46.891600Z</t>
        </is>
      </c>
      <c r="C156" s="24" t="inlineStr">
        <is>
          <t>2026-08-09T17:40Z</t>
        </is>
      </c>
      <c r="D156" s="24" t="inlineStr">
        <is>
          <t>401816454</t>
        </is>
      </c>
      <c r="E156" s="24" t="inlineStr">
        <is>
          <t>MLB</t>
        </is>
      </c>
      <c r="F156" s="24" t="inlineStr">
        <is>
          <t>Los Angeles Angels</t>
        </is>
      </c>
      <c r="G156" s="24" t="inlineStr">
        <is>
          <t>Miami Marlins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102</v>
      </c>
      <c r="M156" s="27" t="n">
        <v>2.02</v>
      </c>
      <c r="N156" s="28" t="n">
        <v>0.49505</v>
      </c>
      <c r="O156" s="28" t="n">
        <v>0.524666</v>
      </c>
      <c r="P156" s="28" t="n">
        <v>0.042131</v>
      </c>
      <c r="Q156" s="28" t="n">
        <v>0.029616</v>
      </c>
      <c r="R156" s="26" t="n">
        <v>41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12</v>
      </c>
      <c r="Y156" s="25" t="n">
        <v>8.5</v>
      </c>
      <c r="Z156" s="26" t="n">
        <v>102</v>
      </c>
      <c r="AA156" s="28" t="n">
        <v>0.495</v>
      </c>
      <c r="AB156" s="28" t="n">
        <v>-5e-05</v>
      </c>
      <c r="AC156" s="30" t="n">
        <v>1.02</v>
      </c>
      <c r="AD156" s="24" t="inlineStr">
        <is>
          <t>2026-08-09T23:29:32.381879Z</t>
        </is>
      </c>
      <c r="AE156" s="31" t="inlineStr">
        <is>
          <t>Measured Edge Totals: Trend Engine projected 4.52-5.18; raw selected-side p=0.5759, calibrated p=0.5247.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NO_CALL_WINNER_OVERVALUED</t>
        </is>
      </c>
      <c r="AP156" s="24" t="inlineStr">
        <is>
          <t>mlb-laa</t>
        </is>
      </c>
      <c r="AQ156" s="24" t="inlineStr">
        <is>
          <t>Los Angeles Angels</t>
        </is>
      </c>
      <c r="AR156" s="24" t="inlineStr">
        <is>
          <t>Los Angeles Angels</t>
        </is>
      </c>
      <c r="AS156" s="24" t="inlineStr">
        <is>
          <t>mlb-mia</t>
        </is>
      </c>
      <c r="AT156" s="24" t="inlineStr">
        <is>
          <t>Miami Marlins</t>
        </is>
      </c>
      <c r="AU156" s="24" t="inlineStr">
        <is>
          <t>Miami Marlins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2026-08-09T17:06:46.891600Z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102</v>
      </c>
      <c r="BL156" s="27" t="n">
        <v>2.02</v>
      </c>
      <c r="BM156" s="28" t="n">
        <v>0.49505</v>
      </c>
      <c r="BN156" s="28" t="n">
        <v>0.492537</v>
      </c>
      <c r="BO156" s="28" t="n"/>
      <c r="BP156" s="25" t="n"/>
      <c r="BQ156" s="27" t="n">
        <v>2.02</v>
      </c>
      <c r="BR156" s="28" t="n">
        <v>0.495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0ccd6e835fa04ddd</t>
        </is>
      </c>
      <c r="B157" s="24" t="inlineStr">
        <is>
          <t>2026-08-09T17:06:46.891600Z</t>
        </is>
      </c>
      <c r="C157" s="24" t="inlineStr">
        <is>
          <t>2026-08-09T18:10Z</t>
        </is>
      </c>
      <c r="D157" s="24" t="inlineStr">
        <is>
          <t>401816461</t>
        </is>
      </c>
      <c r="E157" s="24" t="inlineStr">
        <is>
          <t>MLB</t>
        </is>
      </c>
      <c r="F157" s="24" t="inlineStr">
        <is>
          <t>Chicago Cubs</t>
        </is>
      </c>
      <c r="G157" s="24" t="inlineStr">
        <is>
          <t>Kansas City Royals</t>
        </is>
      </c>
      <c r="H157" s="24" t="inlineStr">
        <is>
          <t>spread</t>
        </is>
      </c>
      <c r="I157" s="24" t="inlineStr">
        <is>
          <t>home</t>
        </is>
      </c>
      <c r="J157" s="25" t="n">
        <v>1.5</v>
      </c>
      <c r="K157" s="24" t="inlineStr">
        <is>
          <t>polymarket_us</t>
        </is>
      </c>
      <c r="L157" s="26" t="n">
        <v>-102</v>
      </c>
      <c r="M157" s="27" t="n">
        <v>1.980392</v>
      </c>
      <c r="N157" s="28" t="n">
        <v>0.50495</v>
      </c>
      <c r="O157" s="28" t="n">
        <v>0.66173</v>
      </c>
      <c r="P157" s="28" t="n">
        <v>0.05172</v>
      </c>
      <c r="Q157" s="28" t="n">
        <v>0.15678</v>
      </c>
      <c r="R157" s="26" t="n">
        <v>99</v>
      </c>
      <c r="S157" s="29" t="n">
        <v>1.75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2</v>
      </c>
      <c r="Y157" s="25" t="n">
        <v>1.5</v>
      </c>
      <c r="Z157" s="26" t="n">
        <v>-102</v>
      </c>
      <c r="AA157" s="28" t="n">
        <v>0.505</v>
      </c>
      <c r="AB157" s="28" t="n">
        <v>5e-05</v>
      </c>
      <c r="AC157" s="30" t="n">
        <v>-1.75</v>
      </c>
      <c r="AD157" s="24" t="inlineStr">
        <is>
          <t>2026-08-09T23:29:33.721586Z</t>
        </is>
      </c>
      <c r="AE157" s="31" t="inlineStr">
        <is>
          <t>Measured Edge Margin: Trend Engine projected 3.78-4.36; raw selected-side p=0.7373, calibrated p=0.6617.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mlb-chc</t>
        </is>
      </c>
      <c r="AQ157" s="24" t="inlineStr">
        <is>
          <t>Chicago Cubs</t>
        </is>
      </c>
      <c r="AR157" s="24" t="inlineStr">
        <is>
          <t>Chicago Cubs</t>
        </is>
      </c>
      <c r="AS157" s="24" t="inlineStr">
        <is>
          <t>mlb-kc</t>
        </is>
      </c>
      <c r="AT157" s="24" t="inlineStr">
        <is>
          <t>Kansas City Royals</t>
        </is>
      </c>
      <c r="AU157" s="24" t="inlineStr">
        <is>
          <t>Kansas City Royals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2026-08-09T17:06:46.891600Z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-102</v>
      </c>
      <c r="BL157" s="27" t="n">
        <v>1.980392</v>
      </c>
      <c r="BM157" s="28" t="n">
        <v>0.50495</v>
      </c>
      <c r="BN157" s="28" t="n">
        <v>0.502488</v>
      </c>
      <c r="BO157" s="28" t="n"/>
      <c r="BP157" s="25" t="n"/>
      <c r="BQ157" s="27" t="n">
        <v>1.980392</v>
      </c>
      <c r="BR157" s="28" t="n">
        <v>0.505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</row>
    <row r="158" ht="36" customHeight="1">
      <c r="A158" s="24" t="inlineStr">
        <is>
          <t>e0f8e0d8062e44cb</t>
        </is>
      </c>
      <c r="B158" s="24" t="inlineStr">
        <is>
          <t>2026-08-09T17:06:46.891600Z</t>
        </is>
      </c>
      <c r="C158" s="24" t="inlineStr">
        <is>
          <t>2026-08-09T18:10Z</t>
        </is>
      </c>
      <c r="D158" s="24" t="inlineStr">
        <is>
          <t>401816461</t>
        </is>
      </c>
      <c r="E158" s="24" t="inlineStr">
        <is>
          <t>MLB</t>
        </is>
      </c>
      <c r="F158" s="24" t="inlineStr">
        <is>
          <t>Chicago Cubs</t>
        </is>
      </c>
      <c r="G158" s="24" t="inlineStr">
        <is>
          <t>Kansas City Royals</t>
        </is>
      </c>
      <c r="H158" s="24" t="inlineStr">
        <is>
          <t>total</t>
        </is>
      </c>
      <c r="I158" s="24" t="inlineStr">
        <is>
          <t>under</t>
        </is>
      </c>
      <c r="J158" s="25" t="n">
        <v>10.5</v>
      </c>
      <c r="K158" s="24" t="inlineStr">
        <is>
          <t>polymarket_us</t>
        </is>
      </c>
      <c r="L158" s="26" t="n">
        <v>-106</v>
      </c>
      <c r="M158" s="27" t="n">
        <v>1.943396</v>
      </c>
      <c r="N158" s="28" t="n">
        <v>0.514563</v>
      </c>
      <c r="O158" s="28" t="n">
        <v>0.566136</v>
      </c>
      <c r="P158" s="28" t="n">
        <v>0.05172</v>
      </c>
      <c r="Q158" s="28" t="n">
        <v>0.051573</v>
      </c>
      <c r="R158" s="26" t="n">
        <v>46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2</v>
      </c>
      <c r="Y158" s="25" t="n">
        <v>10.5</v>
      </c>
      <c r="Z158" s="26" t="n">
        <v>-106</v>
      </c>
      <c r="AA158" s="28" t="n">
        <v>0.515</v>
      </c>
      <c r="AB158" s="28" t="n">
        <v>0.000437</v>
      </c>
      <c r="AC158" s="30" t="n">
        <v>-1</v>
      </c>
      <c r="AD158" s="24" t="inlineStr">
        <is>
          <t>2026-08-09T23:29:35.120949Z</t>
        </is>
      </c>
      <c r="AE158" s="31" t="inlineStr">
        <is>
          <t>Measured Edge Totals: Trend Engine projected 3.78-4.36; raw selected-side p=0.7429, calibrated p=0.5661.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review_required</t>
        </is>
      </c>
      <c r="AH158" s="24" t="n"/>
      <c r="AI158" s="31" t="n"/>
      <c r="AJ1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NO_CALL_WINNER_OVERVALUED</t>
        </is>
      </c>
      <c r="AP158" s="24" t="inlineStr">
        <is>
          <t>mlb-chc</t>
        </is>
      </c>
      <c r="AQ158" s="24" t="inlineStr">
        <is>
          <t>Chicago Cubs</t>
        </is>
      </c>
      <c r="AR158" s="24" t="inlineStr">
        <is>
          <t>Chicago Cubs</t>
        </is>
      </c>
      <c r="AS158" s="24" t="inlineStr">
        <is>
          <t>mlb-kc</t>
        </is>
      </c>
      <c r="AT158" s="24" t="inlineStr">
        <is>
          <t>Kansas City Royals</t>
        </is>
      </c>
      <c r="AU158" s="24" t="inlineStr">
        <is>
          <t>Kansas City Royals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2026-08-09T17:06:46.891600Z</t>
        </is>
      </c>
      <c r="BI158" s="24" t="inlineStr">
        <is>
          <t>["same_event","same_team_same_day","same_league_same_day"]</t>
        </is>
      </c>
      <c r="BJ158" s="25" t="n">
        <v>10.5</v>
      </c>
      <c r="BK158" s="26" t="n">
        <v>-106</v>
      </c>
      <c r="BL158" s="27" t="n">
        <v>1.943396</v>
      </c>
      <c r="BM158" s="28" t="n">
        <v>0.514563</v>
      </c>
      <c r="BN158" s="28" t="n">
        <v>0.5124379999999999</v>
      </c>
      <c r="BO158" s="28" t="n"/>
      <c r="BP158" s="25" t="n"/>
      <c r="BQ158" s="27" t="n">
        <v>1.943396</v>
      </c>
      <c r="BR158" s="28" t="n">
        <v>0.515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</row>
    <row r="159" ht="36" customHeight="1">
      <c r="A159" s="24" t="inlineStr">
        <is>
          <t>f4df9ea041b44220</t>
        </is>
      </c>
      <c r="B159" s="24" t="inlineStr">
        <is>
          <t>2026-08-09T17:06:46.891600Z</t>
        </is>
      </c>
      <c r="C159" s="24" t="inlineStr">
        <is>
          <t>2026-08-09T18:10Z</t>
        </is>
      </c>
      <c r="D159" s="24" t="inlineStr">
        <is>
          <t>401816462</t>
        </is>
      </c>
      <c r="E159" s="24" t="inlineStr">
        <is>
          <t>MLB</t>
        </is>
      </c>
      <c r="F159" s="24" t="inlineStr">
        <is>
          <t>Cleveland Guardians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away</t>
        </is>
      </c>
      <c r="J159" s="25" t="n">
        <v>-1.5</v>
      </c>
      <c r="K159" s="24" t="inlineStr">
        <is>
          <t>polymarket_us</t>
        </is>
      </c>
      <c r="L159" s="26" t="n">
        <v>135</v>
      </c>
      <c r="M159" s="27" t="n">
        <v>2.35</v>
      </c>
      <c r="N159" s="28" t="n">
        <v>0.425532</v>
      </c>
      <c r="O159" s="28" t="n">
        <v>0.39503</v>
      </c>
      <c r="P159" s="28" t="n">
        <v>0.042131</v>
      </c>
      <c r="Q159" s="28" t="n">
        <v>-0.030502</v>
      </c>
      <c r="R159" s="26" t="n">
        <v>11</v>
      </c>
      <c r="S159" s="29" t="n">
        <v>1.5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3</v>
      </c>
      <c r="X159" s="26" t="n">
        <v>5</v>
      </c>
      <c r="Y159" s="25" t="n">
        <v>-1.5</v>
      </c>
      <c r="Z159" s="26" t="n">
        <v>135</v>
      </c>
      <c r="AA159" s="28" t="n">
        <v>0.425</v>
      </c>
      <c r="AB159" s="28" t="n">
        <v>-0.000532</v>
      </c>
      <c r="AC159" s="30" t="n">
        <v>-1.5</v>
      </c>
      <c r="AD159" s="24" t="inlineStr">
        <is>
          <t>2026-08-09T23:29:36.518360Z</t>
        </is>
      </c>
      <c r="AE159" s="31" t="inlineStr">
        <is>
          <t>Measured Edge Margin: Trend Engine projected 4.87-4.76; raw selected-side p=0.3459, calibrated p=0.3950.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NO_CALL_WINNER_OVERVALUED</t>
        </is>
      </c>
      <c r="AP159" s="24" t="inlineStr">
        <is>
          <t>mlb-cle</t>
        </is>
      </c>
      <c r="AQ159" s="24" t="inlineStr">
        <is>
          <t>Cleveland Guardians</t>
        </is>
      </c>
      <c r="AR159" s="24" t="inlineStr">
        <is>
          <t>Cleveland Guardians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2026-08-09T17:06:46.891600Z</t>
        </is>
      </c>
      <c r="BI159" s="24" t="inlineStr">
        <is>
          <t>["same_event","same_team_same_day","same_league_same_day"]</t>
        </is>
      </c>
      <c r="BJ159" s="25" t="n">
        <v>-1.5</v>
      </c>
      <c r="BK159" s="26" t="n">
        <v>135</v>
      </c>
      <c r="BL159" s="27" t="n">
        <v>2.35</v>
      </c>
      <c r="BM159" s="28" t="n">
        <v>0.425532</v>
      </c>
      <c r="BN159" s="28" t="n">
        <v>0.422886</v>
      </c>
      <c r="BO159" s="28" t="n"/>
      <c r="BP159" s="25" t="n"/>
      <c r="BQ159" s="27" t="n">
        <v>2.35</v>
      </c>
      <c r="BR159" s="28" t="n">
        <v>0.425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</row>
    <row r="160" ht="36" customHeight="1">
      <c r="A160" s="24" t="inlineStr">
        <is>
          <t>dd242af686e34a6e</t>
        </is>
      </c>
      <c r="B160" s="24" t="inlineStr">
        <is>
          <t>2026-08-09T17:06:46.891600Z</t>
        </is>
      </c>
      <c r="C160" s="24" t="inlineStr">
        <is>
          <t>2026-08-09T18:10Z</t>
        </is>
      </c>
      <c r="D160" s="24" t="inlineStr">
        <is>
          <t>401816462</t>
        </is>
      </c>
      <c r="E160" s="24" t="inlineStr">
        <is>
          <t>MLB</t>
        </is>
      </c>
      <c r="F160" s="24" t="inlineStr">
        <is>
          <t>Cleveland Guardians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104</v>
      </c>
      <c r="M160" s="27" t="n">
        <v>2.04</v>
      </c>
      <c r="N160" s="28" t="n">
        <v>0.490196</v>
      </c>
      <c r="O160" s="28" t="n">
        <v>0.524579</v>
      </c>
      <c r="P160" s="28" t="n">
        <v>0.042131</v>
      </c>
      <c r="Q160" s="28" t="n">
        <v>0.034383</v>
      </c>
      <c r="R160" s="26" t="n">
        <v>43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3</v>
      </c>
      <c r="X160" s="26" t="n">
        <v>5</v>
      </c>
      <c r="Y160" s="25" t="n">
        <v>8.5</v>
      </c>
      <c r="Z160" s="26" t="n">
        <v>104</v>
      </c>
      <c r="AA160" s="28" t="n">
        <v>0.49</v>
      </c>
      <c r="AB160" s="28" t="n">
        <v>-0.000196</v>
      </c>
      <c r="AC160" s="30" t="n">
        <v>-1</v>
      </c>
      <c r="AD160" s="24" t="inlineStr">
        <is>
          <t>2026-08-09T23:29:37.858487Z</t>
        </is>
      </c>
      <c r="AE160" s="31" t="inlineStr">
        <is>
          <t>Measured Edge Totals: Trend Engine projected 4.87-4.76; raw selected-side p=0.5756, calibrated p=0.5246.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NO_CALL_WINNER_OVERVALUED</t>
        </is>
      </c>
      <c r="AP160" s="24" t="inlineStr">
        <is>
          <t>mlb-cle</t>
        </is>
      </c>
      <c r="AQ160" s="24" t="inlineStr">
        <is>
          <t>Cleveland Guardians</t>
        </is>
      </c>
      <c r="AR160" s="24" t="inlineStr">
        <is>
          <t>Cleveland Guardians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2026-08-09T17:06:46.891600Z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104</v>
      </c>
      <c r="BL160" s="27" t="n">
        <v>2.04</v>
      </c>
      <c r="BM160" s="28" t="n">
        <v>0.490196</v>
      </c>
      <c r="BN160" s="28" t="n">
        <v>0.487562</v>
      </c>
      <c r="BO160" s="28" t="n"/>
      <c r="BP160" s="25" t="n"/>
      <c r="BQ160" s="27" t="n">
        <v>2.04</v>
      </c>
      <c r="BR160" s="28" t="n">
        <v>0.49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a431856d7afd44a8</t>
        </is>
      </c>
      <c r="B161" s="24" t="inlineStr">
        <is>
          <t>2026-08-09T17:06:46.891600Z</t>
        </is>
      </c>
      <c r="C161" s="24" t="inlineStr">
        <is>
          <t>2026-08-09T18:10Z</t>
        </is>
      </c>
      <c r="D161" s="24" t="inlineStr">
        <is>
          <t>401816464</t>
        </is>
      </c>
      <c r="E161" s="24" t="inlineStr">
        <is>
          <t>MLB</t>
        </is>
      </c>
      <c r="F161" s="24" t="inlineStr">
        <is>
          <t>Minnesota Twins</t>
        </is>
      </c>
      <c r="G161" s="24" t="inlineStr">
        <is>
          <t>Milwaukee Brewers</t>
        </is>
      </c>
      <c r="H161" s="24" t="inlineStr">
        <is>
          <t>spread</t>
        </is>
      </c>
      <c r="I161" s="24" t="inlineStr">
        <is>
          <t>home</t>
        </is>
      </c>
      <c r="J161" s="25" t="n">
        <v>-1.5</v>
      </c>
      <c r="K161" s="24" t="inlineStr">
        <is>
          <t>polymarket_us</t>
        </is>
      </c>
      <c r="L161" s="26" t="n">
        <v>-111</v>
      </c>
      <c r="M161" s="27" t="n">
        <v>1.900901</v>
      </c>
      <c r="N161" s="28" t="n">
        <v>0.526066</v>
      </c>
      <c r="O161" s="28" t="n">
        <v>0.449031</v>
      </c>
      <c r="P161" s="28" t="n">
        <v>0.042131</v>
      </c>
      <c r="Q161" s="28" t="n">
        <v>-0.07703500000000001</v>
      </c>
      <c r="R161" s="26" t="n">
        <v>0</v>
      </c>
      <c r="S161" s="29" t="n">
        <v>1</v>
      </c>
      <c r="T161" s="24" t="inlineStr">
        <is>
          <t>measured-edge-margin-v3</t>
        </is>
      </c>
      <c r="U161" s="24" t="inlineStr">
        <is>
          <t>settled</t>
        </is>
      </c>
      <c r="V161" s="24" t="inlineStr">
        <is>
          <t>loss</t>
        </is>
      </c>
      <c r="W161" s="26" t="n">
        <v>3</v>
      </c>
      <c r="X161" s="26" t="n">
        <v>4</v>
      </c>
      <c r="Y161" s="25" t="n">
        <v>-1.5</v>
      </c>
      <c r="Z161" s="26" t="n">
        <v>-111</v>
      </c>
      <c r="AA161" s="28" t="n">
        <v>0.525</v>
      </c>
      <c r="AB161" s="28" t="n">
        <v>-0.001066</v>
      </c>
      <c r="AC161" s="30" t="n">
        <v>-1</v>
      </c>
      <c r="AD161" s="24" t="inlineStr">
        <is>
          <t>2026-08-09T23:29:39.255201Z</t>
        </is>
      </c>
      <c r="AE161" s="31" t="inlineStr">
        <is>
          <t>Measured Edge Margin: Trend Engine projected 3.67-4.67; raw selected-side p=0.4252, calibrated p=0.4490.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review_required</t>
        </is>
      </c>
      <c r="AH161" s="24" t="n"/>
      <c r="AI161" s="31" t="n"/>
      <c r="AJ1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NO_CALL_WINNER_OVERVALUED</t>
        </is>
      </c>
      <c r="AP161" s="24" t="inlineStr">
        <is>
          <t>mlb-min</t>
        </is>
      </c>
      <c r="AQ161" s="24" t="inlineStr">
        <is>
          <t>Minnesota Twins</t>
        </is>
      </c>
      <c r="AR161" s="24" t="inlineStr">
        <is>
          <t>Minnesota Twins</t>
        </is>
      </c>
      <c r="AS161" s="24" t="inlineStr">
        <is>
          <t>mlb-mil</t>
        </is>
      </c>
      <c r="AT161" s="24" t="inlineStr">
        <is>
          <t>Milwaukee Brewers</t>
        </is>
      </c>
      <c r="AU161" s="24" t="inlineStr">
        <is>
          <t>Milwaukee Brewers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dd339a2eed50d7d83ab2127837995ddab82e879afd27f5414bb6c1f9cd60ba4c</t>
        </is>
      </c>
      <c r="BB161" s="24" t="inlineStr">
        <is>
          <t>flat_probability_shrinkage_toward_half</t>
        </is>
      </c>
      <c r="BC161" s="24" t="inlineStr">
        <is>
          <t>measured-edge-margin-v3</t>
        </is>
      </c>
      <c r="BD161" s="24" t="inlineStr">
        <is>
          <t>dd339a2eed50d7d83ab2127837995ddab82e879afd27f5414bb6c1f9cd60ba4c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2026-08-09T17:06:46.891600Z</t>
        </is>
      </c>
      <c r="BI161" s="24" t="inlineStr">
        <is>
          <t>["same_event","same_team_same_day","same_league_same_day"]</t>
        </is>
      </c>
      <c r="BJ161" s="25" t="n">
        <v>-1.5</v>
      </c>
      <c r="BK161" s="26" t="n">
        <v>-111</v>
      </c>
      <c r="BL161" s="27" t="n">
        <v>1.900901</v>
      </c>
      <c r="BM161" s="28" t="n">
        <v>0.526066</v>
      </c>
      <c r="BN161" s="28" t="n">
        <v>0.522388</v>
      </c>
      <c r="BO161" s="28" t="n"/>
      <c r="BP161" s="25" t="n"/>
      <c r="BQ161" s="27" t="n">
        <v>1.900901</v>
      </c>
      <c r="BR161" s="28" t="n">
        <v>0.525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23d89775b8404b49</t>
        </is>
      </c>
      <c r="B162" s="24" t="inlineStr">
        <is>
          <t>2026-08-09T17:06:46.891600Z</t>
        </is>
      </c>
      <c r="C162" s="24" t="inlineStr">
        <is>
          <t>2026-08-09T18:10Z</t>
        </is>
      </c>
      <c r="D162" s="24" t="inlineStr">
        <is>
          <t>401816464</t>
        </is>
      </c>
      <c r="E162" s="24" t="inlineStr">
        <is>
          <t>MLB</t>
        </is>
      </c>
      <c r="F162" s="24" t="inlineStr">
        <is>
          <t>Minnesota Twins</t>
        </is>
      </c>
      <c r="G162" s="24" t="inlineStr">
        <is>
          <t>Milwaukee Brewers</t>
        </is>
      </c>
      <c r="H162" s="24" t="inlineStr">
        <is>
          <t>total</t>
        </is>
      </c>
      <c r="I162" s="24" t="inlineStr">
        <is>
          <t>over</t>
        </is>
      </c>
      <c r="J162" s="25" t="n">
        <v>7.5</v>
      </c>
      <c r="K162" s="24" t="inlineStr">
        <is>
          <t>polymarket_us</t>
        </is>
      </c>
      <c r="L162" s="26" t="n">
        <v>122</v>
      </c>
      <c r="M162" s="27" t="n">
        <v>2.22</v>
      </c>
      <c r="N162" s="28" t="n">
        <v>0.45045</v>
      </c>
      <c r="O162" s="28" t="n">
        <v>0.514419</v>
      </c>
      <c r="P162" s="28" t="n">
        <v>0.042131</v>
      </c>
      <c r="Q162" s="28" t="n">
        <v>0.063969</v>
      </c>
      <c r="R162" s="26" t="n">
        <v>58</v>
      </c>
      <c r="S162" s="29" t="n">
        <v>1</v>
      </c>
      <c r="T162" s="24" t="inlineStr">
        <is>
          <t>measured-edge-totals-v3</t>
        </is>
      </c>
      <c r="U162" s="24" t="inlineStr">
        <is>
          <t>settled</t>
        </is>
      </c>
      <c r="V162" s="24" t="inlineStr">
        <is>
          <t>loss</t>
        </is>
      </c>
      <c r="W162" s="26" t="n">
        <v>3</v>
      </c>
      <c r="X162" s="26" t="n">
        <v>4</v>
      </c>
      <c r="Y162" s="25" t="n">
        <v>7.5</v>
      </c>
      <c r="Z162" s="26" t="n">
        <v>122</v>
      </c>
      <c r="AA162" s="28" t="n">
        <v>0.45</v>
      </c>
      <c r="AB162" s="28" t="n">
        <v>-0.00045</v>
      </c>
      <c r="AC162" s="30" t="n">
        <v>-1</v>
      </c>
      <c r="AD162" s="24" t="inlineStr">
        <is>
          <t>2026-08-09T23:29:40.650242Z</t>
        </is>
      </c>
      <c r="AE162" s="31" t="inlineStr">
        <is>
          <t>Measured Edge Totals: Trend Engine projected 3.67-4.67; raw selected-side p=0.5347, calibrated p=0.5144.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NO_CALL_WINNER_OVERVALUED</t>
        </is>
      </c>
      <c r="AP162" s="24" t="inlineStr">
        <is>
          <t>mlb-min</t>
        </is>
      </c>
      <c r="AQ162" s="24" t="inlineStr">
        <is>
          <t>Minnesota Twins</t>
        </is>
      </c>
      <c r="AR162" s="24" t="inlineStr">
        <is>
          <t>Minnesota Twins</t>
        </is>
      </c>
      <c r="AS162" s="24" t="inlineStr">
        <is>
          <t>mlb-mil</t>
        </is>
      </c>
      <c r="AT162" s="24" t="inlineStr">
        <is>
          <t>Milwaukee Brewers</t>
        </is>
      </c>
      <c r="AU162" s="24" t="inlineStr">
        <is>
          <t>Milwaukee Brewers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95b84332c75d2ce54036eb8de6ada9c78d0f80228c50825c0347281a8b9b49c7</t>
        </is>
      </c>
      <c r="BB162" s="24" t="inlineStr">
        <is>
          <t>flat_probability_shrinkage_toward_half</t>
        </is>
      </c>
      <c r="BC162" s="24" t="inlineStr">
        <is>
          <t>measured-edge-totals-v3</t>
        </is>
      </c>
      <c r="BD162" s="24" t="inlineStr">
        <is>
          <t>95b84332c75d2ce54036eb8de6ada9c78d0f80228c50825c0347281a8b9b49c7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2026-08-09T17:06:46.891600Z</t>
        </is>
      </c>
      <c r="BI162" s="24" t="inlineStr">
        <is>
          <t>["same_event","same_team_same_day","same_league_same_day"]</t>
        </is>
      </c>
      <c r="BJ162" s="25" t="n">
        <v>7.5</v>
      </c>
      <c r="BK162" s="26" t="n">
        <v>122</v>
      </c>
      <c r="BL162" s="27" t="n">
        <v>2.22</v>
      </c>
      <c r="BM162" s="28" t="n">
        <v>0.45045</v>
      </c>
      <c r="BN162" s="28" t="n">
        <v>0.447761</v>
      </c>
      <c r="BO162" s="28" t="n"/>
      <c r="BP162" s="25" t="n"/>
      <c r="BQ162" s="27" t="n">
        <v>2.22</v>
      </c>
      <c r="BR162" s="28" t="n">
        <v>0.45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d374920394ce4496</t>
        </is>
      </c>
      <c r="B163" s="24" t="inlineStr">
        <is>
          <t>2026-08-09T17:06:46.891600Z</t>
        </is>
      </c>
      <c r="C163" s="24" t="inlineStr">
        <is>
          <t>2026-08-09T18:15Z</t>
        </is>
      </c>
      <c r="D163" s="24" t="inlineStr">
        <is>
          <t>401816463</t>
        </is>
      </c>
      <c r="E163" s="24" t="inlineStr">
        <is>
          <t>MLB</t>
        </is>
      </c>
      <c r="F163" s="24" t="inlineStr">
        <is>
          <t>Colorado Rockies</t>
        </is>
      </c>
      <c r="G163" s="24" t="inlineStr">
        <is>
          <t>St. Louis Cardinals</t>
        </is>
      </c>
      <c r="H163" s="24" t="inlineStr">
        <is>
          <t>spread</t>
        </is>
      </c>
      <c r="I163" s="24" t="inlineStr">
        <is>
          <t>home</t>
        </is>
      </c>
      <c r="J163" s="25" t="n">
        <v>-1.5</v>
      </c>
      <c r="K163" s="24" t="inlineStr">
        <is>
          <t>polymarket_us</t>
        </is>
      </c>
      <c r="L163" s="26" t="n">
        <v>130</v>
      </c>
      <c r="M163" s="27" t="n">
        <v>2.3</v>
      </c>
      <c r="N163" s="28" t="n">
        <v>0.434783</v>
      </c>
      <c r="O163" s="28" t="n">
        <v>0.43864</v>
      </c>
      <c r="P163" s="28" t="n">
        <v>0.042131</v>
      </c>
      <c r="Q163" s="28" t="n">
        <v>0.003857</v>
      </c>
      <c r="R163" s="26" t="n">
        <v>28</v>
      </c>
      <c r="S163" s="29" t="n">
        <v>1.25</v>
      </c>
      <c r="T163" s="24" t="inlineStr">
        <is>
          <t>measured-edge-margin-v3</t>
        </is>
      </c>
      <c r="U163" s="24" t="inlineStr">
        <is>
          <t>settled</t>
        </is>
      </c>
      <c r="V163" s="24" t="inlineStr">
        <is>
          <t>win</t>
        </is>
      </c>
      <c r="W163" s="26" t="n">
        <v>4</v>
      </c>
      <c r="X163" s="26" t="n">
        <v>7</v>
      </c>
      <c r="Y163" s="25" t="n">
        <v>-1.5</v>
      </c>
      <c r="Z163" s="26" t="n">
        <v>130</v>
      </c>
      <c r="AA163" s="28" t="n">
        <v>0.435</v>
      </c>
      <c r="AB163" s="28" t="n">
        <v>0.000217</v>
      </c>
      <c r="AC163" s="30" t="n">
        <v>1.625</v>
      </c>
      <c r="AD163" s="24" t="inlineStr">
        <is>
          <t>2026-08-09T23:29:41.995995Z</t>
        </is>
      </c>
      <c r="AE163" s="31" t="inlineStr">
        <is>
          <t>Measured Edge Margin: Trend Engine projected 4.61-5.34; raw selected-side p=0.4099, calibrated p=0.4386.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NO_CALL_WINNER_OVERVALUED</t>
        </is>
      </c>
      <c r="AP163" s="24" t="inlineStr">
        <is>
          <t>mlb-col</t>
        </is>
      </c>
      <c r="AQ163" s="24" t="inlineStr">
        <is>
          <t>Colorado Rockies</t>
        </is>
      </c>
      <c r="AR163" s="24" t="inlineStr">
        <is>
          <t>Colorado Rockies</t>
        </is>
      </c>
      <c r="AS163" s="24" t="inlineStr">
        <is>
          <t>mlb-stl</t>
        </is>
      </c>
      <c r="AT163" s="24" t="inlineStr">
        <is>
          <t>St. Louis Cardinals</t>
        </is>
      </c>
      <c r="AU163" s="24" t="inlineStr">
        <is>
          <t>St. Louis Cardinals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dd339a2eed50d7d83ab2127837995ddab82e879afd27f5414bb6c1f9cd60ba4c</t>
        </is>
      </c>
      <c r="BB163" s="24" t="inlineStr">
        <is>
          <t>flat_probability_shrinkage_toward_half</t>
        </is>
      </c>
      <c r="BC163" s="24" t="inlineStr">
        <is>
          <t>measured-edge-margin-v3</t>
        </is>
      </c>
      <c r="BD163" s="24" t="inlineStr">
        <is>
          <t>dd339a2eed50d7d83ab2127837995ddab82e879afd27f5414bb6c1f9cd60ba4c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2026-08-09T17:06:46.891600Z</t>
        </is>
      </c>
      <c r="BI163" s="24" t="inlineStr">
        <is>
          <t>["same_event","same_team_same_day","same_league_same_day"]</t>
        </is>
      </c>
      <c r="BJ163" s="25" t="n">
        <v>-1.5</v>
      </c>
      <c r="BK163" s="26" t="n">
        <v>130</v>
      </c>
      <c r="BL163" s="27" t="n">
        <v>2.3</v>
      </c>
      <c r="BM163" s="28" t="n">
        <v>0.434783</v>
      </c>
      <c r="BN163" s="28" t="n">
        <v>0.432836</v>
      </c>
      <c r="BO163" s="28" t="n"/>
      <c r="BP163" s="25" t="n"/>
      <c r="BQ163" s="27" t="n">
        <v>2.3</v>
      </c>
      <c r="BR163" s="28" t="n">
        <v>0.435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4f5bb1f4e0054a3e</t>
        </is>
      </c>
      <c r="B164" s="24" t="inlineStr">
        <is>
          <t>2026-08-09T17:06:46.891600Z</t>
        </is>
      </c>
      <c r="C164" s="24" t="inlineStr">
        <is>
          <t>2026-08-09T18:15Z</t>
        </is>
      </c>
      <c r="D164" s="24" t="inlineStr">
        <is>
          <t>401816463</t>
        </is>
      </c>
      <c r="E164" s="24" t="inlineStr">
        <is>
          <t>MLB</t>
        </is>
      </c>
      <c r="F164" s="24" t="inlineStr">
        <is>
          <t>Colorado Rockies</t>
        </is>
      </c>
      <c r="G164" s="24" t="inlineStr">
        <is>
          <t>St. Louis Cardinals</t>
        </is>
      </c>
      <c r="H164" s="24" t="inlineStr">
        <is>
          <t>total</t>
        </is>
      </c>
      <c r="I164" s="24" t="inlineStr">
        <is>
          <t>under</t>
        </is>
      </c>
      <c r="J164" s="25" t="n">
        <v>9.5</v>
      </c>
      <c r="K164" s="24" t="inlineStr">
        <is>
          <t>polymarket_us</t>
        </is>
      </c>
      <c r="L164" s="26" t="n">
        <v>-117</v>
      </c>
      <c r="M164" s="27" t="n">
        <v>1.854701</v>
      </c>
      <c r="N164" s="28" t="n">
        <v>0.539171</v>
      </c>
      <c r="O164" s="28" t="n">
        <v>0.510246</v>
      </c>
      <c r="P164" s="28" t="n">
        <v>0.042131</v>
      </c>
      <c r="Q164" s="28" t="n">
        <v>-0.028925</v>
      </c>
      <c r="R164" s="26" t="n">
        <v>11</v>
      </c>
      <c r="S164" s="29" t="n">
        <v>1</v>
      </c>
      <c r="T164" s="24" t="inlineStr">
        <is>
          <t>measured-edge-totals-v3</t>
        </is>
      </c>
      <c r="U164" s="24" t="inlineStr">
        <is>
          <t>settled</t>
        </is>
      </c>
      <c r="V164" s="24" t="inlineStr">
        <is>
          <t>loss</t>
        </is>
      </c>
      <c r="W164" s="26" t="n">
        <v>4</v>
      </c>
      <c r="X164" s="26" t="n">
        <v>7</v>
      </c>
      <c r="Y164" s="25" t="n">
        <v>9.5</v>
      </c>
      <c r="Z164" s="26" t="n">
        <v>-117</v>
      </c>
      <c r="AA164" s="28" t="n">
        <v>0.54</v>
      </c>
      <c r="AB164" s="28" t="n">
        <v>0.000829</v>
      </c>
      <c r="AC164" s="30" t="n">
        <v>-1</v>
      </c>
      <c r="AD164" s="24" t="inlineStr">
        <is>
          <t>2026-08-09T23:29:43.406739Z</t>
        </is>
      </c>
      <c r="AE164" s="31" t="inlineStr">
        <is>
          <t>Measured Edge Totals: Trend Engine projected 4.61-5.34; raw selected-side p=0.5179, calibrated p=0.5102.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NO_CALL_WINNER_OVERVALUED</t>
        </is>
      </c>
      <c r="AP164" s="24" t="inlineStr">
        <is>
          <t>mlb-col</t>
        </is>
      </c>
      <c r="AQ164" s="24" t="inlineStr">
        <is>
          <t>Colorado Rockies</t>
        </is>
      </c>
      <c r="AR164" s="24" t="inlineStr">
        <is>
          <t>Colorado Rockies</t>
        </is>
      </c>
      <c r="AS164" s="24" t="inlineStr">
        <is>
          <t>mlb-stl</t>
        </is>
      </c>
      <c r="AT164" s="24" t="inlineStr">
        <is>
          <t>St. Louis Cardinals</t>
        </is>
      </c>
      <c r="AU164" s="24" t="inlineStr">
        <is>
          <t>St. Louis Cardinals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95b84332c75d2ce54036eb8de6ada9c78d0f80228c50825c0347281a8b9b49c7</t>
        </is>
      </c>
      <c r="BB164" s="24" t="inlineStr">
        <is>
          <t>flat_probability_shrinkage_toward_half</t>
        </is>
      </c>
      <c r="BC164" s="24" t="inlineStr">
        <is>
          <t>measured-edge-totals-v3</t>
        </is>
      </c>
      <c r="BD164" s="24" t="inlineStr">
        <is>
          <t>95b84332c75d2ce54036eb8de6ada9c78d0f80228c50825c0347281a8b9b49c7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2026-08-09T17:06:46.891600Z</t>
        </is>
      </c>
      <c r="BI164" s="24" t="inlineStr">
        <is>
          <t>["same_event","same_team_same_day","same_league_same_day"]</t>
        </is>
      </c>
      <c r="BJ164" s="25" t="n">
        <v>9.5</v>
      </c>
      <c r="BK164" s="26" t="n">
        <v>-117</v>
      </c>
      <c r="BL164" s="27" t="n">
        <v>1.854701</v>
      </c>
      <c r="BM164" s="28" t="n">
        <v>0.539171</v>
      </c>
      <c r="BN164" s="28" t="n">
        <v>0.537313</v>
      </c>
      <c r="BO164" s="28" t="n"/>
      <c r="BP164" s="25" t="n"/>
      <c r="BQ164" s="27" t="n">
        <v>1.854701</v>
      </c>
      <c r="BR164" s="28" t="n">
        <v>0.54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a1145280bc27469b</t>
        </is>
      </c>
      <c r="B165" s="24" t="inlineStr">
        <is>
          <t>2026-08-09T17:06:46.891600Z</t>
        </is>
      </c>
      <c r="C165" s="24" t="inlineStr">
        <is>
          <t>2026-08-09T18:35Z</t>
        </is>
      </c>
      <c r="D165" s="24" t="inlineStr">
        <is>
          <t>401816460</t>
        </is>
      </c>
      <c r="E165" s="24" t="inlineStr">
        <is>
          <t>MLB</t>
        </is>
      </c>
      <c r="F165" s="24" t="inlineStr">
        <is>
          <t>Baltimore Orioles</t>
        </is>
      </c>
      <c r="G165" s="24" t="inlineStr">
        <is>
          <t>Texas Rangers</t>
        </is>
      </c>
      <c r="H165" s="24" t="inlineStr">
        <is>
          <t>spread</t>
        </is>
      </c>
      <c r="I165" s="24" t="inlineStr">
        <is>
          <t>home</t>
        </is>
      </c>
      <c r="J165" s="25" t="n">
        <v>-1.5</v>
      </c>
      <c r="K165" s="24" t="inlineStr">
        <is>
          <t>polymarket_us</t>
        </is>
      </c>
      <c r="L165" s="26" t="n">
        <v>170</v>
      </c>
      <c r="M165" s="27" t="n">
        <v>2.7</v>
      </c>
      <c r="N165" s="28" t="n">
        <v>0.37037</v>
      </c>
      <c r="O165" s="28" t="n">
        <v>0.383992</v>
      </c>
      <c r="P165" s="28" t="n">
        <v>0.05172</v>
      </c>
      <c r="Q165" s="28" t="n">
        <v>0.013622</v>
      </c>
      <c r="R165" s="26" t="n">
        <v>27</v>
      </c>
      <c r="S165" s="29" t="n">
        <v>1.5</v>
      </c>
      <c r="T165" s="24" t="inlineStr">
        <is>
          <t>measured-edge-margin-v3</t>
        </is>
      </c>
      <c r="U165" s="24" t="inlineStr">
        <is>
          <t>settled</t>
        </is>
      </c>
      <c r="V165" s="24" t="inlineStr">
        <is>
          <t>loss</t>
        </is>
      </c>
      <c r="W165" s="26" t="n">
        <v>10</v>
      </c>
      <c r="X165" s="26" t="n">
        <v>5</v>
      </c>
      <c r="Y165" s="25" t="n">
        <v>-1.5</v>
      </c>
      <c r="Z165" s="26" t="n">
        <v>170</v>
      </c>
      <c r="AA165" s="28" t="n">
        <v>0.37</v>
      </c>
      <c r="AB165" s="28" t="n">
        <v>-0.00037</v>
      </c>
      <c r="AC165" s="30" t="n">
        <v>-1.5</v>
      </c>
      <c r="AD165" s="24" t="inlineStr">
        <is>
          <t>2026-08-09T23:29:45.205455Z</t>
        </is>
      </c>
      <c r="AE165" s="31" t="inlineStr">
        <is>
          <t>Measured Edge Margin: Trend Engine projected 4.47-4.53; raw selected-side p=0.3297, calibrated p=0.3840.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NO_CALL_WINNER_OVERVALUED</t>
        </is>
      </c>
      <c r="AP165" s="24" t="inlineStr">
        <is>
          <t>mlb-bal</t>
        </is>
      </c>
      <c r="AQ165" s="24" t="inlineStr">
        <is>
          <t>Baltimore Orioles</t>
        </is>
      </c>
      <c r="AR165" s="24" t="inlineStr">
        <is>
          <t>Baltimore Orioles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dd339a2eed50d7d83ab2127837995ddab82e879afd27f5414bb6c1f9cd60ba4c</t>
        </is>
      </c>
      <c r="BB165" s="24" t="inlineStr">
        <is>
          <t>flat_probability_shrinkage_toward_half</t>
        </is>
      </c>
      <c r="BC165" s="24" t="inlineStr">
        <is>
          <t>measured-edge-margin-v3</t>
        </is>
      </c>
      <c r="BD165" s="24" t="inlineStr">
        <is>
          <t>dd339a2eed50d7d83ab2127837995ddab82e879afd27f5414bb6c1f9cd60ba4c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2026-08-09T17:06:46.891600Z</t>
        </is>
      </c>
      <c r="BI165" s="24" t="inlineStr">
        <is>
          <t>["same_event","same_team_same_day","same_league_same_day"]</t>
        </is>
      </c>
      <c r="BJ165" s="25" t="n">
        <v>-1.5</v>
      </c>
      <c r="BK165" s="26" t="n">
        <v>170</v>
      </c>
      <c r="BL165" s="27" t="n">
        <v>2.7</v>
      </c>
      <c r="BM165" s="28" t="n">
        <v>0.37037</v>
      </c>
      <c r="BN165" s="28" t="n">
        <v>0.368159</v>
      </c>
      <c r="BO165" s="28" t="n"/>
      <c r="BP165" s="25" t="n"/>
      <c r="BQ165" s="27" t="n">
        <v>2.7</v>
      </c>
      <c r="BR165" s="28" t="n">
        <v>0.37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</row>
    <row r="166" ht="36" customHeight="1">
      <c r="A166" s="24" t="inlineStr">
        <is>
          <t>b79df9c705814222</t>
        </is>
      </c>
      <c r="B166" s="24" t="inlineStr">
        <is>
          <t>2026-08-09T17:06:46.891600Z</t>
        </is>
      </c>
      <c r="C166" s="24" t="inlineStr">
        <is>
          <t>2026-08-09T18:35Z</t>
        </is>
      </c>
      <c r="D166" s="24" t="inlineStr">
        <is>
          <t>401816460</t>
        </is>
      </c>
      <c r="E166" s="24" t="inlineStr">
        <is>
          <t>MLB</t>
        </is>
      </c>
      <c r="F166" s="24" t="inlineStr">
        <is>
          <t>Baltimore Orioles</t>
        </is>
      </c>
      <c r="G166" s="24" t="inlineStr">
        <is>
          <t>Texas Rangers</t>
        </is>
      </c>
      <c r="H166" s="24" t="inlineStr">
        <is>
          <t>total</t>
        </is>
      </c>
      <c r="I166" s="24" t="inlineStr">
        <is>
          <t>over</t>
        </is>
      </c>
      <c r="J166" s="25" t="n">
        <v>8.5</v>
      </c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0.508433</v>
      </c>
      <c r="P166" s="28" t="n">
        <v>0.05172</v>
      </c>
      <c r="Q166" s="28" t="n">
        <v>0.038949</v>
      </c>
      <c r="R166" s="26" t="n">
        <v>39</v>
      </c>
      <c r="S166" s="29" t="n">
        <v>1</v>
      </c>
      <c r="T166" s="24" t="inlineStr">
        <is>
          <t>measured-edge-totals-v3</t>
        </is>
      </c>
      <c r="U166" s="24" t="inlineStr">
        <is>
          <t>settled</t>
        </is>
      </c>
      <c r="V166" s="24" t="inlineStr">
        <is>
          <t>win</t>
        </is>
      </c>
      <c r="W166" s="26" t="n">
        <v>10</v>
      </c>
      <c r="X166" s="26" t="n">
        <v>5</v>
      </c>
      <c r="Y166" s="25" t="n">
        <v>8.5</v>
      </c>
      <c r="Z166" s="26" t="n">
        <v>113</v>
      </c>
      <c r="AA166" s="28" t="n">
        <v>0.47</v>
      </c>
      <c r="AB166" s="28" t="n">
        <v>0.000516</v>
      </c>
      <c r="AC166" s="30" t="n">
        <v>1.13</v>
      </c>
      <c r="AD166" s="24" t="inlineStr">
        <is>
          <t>2026-08-09T23:29:46.568273Z</t>
        </is>
      </c>
      <c r="AE166" s="31" t="inlineStr">
        <is>
          <t>Measured Edge Totals: Trend Engine projected 4.47-4.53; raw selected-side p=0.5106, calibrated p=0.5084.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NO_CALL_WINNER_OVERVALUED</t>
        </is>
      </c>
      <c r="AP166" s="24" t="inlineStr">
        <is>
          <t>mlb-bal</t>
        </is>
      </c>
      <c r="AQ166" s="24" t="inlineStr">
        <is>
          <t>Baltimore Orioles</t>
        </is>
      </c>
      <c r="AR166" s="24" t="inlineStr">
        <is>
          <t>Baltimore Orioles</t>
        </is>
      </c>
      <c r="AS166" s="24" t="inlineStr">
        <is>
          <t>mlb-tex</t>
        </is>
      </c>
      <c r="AT166" s="24" t="inlineStr">
        <is>
          <t>Texas Rangers</t>
        </is>
      </c>
      <c r="AU166" s="24" t="inlineStr">
        <is>
          <t>Texas Rangers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95b84332c75d2ce54036eb8de6ada9c78d0f80228c50825c0347281a8b9b49c7</t>
        </is>
      </c>
      <c r="BB166" s="24" t="inlineStr">
        <is>
          <t>flat_probability_shrinkage_toward_half</t>
        </is>
      </c>
      <c r="BC166" s="24" t="inlineStr">
        <is>
          <t>measured-edge-totals-v3</t>
        </is>
      </c>
      <c r="BD166" s="24" t="inlineStr">
        <is>
          <t>95b84332c75d2ce54036eb8de6ada9c78d0f80228c50825c0347281a8b9b49c7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2026-08-09T17:06:46.891600Z</t>
        </is>
      </c>
      <c r="BI166" s="24" t="inlineStr">
        <is>
          <t>["same_event","same_team_same_day","same_league_same_day"]</t>
        </is>
      </c>
      <c r="BJ166" s="25" t="n">
        <v>8.5</v>
      </c>
      <c r="BK166" s="26" t="n">
        <v>113</v>
      </c>
      <c r="BL166" s="27" t="n">
        <v>2.13</v>
      </c>
      <c r="BM166" s="28" t="n">
        <v>0.469484</v>
      </c>
      <c r="BN166" s="28" t="n">
        <v>0.467662</v>
      </c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c86c28ac785e4979</t>
        </is>
      </c>
      <c r="B167" s="24" t="inlineStr">
        <is>
          <t>2026-08-09T17:06:46.891600Z</t>
        </is>
      </c>
      <c r="C167" s="24" t="inlineStr">
        <is>
          <t>2026-08-09T20:05Z</t>
        </is>
      </c>
      <c r="D167" s="24" t="inlineStr">
        <is>
          <t>401816465</t>
        </is>
      </c>
      <c r="E167" s="24" t="inlineStr">
        <is>
          <t>MLB</t>
        </is>
      </c>
      <c r="F167" s="24" t="inlineStr">
        <is>
          <t>Detroit Tigers</t>
        </is>
      </c>
      <c r="G167" s="24" t="inlineStr">
        <is>
          <t>San Francisco Giants</t>
        </is>
      </c>
      <c r="H167" s="24" t="inlineStr">
        <is>
          <t>spread</t>
        </is>
      </c>
      <c r="I167" s="24" t="inlineStr">
        <is>
          <t>away</t>
        </is>
      </c>
      <c r="J167" s="25" t="n">
        <v>-1.5</v>
      </c>
      <c r="K167" s="24" t="inlineStr">
        <is>
          <t>polymarket_us</t>
        </is>
      </c>
      <c r="L167" s="26" t="n">
        <v>147</v>
      </c>
      <c r="M167" s="27" t="n">
        <v>2.47</v>
      </c>
      <c r="N167" s="28" t="n">
        <v>0.404858</v>
      </c>
      <c r="O167" s="28" t="n">
        <v>0.431587</v>
      </c>
      <c r="P167" s="28" t="n">
        <v>0.042131</v>
      </c>
      <c r="Q167" s="28" t="n">
        <v>0.026729</v>
      </c>
      <c r="R167" s="26" t="n">
        <v>39</v>
      </c>
      <c r="S167" s="29" t="n">
        <v>1.25</v>
      </c>
      <c r="T167" s="24" t="inlineStr">
        <is>
          <t>measured-edge-margin-v3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1</v>
      </c>
      <c r="Y167" s="25" t="n">
        <v>-1.5</v>
      </c>
      <c r="Z167" s="26" t="n">
        <v>147</v>
      </c>
      <c r="AA167" s="28" t="n">
        <v>0.405</v>
      </c>
      <c r="AB167" s="28" t="n">
        <v>0.000142</v>
      </c>
      <c r="AC167" s="30" t="n">
        <v>1.8375</v>
      </c>
      <c r="AD167" s="24" t="inlineStr">
        <is>
          <t>2026-08-09T23:29:47.965850Z</t>
        </is>
      </c>
      <c r="AE167" s="31" t="inlineStr">
        <is>
          <t>Measured Edge Margin: Trend Engine projected 4.57-3.81; raw selected-side p=0.3996, calibrated p=0.4316.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NO_CALL_WINNER_OVERVALUED</t>
        </is>
      </c>
      <c r="AP167" s="24" t="inlineStr">
        <is>
          <t>mlb-det</t>
        </is>
      </c>
      <c r="AQ167" s="24" t="inlineStr">
        <is>
          <t>Detroit Tigers</t>
        </is>
      </c>
      <c r="AR167" s="24" t="inlineStr">
        <is>
          <t>Detroit Tigers</t>
        </is>
      </c>
      <c r="AS167" s="24" t="inlineStr">
        <is>
          <t>mlb-sf</t>
        </is>
      </c>
      <c r="AT167" s="24" t="inlineStr">
        <is>
          <t>San Francisco Giants</t>
        </is>
      </c>
      <c r="AU167" s="24" t="inlineStr">
        <is>
          <t>San Francisco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dd339a2eed50d7d83ab2127837995ddab82e879afd27f5414bb6c1f9cd60ba4c</t>
        </is>
      </c>
      <c r="BB167" s="24" t="inlineStr">
        <is>
          <t>flat_probability_shrinkage_toward_half</t>
        </is>
      </c>
      <c r="BC167" s="24" t="inlineStr">
        <is>
          <t>measured-edge-margin-v3</t>
        </is>
      </c>
      <c r="BD167" s="24" t="inlineStr">
        <is>
          <t>dd339a2eed50d7d83ab2127837995ddab82e879afd27f5414bb6c1f9cd60ba4c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2026-08-09T17:06:46.891600Z</t>
        </is>
      </c>
      <c r="BI167" s="24" t="inlineStr">
        <is>
          <t>["same_event","same_team_same_day","same_league_same_day"]</t>
        </is>
      </c>
      <c r="BJ167" s="25" t="n">
        <v>-1.5</v>
      </c>
      <c r="BK167" s="26" t="n">
        <v>147</v>
      </c>
      <c r="BL167" s="27" t="n">
        <v>2.47</v>
      </c>
      <c r="BM167" s="28" t="n">
        <v>0.404858</v>
      </c>
      <c r="BN167" s="28" t="n">
        <v>0.402985</v>
      </c>
      <c r="BO167" s="28" t="n"/>
      <c r="BP167" s="25" t="n"/>
      <c r="BQ167" s="27" t="n">
        <v>2.47</v>
      </c>
      <c r="BR167" s="28" t="n">
        <v>0.405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7e750d03173e4fe1</t>
        </is>
      </c>
      <c r="B168" s="24" t="inlineStr">
        <is>
          <t>2026-08-09T17:06:46.891600Z</t>
        </is>
      </c>
      <c r="C168" s="24" t="inlineStr">
        <is>
          <t>2026-08-09T20:05Z</t>
        </is>
      </c>
      <c r="D168" s="24" t="inlineStr">
        <is>
          <t>401816465</t>
        </is>
      </c>
      <c r="E168" s="24" t="inlineStr">
        <is>
          <t>MLB</t>
        </is>
      </c>
      <c r="F168" s="24" t="inlineStr">
        <is>
          <t>Detroit Tigers</t>
        </is>
      </c>
      <c r="G168" s="24" t="inlineStr">
        <is>
          <t>San Francisco Giants</t>
        </is>
      </c>
      <c r="H168" s="24" t="inlineStr">
        <is>
          <t>total</t>
        </is>
      </c>
      <c r="I168" s="24" t="inlineStr">
        <is>
          <t>over</t>
        </is>
      </c>
      <c r="J168" s="25" t="n">
        <v>7.5</v>
      </c>
      <c r="K168" s="24" t="inlineStr">
        <is>
          <t>polymarket_us</t>
        </is>
      </c>
      <c r="L168" s="26" t="n">
        <v>111</v>
      </c>
      <c r="M168" s="27" t="n">
        <v>2.11</v>
      </c>
      <c r="N168" s="28" t="n">
        <v>0.473934</v>
      </c>
      <c r="O168" s="28" t="n">
        <v>0.5151520000000001</v>
      </c>
      <c r="P168" s="28" t="n">
        <v>0.042131</v>
      </c>
      <c r="Q168" s="28" t="n">
        <v>0.041218</v>
      </c>
      <c r="R168" s="26" t="n">
        <v>46</v>
      </c>
      <c r="S168" s="29" t="n">
        <v>1</v>
      </c>
      <c r="T168" s="24" t="inlineStr">
        <is>
          <t>measured-edge-totals-v3</t>
        </is>
      </c>
      <c r="U168" s="24" t="inlineStr">
        <is>
          <t>settled</t>
        </is>
      </c>
      <c r="V168" s="24" t="inlineStr">
        <is>
          <t>loss</t>
        </is>
      </c>
      <c r="W168" s="26" t="n">
        <v>3</v>
      </c>
      <c r="X168" s="26" t="n">
        <v>1</v>
      </c>
      <c r="Y168" s="25" t="n">
        <v>7.5</v>
      </c>
      <c r="Z168" s="26" t="n">
        <v>111</v>
      </c>
      <c r="AA168" s="28" t="n">
        <v>0.475</v>
      </c>
      <c r="AB168" s="28" t="n">
        <v>0.001066</v>
      </c>
      <c r="AC168" s="30" t="n">
        <v>-1</v>
      </c>
      <c r="AD168" s="24" t="inlineStr">
        <is>
          <t>2026-08-09T23:29:49.324666Z</t>
        </is>
      </c>
      <c r="AE168" s="31" t="inlineStr">
        <is>
          <t>Measured Edge Totals: Trend Engine projected 4.57-3.81; raw selected-side p=0.5376, calibrated p=0.5152.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review_required</t>
        </is>
      </c>
      <c r="AH168" s="24" t="n"/>
      <c r="AI168" s="31" t="n"/>
      <c r="AJ1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NO_CALL_WINNER_OVERVALUED</t>
        </is>
      </c>
      <c r="AP168" s="24" t="inlineStr">
        <is>
          <t>mlb-det</t>
        </is>
      </c>
      <c r="AQ168" s="24" t="inlineStr">
        <is>
          <t>Detroit Tigers</t>
        </is>
      </c>
      <c r="AR168" s="24" t="inlineStr">
        <is>
          <t>Detroit Tigers</t>
        </is>
      </c>
      <c r="AS168" s="24" t="inlineStr">
        <is>
          <t>mlb-sf</t>
        </is>
      </c>
      <c r="AT168" s="24" t="inlineStr">
        <is>
          <t>San Francisco Giants</t>
        </is>
      </c>
      <c r="AU168" s="24" t="inlineStr">
        <is>
          <t>San Francisco Giants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95b84332c75d2ce54036eb8de6ada9c78d0f80228c50825c0347281a8b9b49c7</t>
        </is>
      </c>
      <c r="BB168" s="24" t="inlineStr">
        <is>
          <t>flat_probability_shrinkage_toward_half</t>
        </is>
      </c>
      <c r="BC168" s="24" t="inlineStr">
        <is>
          <t>measured-edge-totals-v3</t>
        </is>
      </c>
      <c r="BD168" s="24" t="inlineStr">
        <is>
          <t>95b84332c75d2ce54036eb8de6ada9c78d0f80228c50825c0347281a8b9b49c7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2026-08-09T17:06:46.891600Z</t>
        </is>
      </c>
      <c r="BI168" s="24" t="inlineStr">
        <is>
          <t>["same_event","same_team_same_day","same_league_same_day"]</t>
        </is>
      </c>
      <c r="BJ168" s="25" t="n">
        <v>7.5</v>
      </c>
      <c r="BK168" s="26" t="n">
        <v>111</v>
      </c>
      <c r="BL168" s="27" t="n">
        <v>2.11</v>
      </c>
      <c r="BM168" s="28" t="n">
        <v>0.473934</v>
      </c>
      <c r="BN168" s="28" t="n">
        <v>0.472637</v>
      </c>
      <c r="BO168" s="28" t="n"/>
      <c r="BP168" s="25" t="n"/>
      <c r="BQ168" s="27" t="n">
        <v>2.11</v>
      </c>
      <c r="BR168" s="28" t="n">
        <v>0.475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</row>
    <row r="169" ht="36" customHeight="1">
      <c r="A169" s="24" t="inlineStr">
        <is>
          <t>d062adda7dbd4eda</t>
        </is>
      </c>
      <c r="B169" s="24" t="inlineStr">
        <is>
          <t>2026-08-09T17:06:46.891600Z</t>
        </is>
      </c>
      <c r="C169" s="24" t="inlineStr">
        <is>
          <t>2026-08-09T20:10Z</t>
        </is>
      </c>
      <c r="D169" s="24" t="inlineStr">
        <is>
          <t>401816467</t>
        </is>
      </c>
      <c r="E169" s="24" t="inlineStr">
        <is>
          <t>MLB</t>
        </is>
      </c>
      <c r="F169" s="24" t="inlineStr">
        <is>
          <t>Los Angeles Dodgers</t>
        </is>
      </c>
      <c r="G169" s="24" t="inlineStr">
        <is>
          <t>Arizona Diamondbacks</t>
        </is>
      </c>
      <c r="H169" s="24" t="inlineStr">
        <is>
          <t>spread</t>
        </is>
      </c>
      <c r="I169" s="24" t="inlineStr">
        <is>
          <t>home</t>
        </is>
      </c>
      <c r="J169" s="25" t="n">
        <v>1.5</v>
      </c>
      <c r="K169" s="24" t="inlineStr">
        <is>
          <t>polymarket_us</t>
        </is>
      </c>
      <c r="L169" s="26" t="n">
        <v>-117</v>
      </c>
      <c r="M169" s="27" t="n">
        <v>1.854701</v>
      </c>
      <c r="N169" s="28" t="n">
        <v>0.539171</v>
      </c>
      <c r="O169" s="28" t="n">
        <v>0.63519</v>
      </c>
      <c r="P169" s="28" t="n">
        <v>0.042131</v>
      </c>
      <c r="Q169" s="28" t="n">
        <v>0.09601899999999999</v>
      </c>
      <c r="R169" s="26" t="n">
        <v>74</v>
      </c>
      <c r="S169" s="29" t="n">
        <v>1.5</v>
      </c>
      <c r="T169" s="24" t="inlineStr">
        <is>
          <t>measured-edge-margin-v3</t>
        </is>
      </c>
      <c r="U169" s="24" t="inlineStr">
        <is>
          <t>settled</t>
        </is>
      </c>
      <c r="V169" s="24" t="inlineStr">
        <is>
          <t>win</t>
        </is>
      </c>
      <c r="W169" s="26" t="n">
        <v>2</v>
      </c>
      <c r="X169" s="26" t="n">
        <v>4</v>
      </c>
      <c r="Y169" s="25" t="n">
        <v>1.5</v>
      </c>
      <c r="Z169" s="26" t="n">
        <v>-117</v>
      </c>
      <c r="AA169" s="28" t="n">
        <v>0.54</v>
      </c>
      <c r="AB169" s="28" t="n">
        <v>0.000829</v>
      </c>
      <c r="AC169" s="30" t="n">
        <v>1.2821</v>
      </c>
      <c r="AD169" s="24" t="inlineStr">
        <is>
          <t>2026-08-09T23:29:50.735772Z</t>
        </is>
      </c>
      <c r="AE169" s="31" t="inlineStr">
        <is>
          <t>Measured Edge Margin: Trend Engine projected 4.48-4.80; raw selected-side p=0.6984, calibrated p=0.6352.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mlb-lad</t>
        </is>
      </c>
      <c r="AQ169" s="24" t="inlineStr">
        <is>
          <t>Los Angeles Dodgers</t>
        </is>
      </c>
      <c r="AR169" s="24" t="inlineStr">
        <is>
          <t>Los Angeles Dodgers</t>
        </is>
      </c>
      <c r="AS169" s="24" t="inlineStr">
        <is>
          <t>mlb-ari</t>
        </is>
      </c>
      <c r="AT169" s="24" t="inlineStr">
        <is>
          <t>Arizona Diamondbacks</t>
        </is>
      </c>
      <c r="AU169" s="24" t="inlineStr">
        <is>
          <t>Arizona Diamondbacks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dd339a2eed50d7d83ab2127837995ddab82e879afd27f5414bb6c1f9cd60ba4c</t>
        </is>
      </c>
      <c r="BB169" s="24" t="inlineStr">
        <is>
          <t>flat_probability_shrinkage_toward_half</t>
        </is>
      </c>
      <c r="BC169" s="24" t="inlineStr">
        <is>
          <t>measured-edge-margin-v3</t>
        </is>
      </c>
      <c r="BD169" s="24" t="inlineStr">
        <is>
          <t>dd339a2eed50d7d83ab2127837995ddab82e879afd27f5414bb6c1f9cd60ba4c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2026-08-09T17:06:46.891600Z</t>
        </is>
      </c>
      <c r="BI169" s="24" t="inlineStr">
        <is>
          <t>["same_event","same_team_same_day","same_league_same_day"]</t>
        </is>
      </c>
      <c r="BJ169" s="25" t="n">
        <v>1.5</v>
      </c>
      <c r="BK169" s="26" t="n">
        <v>-117</v>
      </c>
      <c r="BL169" s="27" t="n">
        <v>1.854701</v>
      </c>
      <c r="BM169" s="28" t="n">
        <v>0.539171</v>
      </c>
      <c r="BN169" s="28" t="n">
        <v>0.537313</v>
      </c>
      <c r="BO169" s="28" t="n"/>
      <c r="BP169" s="25" t="n"/>
      <c r="BQ169" s="27" t="n">
        <v>1.854701</v>
      </c>
      <c r="BR169" s="28" t="n">
        <v>0.54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a3e4c8aae2cc4054</t>
        </is>
      </c>
      <c r="B170" s="24" t="inlineStr">
        <is>
          <t>2026-08-09T17:06:46.891600Z</t>
        </is>
      </c>
      <c r="C170" s="24" t="inlineStr">
        <is>
          <t>2026-08-09T20:10Z</t>
        </is>
      </c>
      <c r="D170" s="24" t="inlineStr">
        <is>
          <t>401816467</t>
        </is>
      </c>
      <c r="E170" s="24" t="inlineStr">
        <is>
          <t>MLB</t>
        </is>
      </c>
      <c r="F170" s="24" t="inlineStr">
        <is>
          <t>Los Angeles Dodgers</t>
        </is>
      </c>
      <c r="G170" s="24" t="inlineStr">
        <is>
          <t>Arizona Diamondbacks</t>
        </is>
      </c>
      <c r="H170" s="24" t="inlineStr">
        <is>
          <t>total</t>
        </is>
      </c>
      <c r="I170" s="24" t="inlineStr">
        <is>
          <t>over</t>
        </is>
      </c>
      <c r="J170" s="25" t="n">
        <v>8.5</v>
      </c>
      <c r="K170" s="24" t="inlineStr">
        <is>
          <t>polymarket_us</t>
        </is>
      </c>
      <c r="L170" s="26" t="n">
        <v>-120</v>
      </c>
      <c r="M170" s="27" t="n">
        <v>1.833333</v>
      </c>
      <c r="N170" s="28" t="n">
        <v>0.545455</v>
      </c>
      <c r="O170" s="28" t="n">
        <v>0.515202</v>
      </c>
      <c r="P170" s="28" t="n">
        <v>0.042131</v>
      </c>
      <c r="Q170" s="28" t="n">
        <v>-0.030253</v>
      </c>
      <c r="R170" s="26" t="n">
        <v>11</v>
      </c>
      <c r="S170" s="29" t="n">
        <v>1</v>
      </c>
      <c r="T170" s="24" t="inlineStr">
        <is>
          <t>measured-edge-totals-v3</t>
        </is>
      </c>
      <c r="U170" s="24" t="inlineStr">
        <is>
          <t>settled</t>
        </is>
      </c>
      <c r="V170" s="24" t="inlineStr">
        <is>
          <t>loss</t>
        </is>
      </c>
      <c r="W170" s="26" t="n">
        <v>2</v>
      </c>
      <c r="X170" s="26" t="n">
        <v>4</v>
      </c>
      <c r="Y170" s="25" t="n">
        <v>8.5</v>
      </c>
      <c r="Z170" s="26" t="n">
        <v>-120</v>
      </c>
      <c r="AA170" s="28" t="n">
        <v>0.545</v>
      </c>
      <c r="AB170" s="28" t="n">
        <v>-0.000455</v>
      </c>
      <c r="AC170" s="30" t="n">
        <v>-1</v>
      </c>
      <c r="AD170" s="24" t="inlineStr">
        <is>
          <t>2026-08-09T23:29:52.139026Z</t>
        </is>
      </c>
      <c r="AE170" s="31" t="inlineStr">
        <is>
          <t>Measured Edge Totals: Trend Engine projected 4.48-4.80; raw selected-side p=0.5379, calibrated p=0.5152.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review_required</t>
        </is>
      </c>
      <c r="AH170" s="24" t="n"/>
      <c r="AI170" s="31" t="n"/>
      <c r="AJ1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NO_CALL_WINNER_OVERVALUED</t>
        </is>
      </c>
      <c r="AP170" s="24" t="inlineStr">
        <is>
          <t>mlb-lad</t>
        </is>
      </c>
      <c r="AQ170" s="24" t="inlineStr">
        <is>
          <t>Los Angeles Dodgers</t>
        </is>
      </c>
      <c r="AR170" s="24" t="inlineStr">
        <is>
          <t>Los Angeles Dodgers</t>
        </is>
      </c>
      <c r="AS170" s="24" t="inlineStr">
        <is>
          <t>mlb-ari</t>
        </is>
      </c>
      <c r="AT170" s="24" t="inlineStr">
        <is>
          <t>Arizona Diamondbacks</t>
        </is>
      </c>
      <c r="AU170" s="24" t="inlineStr">
        <is>
          <t>Arizona Diamondbacks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95b84332c75d2ce54036eb8de6ada9c78d0f80228c50825c0347281a8b9b49c7</t>
        </is>
      </c>
      <c r="BB170" s="24" t="inlineStr">
        <is>
          <t>flat_probability_shrinkage_toward_half</t>
        </is>
      </c>
      <c r="BC170" s="24" t="inlineStr">
        <is>
          <t>measured-edge-totals-v3</t>
        </is>
      </c>
      <c r="BD170" s="24" t="inlineStr">
        <is>
          <t>95b84332c75d2ce54036eb8de6ada9c78d0f80228c50825c0347281a8b9b49c7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2026-08-09T17:06:46.891600Z</t>
        </is>
      </c>
      <c r="BI170" s="24" t="inlineStr">
        <is>
          <t>["same_event","same_team_same_day","same_league_same_day"]</t>
        </is>
      </c>
      <c r="BJ170" s="25" t="n">
        <v>8.5</v>
      </c>
      <c r="BK170" s="26" t="n">
        <v>-120</v>
      </c>
      <c r="BL170" s="27" t="n">
        <v>1.833333</v>
      </c>
      <c r="BM170" s="28" t="n">
        <v>0.545455</v>
      </c>
      <c r="BN170" s="28" t="n">
        <v>0.542289</v>
      </c>
      <c r="BO170" s="28" t="n"/>
      <c r="BP170" s="25" t="n"/>
      <c r="BQ170" s="27" t="n">
        <v>1.833333</v>
      </c>
      <c r="BR170" s="28" t="n">
        <v>0.545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7f3d4e14c1584460</t>
        </is>
      </c>
      <c r="B171" s="24" t="inlineStr">
        <is>
          <t>2026-08-09T17:06:46.891600Z</t>
        </is>
      </c>
      <c r="C171" s="24" t="inlineStr">
        <is>
          <t>2026-08-09T20:10Z</t>
        </is>
      </c>
      <c r="D171" s="24" t="inlineStr">
        <is>
          <t>401816468</t>
        </is>
      </c>
      <c r="E171" s="24" t="inlineStr">
        <is>
          <t>MLB</t>
        </is>
      </c>
      <c r="F171" s="24" t="inlineStr">
        <is>
          <t>Tampa Bay Rays</t>
        </is>
      </c>
      <c r="G171" s="24" t="inlineStr">
        <is>
          <t>Seattle Mariners</t>
        </is>
      </c>
      <c r="H171" s="24" t="inlineStr">
        <is>
          <t>spread</t>
        </is>
      </c>
      <c r="I171" s="24" t="inlineStr">
        <is>
          <t>home</t>
        </is>
      </c>
      <c r="J171" s="25" t="n">
        <v>1.5</v>
      </c>
      <c r="K171" s="24" t="inlineStr">
        <is>
          <t>polymarket_us</t>
        </is>
      </c>
      <c r="L171" s="26" t="n">
        <v>-178</v>
      </c>
      <c r="M171" s="27" t="n">
        <v>1.561798</v>
      </c>
      <c r="N171" s="28" t="n">
        <v>0.640288</v>
      </c>
      <c r="O171" s="28" t="n">
        <v>0.639244</v>
      </c>
      <c r="P171" s="28" t="n">
        <v>0.042131</v>
      </c>
      <c r="Q171" s="28" t="n">
        <v>-0.001044</v>
      </c>
      <c r="R171" s="26" t="n">
        <v>26</v>
      </c>
      <c r="S171" s="29" t="n">
        <v>1.75</v>
      </c>
      <c r="T171" s="24" t="inlineStr">
        <is>
          <t>measured-edge-margin-v3</t>
        </is>
      </c>
      <c r="U171" s="24" t="inlineStr">
        <is>
          <t>settled</t>
        </is>
      </c>
      <c r="V171" s="24" t="inlineStr">
        <is>
          <t>loss</t>
        </is>
      </c>
      <c r="W171" s="26" t="n">
        <v>4</v>
      </c>
      <c r="X171" s="26" t="n">
        <v>1</v>
      </c>
      <c r="Y171" s="25" t="n">
        <v>1.5</v>
      </c>
      <c r="Z171" s="26" t="n">
        <v>-178</v>
      </c>
      <c r="AA171" s="28" t="n">
        <v>0.64</v>
      </c>
      <c r="AB171" s="28" t="n">
        <v>-0.000288</v>
      </c>
      <c r="AC171" s="30" t="n">
        <v>-1.75</v>
      </c>
      <c r="AD171" s="24" t="inlineStr">
        <is>
          <t>2026-08-09T23:29:53.494969Z</t>
        </is>
      </c>
      <c r="AE171" s="31" t="inlineStr">
        <is>
          <t>Measured Edge Margin: Trend Engine projected 4.22-4.59; raw selected-side p=0.7044, calibrated p=0.6392.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NO_CALL_WINNER_OVERVALUED</t>
        </is>
      </c>
      <c r="AP171" s="24" t="inlineStr">
        <is>
          <t>mlb-tb</t>
        </is>
      </c>
      <c r="AQ171" s="24" t="inlineStr">
        <is>
          <t>Tampa Bay Rays</t>
        </is>
      </c>
      <c r="AR171" s="24" t="inlineStr">
        <is>
          <t>Tampa Bay Rays</t>
        </is>
      </c>
      <c r="AS171" s="24" t="inlineStr">
        <is>
          <t>mlb-sea</t>
        </is>
      </c>
      <c r="AT171" s="24" t="inlineStr">
        <is>
          <t>Seattle Mariners</t>
        </is>
      </c>
      <c r="AU171" s="24" t="inlineStr">
        <is>
          <t>Seattle Mariners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dd339a2eed50d7d83ab2127837995ddab82e879afd27f5414bb6c1f9cd60ba4c</t>
        </is>
      </c>
      <c r="BB171" s="24" t="inlineStr">
        <is>
          <t>flat_probability_shrinkage_toward_half</t>
        </is>
      </c>
      <c r="BC171" s="24" t="inlineStr">
        <is>
          <t>measured-edge-margin-v3</t>
        </is>
      </c>
      <c r="BD171" s="24" t="inlineStr">
        <is>
          <t>dd339a2eed50d7d83ab2127837995ddab82e879afd27f5414bb6c1f9cd60ba4c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2026-08-09T17:06:46.891600Z</t>
        </is>
      </c>
      <c r="BI171" s="24" t="inlineStr">
        <is>
          <t>["same_event","same_team_same_day","same_league_same_day"]</t>
        </is>
      </c>
      <c r="BJ171" s="25" t="n">
        <v>1.5</v>
      </c>
      <c r="BK171" s="26" t="n">
        <v>-178</v>
      </c>
      <c r="BL171" s="27" t="n">
        <v>1.561798</v>
      </c>
      <c r="BM171" s="28" t="n">
        <v>0.640288</v>
      </c>
      <c r="BN171" s="28" t="n">
        <v>0.636816</v>
      </c>
      <c r="BO171" s="28" t="n"/>
      <c r="BP171" s="25" t="n"/>
      <c r="BQ171" s="27" t="n">
        <v>1.561798</v>
      </c>
      <c r="BR171" s="28" t="n">
        <v>0.64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fc6ca0ce87df4350</t>
        </is>
      </c>
      <c r="B172" s="24" t="inlineStr">
        <is>
          <t>2026-08-09T17:06:46.891600Z</t>
        </is>
      </c>
      <c r="C172" s="24" t="inlineStr">
        <is>
          <t>2026-08-09T20:10Z</t>
        </is>
      </c>
      <c r="D172" s="24" t="inlineStr">
        <is>
          <t>401816468</t>
        </is>
      </c>
      <c r="E172" s="24" t="inlineStr">
        <is>
          <t>MLB</t>
        </is>
      </c>
      <c r="F172" s="24" t="inlineStr">
        <is>
          <t>Tampa Bay Rays</t>
        </is>
      </c>
      <c r="G172" s="24" t="inlineStr">
        <is>
          <t>Seattle Mariners</t>
        </is>
      </c>
      <c r="H172" s="24" t="inlineStr">
        <is>
          <t>total</t>
        </is>
      </c>
      <c r="I172" s="24" t="inlineStr">
        <is>
          <t>over</t>
        </is>
      </c>
      <c r="J172" s="25" t="n">
        <v>7.5</v>
      </c>
      <c r="K172" s="24" t="inlineStr">
        <is>
          <t>polymarket_us</t>
        </is>
      </c>
      <c r="L172" s="26" t="n">
        <v>111</v>
      </c>
      <c r="M172" s="27" t="n">
        <v>2.11</v>
      </c>
      <c r="N172" s="28" t="n">
        <v>0.473934</v>
      </c>
      <c r="O172" s="28" t="n">
        <v>0.525237</v>
      </c>
      <c r="P172" s="28" t="n">
        <v>0.042131</v>
      </c>
      <c r="Q172" s="28" t="n">
        <v>0.051303</v>
      </c>
      <c r="R172" s="26" t="n">
        <v>51</v>
      </c>
      <c r="S172" s="29" t="n">
        <v>1</v>
      </c>
      <c r="T172" s="24" t="inlineStr">
        <is>
          <t>measured-edge-totals-v3</t>
        </is>
      </c>
      <c r="U172" s="24" t="inlineStr">
        <is>
          <t>settled</t>
        </is>
      </c>
      <c r="V172" s="24" t="inlineStr">
        <is>
          <t>loss</t>
        </is>
      </c>
      <c r="W172" s="26" t="n">
        <v>4</v>
      </c>
      <c r="X172" s="26" t="n">
        <v>1</v>
      </c>
      <c r="Y172" s="25" t="n">
        <v>7.5</v>
      </c>
      <c r="Z172" s="26" t="n">
        <v>111</v>
      </c>
      <c r="AA172" s="28" t="n">
        <v>0.475</v>
      </c>
      <c r="AB172" s="28" t="n">
        <v>0.001066</v>
      </c>
      <c r="AC172" s="30" t="n">
        <v>-1</v>
      </c>
      <c r="AD172" s="24" t="inlineStr">
        <is>
          <t>2026-08-09T23:29:54.895331Z</t>
        </is>
      </c>
      <c r="AE172" s="31" t="inlineStr">
        <is>
          <t>Measured Edge Totals: Trend Engine projected 4.22-4.59; raw selected-side p=0.5783, calibrated p=0.5252.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review_required</t>
        </is>
      </c>
      <c r="AH172" s="24" t="n"/>
      <c r="AI172" s="31" t="n"/>
      <c r="AJ1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NO_CALL_WINNER_OVERVALUED</t>
        </is>
      </c>
      <c r="AP172" s="24" t="inlineStr">
        <is>
          <t>mlb-tb</t>
        </is>
      </c>
      <c r="AQ172" s="24" t="inlineStr">
        <is>
          <t>Tampa Bay Rays</t>
        </is>
      </c>
      <c r="AR172" s="24" t="inlineStr">
        <is>
          <t>Tampa Bay Rays</t>
        </is>
      </c>
      <c r="AS172" s="24" t="inlineStr">
        <is>
          <t>mlb-sea</t>
        </is>
      </c>
      <c r="AT172" s="24" t="inlineStr">
        <is>
          <t>Seattle Mariners</t>
        </is>
      </c>
      <c r="AU172" s="24" t="inlineStr">
        <is>
          <t>Seattle Mariners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95b84332c75d2ce54036eb8de6ada9c78d0f80228c50825c0347281a8b9b49c7</t>
        </is>
      </c>
      <c r="BB172" s="24" t="inlineStr">
        <is>
          <t>flat_probability_shrinkage_toward_half</t>
        </is>
      </c>
      <c r="BC172" s="24" t="inlineStr">
        <is>
          <t>measured-edge-totals-v3</t>
        </is>
      </c>
      <c r="BD172" s="24" t="inlineStr">
        <is>
          <t>95b84332c75d2ce54036eb8de6ada9c78d0f80228c50825c0347281a8b9b49c7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2026-08-09T17:06:46.891600Z</t>
        </is>
      </c>
      <c r="BI172" s="24" t="inlineStr">
        <is>
          <t>["same_event","same_team_same_day","same_league_same_day"]</t>
        </is>
      </c>
      <c r="BJ172" s="25" t="n">
        <v>7.5</v>
      </c>
      <c r="BK172" s="26" t="n">
        <v>111</v>
      </c>
      <c r="BL172" s="27" t="n">
        <v>2.11</v>
      </c>
      <c r="BM172" s="28" t="n">
        <v>0.473934</v>
      </c>
      <c r="BN172" s="28" t="n">
        <v>0.472637</v>
      </c>
      <c r="BO172" s="28" t="n"/>
      <c r="BP172" s="25" t="n"/>
      <c r="BQ172" s="27" t="n">
        <v>2.11</v>
      </c>
      <c r="BR172" s="28" t="n">
        <v>0.475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75db3642ead14736</t>
        </is>
      </c>
      <c r="B173" s="24" t="inlineStr">
        <is>
          <t>2026-08-09T23:32:06.730886Z</t>
        </is>
      </c>
      <c r="C173" s="24" t="inlineStr">
        <is>
          <t>2026-08-09T20:20:00-0400</t>
        </is>
      </c>
      <c r="D173" s="24" t="inlineStr">
        <is>
          <t>401816466</t>
        </is>
      </c>
      <c r="E173" s="24" t="inlineStr">
        <is>
          <t>MLB</t>
        </is>
      </c>
      <c r="F173" s="24" t="inlineStr">
        <is>
          <t>Houston Astros</t>
        </is>
      </c>
      <c r="G173" s="24" t="inlineStr">
        <is>
          <t>San Diego Padres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-111</v>
      </c>
      <c r="M173" s="27" t="n">
        <v>1.900901</v>
      </c>
      <c r="N173" s="28" t="n">
        <v>0.526066</v>
      </c>
      <c r="O173" s="28" t="n">
        <v>0.581468</v>
      </c>
      <c r="P173" s="28" t="n"/>
      <c r="Q173" s="28" t="n">
        <v>0.055402</v>
      </c>
      <c r="R173" s="26" t="n">
        <v>50</v>
      </c>
      <c r="S173" s="29" t="n">
        <v>1.25</v>
      </c>
      <c r="T173" s="24" t="inlineStr">
        <is>
          <t>mlb-elo-trend-lr-v8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7</v>
      </c>
      <c r="Y173" s="25" t="n"/>
      <c r="Z173" s="26" t="n">
        <v>-111</v>
      </c>
      <c r="AA173" s="28" t="n">
        <v>0.525</v>
      </c>
      <c r="AB173" s="28" t="n">
        <v>-0.001066</v>
      </c>
      <c r="AC173" s="30" t="n">
        <v>1.1261</v>
      </c>
      <c r="AD173" s="24" t="inlineStr">
        <is>
          <t>2026-08-10T05:37:37.063782Z</t>
        </is>
      </c>
      <c r="AE173" s="31" t="inlineStr">
        <is>
          <t>Learned LR call at threshold 0.6197; executable ask 0.5250 (aec-mlb-hou-sd-2026-08-09); model edge vs ask +0.0565. NOTE: NO_CALL_STARTER_ERA_GAP_INSUFFICIENT_HISTORY unavailable for this game — defaulted to neutral, other features used normally.</t>
        </is>
      </c>
      <c r="AF173" s="31" t="inlineStr">
        <is>
          <t>Learned model; shadow-qualified via operator override.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NO_CALL_BELOW_LEARNED_CONFIDENCE</t>
        </is>
      </c>
      <c r="AP173" s="24" t="inlineStr">
        <is>
          <t>mlb-hou</t>
        </is>
      </c>
      <c r="AQ173" s="24" t="inlineStr">
        <is>
          <t>Houston Astros</t>
        </is>
      </c>
      <c r="AR173" s="24" t="inlineStr">
        <is>
          <t>Houston Astros</t>
        </is>
      </c>
      <c r="AS173" s="24" t="inlineStr">
        <is>
          <t>mlb-sd</t>
        </is>
      </c>
      <c r="AT173" s="24" t="inlineStr">
        <is>
          <t>San Diego Padres</t>
        </is>
      </c>
      <c r="AU173" s="24" t="inlineStr">
        <is>
          <t>San Diego Padres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3b345499bd6bad9bcf65367a07fe0c668fb5817d4f016a0a865c01d9212fdeb8</t>
        </is>
      </c>
      <c r="BB173" s="24" t="inlineStr">
        <is>
          <t>learned_lr</t>
        </is>
      </c>
      <c r="BC173" s="24" t="inlineStr">
        <is>
          <t>mlb-elo-trend-lr-v8</t>
        </is>
      </c>
      <c r="BD173" s="24" t="inlineStr">
        <is>
          <t>3b345499bd6bad9bcf65367a07fe0c668fb5817d4f016a0a865c01d9212fdeb8</t>
        </is>
      </c>
      <c r="BE173" s="24" t="inlineStr">
        <is>
          <t>30dad56e7c91e24f</t>
        </is>
      </c>
      <c r="BF173" s="24" t="inlineStr">
        <is>
          <t>1</t>
        </is>
      </c>
      <c r="BG173" s="24" t="inlineStr">
        <is>
          <t>mlb-elo-trend-lr-v8</t>
        </is>
      </c>
      <c r="BH173" s="24" t="inlineStr">
        <is>
          <t>2026-08-09T23:31:32.806202Z</t>
        </is>
      </c>
      <c r="BI173" s="24" t="inlineStr">
        <is>
          <t>["same_event","same_team_same_day","same_league_same_day"]</t>
        </is>
      </c>
      <c r="BJ173" s="25" t="n"/>
      <c r="BK173" s="26" t="n">
        <v>-111</v>
      </c>
      <c r="BL173" s="27" t="n">
        <v>1.900901</v>
      </c>
      <c r="BM173" s="28" t="n">
        <v>0.526066</v>
      </c>
      <c r="BN173" s="28" t="n">
        <v>0.522388</v>
      </c>
      <c r="BO173" s="28" t="n"/>
      <c r="BP173" s="25" t="n"/>
      <c r="BQ173" s="27" t="n">
        <v>1.900901</v>
      </c>
      <c r="BR173" s="28" t="n">
        <v>0.525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inlineStr">
        <is>
          <t>0.563819512</t>
        </is>
      </c>
      <c r="CD173" s="24" t="inlineStr">
        <is>
          <t>-0.154623</t>
        </is>
      </c>
      <c r="CE173" s="24" t="inlineStr">
        <is>
          <t>0.945</t>
        </is>
      </c>
      <c r="CF173" s="24" t="inlineStr">
        <is>
          <t>1.0121</t>
        </is>
      </c>
      <c r="CG173" s="24" t="n"/>
      <c r="CH173" s="24" t="n"/>
      <c r="CI173" s="24" t="inlineStr">
        <is>
          <t>NO_CALL_STARTER_ERA_GAP_INSUFFICIENT_HISTORY</t>
        </is>
      </c>
      <c r="CJ173" s="24" t="inlineStr">
        <is>
          <t>-0.339875</t>
        </is>
      </c>
      <c r="CK173" s="24" t="n"/>
      <c r="CL173" s="24" t="inlineStr">
        <is>
          <t>0.312934</t>
        </is>
      </c>
      <c r="CM173" s="24" t="inlineStr">
        <is>
          <t>0.0</t>
        </is>
      </c>
      <c r="CN173" s="24" t="n"/>
      <c r="CO173" s="24" t="n"/>
      <c r="CP173" s="24" t="n"/>
      <c r="CQ173" s="24" t="n"/>
      <c r="CR173" s="24" t="inlineStr">
        <is>
          <t>0.581468</t>
        </is>
      </c>
      <c r="CS173" s="24" t="inlineStr">
        <is>
          <t>True</t>
        </is>
      </c>
    </row>
    <row r="174" ht="36" customHeight="1">
      <c r="A174" s="24" t="inlineStr">
        <is>
          <t>d2c817498bc54597</t>
        </is>
      </c>
      <c r="B174" s="24" t="inlineStr">
        <is>
          <t>2026-08-09T23:32:16.171272Z</t>
        </is>
      </c>
      <c r="C174" s="24" t="inlineStr">
        <is>
          <t>2026-08-10T00:20Z</t>
        </is>
      </c>
      <c r="D174" s="24" t="inlineStr">
        <is>
          <t>401816466</t>
        </is>
      </c>
      <c r="E174" s="24" t="inlineStr">
        <is>
          <t>MLB</t>
        </is>
      </c>
      <c r="F174" s="24" t="inlineStr">
        <is>
          <t>Houston Astros</t>
        </is>
      </c>
      <c r="G174" s="24" t="inlineStr">
        <is>
          <t>San Diego Padres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0.5895359999999999</v>
      </c>
      <c r="P174" s="28" t="n">
        <v>0.05172</v>
      </c>
      <c r="Q174" s="28" t="n">
        <v>-0.050752</v>
      </c>
      <c r="R174" s="26" t="n">
        <v>0</v>
      </c>
      <c r="S174" s="29" t="n">
        <v>1.25</v>
      </c>
      <c r="T174" s="24" t="inlineStr">
        <is>
          <t>measured-edge-margin-v3</t>
        </is>
      </c>
      <c r="U174" s="24" t="inlineStr">
        <is>
          <t>settled</t>
        </is>
      </c>
      <c r="V174" s="24" t="inlineStr">
        <is>
          <t>loss</t>
        </is>
      </c>
      <c r="W174" s="26" t="n">
        <v>2</v>
      </c>
      <c r="X174" s="26" t="n">
        <v>7</v>
      </c>
      <c r="Y174" s="25" t="n">
        <v>1.5</v>
      </c>
      <c r="Z174" s="26" t="n">
        <v>-178</v>
      </c>
      <c r="AA174" s="28" t="n">
        <v>0.64</v>
      </c>
      <c r="AB174" s="28" t="n">
        <v>-0.000288</v>
      </c>
      <c r="AC174" s="30" t="n">
        <v>-1.25</v>
      </c>
      <c r="AD174" s="24" t="inlineStr">
        <is>
          <t>2026-08-10T05:37:38.419846Z</t>
        </is>
      </c>
      <c r="AE174" s="31" t="inlineStr">
        <is>
          <t>Measured Edge Margin: Trend Engine projected 4.24-4.65; raw selected-side p=0.6314, calibrated p=0.5895.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mlb-hou</t>
        </is>
      </c>
      <c r="AQ174" s="24" t="inlineStr">
        <is>
          <t>Houston Astros</t>
        </is>
      </c>
      <c r="AR174" s="24" t="inlineStr">
        <is>
          <t>Houston Astros</t>
        </is>
      </c>
      <c r="AS174" s="24" t="inlineStr">
        <is>
          <t>mlb-sd</t>
        </is>
      </c>
      <c r="AT174" s="24" t="inlineStr">
        <is>
          <t>San Diego Padres</t>
        </is>
      </c>
      <c r="AU174" s="24" t="inlineStr">
        <is>
          <t>San Diego Padres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dd339a2eed50d7d83ab2127837995ddab82e879afd27f5414bb6c1f9cd60ba4c</t>
        </is>
      </c>
      <c r="BB174" s="24" t="inlineStr">
        <is>
          <t>flat_probability_shrinkage_toward_half</t>
        </is>
      </c>
      <c r="BC174" s="24" t="inlineStr">
        <is>
          <t>measured-edge-margin-v3</t>
        </is>
      </c>
      <c r="BD174" s="24" t="inlineStr">
        <is>
          <t>dd339a2eed50d7d83ab2127837995ddab82e879afd27f5414bb6c1f9cd60ba4c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2026-08-09T23:32:16.171272Z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-178</v>
      </c>
      <c r="BL174" s="27" t="n">
        <v>1.561798</v>
      </c>
      <c r="BM174" s="28" t="n">
        <v>0.640288</v>
      </c>
      <c r="BN174" s="28" t="n">
        <v>0.636816</v>
      </c>
      <c r="BO174" s="28" t="n"/>
      <c r="BP174" s="25" t="n"/>
      <c r="BQ174" s="27" t="n">
        <v>1.561798</v>
      </c>
      <c r="BR174" s="28" t="n">
        <v>0.64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481c4ac0eb244f91</t>
        </is>
      </c>
      <c r="B175" s="24" t="inlineStr">
        <is>
          <t>2026-08-09T23:32:16.171272Z</t>
        </is>
      </c>
      <c r="C175" s="24" t="inlineStr">
        <is>
          <t>2026-08-10T00:20Z</t>
        </is>
      </c>
      <c r="D175" s="24" t="inlineStr">
        <is>
          <t>401816466</t>
        </is>
      </c>
      <c r="E175" s="24" t="inlineStr">
        <is>
          <t>MLB</t>
        </is>
      </c>
      <c r="F175" s="24" t="inlineStr">
        <is>
          <t>Houston Astros</t>
        </is>
      </c>
      <c r="G175" s="24" t="inlineStr">
        <is>
          <t>San Diego Padres</t>
        </is>
      </c>
      <c r="H175" s="24" t="inlineStr">
        <is>
          <t>total</t>
        </is>
      </c>
      <c r="I175" s="24" t="inlineStr">
        <is>
          <t>over</t>
        </is>
      </c>
      <c r="J175" s="25" t="n">
        <v>8.5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0.5072410000000001</v>
      </c>
      <c r="P175" s="28" t="n">
        <v>0.05172</v>
      </c>
      <c r="Q175" s="28" t="n">
        <v>-0.048315</v>
      </c>
      <c r="R175" s="26" t="n">
        <v>0</v>
      </c>
      <c r="S175" s="29" t="n">
        <v>1</v>
      </c>
      <c r="T175" s="24" t="inlineStr">
        <is>
          <t>measured-edge-totals-v3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7</v>
      </c>
      <c r="Y175" s="25" t="n">
        <v>8.5</v>
      </c>
      <c r="Z175" s="26" t="n">
        <v>-125</v>
      </c>
      <c r="AA175" s="28" t="n">
        <v>0.555</v>
      </c>
      <c r="AB175" s="28" t="n">
        <v>-0.000556</v>
      </c>
      <c r="AC175" s="30" t="n">
        <v>0.8</v>
      </c>
      <c r="AD175" s="24" t="inlineStr">
        <is>
          <t>2026-08-10T05:37:39.772040Z</t>
        </is>
      </c>
      <c r="AE175" s="31" t="inlineStr">
        <is>
          <t>Measured Edge Totals: Trend Engine projected 4.24-4.65; raw selected-side p=0.5058, calibrated p=0.5072.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mlb-hou</t>
        </is>
      </c>
      <c r="AQ175" s="24" t="inlineStr">
        <is>
          <t>Houston Astros</t>
        </is>
      </c>
      <c r="AR175" s="24" t="inlineStr">
        <is>
          <t>Houston Astros</t>
        </is>
      </c>
      <c r="AS175" s="24" t="inlineStr">
        <is>
          <t>mlb-sd</t>
        </is>
      </c>
      <c r="AT175" s="24" t="inlineStr">
        <is>
          <t>San Diego Padres</t>
        </is>
      </c>
      <c r="AU175" s="24" t="inlineStr">
        <is>
          <t>San Diego Padres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95b84332c75d2ce54036eb8de6ada9c78d0f80228c50825c0347281a8b9b49c7</t>
        </is>
      </c>
      <c r="BB175" s="24" t="inlineStr">
        <is>
          <t>flat_probability_shrinkage_toward_half</t>
        </is>
      </c>
      <c r="BC175" s="24" t="inlineStr">
        <is>
          <t>measured-edge-totals-v3</t>
        </is>
      </c>
      <c r="BD175" s="24" t="inlineStr">
        <is>
          <t>95b84332c75d2ce54036eb8de6ada9c78d0f80228c50825c0347281a8b9b49c7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2026-08-09T23:32:16.171272Z</t>
        </is>
      </c>
      <c r="BI175" s="24" t="inlineStr">
        <is>
          <t>["same_event","same_team_same_day","same_league_same_day"]</t>
        </is>
      </c>
      <c r="BJ175" s="25" t="n">
        <v>8.5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2e34b3d18e2a4eb5</t>
        </is>
      </c>
      <c r="B176" s="24" t="inlineStr">
        <is>
          <t>2026-08-10T16:34:47.251195Z</t>
        </is>
      </c>
      <c r="C176" s="24" t="inlineStr">
        <is>
          <t>2026-08-10T19:07:00-0400</t>
        </is>
      </c>
      <c r="D176" s="24" t="inlineStr">
        <is>
          <t>401816469</t>
        </is>
      </c>
      <c r="E176" s="24" t="inlineStr">
        <is>
          <t>MLB</t>
        </is>
      </c>
      <c r="F176" s="24" t="inlineStr">
        <is>
          <t>Boston Red Sox</t>
        </is>
      </c>
      <c r="G176" s="24" t="inlineStr">
        <is>
          <t>Toronto Blue Jays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-147</v>
      </c>
      <c r="M176" s="27" t="n">
        <v>1.680272</v>
      </c>
      <c r="N176" s="28" t="n">
        <v>0.5951419999999999</v>
      </c>
      <c r="O176" s="28" t="n">
        <v>0.561708</v>
      </c>
      <c r="P176" s="28" t="n"/>
      <c r="Q176" s="28" t="n">
        <v>-0.033434</v>
      </c>
      <c r="R176" s="26" t="n">
        <v>5</v>
      </c>
      <c r="S176" s="29" t="n">
        <v>1</v>
      </c>
      <c r="T176" s="24" t="inlineStr">
        <is>
          <t>mlb-elo-trend-lr-v8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2</v>
      </c>
      <c r="Y176" s="25" t="n"/>
      <c r="Z176" s="26" t="n">
        <v>-147</v>
      </c>
      <c r="AA176" s="28" t="n">
        <v>0.595</v>
      </c>
      <c r="AB176" s="28" t="n">
        <v>-0.000142</v>
      </c>
      <c r="AC176" s="30" t="n">
        <v>-1</v>
      </c>
      <c r="AD176" s="24" t="inlineStr">
        <is>
          <t>2026-08-11T13:06:17.470676Z</t>
        </is>
      </c>
      <c r="AE176" s="31" t="inlineStr">
        <is>
          <t>Learned LR call at threshold 0.6197; executable ask 0.5950 (aec-mlb-bos-tor-2026-08-10); model edge vs ask -0.0333.</t>
        </is>
      </c>
      <c r="AF176" s="31" t="inlineStr">
        <is>
          <t>Learned model; shadow-qualified via operator override.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NO_CALL_BELOW_LEARNED_CONFIDENCE</t>
        </is>
      </c>
      <c r="AP176" s="24" t="inlineStr">
        <is>
          <t>mlb-bos</t>
        </is>
      </c>
      <c r="AQ176" s="24" t="inlineStr">
        <is>
          <t>Boston Red Sox</t>
        </is>
      </c>
      <c r="AR176" s="24" t="inlineStr">
        <is>
          <t>Boston Red Sox</t>
        </is>
      </c>
      <c r="AS176" s="24" t="inlineStr">
        <is>
          <t>mlb-tor</t>
        </is>
      </c>
      <c r="AT176" s="24" t="inlineStr">
        <is>
          <t>Toronto Blue Jays</t>
        </is>
      </c>
      <c r="AU176" s="24" t="inlineStr">
        <is>
          <t>Toronto Blue Jays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3b345499bd6bad9bcf65367a07fe0c668fb5817d4f016a0a865c01d9212fdeb8</t>
        </is>
      </c>
      <c r="BB176" s="24" t="inlineStr">
        <is>
          <t>learned_lr</t>
        </is>
      </c>
      <c r="BC176" s="24" t="inlineStr">
        <is>
          <t>mlb-elo-trend-lr-v8</t>
        </is>
      </c>
      <c r="BD176" s="24" t="inlineStr">
        <is>
          <t>3b345499bd6bad9bcf65367a07fe0c668fb5817d4f016a0a865c01d9212fdeb8</t>
        </is>
      </c>
      <c r="BE176" s="24" t="inlineStr">
        <is>
          <t>7b94144f929eaecd</t>
        </is>
      </c>
      <c r="BF176" s="24" t="inlineStr">
        <is>
          <t>1</t>
        </is>
      </c>
      <c r="BG176" s="24" t="inlineStr">
        <is>
          <t>mlb-elo-trend-lr-v8</t>
        </is>
      </c>
      <c r="BH176" s="24" t="inlineStr">
        <is>
          <t>2026-08-10T16:34:07.887258Z</t>
        </is>
      </c>
      <c r="BI176" s="24" t="inlineStr">
        <is>
          <t>["same_event","same_team_same_day","same_league_same_day"]</t>
        </is>
      </c>
      <c r="BJ176" s="25" t="n"/>
      <c r="BK176" s="26" t="n">
        <v>-147</v>
      </c>
      <c r="BL176" s="27" t="n">
        <v>1.680272</v>
      </c>
      <c r="BM176" s="28" t="n">
        <v>0.5951419999999999</v>
      </c>
      <c r="BN176" s="28" t="n">
        <v>0.59204</v>
      </c>
      <c r="BO176" s="28" t="n"/>
      <c r="BP176" s="25" t="n"/>
      <c r="BQ176" s="27" t="n">
        <v>1.680272</v>
      </c>
      <c r="BR176" s="28" t="n">
        <v>0.595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inlineStr">
        <is>
          <t>0.4377663455</t>
        </is>
      </c>
      <c r="CD176" s="24" t="inlineStr">
        <is>
          <t>-0.118304</t>
        </is>
      </c>
      <c r="CE176" s="24" t="inlineStr">
        <is>
          <t>1.019</t>
        </is>
      </c>
      <c r="CF176" s="24" t="inlineStr">
        <is>
          <t>1.0</t>
        </is>
      </c>
      <c r="CG176" s="24" t="n"/>
      <c r="CH176" s="24" t="n"/>
      <c r="CI176" s="24" t="n"/>
      <c r="CJ176" s="24" t="inlineStr">
        <is>
          <t>0.716568</t>
        </is>
      </c>
      <c r="CK176" s="24" t="n"/>
      <c r="CL176" s="24" t="inlineStr">
        <is>
          <t>0.103416</t>
        </is>
      </c>
      <c r="CM176" s="24" t="inlineStr">
        <is>
          <t>5.1383</t>
        </is>
      </c>
      <c r="CN176" s="24" t="n"/>
      <c r="CO176" s="24" t="n"/>
      <c r="CP176" s="24" t="n"/>
      <c r="CQ176" s="24" t="n"/>
      <c r="CR176" s="24" t="inlineStr">
        <is>
          <t>0.561708</t>
        </is>
      </c>
      <c r="CS176" s="24" t="inlineStr">
        <is>
          <t>False</t>
        </is>
      </c>
    </row>
    <row r="177" ht="36" customHeight="1">
      <c r="A177" s="24" t="inlineStr">
        <is>
          <t>4316d6019ff242a6</t>
        </is>
      </c>
      <c r="B177" s="24" t="inlineStr">
        <is>
          <t>2026-08-10T16:34:47.251195Z</t>
        </is>
      </c>
      <c r="C177" s="24" t="inlineStr">
        <is>
          <t>2026-08-10T19:15:00-0400</t>
        </is>
      </c>
      <c r="D177" s="24" t="inlineStr">
        <is>
          <t>401816470</t>
        </is>
      </c>
      <c r="E177" s="24" t="inlineStr">
        <is>
          <t>MLB</t>
        </is>
      </c>
      <c r="F177" s="24" t="inlineStr">
        <is>
          <t>New York Mets</t>
        </is>
      </c>
      <c r="G177" s="24" t="inlineStr">
        <is>
          <t>Atlanta Braves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-135</v>
      </c>
      <c r="M177" s="27" t="n">
        <v>1.740741</v>
      </c>
      <c r="N177" s="28" t="n">
        <v>0.574468</v>
      </c>
      <c r="O177" s="28" t="n">
        <v>0.609141</v>
      </c>
      <c r="P177" s="28" t="n"/>
      <c r="Q177" s="28" t="n">
        <v>0.034673</v>
      </c>
      <c r="R177" s="26" t="n">
        <v>39</v>
      </c>
      <c r="S177" s="29" t="n">
        <v>1.5</v>
      </c>
      <c r="T177" s="24" t="inlineStr">
        <is>
          <t>mlb-elo-trend-lr-v8</t>
        </is>
      </c>
      <c r="U177" s="24" t="inlineStr">
        <is>
          <t>settled</t>
        </is>
      </c>
      <c r="V177" s="24" t="inlineStr">
        <is>
          <t>loss</t>
        </is>
      </c>
      <c r="W177" s="26" t="n">
        <v>8</v>
      </c>
      <c r="X177" s="26" t="n">
        <v>5</v>
      </c>
      <c r="Y177" s="25" t="n"/>
      <c r="Z177" s="26" t="n">
        <v>-135</v>
      </c>
      <c r="AA177" s="28" t="n">
        <v>0.575</v>
      </c>
      <c r="AB177" s="28" t="n">
        <v>0.000532</v>
      </c>
      <c r="AC177" s="30" t="n">
        <v>-1.5</v>
      </c>
      <c r="AD177" s="24" t="inlineStr">
        <is>
          <t>2026-08-11T13:06:19.011892Z</t>
        </is>
      </c>
      <c r="AE177" s="31" t="inlineStr">
        <is>
          <t>Learned LR call at threshold 0.6197; executable ask 0.5750 (aec-mlb-nym-atl-2026-08-10); model edge vs ask +0.0341.</t>
        </is>
      </c>
      <c r="AF177" s="31" t="inlineStr">
        <is>
          <t>Learned model; shadow-qualified via operator override.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NO_CALL_BELOW_LEARNED_CONFIDENCE</t>
        </is>
      </c>
      <c r="AP177" s="24" t="inlineStr">
        <is>
          <t>mlb-nym</t>
        </is>
      </c>
      <c r="AQ177" s="24" t="inlineStr">
        <is>
          <t>New York Mets</t>
        </is>
      </c>
      <c r="AR177" s="24" t="inlineStr">
        <is>
          <t>New York Mets</t>
        </is>
      </c>
      <c r="AS177" s="24" t="inlineStr">
        <is>
          <t>mlb-atl</t>
        </is>
      </c>
      <c r="AT177" s="24" t="inlineStr">
        <is>
          <t>Atlanta Braves</t>
        </is>
      </c>
      <c r="AU177" s="24" t="inlineStr">
        <is>
          <t>Atlanta Braves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3b345499bd6bad9bcf65367a07fe0c668fb5817d4f016a0a865c01d9212fdeb8</t>
        </is>
      </c>
      <c r="BB177" s="24" t="inlineStr">
        <is>
          <t>learned_lr</t>
        </is>
      </c>
      <c r="BC177" s="24" t="inlineStr">
        <is>
          <t>mlb-elo-trend-lr-v8</t>
        </is>
      </c>
      <c r="BD177" s="24" t="inlineStr">
        <is>
          <t>3b345499bd6bad9bcf65367a07fe0c668fb5817d4f016a0a865c01d9212fdeb8</t>
        </is>
      </c>
      <c r="BE177" s="24" t="inlineStr">
        <is>
          <t>584378ae06368f2c</t>
        </is>
      </c>
      <c r="BF177" s="24" t="inlineStr">
        <is>
          <t>1</t>
        </is>
      </c>
      <c r="BG177" s="24" t="inlineStr">
        <is>
          <t>mlb-elo-trend-lr-v8</t>
        </is>
      </c>
      <c r="BH177" s="24" t="inlineStr">
        <is>
          <t>2026-08-10T16:34:08.464531Z</t>
        </is>
      </c>
      <c r="BI177" s="24" t="inlineStr">
        <is>
          <t>["same_event","same_team_same_day","same_league_same_day"]</t>
        </is>
      </c>
      <c r="BJ177" s="25" t="n"/>
      <c r="BK177" s="26" t="n">
        <v>-135</v>
      </c>
      <c r="BL177" s="27" t="n">
        <v>1.740741</v>
      </c>
      <c r="BM177" s="28" t="n">
        <v>0.574468</v>
      </c>
      <c r="BN177" s="28" t="n">
        <v>0.572139</v>
      </c>
      <c r="BO177" s="28" t="n"/>
      <c r="BP177" s="25" t="n"/>
      <c r="BQ177" s="27" t="n">
        <v>1.740741</v>
      </c>
      <c r="BR177" s="28" t="n">
        <v>0.575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inlineStr">
        <is>
          <t>0.6228305274</t>
        </is>
      </c>
      <c r="CD177" s="24" t="inlineStr">
        <is>
          <t>-1.673199</t>
        </is>
      </c>
      <c r="CE177" s="24" t="inlineStr">
        <is>
          <t>0.929</t>
        </is>
      </c>
      <c r="CF177" s="24" t="inlineStr">
        <is>
          <t>1.0214</t>
        </is>
      </c>
      <c r="CG177" s="24" t="n"/>
      <c r="CH177" s="24" t="n"/>
      <c r="CI177" s="24" t="n"/>
      <c r="CJ177" s="24" t="inlineStr">
        <is>
          <t>1.116689</t>
        </is>
      </c>
      <c r="CK177" s="24" t="n"/>
      <c r="CL177" s="24" t="inlineStr">
        <is>
          <t>0.224133</t>
        </is>
      </c>
      <c r="CM177" s="24" t="inlineStr">
        <is>
          <t>5.28</t>
        </is>
      </c>
      <c r="CN177" s="24" t="n"/>
      <c r="CO177" s="24" t="n"/>
      <c r="CP177" s="24" t="n"/>
      <c r="CQ177" s="24" t="n"/>
      <c r="CR177" s="24" t="inlineStr">
        <is>
          <t>0.609141</t>
        </is>
      </c>
      <c r="CS177" s="24" t="inlineStr">
        <is>
          <t>True</t>
        </is>
      </c>
    </row>
    <row r="178" ht="36" customHeight="1">
      <c r="A178" s="24" t="inlineStr">
        <is>
          <t>ddde55afae6e4592</t>
        </is>
      </c>
      <c r="B178" s="24" t="inlineStr">
        <is>
          <t>2026-08-10T16:34:47.251195Z</t>
        </is>
      </c>
      <c r="C178" s="24" t="inlineStr">
        <is>
          <t>2026-08-10T19:40:00-0400</t>
        </is>
      </c>
      <c r="D178" s="24" t="inlineStr">
        <is>
          <t>401816471</t>
        </is>
      </c>
      <c r="E178" s="24" t="inlineStr">
        <is>
          <t>MLB</t>
        </is>
      </c>
      <c r="F178" s="24" t="inlineStr">
        <is>
          <t>Baltimore Orioles</t>
        </is>
      </c>
      <c r="G178" s="24" t="inlineStr">
        <is>
          <t>Minnesota Twins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-108</v>
      </c>
      <c r="M178" s="27" t="n">
        <v>1.925926</v>
      </c>
      <c r="N178" s="28" t="n">
        <v>0.519231</v>
      </c>
      <c r="O178" s="28" t="n">
        <v>0.5149629999999999</v>
      </c>
      <c r="P178" s="28" t="n"/>
      <c r="Q178" s="28" t="n">
        <v>-0.004268</v>
      </c>
      <c r="R178" s="26" t="n">
        <v>19</v>
      </c>
      <c r="S178" s="29" t="n">
        <v>1</v>
      </c>
      <c r="T178" s="24" t="inlineStr">
        <is>
          <t>mlb-elo-trend-lr-v8</t>
        </is>
      </c>
      <c r="U178" s="24" t="inlineStr">
        <is>
          <t>settled</t>
        </is>
      </c>
      <c r="V178" s="24" t="inlineStr">
        <is>
          <t>loss</t>
        </is>
      </c>
      <c r="W178" s="26" t="n">
        <v>5</v>
      </c>
      <c r="X178" s="26" t="n">
        <v>9</v>
      </c>
      <c r="Y178" s="25" t="n"/>
      <c r="Z178" s="26" t="n">
        <v>-108</v>
      </c>
      <c r="AA178" s="28" t="n">
        <v>0.52</v>
      </c>
      <c r="AB178" s="28" t="n">
        <v>0.000769</v>
      </c>
      <c r="AC178" s="30" t="n">
        <v>-1</v>
      </c>
      <c r="AD178" s="24" t="inlineStr">
        <is>
          <t>2026-08-11T13:06:20.501771Z</t>
        </is>
      </c>
      <c r="AE178" s="31" t="inlineStr">
        <is>
          <t>Learned LR call at threshold 0.6197; executable ask 0.5200 (aec-mlb-bal-min-2026-08-10); model edge vs ask -0.0050.</t>
        </is>
      </c>
      <c r="AF178" s="31" t="inlineStr">
        <is>
          <t>Learned model; shadow-qualified via operator override.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NO_CALL_BELOW_LEARNED_CONFIDENCE</t>
        </is>
      </c>
      <c r="AP178" s="24" t="inlineStr">
        <is>
          <t>mlb-bal</t>
        </is>
      </c>
      <c r="AQ178" s="24" t="inlineStr">
        <is>
          <t>Baltimore Orioles</t>
        </is>
      </c>
      <c r="AR178" s="24" t="inlineStr">
        <is>
          <t>Baltimore Orioles</t>
        </is>
      </c>
      <c r="AS178" s="24" t="inlineStr">
        <is>
          <t>mlb-min</t>
        </is>
      </c>
      <c r="AT178" s="24" t="inlineStr">
        <is>
          <t>Minnesota Twins</t>
        </is>
      </c>
      <c r="AU178" s="24" t="inlineStr">
        <is>
          <t>Minnesota Twins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3b345499bd6bad9bcf65367a07fe0c668fb5817d4f016a0a865c01d9212fdeb8</t>
        </is>
      </c>
      <c r="BB178" s="24" t="inlineStr">
        <is>
          <t>learned_lr</t>
        </is>
      </c>
      <c r="BC178" s="24" t="inlineStr">
        <is>
          <t>mlb-elo-trend-lr-v8</t>
        </is>
      </c>
      <c r="BD178" s="24" t="inlineStr">
        <is>
          <t>3b345499bd6bad9bcf65367a07fe0c668fb5817d4f016a0a865c01d9212fdeb8</t>
        </is>
      </c>
      <c r="BE178" s="24" t="inlineStr">
        <is>
          <t>bc53fc4bb15a17f0</t>
        </is>
      </c>
      <c r="BF178" s="24" t="inlineStr">
        <is>
          <t>1</t>
        </is>
      </c>
      <c r="BG178" s="24" t="inlineStr">
        <is>
          <t>mlb-elo-trend-lr-v8</t>
        </is>
      </c>
      <c r="BH178" s="24" t="inlineStr">
        <is>
          <t>2026-08-10T16:34:08.962538Z</t>
        </is>
      </c>
      <c r="BI178" s="24" t="inlineStr">
        <is>
          <t>["same_event","same_team_same_day","same_league_same_day"]</t>
        </is>
      </c>
      <c r="BJ178" s="25" t="n"/>
      <c r="BK178" s="26" t="n">
        <v>-108</v>
      </c>
      <c r="BL178" s="27" t="n">
        <v>1.925926</v>
      </c>
      <c r="BM178" s="28" t="n">
        <v>0.519231</v>
      </c>
      <c r="BN178" s="28" t="n">
        <v>0.517413</v>
      </c>
      <c r="BO178" s="28" t="n"/>
      <c r="BP178" s="25" t="n"/>
      <c r="BQ178" s="27" t="n">
        <v>1.925926</v>
      </c>
      <c r="BR178" s="28" t="n">
        <v>0.52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inlineStr">
        <is>
          <t>0.5081826828</t>
        </is>
      </c>
      <c r="CD178" s="24" t="inlineStr">
        <is>
          <t>0.047524</t>
        </is>
      </c>
      <c r="CE178" s="24" t="inlineStr">
        <is>
          <t>1.037</t>
        </is>
      </c>
      <c r="CF178" s="24" t="inlineStr">
        <is>
          <t>1.0173</t>
        </is>
      </c>
      <c r="CG178" s="24" t="n"/>
      <c r="CH178" s="24" t="n"/>
      <c r="CI178" s="24" t="n"/>
      <c r="CJ178" s="24" t="inlineStr">
        <is>
          <t>0.60956</t>
        </is>
      </c>
      <c r="CK178" s="24" t="n"/>
      <c r="CL178" s="24" t="inlineStr">
        <is>
          <t>-0.255423</t>
        </is>
      </c>
      <c r="CM178" s="24" t="inlineStr">
        <is>
          <t>2.2908</t>
        </is>
      </c>
      <c r="CN178" s="24" t="n"/>
      <c r="CO178" s="24" t="n"/>
      <c r="CP178" s="24" t="n"/>
      <c r="CQ178" s="24" t="n"/>
      <c r="CR178" s="24" t="inlineStr">
        <is>
          <t>0.514963</t>
        </is>
      </c>
      <c r="CS178" s="24" t="inlineStr">
        <is>
          <t>False</t>
        </is>
      </c>
    </row>
    <row r="179" ht="36" customHeight="1">
      <c r="A179" s="24" t="inlineStr">
        <is>
          <t>584b55441f5749ab</t>
        </is>
      </c>
      <c r="B179" s="24" t="inlineStr">
        <is>
          <t>2026-08-10T16:34:47.251195Z</t>
        </is>
      </c>
      <c r="C179" s="24" t="inlineStr">
        <is>
          <t>2026-08-10T19:45:00-0400</t>
        </is>
      </c>
      <c r="D179" s="24" t="inlineStr">
        <is>
          <t>401816472</t>
        </is>
      </c>
      <c r="E179" s="24" t="inlineStr">
        <is>
          <t>MLB</t>
        </is>
      </c>
      <c r="F179" s="24" t="inlineStr">
        <is>
          <t>Philadelphia Phillies</t>
        </is>
      </c>
      <c r="G179" s="24" t="inlineStr">
        <is>
          <t>St. Louis Cardinals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108</v>
      </c>
      <c r="M179" s="27" t="n">
        <v>2.08</v>
      </c>
      <c r="N179" s="28" t="n">
        <v>0.480769</v>
      </c>
      <c r="O179" s="28" t="n">
        <v>0.519238</v>
      </c>
      <c r="P179" s="28" t="n"/>
      <c r="Q179" s="28" t="n">
        <v>0.038469</v>
      </c>
      <c r="R179" s="26" t="n">
        <v>41</v>
      </c>
      <c r="S179" s="29" t="n">
        <v>1</v>
      </c>
      <c r="T179" s="24" t="inlineStr">
        <is>
          <t>mlb-elo-trend-lr-v8</t>
        </is>
      </c>
      <c r="U179" s="24" t="inlineStr">
        <is>
          <t>settled</t>
        </is>
      </c>
      <c r="V179" s="24" t="inlineStr">
        <is>
          <t>loss</t>
        </is>
      </c>
      <c r="W179" s="26" t="n">
        <v>6</v>
      </c>
      <c r="X179" s="26" t="n">
        <v>5</v>
      </c>
      <c r="Y179" s="25" t="n"/>
      <c r="Z179" s="26" t="n">
        <v>108</v>
      </c>
      <c r="AA179" s="28" t="n">
        <v>0.48</v>
      </c>
      <c r="AB179" s="28" t="n">
        <v>-0.000769</v>
      </c>
      <c r="AC179" s="30" t="n">
        <v>-1</v>
      </c>
      <c r="AD179" s="24" t="inlineStr">
        <is>
          <t>2026-08-11T13:06:22.040506Z</t>
        </is>
      </c>
      <c r="AE179" s="31" t="inlineStr">
        <is>
          <t>Learned LR call at threshold 0.6197; executable ask 0.4800 (aec-mlb-phi-stl-2026-08-10); model edge vs ask +0.0392.</t>
        </is>
      </c>
      <c r="AF179" s="31" t="inlineStr">
        <is>
          <t>Learned model; shadow-qualified via operator override.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NO_CALL_BELOW_LEARNED_CONFIDENCE</t>
        </is>
      </c>
      <c r="AP179" s="24" t="inlineStr">
        <is>
          <t>mlb-phi</t>
        </is>
      </c>
      <c r="AQ179" s="24" t="inlineStr">
        <is>
          <t>Philadelphia Phillies</t>
        </is>
      </c>
      <c r="AR179" s="24" t="inlineStr">
        <is>
          <t>Philadelphia Phillies</t>
        </is>
      </c>
      <c r="AS179" s="24" t="inlineStr">
        <is>
          <t>mlb-stl</t>
        </is>
      </c>
      <c r="AT179" s="24" t="inlineStr">
        <is>
          <t>St. Louis Cardinals</t>
        </is>
      </c>
      <c r="AU179" s="24" t="inlineStr">
        <is>
          <t>St. Louis Cardinals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3b345499bd6bad9bcf65367a07fe0c668fb5817d4f016a0a865c01d9212fdeb8</t>
        </is>
      </c>
      <c r="BB179" s="24" t="inlineStr">
        <is>
          <t>learned_lr</t>
        </is>
      </c>
      <c r="BC179" s="24" t="inlineStr">
        <is>
          <t>mlb-elo-trend-lr-v8</t>
        </is>
      </c>
      <c r="BD179" s="24" t="inlineStr">
        <is>
          <t>3b345499bd6bad9bcf65367a07fe0c668fb5817d4f016a0a865c01d9212fdeb8</t>
        </is>
      </c>
      <c r="BE179" s="24" t="inlineStr">
        <is>
          <t>279b87cdfcc5c765</t>
        </is>
      </c>
      <c r="BF179" s="24" t="inlineStr">
        <is>
          <t>1</t>
        </is>
      </c>
      <c r="BG179" s="24" t="inlineStr">
        <is>
          <t>mlb-elo-trend-lr-v8</t>
        </is>
      </c>
      <c r="BH179" s="24" t="inlineStr">
        <is>
          <t>2026-08-10T16:34:09.701942Z</t>
        </is>
      </c>
      <c r="BI179" s="24" t="inlineStr">
        <is>
          <t>["same_event","same_team_same_day","same_league_same_day"]</t>
        </is>
      </c>
      <c r="BJ179" s="25" t="n"/>
      <c r="BK179" s="26" t="n">
        <v>108</v>
      </c>
      <c r="BL179" s="27" t="n">
        <v>2.08</v>
      </c>
      <c r="BM179" s="28" t="n">
        <v>0.480769</v>
      </c>
      <c r="BN179" s="28" t="n">
        <v>0.477612</v>
      </c>
      <c r="BO179" s="28" t="n"/>
      <c r="BP179" s="25" t="n"/>
      <c r="BQ179" s="27" t="n">
        <v>2.08</v>
      </c>
      <c r="BR179" s="28" t="n">
        <v>0.48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inlineStr">
        <is>
          <t>0.4649057818</t>
        </is>
      </c>
      <c r="CD179" s="24" t="inlineStr">
        <is>
          <t>-0.555889</t>
        </is>
      </c>
      <c r="CE179" s="24" t="inlineStr">
        <is>
          <t>0.946</t>
        </is>
      </c>
      <c r="CF179" s="24" t="inlineStr">
        <is>
          <t>1.0278</t>
        </is>
      </c>
      <c r="CG179" s="24" t="n"/>
      <c r="CH179" s="24" t="n"/>
      <c r="CI179" s="24" t="n"/>
      <c r="CJ179" s="24" t="inlineStr">
        <is>
          <t>0.601279</t>
        </is>
      </c>
      <c r="CK179" s="24" t="n"/>
      <c r="CL179" s="24" t="inlineStr">
        <is>
          <t>0.177141</t>
        </is>
      </c>
      <c r="CM179" s="24" t="inlineStr">
        <is>
          <t>-3.4252</t>
        </is>
      </c>
      <c r="CN179" s="24" t="n"/>
      <c r="CO179" s="24" t="n"/>
      <c r="CP179" s="24" t="n"/>
      <c r="CQ179" s="24" t="n"/>
      <c r="CR179" s="24" t="inlineStr">
        <is>
          <t>0.519238</t>
        </is>
      </c>
      <c r="CS179" s="24" t="inlineStr">
        <is>
          <t>True</t>
        </is>
      </c>
    </row>
    <row r="180" ht="36" customHeight="1">
      <c r="A180" s="24" t="inlineStr">
        <is>
          <t>463d0cd9fcca4c6c</t>
        </is>
      </c>
      <c r="B180" s="24" t="inlineStr">
        <is>
          <t>2026-08-10T16:34:47.251195Z</t>
        </is>
      </c>
      <c r="C180" s="24" t="inlineStr">
        <is>
          <t>2026-08-10T21:38:00-0400</t>
        </is>
      </c>
      <c r="D180" s="24" t="inlineStr">
        <is>
          <t>401816478</t>
        </is>
      </c>
      <c r="E180" s="24" t="inlineStr">
        <is>
          <t>MLB</t>
        </is>
      </c>
      <c r="F180" s="24" t="inlineStr">
        <is>
          <t>Texas Rangers</t>
        </is>
      </c>
      <c r="G180" s="24" t="inlineStr">
        <is>
          <t>Los Angeles Angels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-106</v>
      </c>
      <c r="M180" s="27" t="n">
        <v>1.943396</v>
      </c>
      <c r="N180" s="28" t="n">
        <v>0.514563</v>
      </c>
      <c r="O180" s="28" t="n">
        <v>0.514748</v>
      </c>
      <c r="P180" s="28" t="n"/>
      <c r="Q180" s="28" t="n">
        <v>0.000185</v>
      </c>
      <c r="R180" s="26" t="n">
        <v>21</v>
      </c>
      <c r="S180" s="29" t="n">
        <v>1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win</t>
        </is>
      </c>
      <c r="W180" s="26" t="n">
        <v>4</v>
      </c>
      <c r="X180" s="26" t="n">
        <v>1</v>
      </c>
      <c r="Y180" s="25" t="n"/>
      <c r="Z180" s="26" t="n">
        <v>-106</v>
      </c>
      <c r="AA180" s="28" t="n">
        <v>0.515</v>
      </c>
      <c r="AB180" s="28" t="n">
        <v>0.000437</v>
      </c>
      <c r="AC180" s="30" t="n">
        <v>0.9434</v>
      </c>
      <c r="AD180" s="24" t="inlineStr">
        <is>
          <t>2026-08-11T13:06:23.577013Z</t>
        </is>
      </c>
      <c r="AE180" s="31" t="inlineStr">
        <is>
          <t>Learned LR call at threshold 0.6197; executable ask 0.5150 (aec-mlb-tex-laa-2026-08-10); model edge vs ask -0.0003.</t>
        </is>
      </c>
      <c r="AF180" s="31" t="inlineStr">
        <is>
          <t>Learned model; shadow-qualified via operator override.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mlb-tex</t>
        </is>
      </c>
      <c r="AQ180" s="24" t="inlineStr">
        <is>
          <t>Texas Rangers</t>
        </is>
      </c>
      <c r="AR180" s="24" t="inlineStr">
        <is>
          <t>Texas Rangers</t>
        </is>
      </c>
      <c r="AS180" s="24" t="inlineStr">
        <is>
          <t>mlb-laa</t>
        </is>
      </c>
      <c r="AT180" s="24" t="inlineStr">
        <is>
          <t>Los Angeles Angels</t>
        </is>
      </c>
      <c r="AU180" s="24" t="inlineStr">
        <is>
          <t>Los Angeles Angels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3b345499bd6bad9bcf65367a07fe0c668fb5817d4f016a0a865c01d9212fdeb8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3b345499bd6bad9bcf65367a07fe0c668fb5817d4f016a0a865c01d9212fdeb8</t>
        </is>
      </c>
      <c r="BE180" s="24" t="inlineStr">
        <is>
          <t>f3580953366d2c92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2026-08-10T16:34:10.274997Z</t>
        </is>
      </c>
      <c r="BI180" s="24" t="inlineStr">
        <is>
          <t>["same_event","same_team_same_day","same_league_same_day"]</t>
        </is>
      </c>
      <c r="BJ180" s="25" t="n"/>
      <c r="BK180" s="26" t="n">
        <v>-106</v>
      </c>
      <c r="BL180" s="27" t="n">
        <v>1.943396</v>
      </c>
      <c r="BM180" s="28" t="n">
        <v>0.514563</v>
      </c>
      <c r="BN180" s="28" t="n">
        <v>0.5124379999999999</v>
      </c>
      <c r="BO180" s="28" t="n"/>
      <c r="BP180" s="25" t="n"/>
      <c r="BQ180" s="27" t="n">
        <v>1.943396</v>
      </c>
      <c r="BR180" s="28" t="n">
        <v>0.515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0.4582291828</t>
        </is>
      </c>
      <c r="CD180" s="24" t="inlineStr">
        <is>
          <t>-0.978894</t>
        </is>
      </c>
      <c r="CE180" s="24" t="inlineStr">
        <is>
          <t>1.01</t>
        </is>
      </c>
      <c r="CF180" s="24" t="inlineStr">
        <is>
          <t>1.0049</t>
        </is>
      </c>
      <c r="CG180" s="24" t="n"/>
      <c r="CH180" s="24" t="n"/>
      <c r="CI180" s="24" t="n"/>
      <c r="CJ180" s="24" t="inlineStr">
        <is>
          <t>-1.507588</t>
        </is>
      </c>
      <c r="CK180" s="24" t="n"/>
      <c r="CL180" s="24" t="inlineStr">
        <is>
          <t>0.005227</t>
        </is>
      </c>
      <c r="CM180" s="24" t="inlineStr">
        <is>
          <t>-0.8387</t>
        </is>
      </c>
      <c r="CN180" s="24" t="n"/>
      <c r="CO180" s="24" t="n"/>
      <c r="CP180" s="24" t="n"/>
      <c r="CQ180" s="24" t="n"/>
      <c r="CR180" s="24" t="inlineStr">
        <is>
          <t>0.514748</t>
        </is>
      </c>
      <c r="CS180" s="24" t="inlineStr">
        <is>
          <t>True</t>
        </is>
      </c>
    </row>
    <row r="181" ht="36" customHeight="1">
      <c r="A181" s="24" t="inlineStr">
        <is>
          <t>92755c5e0dc24f80</t>
        </is>
      </c>
      <c r="B181" s="24" t="inlineStr">
        <is>
          <t>2026-08-10T16:34:47.251195Z</t>
        </is>
      </c>
      <c r="C181" s="24" t="inlineStr">
        <is>
          <t>2026-08-10T21:40:00-0400</t>
        </is>
      </c>
      <c r="D181" s="24" t="inlineStr">
        <is>
          <t>401816473</t>
        </is>
      </c>
      <c r="E181" s="24" t="inlineStr">
        <is>
          <t>MLB</t>
        </is>
      </c>
      <c r="F181" s="24" t="inlineStr">
        <is>
          <t>Colorado Rockies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-186</v>
      </c>
      <c r="M181" s="27" t="n">
        <v>1.537634</v>
      </c>
      <c r="N181" s="28" t="n">
        <v>0.65035</v>
      </c>
      <c r="O181" s="28" t="n">
        <v>0.651088</v>
      </c>
      <c r="P181" s="28" t="n"/>
      <c r="Q181" s="28" t="n">
        <v>0.000738</v>
      </c>
      <c r="R181" s="26" t="n">
        <v>22</v>
      </c>
      <c r="S181" s="29" t="n">
        <v>1.75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win</t>
        </is>
      </c>
      <c r="W181" s="26" t="n">
        <v>0</v>
      </c>
      <c r="X181" s="26" t="n">
        <v>9</v>
      </c>
      <c r="Y181" s="25" t="n"/>
      <c r="Z181" s="26" t="n">
        <v>-186</v>
      </c>
      <c r="AA181" s="28" t="n">
        <v>0.65</v>
      </c>
      <c r="AB181" s="28" t="n">
        <v>-0.00035</v>
      </c>
      <c r="AC181" s="30" t="n">
        <v>0.9409</v>
      </c>
      <c r="AD181" s="24" t="inlineStr">
        <is>
          <t>2026-08-11T13:06:25.083618Z</t>
        </is>
      </c>
      <c r="AE181" s="31" t="inlineStr">
        <is>
          <t>Learned LR call at threshold 0.6197; executable ask 0.6500 (aec-mlb-col-az-2026-08-10); model edge vs ask +0.0011.</t>
        </is>
      </c>
      <c r="AF181" s="31" t="inlineStr">
        <is>
          <t>Learned model; shadow-qualified via operator override.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3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mlb-col</t>
        </is>
      </c>
      <c r="AQ181" s="24" t="inlineStr">
        <is>
          <t>Colorado Rockies</t>
        </is>
      </c>
      <c r="AR181" s="24" t="inlineStr">
        <is>
          <t>Colorado Rockies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3b345499bd6bad9bcf65367a07fe0c668fb5817d4f016a0a865c01d9212fdeb8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3b345499bd6bad9bcf65367a07fe0c668fb5817d4f016a0a865c01d9212fdeb8</t>
        </is>
      </c>
      <c r="BE181" s="24" t="inlineStr">
        <is>
          <t>b4a698ea92aeb5d0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2026-08-10T16:34:11.790019Z</t>
        </is>
      </c>
      <c r="BI181" s="24" t="inlineStr">
        <is>
          <t>["same_event","same_team_same_day","same_league_same_day"]</t>
        </is>
      </c>
      <c r="BJ181" s="25" t="n"/>
      <c r="BK181" s="26" t="n">
        <v>-186</v>
      </c>
      <c r="BL181" s="27" t="n">
        <v>1.537634</v>
      </c>
      <c r="BM181" s="28" t="n">
        <v>0.65035</v>
      </c>
      <c r="BN181" s="28" t="n">
        <v>0.646766</v>
      </c>
      <c r="BO181" s="28" t="n"/>
      <c r="BP181" s="25" t="n"/>
      <c r="BQ181" s="27" t="n">
        <v>1.537634</v>
      </c>
      <c r="BR181" s="28" t="n">
        <v>0.65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0.6941730683</t>
        </is>
      </c>
      <c r="CD181" s="24" t="inlineStr">
        <is>
          <t>-0.291055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n"/>
      <c r="CJ181" s="24" t="inlineStr">
        <is>
          <t>1.199176</t>
        </is>
      </c>
      <c r="CK181" s="24" t="n"/>
      <c r="CL181" s="24" t="inlineStr">
        <is>
          <t>0.159831</t>
        </is>
      </c>
      <c r="CM181" s="24" t="inlineStr">
        <is>
          <t>-2.7333</t>
        </is>
      </c>
      <c r="CN181" s="24" t="n"/>
      <c r="CO181" s="24" t="n"/>
      <c r="CP181" s="24" t="n"/>
      <c r="CQ181" s="24" t="n"/>
      <c r="CR181" s="24" t="inlineStr">
        <is>
          <t>0.651088</t>
        </is>
      </c>
      <c r="CS181" s="24" t="inlineStr">
        <is>
          <t>True</t>
        </is>
      </c>
    </row>
    <row r="182" ht="36" customHeight="1">
      <c r="A182" s="24" t="inlineStr">
        <is>
          <t>ef46fed6ccca4985</t>
        </is>
      </c>
      <c r="B182" s="24" t="inlineStr">
        <is>
          <t>2026-08-10T16:34:47.251195Z</t>
        </is>
      </c>
      <c r="C182" s="24" t="inlineStr">
        <is>
          <t>2026-08-10T21:40:00-0400</t>
        </is>
      </c>
      <c r="D182" s="24" t="inlineStr">
        <is>
          <t>401816476</t>
        </is>
      </c>
      <c r="E182" s="24" t="inlineStr">
        <is>
          <t>MLB</t>
        </is>
      </c>
      <c r="F182" s="24" t="inlineStr">
        <is>
          <t>Milwaukee Brewers</t>
        </is>
      </c>
      <c r="G182" s="24" t="inlineStr">
        <is>
          <t>San Diego Padres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-111</v>
      </c>
      <c r="M182" s="27" t="n">
        <v>1.900901</v>
      </c>
      <c r="N182" s="28" t="n">
        <v>0.526066</v>
      </c>
      <c r="O182" s="28" t="n">
        <v>0.515225</v>
      </c>
      <c r="P182" s="28" t="n"/>
      <c r="Q182" s="28" t="n">
        <v>-0.010841</v>
      </c>
      <c r="R182" s="26" t="n">
        <v>16</v>
      </c>
      <c r="S182" s="29" t="n">
        <v>1</v>
      </c>
      <c r="T182" s="24" t="inlineStr">
        <is>
          <t>mlb-elo-trend-lr-v8</t>
        </is>
      </c>
      <c r="U182" s="24" t="inlineStr">
        <is>
          <t>settled</t>
        </is>
      </c>
      <c r="V182" s="24" t="inlineStr">
        <is>
          <t>loss</t>
        </is>
      </c>
      <c r="W182" s="26" t="n">
        <v>2</v>
      </c>
      <c r="X182" s="26" t="n">
        <v>3</v>
      </c>
      <c r="Y182" s="25" t="n"/>
      <c r="Z182" s="26" t="n">
        <v>-111</v>
      </c>
      <c r="AA182" s="28" t="n">
        <v>0.525</v>
      </c>
      <c r="AB182" s="28" t="n">
        <v>-0.001066</v>
      </c>
      <c r="AC182" s="30" t="n">
        <v>-1</v>
      </c>
      <c r="AD182" s="24" t="inlineStr">
        <is>
          <t>2026-08-11T13:06:26.613101Z</t>
        </is>
      </c>
      <c r="AE182" s="31" t="inlineStr">
        <is>
          <t>Learned LR call at threshold 0.6197; executable ask 0.5250 (aec-mlb-mil-sd-2026-08-10); model edge vs ask -0.0098.</t>
        </is>
      </c>
      <c r="AF182" s="31" t="inlineStr">
        <is>
          <t>Learned model; shadow-qualified via operator override.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NO_CALL_BELOW_LEARNED_CONFIDENCE</t>
        </is>
      </c>
      <c r="AP182" s="24" t="inlineStr">
        <is>
          <t>mlb-mil</t>
        </is>
      </c>
      <c r="AQ182" s="24" t="inlineStr">
        <is>
          <t>Milwaukee Brewers</t>
        </is>
      </c>
      <c r="AR182" s="24" t="inlineStr">
        <is>
          <t>Milwaukee Brewers</t>
        </is>
      </c>
      <c r="AS182" s="24" t="inlineStr">
        <is>
          <t>mlb-sd</t>
        </is>
      </c>
      <c r="AT182" s="24" t="inlineStr">
        <is>
          <t>San Diego Padres</t>
        </is>
      </c>
      <c r="AU182" s="24" t="inlineStr">
        <is>
          <t>San Diego Padres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3b345499bd6bad9bcf65367a07fe0c668fb5817d4f016a0a865c01d9212fdeb8</t>
        </is>
      </c>
      <c r="BB182" s="24" t="inlineStr">
        <is>
          <t>learned_lr</t>
        </is>
      </c>
      <c r="BC182" s="24" t="inlineStr">
        <is>
          <t>mlb-elo-trend-lr-v8</t>
        </is>
      </c>
      <c r="BD182" s="24" t="inlineStr">
        <is>
          <t>3b345499bd6bad9bcf65367a07fe0c668fb5817d4f016a0a865c01d9212fdeb8</t>
        </is>
      </c>
      <c r="BE182" s="24" t="inlineStr">
        <is>
          <t>7102e05308173694</t>
        </is>
      </c>
      <c r="BF182" s="24" t="inlineStr">
        <is>
          <t>1</t>
        </is>
      </c>
      <c r="BG182" s="24" t="inlineStr">
        <is>
          <t>mlb-elo-trend-lr-v8</t>
        </is>
      </c>
      <c r="BH182" s="24" t="inlineStr">
        <is>
          <t>2026-08-10T16:34:12.160259Z</t>
        </is>
      </c>
      <c r="BI182" s="24" t="inlineStr">
        <is>
          <t>["same_event","same_team_same_day","same_league_same_day"]</t>
        </is>
      </c>
      <c r="BJ182" s="25" t="n"/>
      <c r="BK182" s="26" t="n">
        <v>-111</v>
      </c>
      <c r="BL182" s="27" t="n">
        <v>1.900901</v>
      </c>
      <c r="BM182" s="28" t="n">
        <v>0.526066</v>
      </c>
      <c r="BN182" s="28" t="n">
        <v>0.522388</v>
      </c>
      <c r="BO182" s="28" t="n"/>
      <c r="BP182" s="25" t="n"/>
      <c r="BQ182" s="27" t="n">
        <v>1.900901</v>
      </c>
      <c r="BR182" s="28" t="n">
        <v>0.525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inlineStr">
        <is>
          <t>0.457612545</t>
        </is>
      </c>
      <c r="CD182" s="24" t="inlineStr">
        <is>
          <t>0.75762</t>
        </is>
      </c>
      <c r="CE182" s="24" t="inlineStr">
        <is>
          <t>0.945</t>
        </is>
      </c>
      <c r="CF182" s="24" t="inlineStr">
        <is>
          <t>1.0034</t>
        </is>
      </c>
      <c r="CG182" s="24" t="n"/>
      <c r="CH182" s="24" t="n"/>
      <c r="CI182" s="24" t="n"/>
      <c r="CJ182" s="24" t="inlineStr">
        <is>
          <t>0.719889</t>
        </is>
      </c>
      <c r="CK182" s="24" t="n"/>
      <c r="CL182" s="24" t="inlineStr">
        <is>
          <t>0.312879</t>
        </is>
      </c>
      <c r="CM182" s="24" t="inlineStr">
        <is>
          <t>2.4538</t>
        </is>
      </c>
      <c r="CN182" s="24" t="n"/>
      <c r="CO182" s="24" t="n"/>
      <c r="CP182" s="24" t="n"/>
      <c r="CQ182" s="24" t="n"/>
      <c r="CR182" s="24" t="inlineStr">
        <is>
          <t>0.515225</t>
        </is>
      </c>
      <c r="CS182" s="24" t="inlineStr">
        <is>
          <t>False</t>
        </is>
      </c>
    </row>
    <row r="183" ht="36" customHeight="1">
      <c r="A183" s="24" t="inlineStr">
        <is>
          <t>2d59680d02aa4835</t>
        </is>
      </c>
      <c r="B183" s="24" t="inlineStr">
        <is>
          <t>2026-08-10T16:34:47.251195Z</t>
        </is>
      </c>
      <c r="C183" s="24" t="inlineStr">
        <is>
          <t>2026-08-10T21:40:00-0400</t>
        </is>
      </c>
      <c r="D183" s="24" t="inlineStr">
        <is>
          <t>401816477</t>
        </is>
      </c>
      <c r="E183" s="24" t="inlineStr">
        <is>
          <t>MLB</t>
        </is>
      </c>
      <c r="F183" s="24" t="inlineStr">
        <is>
          <t>Tampa Bay Rays</t>
        </is>
      </c>
      <c r="G183" s="24" t="inlineStr">
        <is>
          <t>Athletics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-150</v>
      </c>
      <c r="M183" s="27" t="n">
        <v>1.666667</v>
      </c>
      <c r="N183" s="28" t="n">
        <v>0.6</v>
      </c>
      <c r="O183" s="28" t="n">
        <v>0.592719</v>
      </c>
      <c r="P183" s="28" t="n"/>
      <c r="Q183" s="28" t="n">
        <v>-0.007281</v>
      </c>
      <c r="R183" s="26" t="n">
        <v>18</v>
      </c>
      <c r="S183" s="29" t="n">
        <v>1.25</v>
      </c>
      <c r="T183" s="24" t="inlineStr">
        <is>
          <t>mlb-elo-trend-lr-v8</t>
        </is>
      </c>
      <c r="U183" s="24" t="inlineStr">
        <is>
          <t>settled</t>
        </is>
      </c>
      <c r="V183" s="24" t="inlineStr">
        <is>
          <t>win</t>
        </is>
      </c>
      <c r="W183" s="26" t="n">
        <v>10</v>
      </c>
      <c r="X183" s="26" t="n">
        <v>6</v>
      </c>
      <c r="Y183" s="25" t="n"/>
      <c r="Z183" s="26" t="n">
        <v>-150</v>
      </c>
      <c r="AA183" s="28" t="n">
        <v>0.6</v>
      </c>
      <c r="AB183" s="28" t="n">
        <v>0</v>
      </c>
      <c r="AC183" s="30" t="n">
        <v>0.8333</v>
      </c>
      <c r="AD183" s="24" t="inlineStr">
        <is>
          <t>2026-08-11T13:06:28.131044Z</t>
        </is>
      </c>
      <c r="AE183" s="31" t="inlineStr">
        <is>
          <t>Learned LR call at threshold 0.6197; executable ask 0.6000 (aec-mlb-tb-ath-2026-08-10); model edge vs ask -0.0073.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NO_CALL_BELOW_LEARNED_CONFIDENCE</t>
        </is>
      </c>
      <c r="AP183" s="24" t="inlineStr">
        <is>
          <t>mlb-tb</t>
        </is>
      </c>
      <c r="AQ183" s="24" t="inlineStr">
        <is>
          <t>Tampa Bay Rays</t>
        </is>
      </c>
      <c r="AR183" s="24" t="inlineStr">
        <is>
          <t>Tampa Bay Rays</t>
        </is>
      </c>
      <c r="AS183" s="24" t="inlineStr">
        <is>
          <t>mlb-ath</t>
        </is>
      </c>
      <c r="AT183" s="24" t="inlineStr">
        <is>
          <t>Athletics</t>
        </is>
      </c>
      <c r="AU183" s="24" t="inlineStr">
        <is>
          <t>Athletics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3b345499bd6bad9bcf65367a07fe0c668fb5817d4f016a0a865c01d9212fdeb8</t>
        </is>
      </c>
      <c r="BB183" s="24" t="inlineStr">
        <is>
          <t>learned_lr</t>
        </is>
      </c>
      <c r="BC183" s="24" t="inlineStr">
        <is>
          <t>mlb-elo-trend-lr-v8</t>
        </is>
      </c>
      <c r="BD183" s="24" t="inlineStr">
        <is>
          <t>3b345499bd6bad9bcf65367a07fe0c668fb5817d4f016a0a865c01d9212fdeb8</t>
        </is>
      </c>
      <c r="BE183" s="24" t="inlineStr">
        <is>
          <t>e6a8341cfabe4d9c</t>
        </is>
      </c>
      <c r="BF183" s="24" t="inlineStr">
        <is>
          <t>1</t>
        </is>
      </c>
      <c r="BG183" s="24" t="inlineStr">
        <is>
          <t>mlb-elo-trend-lr-v8</t>
        </is>
      </c>
      <c r="BH183" s="24" t="inlineStr">
        <is>
          <t>2026-08-10T16:34:10.792677Z</t>
        </is>
      </c>
      <c r="BI183" s="24" t="inlineStr">
        <is>
          <t>["same_event","same_team_same_day","same_league_same_day"]</t>
        </is>
      </c>
      <c r="BJ183" s="25" t="n"/>
      <c r="BK183" s="26" t="n">
        <v>-150</v>
      </c>
      <c r="BL183" s="27" t="n">
        <v>1.666667</v>
      </c>
      <c r="BM183" s="28" t="n">
        <v>0.6</v>
      </c>
      <c r="BN183" s="28" t="n">
        <v>0.597015</v>
      </c>
      <c r="BO183" s="28" t="n"/>
      <c r="BP183" s="25" t="n"/>
      <c r="BQ183" s="27" t="n">
        <v>1.666667</v>
      </c>
      <c r="BR183" s="28" t="n">
        <v>0.6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inlineStr">
        <is>
          <t>0.4112307727</t>
        </is>
      </c>
      <c r="CD183" s="24" t="inlineStr">
        <is>
          <t>-0.095817</t>
        </is>
      </c>
      <c r="CE183" s="24" t="inlineStr">
        <is>
          <t>1.153</t>
        </is>
      </c>
      <c r="CF183" s="24" t="inlineStr">
        <is>
          <t>1.0174</t>
        </is>
      </c>
      <c r="CG183" s="24" t="n"/>
      <c r="CH183" s="24" t="n"/>
      <c r="CI183" s="24" t="n"/>
      <c r="CJ183" s="24" t="inlineStr">
        <is>
          <t>-0.032045</t>
        </is>
      </c>
      <c r="CK183" s="24" t="n"/>
      <c r="CL183" s="24" t="inlineStr">
        <is>
          <t>0.244647</t>
        </is>
      </c>
      <c r="CM183" s="24" t="inlineStr">
        <is>
          <t>2.0552</t>
        </is>
      </c>
      <c r="CN183" s="24" t="n"/>
      <c r="CO183" s="24" t="n"/>
      <c r="CP183" s="24" t="n"/>
      <c r="CQ183" s="24" t="n"/>
      <c r="CR183" s="24" t="inlineStr">
        <is>
          <t>0.592719</t>
        </is>
      </c>
      <c r="CS183" s="24" t="inlineStr">
        <is>
          <t>False</t>
        </is>
      </c>
    </row>
    <row r="184" ht="36" customHeight="1">
      <c r="A184" s="24" t="inlineStr">
        <is>
          <t>0dd3ab0ce29b4132</t>
        </is>
      </c>
      <c r="B184" s="24" t="inlineStr">
        <is>
          <t>2026-08-10T16:34:47.251195Z</t>
        </is>
      </c>
      <c r="C184" s="24" t="inlineStr">
        <is>
          <t>2026-08-10T21:45:00-0400</t>
        </is>
      </c>
      <c r="D184" s="24" t="inlineStr">
        <is>
          <t>401816474</t>
        </is>
      </c>
      <c r="E184" s="24" t="inlineStr">
        <is>
          <t>MLB</t>
        </is>
      </c>
      <c r="F184" s="24" t="inlineStr">
        <is>
          <t>Houston Astros</t>
        </is>
      </c>
      <c r="G184" s="24" t="inlineStr">
        <is>
          <t>San Francisco Giants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135</v>
      </c>
      <c r="M184" s="27" t="n">
        <v>2.35</v>
      </c>
      <c r="N184" s="28" t="n">
        <v>0.425532</v>
      </c>
      <c r="O184" s="28" t="n">
        <v>0.51644</v>
      </c>
      <c r="P184" s="28" t="n"/>
      <c r="Q184" s="28" t="n">
        <v>0.090908</v>
      </c>
      <c r="R184" s="26" t="n">
        <v>67</v>
      </c>
      <c r="S184" s="29" t="n">
        <v>1</v>
      </c>
      <c r="T184" s="24" t="inlineStr">
        <is>
          <t>mlb-elo-trend-lr-v8</t>
        </is>
      </c>
      <c r="U184" s="24" t="inlineStr">
        <is>
          <t>settled</t>
        </is>
      </c>
      <c r="V184" s="24" t="inlineStr">
        <is>
          <t>loss</t>
        </is>
      </c>
      <c r="W184" s="26" t="n">
        <v>6</v>
      </c>
      <c r="X184" s="26" t="n">
        <v>3</v>
      </c>
      <c r="Y184" s="25" t="n"/>
      <c r="Z184" s="26" t="n">
        <v>135</v>
      </c>
      <c r="AA184" s="28" t="n">
        <v>0.425</v>
      </c>
      <c r="AB184" s="28" t="n">
        <v>-0.000532</v>
      </c>
      <c r="AC184" s="30" t="n">
        <v>-1</v>
      </c>
      <c r="AD184" s="24" t="inlineStr">
        <is>
          <t>2026-08-11T13:06:29.605006Z</t>
        </is>
      </c>
      <c r="AE184" s="31" t="inlineStr">
        <is>
          <t>Learned LR call at threshold 0.6197; executable ask 0.4250 (aec-mlb-hou-sf-2026-08-10); model edge vs ask +0.0914.</t>
        </is>
      </c>
      <c r="AF184" s="31" t="inlineStr">
        <is>
          <t>Learned model; shadow-qualified via operator override.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NO_CALL_BELOW_LEARNED_CONFIDENCE</t>
        </is>
      </c>
      <c r="AP184" s="24" t="inlineStr">
        <is>
          <t>mlb-hou</t>
        </is>
      </c>
      <c r="AQ184" s="24" t="inlineStr">
        <is>
          <t>Houston Astros</t>
        </is>
      </c>
      <c r="AR184" s="24" t="inlineStr">
        <is>
          <t>Houston Astros</t>
        </is>
      </c>
      <c r="AS184" s="24" t="inlineStr">
        <is>
          <t>mlb-sf</t>
        </is>
      </c>
      <c r="AT184" s="24" t="inlineStr">
        <is>
          <t>San Francisco Giants</t>
        </is>
      </c>
      <c r="AU184" s="24" t="inlineStr">
        <is>
          <t>San Francisco Giants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3b345499bd6bad9bcf65367a07fe0c668fb5817d4f016a0a865c01d9212fdeb8</t>
        </is>
      </c>
      <c r="BB184" s="24" t="inlineStr">
        <is>
          <t>learned_lr</t>
        </is>
      </c>
      <c r="BC184" s="24" t="inlineStr">
        <is>
          <t>mlb-elo-trend-lr-v8</t>
        </is>
      </c>
      <c r="BD184" s="24" t="inlineStr">
        <is>
          <t>3b345499bd6bad9bcf65367a07fe0c668fb5817d4f016a0a865c01d9212fdeb8</t>
        </is>
      </c>
      <c r="BE184" s="24" t="inlineStr">
        <is>
          <t>59cfc557a6e9b39f</t>
        </is>
      </c>
      <c r="BF184" s="24" t="inlineStr">
        <is>
          <t>1</t>
        </is>
      </c>
      <c r="BG184" s="24" t="inlineStr">
        <is>
          <t>mlb-elo-trend-lr-v8</t>
        </is>
      </c>
      <c r="BH184" s="24" t="inlineStr">
        <is>
          <t>2026-08-10T16:34:12.844651Z</t>
        </is>
      </c>
      <c r="BI184" s="24" t="inlineStr">
        <is>
          <t>["same_event","same_team_same_day","same_league_same_day"]</t>
        </is>
      </c>
      <c r="BJ184" s="25" t="n"/>
      <c r="BK184" s="26" t="n">
        <v>135</v>
      </c>
      <c r="BL184" s="27" t="n">
        <v>2.35</v>
      </c>
      <c r="BM184" s="28" t="n">
        <v>0.425532</v>
      </c>
      <c r="BN184" s="28" t="n">
        <v>0.422886</v>
      </c>
      <c r="BO184" s="28" t="n"/>
      <c r="BP184" s="25" t="n"/>
      <c r="BQ184" s="27" t="n">
        <v>2.35</v>
      </c>
      <c r="BR184" s="28" t="n">
        <v>0.425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inlineStr">
        <is>
          <t>0.4959557423</t>
        </is>
      </c>
      <c r="CD184" s="24" t="inlineStr">
        <is>
          <t>-0.810671</t>
        </is>
      </c>
      <c r="CE184" s="24" t="inlineStr">
        <is>
          <t>0.98</t>
        </is>
      </c>
      <c r="CF184" s="24" t="inlineStr">
        <is>
          <t>0.995</t>
        </is>
      </c>
      <c r="CG184" s="24" t="n"/>
      <c r="CH184" s="24" t="n"/>
      <c r="CI184" s="24" t="n"/>
      <c r="CJ184" s="24" t="inlineStr">
        <is>
          <t>-0.607006</t>
        </is>
      </c>
      <c r="CK184" s="24" t="n"/>
      <c r="CL184" s="24" t="inlineStr">
        <is>
          <t>0.356904</t>
        </is>
      </c>
      <c r="CM184" s="24" t="inlineStr">
        <is>
          <t>2.7973</t>
        </is>
      </c>
      <c r="CN184" s="24" t="n"/>
      <c r="CO184" s="24" t="n"/>
      <c r="CP184" s="24" t="n"/>
      <c r="CQ184" s="24" t="n"/>
      <c r="CR184" s="24" t="inlineStr">
        <is>
          <t>0.51644</t>
        </is>
      </c>
      <c r="CS184" s="24" t="inlineStr">
        <is>
          <t>True</t>
        </is>
      </c>
    </row>
    <row r="185" ht="36" customHeight="1">
      <c r="A185" s="24" t="inlineStr">
        <is>
          <t>3629f708231d4c2a</t>
        </is>
      </c>
      <c r="B185" s="24" t="inlineStr">
        <is>
          <t>2026-08-10T16:34:47.251195Z</t>
        </is>
      </c>
      <c r="C185" s="24" t="inlineStr">
        <is>
          <t>2026-08-10T22:10:00-0400</t>
        </is>
      </c>
      <c r="D185" s="24" t="inlineStr">
        <is>
          <t>401816475</t>
        </is>
      </c>
      <c r="E185" s="24" t="inlineStr">
        <is>
          <t>MLB</t>
        </is>
      </c>
      <c r="F185" s="24" t="inlineStr">
        <is>
          <t>Kansas City Royals</t>
        </is>
      </c>
      <c r="G185" s="24" t="inlineStr">
        <is>
          <t>Los Angeles Dodgers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-251</v>
      </c>
      <c r="M185" s="27" t="n">
        <v>1.398406</v>
      </c>
      <c r="N185" s="28" t="n">
        <v>0.7151</v>
      </c>
      <c r="O185" s="28" t="n">
        <v>0.634885</v>
      </c>
      <c r="P185" s="28" t="n"/>
      <c r="Q185" s="28" t="n">
        <v>-0.08021499999999999</v>
      </c>
      <c r="R185" s="26" t="n">
        <v>0</v>
      </c>
      <c r="S185" s="29" t="n">
        <v>1.5</v>
      </c>
      <c r="T185" s="24" t="inlineStr">
        <is>
          <t>mlb-elo-trend-lr-v8</t>
        </is>
      </c>
      <c r="U185" s="24" t="inlineStr">
        <is>
          <t>settled</t>
        </is>
      </c>
      <c r="V185" s="24" t="inlineStr">
        <is>
          <t>win</t>
        </is>
      </c>
      <c r="W185" s="26" t="n">
        <v>5</v>
      </c>
      <c r="X185" s="26" t="n">
        <v>6</v>
      </c>
      <c r="Y185" s="25" t="n"/>
      <c r="Z185" s="26" t="n">
        <v>-251</v>
      </c>
      <c r="AA185" s="28" t="n">
        <v>0.715</v>
      </c>
      <c r="AB185" s="28" t="n">
        <v>-0.0001</v>
      </c>
      <c r="AC185" s="30" t="n">
        <v>0.5976</v>
      </c>
      <c r="AD185" s="24" t="inlineStr">
        <is>
          <t>2026-08-11T13:06:31.133420Z</t>
        </is>
      </c>
      <c r="AE185" s="31" t="inlineStr">
        <is>
          <t>Learned LR call at threshold 0.6197; executable ask 0.7150 (aec-mlb-kc-lad-2026-08-10); model edge vs ask -0.0801.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mlb-kc</t>
        </is>
      </c>
      <c r="AQ185" s="24" t="inlineStr">
        <is>
          <t>Kansas City Royals</t>
        </is>
      </c>
      <c r="AR185" s="24" t="inlineStr">
        <is>
          <t>Kansas City Royals</t>
        </is>
      </c>
      <c r="AS185" s="24" t="inlineStr">
        <is>
          <t>mlb-lad</t>
        </is>
      </c>
      <c r="AT185" s="24" t="inlineStr">
        <is>
          <t>Los Angeles Dodgers</t>
        </is>
      </c>
      <c r="AU185" s="24" t="inlineStr">
        <is>
          <t>Los Angeles Dodgers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3b345499bd6bad9bcf65367a07fe0c668fb5817d4f016a0a865c01d9212fdeb8</t>
        </is>
      </c>
      <c r="BB185" s="24" t="inlineStr">
        <is>
          <t>learned_lr</t>
        </is>
      </c>
      <c r="BC185" s="24" t="inlineStr">
        <is>
          <t>mlb-elo-trend-lr-v8</t>
        </is>
      </c>
      <c r="BD185" s="24" t="inlineStr">
        <is>
          <t>3b345499bd6bad9bcf65367a07fe0c668fb5817d4f016a0a865c01d9212fdeb8</t>
        </is>
      </c>
      <c r="BE185" s="24" t="inlineStr">
        <is>
          <t>19d07a09c729d869</t>
        </is>
      </c>
      <c r="BF185" s="24" t="inlineStr">
        <is>
          <t>1</t>
        </is>
      </c>
      <c r="BG185" s="24" t="inlineStr">
        <is>
          <t>mlb-elo-trend-lr-v8</t>
        </is>
      </c>
      <c r="BH185" s="24" t="inlineStr">
        <is>
          <t>2026-08-10T16:34:13.862219Z</t>
        </is>
      </c>
      <c r="BI185" s="24" t="inlineStr">
        <is>
          <t>["same_event","same_team_same_day","same_league_same_day"]</t>
        </is>
      </c>
      <c r="BJ185" s="25" t="n"/>
      <c r="BK185" s="26" t="n">
        <v>-251</v>
      </c>
      <c r="BL185" s="27" t="n">
        <v>1.398406</v>
      </c>
      <c r="BM185" s="28" t="n">
        <v>0.7151</v>
      </c>
      <c r="BN185" s="28" t="n">
        <v>0.711443</v>
      </c>
      <c r="BO185" s="28" t="n"/>
      <c r="BP185" s="25" t="n"/>
      <c r="BQ185" s="27" t="n">
        <v>1.398406</v>
      </c>
      <c r="BR185" s="28" t="n">
        <v>0.715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0.6689872193</t>
        </is>
      </c>
      <c r="CD185" s="24" t="inlineStr">
        <is>
          <t>-0.660466</t>
        </is>
      </c>
      <c r="CE185" s="24" t="inlineStr">
        <is>
          <t>1.026</t>
        </is>
      </c>
      <c r="CF185" s="24" t="inlineStr">
        <is>
          <t>1.0042</t>
        </is>
      </c>
      <c r="CG185" s="24" t="n"/>
      <c r="CH185" s="24" t="n"/>
      <c r="CI185" s="24" t="n"/>
      <c r="CJ185" s="24" t="inlineStr">
        <is>
          <t>-0.432411</t>
        </is>
      </c>
      <c r="CK185" s="24" t="n"/>
      <c r="CL185" s="24" t="inlineStr">
        <is>
          <t>-0.485019</t>
        </is>
      </c>
      <c r="CM185" s="24" t="inlineStr">
        <is>
          <t>-4.417</t>
        </is>
      </c>
      <c r="CN185" s="24" t="n"/>
      <c r="CO185" s="24" t="n"/>
      <c r="CP185" s="24" t="n"/>
      <c r="CQ185" s="24" t="n"/>
      <c r="CR185" s="24" t="inlineStr">
        <is>
          <t>0.634885</t>
        </is>
      </c>
      <c r="CS185" s="24" t="inlineStr">
        <is>
          <t>False</t>
        </is>
      </c>
    </row>
    <row r="186" ht="36" customHeight="1">
      <c r="A186" s="24" t="inlineStr">
        <is>
          <t>50bfa8e92003483f</t>
        </is>
      </c>
      <c r="B186" s="24" t="inlineStr">
        <is>
          <t>2026-08-10T16:35:10.426686Z</t>
        </is>
      </c>
      <c r="C186" s="24" t="inlineStr">
        <is>
          <t>2026-08-10T23:07Z</t>
        </is>
      </c>
      <c r="D186" s="24" t="inlineStr">
        <is>
          <t>401816469</t>
        </is>
      </c>
      <c r="E186" s="24" t="inlineStr">
        <is>
          <t>MLB</t>
        </is>
      </c>
      <c r="F186" s="24" t="inlineStr">
        <is>
          <t>Boston Red Sox</t>
        </is>
      </c>
      <c r="G186" s="24" t="inlineStr">
        <is>
          <t>Toronto Blue Jays</t>
        </is>
      </c>
      <c r="H186" s="24" t="inlineStr">
        <is>
          <t>spread</t>
        </is>
      </c>
      <c r="I186" s="24" t="inlineStr">
        <is>
          <t>home</t>
        </is>
      </c>
      <c r="J186" s="25" t="n">
        <v>1.5</v>
      </c>
      <c r="K186" s="24" t="inlineStr">
        <is>
          <t>polymarket_us</t>
        </is>
      </c>
      <c r="L186" s="26" t="n">
        <v>-120</v>
      </c>
      <c r="M186" s="27" t="n">
        <v>1.833333</v>
      </c>
      <c r="N186" s="28" t="n">
        <v>0.545455</v>
      </c>
      <c r="O186" s="28" t="n">
        <v>0.557987</v>
      </c>
      <c r="P186" s="28" t="n">
        <v>0.042131</v>
      </c>
      <c r="Q186" s="28" t="n">
        <v>0.012532</v>
      </c>
      <c r="R186" s="26" t="n">
        <v>33</v>
      </c>
      <c r="S186" s="29" t="n">
        <v>1</v>
      </c>
      <c r="T186" s="24" t="inlineStr">
        <is>
          <t>measured-edge-margin-v3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2</v>
      </c>
      <c r="Y186" s="25" t="n">
        <v>1.5</v>
      </c>
      <c r="Z186" s="26" t="n">
        <v>-120</v>
      </c>
      <c r="AA186" s="28" t="n">
        <v>0.545</v>
      </c>
      <c r="AB186" s="28" t="n">
        <v>-0.000455</v>
      </c>
      <c r="AC186" s="30" t="n">
        <v>0.8333</v>
      </c>
      <c r="AD186" s="24" t="inlineStr">
        <is>
          <t>2026-08-11T13:06:34.534053Z</t>
        </is>
      </c>
      <c r="AE186" s="31" t="inlineStr">
        <is>
          <t>Measured Edge Margin: Trend Engine projected 5.15-4.30; raw selected-side p=0.5851, calibrated p=0.5580.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mlb-bos</t>
        </is>
      </c>
      <c r="AQ186" s="24" t="inlineStr">
        <is>
          <t>Boston Red Sox</t>
        </is>
      </c>
      <c r="AR186" s="24" t="inlineStr">
        <is>
          <t>Boston Red Sox</t>
        </is>
      </c>
      <c r="AS186" s="24" t="inlineStr">
        <is>
          <t>mlb-tor</t>
        </is>
      </c>
      <c r="AT186" s="24" t="inlineStr">
        <is>
          <t>Toronto Blue Jays</t>
        </is>
      </c>
      <c r="AU186" s="24" t="inlineStr">
        <is>
          <t>Toronto Blue Jays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dd339a2eed50d7d83ab2127837995ddab82e879afd27f5414bb6c1f9cd60ba4c</t>
        </is>
      </c>
      <c r="BB186" s="24" t="inlineStr">
        <is>
          <t>flat_probability_shrinkage_toward_half</t>
        </is>
      </c>
      <c r="BC186" s="24" t="inlineStr">
        <is>
          <t>measured-edge-margin-v3</t>
        </is>
      </c>
      <c r="BD186" s="24" t="inlineStr">
        <is>
          <t>dd339a2eed50d7d83ab2127837995ddab82e879afd27f5414bb6c1f9cd60ba4c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2026-08-10T16:35:10.426686Z</t>
        </is>
      </c>
      <c r="BI186" s="24" t="inlineStr">
        <is>
          <t>["same_event","same_team_same_day","same_league_same_day"]</t>
        </is>
      </c>
      <c r="BJ186" s="25" t="n">
        <v>1.5</v>
      </c>
      <c r="BK186" s="26" t="n">
        <v>-120</v>
      </c>
      <c r="BL186" s="27" t="n">
        <v>1.833333</v>
      </c>
      <c r="BM186" s="28" t="n">
        <v>0.545455</v>
      </c>
      <c r="BN186" s="28" t="n">
        <v>0.542289</v>
      </c>
      <c r="BO186" s="28" t="n"/>
      <c r="BP186" s="25" t="n"/>
      <c r="BQ186" s="27" t="n">
        <v>1.833333</v>
      </c>
      <c r="BR186" s="28" t="n">
        <v>0.545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</row>
    <row r="187" ht="36" customHeight="1">
      <c r="A187" s="24" t="inlineStr">
        <is>
          <t>fe7ece460b6c483f</t>
        </is>
      </c>
      <c r="B187" s="24" t="inlineStr">
        <is>
          <t>2026-08-10T16:35:10.426686Z</t>
        </is>
      </c>
      <c r="C187" s="24" t="inlineStr">
        <is>
          <t>2026-08-10T23:07Z</t>
        </is>
      </c>
      <c r="D187" s="24" t="inlineStr">
        <is>
          <t>401816469</t>
        </is>
      </c>
      <c r="E187" s="24" t="inlineStr">
        <is>
          <t>MLB</t>
        </is>
      </c>
      <c r="F187" s="24" t="inlineStr">
        <is>
          <t>Boston Red Sox</t>
        </is>
      </c>
      <c r="G187" s="24" t="inlineStr">
        <is>
          <t>Toronto Blue Jays</t>
        </is>
      </c>
      <c r="H187" s="24" t="inlineStr">
        <is>
          <t>total</t>
        </is>
      </c>
      <c r="I187" s="24" t="inlineStr">
        <is>
          <t>over</t>
        </is>
      </c>
      <c r="J187" s="25" t="n">
        <v>8.5</v>
      </c>
      <c r="K187" s="24" t="inlineStr">
        <is>
          <t>polymarket_us</t>
        </is>
      </c>
      <c r="L187" s="26" t="n">
        <v>106</v>
      </c>
      <c r="M187" s="27" t="n">
        <v>2.06</v>
      </c>
      <c r="N187" s="28" t="n">
        <v>0.485437</v>
      </c>
      <c r="O187" s="28" t="n">
        <v>0.520282</v>
      </c>
      <c r="P187" s="28" t="n">
        <v>0.042131</v>
      </c>
      <c r="Q187" s="28" t="n">
        <v>0.034845</v>
      </c>
      <c r="R187" s="26" t="n">
        <v>44</v>
      </c>
      <c r="S187" s="29" t="n">
        <v>1</v>
      </c>
      <c r="T187" s="24" t="inlineStr">
        <is>
          <t>measured-edge-totals-v3</t>
        </is>
      </c>
      <c r="U187" s="24" t="inlineStr">
        <is>
          <t>settled</t>
        </is>
      </c>
      <c r="V187" s="24" t="inlineStr">
        <is>
          <t>loss</t>
        </is>
      </c>
      <c r="W187" s="26" t="n">
        <v>1</v>
      </c>
      <c r="X187" s="26" t="n">
        <v>2</v>
      </c>
      <c r="Y187" s="25" t="n">
        <v>8.5</v>
      </c>
      <c r="Z187" s="26" t="n">
        <v>106</v>
      </c>
      <c r="AA187" s="28" t="n">
        <v>0.485</v>
      </c>
      <c r="AB187" s="28" t="n">
        <v>-0.000437</v>
      </c>
      <c r="AC187" s="30" t="n">
        <v>-1</v>
      </c>
      <c r="AD187" s="24" t="inlineStr">
        <is>
          <t>2026-08-11T13:06:36.036881Z</t>
        </is>
      </c>
      <c r="AE187" s="31" t="inlineStr">
        <is>
          <t>Measured Edge Totals: Trend Engine projected 5.15-4.30; raw selected-side p=0.5583, calibrated p=0.5203.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mlb-bos</t>
        </is>
      </c>
      <c r="AQ187" s="24" t="inlineStr">
        <is>
          <t>Boston Red Sox</t>
        </is>
      </c>
      <c r="AR187" s="24" t="inlineStr">
        <is>
          <t>Boston Red Sox</t>
        </is>
      </c>
      <c r="AS187" s="24" t="inlineStr">
        <is>
          <t>mlb-tor</t>
        </is>
      </c>
      <c r="AT187" s="24" t="inlineStr">
        <is>
          <t>Toronto Blue Jays</t>
        </is>
      </c>
      <c r="AU187" s="24" t="inlineStr">
        <is>
          <t>Toronto Blue Jays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95b84332c75d2ce54036eb8de6ada9c78d0f80228c50825c0347281a8b9b49c7</t>
        </is>
      </c>
      <c r="BB187" s="24" t="inlineStr">
        <is>
          <t>flat_probability_shrinkage_toward_half</t>
        </is>
      </c>
      <c r="BC187" s="24" t="inlineStr">
        <is>
          <t>measured-edge-totals-v3</t>
        </is>
      </c>
      <c r="BD187" s="24" t="inlineStr">
        <is>
          <t>95b84332c75d2ce54036eb8de6ada9c78d0f80228c50825c0347281a8b9b49c7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2026-08-10T16:35:10.426686Z</t>
        </is>
      </c>
      <c r="BI187" s="24" t="inlineStr">
        <is>
          <t>["same_event","same_team_same_day","same_league_same_day"]</t>
        </is>
      </c>
      <c r="BJ187" s="25" t="n">
        <v>8.5</v>
      </c>
      <c r="BK187" s="26" t="n">
        <v>106</v>
      </c>
      <c r="BL187" s="27" t="n">
        <v>2.06</v>
      </c>
      <c r="BM187" s="28" t="n">
        <v>0.485437</v>
      </c>
      <c r="BN187" s="28" t="n">
        <v>0.482587</v>
      </c>
      <c r="BO187" s="28" t="n"/>
      <c r="BP187" s="25" t="n"/>
      <c r="BQ187" s="27" t="n">
        <v>2.06</v>
      </c>
      <c r="BR187" s="28" t="n">
        <v>0.485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</row>
    <row r="188" ht="36" customHeight="1">
      <c r="A188" s="24" t="inlineStr">
        <is>
          <t>3326c7d69da3472b</t>
        </is>
      </c>
      <c r="B188" s="24" t="inlineStr">
        <is>
          <t>2026-08-10T16:35:10.426686Z</t>
        </is>
      </c>
      <c r="C188" s="24" t="inlineStr">
        <is>
          <t>2026-08-10T23:15Z</t>
        </is>
      </c>
      <c r="D188" s="24" t="inlineStr">
        <is>
          <t>401816470</t>
        </is>
      </c>
      <c r="E188" s="24" t="inlineStr">
        <is>
          <t>MLB</t>
        </is>
      </c>
      <c r="F188" s="24" t="inlineStr">
        <is>
          <t>New York Mets</t>
        </is>
      </c>
      <c r="G188" s="24" t="inlineStr">
        <is>
          <t>Atlanta Braves</t>
        </is>
      </c>
      <c r="H188" s="24" t="inlineStr">
        <is>
          <t>spread</t>
        </is>
      </c>
      <c r="I188" s="24" t="inlineStr">
        <is>
          <t>away</t>
        </is>
      </c>
      <c r="J188" s="25" t="n">
        <v>1.5</v>
      </c>
      <c r="K188" s="24" t="inlineStr">
        <is>
          <t>polymarket_us</t>
        </is>
      </c>
      <c r="L188" s="26" t="n">
        <v>-150</v>
      </c>
      <c r="M188" s="27" t="n">
        <v>1.666667</v>
      </c>
      <c r="N188" s="28" t="n">
        <v>0.6</v>
      </c>
      <c r="O188" s="28" t="n">
        <v>0.619313</v>
      </c>
      <c r="P188" s="28" t="n">
        <v>0.042131</v>
      </c>
      <c r="Q188" s="28" t="n">
        <v>0.019313</v>
      </c>
      <c r="R188" s="26" t="n">
        <v>36</v>
      </c>
      <c r="S188" s="29" t="n">
        <v>1.5</v>
      </c>
      <c r="T188" s="24" t="inlineStr">
        <is>
          <t>measured-edge-margin-v3</t>
        </is>
      </c>
      <c r="U188" s="24" t="inlineStr">
        <is>
          <t>settled</t>
        </is>
      </c>
      <c r="V188" s="24" t="inlineStr">
        <is>
          <t>win</t>
        </is>
      </c>
      <c r="W188" s="26" t="n">
        <v>8</v>
      </c>
      <c r="X188" s="26" t="n">
        <v>5</v>
      </c>
      <c r="Y188" s="25" t="n">
        <v>1.5</v>
      </c>
      <c r="Z188" s="26" t="n">
        <v>-150</v>
      </c>
      <c r="AA188" s="28" t="n">
        <v>0.6</v>
      </c>
      <c r="AB188" s="28" t="n">
        <v>0</v>
      </c>
      <c r="AC188" s="30" t="n">
        <v>1</v>
      </c>
      <c r="AD188" s="24" t="inlineStr">
        <is>
          <t>2026-08-11T13:06:37.553277Z</t>
        </is>
      </c>
      <c r="AE188" s="31" t="inlineStr">
        <is>
          <t>Measured Edge Margin: Trend Engine projected 4.23-4.22; raw selected-side p=0.6751, calibrated p=0.6193.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mlb-nym</t>
        </is>
      </c>
      <c r="AQ188" s="24" t="inlineStr">
        <is>
          <t>New York Mets</t>
        </is>
      </c>
      <c r="AR188" s="24" t="inlineStr">
        <is>
          <t>New York Mets</t>
        </is>
      </c>
      <c r="AS188" s="24" t="inlineStr">
        <is>
          <t>mlb-atl</t>
        </is>
      </c>
      <c r="AT188" s="24" t="inlineStr">
        <is>
          <t>Atlanta Braves</t>
        </is>
      </c>
      <c r="AU188" s="24" t="inlineStr">
        <is>
          <t>Atlanta Braves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dd339a2eed50d7d83ab2127837995ddab82e879afd27f5414bb6c1f9cd60ba4c</t>
        </is>
      </c>
      <c r="BB188" s="24" t="inlineStr">
        <is>
          <t>flat_probability_shrinkage_toward_half</t>
        </is>
      </c>
      <c r="BC188" s="24" t="inlineStr">
        <is>
          <t>measured-edge-margin-v3</t>
        </is>
      </c>
      <c r="BD188" s="24" t="inlineStr">
        <is>
          <t>dd339a2eed50d7d83ab2127837995ddab82e879afd27f5414bb6c1f9cd60ba4c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2026-08-10T16:35:10.426686Z</t>
        </is>
      </c>
      <c r="BI188" s="24" t="inlineStr">
        <is>
          <t>["same_event","same_team_same_day","same_league_same_day"]</t>
        </is>
      </c>
      <c r="BJ188" s="25" t="n">
        <v>1.5</v>
      </c>
      <c r="BK188" s="26" t="n">
        <v>-150</v>
      </c>
      <c r="BL188" s="27" t="n">
        <v>1.666667</v>
      </c>
      <c r="BM188" s="28" t="n">
        <v>0.6</v>
      </c>
      <c r="BN188" s="28" t="n">
        <v>0.597015</v>
      </c>
      <c r="BO188" s="28" t="n"/>
      <c r="BP188" s="25" t="n"/>
      <c r="BQ188" s="27" t="n">
        <v>1.666667</v>
      </c>
      <c r="BR188" s="28" t="n">
        <v>0.6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f8c127f53fb9494d</t>
        </is>
      </c>
      <c r="B189" s="24" t="inlineStr">
        <is>
          <t>2026-08-10T16:35:10.426686Z</t>
        </is>
      </c>
      <c r="C189" s="24" t="inlineStr">
        <is>
          <t>2026-08-10T23:15Z</t>
        </is>
      </c>
      <c r="D189" s="24" t="inlineStr">
        <is>
          <t>401816470</t>
        </is>
      </c>
      <c r="E189" s="24" t="inlineStr">
        <is>
          <t>MLB</t>
        </is>
      </c>
      <c r="F189" s="24" t="inlineStr">
        <is>
          <t>New York Mets</t>
        </is>
      </c>
      <c r="G189" s="24" t="inlineStr">
        <is>
          <t>Atlanta Braves</t>
        </is>
      </c>
      <c r="H189" s="24" t="inlineStr">
        <is>
          <t>total</t>
        </is>
      </c>
      <c r="I189" s="24" t="inlineStr">
        <is>
          <t>under</t>
        </is>
      </c>
      <c r="J189" s="25" t="n">
        <v>8.5</v>
      </c>
      <c r="K189" s="24" t="inlineStr">
        <is>
          <t>polymarket_us</t>
        </is>
      </c>
      <c r="L189" s="26" t="n">
        <v>-104</v>
      </c>
      <c r="M189" s="27" t="n">
        <v>1.961538</v>
      </c>
      <c r="N189" s="28" t="n">
        <v>0.509804</v>
      </c>
      <c r="O189" s="28" t="n">
        <v>0.514954</v>
      </c>
      <c r="P189" s="28" t="n">
        <v>0.042131</v>
      </c>
      <c r="Q189" s="28" t="n">
        <v>0.00515</v>
      </c>
      <c r="R189" s="26" t="n">
        <v>28</v>
      </c>
      <c r="S189" s="29" t="n">
        <v>1</v>
      </c>
      <c r="T189" s="24" t="inlineStr">
        <is>
          <t>measured-edge-totals-v3</t>
        </is>
      </c>
      <c r="U189" s="24" t="inlineStr">
        <is>
          <t>settled</t>
        </is>
      </c>
      <c r="V189" s="24" t="inlineStr">
        <is>
          <t>loss</t>
        </is>
      </c>
      <c r="W189" s="26" t="n">
        <v>8</v>
      </c>
      <c r="X189" s="26" t="n">
        <v>5</v>
      </c>
      <c r="Y189" s="25" t="n">
        <v>8.5</v>
      </c>
      <c r="Z189" s="26" t="n">
        <v>-104</v>
      </c>
      <c r="AA189" s="28" t="n">
        <v>0.51</v>
      </c>
      <c r="AB189" s="28" t="n">
        <v>0.000196</v>
      </c>
      <c r="AC189" s="30" t="n">
        <v>-1</v>
      </c>
      <c r="AD189" s="24" t="inlineStr">
        <is>
          <t>2026-08-11T13:06:39.007297Z</t>
        </is>
      </c>
      <c r="AE189" s="31" t="inlineStr">
        <is>
          <t>Measured Edge Totals: Trend Engine projected 4.23-4.22; raw selected-side p=0.5369, calibrated p=0.5150.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mlb-nym</t>
        </is>
      </c>
      <c r="AQ189" s="24" t="inlineStr">
        <is>
          <t>New York Mets</t>
        </is>
      </c>
      <c r="AR189" s="24" t="inlineStr">
        <is>
          <t>New York Mets</t>
        </is>
      </c>
      <c r="AS189" s="24" t="inlineStr">
        <is>
          <t>mlb-atl</t>
        </is>
      </c>
      <c r="AT189" s="24" t="inlineStr">
        <is>
          <t>Atlanta Braves</t>
        </is>
      </c>
      <c r="AU189" s="24" t="inlineStr">
        <is>
          <t>Atlanta Braves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95b84332c75d2ce54036eb8de6ada9c78d0f80228c50825c0347281a8b9b49c7</t>
        </is>
      </c>
      <c r="BB189" s="24" t="inlineStr">
        <is>
          <t>flat_probability_shrinkage_toward_half</t>
        </is>
      </c>
      <c r="BC189" s="24" t="inlineStr">
        <is>
          <t>measured-edge-totals-v3</t>
        </is>
      </c>
      <c r="BD189" s="24" t="inlineStr">
        <is>
          <t>95b84332c75d2ce54036eb8de6ada9c78d0f80228c50825c0347281a8b9b49c7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2026-08-10T16:35:10.426686Z</t>
        </is>
      </c>
      <c r="BI189" s="24" t="inlineStr">
        <is>
          <t>["same_event","same_team_same_day","same_league_same_day"]</t>
        </is>
      </c>
      <c r="BJ189" s="25" t="n">
        <v>8.5</v>
      </c>
      <c r="BK189" s="26" t="n">
        <v>-104</v>
      </c>
      <c r="BL189" s="27" t="n">
        <v>1.961538</v>
      </c>
      <c r="BM189" s="28" t="n">
        <v>0.509804</v>
      </c>
      <c r="BN189" s="28" t="n">
        <v>0.507463</v>
      </c>
      <c r="BO189" s="28" t="n"/>
      <c r="BP189" s="25" t="n"/>
      <c r="BQ189" s="27" t="n">
        <v>1.961538</v>
      </c>
      <c r="BR189" s="28" t="n">
        <v>0.51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8e29a7e353404503</t>
        </is>
      </c>
      <c r="B190" s="24" t="inlineStr">
        <is>
          <t>2026-08-10T16:35:10.426686Z</t>
        </is>
      </c>
      <c r="C190" s="24" t="inlineStr">
        <is>
          <t>2026-08-10T23:40Z</t>
        </is>
      </c>
      <c r="D190" s="24" t="inlineStr">
        <is>
          <t>401816471</t>
        </is>
      </c>
      <c r="E190" s="24" t="inlineStr">
        <is>
          <t>MLB</t>
        </is>
      </c>
      <c r="F190" s="24" t="inlineStr">
        <is>
          <t>Baltimore Orioles</t>
        </is>
      </c>
      <c r="G190" s="24" t="inlineStr">
        <is>
          <t>Minnesota Twins</t>
        </is>
      </c>
      <c r="H190" s="24" t="inlineStr">
        <is>
          <t>spread</t>
        </is>
      </c>
      <c r="I190" s="24" t="inlineStr">
        <is>
          <t>home</t>
        </is>
      </c>
      <c r="J190" s="25" t="n">
        <v>1.5</v>
      </c>
      <c r="K190" s="24" t="inlineStr">
        <is>
          <t>polymarket_us</t>
        </is>
      </c>
      <c r="L190" s="26" t="n">
        <v>-156</v>
      </c>
      <c r="M190" s="27" t="n">
        <v>1.641026</v>
      </c>
      <c r="N190" s="28" t="n">
        <v>0.609375</v>
      </c>
      <c r="O190" s="28" t="n">
        <v>0.581972</v>
      </c>
      <c r="P190" s="28" t="n">
        <v>0.05172</v>
      </c>
      <c r="Q190" s="28" t="n">
        <v>-0.027403</v>
      </c>
      <c r="R190" s="26" t="n">
        <v>6</v>
      </c>
      <c r="S190" s="29" t="n">
        <v>1.25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win</t>
        </is>
      </c>
      <c r="W190" s="26" t="n">
        <v>5</v>
      </c>
      <c r="X190" s="26" t="n">
        <v>9</v>
      </c>
      <c r="Y190" s="25" t="n">
        <v>1.5</v>
      </c>
      <c r="Z190" s="26" t="n">
        <v>-156</v>
      </c>
      <c r="AA190" s="28" t="n">
        <v>0.61</v>
      </c>
      <c r="AB190" s="28" t="n">
        <v>0.000625</v>
      </c>
      <c r="AC190" s="30" t="n">
        <v>0.8013</v>
      </c>
      <c r="AD190" s="24" t="inlineStr">
        <is>
          <t>2026-08-11T13:06:40.507756Z</t>
        </is>
      </c>
      <c r="AE190" s="31" t="inlineStr">
        <is>
          <t>Measured Edge Margin: Trend Engine projected 5.02-4.58; raw selected-side p=0.6203, calibrated p=0.5820.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mlb-bal</t>
        </is>
      </c>
      <c r="AQ190" s="24" t="inlineStr">
        <is>
          <t>Baltimore Orioles</t>
        </is>
      </c>
      <c r="AR190" s="24" t="inlineStr">
        <is>
          <t>Baltimore Orioles</t>
        </is>
      </c>
      <c r="AS190" s="24" t="inlineStr">
        <is>
          <t>mlb-min</t>
        </is>
      </c>
      <c r="AT190" s="24" t="inlineStr">
        <is>
          <t>Minnesota Twins</t>
        </is>
      </c>
      <c r="AU190" s="24" t="inlineStr">
        <is>
          <t>Minnesota Twins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2026-08-10T16:35:10.426686Z</t>
        </is>
      </c>
      <c r="BI190" s="24" t="inlineStr">
        <is>
          <t>["same_event","same_team_same_day","same_league_same_day"]</t>
        </is>
      </c>
      <c r="BJ190" s="25" t="n">
        <v>1.5</v>
      </c>
      <c r="BK190" s="26" t="n">
        <v>-156</v>
      </c>
      <c r="BL190" s="27" t="n">
        <v>1.641026</v>
      </c>
      <c r="BM190" s="28" t="n">
        <v>0.609375</v>
      </c>
      <c r="BN190" s="28" t="n">
        <v>0.606965</v>
      </c>
      <c r="BO190" s="28" t="n"/>
      <c r="BP190" s="25" t="n"/>
      <c r="BQ190" s="27" t="n">
        <v>1.641026</v>
      </c>
      <c r="BR190" s="28" t="n">
        <v>0.61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</row>
    <row r="191" ht="36" customHeight="1">
      <c r="A191" s="24" t="inlineStr">
        <is>
          <t>cbad6a2cdc704345</t>
        </is>
      </c>
      <c r="B191" s="24" t="inlineStr">
        <is>
          <t>2026-08-10T16:35:10.426686Z</t>
        </is>
      </c>
      <c r="C191" s="24" t="inlineStr">
        <is>
          <t>2026-08-10T23:40Z</t>
        </is>
      </c>
      <c r="D191" s="24" t="inlineStr">
        <is>
          <t>401816471</t>
        </is>
      </c>
      <c r="E191" s="24" t="inlineStr">
        <is>
          <t>MLB</t>
        </is>
      </c>
      <c r="F191" s="24" t="inlineStr">
        <is>
          <t>Baltimore Orioles</t>
        </is>
      </c>
      <c r="G191" s="24" t="inlineStr">
        <is>
          <t>Minnesota Twins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102</v>
      </c>
      <c r="M191" s="27" t="n">
        <v>2.02</v>
      </c>
      <c r="N191" s="28" t="n">
        <v>0.49505</v>
      </c>
      <c r="O191" s="28" t="n">
        <v>0.522406</v>
      </c>
      <c r="P191" s="28" t="n">
        <v>0.05172</v>
      </c>
      <c r="Q191" s="28" t="n">
        <v>0.027356</v>
      </c>
      <c r="R191" s="26" t="n">
        <v>34</v>
      </c>
      <c r="S191" s="29" t="n">
        <v>1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9</v>
      </c>
      <c r="Y191" s="25" t="n">
        <v>8.5</v>
      </c>
      <c r="Z191" s="26" t="n">
        <v>102</v>
      </c>
      <c r="AA191" s="28" t="n">
        <v>0.495</v>
      </c>
      <c r="AB191" s="28" t="n">
        <v>-5e-05</v>
      </c>
      <c r="AC191" s="30" t="n">
        <v>1.02</v>
      </c>
      <c r="AD191" s="24" t="inlineStr">
        <is>
          <t>2026-08-11T13:06:42.144209Z</t>
        </is>
      </c>
      <c r="AE191" s="31" t="inlineStr">
        <is>
          <t>Measured Edge Totals: Trend Engine projected 5.02-4.58; raw selected-side p=0.5668, calibrated p=0.5224.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mlb-bal</t>
        </is>
      </c>
      <c r="AQ191" s="24" t="inlineStr">
        <is>
          <t>Baltimore Orioles</t>
        </is>
      </c>
      <c r="AR191" s="24" t="inlineStr">
        <is>
          <t>Baltimore Orioles</t>
        </is>
      </c>
      <c r="AS191" s="24" t="inlineStr">
        <is>
          <t>mlb-min</t>
        </is>
      </c>
      <c r="AT191" s="24" t="inlineStr">
        <is>
          <t>Minnesota Twins</t>
        </is>
      </c>
      <c r="AU191" s="24" t="inlineStr">
        <is>
          <t>Minnesota Twins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2026-08-10T16:35:10.426686Z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102</v>
      </c>
      <c r="BL191" s="27" t="n">
        <v>2.02</v>
      </c>
      <c r="BM191" s="28" t="n">
        <v>0.49505</v>
      </c>
      <c r="BN191" s="28" t="n">
        <v>0.492537</v>
      </c>
      <c r="BO191" s="28" t="n"/>
      <c r="BP191" s="25" t="n"/>
      <c r="BQ191" s="27" t="n">
        <v>2.02</v>
      </c>
      <c r="BR191" s="28" t="n">
        <v>0.495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f4e6e851256344de</t>
        </is>
      </c>
      <c r="B192" s="24" t="inlineStr">
        <is>
          <t>2026-08-10T16:35:10.426686Z</t>
        </is>
      </c>
      <c r="C192" s="24" t="inlineStr">
        <is>
          <t>2026-08-10T23:45Z</t>
        </is>
      </c>
      <c r="D192" s="24" t="inlineStr">
        <is>
          <t>401816472</t>
        </is>
      </c>
      <c r="E192" s="24" t="inlineStr">
        <is>
          <t>MLB</t>
        </is>
      </c>
      <c r="F192" s="24" t="inlineStr">
        <is>
          <t>Philadelphia Phillies</t>
        </is>
      </c>
      <c r="G192" s="24" t="inlineStr">
        <is>
          <t>St. Louis Cardinals</t>
        </is>
      </c>
      <c r="H192" s="24" t="inlineStr">
        <is>
          <t>spread</t>
        </is>
      </c>
      <c r="I192" s="24" t="inlineStr">
        <is>
          <t>home</t>
        </is>
      </c>
      <c r="J192" s="25" t="n">
        <v>1.5</v>
      </c>
      <c r="K192" s="24" t="inlineStr">
        <is>
          <t>polymarket_us</t>
        </is>
      </c>
      <c r="L192" s="26" t="n">
        <v>-153</v>
      </c>
      <c r="M192" s="27" t="n">
        <v>1.653595</v>
      </c>
      <c r="N192" s="28" t="n">
        <v>0.604743</v>
      </c>
      <c r="O192" s="28" t="n">
        <v>0.660674</v>
      </c>
      <c r="P192" s="28" t="n">
        <v>0.05172</v>
      </c>
      <c r="Q192" s="28" t="n">
        <v>0.055931</v>
      </c>
      <c r="R192" s="26" t="n">
        <v>48</v>
      </c>
      <c r="S192" s="29" t="n">
        <v>1.75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win</t>
        </is>
      </c>
      <c r="W192" s="26" t="n">
        <v>6</v>
      </c>
      <c r="X192" s="26" t="n">
        <v>5</v>
      </c>
      <c r="Y192" s="25" t="n">
        <v>1.5</v>
      </c>
      <c r="Z192" s="26" t="n">
        <v>-153</v>
      </c>
      <c r="AA192" s="28" t="n">
        <v>0.605</v>
      </c>
      <c r="AB192" s="28" t="n">
        <v>0.000257</v>
      </c>
      <c r="AC192" s="30" t="n">
        <v>1.1438</v>
      </c>
      <c r="AD192" s="24" t="inlineStr">
        <is>
          <t>2026-08-11T13:06:43.738424Z</t>
        </is>
      </c>
      <c r="AE192" s="31" t="inlineStr">
        <is>
          <t>Measured Edge Margin: Trend Engine projected 4.48-5.28; raw selected-side p=0.7358, calibrated p=0.6607.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mlb-phi</t>
        </is>
      </c>
      <c r="AQ192" s="24" t="inlineStr">
        <is>
          <t>Philadelphia Phillies</t>
        </is>
      </c>
      <c r="AR192" s="24" t="inlineStr">
        <is>
          <t>Philadelphia Phillies</t>
        </is>
      </c>
      <c r="AS192" s="24" t="inlineStr">
        <is>
          <t>mlb-stl</t>
        </is>
      </c>
      <c r="AT192" s="24" t="inlineStr">
        <is>
          <t>St. Louis Cardinals</t>
        </is>
      </c>
      <c r="AU192" s="24" t="inlineStr">
        <is>
          <t>St. Louis Cardinals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2026-08-10T16:35:10.426686Z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-153</v>
      </c>
      <c r="BL192" s="27" t="n">
        <v>1.653595</v>
      </c>
      <c r="BM192" s="28" t="n">
        <v>0.604743</v>
      </c>
      <c r="BN192" s="28" t="n">
        <v>0.60199</v>
      </c>
      <c r="BO192" s="28" t="n"/>
      <c r="BP192" s="25" t="n"/>
      <c r="BQ192" s="27" t="n">
        <v>1.653595</v>
      </c>
      <c r="BR192" s="28" t="n">
        <v>0.605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1f1e03006cbe4027</t>
        </is>
      </c>
      <c r="B193" s="24" t="inlineStr">
        <is>
          <t>2026-08-10T16:35:10.426686Z</t>
        </is>
      </c>
      <c r="C193" s="24" t="inlineStr">
        <is>
          <t>2026-08-10T23:45Z</t>
        </is>
      </c>
      <c r="D193" s="24" t="inlineStr">
        <is>
          <t>401816472</t>
        </is>
      </c>
      <c r="E193" s="24" t="inlineStr">
        <is>
          <t>MLB</t>
        </is>
      </c>
      <c r="F193" s="24" t="inlineStr">
        <is>
          <t>Philadelphia Phillies</t>
        </is>
      </c>
      <c r="G193" s="24" t="inlineStr">
        <is>
          <t>St. Louis Cardinals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-125</v>
      </c>
      <c r="M193" s="27" t="n">
        <v>1.8</v>
      </c>
      <c r="N193" s="28" t="n">
        <v>0.555556</v>
      </c>
      <c r="O193" s="28" t="n">
        <v>0.513587</v>
      </c>
      <c r="P193" s="28" t="n">
        <v>0.05172</v>
      </c>
      <c r="Q193" s="28" t="n">
        <v>-0.041969</v>
      </c>
      <c r="R193" s="26" t="n">
        <v>0</v>
      </c>
      <c r="S193" s="29" t="n">
        <v>1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5</v>
      </c>
      <c r="Y193" s="25" t="n">
        <v>9.5</v>
      </c>
      <c r="Z193" s="26" t="n">
        <v>-125</v>
      </c>
      <c r="AA193" s="28" t="n">
        <v>0.555</v>
      </c>
      <c r="AB193" s="28" t="n">
        <v>-0.000556</v>
      </c>
      <c r="AC193" s="30" t="n">
        <v>-1</v>
      </c>
      <c r="AD193" s="24" t="inlineStr">
        <is>
          <t>2026-08-11T13:06:45.255136Z</t>
        </is>
      </c>
      <c r="AE193" s="31" t="inlineStr">
        <is>
          <t>Measured Edge Totals: Trend Engine projected 4.48-5.28; raw selected-side p=0.5313, calibrated p=0.5136.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mlb-phi</t>
        </is>
      </c>
      <c r="AQ193" s="24" t="inlineStr">
        <is>
          <t>Philadelphia Phillies</t>
        </is>
      </c>
      <c r="AR193" s="24" t="inlineStr">
        <is>
          <t>Philadelphia Phillies</t>
        </is>
      </c>
      <c r="AS193" s="24" t="inlineStr">
        <is>
          <t>mlb-stl</t>
        </is>
      </c>
      <c r="AT193" s="24" t="inlineStr">
        <is>
          <t>St. Louis Cardinals</t>
        </is>
      </c>
      <c r="AU193" s="24" t="inlineStr">
        <is>
          <t>St. Louis Cardinals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2026-08-10T16:35:10.426686Z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-125</v>
      </c>
      <c r="BL193" s="27" t="n">
        <v>1.8</v>
      </c>
      <c r="BM193" s="28" t="n">
        <v>0.555556</v>
      </c>
      <c r="BN193" s="28" t="n">
        <v>0.552239</v>
      </c>
      <c r="BO193" s="28" t="n"/>
      <c r="BP193" s="25" t="n"/>
      <c r="BQ193" s="27" t="n">
        <v>1.8</v>
      </c>
      <c r="BR193" s="28" t="n">
        <v>0.555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</row>
    <row r="194" ht="36" customHeight="1">
      <c r="A194" s="24" t="inlineStr">
        <is>
          <t>e3992d6b647345fc</t>
        </is>
      </c>
      <c r="B194" s="24" t="inlineStr">
        <is>
          <t>2026-08-10T16:35:10.426686Z</t>
        </is>
      </c>
      <c r="C194" s="24" t="inlineStr">
        <is>
          <t>2026-08-11T01:38Z</t>
        </is>
      </c>
      <c r="D194" s="24" t="inlineStr">
        <is>
          <t>401816478</t>
        </is>
      </c>
      <c r="E194" s="24" t="inlineStr">
        <is>
          <t>MLB</t>
        </is>
      </c>
      <c r="F194" s="24" t="inlineStr">
        <is>
          <t>Texas Rangers</t>
        </is>
      </c>
      <c r="G194" s="24" t="inlineStr">
        <is>
          <t>Los Angeles Angels</t>
        </is>
      </c>
      <c r="H194" s="24" t="inlineStr">
        <is>
          <t>spread</t>
        </is>
      </c>
      <c r="I194" s="24" t="inlineStr">
        <is>
          <t>home</t>
        </is>
      </c>
      <c r="J194" s="25" t="n">
        <v>1.5</v>
      </c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0.624526</v>
      </c>
      <c r="P194" s="28" t="n">
        <v>0.042131</v>
      </c>
      <c r="Q194" s="28" t="n">
        <v>0.015151</v>
      </c>
      <c r="R194" s="26" t="n">
        <v>34</v>
      </c>
      <c r="S194" s="29" t="n">
        <v>1.5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loss</t>
        </is>
      </c>
      <c r="W194" s="26" t="n">
        <v>4</v>
      </c>
      <c r="X194" s="26" t="n">
        <v>1</v>
      </c>
      <c r="Y194" s="25" t="n">
        <v>1.5</v>
      </c>
      <c r="Z194" s="26" t="n">
        <v>-156</v>
      </c>
      <c r="AA194" s="28" t="n">
        <v>0.61</v>
      </c>
      <c r="AB194" s="28" t="n">
        <v>0.000625</v>
      </c>
      <c r="AC194" s="30" t="n">
        <v>-1.5</v>
      </c>
      <c r="AD194" s="24" t="inlineStr">
        <is>
          <t>2026-08-11T13:06:46.771020Z</t>
        </is>
      </c>
      <c r="AE194" s="31" t="inlineStr">
        <is>
          <t>Measured Edge Margin: Trend Engine projected 4.49-4.65; raw selected-side p=0.6827, calibrated p=0.6245.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mlb-tex</t>
        </is>
      </c>
      <c r="AQ194" s="24" t="inlineStr">
        <is>
          <t>Texas Rangers</t>
        </is>
      </c>
      <c r="AR194" s="24" t="inlineStr">
        <is>
          <t>Texas Rangers</t>
        </is>
      </c>
      <c r="AS194" s="24" t="inlineStr">
        <is>
          <t>mlb-laa</t>
        </is>
      </c>
      <c r="AT194" s="24" t="inlineStr">
        <is>
          <t>Los Angeles Angels</t>
        </is>
      </c>
      <c r="AU194" s="24" t="inlineStr">
        <is>
          <t>Los Angeles Angels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2026-08-10T16:35:10.426686Z</t>
        </is>
      </c>
      <c r="BI194" s="24" t="inlineStr">
        <is>
          <t>["same_event","same_team_same_day","same_league_same_day"]</t>
        </is>
      </c>
      <c r="BJ194" s="25" t="n">
        <v>1.5</v>
      </c>
      <c r="BK194" s="26" t="n">
        <v>-156</v>
      </c>
      <c r="BL194" s="27" t="n">
        <v>1.641026</v>
      </c>
      <c r="BM194" s="28" t="n">
        <v>0.609375</v>
      </c>
      <c r="BN194" s="28" t="n">
        <v>0.606965</v>
      </c>
      <c r="BO194" s="28" t="n"/>
      <c r="BP194" s="25" t="n"/>
      <c r="BQ194" s="27" t="n">
        <v>1.641026</v>
      </c>
      <c r="BR194" s="28" t="n">
        <v>0.61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3236c2769d1e4130</t>
        </is>
      </c>
      <c r="B195" s="24" t="inlineStr">
        <is>
          <t>2026-08-10T16:35:10.426686Z</t>
        </is>
      </c>
      <c r="C195" s="24" t="inlineStr">
        <is>
          <t>2026-08-11T01:38Z</t>
        </is>
      </c>
      <c r="D195" s="24" t="inlineStr">
        <is>
          <t>401816478</t>
        </is>
      </c>
      <c r="E195" s="24" t="inlineStr">
        <is>
          <t>MLB</t>
        </is>
      </c>
      <c r="F195" s="24" t="inlineStr">
        <is>
          <t>Texas Rangers</t>
        </is>
      </c>
      <c r="G195" s="24" t="inlineStr">
        <is>
          <t>Los Angeles Angels</t>
        </is>
      </c>
      <c r="H195" s="24" t="inlineStr">
        <is>
          <t>total</t>
        </is>
      </c>
      <c r="I195" s="24" t="inlineStr">
        <is>
          <t>over</t>
        </is>
      </c>
      <c r="J195" s="25" t="n">
        <v>7.5</v>
      </c>
      <c r="K195" s="24" t="inlineStr">
        <is>
          <t>polymarket_us</t>
        </is>
      </c>
      <c r="L195" s="26" t="n">
        <v>-115</v>
      </c>
      <c r="M195" s="27" t="n">
        <v>1.869565</v>
      </c>
      <c r="N195" s="28" t="n">
        <v>0.534884</v>
      </c>
      <c r="O195" s="28" t="n">
        <v>0.533074</v>
      </c>
      <c r="P195" s="28" t="n">
        <v>0.042131</v>
      </c>
      <c r="Q195" s="28" t="n">
        <v>-0.00181</v>
      </c>
      <c r="R195" s="26" t="n">
        <v>25</v>
      </c>
      <c r="S195" s="29" t="n">
        <v>1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4</v>
      </c>
      <c r="X195" s="26" t="n">
        <v>1</v>
      </c>
      <c r="Y195" s="25" t="n">
        <v>7.5</v>
      </c>
      <c r="Z195" s="26" t="n">
        <v>-115</v>
      </c>
      <c r="AA195" s="28" t="n">
        <v>0.535</v>
      </c>
      <c r="AB195" s="28" t="n">
        <v>0.000116</v>
      </c>
      <c r="AC195" s="30" t="n">
        <v>-1</v>
      </c>
      <c r="AD195" s="24" t="inlineStr">
        <is>
          <t>2026-08-11T13:06:48.234852Z</t>
        </is>
      </c>
      <c r="AE195" s="31" t="inlineStr">
        <is>
          <t>Measured Edge Totals: Trend Engine projected 4.49-4.65; raw selected-side p=0.6098, calibrated p=0.5331.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3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mlb-tex</t>
        </is>
      </c>
      <c r="AQ195" s="24" t="inlineStr">
        <is>
          <t>Texas Rangers</t>
        </is>
      </c>
      <c r="AR195" s="24" t="inlineStr">
        <is>
          <t>Texas Rangers</t>
        </is>
      </c>
      <c r="AS195" s="24" t="inlineStr">
        <is>
          <t>mlb-laa</t>
        </is>
      </c>
      <c r="AT195" s="24" t="inlineStr">
        <is>
          <t>Los Angeles Angels</t>
        </is>
      </c>
      <c r="AU195" s="24" t="inlineStr">
        <is>
          <t>Los Angeles Angels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2026-08-10T16:35:10.426686Z</t>
        </is>
      </c>
      <c r="BI195" s="24" t="inlineStr">
        <is>
          <t>["same_event","same_team_same_day","same_league_same_day"]</t>
        </is>
      </c>
      <c r="BJ195" s="25" t="n">
        <v>7.5</v>
      </c>
      <c r="BK195" s="26" t="n">
        <v>-115</v>
      </c>
      <c r="BL195" s="27" t="n">
        <v>1.869565</v>
      </c>
      <c r="BM195" s="28" t="n">
        <v>0.534884</v>
      </c>
      <c r="BN195" s="28" t="n">
        <v>0.532338</v>
      </c>
      <c r="BO195" s="28" t="n"/>
      <c r="BP195" s="25" t="n"/>
      <c r="BQ195" s="27" t="n">
        <v>1.869565</v>
      </c>
      <c r="BR195" s="28" t="n">
        <v>0.535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</row>
    <row r="196" ht="36" customHeight="1">
      <c r="A196" s="24" t="inlineStr">
        <is>
          <t>aebd782f3f5441cc</t>
        </is>
      </c>
      <c r="B196" s="24" t="inlineStr">
        <is>
          <t>2026-08-10T16:35:10.426686Z</t>
        </is>
      </c>
      <c r="C196" s="24" t="inlineStr">
        <is>
          <t>2026-08-11T01:40Z</t>
        </is>
      </c>
      <c r="D196" s="24" t="inlineStr">
        <is>
          <t>401816473</t>
        </is>
      </c>
      <c r="E196" s="24" t="inlineStr">
        <is>
          <t>MLB</t>
        </is>
      </c>
      <c r="F196" s="24" t="inlineStr">
        <is>
          <t>Colorado Rockies</t>
        </is>
      </c>
      <c r="G196" s="24" t="inlineStr">
        <is>
          <t>Arizona Diamondbacks</t>
        </is>
      </c>
      <c r="H196" s="24" t="inlineStr">
        <is>
          <t>spread</t>
        </is>
      </c>
      <c r="I196" s="24" t="inlineStr">
        <is>
          <t>away</t>
        </is>
      </c>
      <c r="J196" s="25" t="n">
        <v>1.5</v>
      </c>
      <c r="K196" s="24" t="inlineStr">
        <is>
          <t>polymarket_us</t>
        </is>
      </c>
      <c r="L196" s="26" t="n">
        <v>-111</v>
      </c>
      <c r="M196" s="27" t="n">
        <v>1.900901</v>
      </c>
      <c r="N196" s="28" t="n">
        <v>0.526066</v>
      </c>
      <c r="O196" s="28" t="n">
        <v>0.578395</v>
      </c>
      <c r="P196" s="28" t="n">
        <v>0.05172</v>
      </c>
      <c r="Q196" s="28" t="n">
        <v>0.052329</v>
      </c>
      <c r="R196" s="26" t="n">
        <v>47</v>
      </c>
      <c r="S196" s="29" t="n">
        <v>1.25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9</v>
      </c>
      <c r="Y196" s="25" t="n">
        <v>1.5</v>
      </c>
      <c r="Z196" s="26" t="n">
        <v>-111</v>
      </c>
      <c r="AA196" s="28" t="n">
        <v>0.525</v>
      </c>
      <c r="AB196" s="28" t="n">
        <v>-0.001066</v>
      </c>
      <c r="AC196" s="30" t="n">
        <v>-1.25</v>
      </c>
      <c r="AD196" s="24" t="inlineStr">
        <is>
          <t>2026-08-11T13:06:49.752557Z</t>
        </is>
      </c>
      <c r="AE196" s="31" t="inlineStr">
        <is>
          <t>Measured Edge Margin: Trend Engine projected 4.36-4.90; raw selected-side p=0.6150, calibrated p=0.5784.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mlb-col</t>
        </is>
      </c>
      <c r="AQ196" s="24" t="inlineStr">
        <is>
          <t>Colorado Rockies</t>
        </is>
      </c>
      <c r="AR196" s="24" t="inlineStr">
        <is>
          <t>Colorado Rockies</t>
        </is>
      </c>
      <c r="AS196" s="24" t="inlineStr">
        <is>
          <t>mlb-ari</t>
        </is>
      </c>
      <c r="AT196" s="24" t="inlineStr">
        <is>
          <t>Arizona Diamondbacks</t>
        </is>
      </c>
      <c r="AU196" s="24" t="inlineStr">
        <is>
          <t>Arizona Diamondbacks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2026-08-10T16:35:10.426686Z</t>
        </is>
      </c>
      <c r="BI196" s="24" t="inlineStr">
        <is>
          <t>["same_event","same_team_same_day","same_league_same_day"]</t>
        </is>
      </c>
      <c r="BJ196" s="25" t="n">
        <v>1.5</v>
      </c>
      <c r="BK196" s="26" t="n">
        <v>-111</v>
      </c>
      <c r="BL196" s="27" t="n">
        <v>1.900901</v>
      </c>
      <c r="BM196" s="28" t="n">
        <v>0.526066</v>
      </c>
      <c r="BN196" s="28" t="n">
        <v>0.522388</v>
      </c>
      <c r="BO196" s="28" t="n"/>
      <c r="BP196" s="25" t="n"/>
      <c r="BQ196" s="27" t="n">
        <v>1.900901</v>
      </c>
      <c r="BR196" s="28" t="n">
        <v>0.525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9f0c0a281c79402e</t>
        </is>
      </c>
      <c r="B197" s="24" t="inlineStr">
        <is>
          <t>2026-08-10T16:35:10.426686Z</t>
        </is>
      </c>
      <c r="C197" s="24" t="inlineStr">
        <is>
          <t>2026-08-11T01:40Z</t>
        </is>
      </c>
      <c r="D197" s="24" t="inlineStr">
        <is>
          <t>401816473</t>
        </is>
      </c>
      <c r="E197" s="24" t="inlineStr">
        <is>
          <t>MLB</t>
        </is>
      </c>
      <c r="F197" s="24" t="inlineStr">
        <is>
          <t>Colorado Rockies</t>
        </is>
      </c>
      <c r="G197" s="24" t="inlineStr">
        <is>
          <t>Arizona Diamondbacks</t>
        </is>
      </c>
      <c r="H197" s="24" t="inlineStr">
        <is>
          <t>total</t>
        </is>
      </c>
      <c r="I197" s="24" t="inlineStr">
        <is>
          <t>over</t>
        </is>
      </c>
      <c r="J197" s="25" t="n">
        <v>8.5</v>
      </c>
      <c r="K197" s="24" t="inlineStr">
        <is>
          <t>polymarket_us</t>
        </is>
      </c>
      <c r="L197" s="26" t="n">
        <v>-113</v>
      </c>
      <c r="M197" s="27" t="n">
        <v>1.884956</v>
      </c>
      <c r="N197" s="28" t="n">
        <v>0.530516</v>
      </c>
      <c r="O197" s="28" t="n">
        <v>0.514618</v>
      </c>
      <c r="P197" s="28" t="n">
        <v>0.05172</v>
      </c>
      <c r="Q197" s="28" t="n">
        <v>-0.015898</v>
      </c>
      <c r="R197" s="26" t="n">
        <v>13</v>
      </c>
      <c r="S197" s="29" t="n">
        <v>1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9</v>
      </c>
      <c r="Y197" s="25" t="n">
        <v>8.5</v>
      </c>
      <c r="Z197" s="26" t="n">
        <v>-113</v>
      </c>
      <c r="AA197" s="28" t="n">
        <v>0.53</v>
      </c>
      <c r="AB197" s="28" t="n">
        <v>-0.000516</v>
      </c>
      <c r="AC197" s="30" t="n">
        <v>0.885</v>
      </c>
      <c r="AD197" s="24" t="inlineStr">
        <is>
          <t>2026-08-11T13:06:51.293822Z</t>
        </is>
      </c>
      <c r="AE197" s="31" t="inlineStr">
        <is>
          <t>Measured Edge Totals: Trend Engine projected 4.36-4.90; raw selected-side p=0.5355, calibrated p=0.5146.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mlb-col</t>
        </is>
      </c>
      <c r="AQ197" s="24" t="inlineStr">
        <is>
          <t>Colorado Rockies</t>
        </is>
      </c>
      <c r="AR197" s="24" t="inlineStr">
        <is>
          <t>Colorado Rockies</t>
        </is>
      </c>
      <c r="AS197" s="24" t="inlineStr">
        <is>
          <t>mlb-ari</t>
        </is>
      </c>
      <c r="AT197" s="24" t="inlineStr">
        <is>
          <t>Arizona Diamondbacks</t>
        </is>
      </c>
      <c r="AU197" s="24" t="inlineStr">
        <is>
          <t>Arizona Diamondbacks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2026-08-10T16:35:10.426686Z</t>
        </is>
      </c>
      <c r="BI197" s="24" t="inlineStr">
        <is>
          <t>["same_event","same_team_same_day","same_league_same_day"]</t>
        </is>
      </c>
      <c r="BJ197" s="25" t="n">
        <v>8.5</v>
      </c>
      <c r="BK197" s="26" t="n">
        <v>-113</v>
      </c>
      <c r="BL197" s="27" t="n">
        <v>1.884956</v>
      </c>
      <c r="BM197" s="28" t="n">
        <v>0.530516</v>
      </c>
      <c r="BN197" s="28" t="n">
        <v>0.527363</v>
      </c>
      <c r="BO197" s="28" t="n"/>
      <c r="BP197" s="25" t="n"/>
      <c r="BQ197" s="27" t="n">
        <v>1.884956</v>
      </c>
      <c r="BR197" s="28" t="n">
        <v>0.53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</row>
    <row r="198" ht="36" customHeight="1">
      <c r="A198" s="24" t="inlineStr">
        <is>
          <t>cf86abe623ea452c</t>
        </is>
      </c>
      <c r="B198" s="24" t="inlineStr">
        <is>
          <t>2026-08-10T16:35:10.426686Z</t>
        </is>
      </c>
      <c r="C198" s="24" t="inlineStr">
        <is>
          <t>2026-08-11T01:40Z</t>
        </is>
      </c>
      <c r="D198" s="24" t="inlineStr">
        <is>
          <t>401816476</t>
        </is>
      </c>
      <c r="E198" s="24" t="inlineStr">
        <is>
          <t>MLB</t>
        </is>
      </c>
      <c r="F198" s="24" t="inlineStr">
        <is>
          <t>Milwaukee Brewers</t>
        </is>
      </c>
      <c r="G198" s="24" t="inlineStr">
        <is>
          <t>San Diego Padres</t>
        </is>
      </c>
      <c r="H198" s="24" t="inlineStr">
        <is>
          <t>spread</t>
        </is>
      </c>
      <c r="I198" s="24" t="inlineStr">
        <is>
          <t>home</t>
        </is>
      </c>
      <c r="J198" s="25" t="n">
        <v>1.5</v>
      </c>
      <c r="K198" s="24" t="inlineStr">
        <is>
          <t>polymarket_us</t>
        </is>
      </c>
      <c r="L198" s="26" t="n">
        <v>-163</v>
      </c>
      <c r="M198" s="27" t="n">
        <v>1.613497</v>
      </c>
      <c r="N198" s="28" t="n">
        <v>0.619772</v>
      </c>
      <c r="O198" s="28" t="n">
        <v>0.591614</v>
      </c>
      <c r="P198" s="28" t="n">
        <v>0.042131</v>
      </c>
      <c r="Q198" s="28" t="n">
        <v>-0.028158</v>
      </c>
      <c r="R198" s="26" t="n">
        <v>12</v>
      </c>
      <c r="S198" s="29" t="n">
        <v>1.25</v>
      </c>
      <c r="T198" s="24" t="inlineStr">
        <is>
          <t>measured-edge-margin-v3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3</v>
      </c>
      <c r="Y198" s="25" t="n">
        <v>1.5</v>
      </c>
      <c r="Z198" s="26" t="n">
        <v>-163</v>
      </c>
      <c r="AA198" s="28" t="n">
        <v>0.62</v>
      </c>
      <c r="AB198" s="28" t="n">
        <v>0.000228</v>
      </c>
      <c r="AC198" s="30" t="n">
        <v>0.7669</v>
      </c>
      <c r="AD198" s="24" t="inlineStr">
        <is>
          <t>2026-08-11T13:06:52.752457Z</t>
        </is>
      </c>
      <c r="AE198" s="31" t="inlineStr">
        <is>
          <t>Measured Edge Margin: Trend Engine projected 4.48-4.13; raw selected-side p=0.6344, calibrated p=0.5916.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mlb-mil</t>
        </is>
      </c>
      <c r="AQ198" s="24" t="inlineStr">
        <is>
          <t>Milwaukee Brewers</t>
        </is>
      </c>
      <c r="AR198" s="24" t="inlineStr">
        <is>
          <t>Milwaukee Brewers</t>
        </is>
      </c>
      <c r="AS198" s="24" t="inlineStr">
        <is>
          <t>mlb-sd</t>
        </is>
      </c>
      <c r="AT198" s="24" t="inlineStr">
        <is>
          <t>San Diego Padres</t>
        </is>
      </c>
      <c r="AU198" s="24" t="inlineStr">
        <is>
          <t>San Diego Padres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dd339a2eed50d7d83ab2127837995ddab82e879afd27f5414bb6c1f9cd60ba4c</t>
        </is>
      </c>
      <c r="BB198" s="24" t="inlineStr">
        <is>
          <t>flat_probability_shrinkage_toward_half</t>
        </is>
      </c>
      <c r="BC198" s="24" t="inlineStr">
        <is>
          <t>measured-edge-margin-v3</t>
        </is>
      </c>
      <c r="BD198" s="24" t="inlineStr">
        <is>
          <t>dd339a2eed50d7d83ab2127837995ddab82e879afd27f5414bb6c1f9cd60ba4c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2026-08-10T16:35:10.426686Z</t>
        </is>
      </c>
      <c r="BI198" s="24" t="inlineStr">
        <is>
          <t>["same_event","same_team_same_day","same_league_same_day"]</t>
        </is>
      </c>
      <c r="BJ198" s="25" t="n">
        <v>1.5</v>
      </c>
      <c r="BK198" s="26" t="n">
        <v>-163</v>
      </c>
      <c r="BL198" s="27" t="n">
        <v>1.613497</v>
      </c>
      <c r="BM198" s="28" t="n">
        <v>0.619772</v>
      </c>
      <c r="BN198" s="28" t="n">
        <v>0.616915</v>
      </c>
      <c r="BO198" s="28" t="n"/>
      <c r="BP198" s="25" t="n"/>
      <c r="BQ198" s="27" t="n">
        <v>1.613497</v>
      </c>
      <c r="BR198" s="28" t="n">
        <v>0.62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95af97cee58742cd</t>
        </is>
      </c>
      <c r="B199" s="24" t="inlineStr">
        <is>
          <t>2026-08-10T16:35:10.426686Z</t>
        </is>
      </c>
      <c r="C199" s="24" t="inlineStr">
        <is>
          <t>2026-08-11T01:40Z</t>
        </is>
      </c>
      <c r="D199" s="24" t="inlineStr">
        <is>
          <t>401816476</t>
        </is>
      </c>
      <c r="E199" s="24" t="inlineStr">
        <is>
          <t>MLB</t>
        </is>
      </c>
      <c r="F199" s="24" t="inlineStr">
        <is>
          <t>Milwaukee Brewers</t>
        </is>
      </c>
      <c r="G199" s="24" t="inlineStr">
        <is>
          <t>San Diego Padres</t>
        </is>
      </c>
      <c r="H199" s="24" t="inlineStr">
        <is>
          <t>total</t>
        </is>
      </c>
      <c r="I199" s="24" t="inlineStr">
        <is>
          <t>over</t>
        </is>
      </c>
      <c r="J199" s="25" t="n">
        <v>7.5</v>
      </c>
      <c r="K199" s="24" t="inlineStr">
        <is>
          <t>polymarket_us</t>
        </is>
      </c>
      <c r="L199" s="26" t="n">
        <v>122</v>
      </c>
      <c r="M199" s="27" t="n">
        <v>2.22</v>
      </c>
      <c r="N199" s="28" t="n">
        <v>0.45045</v>
      </c>
      <c r="O199" s="28" t="n">
        <v>0.520903</v>
      </c>
      <c r="P199" s="28" t="n">
        <v>0.042131</v>
      </c>
      <c r="Q199" s="28" t="n">
        <v>0.070453</v>
      </c>
      <c r="R199" s="26" t="n">
        <v>61</v>
      </c>
      <c r="S199" s="29" t="n">
        <v>1</v>
      </c>
      <c r="T199" s="24" t="inlineStr">
        <is>
          <t>measured-edge-totals-v3</t>
        </is>
      </c>
      <c r="U199" s="24" t="inlineStr">
        <is>
          <t>settled</t>
        </is>
      </c>
      <c r="V199" s="24" t="inlineStr">
        <is>
          <t>loss</t>
        </is>
      </c>
      <c r="W199" s="26" t="n">
        <v>2</v>
      </c>
      <c r="X199" s="26" t="n">
        <v>3</v>
      </c>
      <c r="Y199" s="25" t="n">
        <v>7.5</v>
      </c>
      <c r="Z199" s="26" t="n">
        <v>122</v>
      </c>
      <c r="AA199" s="28" t="n">
        <v>0.45</v>
      </c>
      <c r="AB199" s="28" t="n">
        <v>-0.00045</v>
      </c>
      <c r="AC199" s="30" t="n">
        <v>-1</v>
      </c>
      <c r="AD199" s="24" t="inlineStr">
        <is>
          <t>2026-08-11T13:06:54.260696Z</t>
        </is>
      </c>
      <c r="AE199" s="31" t="inlineStr">
        <is>
          <t>Measured Edge Totals: Trend Engine projected 4.48-4.13; raw selected-side p=0.5608, calibrated p=0.5209.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mlb-mil</t>
        </is>
      </c>
      <c r="AQ199" s="24" t="inlineStr">
        <is>
          <t>Milwaukee Brewers</t>
        </is>
      </c>
      <c r="AR199" s="24" t="inlineStr">
        <is>
          <t>Milwaukee Brewers</t>
        </is>
      </c>
      <c r="AS199" s="24" t="inlineStr">
        <is>
          <t>mlb-sd</t>
        </is>
      </c>
      <c r="AT199" s="24" t="inlineStr">
        <is>
          <t>San Diego Padres</t>
        </is>
      </c>
      <c r="AU199" s="24" t="inlineStr">
        <is>
          <t>San Diego Padres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95b84332c75d2ce54036eb8de6ada9c78d0f80228c50825c0347281a8b9b49c7</t>
        </is>
      </c>
      <c r="BB199" s="24" t="inlineStr">
        <is>
          <t>flat_probability_shrinkage_toward_half</t>
        </is>
      </c>
      <c r="BC199" s="24" t="inlineStr">
        <is>
          <t>measured-edge-totals-v3</t>
        </is>
      </c>
      <c r="BD199" s="24" t="inlineStr">
        <is>
          <t>95b84332c75d2ce54036eb8de6ada9c78d0f80228c50825c0347281a8b9b49c7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2026-08-10T16:35:10.426686Z</t>
        </is>
      </c>
      <c r="BI199" s="24" t="inlineStr">
        <is>
          <t>["same_event","same_team_same_day","same_league_same_day"]</t>
        </is>
      </c>
      <c r="BJ199" s="25" t="n">
        <v>7.5</v>
      </c>
      <c r="BK199" s="26" t="n">
        <v>122</v>
      </c>
      <c r="BL199" s="27" t="n">
        <v>2.22</v>
      </c>
      <c r="BM199" s="28" t="n">
        <v>0.45045</v>
      </c>
      <c r="BN199" s="28" t="n">
        <v>0.447761</v>
      </c>
      <c r="BO199" s="28" t="n"/>
      <c r="BP199" s="25" t="n"/>
      <c r="BQ199" s="27" t="n">
        <v>2.22</v>
      </c>
      <c r="BR199" s="28" t="n">
        <v>0.45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</row>
    <row r="200" ht="36" customHeight="1">
      <c r="A200" s="24" t="inlineStr">
        <is>
          <t>ebd331ffd1be43b5</t>
        </is>
      </c>
      <c r="B200" s="24" t="inlineStr">
        <is>
          <t>2026-08-10T16:35:10.426686Z</t>
        </is>
      </c>
      <c r="C200" s="24" t="inlineStr">
        <is>
          <t>2026-08-11T01:40Z</t>
        </is>
      </c>
      <c r="D200" s="24" t="inlineStr">
        <is>
          <t>401816477</t>
        </is>
      </c>
      <c r="E200" s="24" t="inlineStr">
        <is>
          <t>MLB</t>
        </is>
      </c>
      <c r="F200" s="24" t="inlineStr">
        <is>
          <t>Tampa Bay Rays</t>
        </is>
      </c>
      <c r="G200" s="24" t="inlineStr">
        <is>
          <t>Athletics</t>
        </is>
      </c>
      <c r="H200" s="24" t="inlineStr">
        <is>
          <t>spread</t>
        </is>
      </c>
      <c r="I200" s="24" t="inlineStr">
        <is>
          <t>home</t>
        </is>
      </c>
      <c r="J200" s="25" t="n">
        <v>1.5</v>
      </c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0.645922</v>
      </c>
      <c r="P200" s="28" t="n">
        <v>0.042131</v>
      </c>
      <c r="Q200" s="28" t="n">
        <v>0.131359</v>
      </c>
      <c r="R200" s="26" t="n">
        <v>91</v>
      </c>
      <c r="S200" s="29" t="n">
        <v>1.75</v>
      </c>
      <c r="T200" s="24" t="inlineStr">
        <is>
          <t>measured-edge-margin-v3</t>
        </is>
      </c>
      <c r="U200" s="24" t="inlineStr">
        <is>
          <t>settled</t>
        </is>
      </c>
      <c r="V200" s="24" t="inlineStr">
        <is>
          <t>loss</t>
        </is>
      </c>
      <c r="W200" s="26" t="n">
        <v>10</v>
      </c>
      <c r="X200" s="26" t="n">
        <v>6</v>
      </c>
      <c r="Y200" s="25" t="n">
        <v>1.5</v>
      </c>
      <c r="Z200" s="26" t="n">
        <v>-106</v>
      </c>
      <c r="AA200" s="28" t="n">
        <v>0.515</v>
      </c>
      <c r="AB200" s="28" t="n">
        <v>0.000437</v>
      </c>
      <c r="AC200" s="30" t="n">
        <v>-1.75</v>
      </c>
      <c r="AD200" s="24" t="inlineStr">
        <is>
          <t>2026-08-11T13:06:55.774479Z</t>
        </is>
      </c>
      <c r="AE200" s="31" t="inlineStr">
        <is>
          <t>Measured Edge Margin: Trend Engine projected 4.71-5.38; raw selected-side p=0.7141, calibrated p=0.6459.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mlb-tb</t>
        </is>
      </c>
      <c r="AQ200" s="24" t="inlineStr">
        <is>
          <t>Tampa Bay Rays</t>
        </is>
      </c>
      <c r="AR200" s="24" t="inlineStr">
        <is>
          <t>Tampa Bay Rays</t>
        </is>
      </c>
      <c r="AS200" s="24" t="inlineStr">
        <is>
          <t>mlb-ath</t>
        </is>
      </c>
      <c r="AT200" s="24" t="inlineStr">
        <is>
          <t>Athletics</t>
        </is>
      </c>
      <c r="AU200" s="24" t="inlineStr">
        <is>
          <t>Athletics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dd339a2eed50d7d83ab2127837995ddab82e879afd27f5414bb6c1f9cd60ba4c</t>
        </is>
      </c>
      <c r="BB200" s="24" t="inlineStr">
        <is>
          <t>flat_probability_shrinkage_toward_half</t>
        </is>
      </c>
      <c r="BC200" s="24" t="inlineStr">
        <is>
          <t>measured-edge-margin-v3</t>
        </is>
      </c>
      <c r="BD200" s="24" t="inlineStr">
        <is>
          <t>dd339a2eed50d7d83ab2127837995ddab82e879afd27f5414bb6c1f9cd60ba4c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2026-08-10T16:35:10.426686Z</t>
        </is>
      </c>
      <c r="BI200" s="24" t="inlineStr">
        <is>
          <t>["same_event","same_team_same_day","same_league_same_day"]</t>
        </is>
      </c>
      <c r="BJ200" s="25" t="n">
        <v>1.5</v>
      </c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</row>
    <row r="201" ht="36" customHeight="1">
      <c r="A201" s="24" t="inlineStr">
        <is>
          <t>3cdf18f9420f4632</t>
        </is>
      </c>
      <c r="B201" s="24" t="inlineStr">
        <is>
          <t>2026-08-10T16:35:10.426686Z</t>
        </is>
      </c>
      <c r="C201" s="24" t="inlineStr">
        <is>
          <t>2026-08-11T01:40Z</t>
        </is>
      </c>
      <c r="D201" s="24" t="inlineStr">
        <is>
          <t>401816477</t>
        </is>
      </c>
      <c r="E201" s="24" t="inlineStr">
        <is>
          <t>MLB</t>
        </is>
      </c>
      <c r="F201" s="24" t="inlineStr">
        <is>
          <t>Tampa Bay Rays</t>
        </is>
      </c>
      <c r="G201" s="24" t="inlineStr">
        <is>
          <t>Athletics</t>
        </is>
      </c>
      <c r="H201" s="24" t="inlineStr">
        <is>
          <t>total</t>
        </is>
      </c>
      <c r="I201" s="24" t="inlineStr">
        <is>
          <t>over</t>
        </is>
      </c>
      <c r="J201" s="25" t="n">
        <v>9.5</v>
      </c>
      <c r="K201" s="24" t="inlineStr">
        <is>
          <t>polymarket_us</t>
        </is>
      </c>
      <c r="L201" s="26" t="n">
        <v>-113</v>
      </c>
      <c r="M201" s="27" t="n">
        <v>1.884956</v>
      </c>
      <c r="N201" s="28" t="n">
        <v>0.530516</v>
      </c>
      <c r="O201" s="28" t="n">
        <v>0.505862</v>
      </c>
      <c r="P201" s="28" t="n">
        <v>0.042131</v>
      </c>
      <c r="Q201" s="28" t="n">
        <v>-0.024654</v>
      </c>
      <c r="R201" s="26" t="n">
        <v>15</v>
      </c>
      <c r="S201" s="29" t="n">
        <v>1</v>
      </c>
      <c r="T201" s="24" t="inlineStr">
        <is>
          <t>measured-edge-totals-v3</t>
        </is>
      </c>
      <c r="U201" s="24" t="inlineStr">
        <is>
          <t>settled</t>
        </is>
      </c>
      <c r="V201" s="24" t="inlineStr">
        <is>
          <t>win</t>
        </is>
      </c>
      <c r="W201" s="26" t="n">
        <v>10</v>
      </c>
      <c r="X201" s="26" t="n">
        <v>6</v>
      </c>
      <c r="Y201" s="25" t="n">
        <v>9.5</v>
      </c>
      <c r="Z201" s="26" t="n">
        <v>-113</v>
      </c>
      <c r="AA201" s="28" t="n">
        <v>0.53</v>
      </c>
      <c r="AB201" s="28" t="n">
        <v>-0.000516</v>
      </c>
      <c r="AC201" s="30" t="n">
        <v>0.885</v>
      </c>
      <c r="AD201" s="24" t="inlineStr">
        <is>
          <t>2026-08-11T13:06:57.233263Z</t>
        </is>
      </c>
      <c r="AE201" s="31" t="inlineStr">
        <is>
          <t>Measured Edge Totals: Trend Engine projected 4.71-5.38; raw selected-side p=0.5002, calibrated p=0.5059.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mlb-tb</t>
        </is>
      </c>
      <c r="AQ201" s="24" t="inlineStr">
        <is>
          <t>Tampa Bay Rays</t>
        </is>
      </c>
      <c r="AR201" s="24" t="inlineStr">
        <is>
          <t>Tampa Bay Rays</t>
        </is>
      </c>
      <c r="AS201" s="24" t="inlineStr">
        <is>
          <t>mlb-ath</t>
        </is>
      </c>
      <c r="AT201" s="24" t="inlineStr">
        <is>
          <t>Athletics</t>
        </is>
      </c>
      <c r="AU201" s="24" t="inlineStr">
        <is>
          <t>Athletics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95b84332c75d2ce54036eb8de6ada9c78d0f80228c50825c0347281a8b9b49c7</t>
        </is>
      </c>
      <c r="BB201" s="24" t="inlineStr">
        <is>
          <t>flat_probability_shrinkage_toward_half</t>
        </is>
      </c>
      <c r="BC201" s="24" t="inlineStr">
        <is>
          <t>measured-edge-totals-v3</t>
        </is>
      </c>
      <c r="BD201" s="24" t="inlineStr">
        <is>
          <t>95b84332c75d2ce54036eb8de6ada9c78d0f80228c50825c0347281a8b9b49c7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2026-08-10T16:35:10.426686Z</t>
        </is>
      </c>
      <c r="BI201" s="24" t="inlineStr">
        <is>
          <t>["same_event","same_team_same_day","same_league_same_day"]</t>
        </is>
      </c>
      <c r="BJ201" s="25" t="n">
        <v>9.5</v>
      </c>
      <c r="BK201" s="26" t="n">
        <v>-113</v>
      </c>
      <c r="BL201" s="27" t="n">
        <v>1.884956</v>
      </c>
      <c r="BM201" s="28" t="n">
        <v>0.530516</v>
      </c>
      <c r="BN201" s="28" t="n">
        <v>0.524752</v>
      </c>
      <c r="BO201" s="28" t="n"/>
      <c r="BP201" s="25" t="n"/>
      <c r="BQ201" s="27" t="n">
        <v>1.884956</v>
      </c>
      <c r="BR201" s="28" t="n">
        <v>0.53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</row>
    <row r="202" ht="36" customHeight="1">
      <c r="A202" s="24" t="inlineStr">
        <is>
          <t>3c6e6b37ed4a4199</t>
        </is>
      </c>
      <c r="B202" s="24" t="inlineStr">
        <is>
          <t>2026-08-10T16:35:10.426686Z</t>
        </is>
      </c>
      <c r="C202" s="24" t="inlineStr">
        <is>
          <t>2026-08-11T01:45Z</t>
        </is>
      </c>
      <c r="D202" s="24" t="inlineStr">
        <is>
          <t>401816474</t>
        </is>
      </c>
      <c r="E202" s="24" t="inlineStr">
        <is>
          <t>MLB</t>
        </is>
      </c>
      <c r="F202" s="24" t="inlineStr">
        <is>
          <t>Houston Astros</t>
        </is>
      </c>
      <c r="G202" s="24" t="inlineStr">
        <is>
          <t>San Francisco Giants</t>
        </is>
      </c>
      <c r="H202" s="24" t="inlineStr">
        <is>
          <t>spread</t>
        </is>
      </c>
      <c r="I202" s="24" t="inlineStr">
        <is>
          <t>home</t>
        </is>
      </c>
      <c r="J202" s="25" t="n">
        <v>1.5</v>
      </c>
      <c r="K202" s="24" t="inlineStr">
        <is>
          <t>polymarket_us</t>
        </is>
      </c>
      <c r="L202" s="26" t="n">
        <v>-127</v>
      </c>
      <c r="M202" s="27" t="n">
        <v>1.787402</v>
      </c>
      <c r="N202" s="28" t="n">
        <v>0.5594710000000001</v>
      </c>
      <c r="O202" s="28" t="n">
        <v>0.621289</v>
      </c>
      <c r="P202" s="28" t="n">
        <v>0.05172</v>
      </c>
      <c r="Q202" s="28" t="n">
        <v>0.061818</v>
      </c>
      <c r="R202" s="26" t="n">
        <v>51</v>
      </c>
      <c r="S202" s="29" t="n">
        <v>1.5</v>
      </c>
      <c r="T202" s="24" t="inlineStr">
        <is>
          <t>measured-edge-margin-v3</t>
        </is>
      </c>
      <c r="U202" s="24" t="inlineStr">
        <is>
          <t>settled</t>
        </is>
      </c>
      <c r="V202" s="24" t="inlineStr">
        <is>
          <t>loss</t>
        </is>
      </c>
      <c r="W202" s="26" t="n">
        <v>6</v>
      </c>
      <c r="X202" s="26" t="n">
        <v>3</v>
      </c>
      <c r="Y202" s="25" t="n">
        <v>1.5</v>
      </c>
      <c r="Z202" s="26" t="n">
        <v>-127</v>
      </c>
      <c r="AA202" s="28" t="n">
        <v>0.5600000000000001</v>
      </c>
      <c r="AB202" s="28" t="n">
        <v>0.000529</v>
      </c>
      <c r="AC202" s="30" t="n">
        <v>-1.5</v>
      </c>
      <c r="AD202" s="24" t="inlineStr">
        <is>
          <t>2026-08-11T13:06:58.742669Z</t>
        </is>
      </c>
      <c r="AE202" s="31" t="inlineStr">
        <is>
          <t>Measured Edge Margin: Trend Engine projected 4.41-4.47; raw selected-side p=0.6780, calibrated p=0.6213.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mlb-hou</t>
        </is>
      </c>
      <c r="AQ202" s="24" t="inlineStr">
        <is>
          <t>Houston Astros</t>
        </is>
      </c>
      <c r="AR202" s="24" t="inlineStr">
        <is>
          <t>Houston Astros</t>
        </is>
      </c>
      <c r="AS202" s="24" t="inlineStr">
        <is>
          <t>mlb-sf</t>
        </is>
      </c>
      <c r="AT202" s="24" t="inlineStr">
        <is>
          <t>San Francisco Giants</t>
        </is>
      </c>
      <c r="AU202" s="24" t="inlineStr">
        <is>
          <t>San Francisco Giants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dd339a2eed50d7d83ab2127837995ddab82e879afd27f5414bb6c1f9cd60ba4c</t>
        </is>
      </c>
      <c r="BB202" s="24" t="inlineStr">
        <is>
          <t>flat_probability_shrinkage_toward_half</t>
        </is>
      </c>
      <c r="BC202" s="24" t="inlineStr">
        <is>
          <t>measured-edge-margin-v3</t>
        </is>
      </c>
      <c r="BD202" s="24" t="inlineStr">
        <is>
          <t>dd339a2eed50d7d83ab2127837995ddab82e879afd27f5414bb6c1f9cd60ba4c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2026-08-10T16:35:10.426686Z</t>
        </is>
      </c>
      <c r="BI202" s="24" t="inlineStr">
        <is>
          <t>["same_event","same_team_same_day","same_league_same_day"]</t>
        </is>
      </c>
      <c r="BJ202" s="25" t="n">
        <v>1.5</v>
      </c>
      <c r="BK202" s="26" t="n">
        <v>-127</v>
      </c>
      <c r="BL202" s="27" t="n">
        <v>1.787402</v>
      </c>
      <c r="BM202" s="28" t="n">
        <v>0.5594710000000001</v>
      </c>
      <c r="BN202" s="28" t="n">
        <v>0.557214</v>
      </c>
      <c r="BO202" s="28" t="n"/>
      <c r="BP202" s="25" t="n"/>
      <c r="BQ202" s="27" t="n">
        <v>1.787402</v>
      </c>
      <c r="BR202" s="28" t="n">
        <v>0.5600000000000001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</row>
    <row r="203" ht="36" customHeight="1">
      <c r="A203" s="24" t="inlineStr">
        <is>
          <t>5a37edc422be43de</t>
        </is>
      </c>
      <c r="B203" s="24" t="inlineStr">
        <is>
          <t>2026-08-10T16:35:10.426686Z</t>
        </is>
      </c>
      <c r="C203" s="24" t="inlineStr">
        <is>
          <t>2026-08-11T01:45Z</t>
        </is>
      </c>
      <c r="D203" s="24" t="inlineStr">
        <is>
          <t>401816474</t>
        </is>
      </c>
      <c r="E203" s="24" t="inlineStr">
        <is>
          <t>MLB</t>
        </is>
      </c>
      <c r="F203" s="24" t="inlineStr">
        <is>
          <t>Houston Astros</t>
        </is>
      </c>
      <c r="G203" s="24" t="inlineStr">
        <is>
          <t>San Francisco Giants</t>
        </is>
      </c>
      <c r="H203" s="24" t="inlineStr">
        <is>
          <t>total</t>
        </is>
      </c>
      <c r="I203" s="24" t="inlineStr">
        <is>
          <t>over</t>
        </is>
      </c>
      <c r="J203" s="25" t="n">
        <v>8.5</v>
      </c>
      <c r="K203" s="24" t="inlineStr">
        <is>
          <t>polymarket_us</t>
        </is>
      </c>
      <c r="L203" s="26" t="n">
        <v>108</v>
      </c>
      <c r="M203" s="27" t="n">
        <v>2.08</v>
      </c>
      <c r="N203" s="28" t="n">
        <v>0.480769</v>
      </c>
      <c r="O203" s="28" t="n">
        <v>0.507502</v>
      </c>
      <c r="P203" s="28" t="n">
        <v>0.05172</v>
      </c>
      <c r="Q203" s="28" t="n">
        <v>0.026733</v>
      </c>
      <c r="R203" s="26" t="n">
        <v>34</v>
      </c>
      <c r="S203" s="29" t="n">
        <v>1</v>
      </c>
      <c r="T203" s="24" t="inlineStr">
        <is>
          <t>measured-edge-totals-v3</t>
        </is>
      </c>
      <c r="U203" s="24" t="inlineStr">
        <is>
          <t>settled</t>
        </is>
      </c>
      <c r="V203" s="24" t="inlineStr">
        <is>
          <t>win</t>
        </is>
      </c>
      <c r="W203" s="26" t="n">
        <v>6</v>
      </c>
      <c r="X203" s="26" t="n">
        <v>3</v>
      </c>
      <c r="Y203" s="25" t="n">
        <v>8.5</v>
      </c>
      <c r="Z203" s="26" t="n">
        <v>108</v>
      </c>
      <c r="AA203" s="28" t="n">
        <v>0.48</v>
      </c>
      <c r="AB203" s="28" t="n">
        <v>-0.000769</v>
      </c>
      <c r="AC203" s="30" t="n">
        <v>1.08</v>
      </c>
      <c r="AD203" s="24" t="inlineStr">
        <is>
          <t>2026-08-11T13:07:00.251270Z</t>
        </is>
      </c>
      <c r="AE203" s="31" t="inlineStr">
        <is>
          <t>Measured Edge Totals: Trend Engine projected 4.41-4.47; raw selected-side p=0.5069, calibrated p=0.5075.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mlb-hou</t>
        </is>
      </c>
      <c r="AQ203" s="24" t="inlineStr">
        <is>
          <t>Houston Astros</t>
        </is>
      </c>
      <c r="AR203" s="24" t="inlineStr">
        <is>
          <t>Houston Astros</t>
        </is>
      </c>
      <c r="AS203" s="24" t="inlineStr">
        <is>
          <t>mlb-sf</t>
        </is>
      </c>
      <c r="AT203" s="24" t="inlineStr">
        <is>
          <t>San Francisco Giants</t>
        </is>
      </c>
      <c r="AU203" s="24" t="inlineStr">
        <is>
          <t>San Francisco Giants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95b84332c75d2ce54036eb8de6ada9c78d0f80228c50825c0347281a8b9b49c7</t>
        </is>
      </c>
      <c r="BB203" s="24" t="inlineStr">
        <is>
          <t>flat_probability_shrinkage_toward_half</t>
        </is>
      </c>
      <c r="BC203" s="24" t="inlineStr">
        <is>
          <t>measured-edge-totals-v3</t>
        </is>
      </c>
      <c r="BD203" s="24" t="inlineStr">
        <is>
          <t>95b84332c75d2ce54036eb8de6ada9c78d0f80228c50825c0347281a8b9b49c7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2026-08-10T16:35:10.426686Z</t>
        </is>
      </c>
      <c r="BI203" s="24" t="inlineStr">
        <is>
          <t>["same_event","same_team_same_day","same_league_same_day"]</t>
        </is>
      </c>
      <c r="BJ203" s="25" t="n">
        <v>8.5</v>
      </c>
      <c r="BK203" s="26" t="n">
        <v>108</v>
      </c>
      <c r="BL203" s="27" t="n">
        <v>2.08</v>
      </c>
      <c r="BM203" s="28" t="n">
        <v>0.480769</v>
      </c>
      <c r="BN203" s="28" t="n">
        <v>0.477612</v>
      </c>
      <c r="BO203" s="28" t="n"/>
      <c r="BP203" s="25" t="n"/>
      <c r="BQ203" s="27" t="n">
        <v>2.08</v>
      </c>
      <c r="BR203" s="28" t="n">
        <v>0.48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61162c1daf2e4e19</t>
        </is>
      </c>
      <c r="B204" s="24" t="inlineStr">
        <is>
          <t>2026-08-10T16:35:10.426686Z</t>
        </is>
      </c>
      <c r="C204" s="24" t="inlineStr">
        <is>
          <t>2026-08-11T02:10Z</t>
        </is>
      </c>
      <c r="D204" s="24" t="inlineStr">
        <is>
          <t>401816475</t>
        </is>
      </c>
      <c r="E204" s="24" t="inlineStr">
        <is>
          <t>MLB</t>
        </is>
      </c>
      <c r="F204" s="24" t="inlineStr">
        <is>
          <t>Kansas City Royals</t>
        </is>
      </c>
      <c r="G204" s="24" t="inlineStr">
        <is>
          <t>Los Angeles Dodgers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1.5</v>
      </c>
      <c r="K204" s="24" t="inlineStr">
        <is>
          <t>polymarket_us</t>
        </is>
      </c>
      <c r="L204" s="26" t="n">
        <v>113</v>
      </c>
      <c r="M204" s="27" t="n">
        <v>2.13</v>
      </c>
      <c r="N204" s="28" t="n">
        <v>0.469484</v>
      </c>
      <c r="O204" s="28" t="n">
        <v>0.570286</v>
      </c>
      <c r="P204" s="28" t="n">
        <v>0.042131</v>
      </c>
      <c r="Q204" s="28" t="n">
        <v>0.100802</v>
      </c>
      <c r="R204" s="26" t="n">
        <v>76</v>
      </c>
      <c r="S204" s="29" t="n">
        <v>1.25</v>
      </c>
      <c r="T204" s="24" t="inlineStr">
        <is>
          <t>measured-edge-margin-v3</t>
        </is>
      </c>
      <c r="U204" s="24" t="inlineStr">
        <is>
          <t>settled</t>
        </is>
      </c>
      <c r="V204" s="24" t="inlineStr">
        <is>
          <t>win</t>
        </is>
      </c>
      <c r="W204" s="26" t="n">
        <v>5</v>
      </c>
      <c r="X204" s="26" t="n">
        <v>6</v>
      </c>
      <c r="Y204" s="25" t="n">
        <v>1.5</v>
      </c>
      <c r="Z204" s="26" t="n">
        <v>113</v>
      </c>
      <c r="AA204" s="28" t="n">
        <v>0.47</v>
      </c>
      <c r="AB204" s="28" t="n">
        <v>0.000516</v>
      </c>
      <c r="AC204" s="30" t="n">
        <v>1.4125</v>
      </c>
      <c r="AD204" s="24" t="inlineStr">
        <is>
          <t>2026-08-11T13:07:01.712191Z</t>
        </is>
      </c>
      <c r="AE204" s="31" t="inlineStr">
        <is>
          <t>Measured Edge Margin: Trend Engine projected 4.01-4.71; raw selected-side p=0.6031, calibrated p=0.5703.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mlb-kc</t>
        </is>
      </c>
      <c r="AQ204" s="24" t="inlineStr">
        <is>
          <t>Kansas City Royals</t>
        </is>
      </c>
      <c r="AR204" s="24" t="inlineStr">
        <is>
          <t>Kansas City Royals</t>
        </is>
      </c>
      <c r="AS204" s="24" t="inlineStr">
        <is>
          <t>mlb-lad</t>
        </is>
      </c>
      <c r="AT204" s="24" t="inlineStr">
        <is>
          <t>Los Angeles Dodgers</t>
        </is>
      </c>
      <c r="AU204" s="24" t="inlineStr">
        <is>
          <t>Los Angeles Dodgers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dd339a2eed50d7d83ab2127837995ddab82e879afd27f5414bb6c1f9cd60ba4c</t>
        </is>
      </c>
      <c r="BB204" s="24" t="inlineStr">
        <is>
          <t>flat_probability_shrinkage_toward_half</t>
        </is>
      </c>
      <c r="BC204" s="24" t="inlineStr">
        <is>
          <t>measured-edge-margin-v3</t>
        </is>
      </c>
      <c r="BD204" s="24" t="inlineStr">
        <is>
          <t>dd339a2eed50d7d83ab2127837995ddab82e879afd27f5414bb6c1f9cd60ba4c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2026-08-10T16:35:10.426686Z</t>
        </is>
      </c>
      <c r="BI204" s="24" t="inlineStr">
        <is>
          <t>["same_event","same_team_same_day","same_league_same_day"]</t>
        </is>
      </c>
      <c r="BJ204" s="25" t="n">
        <v>1.5</v>
      </c>
      <c r="BK204" s="26" t="n">
        <v>113</v>
      </c>
      <c r="BL204" s="27" t="n">
        <v>2.13</v>
      </c>
      <c r="BM204" s="28" t="n">
        <v>0.469484</v>
      </c>
      <c r="BN204" s="28" t="n">
        <v>0.467662</v>
      </c>
      <c r="BO204" s="28" t="n"/>
      <c r="BP204" s="25" t="n"/>
      <c r="BQ204" s="27" t="n">
        <v>2.13</v>
      </c>
      <c r="BR204" s="28" t="n">
        <v>0.47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e638a60915fb49cd</t>
        </is>
      </c>
      <c r="B205" s="24" t="inlineStr">
        <is>
          <t>2026-08-10T16:35:10.426686Z</t>
        </is>
      </c>
      <c r="C205" s="24" t="inlineStr">
        <is>
          <t>2026-08-11T02:10Z</t>
        </is>
      </c>
      <c r="D205" s="24" t="inlineStr">
        <is>
          <t>401816475</t>
        </is>
      </c>
      <c r="E205" s="24" t="inlineStr">
        <is>
          <t>MLB</t>
        </is>
      </c>
      <c r="F205" s="24" t="inlineStr">
        <is>
          <t>Kansas City Royals</t>
        </is>
      </c>
      <c r="G205" s="24" t="inlineStr">
        <is>
          <t>Los Angeles Dodgers</t>
        </is>
      </c>
      <c r="H205" s="24" t="inlineStr">
        <is>
          <t>total</t>
        </is>
      </c>
      <c r="I205" s="24" t="inlineStr">
        <is>
          <t>over</t>
        </is>
      </c>
      <c r="J205" s="25" t="n">
        <v>7.5</v>
      </c>
      <c r="K205" s="24" t="inlineStr">
        <is>
          <t>polymarket_us</t>
        </is>
      </c>
      <c r="L205" s="26" t="n">
        <v>115</v>
      </c>
      <c r="M205" s="27" t="n">
        <v>2.15</v>
      </c>
      <c r="N205" s="28" t="n">
        <v>0.465116</v>
      </c>
      <c r="O205" s="28" t="n">
        <v>0.522468</v>
      </c>
      <c r="P205" s="28" t="n">
        <v>0.042131</v>
      </c>
      <c r="Q205" s="28" t="n">
        <v>0.057352</v>
      </c>
      <c r="R205" s="26" t="n">
        <v>55</v>
      </c>
      <c r="S205" s="29" t="n">
        <v>1</v>
      </c>
      <c r="T205" s="24" t="inlineStr">
        <is>
          <t>measured-edge-totals-v3</t>
        </is>
      </c>
      <c r="U205" s="24" t="inlineStr">
        <is>
          <t>settled</t>
        </is>
      </c>
      <c r="V205" s="24" t="inlineStr">
        <is>
          <t>win</t>
        </is>
      </c>
      <c r="W205" s="26" t="n">
        <v>5</v>
      </c>
      <c r="X205" s="26" t="n">
        <v>6</v>
      </c>
      <c r="Y205" s="25" t="n">
        <v>7.5</v>
      </c>
      <c r="Z205" s="26" t="n">
        <v>115</v>
      </c>
      <c r="AA205" s="28" t="n">
        <v>0.465</v>
      </c>
      <c r="AB205" s="28" t="n">
        <v>-0.000116</v>
      </c>
      <c r="AC205" s="30" t="n">
        <v>1.15</v>
      </c>
      <c r="AD205" s="24" t="inlineStr">
        <is>
          <t>2026-08-11T13:07:03.235352Z</t>
        </is>
      </c>
      <c r="AE205" s="31" t="inlineStr">
        <is>
          <t>Measured Edge Totals: Trend Engine projected 4.01-4.71; raw selected-side p=0.5671, calibrated p=0.5225.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mlb-kc</t>
        </is>
      </c>
      <c r="AQ205" s="24" t="inlineStr">
        <is>
          <t>Kansas City Royals</t>
        </is>
      </c>
      <c r="AR205" s="24" t="inlineStr">
        <is>
          <t>Kansas City Royals</t>
        </is>
      </c>
      <c r="AS205" s="24" t="inlineStr">
        <is>
          <t>mlb-lad</t>
        </is>
      </c>
      <c r="AT205" s="24" t="inlineStr">
        <is>
          <t>Los Angeles Dodgers</t>
        </is>
      </c>
      <c r="AU205" s="24" t="inlineStr">
        <is>
          <t>Los Angeles Dodgers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95b84332c75d2ce54036eb8de6ada9c78d0f80228c50825c0347281a8b9b49c7</t>
        </is>
      </c>
      <c r="BB205" s="24" t="inlineStr">
        <is>
          <t>flat_probability_shrinkage_toward_half</t>
        </is>
      </c>
      <c r="BC205" s="24" t="inlineStr">
        <is>
          <t>measured-edge-totals-v3</t>
        </is>
      </c>
      <c r="BD205" s="24" t="inlineStr">
        <is>
          <t>95b84332c75d2ce54036eb8de6ada9c78d0f80228c50825c0347281a8b9b49c7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2026-08-10T16:35:10.426686Z</t>
        </is>
      </c>
      <c r="BI205" s="24" t="inlineStr">
        <is>
          <t>["same_event","same_team_same_day","same_league_same_day"]</t>
        </is>
      </c>
      <c r="BJ205" s="25" t="n">
        <v>7.5</v>
      </c>
      <c r="BK205" s="26" t="n">
        <v>115</v>
      </c>
      <c r="BL205" s="27" t="n">
        <v>2.15</v>
      </c>
      <c r="BM205" s="28" t="n">
        <v>0.465116</v>
      </c>
      <c r="BN205" s="28" t="n">
        <v>0.462687</v>
      </c>
      <c r="BO205" s="28" t="n"/>
      <c r="BP205" s="25" t="n"/>
      <c r="BQ205" s="27" t="n">
        <v>2.15</v>
      </c>
      <c r="BR205" s="28" t="n">
        <v>0.465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cd884219be944373</t>
        </is>
      </c>
      <c r="B206" s="24" t="inlineStr">
        <is>
          <t>2026-08-11T19:56:37.866275Z</t>
        </is>
      </c>
      <c r="C206" s="24" t="inlineStr">
        <is>
          <t>2026-08-11T18:40:00-0400</t>
        </is>
      </c>
      <c r="D206" s="24" t="inlineStr">
        <is>
          <t>401816481</t>
        </is>
      </c>
      <c r="E206" s="24" t="inlineStr">
        <is>
          <t>MLB</t>
        </is>
      </c>
      <c r="F206" s="24" t="inlineStr">
        <is>
          <t>Cleveland Guardians</t>
        </is>
      </c>
      <c r="G206" s="24" t="inlineStr">
        <is>
          <t>Detroit Tigers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-127</v>
      </c>
      <c r="M206" s="27" t="n">
        <v>1.787402</v>
      </c>
      <c r="N206" s="28" t="n">
        <v>0.5594710000000001</v>
      </c>
      <c r="O206" s="28" t="n">
        <v>0.575088</v>
      </c>
      <c r="P206" s="28" t="n"/>
      <c r="Q206" s="28" t="n">
        <v>0.015617</v>
      </c>
      <c r="R206" s="26" t="n">
        <v>29</v>
      </c>
      <c r="S206" s="29" t="n">
        <v>1.25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4</v>
      </c>
      <c r="X206" s="26" t="n">
        <v>6</v>
      </c>
      <c r="Y206" s="25" t="n"/>
      <c r="Z206" s="26" t="n">
        <v>-127</v>
      </c>
      <c r="AA206" s="28" t="n">
        <v>0.5600000000000001</v>
      </c>
      <c r="AB206" s="28" t="n">
        <v>0.000529</v>
      </c>
      <c r="AC206" s="30" t="n">
        <v>0.9843</v>
      </c>
      <c r="AD206" s="24" t="inlineStr">
        <is>
          <t>2026-08-12T02:05:23.214873Z</t>
        </is>
      </c>
      <c r="AE206" s="31" t="inlineStr">
        <is>
          <t>Learned LR call at threshold 0.6197; executable ask 0.5600 (aec-mlb-cle-det-2026-08-11); model edge vs ask +0.0151.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NO_CALL_BELOW_LEARNED_CONFIDENCE</t>
        </is>
      </c>
      <c r="AP206" s="24" t="inlineStr">
        <is>
          <t>mlb-cle</t>
        </is>
      </c>
      <c r="AQ206" s="24" t="inlineStr">
        <is>
          <t>Cleveland Guardians</t>
        </is>
      </c>
      <c r="AR206" s="24" t="inlineStr">
        <is>
          <t>Cleveland Guardians</t>
        </is>
      </c>
      <c r="AS206" s="24" t="inlineStr">
        <is>
          <t>mlb-det</t>
        </is>
      </c>
      <c r="AT206" s="24" t="inlineStr">
        <is>
          <t>Detroit Tigers</t>
        </is>
      </c>
      <c r="AU206" s="24" t="inlineStr">
        <is>
          <t>Detroit Tigers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3b345499bd6bad9bcf65367a07fe0c668fb5817d4f016a0a865c01d9212fdeb8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3b345499bd6bad9bcf65367a07fe0c668fb5817d4f016a0a865c01d9212fdeb8</t>
        </is>
      </c>
      <c r="BE206" s="24" t="inlineStr">
        <is>
          <t>52d459f1b051c83a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2026-08-11T19:55:28.449865Z</t>
        </is>
      </c>
      <c r="BI206" s="24" t="inlineStr">
        <is>
          <t>["same_event","same_team_same_day","same_league_same_day"]</t>
        </is>
      </c>
      <c r="BJ206" s="25" t="n"/>
      <c r="BK206" s="26" t="n">
        <v>-127</v>
      </c>
      <c r="BL206" s="27" t="n">
        <v>1.787402</v>
      </c>
      <c r="BM206" s="28" t="n">
        <v>0.5594710000000001</v>
      </c>
      <c r="BN206" s="28" t="n">
        <v>0.557214</v>
      </c>
      <c r="BO206" s="28" t="n"/>
      <c r="BP206" s="25" t="n"/>
      <c r="BQ206" s="27" t="n">
        <v>1.787402</v>
      </c>
      <c r="BR206" s="28" t="n">
        <v>0.5600000000000001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0.5937859854</t>
        </is>
      </c>
      <c r="CD206" s="24" t="inlineStr">
        <is>
          <t>1.389878</t>
        </is>
      </c>
      <c r="CE206" s="24" t="inlineStr">
        <is>
          <t>0.963</t>
        </is>
      </c>
      <c r="CF206" s="24" t="inlineStr">
        <is>
          <t>1.0084</t>
        </is>
      </c>
      <c r="CG206" s="24" t="n"/>
      <c r="CH206" s="24" t="n"/>
      <c r="CI206" s="24" t="n"/>
      <c r="CJ206" s="24" t="inlineStr">
        <is>
          <t>2.771753</t>
        </is>
      </c>
      <c r="CK206" s="24" t="n"/>
      <c r="CL206" s="24" t="inlineStr">
        <is>
          <t>-0.464772</t>
        </is>
      </c>
      <c r="CM206" s="24" t="inlineStr">
        <is>
          <t>-2.8636</t>
        </is>
      </c>
      <c r="CN206" s="24" t="n"/>
      <c r="CO206" s="24" t="n"/>
      <c r="CP206" s="24" t="n"/>
      <c r="CQ206" s="24" t="n"/>
      <c r="CR206" s="24" t="inlineStr">
        <is>
          <t>0.575088</t>
        </is>
      </c>
      <c r="CS206" s="24" t="inlineStr">
        <is>
          <t>True</t>
        </is>
      </c>
    </row>
    <row r="207" ht="36" customHeight="1">
      <c r="A207" s="24" t="inlineStr">
        <is>
          <t>bc9a6245aa7a4214</t>
        </is>
      </c>
      <c r="B207" s="24" t="inlineStr">
        <is>
          <t>2026-08-11T19:56:37.866275Z</t>
        </is>
      </c>
      <c r="C207" s="24" t="inlineStr">
        <is>
          <t>2026-08-11T18:40:00-0400</t>
        </is>
      </c>
      <c r="D207" s="24" t="inlineStr">
        <is>
          <t>401816483</t>
        </is>
      </c>
      <c r="E207" s="24" t="inlineStr">
        <is>
          <t>MLB</t>
        </is>
      </c>
      <c r="F207" s="24" t="inlineStr">
        <is>
          <t>Pittsburgh Pirates</t>
        </is>
      </c>
      <c r="G207" s="24" t="inlineStr">
        <is>
          <t>Miami Marlins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104</v>
      </c>
      <c r="M207" s="27" t="n">
        <v>2.04</v>
      </c>
      <c r="N207" s="28" t="n">
        <v>0.490196</v>
      </c>
      <c r="O207" s="28" t="n">
        <v>0.53764</v>
      </c>
      <c r="P207" s="28" t="n"/>
      <c r="Q207" s="28" t="n">
        <v>0.047444</v>
      </c>
      <c r="R207" s="26" t="n">
        <v>45</v>
      </c>
      <c r="S207" s="29" t="n">
        <v>1</v>
      </c>
      <c r="T207" s="24" t="inlineStr">
        <is>
          <t>mlb-elo-trend-lr-v8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2</v>
      </c>
      <c r="Y207" s="25" t="n"/>
      <c r="Z207" s="26" t="n">
        <v>104</v>
      </c>
      <c r="AA207" s="28" t="n">
        <v>0.49</v>
      </c>
      <c r="AB207" s="28" t="n">
        <v>-0.000196</v>
      </c>
      <c r="AC207" s="30" t="n">
        <v>1.04</v>
      </c>
      <c r="AD207" s="24" t="inlineStr">
        <is>
          <t>2026-08-12T02:05:24.855566Z</t>
        </is>
      </c>
      <c r="AE207" s="31" t="inlineStr">
        <is>
          <t>Learned LR call at threshold 0.6197; executable ask 0.4900 (aec-mlb-pit-mia-2026-08-11); model edge vs ask +0.0476. NOTE: NO_CALL_STARTER_ERA_GAP_INSUFFICIENT_HISTORY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NO_CALL_BELOW_LEARNED_CONFIDENCE</t>
        </is>
      </c>
      <c r="AP207" s="24" t="inlineStr">
        <is>
          <t>mlb-pit</t>
        </is>
      </c>
      <c r="AQ207" s="24" t="inlineStr">
        <is>
          <t>Pittsburgh Pirates</t>
        </is>
      </c>
      <c r="AR207" s="24" t="inlineStr">
        <is>
          <t>Pittsburgh Pirates</t>
        </is>
      </c>
      <c r="AS207" s="24" t="inlineStr">
        <is>
          <t>mlb-mia</t>
        </is>
      </c>
      <c r="AT207" s="24" t="inlineStr">
        <is>
          <t>Miami Marlins</t>
        </is>
      </c>
      <c r="AU207" s="24" t="inlineStr">
        <is>
          <t>Miami Marlins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3b345499bd6bad9bcf65367a07fe0c668fb5817d4f016a0a865c01d9212fdeb8</t>
        </is>
      </c>
      <c r="BB207" s="24" t="inlineStr">
        <is>
          <t>learned_lr</t>
        </is>
      </c>
      <c r="BC207" s="24" t="inlineStr">
        <is>
          <t>mlb-elo-trend-lr-v8</t>
        </is>
      </c>
      <c r="BD207" s="24" t="inlineStr">
        <is>
          <t>3b345499bd6bad9bcf65367a07fe0c668fb5817d4f016a0a865c01d9212fdeb8</t>
        </is>
      </c>
      <c r="BE207" s="24" t="inlineStr">
        <is>
          <t>6c1ffb4c8c9252d6</t>
        </is>
      </c>
      <c r="BF207" s="24" t="inlineStr">
        <is>
          <t>1</t>
        </is>
      </c>
      <c r="BG207" s="24" t="inlineStr">
        <is>
          <t>mlb-elo-trend-lr-v8</t>
        </is>
      </c>
      <c r="BH207" s="24" t="inlineStr">
        <is>
          <t>2026-08-11T19:55:29.370904Z</t>
        </is>
      </c>
      <c r="BI207" s="24" t="inlineStr">
        <is>
          <t>["same_event","same_team_same_day","same_league_same_day"]</t>
        </is>
      </c>
      <c r="BJ207" s="25" t="n"/>
      <c r="BK207" s="26" t="n">
        <v>104</v>
      </c>
      <c r="BL207" s="27" t="n">
        <v>2.04</v>
      </c>
      <c r="BM207" s="28" t="n">
        <v>0.490196</v>
      </c>
      <c r="BN207" s="28" t="n">
        <v>0.487562</v>
      </c>
      <c r="BO207" s="28" t="n"/>
      <c r="BP207" s="25" t="n"/>
      <c r="BQ207" s="27" t="n">
        <v>2.04</v>
      </c>
      <c r="BR207" s="28" t="n">
        <v>0.49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0.5389404417</t>
        </is>
      </c>
      <c r="CD207" s="24" t="inlineStr">
        <is>
          <t>1.863897</t>
        </is>
      </c>
      <c r="CE207" s="24" t="inlineStr">
        <is>
          <t>1.001</t>
        </is>
      </c>
      <c r="CF207" s="24" t="inlineStr">
        <is>
          <t>1.0</t>
        </is>
      </c>
      <c r="CG207" s="24" t="n"/>
      <c r="CH207" s="24" t="n"/>
      <c r="CI207" s="24" t="inlineStr">
        <is>
          <t>NO_CALL_STARTER_ERA_GAP_INSUFFICIENT_HISTORY</t>
        </is>
      </c>
      <c r="CJ207" s="24" t="inlineStr">
        <is>
          <t>0.930726</t>
        </is>
      </c>
      <c r="CK207" s="24" t="n"/>
      <c r="CL207" s="24" t="inlineStr">
        <is>
          <t>0.278699</t>
        </is>
      </c>
      <c r="CM207" s="24" t="inlineStr">
        <is>
          <t>0.0</t>
        </is>
      </c>
      <c r="CN207" s="24" t="n"/>
      <c r="CO207" s="24" t="n"/>
      <c r="CP207" s="24" t="n"/>
      <c r="CQ207" s="24" t="n"/>
      <c r="CR207" s="24" t="inlineStr">
        <is>
          <t>0.53764</t>
        </is>
      </c>
      <c r="CS207" s="24" t="inlineStr">
        <is>
          <t>True</t>
        </is>
      </c>
    </row>
    <row r="208" ht="36" customHeight="1">
      <c r="A208" s="24" t="inlineStr">
        <is>
          <t>305a08a921b74a28</t>
        </is>
      </c>
      <c r="B208" s="24" t="inlineStr">
        <is>
          <t>2026-08-11T19:56:37.866275Z</t>
        </is>
      </c>
      <c r="C208" s="24" t="inlineStr">
        <is>
          <t>2026-08-11T18:45:00-0400</t>
        </is>
      </c>
      <c r="D208" s="24" t="inlineStr">
        <is>
          <t>401816480</t>
        </is>
      </c>
      <c r="E208" s="24" t="inlineStr">
        <is>
          <t>MLB</t>
        </is>
      </c>
      <c r="F208" s="24" t="inlineStr">
        <is>
          <t>Chicago Cubs</t>
        </is>
      </c>
      <c r="G208" s="24" t="inlineStr">
        <is>
          <t>Washington Nationals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-167</v>
      </c>
      <c r="M208" s="27" t="n">
        <v>1.598802</v>
      </c>
      <c r="N208" s="28" t="n">
        <v>0.625468</v>
      </c>
      <c r="O208" s="28" t="n">
        <v>0.577645</v>
      </c>
      <c r="P208" s="28" t="n"/>
      <c r="Q208" s="28" t="n">
        <v>-0.047823</v>
      </c>
      <c r="R208" s="26" t="n">
        <v>0</v>
      </c>
      <c r="S208" s="29" t="n">
        <v>1.25</v>
      </c>
      <c r="T208" s="24" t="inlineStr">
        <is>
          <t>mlb-elo-trend-lr-v8</t>
        </is>
      </c>
      <c r="U208" s="24" t="inlineStr">
        <is>
          <t>settled</t>
        </is>
      </c>
      <c r="V208" s="24" t="inlineStr">
        <is>
          <t>win</t>
        </is>
      </c>
      <c r="W208" s="26" t="n">
        <v>8</v>
      </c>
      <c r="X208" s="26" t="n">
        <v>6</v>
      </c>
      <c r="Y208" s="25" t="n"/>
      <c r="Z208" s="26" t="n">
        <v>-167</v>
      </c>
      <c r="AA208" s="28" t="n">
        <v>0.625</v>
      </c>
      <c r="AB208" s="28" t="n">
        <v>-0.000468</v>
      </c>
      <c r="AC208" s="30" t="n">
        <v>0.7485000000000001</v>
      </c>
      <c r="AD208" s="24" t="inlineStr">
        <is>
          <t>2026-08-12T02:05:26.453830Z</t>
        </is>
      </c>
      <c r="AE208" s="31" t="inlineStr">
        <is>
          <t>Learned LR call at threshold 0.6197; executable ask 0.6250 (aec-mlb-chc-wsh-2026-08-11); model edge vs ask -0.0474.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NO_CALL_BELOW_LEARNED_CONFIDENCE</t>
        </is>
      </c>
      <c r="AP208" s="24" t="inlineStr">
        <is>
          <t>mlb-chc</t>
        </is>
      </c>
      <c r="AQ208" s="24" t="inlineStr">
        <is>
          <t>Chicago Cubs</t>
        </is>
      </c>
      <c r="AR208" s="24" t="inlineStr">
        <is>
          <t>Chicago Cubs</t>
        </is>
      </c>
      <c r="AS208" s="24" t="inlineStr">
        <is>
          <t>mlb-wsh</t>
        </is>
      </c>
      <c r="AT208" s="24" t="inlineStr">
        <is>
          <t>Washington Nationals</t>
        </is>
      </c>
      <c r="AU208" s="24" t="inlineStr">
        <is>
          <t>Washington Nationals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3b345499bd6bad9bcf65367a07fe0c668fb5817d4f016a0a865c01d9212fdeb8</t>
        </is>
      </c>
      <c r="BB208" s="24" t="inlineStr">
        <is>
          <t>learned_lr</t>
        </is>
      </c>
      <c r="BC208" s="24" t="inlineStr">
        <is>
          <t>mlb-elo-trend-lr-v8</t>
        </is>
      </c>
      <c r="BD208" s="24" t="inlineStr">
        <is>
          <t>3b345499bd6bad9bcf65367a07fe0c668fb5817d4f016a0a865c01d9212fdeb8</t>
        </is>
      </c>
      <c r="BE208" s="24" t="inlineStr">
        <is>
          <t>b2b8f038900049b4</t>
        </is>
      </c>
      <c r="BF208" s="24" t="inlineStr">
        <is>
          <t>1</t>
        </is>
      </c>
      <c r="BG208" s="24" t="inlineStr">
        <is>
          <t>mlb-elo-trend-lr-v8</t>
        </is>
      </c>
      <c r="BH208" s="24" t="inlineStr">
        <is>
          <t>2026-08-11T19:55:29.968818Z</t>
        </is>
      </c>
      <c r="BI208" s="24" t="inlineStr">
        <is>
          <t>["same_event","same_team_same_day","same_league_same_day"]</t>
        </is>
      </c>
      <c r="BJ208" s="25" t="n"/>
      <c r="BK208" s="26" t="n">
        <v>-167</v>
      </c>
      <c r="BL208" s="27" t="n">
        <v>1.598802</v>
      </c>
      <c r="BM208" s="28" t="n">
        <v>0.625468</v>
      </c>
      <c r="BN208" s="28" t="n">
        <v>0.621891</v>
      </c>
      <c r="BO208" s="28" t="n"/>
      <c r="BP208" s="25" t="n"/>
      <c r="BQ208" s="27" t="n">
        <v>1.598802</v>
      </c>
      <c r="BR208" s="28" t="n">
        <v>0.625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0.4180308161</t>
        </is>
      </c>
      <c r="CD208" s="24" t="inlineStr">
        <is>
          <t>-0.400662</t>
        </is>
      </c>
      <c r="CE208" s="24" t="inlineStr">
        <is>
          <t>1.042</t>
        </is>
      </c>
      <c r="CF208" s="24" t="inlineStr">
        <is>
          <t>1.0134</t>
        </is>
      </c>
      <c r="CG208" s="24" t="n"/>
      <c r="CH208" s="24" t="n"/>
      <c r="CI208" s="24" t="n"/>
      <c r="CJ208" s="24" t="inlineStr">
        <is>
          <t>0.654643</t>
        </is>
      </c>
      <c r="CK208" s="24" t="n"/>
      <c r="CL208" s="24" t="inlineStr">
        <is>
          <t>-0.041909</t>
        </is>
      </c>
      <c r="CM208" s="24" t="inlineStr">
        <is>
          <t>3.3102</t>
        </is>
      </c>
      <c r="CN208" s="24" t="n"/>
      <c r="CO208" s="24" t="n"/>
      <c r="CP208" s="24" t="n"/>
      <c r="CQ208" s="24" t="n"/>
      <c r="CR208" s="24" t="inlineStr">
        <is>
          <t>0.577645</t>
        </is>
      </c>
      <c r="CS208" s="24" t="inlineStr">
        <is>
          <t>False</t>
        </is>
      </c>
    </row>
    <row r="209" ht="36" customHeight="1">
      <c r="A209" s="24" t="inlineStr">
        <is>
          <t>79d19a9fe33c47e2</t>
        </is>
      </c>
      <c r="B209" s="24" t="inlineStr">
        <is>
          <t>2026-08-11T23:02:00.677208Z</t>
        </is>
      </c>
      <c r="C209" s="24" t="inlineStr">
        <is>
          <t>2026-08-11T19:05:00-0400</t>
        </is>
      </c>
      <c r="D209" s="24" t="inlineStr">
        <is>
          <t>401816484</t>
        </is>
      </c>
      <c r="E209" s="24" t="inlineStr">
        <is>
          <t>MLB</t>
        </is>
      </c>
      <c r="F209" s="24" t="inlineStr">
        <is>
          <t>Seattle Mariners</t>
        </is>
      </c>
      <c r="G209" s="24" t="inlineStr">
        <is>
          <t>New York Yankees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-125</v>
      </c>
      <c r="M209" s="27" t="n">
        <v>1.8</v>
      </c>
      <c r="N209" s="28" t="n">
        <v>0.555556</v>
      </c>
      <c r="O209" s="28" t="n">
        <v>0.568261</v>
      </c>
      <c r="P209" s="28" t="n"/>
      <c r="Q209" s="28" t="n">
        <v>0.012705</v>
      </c>
      <c r="R209" s="26" t="n">
        <v>28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4</v>
      </c>
      <c r="Y209" s="25" t="n"/>
      <c r="Z209" s="26" t="n">
        <v>-125</v>
      </c>
      <c r="AA209" s="28" t="n">
        <v>0.555</v>
      </c>
      <c r="AB209" s="28" t="n">
        <v>-0.000556</v>
      </c>
      <c r="AC209" s="30" t="n">
        <v>0.8</v>
      </c>
      <c r="AD209" s="24" t="inlineStr">
        <is>
          <t>2026-08-12T05:11:16.641062Z</t>
        </is>
      </c>
      <c r="AE209" s="31" t="inlineStr">
        <is>
          <t>Learned LR call at threshold 0.6197; executable ask 0.5550 (aec-mlb-sea-nyy-2026-08-11); model edge vs ask +0.0133.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NO_CALL_BELOW_LEARNED_CONFIDENCE</t>
        </is>
      </c>
      <c r="AP209" s="24" t="inlineStr">
        <is>
          <t>mlb-sea</t>
        </is>
      </c>
      <c r="AQ209" s="24" t="inlineStr">
        <is>
          <t>Seattle Mariners</t>
        </is>
      </c>
      <c r="AR209" s="24" t="inlineStr">
        <is>
          <t>Seattle Mariners</t>
        </is>
      </c>
      <c r="AS209" s="24" t="inlineStr">
        <is>
          <t>mlb-nyy</t>
        </is>
      </c>
      <c r="AT209" s="24" t="inlineStr">
        <is>
          <t>New York Yankees</t>
        </is>
      </c>
      <c r="AU209" s="24" t="inlineStr">
        <is>
          <t>New York Yankees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d3bd98bad778f3e2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2026-08-11T23:01:14.599979Z</t>
        </is>
      </c>
      <c r="BI209" s="24" t="inlineStr">
        <is>
          <t>["same_event","same_team_same_day","same_league_same_day"]</t>
        </is>
      </c>
      <c r="BJ209" s="25" t="n"/>
      <c r="BK209" s="26" t="n">
        <v>-125</v>
      </c>
      <c r="BL209" s="27" t="n">
        <v>1.8</v>
      </c>
      <c r="BM209" s="28" t="n">
        <v>0.555556</v>
      </c>
      <c r="BN209" s="28" t="n">
        <v>0.552239</v>
      </c>
      <c r="BO209" s="28" t="n"/>
      <c r="BP209" s="25" t="n"/>
      <c r="BQ209" s="27" t="n">
        <v>1.8</v>
      </c>
      <c r="BR209" s="28" t="n">
        <v>0.555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0.580441337</t>
        </is>
      </c>
      <c r="CD209" s="24" t="inlineStr">
        <is>
          <t>0.193617</t>
        </is>
      </c>
      <c r="CE209" s="24" t="inlineStr">
        <is>
          <t>1.012</t>
        </is>
      </c>
      <c r="CF209" s="24" t="inlineStr">
        <is>
          <t>1.0133</t>
        </is>
      </c>
      <c r="CG209" s="24" t="n"/>
      <c r="CH209" s="24" t="n"/>
      <c r="CI209" s="24" t="n"/>
      <c r="CJ209" s="24" t="inlineStr">
        <is>
          <t>1.306921</t>
        </is>
      </c>
      <c r="CK209" s="24" t="n"/>
      <c r="CL209" s="24" t="inlineStr">
        <is>
          <t>-0.003604</t>
        </is>
      </c>
      <c r="CM209" s="24" t="inlineStr">
        <is>
          <t>-0.6814</t>
        </is>
      </c>
      <c r="CN209" s="24" t="n"/>
      <c r="CO209" s="24" t="n"/>
      <c r="CP209" s="24" t="n"/>
      <c r="CQ209" s="24" t="n"/>
      <c r="CR209" s="24" t="inlineStr">
        <is>
          <t>0.568261</t>
        </is>
      </c>
      <c r="CS209" s="24" t="inlineStr">
        <is>
          <t>True</t>
        </is>
      </c>
    </row>
    <row r="210" ht="36" customHeight="1">
      <c r="A210" s="24" t="inlineStr">
        <is>
          <t>ea5e50f3d4d74d51</t>
        </is>
      </c>
      <c r="B210" s="24" t="inlineStr">
        <is>
          <t>2026-08-11T23:02:00.677208Z</t>
        </is>
      </c>
      <c r="C210" s="24" t="inlineStr">
        <is>
          <t>2026-08-11T19:07:00-0400</t>
        </is>
      </c>
      <c r="D210" s="24" t="inlineStr">
        <is>
          <t>401816479</t>
        </is>
      </c>
      <c r="E210" s="24" t="inlineStr">
        <is>
          <t>MLB</t>
        </is>
      </c>
      <c r="F210" s="24" t="inlineStr">
        <is>
          <t>Boston Red Sox</t>
        </is>
      </c>
      <c r="G210" s="24" t="inlineStr">
        <is>
          <t>Toronto Blue Jays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125</v>
      </c>
      <c r="M210" s="27" t="n">
        <v>2.25</v>
      </c>
      <c r="N210" s="28" t="n">
        <v>0.444444</v>
      </c>
      <c r="O210" s="28" t="n">
        <v>0.524245</v>
      </c>
      <c r="P210" s="28" t="n"/>
      <c r="Q210" s="28" t="n">
        <v>0.079801</v>
      </c>
      <c r="R210" s="26" t="n">
        <v>61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loss</t>
        </is>
      </c>
      <c r="W210" s="26" t="n">
        <v>3</v>
      </c>
      <c r="X210" s="26" t="n">
        <v>5</v>
      </c>
      <c r="Y210" s="25" t="n"/>
      <c r="Z210" s="26" t="n">
        <v>125</v>
      </c>
      <c r="AA210" s="28" t="n">
        <v>0.445</v>
      </c>
      <c r="AB210" s="28" t="n">
        <v>0.000556</v>
      </c>
      <c r="AC210" s="30" t="n">
        <v>-1</v>
      </c>
      <c r="AD210" s="24" t="inlineStr">
        <is>
          <t>2026-08-12T02:05:31.291804Z</t>
        </is>
      </c>
      <c r="AE210" s="31" t="inlineStr">
        <is>
          <t>Learned LR call at threshold 0.6197; executable ask 0.4450 (aec-mlb-bos-tor-2026-08-11); model edge vs ask +0.0792.</t>
        </is>
      </c>
      <c r="AF210" s="31" t="inlineStr">
        <is>
          <t>Learned model; shadow-qualified via operator override.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NO_CALL_BELOW_LEARNED_CONFIDENCE</t>
        </is>
      </c>
      <c r="AP210" s="24" t="inlineStr">
        <is>
          <t>mlb-bos</t>
        </is>
      </c>
      <c r="AQ210" s="24" t="inlineStr">
        <is>
          <t>Boston Red Sox</t>
        </is>
      </c>
      <c r="AR210" s="24" t="inlineStr">
        <is>
          <t>Boston Red Sox</t>
        </is>
      </c>
      <c r="AS210" s="24" t="inlineStr">
        <is>
          <t>mlb-tor</t>
        </is>
      </c>
      <c r="AT210" s="24" t="inlineStr">
        <is>
          <t>Toronto Blue Jays</t>
        </is>
      </c>
      <c r="AU210" s="24" t="inlineStr">
        <is>
          <t>Toronto Blue Jays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2d41142e90ae28d7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2026-08-11T23:01:15.104787Z</t>
        </is>
      </c>
      <c r="BI210" s="24" t="inlineStr">
        <is>
          <t>["same_event","same_team_same_day","same_league_same_day"]</t>
        </is>
      </c>
      <c r="BJ210" s="25" t="n"/>
      <c r="BK210" s="26" t="n">
        <v>125</v>
      </c>
      <c r="BL210" s="27" t="n">
        <v>2.25</v>
      </c>
      <c r="BM210" s="28" t="n">
        <v>0.444444</v>
      </c>
      <c r="BN210" s="28" t="n">
        <v>0.442786</v>
      </c>
      <c r="BO210" s="28" t="n"/>
      <c r="BP210" s="25" t="n"/>
      <c r="BQ210" s="27" t="n">
        <v>2.25</v>
      </c>
      <c r="BR210" s="28" t="n">
        <v>0.445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0.4422775997</t>
        </is>
      </c>
      <c r="CD210" s="24" t="inlineStr">
        <is>
          <t>0.300645</t>
        </is>
      </c>
      <c r="CE210" s="24" t="inlineStr">
        <is>
          <t>1.019</t>
        </is>
      </c>
      <c r="CF210" s="24" t="inlineStr">
        <is>
          <t>1.0</t>
        </is>
      </c>
      <c r="CG210" s="24" t="n"/>
      <c r="CH210" s="24" t="n"/>
      <c r="CI210" s="24" t="n"/>
      <c r="CJ210" s="24" t="inlineStr">
        <is>
          <t>0.918917</t>
        </is>
      </c>
      <c r="CK210" s="24" t="n"/>
      <c r="CL210" s="24" t="inlineStr">
        <is>
          <t>0.12132</t>
        </is>
      </c>
      <c r="CM210" s="24" t="inlineStr">
        <is>
          <t>-2.4837</t>
        </is>
      </c>
      <c r="CN210" s="24" t="n"/>
      <c r="CO210" s="24" t="n"/>
      <c r="CP210" s="24" t="n"/>
      <c r="CQ210" s="24" t="n"/>
      <c r="CR210" s="24" t="inlineStr">
        <is>
          <t>0.524245</t>
        </is>
      </c>
      <c r="CS210" s="24" t="inlineStr">
        <is>
          <t>True</t>
        </is>
      </c>
    </row>
    <row r="211" ht="36" customHeight="1">
      <c r="A211" s="24" t="inlineStr">
        <is>
          <t>dcdc2a3e20234e32</t>
        </is>
      </c>
      <c r="B211" s="24" t="inlineStr">
        <is>
          <t>2026-08-11T23:02:00.677208Z</t>
        </is>
      </c>
      <c r="C211" s="24" t="inlineStr">
        <is>
          <t>2026-08-11T19:15:00-0400</t>
        </is>
      </c>
      <c r="D211" s="24" t="inlineStr">
        <is>
          <t>401816482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Atlanta Braves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-122</v>
      </c>
      <c r="M211" s="27" t="n">
        <v>1.819672</v>
      </c>
      <c r="N211" s="28" t="n">
        <v>0.54955</v>
      </c>
      <c r="O211" s="28" t="n">
        <v>0.628273</v>
      </c>
      <c r="P211" s="28" t="n"/>
      <c r="Q211" s="28" t="n">
        <v>0.078723</v>
      </c>
      <c r="R211" s="26" t="n">
        <v>61</v>
      </c>
      <c r="S211" s="29" t="n">
        <v>1.5</v>
      </c>
      <c r="T211" s="24" t="inlineStr">
        <is>
          <t>mlb-elo-trend-lr-v8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4</v>
      </c>
      <c r="Y211" s="25" t="n"/>
      <c r="Z211" s="26" t="n">
        <v>-122</v>
      </c>
      <c r="AA211" s="28" t="n">
        <v>0.55</v>
      </c>
      <c r="AB211" s="28" t="n">
        <v>0.00045</v>
      </c>
      <c r="AC211" s="30" t="n">
        <v>1.2295</v>
      </c>
      <c r="AD211" s="24" t="inlineStr">
        <is>
          <t>2026-08-12T02:05:32.955862Z</t>
        </is>
      </c>
      <c r="AE211" s="31" t="inlineStr">
        <is>
          <t>Learned LR call at threshold 0.6197; executable ask 0.5500 (aec-mlb-nym-atl-2026-08-11); model edge vs ask +0.0783. NOTE: NO_CALL_STARTER_ERA_GAP_INSUFFICIENT_HISTORY unavailable for this game — defaulted to neutral, other features used normally.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mlb-atl</t>
        </is>
      </c>
      <c r="AT211" s="24" t="inlineStr">
        <is>
          <t>Atlanta Braves</t>
        </is>
      </c>
      <c r="AU211" s="24" t="inlineStr">
        <is>
          <t>Atlanta Braves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3b345499bd6bad9bcf65367a07fe0c668fb5817d4f016a0a865c01d9212fdeb8</t>
        </is>
      </c>
      <c r="BB211" s="24" t="inlineStr">
        <is>
          <t>learned_lr</t>
        </is>
      </c>
      <c r="BC211" s="24" t="inlineStr">
        <is>
          <t>mlb-elo-trend-lr-v8</t>
        </is>
      </c>
      <c r="BD211" s="24" t="inlineStr">
        <is>
          <t>3b345499bd6bad9bcf65367a07fe0c668fb5817d4f016a0a865c01d9212fdeb8</t>
        </is>
      </c>
      <c r="BE211" s="24" t="inlineStr">
        <is>
          <t>a7998de244e45272</t>
        </is>
      </c>
      <c r="BF211" s="24" t="inlineStr">
        <is>
          <t>1</t>
        </is>
      </c>
      <c r="BG211" s="24" t="inlineStr">
        <is>
          <t>mlb-elo-trend-lr-v8</t>
        </is>
      </c>
      <c r="BH211" s="24" t="inlineStr">
        <is>
          <t>2026-08-11T23:01:15.761181Z</t>
        </is>
      </c>
      <c r="BI211" s="24" t="inlineStr">
        <is>
          <t>["same_event","same_team_same_day","same_league_same_day"]</t>
        </is>
      </c>
      <c r="BJ211" s="25" t="n"/>
      <c r="BK211" s="26" t="n">
        <v>-122</v>
      </c>
      <c r="BL211" s="27" t="n">
        <v>1.819672</v>
      </c>
      <c r="BM211" s="28" t="n">
        <v>0.54955</v>
      </c>
      <c r="BN211" s="28" t="n">
        <v>0.547264</v>
      </c>
      <c r="BO211" s="28" t="n"/>
      <c r="BP211" s="25" t="n"/>
      <c r="BQ211" s="27" t="n">
        <v>1.819672</v>
      </c>
      <c r="BR211" s="28" t="n">
        <v>0.55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0.6130563568</t>
        </is>
      </c>
      <c r="CD211" s="24" t="inlineStr">
        <is>
          <t>-1.986539</t>
        </is>
      </c>
      <c r="CE211" s="24" t="inlineStr">
        <is>
          <t>0.929</t>
        </is>
      </c>
      <c r="CF211" s="24" t="inlineStr">
        <is>
          <t>1.0069</t>
        </is>
      </c>
      <c r="CG211" s="24" t="n"/>
      <c r="CH211" s="24" t="n"/>
      <c r="CI211" s="24" t="inlineStr">
        <is>
          <t>NO_CALL_STARTER_ERA_GAP_INSUFFICIENT_HISTORY</t>
        </is>
      </c>
      <c r="CJ211" s="24" t="inlineStr">
        <is>
          <t>0.283928</t>
        </is>
      </c>
      <c r="CK211" s="24" t="n"/>
      <c r="CL211" s="24" t="inlineStr">
        <is>
          <t>0.212618</t>
        </is>
      </c>
      <c r="CM211" s="24" t="inlineStr">
        <is>
          <t>0.0</t>
        </is>
      </c>
      <c r="CN211" s="24" t="n"/>
      <c r="CO211" s="24" t="n"/>
      <c r="CP211" s="24" t="n"/>
      <c r="CQ211" s="24" t="n"/>
      <c r="CR211" s="24" t="inlineStr">
        <is>
          <t>0.628273</t>
        </is>
      </c>
      <c r="CS211" s="24" t="inlineStr">
        <is>
          <t>True</t>
        </is>
      </c>
    </row>
    <row r="212" ht="36" customHeight="1">
      <c r="A212" s="24" t="inlineStr">
        <is>
          <t>a4a433262b4d424c</t>
        </is>
      </c>
      <c r="B212" s="24" t="inlineStr">
        <is>
          <t>2026-08-11T23:02:00.677208Z</t>
        </is>
      </c>
      <c r="C212" s="24" t="inlineStr">
        <is>
          <t>2026-08-11T19:40:00-0400</t>
        </is>
      </c>
      <c r="D212" s="24" t="inlineStr">
        <is>
          <t>401816485</t>
        </is>
      </c>
      <c r="E212" s="24" t="inlineStr">
        <is>
          <t>MLB</t>
        </is>
      </c>
      <c r="F212" s="24" t="inlineStr">
        <is>
          <t>Baltimore Orioles</t>
        </is>
      </c>
      <c r="G212" s="24" t="inlineStr">
        <is>
          <t>Minnesota Twins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0.515128</v>
      </c>
      <c r="P212" s="28" t="n"/>
      <c r="Q212" s="28" t="n">
        <v>0.029691</v>
      </c>
      <c r="R212" s="26" t="n">
        <v>36</v>
      </c>
      <c r="S212" s="29" t="n">
        <v>1</v>
      </c>
      <c r="T212" s="24" t="inlineStr">
        <is>
          <t>mlb-elo-trend-lr-v8</t>
        </is>
      </c>
      <c r="U212" s="24" t="inlineStr">
        <is>
          <t>settled</t>
        </is>
      </c>
      <c r="V212" s="24" t="inlineStr">
        <is>
          <t>win</t>
        </is>
      </c>
      <c r="W212" s="26" t="n">
        <v>5</v>
      </c>
      <c r="X212" s="26" t="n">
        <v>2</v>
      </c>
      <c r="Y212" s="25" t="n"/>
      <c r="Z212" s="26" t="n">
        <v>106</v>
      </c>
      <c r="AA212" s="28" t="n">
        <v>0.485</v>
      </c>
      <c r="AB212" s="28" t="n">
        <v>-0.000437</v>
      </c>
      <c r="AC212" s="30" t="n">
        <v>1.06</v>
      </c>
      <c r="AD212" s="24" t="inlineStr">
        <is>
          <t>2026-08-12T05:11:18.259066Z</t>
        </is>
      </c>
      <c r="AE212" s="31" t="inlineStr">
        <is>
          <t>Learned LR call at threshold 0.6197; executable ask 0.4850 (aec-mlb-bal-min-2026-08-11); model edge vs ask +0.0301.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NO_CALL_BELOW_LEARNED_CONFIDENCE</t>
        </is>
      </c>
      <c r="AP212" s="24" t="inlineStr">
        <is>
          <t>mlb-bal</t>
        </is>
      </c>
      <c r="AQ212" s="24" t="inlineStr">
        <is>
          <t>Baltimore Orioles</t>
        </is>
      </c>
      <c r="AR212" s="24" t="inlineStr">
        <is>
          <t>Baltimore Orioles</t>
        </is>
      </c>
      <c r="AS212" s="24" t="inlineStr">
        <is>
          <t>mlb-min</t>
        </is>
      </c>
      <c r="AT212" s="24" t="inlineStr">
        <is>
          <t>Minnesota Twins</t>
        </is>
      </c>
      <c r="AU212" s="24" t="inlineStr">
        <is>
          <t>Minnesota Twins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3b345499bd6bad9bcf65367a07fe0c668fb5817d4f016a0a865c01d9212fdeb8</t>
        </is>
      </c>
      <c r="BB212" s="24" t="inlineStr">
        <is>
          <t>learned_lr</t>
        </is>
      </c>
      <c r="BC212" s="24" t="inlineStr">
        <is>
          <t>mlb-elo-trend-lr-v8</t>
        </is>
      </c>
      <c r="BD212" s="24" t="inlineStr">
        <is>
          <t>3b345499bd6bad9bcf65367a07fe0c668fb5817d4f016a0a865c01d9212fdeb8</t>
        </is>
      </c>
      <c r="BE212" s="24" t="inlineStr">
        <is>
          <t>8673fae646958c60</t>
        </is>
      </c>
      <c r="BF212" s="24" t="inlineStr">
        <is>
          <t>1</t>
        </is>
      </c>
      <c r="BG212" s="24" t="inlineStr">
        <is>
          <t>mlb-elo-trend-lr-v8</t>
        </is>
      </c>
      <c r="BH212" s="24" t="inlineStr">
        <is>
          <t>2026-08-11T23:01:16.867487Z</t>
        </is>
      </c>
      <c r="BI212" s="24" t="inlineStr">
        <is>
          <t>["same_event","same_team_same_day","same_league_same_day"]</t>
        </is>
      </c>
      <c r="BJ212" s="25" t="n"/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0.517266101</t>
        </is>
      </c>
      <c r="CD212" s="24" t="inlineStr">
        <is>
          <t>0.683843</t>
        </is>
      </c>
      <c r="CE212" s="24" t="inlineStr">
        <is>
          <t>1.037</t>
        </is>
      </c>
      <c r="CF212" s="24" t="inlineStr">
        <is>
          <t>1.0169</t>
        </is>
      </c>
      <c r="CG212" s="24" t="n"/>
      <c r="CH212" s="24" t="n"/>
      <c r="CI212" s="24" t="n"/>
      <c r="CJ212" s="24" t="inlineStr">
        <is>
          <t>1.23182</t>
        </is>
      </c>
      <c r="CK212" s="24" t="n"/>
      <c r="CL212" s="24" t="inlineStr">
        <is>
          <t>-0.40515</t>
        </is>
      </c>
      <c r="CM212" s="24" t="inlineStr">
        <is>
          <t>1.7552</t>
        </is>
      </c>
      <c r="CN212" s="24" t="n"/>
      <c r="CO212" s="24" t="n"/>
      <c r="CP212" s="24" t="n"/>
      <c r="CQ212" s="24" t="n"/>
      <c r="CR212" s="24" t="inlineStr">
        <is>
          <t>0.515128</t>
        </is>
      </c>
      <c r="CS212" s="24" t="inlineStr">
        <is>
          <t>True</t>
        </is>
      </c>
    </row>
    <row r="213" ht="36" customHeight="1">
      <c r="A213" s="24" t="inlineStr">
        <is>
          <t>65c41af92f014538</t>
        </is>
      </c>
      <c r="B213" s="24" t="inlineStr">
        <is>
          <t>2026-08-11T23:02:00.677208Z</t>
        </is>
      </c>
      <c r="C213" s="24" t="inlineStr">
        <is>
          <t>2026-08-11T19:40:00-0400</t>
        </is>
      </c>
      <c r="D213" s="24" t="inlineStr">
        <is>
          <t>401816486</t>
        </is>
      </c>
      <c r="E213" s="24" t="inlineStr">
        <is>
          <t>MLB</t>
        </is>
      </c>
      <c r="F213" s="24" t="inlineStr">
        <is>
          <t>Cincinnati Reds</t>
        </is>
      </c>
      <c r="G213" s="24" t="inlineStr">
        <is>
          <t>Chicago White Sox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-150</v>
      </c>
      <c r="M213" s="27" t="n">
        <v>1.666667</v>
      </c>
      <c r="N213" s="28" t="n">
        <v>0.6</v>
      </c>
      <c r="O213" s="28" t="n">
        <v>0.573125</v>
      </c>
      <c r="P213" s="28" t="n"/>
      <c r="Q213" s="28" t="n">
        <v>-0.026875</v>
      </c>
      <c r="R213" s="26" t="n">
        <v>8</v>
      </c>
      <c r="S213" s="29" t="n">
        <v>1.25</v>
      </c>
      <c r="T213" s="24" t="inlineStr">
        <is>
          <t>mlb-elo-trend-lr-v8</t>
        </is>
      </c>
      <c r="U213" s="24" t="inlineStr">
        <is>
          <t>settled</t>
        </is>
      </c>
      <c r="V213" s="24" t="inlineStr">
        <is>
          <t>loss</t>
        </is>
      </c>
      <c r="W213" s="26" t="n">
        <v>5</v>
      </c>
      <c r="X213" s="26" t="n">
        <v>4</v>
      </c>
      <c r="Y213" s="25" t="n"/>
      <c r="Z213" s="26" t="n">
        <v>-150</v>
      </c>
      <c r="AA213" s="28" t="n">
        <v>0.6</v>
      </c>
      <c r="AB213" s="28" t="n">
        <v>0</v>
      </c>
      <c r="AC213" s="30" t="n">
        <v>-1.25</v>
      </c>
      <c r="AD213" s="24" t="inlineStr">
        <is>
          <t>2026-08-12T05:11:19.880402Z</t>
        </is>
      </c>
      <c r="AE213" s="31" t="inlineStr">
        <is>
          <t>Learned LR call at threshold 0.6197; executable ask 0.6000 (aec-mlb-cin-cws-2026-08-11); model edge vs ask -0.0269.</t>
        </is>
      </c>
      <c r="AF213" s="31" t="inlineStr">
        <is>
          <t>Learned model; shadow-qualified via operator override.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NO_CALL_BELOW_LEARNED_CONFIDENCE</t>
        </is>
      </c>
      <c r="AP213" s="24" t="inlineStr">
        <is>
          <t>mlb-cin</t>
        </is>
      </c>
      <c r="AQ213" s="24" t="inlineStr">
        <is>
          <t>Cincinnati Reds</t>
        </is>
      </c>
      <c r="AR213" s="24" t="inlineStr">
        <is>
          <t>Cincinnati Reds</t>
        </is>
      </c>
      <c r="AS213" s="24" t="inlineStr">
        <is>
          <t>mlb-cws</t>
        </is>
      </c>
      <c r="AT213" s="24" t="inlineStr">
        <is>
          <t>Chicago White Sox</t>
        </is>
      </c>
      <c r="AU213" s="24" t="inlineStr">
        <is>
          <t>Chicago White Sox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3b345499bd6bad9bcf65367a07fe0c668fb5817d4f016a0a865c01d9212fdeb8</t>
        </is>
      </c>
      <c r="BB213" s="24" t="inlineStr">
        <is>
          <t>learned_lr</t>
        </is>
      </c>
      <c r="BC213" s="24" t="inlineStr">
        <is>
          <t>mlb-elo-trend-lr-v8</t>
        </is>
      </c>
      <c r="BD213" s="24" t="inlineStr">
        <is>
          <t>3b345499bd6bad9bcf65367a07fe0c668fb5817d4f016a0a865c01d9212fdeb8</t>
        </is>
      </c>
      <c r="BE213" s="24" t="inlineStr">
        <is>
          <t>e8f89a6a8fd64b45</t>
        </is>
      </c>
      <c r="BF213" s="24" t="inlineStr">
        <is>
          <t>1</t>
        </is>
      </c>
      <c r="BG213" s="24" t="inlineStr">
        <is>
          <t>mlb-elo-trend-lr-v8</t>
        </is>
      </c>
      <c r="BH213" s="24" t="inlineStr">
        <is>
          <t>2026-08-11T23:01:17.191452Z</t>
        </is>
      </c>
      <c r="BI213" s="24" t="inlineStr">
        <is>
          <t>["same_event","same_team_same_day","same_league_same_day"]</t>
        </is>
      </c>
      <c r="BJ213" s="25" t="n"/>
      <c r="BK213" s="26" t="n">
        <v>-150</v>
      </c>
      <c r="BL213" s="27" t="n">
        <v>1.666667</v>
      </c>
      <c r="BM213" s="28" t="n">
        <v>0.6</v>
      </c>
      <c r="BN213" s="28" t="n">
        <v>0.597015</v>
      </c>
      <c r="BO213" s="28" t="n"/>
      <c r="BP213" s="25" t="n"/>
      <c r="BQ213" s="27" t="n">
        <v>1.666667</v>
      </c>
      <c r="BR213" s="28" t="n">
        <v>0.6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0.5733262506</t>
        </is>
      </c>
      <c r="CD213" s="24" t="inlineStr">
        <is>
          <t>1.056672</t>
        </is>
      </c>
      <c r="CE213" s="24" t="inlineStr">
        <is>
          <t>0.937</t>
        </is>
      </c>
      <c r="CF213" s="24" t="inlineStr">
        <is>
          <t>1.0055</t>
        </is>
      </c>
      <c r="CG213" s="24" t="n"/>
      <c r="CH213" s="24" t="n"/>
      <c r="CI213" s="24" t="n"/>
      <c r="CJ213" s="24" t="inlineStr">
        <is>
          <t>-0.335093</t>
        </is>
      </c>
      <c r="CK213" s="24" t="n"/>
      <c r="CL213" s="24" t="inlineStr">
        <is>
          <t>-0.190597</t>
        </is>
      </c>
      <c r="CM213" s="24" t="inlineStr">
        <is>
          <t>-1.8077</t>
        </is>
      </c>
      <c r="CN213" s="24" t="n"/>
      <c r="CO213" s="24" t="n"/>
      <c r="CP213" s="24" t="n"/>
      <c r="CQ213" s="24" t="n"/>
      <c r="CR213" s="24" t="inlineStr">
        <is>
          <t>0.573125</t>
        </is>
      </c>
      <c r="CS213" s="24" t="inlineStr">
        <is>
          <t>False</t>
        </is>
      </c>
    </row>
    <row r="214" ht="36" customHeight="1">
      <c r="A214" s="24" t="inlineStr">
        <is>
          <t>60b38e2f80364af7</t>
        </is>
      </c>
      <c r="B214" s="24" t="inlineStr">
        <is>
          <t>2026-08-11T23:02:00.677208Z</t>
        </is>
      </c>
      <c r="C214" s="24" t="inlineStr">
        <is>
          <t>2026-08-11T19:45:00-0400</t>
        </is>
      </c>
      <c r="D214" s="24" t="inlineStr">
        <is>
          <t>401816487</t>
        </is>
      </c>
      <c r="E214" s="24" t="inlineStr">
        <is>
          <t>MLB</t>
        </is>
      </c>
      <c r="F214" s="24" t="inlineStr">
        <is>
          <t>Philadelphia Phillies</t>
        </is>
      </c>
      <c r="G214" s="24" t="inlineStr">
        <is>
          <t>St. Louis Cardinals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-153</v>
      </c>
      <c r="M214" s="27" t="n">
        <v>1.653595</v>
      </c>
      <c r="N214" s="28" t="n">
        <v>0.604743</v>
      </c>
      <c r="O214" s="28" t="n">
        <v>0.504957</v>
      </c>
      <c r="P214" s="28" t="n"/>
      <c r="Q214" s="28" t="n">
        <v>-0.099786</v>
      </c>
      <c r="R214" s="26" t="n">
        <v>0</v>
      </c>
      <c r="S214" s="29" t="n">
        <v>1</v>
      </c>
      <c r="T214" s="24" t="inlineStr">
        <is>
          <t>mlb-elo-trend-lr-v8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2</v>
      </c>
      <c r="Y214" s="25" t="n"/>
      <c r="Z214" s="26" t="n">
        <v>-153</v>
      </c>
      <c r="AA214" s="28" t="n">
        <v>0.605</v>
      </c>
      <c r="AB214" s="28" t="n">
        <v>0.000257</v>
      </c>
      <c r="AC214" s="30" t="n">
        <v>-1</v>
      </c>
      <c r="AD214" s="24" t="inlineStr">
        <is>
          <t>2026-08-12T05:11:21.510471Z</t>
        </is>
      </c>
      <c r="AE214" s="31" t="inlineStr">
        <is>
          <t>Learned LR call at threshold 0.6197; executable ask 0.6050 (aec-mlb-phi-stl-2026-08-11); model edge vs ask -0.1000. NOTE: NO_CALL_STARTER_ERA_GAP_INSUFFICIENT_HISTORY unavailable for this game — defaulted to neutral, other features used normally.</t>
        </is>
      </c>
      <c r="AF214" s="31" t="inlineStr">
        <is>
          <t>Learned model; shadow-qualified via operator override.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NO_CALL_BELOW_LEARNED_CONFIDENCE</t>
        </is>
      </c>
      <c r="AP214" s="24" t="inlineStr">
        <is>
          <t>mlb-phi</t>
        </is>
      </c>
      <c r="AQ214" s="24" t="inlineStr">
        <is>
          <t>Philadelphia Phillies</t>
        </is>
      </c>
      <c r="AR214" s="24" t="inlineStr">
        <is>
          <t>Philadelphia Phillies</t>
        </is>
      </c>
      <c r="AS214" s="24" t="inlineStr">
        <is>
          <t>mlb-stl</t>
        </is>
      </c>
      <c r="AT214" s="24" t="inlineStr">
        <is>
          <t>St. Louis Cardinals</t>
        </is>
      </c>
      <c r="AU214" s="24" t="inlineStr">
        <is>
          <t>St. Louis Cardinals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3b345499bd6bad9bcf65367a07fe0c668fb5817d4f016a0a865c01d9212fdeb8</t>
        </is>
      </c>
      <c r="BB214" s="24" t="inlineStr">
        <is>
          <t>learned_lr</t>
        </is>
      </c>
      <c r="BC214" s="24" t="inlineStr">
        <is>
          <t>mlb-elo-trend-lr-v8</t>
        </is>
      </c>
      <c r="BD214" s="24" t="inlineStr">
        <is>
          <t>3b345499bd6bad9bcf65367a07fe0c668fb5817d4f016a0a865c01d9212fdeb8</t>
        </is>
      </c>
      <c r="BE214" s="24" t="inlineStr">
        <is>
          <t>52b9926188231331</t>
        </is>
      </c>
      <c r="BF214" s="24" t="inlineStr">
        <is>
          <t>1</t>
        </is>
      </c>
      <c r="BG214" s="24" t="inlineStr">
        <is>
          <t>mlb-elo-trend-lr-v8</t>
        </is>
      </c>
      <c r="BH214" s="24" t="inlineStr">
        <is>
          <t>2026-08-11T23:01:17.684392Z</t>
        </is>
      </c>
      <c r="BI214" s="24" t="inlineStr">
        <is>
          <t>["same_event","same_team_same_day","same_league_same_day"]</t>
        </is>
      </c>
      <c r="BJ214" s="25" t="n"/>
      <c r="BK214" s="26" t="n">
        <v>-153</v>
      </c>
      <c r="BL214" s="27" t="n">
        <v>1.653595</v>
      </c>
      <c r="BM214" s="28" t="n">
        <v>0.604743</v>
      </c>
      <c r="BN214" s="28" t="n">
        <v>0.60199</v>
      </c>
      <c r="BO214" s="28" t="n"/>
      <c r="BP214" s="25" t="n"/>
      <c r="BQ214" s="27" t="n">
        <v>1.653595</v>
      </c>
      <c r="BR214" s="28" t="n">
        <v>0.605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0.4612565238</t>
        </is>
      </c>
      <c r="CD214" s="24" t="inlineStr">
        <is>
          <t>-0.420245</t>
        </is>
      </c>
      <c r="CE214" s="24" t="inlineStr">
        <is>
          <t>0.946</t>
        </is>
      </c>
      <c r="CF214" s="24" t="inlineStr">
        <is>
          <t>1.0253</t>
        </is>
      </c>
      <c r="CG214" s="24" t="n"/>
      <c r="CH214" s="24" t="n"/>
      <c r="CI214" s="24" t="inlineStr">
        <is>
          <t>NO_CALL_STARTER_ERA_GAP_INSUFFICIENT_HISTORY</t>
        </is>
      </c>
      <c r="CJ214" s="24" t="inlineStr">
        <is>
          <t>0.365167</t>
        </is>
      </c>
      <c r="CK214" s="24" t="n"/>
      <c r="CL214" s="24" t="inlineStr">
        <is>
          <t>0.059218</t>
        </is>
      </c>
      <c r="CM214" s="24" t="inlineStr">
        <is>
          <t>0.0</t>
        </is>
      </c>
      <c r="CN214" s="24" t="n"/>
      <c r="CO214" s="24" t="n"/>
      <c r="CP214" s="24" t="n"/>
      <c r="CQ214" s="24" t="n"/>
      <c r="CR214" s="24" t="inlineStr">
        <is>
          <t>0.504957</t>
        </is>
      </c>
      <c r="CS214" s="24" t="inlineStr">
        <is>
          <t>False</t>
        </is>
      </c>
    </row>
    <row r="215" ht="36" customHeight="1">
      <c r="A215" s="24" t="inlineStr">
        <is>
          <t>f3b7be89061a4500</t>
        </is>
      </c>
      <c r="B215" s="24" t="inlineStr">
        <is>
          <t>2026-08-11T23:02:00.677208Z</t>
        </is>
      </c>
      <c r="C215" s="24" t="inlineStr">
        <is>
          <t>2026-08-11T21:38:00-0400</t>
        </is>
      </c>
      <c r="D215" s="24" t="inlineStr">
        <is>
          <t>401816493</t>
        </is>
      </c>
      <c r="E215" s="24" t="inlineStr">
        <is>
          <t>MLB</t>
        </is>
      </c>
      <c r="F215" s="24" t="inlineStr">
        <is>
          <t>Texas Rangers</t>
        </is>
      </c>
      <c r="G215" s="24" t="inlineStr">
        <is>
          <t>Los Angeles Angels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-141</v>
      </c>
      <c r="M215" s="27" t="n">
        <v>1.70922</v>
      </c>
      <c r="N215" s="28" t="n">
        <v>0.585062</v>
      </c>
      <c r="O215" s="28" t="n">
        <v>0.517356</v>
      </c>
      <c r="P215" s="28" t="n"/>
      <c r="Q215" s="28" t="n">
        <v>-0.067706</v>
      </c>
      <c r="R215" s="26" t="n">
        <v>0</v>
      </c>
      <c r="S215" s="29" t="n">
        <v>1</v>
      </c>
      <c r="T215" s="24" t="inlineStr">
        <is>
          <t>mlb-elo-trend-lr-v8</t>
        </is>
      </c>
      <c r="U215" s="24" t="inlineStr">
        <is>
          <t>settled</t>
        </is>
      </c>
      <c r="V215" s="24" t="inlineStr">
        <is>
          <t>loss</t>
        </is>
      </c>
      <c r="W215" s="26" t="n">
        <v>2</v>
      </c>
      <c r="X215" s="26" t="n">
        <v>3</v>
      </c>
      <c r="Y215" s="25" t="n"/>
      <c r="Z215" s="26" t="n">
        <v>-141</v>
      </c>
      <c r="AA215" s="28" t="n">
        <v>0.585</v>
      </c>
      <c r="AB215" s="28" t="n">
        <v>-6.2e-05</v>
      </c>
      <c r="AC215" s="30" t="n">
        <v>-1</v>
      </c>
      <c r="AD215" s="24" t="inlineStr">
        <is>
          <t>2026-08-12T05:11:23.090733Z</t>
        </is>
      </c>
      <c r="AE215" s="31" t="inlineStr">
        <is>
          <t>Learned LR call at threshold 0.6197; executable ask 0.5850 (aec-mlb-tex-laa-2026-08-11); model edge vs ask -0.0676.</t>
        </is>
      </c>
      <c r="AF215" s="31" t="inlineStr">
        <is>
          <t>Learned model; shadow-qualified via operator override.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NO_CALL_BELOW_LEARNED_CONFIDENCE</t>
        </is>
      </c>
      <c r="AP215" s="24" t="inlineStr">
        <is>
          <t>mlb-tex</t>
        </is>
      </c>
      <c r="AQ215" s="24" t="inlineStr">
        <is>
          <t>Texas Rangers</t>
        </is>
      </c>
      <c r="AR215" s="24" t="inlineStr">
        <is>
          <t>Texas Rangers</t>
        </is>
      </c>
      <c r="AS215" s="24" t="inlineStr">
        <is>
          <t>mlb-laa</t>
        </is>
      </c>
      <c r="AT215" s="24" t="inlineStr">
        <is>
          <t>Los Angeles Angels</t>
        </is>
      </c>
      <c r="AU215" s="24" t="inlineStr">
        <is>
          <t>Los Angeles Angels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3b345499bd6bad9bcf65367a07fe0c668fb5817d4f016a0a865c01d9212fdeb8</t>
        </is>
      </c>
      <c r="BB215" s="24" t="inlineStr">
        <is>
          <t>learned_lr</t>
        </is>
      </c>
      <c r="BC215" s="24" t="inlineStr">
        <is>
          <t>mlb-elo-trend-lr-v8</t>
        </is>
      </c>
      <c r="BD215" s="24" t="inlineStr">
        <is>
          <t>3b345499bd6bad9bcf65367a07fe0c668fb5817d4f016a0a865c01d9212fdeb8</t>
        </is>
      </c>
      <c r="BE215" s="24" t="inlineStr">
        <is>
          <t>a230d66ffb194ca7</t>
        </is>
      </c>
      <c r="BF215" s="24" t="inlineStr">
        <is>
          <t>1</t>
        </is>
      </c>
      <c r="BG215" s="24" t="inlineStr">
        <is>
          <t>mlb-elo-trend-lr-v8</t>
        </is>
      </c>
      <c r="BH215" s="24" t="inlineStr">
        <is>
          <t>2026-08-11T23:01:18.264511Z</t>
        </is>
      </c>
      <c r="BI215" s="24" t="inlineStr">
        <is>
          <t>["same_event","same_team_same_day","same_league_same_day"]</t>
        </is>
      </c>
      <c r="BJ215" s="25" t="n"/>
      <c r="BK215" s="26" t="n">
        <v>-141</v>
      </c>
      <c r="BL215" s="27" t="n">
        <v>1.70922</v>
      </c>
      <c r="BM215" s="28" t="n">
        <v>0.585062</v>
      </c>
      <c r="BN215" s="28" t="n">
        <v>0.58209</v>
      </c>
      <c r="BO215" s="28" t="n"/>
      <c r="BP215" s="25" t="n"/>
      <c r="BQ215" s="27" t="n">
        <v>1.70922</v>
      </c>
      <c r="BR215" s="28" t="n">
        <v>0.585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0.4510706648</t>
        </is>
      </c>
      <c r="CD215" s="24" t="inlineStr">
        <is>
          <t>-1.109893</t>
        </is>
      </c>
      <c r="CE215" s="24" t="inlineStr">
        <is>
          <t>1.01</t>
        </is>
      </c>
      <c r="CF215" s="24" t="inlineStr">
        <is>
          <t>1.0118</t>
        </is>
      </c>
      <c r="CG215" s="24" t="n"/>
      <c r="CH215" s="24" t="n"/>
      <c r="CI215" s="24" t="n"/>
      <c r="CJ215" s="24" t="inlineStr">
        <is>
          <t>-1.794904</t>
        </is>
      </c>
      <c r="CK215" s="24" t="n"/>
      <c r="CL215" s="24" t="inlineStr">
        <is>
          <t>0.100895</t>
        </is>
      </c>
      <c r="CM215" s="24" t="inlineStr">
        <is>
          <t>-0.6063</t>
        </is>
      </c>
      <c r="CN215" s="24" t="n"/>
      <c r="CO215" s="24" t="n"/>
      <c r="CP215" s="24" t="n"/>
      <c r="CQ215" s="24" t="n"/>
      <c r="CR215" s="24" t="inlineStr">
        <is>
          <t>0.517356</t>
        </is>
      </c>
      <c r="CS215" s="24" t="inlineStr">
        <is>
          <t>False</t>
        </is>
      </c>
    </row>
    <row r="216" ht="36" customHeight="1">
      <c r="A216" s="24" t="inlineStr">
        <is>
          <t>01178297bc774037</t>
        </is>
      </c>
      <c r="B216" s="24" t="inlineStr">
        <is>
          <t>2026-08-11T23:02:00.677208Z</t>
        </is>
      </c>
      <c r="C216" s="24" t="inlineStr">
        <is>
          <t>2026-08-11T21:40:00-0400</t>
        </is>
      </c>
      <c r="D216" s="24" t="inlineStr">
        <is>
          <t>401816488</t>
        </is>
      </c>
      <c r="E216" s="24" t="inlineStr">
        <is>
          <t>MLB</t>
        </is>
      </c>
      <c r="F216" s="24" t="inlineStr">
        <is>
          <t>Colorado Rockies</t>
        </is>
      </c>
      <c r="G216" s="24" t="inlineStr">
        <is>
          <t>Arizona Diamondbacks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-167</v>
      </c>
      <c r="M216" s="27" t="n">
        <v>1.598802</v>
      </c>
      <c r="N216" s="28" t="n">
        <v>0.625468</v>
      </c>
      <c r="O216" s="28" t="n">
        <v>0.6485030000000001</v>
      </c>
      <c r="P216" s="28" t="n"/>
      <c r="Q216" s="28" t="n">
        <v>0.023035</v>
      </c>
      <c r="R216" s="26" t="n">
        <v>33</v>
      </c>
      <c r="S216" s="29" t="n">
        <v>1.75</v>
      </c>
      <c r="T216" s="24" t="inlineStr">
        <is>
          <t>mlb-elo-trend-lr-v8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2</v>
      </c>
      <c r="Y216" s="25" t="n"/>
      <c r="Z216" s="26" t="n">
        <v>-167</v>
      </c>
      <c r="AA216" s="28" t="n">
        <v>0.625</v>
      </c>
      <c r="AB216" s="28" t="n">
        <v>-0.000468</v>
      </c>
      <c r="AC216" s="30" t="n">
        <v>-1.75</v>
      </c>
      <c r="AD216" s="24" t="inlineStr">
        <is>
          <t>2026-08-12T05:11:24.724130Z</t>
        </is>
      </c>
      <c r="AE216" s="31" t="inlineStr">
        <is>
          <t>Learned LR call at threshold 0.6197; executable ask 0.6250 (aec-mlb-col-az-2026-08-11); model edge vs ask +0.0235.</t>
        </is>
      </c>
      <c r="AF216" s="31" t="inlineStr">
        <is>
          <t>Learned model; shadow-qualified via operator override.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mlb-col</t>
        </is>
      </c>
      <c r="AQ216" s="24" t="inlineStr">
        <is>
          <t>Colorado Rockies</t>
        </is>
      </c>
      <c r="AR216" s="24" t="inlineStr">
        <is>
          <t>Colorado Rockies</t>
        </is>
      </c>
      <c r="AS216" s="24" t="inlineStr">
        <is>
          <t>mlb-ari</t>
        </is>
      </c>
      <c r="AT216" s="24" t="inlineStr">
        <is>
          <t>Arizona Diamondbacks</t>
        </is>
      </c>
      <c r="AU216" s="24" t="inlineStr">
        <is>
          <t>Arizona Diamondbacks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3b345499bd6bad9bcf65367a07fe0c668fb5817d4f016a0a865c01d9212fdeb8</t>
        </is>
      </c>
      <c r="BB216" s="24" t="inlineStr">
        <is>
          <t>learned_lr</t>
        </is>
      </c>
      <c r="BC216" s="24" t="inlineStr">
        <is>
          <t>mlb-elo-trend-lr-v8</t>
        </is>
      </c>
      <c r="BD216" s="24" t="inlineStr">
        <is>
          <t>3b345499bd6bad9bcf65367a07fe0c668fb5817d4f016a0a865c01d9212fdeb8</t>
        </is>
      </c>
      <c r="BE216" s="24" t="inlineStr">
        <is>
          <t>55658b7e56d9a791</t>
        </is>
      </c>
      <c r="BF216" s="24" t="inlineStr">
        <is>
          <t>1</t>
        </is>
      </c>
      <c r="BG216" s="24" t="inlineStr">
        <is>
          <t>mlb-elo-trend-lr-v8</t>
        </is>
      </c>
      <c r="BH216" s="24" t="inlineStr">
        <is>
          <t>2026-08-11T23:01:19.107769Z</t>
        </is>
      </c>
      <c r="BI216" s="24" t="inlineStr">
        <is>
          <t>["same_event","same_team_same_day","same_league_same_day"]</t>
        </is>
      </c>
      <c r="BJ216" s="25" t="n"/>
      <c r="BK216" s="26" t="n">
        <v>-167</v>
      </c>
      <c r="BL216" s="27" t="n">
        <v>1.598802</v>
      </c>
      <c r="BM216" s="28" t="n">
        <v>0.625468</v>
      </c>
      <c r="BN216" s="28" t="n">
        <v>0.621891</v>
      </c>
      <c r="BO216" s="28" t="n"/>
      <c r="BP216" s="25" t="n"/>
      <c r="BQ216" s="27" t="n">
        <v>1.598802</v>
      </c>
      <c r="BR216" s="28" t="n">
        <v>0.625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0.7006006637</t>
        </is>
      </c>
      <c r="CD216" s="24" t="inlineStr">
        <is>
          <t>0.999398</t>
        </is>
      </c>
      <c r="CE216" s="24" t="inlineStr">
        <is>
          <t>1.097</t>
        </is>
      </c>
      <c r="CF216" s="24" t="inlineStr">
        <is>
          <t>1.0</t>
        </is>
      </c>
      <c r="CG216" s="24" t="n"/>
      <c r="CH216" s="24" t="n"/>
      <c r="CI216" s="24" t="n"/>
      <c r="CJ216" s="24" t="inlineStr">
        <is>
          <t>2.062328</t>
        </is>
      </c>
      <c r="CK216" s="24" t="n"/>
      <c r="CL216" s="24" t="inlineStr">
        <is>
          <t>0.032194</t>
        </is>
      </c>
      <c r="CM216" s="24" t="inlineStr">
        <is>
          <t>-3.8162</t>
        </is>
      </c>
      <c r="CN216" s="24" t="n"/>
      <c r="CO216" s="24" t="n"/>
      <c r="CP216" s="24" t="n"/>
      <c r="CQ216" s="24" t="n"/>
      <c r="CR216" s="24" t="inlineStr">
        <is>
          <t>0.648503</t>
        </is>
      </c>
      <c r="CS216" s="24" t="inlineStr">
        <is>
          <t>True</t>
        </is>
      </c>
    </row>
    <row r="217" ht="36" customHeight="1">
      <c r="A217" s="24" t="inlineStr">
        <is>
          <t>9cf2ac4d29b24f03</t>
        </is>
      </c>
      <c r="B217" s="24" t="inlineStr">
        <is>
          <t>2026-08-11T23:02:00.677208Z</t>
        </is>
      </c>
      <c r="C217" s="24" t="inlineStr">
        <is>
          <t>2026-08-11T21:40:00-0400</t>
        </is>
      </c>
      <c r="D217" s="24" t="inlineStr">
        <is>
          <t>401816491</t>
        </is>
      </c>
      <c r="E217" s="24" t="inlineStr">
        <is>
          <t>MLB</t>
        </is>
      </c>
      <c r="F217" s="24" t="inlineStr">
        <is>
          <t>Milwaukee Brewers</t>
        </is>
      </c>
      <c r="G217" s="24" t="inlineStr">
        <is>
          <t>San Diego Padres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-117</v>
      </c>
      <c r="M217" s="27" t="n">
        <v>1.854701</v>
      </c>
      <c r="N217" s="28" t="n">
        <v>0.539171</v>
      </c>
      <c r="O217" s="28" t="n">
        <v>0.534615</v>
      </c>
      <c r="P217" s="28" t="n"/>
      <c r="Q217" s="28" t="n">
        <v>-0.004556</v>
      </c>
      <c r="R217" s="26" t="n">
        <v>19</v>
      </c>
      <c r="S217" s="29" t="n">
        <v>1</v>
      </c>
      <c r="T217" s="24" t="inlineStr">
        <is>
          <t>mlb-elo-trend-lr-v8</t>
        </is>
      </c>
      <c r="U217" s="24" t="inlineStr">
        <is>
          <t>settled</t>
        </is>
      </c>
      <c r="V217" s="24" t="inlineStr">
        <is>
          <t>loss</t>
        </is>
      </c>
      <c r="W217" s="26" t="n">
        <v>2</v>
      </c>
      <c r="X217" s="26" t="n">
        <v>11</v>
      </c>
      <c r="Y217" s="25" t="n"/>
      <c r="Z217" s="26" t="n">
        <v>-117</v>
      </c>
      <c r="AA217" s="28" t="n">
        <v>0.54</v>
      </c>
      <c r="AB217" s="28" t="n">
        <v>0.000829</v>
      </c>
      <c r="AC217" s="30" t="n">
        <v>-1</v>
      </c>
      <c r="AD217" s="24" t="inlineStr">
        <is>
          <t>2026-08-12T05:11:26.383147Z</t>
        </is>
      </c>
      <c r="AE217" s="31" t="inlineStr">
        <is>
          <t>Learned LR call at threshold 0.6197; executable ask 0.5400 (aec-mlb-mil-sd-2026-08-11); model edge vs ask -0.0054.</t>
        </is>
      </c>
      <c r="AF217" s="31" t="inlineStr">
        <is>
          <t>Learned model; shadow-qualified via operator override.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NO_CALL_BELOW_LEARNED_CONFIDENCE</t>
        </is>
      </c>
      <c r="AP217" s="24" t="inlineStr">
        <is>
          <t>mlb-mil</t>
        </is>
      </c>
      <c r="AQ217" s="24" t="inlineStr">
        <is>
          <t>Milwaukee Brewers</t>
        </is>
      </c>
      <c r="AR217" s="24" t="inlineStr">
        <is>
          <t>Milwaukee Brewers</t>
        </is>
      </c>
      <c r="AS217" s="24" t="inlineStr">
        <is>
          <t>mlb-sd</t>
        </is>
      </c>
      <c r="AT217" s="24" t="inlineStr">
        <is>
          <t>San Diego Padres</t>
        </is>
      </c>
      <c r="AU217" s="24" t="inlineStr">
        <is>
          <t>San Diego Padres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3b345499bd6bad9bcf65367a07fe0c668fb5817d4f016a0a865c01d9212fdeb8</t>
        </is>
      </c>
      <c r="BB217" s="24" t="inlineStr">
        <is>
          <t>learned_lr</t>
        </is>
      </c>
      <c r="BC217" s="24" t="inlineStr">
        <is>
          <t>mlb-elo-trend-lr-v8</t>
        </is>
      </c>
      <c r="BD217" s="24" t="inlineStr">
        <is>
          <t>3b345499bd6bad9bcf65367a07fe0c668fb5817d4f016a0a865c01d9212fdeb8</t>
        </is>
      </c>
      <c r="BE217" s="24" t="inlineStr">
        <is>
          <t>59a288b09c0c8562</t>
        </is>
      </c>
      <c r="BF217" s="24" t="inlineStr">
        <is>
          <t>1</t>
        </is>
      </c>
      <c r="BG217" s="24" t="inlineStr">
        <is>
          <t>mlb-elo-trend-lr-v8</t>
        </is>
      </c>
      <c r="BH217" s="24" t="inlineStr">
        <is>
          <t>2026-08-11T23:01:20.339167Z</t>
        </is>
      </c>
      <c r="BI217" s="24" t="inlineStr">
        <is>
          <t>["same_event","same_team_same_day","same_league_same_day"]</t>
        </is>
      </c>
      <c r="BJ217" s="25" t="n"/>
      <c r="BK217" s="26" t="n">
        <v>-117</v>
      </c>
      <c r="BL217" s="27" t="n">
        <v>1.854701</v>
      </c>
      <c r="BM217" s="28" t="n">
        <v>0.539171</v>
      </c>
      <c r="BN217" s="28" t="n">
        <v>0.537313</v>
      </c>
      <c r="BO217" s="28" t="n"/>
      <c r="BP217" s="25" t="n"/>
      <c r="BQ217" s="27" t="n">
        <v>1.854701</v>
      </c>
      <c r="BR217" s="28" t="n">
        <v>0.54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0.4619713575</t>
        </is>
      </c>
      <c r="CD217" s="24" t="inlineStr">
        <is>
          <t>0.831816</t>
        </is>
      </c>
      <c r="CE217" s="24" t="inlineStr">
        <is>
          <t>0.945</t>
        </is>
      </c>
      <c r="CF217" s="24" t="inlineStr">
        <is>
          <t>1.0047</t>
        </is>
      </c>
      <c r="CG217" s="24" t="n"/>
      <c r="CH217" s="24" t="n"/>
      <c r="CI217" s="24" t="n"/>
      <c r="CJ217" s="24" t="inlineStr">
        <is>
          <t>0.842936</t>
        </is>
      </c>
      <c r="CK217" s="24" t="n"/>
      <c r="CL217" s="24" t="inlineStr">
        <is>
          <t>0.330348</t>
        </is>
      </c>
      <c r="CM217" s="24" t="inlineStr">
        <is>
          <t>7.2594</t>
        </is>
      </c>
      <c r="CN217" s="24" t="n"/>
      <c r="CO217" s="24" t="n"/>
      <c r="CP217" s="24" t="n"/>
      <c r="CQ217" s="24" t="n"/>
      <c r="CR217" s="24" t="inlineStr">
        <is>
          <t>0.534615</t>
        </is>
      </c>
      <c r="CS217" s="24" t="inlineStr">
        <is>
          <t>False</t>
        </is>
      </c>
    </row>
    <row r="218" ht="36" customHeight="1">
      <c r="A218" s="24" t="inlineStr">
        <is>
          <t>1bac5ac69bec4870</t>
        </is>
      </c>
      <c r="B218" s="24" t="inlineStr">
        <is>
          <t>2026-08-11T23:02:00.677208Z</t>
        </is>
      </c>
      <c r="C218" s="24" t="inlineStr">
        <is>
          <t>2026-08-11T21:40:00-0400</t>
        </is>
      </c>
      <c r="D218" s="24" t="inlineStr">
        <is>
          <t>401816492</t>
        </is>
      </c>
      <c r="E218" s="24" t="inlineStr">
        <is>
          <t>MLB</t>
        </is>
      </c>
      <c r="F218" s="24" t="inlineStr">
        <is>
          <t>Tampa Bay Rays</t>
        </is>
      </c>
      <c r="G218" s="24" t="inlineStr">
        <is>
          <t>Athletics</t>
        </is>
      </c>
      <c r="H218" s="24" t="inlineStr">
        <is>
          <t>moneyline</t>
        </is>
      </c>
      <c r="I218" s="24" t="inlineStr">
        <is>
          <t>away</t>
        </is>
      </c>
      <c r="J218" s="25" t="n"/>
      <c r="K218" s="24" t="inlineStr">
        <is>
          <t>polymarket_us</t>
        </is>
      </c>
      <c r="L218" s="26" t="n">
        <v>-174</v>
      </c>
      <c r="M218" s="27" t="n">
        <v>1.574713</v>
      </c>
      <c r="N218" s="28" t="n">
        <v>0.635036</v>
      </c>
      <c r="O218" s="28" t="n">
        <v>0.600312</v>
      </c>
      <c r="P218" s="28" t="n"/>
      <c r="Q218" s="28" t="n">
        <v>-0.034724</v>
      </c>
      <c r="R218" s="26" t="n">
        <v>4</v>
      </c>
      <c r="S218" s="29" t="n">
        <v>1.25</v>
      </c>
      <c r="T218" s="24" t="inlineStr">
        <is>
          <t>mlb-elo-trend-lr-v8</t>
        </is>
      </c>
      <c r="U218" s="24" t="inlineStr">
        <is>
          <t>settled</t>
        </is>
      </c>
      <c r="V218" s="24" t="inlineStr">
        <is>
          <t>win</t>
        </is>
      </c>
      <c r="W218" s="26" t="n">
        <v>12</v>
      </c>
      <c r="X218" s="26" t="n">
        <v>4</v>
      </c>
      <c r="Y218" s="25" t="n"/>
      <c r="Z218" s="26" t="n">
        <v>-174</v>
      </c>
      <c r="AA218" s="28" t="n">
        <v>0.635</v>
      </c>
      <c r="AB218" s="28" t="n">
        <v>-3.6e-05</v>
      </c>
      <c r="AC218" s="30" t="n">
        <v>0.7184</v>
      </c>
      <c r="AD218" s="24" t="inlineStr">
        <is>
          <t>2026-08-12T05:11:28.141414Z</t>
        </is>
      </c>
      <c r="AE218" s="31" t="inlineStr">
        <is>
          <t>Learned LR call at threshold 0.6197; executable ask 0.6350 (aec-mlb-tb-ath-2026-08-11); model edge vs ask -0.0347.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NO_CALL_BELOW_LEARNED_CONFIDENCE</t>
        </is>
      </c>
      <c r="AP218" s="24" t="inlineStr">
        <is>
          <t>mlb-tb</t>
        </is>
      </c>
      <c r="AQ218" s="24" t="inlineStr">
        <is>
          <t>Tampa Bay Rays</t>
        </is>
      </c>
      <c r="AR218" s="24" t="inlineStr">
        <is>
          <t>Tampa Bay Rays</t>
        </is>
      </c>
      <c r="AS218" s="24" t="inlineStr">
        <is>
          <t>mlb-ath</t>
        </is>
      </c>
      <c r="AT218" s="24" t="inlineStr">
        <is>
          <t>Athletics</t>
        </is>
      </c>
      <c r="AU218" s="24" t="inlineStr">
        <is>
          <t>Athletics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3b345499bd6bad9bcf65367a07fe0c668fb5817d4f016a0a865c01d9212fdeb8</t>
        </is>
      </c>
      <c r="BB218" s="24" t="inlineStr">
        <is>
          <t>learned_lr</t>
        </is>
      </c>
      <c r="BC218" s="24" t="inlineStr">
        <is>
          <t>mlb-elo-trend-lr-v8</t>
        </is>
      </c>
      <c r="BD218" s="24" t="inlineStr">
        <is>
          <t>3b345499bd6bad9bcf65367a07fe0c668fb5817d4f016a0a865c01d9212fdeb8</t>
        </is>
      </c>
      <c r="BE218" s="24" t="inlineStr">
        <is>
          <t>2560dd3208a01747</t>
        </is>
      </c>
      <c r="BF218" s="24" t="inlineStr">
        <is>
          <t>1</t>
        </is>
      </c>
      <c r="BG218" s="24" t="inlineStr">
        <is>
          <t>mlb-elo-trend-lr-v8</t>
        </is>
      </c>
      <c r="BH218" s="24" t="inlineStr">
        <is>
          <t>2026-08-11T23:01:19.491178Z</t>
        </is>
      </c>
      <c r="BI218" s="24" t="inlineStr">
        <is>
          <t>["same_event","same_team_same_day","same_league_same_day"]</t>
        </is>
      </c>
      <c r="BJ218" s="25" t="n"/>
      <c r="BK218" s="26" t="n">
        <v>-174</v>
      </c>
      <c r="BL218" s="27" t="n">
        <v>1.574713</v>
      </c>
      <c r="BM218" s="28" t="n">
        <v>0.635036</v>
      </c>
      <c r="BN218" s="28" t="n">
        <v>0.631841</v>
      </c>
      <c r="BO218" s="28" t="n"/>
      <c r="BP218" s="25" t="n"/>
      <c r="BQ218" s="27" t="n">
        <v>1.574713</v>
      </c>
      <c r="BR218" s="28" t="n">
        <v>0.635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0.4040738317</t>
        </is>
      </c>
      <c r="CD218" s="24" t="inlineStr">
        <is>
          <t>-0.37439</t>
        </is>
      </c>
      <c r="CE218" s="24" t="inlineStr">
        <is>
          <t>1.153</t>
        </is>
      </c>
      <c r="CF218" s="24" t="inlineStr">
        <is>
          <t>1.0145</t>
        </is>
      </c>
      <c r="CG218" s="24" t="n"/>
      <c r="CH218" s="24" t="n"/>
      <c r="CI218" s="24" t="n"/>
      <c r="CJ218" s="24" t="inlineStr">
        <is>
          <t>-0.435269</t>
        </is>
      </c>
      <c r="CK218" s="24" t="n"/>
      <c r="CL218" s="24" t="inlineStr">
        <is>
          <t>0.435024</t>
        </is>
      </c>
      <c r="CM218" s="24" t="inlineStr">
        <is>
          <t>4.5</t>
        </is>
      </c>
      <c r="CN218" s="24" t="n"/>
      <c r="CO218" s="24" t="n"/>
      <c r="CP218" s="24" t="n"/>
      <c r="CQ218" s="24" t="n"/>
      <c r="CR218" s="24" t="inlineStr">
        <is>
          <t>0.600312</t>
        </is>
      </c>
      <c r="CS218" s="24" t="inlineStr">
        <is>
          <t>False</t>
        </is>
      </c>
    </row>
    <row r="219" ht="36" customHeight="1">
      <c r="A219" s="24" t="inlineStr">
        <is>
          <t>3113e0da7076499b</t>
        </is>
      </c>
      <c r="B219" s="24" t="inlineStr">
        <is>
          <t>2026-08-11T23:02:00.677208Z</t>
        </is>
      </c>
      <c r="C219" s="24" t="inlineStr">
        <is>
          <t>2026-08-11T21:45:00-0400</t>
        </is>
      </c>
      <c r="D219" s="24" t="inlineStr">
        <is>
          <t>401816489</t>
        </is>
      </c>
      <c r="E219" s="24" t="inlineStr">
        <is>
          <t>MLB</t>
        </is>
      </c>
      <c r="F219" s="24" t="inlineStr">
        <is>
          <t>Houston Astros</t>
        </is>
      </c>
      <c r="G219" s="24" t="inlineStr">
        <is>
          <t>San Francisco Giants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167</v>
      </c>
      <c r="M219" s="27" t="n">
        <v>2.67</v>
      </c>
      <c r="N219" s="28" t="n">
        <v>0.374532</v>
      </c>
      <c r="O219" s="28" t="n">
        <v>0.534448</v>
      </c>
      <c r="P219" s="28" t="n"/>
      <c r="Q219" s="28" t="n">
        <v>0.159916</v>
      </c>
      <c r="R219" s="26" t="n">
        <v>100</v>
      </c>
      <c r="S219" s="29" t="n">
        <v>1</v>
      </c>
      <c r="T219" s="24" t="inlineStr">
        <is>
          <t>mlb-elo-trend-lr-v8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4</v>
      </c>
      <c r="Y219" s="25" t="n"/>
      <c r="Z219" s="26" t="n">
        <v>167</v>
      </c>
      <c r="AA219" s="28" t="n">
        <v>0.375</v>
      </c>
      <c r="AB219" s="28" t="n">
        <v>0.000468</v>
      </c>
      <c r="AC219" s="30" t="n">
        <v>1.67</v>
      </c>
      <c r="AD219" s="24" t="inlineStr">
        <is>
          <t>2026-08-12T05:11:29.834953Z</t>
        </is>
      </c>
      <c r="AE219" s="31" t="inlineStr">
        <is>
          <t>Learned LR call at threshold 0.6197; executable ask 0.3750 (aec-mlb-hou-sf-2026-08-11); model edge vs ask +0.1594.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NO_CALL_BELOW_LEARNED_CONFIDENCE</t>
        </is>
      </c>
      <c r="AP219" s="24" t="inlineStr">
        <is>
          <t>mlb-hou</t>
        </is>
      </c>
      <c r="AQ219" s="24" t="inlineStr">
        <is>
          <t>Houston Astros</t>
        </is>
      </c>
      <c r="AR219" s="24" t="inlineStr">
        <is>
          <t>Houston Astros</t>
        </is>
      </c>
      <c r="AS219" s="24" t="inlineStr">
        <is>
          <t>mlb-sf</t>
        </is>
      </c>
      <c r="AT219" s="24" t="inlineStr">
        <is>
          <t>San Francisco Giants</t>
        </is>
      </c>
      <c r="AU219" s="24" t="inlineStr">
        <is>
          <t>San Francisco Giants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3b345499bd6bad9bcf65367a07fe0c668fb5817d4f016a0a865c01d9212fdeb8</t>
        </is>
      </c>
      <c r="BB219" s="24" t="inlineStr">
        <is>
          <t>learned_lr</t>
        </is>
      </c>
      <c r="BC219" s="24" t="inlineStr">
        <is>
          <t>mlb-elo-trend-lr-v8</t>
        </is>
      </c>
      <c r="BD219" s="24" t="inlineStr">
        <is>
          <t>3b345499bd6bad9bcf65367a07fe0c668fb5817d4f016a0a865c01d9212fdeb8</t>
        </is>
      </c>
      <c r="BE219" s="24" t="inlineStr">
        <is>
          <t>d5dc2e7cc6ae102c</t>
        </is>
      </c>
      <c r="BF219" s="24" t="inlineStr">
        <is>
          <t>1</t>
        </is>
      </c>
      <c r="BG219" s="24" t="inlineStr">
        <is>
          <t>mlb-elo-trend-lr-v8</t>
        </is>
      </c>
      <c r="BH219" s="24" t="inlineStr">
        <is>
          <t>2026-08-11T23:01:20.421965Z</t>
        </is>
      </c>
      <c r="BI219" s="24" t="inlineStr">
        <is>
          <t>["same_event","same_team_same_day","same_league_same_day"]</t>
        </is>
      </c>
      <c r="BJ219" s="25" t="n"/>
      <c r="BK219" s="26" t="n">
        <v>167</v>
      </c>
      <c r="BL219" s="27" t="n">
        <v>2.67</v>
      </c>
      <c r="BM219" s="28" t="n">
        <v>0.374532</v>
      </c>
      <c r="BN219" s="28" t="n">
        <v>0.373134</v>
      </c>
      <c r="BO219" s="28" t="n"/>
      <c r="BP219" s="25" t="n"/>
      <c r="BQ219" s="27" t="n">
        <v>2.67</v>
      </c>
      <c r="BR219" s="28" t="n">
        <v>0.375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inlineStr">
        <is>
          <t>0.4880524231</t>
        </is>
      </c>
      <c r="CD219" s="24" t="inlineStr">
        <is>
          <t>-1.060427</t>
        </is>
      </c>
      <c r="CE219" s="24" t="inlineStr">
        <is>
          <t>0.98</t>
        </is>
      </c>
      <c r="CF219" s="24" t="inlineStr">
        <is>
          <t>0.9901</t>
        </is>
      </c>
      <c r="CG219" s="24" t="n"/>
      <c r="CH219" s="24" t="n"/>
      <c r="CI219" s="24" t="n"/>
      <c r="CJ219" s="24" t="inlineStr">
        <is>
          <t>-0.975594</t>
        </is>
      </c>
      <c r="CK219" s="24" t="n"/>
      <c r="CL219" s="24" t="inlineStr">
        <is>
          <t>0.46586</t>
        </is>
      </c>
      <c r="CM219" s="24" t="inlineStr">
        <is>
          <t>-0.988</t>
        </is>
      </c>
      <c r="CN219" s="24" t="n"/>
      <c r="CO219" s="24" t="n"/>
      <c r="CP219" s="24" t="n"/>
      <c r="CQ219" s="24" t="n"/>
      <c r="CR219" s="24" t="inlineStr">
        <is>
          <t>0.534448</t>
        </is>
      </c>
      <c r="CS219" s="24" t="inlineStr">
        <is>
          <t>True</t>
        </is>
      </c>
    </row>
    <row r="220" ht="36" customHeight="1">
      <c r="A220" s="24" t="inlineStr">
        <is>
          <t>3fd627ca37104a0e</t>
        </is>
      </c>
      <c r="B220" s="24" t="inlineStr">
        <is>
          <t>2026-08-11T23:02:24.981249Z</t>
        </is>
      </c>
      <c r="C220" s="24" t="inlineStr">
        <is>
          <t>2026-08-11T23:05Z</t>
        </is>
      </c>
      <c r="D220" s="24" t="inlineStr">
        <is>
          <t>401816484</t>
        </is>
      </c>
      <c r="E220" s="24" t="inlineStr">
        <is>
          <t>MLB</t>
        </is>
      </c>
      <c r="F220" s="24" t="inlineStr">
        <is>
          <t>Seattle Mariners</t>
        </is>
      </c>
      <c r="G220" s="24" t="inlineStr">
        <is>
          <t>New York Yankees</t>
        </is>
      </c>
      <c r="H220" s="24" t="inlineStr">
        <is>
          <t>spread</t>
        </is>
      </c>
      <c r="I220" s="24" t="inlineStr">
        <is>
          <t>away</t>
        </is>
      </c>
      <c r="J220" s="25" t="n">
        <v>1.5</v>
      </c>
      <c r="K220" s="24" t="inlineStr">
        <is>
          <t>polymarket_us</t>
        </is>
      </c>
      <c r="L220" s="26" t="n">
        <v>-174</v>
      </c>
      <c r="M220" s="27" t="n">
        <v>1.574713</v>
      </c>
      <c r="N220" s="28" t="n">
        <v>0.635036</v>
      </c>
      <c r="O220" s="28" t="n">
        <v>0.576249</v>
      </c>
      <c r="P220" s="28" t="n">
        <v>0.042131</v>
      </c>
      <c r="Q220" s="28" t="n">
        <v>-0.058787</v>
      </c>
      <c r="R220" s="26" t="n">
        <v>0</v>
      </c>
      <c r="S220" s="29" t="n">
        <v>1.25</v>
      </c>
      <c r="T220" s="24" t="inlineStr">
        <is>
          <t>measured-edge-margin-v3</t>
        </is>
      </c>
      <c r="U220" s="24" t="inlineStr">
        <is>
          <t>settled</t>
        </is>
      </c>
      <c r="V220" s="24" t="inlineStr">
        <is>
          <t>loss</t>
        </is>
      </c>
      <c r="W220" s="26" t="n">
        <v>1</v>
      </c>
      <c r="X220" s="26" t="n">
        <v>4</v>
      </c>
      <c r="Y220" s="25" t="n">
        <v>1.5</v>
      </c>
      <c r="Z220" s="26" t="n">
        <v>-174</v>
      </c>
      <c r="AA220" s="28" t="n">
        <v>0.635</v>
      </c>
      <c r="AB220" s="28" t="n">
        <v>-3.6e-05</v>
      </c>
      <c r="AC220" s="30" t="n">
        <v>-1.25</v>
      </c>
      <c r="AD220" s="24" t="inlineStr">
        <is>
          <t>2026-08-12T05:11:33.455325Z</t>
        </is>
      </c>
      <c r="AE220" s="31" t="inlineStr">
        <is>
          <t>Measured Edge Margin: Trend Engine projected 4.18-4.81; raw selected-side p=0.6119, calibrated p=0.5762.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mlb-sea</t>
        </is>
      </c>
      <c r="AQ220" s="24" t="inlineStr">
        <is>
          <t>Seattle Mariners</t>
        </is>
      </c>
      <c r="AR220" s="24" t="inlineStr">
        <is>
          <t>Seattle Mariners</t>
        </is>
      </c>
      <c r="AS220" s="24" t="inlineStr">
        <is>
          <t>mlb-nyy</t>
        </is>
      </c>
      <c r="AT220" s="24" t="inlineStr">
        <is>
          <t>New York Yankees</t>
        </is>
      </c>
      <c r="AU220" s="24" t="inlineStr">
        <is>
          <t>New York Yankees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dd339a2eed50d7d83ab2127837995ddab82e879afd27f5414bb6c1f9cd60ba4c</t>
        </is>
      </c>
      <c r="BB220" s="24" t="inlineStr">
        <is>
          <t>flat_probability_shrinkage_toward_half</t>
        </is>
      </c>
      <c r="BC220" s="24" t="inlineStr">
        <is>
          <t>measured-edge-margin-v3</t>
        </is>
      </c>
      <c r="BD220" s="24" t="inlineStr">
        <is>
          <t>dd339a2eed50d7d83ab2127837995ddab82e879afd27f5414bb6c1f9cd60ba4c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2026-08-11T23:02:24.981249Z</t>
        </is>
      </c>
      <c r="BI220" s="24" t="inlineStr">
        <is>
          <t>["same_event","same_team_same_day","same_league_same_day"]</t>
        </is>
      </c>
      <c r="BJ220" s="25" t="n">
        <v>1.5</v>
      </c>
      <c r="BK220" s="26" t="n">
        <v>-174</v>
      </c>
      <c r="BL220" s="27" t="n">
        <v>1.574713</v>
      </c>
      <c r="BM220" s="28" t="n">
        <v>0.635036</v>
      </c>
      <c r="BN220" s="28" t="n">
        <v>0.631841</v>
      </c>
      <c r="BO220" s="28" t="n"/>
      <c r="BP220" s="25" t="n"/>
      <c r="BQ220" s="27" t="n">
        <v>1.574713</v>
      </c>
      <c r="BR220" s="28" t="n">
        <v>0.635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36bd516f4dfb4e74</t>
        </is>
      </c>
      <c r="B221" s="24" t="inlineStr">
        <is>
          <t>2026-08-11T23:02:24.981249Z</t>
        </is>
      </c>
      <c r="C221" s="24" t="inlineStr">
        <is>
          <t>2026-08-11T23:05Z</t>
        </is>
      </c>
      <c r="D221" s="24" t="inlineStr">
        <is>
          <t>401816484</t>
        </is>
      </c>
      <c r="E221" s="24" t="inlineStr">
        <is>
          <t>MLB</t>
        </is>
      </c>
      <c r="F221" s="24" t="inlineStr">
        <is>
          <t>Seattle Mariners</t>
        </is>
      </c>
      <c r="G221" s="24" t="inlineStr">
        <is>
          <t>New York Yankees</t>
        </is>
      </c>
      <c r="H221" s="24" t="inlineStr">
        <is>
          <t>total</t>
        </is>
      </c>
      <c r="I221" s="24" t="inlineStr">
        <is>
          <t>over</t>
        </is>
      </c>
      <c r="J221" s="25" t="n">
        <v>7.5</v>
      </c>
      <c r="K221" s="24" t="inlineStr">
        <is>
          <t>polymarket_us</t>
        </is>
      </c>
      <c r="L221" s="26" t="n">
        <v>-120</v>
      </c>
      <c r="M221" s="27" t="n">
        <v>1.833333</v>
      </c>
      <c r="N221" s="28" t="n">
        <v>0.545455</v>
      </c>
      <c r="O221" s="28" t="n">
        <v>0.526641</v>
      </c>
      <c r="P221" s="28" t="n">
        <v>0.042131</v>
      </c>
      <c r="Q221" s="28" t="n">
        <v>-0.018814</v>
      </c>
      <c r="R221" s="26" t="n">
        <v>17</v>
      </c>
      <c r="S221" s="29" t="n">
        <v>1</v>
      </c>
      <c r="T221" s="24" t="inlineStr">
        <is>
          <t>measured-edge-totals-v3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4</v>
      </c>
      <c r="Y221" s="25" t="n">
        <v>7.5</v>
      </c>
      <c r="Z221" s="26" t="n">
        <v>-120</v>
      </c>
      <c r="AA221" s="28" t="n">
        <v>0.545</v>
      </c>
      <c r="AB221" s="28" t="n">
        <v>-0.000455</v>
      </c>
      <c r="AC221" s="30" t="n">
        <v>-1</v>
      </c>
      <c r="AD221" s="24" t="inlineStr">
        <is>
          <t>2026-08-12T05:11:35.021825Z</t>
        </is>
      </c>
      <c r="AE221" s="31" t="inlineStr">
        <is>
          <t>Measured Edge Totals: Trend Engine projected 4.18-4.81; raw selected-side p=0.5839, calibrated p=0.5266.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mlb-sea</t>
        </is>
      </c>
      <c r="AQ221" s="24" t="inlineStr">
        <is>
          <t>Seattle Mariners</t>
        </is>
      </c>
      <c r="AR221" s="24" t="inlineStr">
        <is>
          <t>Seattle Mariners</t>
        </is>
      </c>
      <c r="AS221" s="24" t="inlineStr">
        <is>
          <t>mlb-nyy</t>
        </is>
      </c>
      <c r="AT221" s="24" t="inlineStr">
        <is>
          <t>New York Yankees</t>
        </is>
      </c>
      <c r="AU221" s="24" t="inlineStr">
        <is>
          <t>New York Yankees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95b84332c75d2ce54036eb8de6ada9c78d0f80228c50825c0347281a8b9b49c7</t>
        </is>
      </c>
      <c r="BB221" s="24" t="inlineStr">
        <is>
          <t>flat_probability_shrinkage_toward_half</t>
        </is>
      </c>
      <c r="BC221" s="24" t="inlineStr">
        <is>
          <t>measured-edge-totals-v3</t>
        </is>
      </c>
      <c r="BD221" s="24" t="inlineStr">
        <is>
          <t>95b84332c75d2ce54036eb8de6ada9c78d0f80228c50825c0347281a8b9b49c7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2026-08-11T23:02:24.981249Z</t>
        </is>
      </c>
      <c r="BI221" s="24" t="inlineStr">
        <is>
          <t>["same_event","same_team_same_day","same_league_same_day"]</t>
        </is>
      </c>
      <c r="BJ221" s="25" t="n">
        <v>7.5</v>
      </c>
      <c r="BK221" s="26" t="n">
        <v>-120</v>
      </c>
      <c r="BL221" s="27" t="n">
        <v>1.833333</v>
      </c>
      <c r="BM221" s="28" t="n">
        <v>0.545455</v>
      </c>
      <c r="BN221" s="28" t="n">
        <v>0.542289</v>
      </c>
      <c r="BO221" s="28" t="n"/>
      <c r="BP221" s="25" t="n"/>
      <c r="BQ221" s="27" t="n">
        <v>1.833333</v>
      </c>
      <c r="BR221" s="28" t="n">
        <v>0.545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7d83aecf3af54369</t>
        </is>
      </c>
      <c r="B222" s="24" t="inlineStr">
        <is>
          <t>2026-08-11T23:02:24.981249Z</t>
        </is>
      </c>
      <c r="C222" s="24" t="inlineStr">
        <is>
          <t>2026-08-11T23:07Z</t>
        </is>
      </c>
      <c r="D222" s="24" t="inlineStr">
        <is>
          <t>401816479</t>
        </is>
      </c>
      <c r="E222" s="24" t="inlineStr">
        <is>
          <t>MLB</t>
        </is>
      </c>
      <c r="F222" s="24" t="inlineStr">
        <is>
          <t>Boston Red Sox</t>
        </is>
      </c>
      <c r="G222" s="24" t="inlineStr">
        <is>
          <t>Toronto Blue Jays</t>
        </is>
      </c>
      <c r="H222" s="24" t="inlineStr">
        <is>
          <t>spread</t>
        </is>
      </c>
      <c r="I222" s="24" t="inlineStr">
        <is>
          <t>away</t>
        </is>
      </c>
      <c r="J222" s="25" t="n">
        <v>1.5</v>
      </c>
      <c r="K222" s="24" t="inlineStr">
        <is>
          <t>polymarket_us</t>
        </is>
      </c>
      <c r="L222" s="26" t="n">
        <v>-174</v>
      </c>
      <c r="M222" s="27" t="n">
        <v>1.574713</v>
      </c>
      <c r="N222" s="28" t="n">
        <v>0.635036</v>
      </c>
      <c r="O222" s="28" t="n">
        <v>0.58003</v>
      </c>
      <c r="P222" s="28" t="n">
        <v>0.05172</v>
      </c>
      <c r="Q222" s="28" t="n">
        <v>-0.055006</v>
      </c>
      <c r="R222" s="26" t="n">
        <v>0</v>
      </c>
      <c r="S222" s="29" t="n">
        <v>1.25</v>
      </c>
      <c r="T222" s="24" t="inlineStr">
        <is>
          <t>measured-edge-margin-v3</t>
        </is>
      </c>
      <c r="U222" s="24" t="inlineStr">
        <is>
          <t>settled</t>
        </is>
      </c>
      <c r="V222" s="24" t="inlineStr">
        <is>
          <t>loss</t>
        </is>
      </c>
      <c r="W222" s="26" t="n">
        <v>3</v>
      </c>
      <c r="X222" s="26" t="n">
        <v>5</v>
      </c>
      <c r="Y222" s="25" t="n">
        <v>1.5</v>
      </c>
      <c r="Z222" s="26" t="n">
        <v>-174</v>
      </c>
      <c r="AA222" s="28" t="n">
        <v>0.635</v>
      </c>
      <c r="AB222" s="28" t="n">
        <v>-3.6e-05</v>
      </c>
      <c r="AC222" s="30" t="n">
        <v>-1.25</v>
      </c>
      <c r="AD222" s="24" t="inlineStr">
        <is>
          <t>2026-08-12T02:05:36.005167Z</t>
        </is>
      </c>
      <c r="AE222" s="31" t="inlineStr">
        <is>
          <t>Measured Edge Margin: Trend Engine projected 3.78-4.46; raw selected-side p=0.6175, calibrated p=0.5800.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mlb-bos</t>
        </is>
      </c>
      <c r="AQ222" s="24" t="inlineStr">
        <is>
          <t>Boston Red Sox</t>
        </is>
      </c>
      <c r="AR222" s="24" t="inlineStr">
        <is>
          <t>Boston Red Sox</t>
        </is>
      </c>
      <c r="AS222" s="24" t="inlineStr">
        <is>
          <t>mlb-tor</t>
        </is>
      </c>
      <c r="AT222" s="24" t="inlineStr">
        <is>
          <t>Toronto Blue Jays</t>
        </is>
      </c>
      <c r="AU222" s="24" t="inlineStr">
        <is>
          <t>Toronto Blue Jays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dd339a2eed50d7d83ab2127837995ddab82e879afd27f5414bb6c1f9cd60ba4c</t>
        </is>
      </c>
      <c r="BB222" s="24" t="inlineStr">
        <is>
          <t>flat_probability_shrinkage_toward_half</t>
        </is>
      </c>
      <c r="BC222" s="24" t="inlineStr">
        <is>
          <t>measured-edge-margin-v3</t>
        </is>
      </c>
      <c r="BD222" s="24" t="inlineStr">
        <is>
          <t>dd339a2eed50d7d83ab2127837995ddab82e879afd27f5414bb6c1f9cd60ba4c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2026-08-11T23:02:24.981249Z</t>
        </is>
      </c>
      <c r="BI222" s="24" t="inlineStr">
        <is>
          <t>["same_event","same_team_same_day","same_league_same_day"]</t>
        </is>
      </c>
      <c r="BJ222" s="25" t="n">
        <v>1.5</v>
      </c>
      <c r="BK222" s="26" t="n">
        <v>-174</v>
      </c>
      <c r="BL222" s="27" t="n">
        <v>1.574713</v>
      </c>
      <c r="BM222" s="28" t="n">
        <v>0.635036</v>
      </c>
      <c r="BN222" s="28" t="n">
        <v>0.631841</v>
      </c>
      <c r="BO222" s="28" t="n"/>
      <c r="BP222" s="25" t="n"/>
      <c r="BQ222" s="27" t="n">
        <v>1.574713</v>
      </c>
      <c r="BR222" s="28" t="n">
        <v>0.635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</row>
    <row r="223" ht="36" customHeight="1">
      <c r="A223" s="24" t="inlineStr">
        <is>
          <t>aeeb7a19a86a4c9b</t>
        </is>
      </c>
      <c r="B223" s="24" t="inlineStr">
        <is>
          <t>2026-08-11T23:02:24.981249Z</t>
        </is>
      </c>
      <c r="C223" s="24" t="inlineStr">
        <is>
          <t>2026-08-11T23:07Z</t>
        </is>
      </c>
      <c r="D223" s="24" t="inlineStr">
        <is>
          <t>401816479</t>
        </is>
      </c>
      <c r="E223" s="24" t="inlineStr">
        <is>
          <t>MLB</t>
        </is>
      </c>
      <c r="F223" s="24" t="inlineStr">
        <is>
          <t>Boston Red Sox</t>
        </is>
      </c>
      <c r="G223" s="24" t="inlineStr">
        <is>
          <t>Toronto Blue Jays</t>
        </is>
      </c>
      <c r="H223" s="24" t="inlineStr">
        <is>
          <t>total</t>
        </is>
      </c>
      <c r="I223" s="24" t="inlineStr">
        <is>
          <t>over</t>
        </is>
      </c>
      <c r="J223" s="25" t="n">
        <v>6.5</v>
      </c>
      <c r="K223" s="24" t="inlineStr">
        <is>
          <t>polymarket_us</t>
        </is>
      </c>
      <c r="L223" s="26" t="n">
        <v>-122</v>
      </c>
      <c r="M223" s="27" t="n">
        <v>1.819672</v>
      </c>
      <c r="N223" s="28" t="n">
        <v>0.54955</v>
      </c>
      <c r="O223" s="28" t="n">
        <v>0.546165</v>
      </c>
      <c r="P223" s="28" t="n">
        <v>0.05172</v>
      </c>
      <c r="Q223" s="28" t="n">
        <v>-0.003385</v>
      </c>
      <c r="R223" s="26" t="n">
        <v>18</v>
      </c>
      <c r="S223" s="29" t="n">
        <v>1</v>
      </c>
      <c r="T223" s="24" t="inlineStr">
        <is>
          <t>measured-edge-totals-v3</t>
        </is>
      </c>
      <c r="U223" s="24" t="inlineStr">
        <is>
          <t>settled</t>
        </is>
      </c>
      <c r="V223" s="24" t="inlineStr">
        <is>
          <t>win</t>
        </is>
      </c>
      <c r="W223" s="26" t="n">
        <v>3</v>
      </c>
      <c r="X223" s="26" t="n">
        <v>5</v>
      </c>
      <c r="Y223" s="25" t="n">
        <v>6.5</v>
      </c>
      <c r="Z223" s="26" t="n">
        <v>-122</v>
      </c>
      <c r="AA223" s="28" t="n">
        <v>0.55</v>
      </c>
      <c r="AB223" s="28" t="n">
        <v>0.00045</v>
      </c>
      <c r="AC223" s="30" t="n">
        <v>0.8197</v>
      </c>
      <c r="AD223" s="24" t="inlineStr">
        <is>
          <t>2026-08-12T02:05:37.585784Z</t>
        </is>
      </c>
      <c r="AE223" s="31" t="inlineStr">
        <is>
          <t>Measured Edge Totals: Trend Engine projected 3.78-4.46; raw selected-side p=0.6625, calibrated p=0.5462.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mlb-bos</t>
        </is>
      </c>
      <c r="AQ223" s="24" t="inlineStr">
        <is>
          <t>Boston Red Sox</t>
        </is>
      </c>
      <c r="AR223" s="24" t="inlineStr">
        <is>
          <t>Boston Red Sox</t>
        </is>
      </c>
      <c r="AS223" s="24" t="inlineStr">
        <is>
          <t>mlb-tor</t>
        </is>
      </c>
      <c r="AT223" s="24" t="inlineStr">
        <is>
          <t>Toronto Blue Jays</t>
        </is>
      </c>
      <c r="AU223" s="24" t="inlineStr">
        <is>
          <t>Toronto Blue Jays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95b84332c75d2ce54036eb8de6ada9c78d0f80228c50825c0347281a8b9b49c7</t>
        </is>
      </c>
      <c r="BB223" s="24" t="inlineStr">
        <is>
          <t>flat_probability_shrinkage_toward_half</t>
        </is>
      </c>
      <c r="BC223" s="24" t="inlineStr">
        <is>
          <t>measured-edge-totals-v3</t>
        </is>
      </c>
      <c r="BD223" s="24" t="inlineStr">
        <is>
          <t>95b84332c75d2ce54036eb8de6ada9c78d0f80228c50825c0347281a8b9b49c7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2026-08-11T23:02:24.981249Z</t>
        </is>
      </c>
      <c r="BI223" s="24" t="inlineStr">
        <is>
          <t>["same_event","same_team_same_day","same_league_same_day"]</t>
        </is>
      </c>
      <c r="BJ223" s="25" t="n">
        <v>6.5</v>
      </c>
      <c r="BK223" s="26" t="n">
        <v>-122</v>
      </c>
      <c r="BL223" s="27" t="n">
        <v>1.819672</v>
      </c>
      <c r="BM223" s="28" t="n">
        <v>0.54955</v>
      </c>
      <c r="BN223" s="28" t="n">
        <v>0.547264</v>
      </c>
      <c r="BO223" s="28" t="n"/>
      <c r="BP223" s="25" t="n"/>
      <c r="BQ223" s="27" t="n">
        <v>1.819672</v>
      </c>
      <c r="BR223" s="28" t="n">
        <v>0.55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</row>
    <row r="224" ht="36" customHeight="1">
      <c r="A224" s="24" t="inlineStr">
        <is>
          <t>bbfa6a041fdb4bd6</t>
        </is>
      </c>
      <c r="B224" s="24" t="inlineStr">
        <is>
          <t>2026-08-11T23:02:24.981249Z</t>
        </is>
      </c>
      <c r="C224" s="24" t="inlineStr">
        <is>
          <t>2026-08-11T23:15Z</t>
        </is>
      </c>
      <c r="D224" s="24" t="inlineStr">
        <is>
          <t>401816482</t>
        </is>
      </c>
      <c r="E224" s="24" t="inlineStr">
        <is>
          <t>MLB</t>
        </is>
      </c>
      <c r="F224" s="24" t="inlineStr">
        <is>
          <t>New York Mets</t>
        </is>
      </c>
      <c r="G224" s="24" t="inlineStr">
        <is>
          <t>Atlanta Braves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-170</v>
      </c>
      <c r="M224" s="27" t="n">
        <v>1.588235</v>
      </c>
      <c r="N224" s="28" t="n">
        <v>0.62963</v>
      </c>
      <c r="O224" s="28" t="n">
        <v>0.613283</v>
      </c>
      <c r="P224" s="28" t="n">
        <v>0.042131</v>
      </c>
      <c r="Q224" s="28" t="n">
        <v>-0.016347</v>
      </c>
      <c r="R224" s="26" t="n">
        <v>19</v>
      </c>
      <c r="S224" s="29" t="n">
        <v>1.5</v>
      </c>
      <c r="T224" s="24" t="inlineStr">
        <is>
          <t>measured-edge-margin-v3</t>
        </is>
      </c>
      <c r="U224" s="24" t="inlineStr">
        <is>
          <t>settled</t>
        </is>
      </c>
      <c r="V224" s="24" t="inlineStr">
        <is>
          <t>loss</t>
        </is>
      </c>
      <c r="W224" s="26" t="n">
        <v>0</v>
      </c>
      <c r="X224" s="26" t="n">
        <v>4</v>
      </c>
      <c r="Y224" s="25" t="n">
        <v>1.5</v>
      </c>
      <c r="Z224" s="26" t="n">
        <v>-170</v>
      </c>
      <c r="AA224" s="28" t="n">
        <v>0.63</v>
      </c>
      <c r="AB224" s="28" t="n">
        <v>0.00037</v>
      </c>
      <c r="AC224" s="30" t="n">
        <v>-1.5</v>
      </c>
      <c r="AD224" s="24" t="inlineStr">
        <is>
          <t>2026-08-12T02:05:39.211103Z</t>
        </is>
      </c>
      <c r="AE224" s="31" t="inlineStr">
        <is>
          <t>Measured Edge Margin: Trend Engine projected 4.17-4.27; raw selected-side p=0.6663, calibrated p=0.6133.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mlb-nym</t>
        </is>
      </c>
      <c r="AQ224" s="24" t="inlineStr">
        <is>
          <t>New York Mets</t>
        </is>
      </c>
      <c r="AR224" s="24" t="inlineStr">
        <is>
          <t>New York Mets</t>
        </is>
      </c>
      <c r="AS224" s="24" t="inlineStr">
        <is>
          <t>mlb-atl</t>
        </is>
      </c>
      <c r="AT224" s="24" t="inlineStr">
        <is>
          <t>Atlanta Braves</t>
        </is>
      </c>
      <c r="AU224" s="24" t="inlineStr">
        <is>
          <t>Atlanta Braves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dd339a2eed50d7d83ab2127837995ddab82e879afd27f5414bb6c1f9cd60ba4c</t>
        </is>
      </c>
      <c r="BB224" s="24" t="inlineStr">
        <is>
          <t>flat_probability_shrinkage_toward_half</t>
        </is>
      </c>
      <c r="BC224" s="24" t="inlineStr">
        <is>
          <t>measured-edge-margin-v3</t>
        </is>
      </c>
      <c r="BD224" s="24" t="inlineStr">
        <is>
          <t>dd339a2eed50d7d83ab2127837995ddab82e879afd27f5414bb6c1f9cd60ba4c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2026-08-11T23:02:24.981249Z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-170</v>
      </c>
      <c r="BL224" s="27" t="n">
        <v>1.588235</v>
      </c>
      <c r="BM224" s="28" t="n">
        <v>0.62963</v>
      </c>
      <c r="BN224" s="28" t="n">
        <v>0.623762</v>
      </c>
      <c r="BO224" s="28" t="n"/>
      <c r="BP224" s="25" t="n"/>
      <c r="BQ224" s="27" t="n">
        <v>1.588235</v>
      </c>
      <c r="BR224" s="28" t="n">
        <v>0.63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6fc6bef0581c49ae</t>
        </is>
      </c>
      <c r="B225" s="24" t="inlineStr">
        <is>
          <t>2026-08-11T23:02:24.981249Z</t>
        </is>
      </c>
      <c r="C225" s="24" t="inlineStr">
        <is>
          <t>2026-08-11T23:15Z</t>
        </is>
      </c>
      <c r="D225" s="24" t="inlineStr">
        <is>
          <t>401816482</t>
        </is>
      </c>
      <c r="E225" s="24" t="inlineStr">
        <is>
          <t>MLB</t>
        </is>
      </c>
      <c r="F225" s="24" t="inlineStr">
        <is>
          <t>New York Mets</t>
        </is>
      </c>
      <c r="G225" s="24" t="inlineStr">
        <is>
          <t>Atlanta Braves</t>
        </is>
      </c>
      <c r="H225" s="24" t="inlineStr">
        <is>
          <t>total</t>
        </is>
      </c>
      <c r="I225" s="24" t="inlineStr">
        <is>
          <t>under</t>
        </is>
      </c>
      <c r="J225" s="25" t="n">
        <v>8.5</v>
      </c>
      <c r="K225" s="24" t="inlineStr">
        <is>
          <t>polymarket_us</t>
        </is>
      </c>
      <c r="L225" s="26" t="n">
        <v>100</v>
      </c>
      <c r="M225" s="27" t="n">
        <v>2</v>
      </c>
      <c r="N225" s="28" t="n">
        <v>0.5</v>
      </c>
      <c r="O225" s="28" t="n">
        <v>0.515413</v>
      </c>
      <c r="P225" s="28" t="n">
        <v>0.042131</v>
      </c>
      <c r="Q225" s="28" t="n">
        <v>0.015413</v>
      </c>
      <c r="R225" s="26" t="n">
        <v>34</v>
      </c>
      <c r="S225" s="29" t="n">
        <v>1</v>
      </c>
      <c r="T225" s="24" t="inlineStr">
        <is>
          <t>measured-edge-totals-v3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4</v>
      </c>
      <c r="Y225" s="25" t="n">
        <v>8.5</v>
      </c>
      <c r="Z225" s="26" t="n">
        <v>100</v>
      </c>
      <c r="AA225" s="28" t="n">
        <v>0.5</v>
      </c>
      <c r="AB225" s="28" t="n">
        <v>0</v>
      </c>
      <c r="AC225" s="30" t="n">
        <v>1</v>
      </c>
      <c r="AD225" s="24" t="inlineStr">
        <is>
          <t>2026-08-12T02:05:40.838075Z</t>
        </is>
      </c>
      <c r="AE225" s="31" t="inlineStr">
        <is>
          <t>Measured Edge Totals: Trend Engine projected 4.17-4.27; raw selected-side p=0.5387, calibrated p=0.5154.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mlb-nym</t>
        </is>
      </c>
      <c r="AQ225" s="24" t="inlineStr">
        <is>
          <t>New York Mets</t>
        </is>
      </c>
      <c r="AR225" s="24" t="inlineStr">
        <is>
          <t>New York Mets</t>
        </is>
      </c>
      <c r="AS225" s="24" t="inlineStr">
        <is>
          <t>mlb-atl</t>
        </is>
      </c>
      <c r="AT225" s="24" t="inlineStr">
        <is>
          <t>Atlanta Braves</t>
        </is>
      </c>
      <c r="AU225" s="24" t="inlineStr">
        <is>
          <t>Atlanta Braves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95b84332c75d2ce54036eb8de6ada9c78d0f80228c50825c0347281a8b9b49c7</t>
        </is>
      </c>
      <c r="BB225" s="24" t="inlineStr">
        <is>
          <t>flat_probability_shrinkage_toward_half</t>
        </is>
      </c>
      <c r="BC225" s="24" t="inlineStr">
        <is>
          <t>measured-edge-totals-v3</t>
        </is>
      </c>
      <c r="BD225" s="24" t="inlineStr">
        <is>
          <t>95b84332c75d2ce54036eb8de6ada9c78d0f80228c50825c0347281a8b9b49c7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2026-08-11T23:02:24.981249Z</t>
        </is>
      </c>
      <c r="BI225" s="24" t="inlineStr">
        <is>
          <t>["same_event","same_team_same_day","same_league_same_day"]</t>
        </is>
      </c>
      <c r="BJ225" s="25" t="n">
        <v>8.5</v>
      </c>
      <c r="BK225" s="26" t="n">
        <v>100</v>
      </c>
      <c r="BL225" s="27" t="n">
        <v>2</v>
      </c>
      <c r="BM225" s="28" t="n">
        <v>0.5</v>
      </c>
      <c r="BN225" s="28" t="n">
        <v>0.497512</v>
      </c>
      <c r="BO225" s="28" t="n"/>
      <c r="BP225" s="25" t="n"/>
      <c r="BQ225" s="27" t="n">
        <v>2</v>
      </c>
      <c r="BR225" s="28" t="n">
        <v>0.5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fc9bf4dd583e447f</t>
        </is>
      </c>
      <c r="B226" s="24" t="inlineStr">
        <is>
          <t>2026-08-11T23:02:24.981249Z</t>
        </is>
      </c>
      <c r="C226" s="24" t="inlineStr">
        <is>
          <t>2026-08-11T23:40Z</t>
        </is>
      </c>
      <c r="D226" s="24" t="inlineStr">
        <is>
          <t>401816485</t>
        </is>
      </c>
      <c r="E226" s="24" t="inlineStr">
        <is>
          <t>MLB</t>
        </is>
      </c>
      <c r="F226" s="24" t="inlineStr">
        <is>
          <t>Baltimore Orioles</t>
        </is>
      </c>
      <c r="G226" s="24" t="inlineStr">
        <is>
          <t>Minnesota Twins</t>
        </is>
      </c>
      <c r="H226" s="24" t="inlineStr">
        <is>
          <t>spread</t>
        </is>
      </c>
      <c r="I226" s="24" t="inlineStr">
        <is>
          <t>home</t>
        </is>
      </c>
      <c r="J226" s="25" t="n">
        <v>1.5</v>
      </c>
      <c r="K226" s="24" t="inlineStr">
        <is>
          <t>polymarket_us</t>
        </is>
      </c>
      <c r="L226" s="26" t="n">
        <v>-174</v>
      </c>
      <c r="M226" s="27" t="n">
        <v>1.574713</v>
      </c>
      <c r="N226" s="28" t="n">
        <v>0.635036</v>
      </c>
      <c r="O226" s="28" t="n">
        <v>0.621187</v>
      </c>
      <c r="P226" s="28" t="n">
        <v>0.042131</v>
      </c>
      <c r="Q226" s="28" t="n">
        <v>-0.013849</v>
      </c>
      <c r="R226" s="26" t="n">
        <v>19</v>
      </c>
      <c r="S226" s="29" t="n">
        <v>1.5</v>
      </c>
      <c r="T226" s="24" t="inlineStr">
        <is>
          <t>measured-edge-margin-v3</t>
        </is>
      </c>
      <c r="U226" s="24" t="inlineStr">
        <is>
          <t>settled</t>
        </is>
      </c>
      <c r="V226" s="24" t="inlineStr">
        <is>
          <t>loss</t>
        </is>
      </c>
      <c r="W226" s="26" t="n">
        <v>5</v>
      </c>
      <c r="X226" s="26" t="n">
        <v>2</v>
      </c>
      <c r="Y226" s="25" t="n">
        <v>1.5</v>
      </c>
      <c r="Z226" s="26" t="n">
        <v>-174</v>
      </c>
      <c r="AA226" s="28" t="n">
        <v>0.635</v>
      </c>
      <c r="AB226" s="28" t="n">
        <v>-3.6e-05</v>
      </c>
      <c r="AC226" s="30" t="n">
        <v>-1.5</v>
      </c>
      <c r="AD226" s="24" t="inlineStr">
        <is>
          <t>2026-08-12T05:11:36.643461Z</t>
        </is>
      </c>
      <c r="AE226" s="31" t="inlineStr">
        <is>
          <t>Measured Edge Margin: Trend Engine projected 4.57-4.68; raw selected-side p=0.6778, calibrated p=0.6212.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mlb-bal</t>
        </is>
      </c>
      <c r="AQ226" s="24" t="inlineStr">
        <is>
          <t>Baltimore Orioles</t>
        </is>
      </c>
      <c r="AR226" s="24" t="inlineStr">
        <is>
          <t>Baltimore Orioles</t>
        </is>
      </c>
      <c r="AS226" s="24" t="inlineStr">
        <is>
          <t>mlb-min</t>
        </is>
      </c>
      <c r="AT226" s="24" t="inlineStr">
        <is>
          <t>Minnesota Twins</t>
        </is>
      </c>
      <c r="AU226" s="24" t="inlineStr">
        <is>
          <t>Minnesota Twins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dd339a2eed50d7d83ab2127837995ddab82e879afd27f5414bb6c1f9cd60ba4c</t>
        </is>
      </c>
      <c r="BB226" s="24" t="inlineStr">
        <is>
          <t>flat_probability_shrinkage_toward_half</t>
        </is>
      </c>
      <c r="BC226" s="24" t="inlineStr">
        <is>
          <t>measured-edge-margin-v3</t>
        </is>
      </c>
      <c r="BD226" s="24" t="inlineStr">
        <is>
          <t>dd339a2eed50d7d83ab2127837995ddab82e879afd27f5414bb6c1f9cd60ba4c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2026-08-11T23:02:24.981249Z</t>
        </is>
      </c>
      <c r="BI226" s="24" t="inlineStr">
        <is>
          <t>["same_event","same_team_same_day","same_league_same_day"]</t>
        </is>
      </c>
      <c r="BJ226" s="25" t="n">
        <v>1.5</v>
      </c>
      <c r="BK226" s="26" t="n">
        <v>-174</v>
      </c>
      <c r="BL226" s="27" t="n">
        <v>1.574713</v>
      </c>
      <c r="BM226" s="28" t="n">
        <v>0.635036</v>
      </c>
      <c r="BN226" s="28" t="n">
        <v>0.631841</v>
      </c>
      <c r="BO226" s="28" t="n"/>
      <c r="BP226" s="25" t="n"/>
      <c r="BQ226" s="27" t="n">
        <v>1.574713</v>
      </c>
      <c r="BR226" s="28" t="n">
        <v>0.635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</row>
    <row r="227" ht="36" customHeight="1">
      <c r="A227" s="24" t="inlineStr">
        <is>
          <t>34fb774a87864332</t>
        </is>
      </c>
      <c r="B227" s="24" t="inlineStr">
        <is>
          <t>2026-08-11T23:02:24.981249Z</t>
        </is>
      </c>
      <c r="C227" s="24" t="inlineStr">
        <is>
          <t>2026-08-11T23:40Z</t>
        </is>
      </c>
      <c r="D227" s="24" t="inlineStr">
        <is>
          <t>401816485</t>
        </is>
      </c>
      <c r="E227" s="24" t="inlineStr">
        <is>
          <t>MLB</t>
        </is>
      </c>
      <c r="F227" s="24" t="inlineStr">
        <is>
          <t>Baltimore Orioles</t>
        </is>
      </c>
      <c r="G227" s="24" t="inlineStr">
        <is>
          <t>Minnesota Twins</t>
        </is>
      </c>
      <c r="H227" s="24" t="inlineStr">
        <is>
          <t>total</t>
        </is>
      </c>
      <c r="I227" s="24" t="inlineStr">
        <is>
          <t>under</t>
        </is>
      </c>
      <c r="J227" s="25" t="n">
        <v>9.5</v>
      </c>
      <c r="K227" s="24" t="inlineStr">
        <is>
          <t>polymarket_us</t>
        </is>
      </c>
      <c r="L227" s="26" t="n">
        <v>-122</v>
      </c>
      <c r="M227" s="27" t="n">
        <v>1.819672</v>
      </c>
      <c r="N227" s="28" t="n">
        <v>0.54955</v>
      </c>
      <c r="O227" s="28" t="n">
        <v>0.524442</v>
      </c>
      <c r="P227" s="28" t="n">
        <v>0.042131</v>
      </c>
      <c r="Q227" s="28" t="n">
        <v>-0.025108</v>
      </c>
      <c r="R227" s="26" t="n">
        <v>13</v>
      </c>
      <c r="S227" s="29" t="n">
        <v>1</v>
      </c>
      <c r="T227" s="24" t="inlineStr">
        <is>
          <t>measured-edge-totals-v3</t>
        </is>
      </c>
      <c r="U227" s="24" t="inlineStr">
        <is>
          <t>settled</t>
        </is>
      </c>
      <c r="V227" s="24" t="inlineStr">
        <is>
          <t>win</t>
        </is>
      </c>
      <c r="W227" s="26" t="n">
        <v>5</v>
      </c>
      <c r="X227" s="26" t="n">
        <v>2</v>
      </c>
      <c r="Y227" s="25" t="n">
        <v>9.5</v>
      </c>
      <c r="Z227" s="26" t="n">
        <v>-122</v>
      </c>
      <c r="AA227" s="28" t="n">
        <v>0.55</v>
      </c>
      <c r="AB227" s="28" t="n">
        <v>0.00045</v>
      </c>
      <c r="AC227" s="30" t="n">
        <v>0.8197</v>
      </c>
      <c r="AD227" s="24" t="inlineStr">
        <is>
          <t>2026-08-12T05:11:38.269953Z</t>
        </is>
      </c>
      <c r="AE227" s="31" t="inlineStr">
        <is>
          <t>Measured Edge Totals: Trend Engine projected 4.57-4.68; raw selected-side p=0.5750, calibrated p=0.5244.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mlb-bal</t>
        </is>
      </c>
      <c r="AQ227" s="24" t="inlineStr">
        <is>
          <t>Baltimore Orioles</t>
        </is>
      </c>
      <c r="AR227" s="24" t="inlineStr">
        <is>
          <t>Baltimore Orioles</t>
        </is>
      </c>
      <c r="AS227" s="24" t="inlineStr">
        <is>
          <t>mlb-min</t>
        </is>
      </c>
      <c r="AT227" s="24" t="inlineStr">
        <is>
          <t>Minnesota Twins</t>
        </is>
      </c>
      <c r="AU227" s="24" t="inlineStr">
        <is>
          <t>Minnesota Twins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95b84332c75d2ce54036eb8de6ada9c78d0f80228c50825c0347281a8b9b49c7</t>
        </is>
      </c>
      <c r="BB227" s="24" t="inlineStr">
        <is>
          <t>flat_probability_shrinkage_toward_half</t>
        </is>
      </c>
      <c r="BC227" s="24" t="inlineStr">
        <is>
          <t>measured-edge-totals-v3</t>
        </is>
      </c>
      <c r="BD227" s="24" t="inlineStr">
        <is>
          <t>95b84332c75d2ce54036eb8de6ada9c78d0f80228c50825c0347281a8b9b49c7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2026-08-11T23:02:24.981249Z</t>
        </is>
      </c>
      <c r="BI227" s="24" t="inlineStr">
        <is>
          <t>["same_event","same_team_same_day","same_league_same_day"]</t>
        </is>
      </c>
      <c r="BJ227" s="25" t="n">
        <v>9.5</v>
      </c>
      <c r="BK227" s="26" t="n">
        <v>-122</v>
      </c>
      <c r="BL227" s="27" t="n">
        <v>1.819672</v>
      </c>
      <c r="BM227" s="28" t="n">
        <v>0.54955</v>
      </c>
      <c r="BN227" s="28" t="n">
        <v>0.547264</v>
      </c>
      <c r="BO227" s="28" t="n"/>
      <c r="BP227" s="25" t="n"/>
      <c r="BQ227" s="27" t="n">
        <v>1.819672</v>
      </c>
      <c r="BR227" s="28" t="n">
        <v>0.55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</row>
    <row r="228" ht="36" customHeight="1">
      <c r="A228" s="24" t="inlineStr">
        <is>
          <t>e8b646d45bb540e1</t>
        </is>
      </c>
      <c r="B228" s="24" t="inlineStr">
        <is>
          <t>2026-08-11T23:02:24.981249Z</t>
        </is>
      </c>
      <c r="C228" s="24" t="inlineStr">
        <is>
          <t>2026-08-11T23:40Z</t>
        </is>
      </c>
      <c r="D228" s="24" t="inlineStr">
        <is>
          <t>401816486</t>
        </is>
      </c>
      <c r="E228" s="24" t="inlineStr">
        <is>
          <t>MLB</t>
        </is>
      </c>
      <c r="F228" s="24" t="inlineStr">
        <is>
          <t>Cincinnati Reds</t>
        </is>
      </c>
      <c r="G228" s="24" t="inlineStr">
        <is>
          <t>Chicago White Sox</t>
        </is>
      </c>
      <c r="H228" s="24" t="inlineStr">
        <is>
          <t>spread</t>
        </is>
      </c>
      <c r="I228" s="24" t="inlineStr">
        <is>
          <t>away</t>
        </is>
      </c>
      <c r="J228" s="25" t="n">
        <v>1.5</v>
      </c>
      <c r="K228" s="24" t="inlineStr">
        <is>
          <t>polymarket_us</t>
        </is>
      </c>
      <c r="L228" s="26" t="n">
        <v>-147</v>
      </c>
      <c r="M228" s="27" t="n">
        <v>1.680272</v>
      </c>
      <c r="N228" s="28" t="n">
        <v>0.5951419999999999</v>
      </c>
      <c r="O228" s="28" t="n">
        <v>0.563643</v>
      </c>
      <c r="P228" s="28" t="n">
        <v>0.042131</v>
      </c>
      <c r="Q228" s="28" t="n">
        <v>-0.031499</v>
      </c>
      <c r="R228" s="26" t="n">
        <v>11</v>
      </c>
      <c r="S228" s="29" t="n">
        <v>1.25</v>
      </c>
      <c r="T228" s="24" t="inlineStr">
        <is>
          <t>measured-edge-margin-v3</t>
        </is>
      </c>
      <c r="U228" s="24" t="inlineStr">
        <is>
          <t>settled</t>
        </is>
      </c>
      <c r="V228" s="24" t="inlineStr">
        <is>
          <t>win</t>
        </is>
      </c>
      <c r="W228" s="26" t="n">
        <v>5</v>
      </c>
      <c r="X228" s="26" t="n">
        <v>4</v>
      </c>
      <c r="Y228" s="25" t="n">
        <v>1.5</v>
      </c>
      <c r="Z228" s="26" t="n">
        <v>-147</v>
      </c>
      <c r="AA228" s="28" t="n">
        <v>0.595</v>
      </c>
      <c r="AB228" s="28" t="n">
        <v>-0.000142</v>
      </c>
      <c r="AC228" s="30" t="n">
        <v>0.8502999999999999</v>
      </c>
      <c r="AD228" s="24" t="inlineStr">
        <is>
          <t>2026-08-12T05:11:39.895032Z</t>
        </is>
      </c>
      <c r="AE228" s="31" t="inlineStr">
        <is>
          <t>Measured Edge Margin: Trend Engine projected 3.83-4.66; raw selected-side p=0.5934, calibrated p=0.5636.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mlb-cin</t>
        </is>
      </c>
      <c r="AQ228" s="24" t="inlineStr">
        <is>
          <t>Cincinnati Reds</t>
        </is>
      </c>
      <c r="AR228" s="24" t="inlineStr">
        <is>
          <t>Cincinnati Reds</t>
        </is>
      </c>
      <c r="AS228" s="24" t="inlineStr">
        <is>
          <t>mlb-cws</t>
        </is>
      </c>
      <c r="AT228" s="24" t="inlineStr">
        <is>
          <t>Chicago White Sox</t>
        </is>
      </c>
      <c r="AU228" s="24" t="inlineStr">
        <is>
          <t>Chicago White Sox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dd339a2eed50d7d83ab2127837995ddab82e879afd27f5414bb6c1f9cd60ba4c</t>
        </is>
      </c>
      <c r="BB228" s="24" t="inlineStr">
        <is>
          <t>flat_probability_shrinkage_toward_half</t>
        </is>
      </c>
      <c r="BC228" s="24" t="inlineStr">
        <is>
          <t>measured-edge-margin-v3</t>
        </is>
      </c>
      <c r="BD228" s="24" t="inlineStr">
        <is>
          <t>dd339a2eed50d7d83ab2127837995ddab82e879afd27f5414bb6c1f9cd60ba4c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2026-08-11T23:02:24.981249Z</t>
        </is>
      </c>
      <c r="BI228" s="24" t="inlineStr">
        <is>
          <t>["same_event","same_team_same_day","same_league_same_day"]</t>
        </is>
      </c>
      <c r="BJ228" s="25" t="n">
        <v>1.5</v>
      </c>
      <c r="BK228" s="26" t="n">
        <v>-147</v>
      </c>
      <c r="BL228" s="27" t="n">
        <v>1.680272</v>
      </c>
      <c r="BM228" s="28" t="n">
        <v>0.5951419999999999</v>
      </c>
      <c r="BN228" s="28" t="n">
        <v>0.59204</v>
      </c>
      <c r="BO228" s="28" t="n"/>
      <c r="BP228" s="25" t="n"/>
      <c r="BQ228" s="27" t="n">
        <v>1.680272</v>
      </c>
      <c r="BR228" s="28" t="n">
        <v>0.595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5f12233ff66b450e</t>
        </is>
      </c>
      <c r="B229" s="24" t="inlineStr">
        <is>
          <t>2026-08-11T23:02:24.981249Z</t>
        </is>
      </c>
      <c r="C229" s="24" t="inlineStr">
        <is>
          <t>2026-08-11T23:40Z</t>
        </is>
      </c>
      <c r="D229" s="24" t="inlineStr">
        <is>
          <t>401816486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Chicago White Sox</t>
        </is>
      </c>
      <c r="H229" s="24" t="inlineStr">
        <is>
          <t>total</t>
        </is>
      </c>
      <c r="I229" s="24" t="inlineStr">
        <is>
          <t>over</t>
        </is>
      </c>
      <c r="J229" s="25" t="n">
        <v>7.5</v>
      </c>
      <c r="K229" s="24" t="inlineStr">
        <is>
          <t>polymarket_us</t>
        </is>
      </c>
      <c r="L229" s="26" t="n">
        <v>-108</v>
      </c>
      <c r="M229" s="27" t="n">
        <v>1.925926</v>
      </c>
      <c r="N229" s="28" t="n">
        <v>0.519231</v>
      </c>
      <c r="O229" s="28" t="n">
        <v>0.51745</v>
      </c>
      <c r="P229" s="28" t="n">
        <v>0.042131</v>
      </c>
      <c r="Q229" s="28" t="n">
        <v>-0.001781</v>
      </c>
      <c r="R229" s="26" t="n">
        <v>25</v>
      </c>
      <c r="S229" s="29" t="n">
        <v>1</v>
      </c>
      <c r="T229" s="24" t="inlineStr">
        <is>
          <t>measured-edge-totals-v3</t>
        </is>
      </c>
      <c r="U229" s="24" t="inlineStr">
        <is>
          <t>settled</t>
        </is>
      </c>
      <c r="V229" s="24" t="inlineStr">
        <is>
          <t>win</t>
        </is>
      </c>
      <c r="W229" s="26" t="n">
        <v>5</v>
      </c>
      <c r="X229" s="26" t="n">
        <v>4</v>
      </c>
      <c r="Y229" s="25" t="n">
        <v>7.5</v>
      </c>
      <c r="Z229" s="26" t="n">
        <v>-108</v>
      </c>
      <c r="AA229" s="28" t="n">
        <v>0.52</v>
      </c>
      <c r="AB229" s="28" t="n">
        <v>0.000769</v>
      </c>
      <c r="AC229" s="30" t="n">
        <v>0.9258999999999999</v>
      </c>
      <c r="AD229" s="24" t="inlineStr">
        <is>
          <t>2026-08-12T05:11:41.487922Z</t>
        </is>
      </c>
      <c r="AE229" s="31" t="inlineStr">
        <is>
          <t>Measured Edge Totals: Trend Engine projected 3.83-4.66; raw selected-side p=0.5469, calibrated p=0.5174.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mlb-cws</t>
        </is>
      </c>
      <c r="AT229" s="24" t="inlineStr">
        <is>
          <t>Chicago White Sox</t>
        </is>
      </c>
      <c r="AU229" s="24" t="inlineStr">
        <is>
          <t>Chicago White Sox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95b84332c75d2ce54036eb8de6ada9c78d0f80228c50825c0347281a8b9b49c7</t>
        </is>
      </c>
      <c r="BB229" s="24" t="inlineStr">
        <is>
          <t>flat_probability_shrinkage_toward_half</t>
        </is>
      </c>
      <c r="BC229" s="24" t="inlineStr">
        <is>
          <t>measured-edge-totals-v3</t>
        </is>
      </c>
      <c r="BD229" s="24" t="inlineStr">
        <is>
          <t>95b84332c75d2ce54036eb8de6ada9c78d0f80228c50825c0347281a8b9b49c7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2026-08-11T23:02:24.981249Z</t>
        </is>
      </c>
      <c r="BI229" s="24" t="inlineStr">
        <is>
          <t>["same_event","same_team_same_day","same_league_same_day"]</t>
        </is>
      </c>
      <c r="BJ229" s="25" t="n">
        <v>7.5</v>
      </c>
      <c r="BK229" s="26" t="n">
        <v>-108</v>
      </c>
      <c r="BL229" s="27" t="n">
        <v>1.925926</v>
      </c>
      <c r="BM229" s="28" t="n">
        <v>0.519231</v>
      </c>
      <c r="BN229" s="28" t="n">
        <v>0.517413</v>
      </c>
      <c r="BO229" s="28" t="n"/>
      <c r="BP229" s="25" t="n"/>
      <c r="BQ229" s="27" t="n">
        <v>1.925926</v>
      </c>
      <c r="BR229" s="28" t="n">
        <v>0.52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a2eca695a5674b08</t>
        </is>
      </c>
      <c r="B230" s="24" t="inlineStr">
        <is>
          <t>2026-08-11T23:02:24.981249Z</t>
        </is>
      </c>
      <c r="C230" s="24" t="inlineStr">
        <is>
          <t>2026-08-11T23:45Z</t>
        </is>
      </c>
      <c r="D230" s="24" t="inlineStr">
        <is>
          <t>401816487</t>
        </is>
      </c>
      <c r="E230" s="24" t="inlineStr">
        <is>
          <t>MLB</t>
        </is>
      </c>
      <c r="F230" s="24" t="inlineStr">
        <is>
          <t>Philadelphia Phillies</t>
        </is>
      </c>
      <c r="G230" s="24" t="inlineStr">
        <is>
          <t>St. Louis Cardinals</t>
        </is>
      </c>
      <c r="H230" s="24" t="inlineStr">
        <is>
          <t>spread</t>
        </is>
      </c>
      <c r="I230" s="24" t="inlineStr">
        <is>
          <t>home</t>
        </is>
      </c>
      <c r="J230" s="25" t="n">
        <v>1.5</v>
      </c>
      <c r="K230" s="24" t="inlineStr">
        <is>
          <t>polymarket_us</t>
        </is>
      </c>
      <c r="L230" s="26" t="n">
        <v>-117</v>
      </c>
      <c r="M230" s="27" t="n">
        <v>1.854701</v>
      </c>
      <c r="N230" s="28" t="n">
        <v>0.539171</v>
      </c>
      <c r="O230" s="28" t="n">
        <v>0.61468</v>
      </c>
      <c r="P230" s="28" t="n">
        <v>0.042131</v>
      </c>
      <c r="Q230" s="28" t="n">
        <v>0.07550900000000001</v>
      </c>
      <c r="R230" s="26" t="n">
        <v>63</v>
      </c>
      <c r="S230" s="29" t="n">
        <v>1.5</v>
      </c>
      <c r="T230" s="24" t="inlineStr">
        <is>
          <t>measured-edge-margin-v3</t>
        </is>
      </c>
      <c r="U230" s="24" t="inlineStr">
        <is>
          <t>settled</t>
        </is>
      </c>
      <c r="V230" s="24" t="inlineStr">
        <is>
          <t>win</t>
        </is>
      </c>
      <c r="W230" s="26" t="n">
        <v>0</v>
      </c>
      <c r="X230" s="26" t="n">
        <v>2</v>
      </c>
      <c r="Y230" s="25" t="n">
        <v>1.5</v>
      </c>
      <c r="Z230" s="26" t="n">
        <v>-117</v>
      </c>
      <c r="AA230" s="28" t="n">
        <v>0.54</v>
      </c>
      <c r="AB230" s="28" t="n">
        <v>0.000829</v>
      </c>
      <c r="AC230" s="30" t="n">
        <v>1.2821</v>
      </c>
      <c r="AD230" s="24" t="inlineStr">
        <is>
          <t>2026-08-12T05:11:43.109994Z</t>
        </is>
      </c>
      <c r="AE230" s="31" t="inlineStr">
        <is>
          <t>Measured Edge Margin: Trend Engine projected 4.42-4.39; raw selected-side p=0.6683, calibrated p=0.6147.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mlb-phi</t>
        </is>
      </c>
      <c r="AQ230" s="24" t="inlineStr">
        <is>
          <t>Philadelphia Phillies</t>
        </is>
      </c>
      <c r="AR230" s="24" t="inlineStr">
        <is>
          <t>Philadelphia Phillies</t>
        </is>
      </c>
      <c r="AS230" s="24" t="inlineStr">
        <is>
          <t>mlb-stl</t>
        </is>
      </c>
      <c r="AT230" s="24" t="inlineStr">
        <is>
          <t>St. Louis Cardinals</t>
        </is>
      </c>
      <c r="AU230" s="24" t="inlineStr">
        <is>
          <t>St. Louis Cardinals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dd339a2eed50d7d83ab2127837995ddab82e879afd27f5414bb6c1f9cd60ba4c</t>
        </is>
      </c>
      <c r="BB230" s="24" t="inlineStr">
        <is>
          <t>flat_probability_shrinkage_toward_half</t>
        </is>
      </c>
      <c r="BC230" s="24" t="inlineStr">
        <is>
          <t>measured-edge-margin-v3</t>
        </is>
      </c>
      <c r="BD230" s="24" t="inlineStr">
        <is>
          <t>dd339a2eed50d7d83ab2127837995ddab82e879afd27f5414bb6c1f9cd60ba4c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2026-08-11T23:02:24.981249Z</t>
        </is>
      </c>
      <c r="BI230" s="24" t="inlineStr">
        <is>
          <t>["same_event","same_team_same_day","same_league_same_day"]</t>
        </is>
      </c>
      <c r="BJ230" s="25" t="n">
        <v>1.5</v>
      </c>
      <c r="BK230" s="26" t="n">
        <v>-117</v>
      </c>
      <c r="BL230" s="27" t="n">
        <v>1.854701</v>
      </c>
      <c r="BM230" s="28" t="n">
        <v>0.539171</v>
      </c>
      <c r="BN230" s="28" t="n">
        <v>0.537313</v>
      </c>
      <c r="BO230" s="28" t="n"/>
      <c r="BP230" s="25" t="n"/>
      <c r="BQ230" s="27" t="n">
        <v>1.854701</v>
      </c>
      <c r="BR230" s="28" t="n">
        <v>0.54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4c614d27d84e477e</t>
        </is>
      </c>
      <c r="B231" s="24" t="inlineStr">
        <is>
          <t>2026-08-11T23:02:24.981249Z</t>
        </is>
      </c>
      <c r="C231" s="24" t="inlineStr">
        <is>
          <t>2026-08-11T23:45Z</t>
        </is>
      </c>
      <c r="D231" s="24" t="inlineStr">
        <is>
          <t>401816487</t>
        </is>
      </c>
      <c r="E231" s="24" t="inlineStr">
        <is>
          <t>MLB</t>
        </is>
      </c>
      <c r="F231" s="24" t="inlineStr">
        <is>
          <t>Philadelphia Phillies</t>
        </is>
      </c>
      <c r="G231" s="24" t="inlineStr">
        <is>
          <t>St. Louis Cardinals</t>
        </is>
      </c>
      <c r="H231" s="24" t="inlineStr">
        <is>
          <t>total</t>
        </is>
      </c>
      <c r="I231" s="24" t="inlineStr">
        <is>
          <t>over</t>
        </is>
      </c>
      <c r="J231" s="25" t="n">
        <v>7.5</v>
      </c>
      <c r="K231" s="24" t="inlineStr">
        <is>
          <t>polymarket_us</t>
        </is>
      </c>
      <c r="L231" s="26" t="n">
        <v>-106</v>
      </c>
      <c r="M231" s="27" t="n">
        <v>1.943396</v>
      </c>
      <c r="N231" s="28" t="n">
        <v>0.514563</v>
      </c>
      <c r="O231" s="28" t="n">
        <v>0.524827</v>
      </c>
      <c r="P231" s="28" t="n">
        <v>0.042131</v>
      </c>
      <c r="Q231" s="28" t="n">
        <v>0.010264</v>
      </c>
      <c r="R231" s="26" t="n">
        <v>31</v>
      </c>
      <c r="S231" s="29" t="n">
        <v>1</v>
      </c>
      <c r="T231" s="24" t="inlineStr">
        <is>
          <t>measured-edge-totals-v3</t>
        </is>
      </c>
      <c r="U231" s="24" t="inlineStr">
        <is>
          <t>settled</t>
        </is>
      </c>
      <c r="V231" s="24" t="inlineStr">
        <is>
          <t>loss</t>
        </is>
      </c>
      <c r="W231" s="26" t="n">
        <v>0</v>
      </c>
      <c r="X231" s="26" t="n">
        <v>2</v>
      </c>
      <c r="Y231" s="25" t="n">
        <v>7.5</v>
      </c>
      <c r="Z231" s="26" t="n">
        <v>-106</v>
      </c>
      <c r="AA231" s="28" t="n">
        <v>0.515</v>
      </c>
      <c r="AB231" s="28" t="n">
        <v>0.000437</v>
      </c>
      <c r="AC231" s="30" t="n">
        <v>-1</v>
      </c>
      <c r="AD231" s="24" t="inlineStr">
        <is>
          <t>2026-08-12T05:11:44.762525Z</t>
        </is>
      </c>
      <c r="AE231" s="31" t="inlineStr">
        <is>
          <t>Measured Edge Totals: Trend Engine projected 4.42-4.39; raw selected-side p=0.5766, calibrated p=0.5248.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mlb-phi</t>
        </is>
      </c>
      <c r="AQ231" s="24" t="inlineStr">
        <is>
          <t>Philadelphia Phillies</t>
        </is>
      </c>
      <c r="AR231" s="24" t="inlineStr">
        <is>
          <t>Philadelphia Phillies</t>
        </is>
      </c>
      <c r="AS231" s="24" t="inlineStr">
        <is>
          <t>mlb-stl</t>
        </is>
      </c>
      <c r="AT231" s="24" t="inlineStr">
        <is>
          <t>St. Louis Cardinals</t>
        </is>
      </c>
      <c r="AU231" s="24" t="inlineStr">
        <is>
          <t>St. Louis Cardinals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95b84332c75d2ce54036eb8de6ada9c78d0f80228c50825c0347281a8b9b49c7</t>
        </is>
      </c>
      <c r="BB231" s="24" t="inlineStr">
        <is>
          <t>flat_probability_shrinkage_toward_half</t>
        </is>
      </c>
      <c r="BC231" s="24" t="inlineStr">
        <is>
          <t>measured-edge-totals-v3</t>
        </is>
      </c>
      <c r="BD231" s="24" t="inlineStr">
        <is>
          <t>95b84332c75d2ce54036eb8de6ada9c78d0f80228c50825c0347281a8b9b49c7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2026-08-11T23:02:24.981249Z</t>
        </is>
      </c>
      <c r="BI231" s="24" t="inlineStr">
        <is>
          <t>["same_event","same_team_same_day","same_league_same_day"]</t>
        </is>
      </c>
      <c r="BJ231" s="25" t="n">
        <v>7.5</v>
      </c>
      <c r="BK231" s="26" t="n">
        <v>-106</v>
      </c>
      <c r="BL231" s="27" t="n">
        <v>1.943396</v>
      </c>
      <c r="BM231" s="28" t="n">
        <v>0.514563</v>
      </c>
      <c r="BN231" s="28" t="n">
        <v>0.5124379999999999</v>
      </c>
      <c r="BO231" s="28" t="n"/>
      <c r="BP231" s="25" t="n"/>
      <c r="BQ231" s="27" t="n">
        <v>1.943396</v>
      </c>
      <c r="BR231" s="28" t="n">
        <v>0.515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</row>
    <row r="232" ht="36" customHeight="1">
      <c r="A232" s="24" t="inlineStr">
        <is>
          <t>74eb010c13e14592</t>
        </is>
      </c>
      <c r="B232" s="24" t="inlineStr">
        <is>
          <t>2026-08-11T23:02:24.981249Z</t>
        </is>
      </c>
      <c r="C232" s="24" t="inlineStr">
        <is>
          <t>2026-08-12T01:38Z</t>
        </is>
      </c>
      <c r="D232" s="24" t="inlineStr">
        <is>
          <t>401816493</t>
        </is>
      </c>
      <c r="E232" s="24" t="inlineStr">
        <is>
          <t>MLB</t>
        </is>
      </c>
      <c r="F232" s="24" t="inlineStr">
        <is>
          <t>Texas Rangers</t>
        </is>
      </c>
      <c r="G232" s="24" t="inlineStr">
        <is>
          <t>Los Angeles Angels</t>
        </is>
      </c>
      <c r="H232" s="24" t="inlineStr">
        <is>
          <t>spread</t>
        </is>
      </c>
      <c r="I232" s="24" t="inlineStr">
        <is>
          <t>home</t>
        </is>
      </c>
      <c r="J232" s="25" t="n">
        <v>1.5</v>
      </c>
      <c r="K232" s="24" t="inlineStr">
        <is>
          <t>polymarket_us</t>
        </is>
      </c>
      <c r="L232" s="26" t="n">
        <v>-113</v>
      </c>
      <c r="M232" s="27" t="n">
        <v>1.884956</v>
      </c>
      <c r="N232" s="28" t="n">
        <v>0.530516</v>
      </c>
      <c r="O232" s="28" t="n">
        <v>0.559146</v>
      </c>
      <c r="P232" s="28" t="n">
        <v>0.05172</v>
      </c>
      <c r="Q232" s="28" t="n">
        <v>0.02863</v>
      </c>
      <c r="R232" s="26" t="n">
        <v>35</v>
      </c>
      <c r="S232" s="29" t="n">
        <v>1</v>
      </c>
      <c r="T232" s="24" t="inlineStr">
        <is>
          <t>measured-edge-margin-v3</t>
        </is>
      </c>
      <c r="U232" s="24" t="inlineStr">
        <is>
          <t>settled</t>
        </is>
      </c>
      <c r="V232" s="24" t="inlineStr">
        <is>
          <t>win</t>
        </is>
      </c>
      <c r="W232" s="26" t="n">
        <v>2</v>
      </c>
      <c r="X232" s="26" t="n">
        <v>3</v>
      </c>
      <c r="Y232" s="25" t="n">
        <v>1.5</v>
      </c>
      <c r="Z232" s="26" t="n">
        <v>-113</v>
      </c>
      <c r="AA232" s="28" t="n">
        <v>0.53</v>
      </c>
      <c r="AB232" s="28" t="n">
        <v>-0.000516</v>
      </c>
      <c r="AC232" s="30" t="n">
        <v>0.885</v>
      </c>
      <c r="AD232" s="24" t="inlineStr">
        <is>
          <t>2026-08-12T05:11:46.416359Z</t>
        </is>
      </c>
      <c r="AE232" s="31" t="inlineStr">
        <is>
          <t>Measured Edge Margin: Trend Engine projected 5.13-4.32; raw selected-side p=0.5868, calibrated p=0.5591.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mlb-tex</t>
        </is>
      </c>
      <c r="AQ232" s="24" t="inlineStr">
        <is>
          <t>Texas Rangers</t>
        </is>
      </c>
      <c r="AR232" s="24" t="inlineStr">
        <is>
          <t>Texas Rangers</t>
        </is>
      </c>
      <c r="AS232" s="24" t="inlineStr">
        <is>
          <t>mlb-laa</t>
        </is>
      </c>
      <c r="AT232" s="24" t="inlineStr">
        <is>
          <t>Los Angeles Angels</t>
        </is>
      </c>
      <c r="AU232" s="24" t="inlineStr">
        <is>
          <t>Los Angeles Angels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dd339a2eed50d7d83ab2127837995ddab82e879afd27f5414bb6c1f9cd60ba4c</t>
        </is>
      </c>
      <c r="BB232" s="24" t="inlineStr">
        <is>
          <t>flat_probability_shrinkage_toward_half</t>
        </is>
      </c>
      <c r="BC232" s="24" t="inlineStr">
        <is>
          <t>measured-edge-margin-v3</t>
        </is>
      </c>
      <c r="BD232" s="24" t="inlineStr">
        <is>
          <t>dd339a2eed50d7d83ab2127837995ddab82e879afd27f5414bb6c1f9cd60ba4c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2026-08-11T23:02:24.981249Z</t>
        </is>
      </c>
      <c r="BI232" s="24" t="inlineStr">
        <is>
          <t>["same_event","same_team_same_day","same_league_same_day"]</t>
        </is>
      </c>
      <c r="BJ232" s="25" t="n">
        <v>1.5</v>
      </c>
      <c r="BK232" s="26" t="n">
        <v>-113</v>
      </c>
      <c r="BL232" s="27" t="n">
        <v>1.884956</v>
      </c>
      <c r="BM232" s="28" t="n">
        <v>0.530516</v>
      </c>
      <c r="BN232" s="28" t="n">
        <v>0.527363</v>
      </c>
      <c r="BO232" s="28" t="n"/>
      <c r="BP232" s="25" t="n"/>
      <c r="BQ232" s="27" t="n">
        <v>1.884956</v>
      </c>
      <c r="BR232" s="28" t="n">
        <v>0.53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268c91e024bd4322</t>
        </is>
      </c>
      <c r="B233" s="24" t="inlineStr">
        <is>
          <t>2026-08-11T23:02:24.981249Z</t>
        </is>
      </c>
      <c r="C233" s="24" t="inlineStr">
        <is>
          <t>2026-08-12T01:38Z</t>
        </is>
      </c>
      <c r="D233" s="24" t="inlineStr">
        <is>
          <t>401816493</t>
        </is>
      </c>
      <c r="E233" s="24" t="inlineStr">
        <is>
          <t>MLB</t>
        </is>
      </c>
      <c r="F233" s="24" t="inlineStr">
        <is>
          <t>Texas Rangers</t>
        </is>
      </c>
      <c r="G233" s="24" t="inlineStr">
        <is>
          <t>Los Angeles Angels</t>
        </is>
      </c>
      <c r="H233" s="24" t="inlineStr">
        <is>
          <t>total</t>
        </is>
      </c>
      <c r="I233" s="24" t="inlineStr">
        <is>
          <t>under</t>
        </is>
      </c>
      <c r="J233" s="25" t="n">
        <v>9.5</v>
      </c>
      <c r="K233" s="24" t="inlineStr">
        <is>
          <t>polymarket_us</t>
        </is>
      </c>
      <c r="L233" s="26" t="n">
        <v>-122</v>
      </c>
      <c r="M233" s="27" t="n">
        <v>1.819672</v>
      </c>
      <c r="N233" s="28" t="n">
        <v>0.54955</v>
      </c>
      <c r="O233" s="28" t="n">
        <v>0.517984</v>
      </c>
      <c r="P233" s="28" t="n">
        <v>0.05172</v>
      </c>
      <c r="Q233" s="28" t="n">
        <v>-0.031566</v>
      </c>
      <c r="R233" s="26" t="n">
        <v>4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2</v>
      </c>
      <c r="X233" s="26" t="n">
        <v>3</v>
      </c>
      <c r="Y233" s="25" t="n">
        <v>9.5</v>
      </c>
      <c r="Z233" s="26" t="n">
        <v>-122</v>
      </c>
      <c r="AA233" s="28" t="n">
        <v>0.55</v>
      </c>
      <c r="AB233" s="28" t="n">
        <v>0.00045</v>
      </c>
      <c r="AC233" s="30" t="n">
        <v>0.8197</v>
      </c>
      <c r="AD233" s="24" t="inlineStr">
        <is>
          <t>2026-08-12T05:11:48.002435Z</t>
        </is>
      </c>
      <c r="AE233" s="31" t="inlineStr">
        <is>
          <t>Measured Edge Totals: Trend Engine projected 5.13-4.32; raw selected-side p=0.5491, calibrated p=0.5180.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mlb-tex</t>
        </is>
      </c>
      <c r="AQ233" s="24" t="inlineStr">
        <is>
          <t>Texas Rangers</t>
        </is>
      </c>
      <c r="AR233" s="24" t="inlineStr">
        <is>
          <t>Texas Rangers</t>
        </is>
      </c>
      <c r="AS233" s="24" t="inlineStr">
        <is>
          <t>mlb-laa</t>
        </is>
      </c>
      <c r="AT233" s="24" t="inlineStr">
        <is>
          <t>Los Angeles Angels</t>
        </is>
      </c>
      <c r="AU233" s="24" t="inlineStr">
        <is>
          <t>Los Angeles Angels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2026-08-11T23:02:24.981249Z</t>
        </is>
      </c>
      <c r="BI233" s="24" t="inlineStr">
        <is>
          <t>["same_event","same_team_same_day","same_league_same_day"]</t>
        </is>
      </c>
      <c r="BJ233" s="25" t="n">
        <v>9.5</v>
      </c>
      <c r="BK233" s="26" t="n">
        <v>-122</v>
      </c>
      <c r="BL233" s="27" t="n">
        <v>1.819672</v>
      </c>
      <c r="BM233" s="28" t="n">
        <v>0.54955</v>
      </c>
      <c r="BN233" s="28" t="n">
        <v>0.547264</v>
      </c>
      <c r="BO233" s="28" t="n"/>
      <c r="BP233" s="25" t="n"/>
      <c r="BQ233" s="27" t="n">
        <v>1.819672</v>
      </c>
      <c r="BR233" s="28" t="n">
        <v>0.55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</row>
    <row r="234" ht="36" customHeight="1">
      <c r="A234" s="24" t="inlineStr">
        <is>
          <t>e49d9124a69b4966</t>
        </is>
      </c>
      <c r="B234" s="24" t="inlineStr">
        <is>
          <t>2026-08-11T23:02:24.981249Z</t>
        </is>
      </c>
      <c r="C234" s="24" t="inlineStr">
        <is>
          <t>2026-08-12T01:40Z</t>
        </is>
      </c>
      <c r="D234" s="24" t="inlineStr">
        <is>
          <t>401816488</t>
        </is>
      </c>
      <c r="E234" s="24" t="inlineStr">
        <is>
          <t>MLB</t>
        </is>
      </c>
      <c r="F234" s="24" t="inlineStr">
        <is>
          <t>Colorado Rockies</t>
        </is>
      </c>
      <c r="G234" s="24" t="inlineStr">
        <is>
          <t>Arizona Diamondbacks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-127</v>
      </c>
      <c r="M234" s="27" t="n">
        <v>1.787402</v>
      </c>
      <c r="N234" s="28" t="n">
        <v>0.5594710000000001</v>
      </c>
      <c r="O234" s="28" t="n">
        <v>0.586947</v>
      </c>
      <c r="P234" s="28" t="n">
        <v>0.05172</v>
      </c>
      <c r="Q234" s="28" t="n">
        <v>0.027476</v>
      </c>
      <c r="R234" s="26" t="n">
        <v>35</v>
      </c>
      <c r="S234" s="29" t="n">
        <v>1.25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2</v>
      </c>
      <c r="Y234" s="25" t="n">
        <v>1.5</v>
      </c>
      <c r="Z234" s="26" t="n">
        <v>-127</v>
      </c>
      <c r="AA234" s="28" t="n">
        <v>0.5600000000000001</v>
      </c>
      <c r="AB234" s="28" t="n">
        <v>0.000529</v>
      </c>
      <c r="AC234" s="30" t="n">
        <v>0.9843</v>
      </c>
      <c r="AD234" s="24" t="inlineStr">
        <is>
          <t>2026-08-12T05:11:49.641545Z</t>
        </is>
      </c>
      <c r="AE234" s="31" t="inlineStr">
        <is>
          <t>Measured Edge Margin: Trend Engine projected 4.66-5.04; raw selected-side p=0.6276, calibrated p=0.5869.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mlb-col</t>
        </is>
      </c>
      <c r="AQ234" s="24" t="inlineStr">
        <is>
          <t>Colorado Rockies</t>
        </is>
      </c>
      <c r="AR234" s="24" t="inlineStr">
        <is>
          <t>Colorado Rockies</t>
        </is>
      </c>
      <c r="AS234" s="24" t="inlineStr">
        <is>
          <t>mlb-ari</t>
        </is>
      </c>
      <c r="AT234" s="24" t="inlineStr">
        <is>
          <t>Arizona Diamondbacks</t>
        </is>
      </c>
      <c r="AU234" s="24" t="inlineStr">
        <is>
          <t>Arizona Diamondbacks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2026-08-11T23:02:24.981249Z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-127</v>
      </c>
      <c r="BL234" s="27" t="n">
        <v>1.787402</v>
      </c>
      <c r="BM234" s="28" t="n">
        <v>0.5594710000000001</v>
      </c>
      <c r="BN234" s="28" t="n">
        <v>0.554455</v>
      </c>
      <c r="BO234" s="28" t="n"/>
      <c r="BP234" s="25" t="n"/>
      <c r="BQ234" s="27" t="n">
        <v>1.787402</v>
      </c>
      <c r="BR234" s="28" t="n">
        <v>0.5600000000000001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</row>
    <row r="235" ht="36" customHeight="1">
      <c r="A235" s="24" t="inlineStr">
        <is>
          <t>08d014cff01e4222</t>
        </is>
      </c>
      <c r="B235" s="24" t="inlineStr">
        <is>
          <t>2026-08-11T23:02:24.981249Z</t>
        </is>
      </c>
      <c r="C235" s="24" t="inlineStr">
        <is>
          <t>2026-08-12T01:40Z</t>
        </is>
      </c>
      <c r="D235" s="24" t="inlineStr">
        <is>
          <t>401816488</t>
        </is>
      </c>
      <c r="E235" s="24" t="inlineStr">
        <is>
          <t>MLB</t>
        </is>
      </c>
      <c r="F235" s="24" t="inlineStr">
        <is>
          <t>Colorado Rockies</t>
        </is>
      </c>
      <c r="G235" s="24" t="inlineStr">
        <is>
          <t>Arizona Diamondbacks</t>
        </is>
      </c>
      <c r="H235" s="24" t="inlineStr">
        <is>
          <t>total</t>
        </is>
      </c>
      <c r="I235" s="24" t="inlineStr">
        <is>
          <t>under</t>
        </is>
      </c>
      <c r="J235" s="25" t="n">
        <v>9.5</v>
      </c>
      <c r="K235" s="24" t="inlineStr">
        <is>
          <t>polymarket_us</t>
        </is>
      </c>
      <c r="L235" s="26" t="n">
        <v>-117</v>
      </c>
      <c r="M235" s="27" t="n">
        <v>1.854701</v>
      </c>
      <c r="N235" s="28" t="n">
        <v>0.539171</v>
      </c>
      <c r="O235" s="28" t="n">
        <v>0.515028</v>
      </c>
      <c r="P235" s="28" t="n">
        <v>0.05172</v>
      </c>
      <c r="Q235" s="28" t="n">
        <v>-0.024143</v>
      </c>
      <c r="R235" s="26" t="n">
        <v>8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win</t>
        </is>
      </c>
      <c r="W235" s="26" t="n">
        <v>3</v>
      </c>
      <c r="X235" s="26" t="n">
        <v>2</v>
      </c>
      <c r="Y235" s="25" t="n">
        <v>9.5</v>
      </c>
      <c r="Z235" s="26" t="n">
        <v>-117</v>
      </c>
      <c r="AA235" s="28" t="n">
        <v>0.54</v>
      </c>
      <c r="AB235" s="28" t="n">
        <v>0.000829</v>
      </c>
      <c r="AC235" s="30" t="n">
        <v>0.8547</v>
      </c>
      <c r="AD235" s="24" t="inlineStr">
        <is>
          <t>2026-08-12T05:11:51.282825Z</t>
        </is>
      </c>
      <c r="AE235" s="31" t="inlineStr">
        <is>
          <t>Measured Edge Totals: Trend Engine projected 4.66-5.04; raw selected-side p=0.5372, calibrated p=0.5150.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mlb-col</t>
        </is>
      </c>
      <c r="AQ235" s="24" t="inlineStr">
        <is>
          <t>Colorado Rockies</t>
        </is>
      </c>
      <c r="AR235" s="24" t="inlineStr">
        <is>
          <t>Colorado Rockies</t>
        </is>
      </c>
      <c r="AS235" s="24" t="inlineStr">
        <is>
          <t>mlb-ari</t>
        </is>
      </c>
      <c r="AT235" s="24" t="inlineStr">
        <is>
          <t>Arizona Diamondbacks</t>
        </is>
      </c>
      <c r="AU235" s="24" t="inlineStr">
        <is>
          <t>Arizona Diamondbacks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2026-08-11T23:02:24.981249Z</t>
        </is>
      </c>
      <c r="BI235" s="24" t="inlineStr">
        <is>
          <t>["same_event","same_team_same_day","same_league_same_day"]</t>
        </is>
      </c>
      <c r="BJ235" s="25" t="n">
        <v>9.5</v>
      </c>
      <c r="BK235" s="26" t="n">
        <v>-117</v>
      </c>
      <c r="BL235" s="27" t="n">
        <v>1.854701</v>
      </c>
      <c r="BM235" s="28" t="n">
        <v>0.539171</v>
      </c>
      <c r="BN235" s="28" t="n">
        <v>0.537313</v>
      </c>
      <c r="BO235" s="28" t="n"/>
      <c r="BP235" s="25" t="n"/>
      <c r="BQ235" s="27" t="n">
        <v>1.854701</v>
      </c>
      <c r="BR235" s="28" t="n">
        <v>0.54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</row>
    <row r="236" ht="36" customHeight="1">
      <c r="A236" s="24" t="inlineStr">
        <is>
          <t>b97cf919ca8a45b1</t>
        </is>
      </c>
      <c r="B236" s="24" t="inlineStr">
        <is>
          <t>2026-08-11T23:02:24.981249Z</t>
        </is>
      </c>
      <c r="C236" s="24" t="inlineStr">
        <is>
          <t>2026-08-12T01:40Z</t>
        </is>
      </c>
      <c r="D236" s="24" t="inlineStr">
        <is>
          <t>401816491</t>
        </is>
      </c>
      <c r="E236" s="24" t="inlineStr">
        <is>
          <t>MLB</t>
        </is>
      </c>
      <c r="F236" s="24" t="inlineStr">
        <is>
          <t>Milwaukee Brewers</t>
        </is>
      </c>
      <c r="G236" s="24" t="inlineStr">
        <is>
          <t>San Diego Padres</t>
        </is>
      </c>
      <c r="H236" s="24" t="inlineStr">
        <is>
          <t>spread</t>
        </is>
      </c>
      <c r="I236" s="24" t="inlineStr">
        <is>
          <t>home</t>
        </is>
      </c>
      <c r="J236" s="25" t="n">
        <v>1.5</v>
      </c>
      <c r="K236" s="24" t="inlineStr">
        <is>
          <t>polymarket_us</t>
        </is>
      </c>
      <c r="L236" s="26" t="n">
        <v>-150</v>
      </c>
      <c r="M236" s="27" t="n">
        <v>1.666667</v>
      </c>
      <c r="N236" s="28" t="n">
        <v>0.6</v>
      </c>
      <c r="O236" s="28" t="n">
        <v>0.591035</v>
      </c>
      <c r="P236" s="28" t="n">
        <v>0.042131</v>
      </c>
      <c r="Q236" s="28" t="n">
        <v>-0.008965000000000001</v>
      </c>
      <c r="R236" s="26" t="n">
        <v>22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2</v>
      </c>
      <c r="X236" s="26" t="n">
        <v>11</v>
      </c>
      <c r="Y236" s="25" t="n">
        <v>1.5</v>
      </c>
      <c r="Z236" s="26" t="n">
        <v>-150</v>
      </c>
      <c r="AA236" s="28" t="n">
        <v>0.6</v>
      </c>
      <c r="AB236" s="28" t="n">
        <v>0</v>
      </c>
      <c r="AC236" s="30" t="n">
        <v>0.8333</v>
      </c>
      <c r="AD236" s="24" t="inlineStr">
        <is>
          <t>2026-08-12T05:11:52.931878Z</t>
        </is>
      </c>
      <c r="AE236" s="31" t="inlineStr">
        <is>
          <t>Measured Edge Margin: Trend Engine projected 4.65-4.28; raw selected-side p=0.6336, calibrated p=0.5910.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mlb-mil</t>
        </is>
      </c>
      <c r="AQ236" s="24" t="inlineStr">
        <is>
          <t>Milwaukee Brewers</t>
        </is>
      </c>
      <c r="AR236" s="24" t="inlineStr">
        <is>
          <t>Milwaukee Brewers</t>
        </is>
      </c>
      <c r="AS236" s="24" t="inlineStr">
        <is>
          <t>mlb-sd</t>
        </is>
      </c>
      <c r="AT236" s="24" t="inlineStr">
        <is>
          <t>San Diego Padres</t>
        </is>
      </c>
      <c r="AU236" s="24" t="inlineStr">
        <is>
          <t>San Diego Padres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2026-08-11T23:02:24.981249Z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-150</v>
      </c>
      <c r="BL236" s="27" t="n">
        <v>1.666667</v>
      </c>
      <c r="BM236" s="28" t="n">
        <v>0.6</v>
      </c>
      <c r="BN236" s="28" t="n">
        <v>0.597015</v>
      </c>
      <c r="BO236" s="28" t="n"/>
      <c r="BP236" s="25" t="n"/>
      <c r="BQ236" s="27" t="n">
        <v>1.666667</v>
      </c>
      <c r="BR236" s="28" t="n">
        <v>0.6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</row>
    <row r="237" ht="36" customHeight="1">
      <c r="A237" s="24" t="inlineStr">
        <is>
          <t>3ce411dcdb954c10</t>
        </is>
      </c>
      <c r="B237" s="24" t="inlineStr">
        <is>
          <t>2026-08-11T23:02:24.981249Z</t>
        </is>
      </c>
      <c r="C237" s="24" t="inlineStr">
        <is>
          <t>2026-08-12T01:40Z</t>
        </is>
      </c>
      <c r="D237" s="24" t="inlineStr">
        <is>
          <t>401816491</t>
        </is>
      </c>
      <c r="E237" s="24" t="inlineStr">
        <is>
          <t>MLB</t>
        </is>
      </c>
      <c r="F237" s="24" t="inlineStr">
        <is>
          <t>Milwaukee Brewers</t>
        </is>
      </c>
      <c r="G237" s="24" t="inlineStr">
        <is>
          <t>San Diego Padres</t>
        </is>
      </c>
      <c r="H237" s="24" t="inlineStr">
        <is>
          <t>total</t>
        </is>
      </c>
      <c r="I237" s="24" t="inlineStr">
        <is>
          <t>over</t>
        </is>
      </c>
      <c r="J237" s="25" t="n">
        <v>7.5</v>
      </c>
      <c r="K237" s="24" t="inlineStr">
        <is>
          <t>polymarket_us</t>
        </is>
      </c>
      <c r="L237" s="26" t="n">
        <v>104</v>
      </c>
      <c r="M237" s="27" t="n">
        <v>2.04</v>
      </c>
      <c r="N237" s="28" t="n">
        <v>0.490196</v>
      </c>
      <c r="O237" s="28" t="n">
        <v>0.527051</v>
      </c>
      <c r="P237" s="28" t="n">
        <v>0.042131</v>
      </c>
      <c r="Q237" s="28" t="n">
        <v>0.036855</v>
      </c>
      <c r="R237" s="26" t="n">
        <v>44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2</v>
      </c>
      <c r="X237" s="26" t="n">
        <v>11</v>
      </c>
      <c r="Y237" s="25" t="n">
        <v>7.5</v>
      </c>
      <c r="Z237" s="26" t="n">
        <v>104</v>
      </c>
      <c r="AA237" s="28" t="n">
        <v>0.49</v>
      </c>
      <c r="AB237" s="28" t="n">
        <v>-0.000196</v>
      </c>
      <c r="AC237" s="30" t="n">
        <v>1.04</v>
      </c>
      <c r="AD237" s="24" t="inlineStr">
        <is>
          <t>2026-08-12T05:11:54.521029Z</t>
        </is>
      </c>
      <c r="AE237" s="31" t="inlineStr">
        <is>
          <t>Measured Edge Totals: Trend Engine projected 4.65-4.28; raw selected-side p=0.5856, calibrated p=0.5271.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mlb-mil</t>
        </is>
      </c>
      <c r="AQ237" s="24" t="inlineStr">
        <is>
          <t>Milwaukee Brewers</t>
        </is>
      </c>
      <c r="AR237" s="24" t="inlineStr">
        <is>
          <t>Milwaukee Brewers</t>
        </is>
      </c>
      <c r="AS237" s="24" t="inlineStr">
        <is>
          <t>mlb-sd</t>
        </is>
      </c>
      <c r="AT237" s="24" t="inlineStr">
        <is>
          <t>San Diego Padres</t>
        </is>
      </c>
      <c r="AU237" s="24" t="inlineStr">
        <is>
          <t>San Diego Padres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2026-08-11T23:02:24.981249Z</t>
        </is>
      </c>
      <c r="BI237" s="24" t="inlineStr">
        <is>
          <t>["same_event","same_team_same_day","same_league_same_day"]</t>
        </is>
      </c>
      <c r="BJ237" s="25" t="n">
        <v>7.5</v>
      </c>
      <c r="BK237" s="26" t="n">
        <v>104</v>
      </c>
      <c r="BL237" s="27" t="n">
        <v>2.04</v>
      </c>
      <c r="BM237" s="28" t="n">
        <v>0.490196</v>
      </c>
      <c r="BN237" s="28" t="n">
        <v>0.487562</v>
      </c>
      <c r="BO237" s="28" t="n"/>
      <c r="BP237" s="25" t="n"/>
      <c r="BQ237" s="27" t="n">
        <v>2.04</v>
      </c>
      <c r="BR237" s="28" t="n">
        <v>0.49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791a9fe347344df0</t>
        </is>
      </c>
      <c r="B238" s="24" t="inlineStr">
        <is>
          <t>2026-08-11T23:02:24.981249Z</t>
        </is>
      </c>
      <c r="C238" s="24" t="inlineStr">
        <is>
          <t>2026-08-12T01:40Z</t>
        </is>
      </c>
      <c r="D238" s="24" t="inlineStr">
        <is>
          <t>401816492</t>
        </is>
      </c>
      <c r="E238" s="24" t="inlineStr">
        <is>
          <t>MLB</t>
        </is>
      </c>
      <c r="F238" s="24" t="inlineStr">
        <is>
          <t>Tampa Bay Rays</t>
        </is>
      </c>
      <c r="G238" s="24" t="inlineStr">
        <is>
          <t>Athletics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108</v>
      </c>
      <c r="M238" s="27" t="n">
        <v>2.08</v>
      </c>
      <c r="N238" s="28" t="n">
        <v>0.480769</v>
      </c>
      <c r="O238" s="28" t="n">
        <v>0.547391</v>
      </c>
      <c r="P238" s="28" t="n">
        <v>0.042131</v>
      </c>
      <c r="Q238" s="28" t="n">
        <v>0.066622</v>
      </c>
      <c r="R238" s="26" t="n">
        <v>60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loss</t>
        </is>
      </c>
      <c r="W238" s="26" t="n">
        <v>12</v>
      </c>
      <c r="X238" s="26" t="n">
        <v>4</v>
      </c>
      <c r="Y238" s="25" t="n">
        <v>1.5</v>
      </c>
      <c r="Z238" s="26" t="n">
        <v>108</v>
      </c>
      <c r="AA238" s="28" t="n">
        <v>0.48</v>
      </c>
      <c r="AB238" s="28" t="n">
        <v>-0.000769</v>
      </c>
      <c r="AC238" s="30" t="n">
        <v>-1</v>
      </c>
      <c r="AD238" s="24" t="inlineStr">
        <is>
          <t>2026-08-12T05:11:56.165767Z</t>
        </is>
      </c>
      <c r="AE238" s="31" t="inlineStr">
        <is>
          <t>Measured Edge Margin: Trend Engine projected 5.32-4.37; raw selected-side p=0.5696, calibrated p=0.5474.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mlb-tb</t>
        </is>
      </c>
      <c r="AQ238" s="24" t="inlineStr">
        <is>
          <t>Tampa Bay Rays</t>
        </is>
      </c>
      <c r="AR238" s="24" t="inlineStr">
        <is>
          <t>Tampa Bay Rays</t>
        </is>
      </c>
      <c r="AS238" s="24" t="inlineStr">
        <is>
          <t>mlb-ath</t>
        </is>
      </c>
      <c r="AT238" s="24" t="inlineStr">
        <is>
          <t>Athletics</t>
        </is>
      </c>
      <c r="AU238" s="24" t="inlineStr">
        <is>
          <t>Athletics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2026-08-11T23:02:24.981249Z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108</v>
      </c>
      <c r="BL238" s="27" t="n">
        <v>2.08</v>
      </c>
      <c r="BM238" s="28" t="n">
        <v>0.480769</v>
      </c>
      <c r="BN238" s="28" t="n">
        <v>0.477612</v>
      </c>
      <c r="BO238" s="28" t="n"/>
      <c r="BP238" s="25" t="n"/>
      <c r="BQ238" s="27" t="n">
        <v>2.08</v>
      </c>
      <c r="BR238" s="28" t="n">
        <v>0.48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</row>
    <row r="239" ht="36" customHeight="1">
      <c r="A239" s="24" t="inlineStr">
        <is>
          <t>2ec9e8bfcd544244</t>
        </is>
      </c>
      <c r="B239" s="24" t="inlineStr">
        <is>
          <t>2026-08-11T23:02:24.981249Z</t>
        </is>
      </c>
      <c r="C239" s="24" t="inlineStr">
        <is>
          <t>2026-08-12T01:40Z</t>
        </is>
      </c>
      <c r="D239" s="24" t="inlineStr">
        <is>
          <t>401816492</t>
        </is>
      </c>
      <c r="E239" s="24" t="inlineStr">
        <is>
          <t>MLB</t>
        </is>
      </c>
      <c r="F239" s="24" t="inlineStr">
        <is>
          <t>Tampa Bay Rays</t>
        </is>
      </c>
      <c r="G239" s="24" t="inlineStr">
        <is>
          <t>Athletics</t>
        </is>
      </c>
      <c r="H239" s="24" t="inlineStr">
        <is>
          <t>total</t>
        </is>
      </c>
      <c r="I239" s="24" t="inlineStr">
        <is>
          <t>under</t>
        </is>
      </c>
      <c r="J239" s="25" t="n">
        <v>10.5</v>
      </c>
      <c r="K239" s="24" t="inlineStr">
        <is>
          <t>polymarket_us</t>
        </is>
      </c>
      <c r="L239" s="26" t="n">
        <v>-106</v>
      </c>
      <c r="M239" s="27" t="n">
        <v>1.943396</v>
      </c>
      <c r="N239" s="28" t="n">
        <v>0.514563</v>
      </c>
      <c r="O239" s="28" t="n">
        <v>0.531683</v>
      </c>
      <c r="P239" s="28" t="n">
        <v>0.042131</v>
      </c>
      <c r="Q239" s="28" t="n">
        <v>0.01712</v>
      </c>
      <c r="R239" s="26" t="n">
        <v>34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12</v>
      </c>
      <c r="X239" s="26" t="n">
        <v>4</v>
      </c>
      <c r="Y239" s="25" t="n">
        <v>10.5</v>
      </c>
      <c r="Z239" s="26" t="n">
        <v>-106</v>
      </c>
      <c r="AA239" s="28" t="n">
        <v>0.515</v>
      </c>
      <c r="AB239" s="28" t="n">
        <v>0.000437</v>
      </c>
      <c r="AC239" s="30" t="n">
        <v>-1</v>
      </c>
      <c r="AD239" s="24" t="inlineStr">
        <is>
          <t>2026-08-12T05:11:57.804750Z</t>
        </is>
      </c>
      <c r="AE239" s="31" t="inlineStr">
        <is>
          <t>Measured Edge Totals: Trend Engine projected 5.32-4.37; raw selected-side p=0.6042, calibrated p=0.5317.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mlb-tb</t>
        </is>
      </c>
      <c r="AQ239" s="24" t="inlineStr">
        <is>
          <t>Tampa Bay Rays</t>
        </is>
      </c>
      <c r="AR239" s="24" t="inlineStr">
        <is>
          <t>Tampa Bay Rays</t>
        </is>
      </c>
      <c r="AS239" s="24" t="inlineStr">
        <is>
          <t>mlb-ath</t>
        </is>
      </c>
      <c r="AT239" s="24" t="inlineStr">
        <is>
          <t>Athletics</t>
        </is>
      </c>
      <c r="AU239" s="24" t="inlineStr">
        <is>
          <t>Athletics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2026-08-11T23:02:24.981249Z</t>
        </is>
      </c>
      <c r="BI239" s="24" t="inlineStr">
        <is>
          <t>["same_event","same_team_same_day","same_league_same_day"]</t>
        </is>
      </c>
      <c r="BJ239" s="25" t="n">
        <v>10.5</v>
      </c>
      <c r="BK239" s="26" t="n">
        <v>-106</v>
      </c>
      <c r="BL239" s="27" t="n">
        <v>1.943396</v>
      </c>
      <c r="BM239" s="28" t="n">
        <v>0.514563</v>
      </c>
      <c r="BN239" s="28" t="n">
        <v>0.5124379999999999</v>
      </c>
      <c r="BO239" s="28" t="n"/>
      <c r="BP239" s="25" t="n"/>
      <c r="BQ239" s="27" t="n">
        <v>1.943396</v>
      </c>
      <c r="BR239" s="28" t="n">
        <v>0.515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4c9aa8524df74d69</t>
        </is>
      </c>
      <c r="B240" s="24" t="inlineStr">
        <is>
          <t>2026-08-11T23:02:24.981249Z</t>
        </is>
      </c>
      <c r="C240" s="24" t="inlineStr">
        <is>
          <t>2026-08-12T01:45Z</t>
        </is>
      </c>
      <c r="D240" s="24" t="inlineStr">
        <is>
          <t>401816489</t>
        </is>
      </c>
      <c r="E240" s="24" t="inlineStr">
        <is>
          <t>MLB</t>
        </is>
      </c>
      <c r="F240" s="24" t="inlineStr">
        <is>
          <t>Houston Astros</t>
        </is>
      </c>
      <c r="G240" s="24" t="inlineStr">
        <is>
          <t>San Francisco Giants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104</v>
      </c>
      <c r="M240" s="27" t="n">
        <v>2.04</v>
      </c>
      <c r="N240" s="28" t="n">
        <v>0.490196</v>
      </c>
      <c r="O240" s="28" t="n">
        <v>0.566879</v>
      </c>
      <c r="P240" s="28" t="n">
        <v>0.05172</v>
      </c>
      <c r="Q240" s="28" t="n">
        <v>0.076683</v>
      </c>
      <c r="R240" s="26" t="n">
        <v>59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4</v>
      </c>
      <c r="Y240" s="25" t="n">
        <v>1.5</v>
      </c>
      <c r="Z240" s="26" t="n">
        <v>104</v>
      </c>
      <c r="AA240" s="28" t="n">
        <v>0.49</v>
      </c>
      <c r="AB240" s="28" t="n">
        <v>-0.000196</v>
      </c>
      <c r="AC240" s="30" t="n">
        <v>1.04</v>
      </c>
      <c r="AD240" s="24" t="inlineStr">
        <is>
          <t>2026-08-12T05:11:59.402997Z</t>
        </is>
      </c>
      <c r="AE240" s="31" t="inlineStr">
        <is>
          <t>Measured Edge Margin: Trend Engine projected 5.08-4.36; raw selected-side p=0.5981, calibrated p=0.5669.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mlb-hou</t>
        </is>
      </c>
      <c r="AQ240" s="24" t="inlineStr">
        <is>
          <t>Houston Astros</t>
        </is>
      </c>
      <c r="AR240" s="24" t="inlineStr">
        <is>
          <t>Houston Astros</t>
        </is>
      </c>
      <c r="AS240" s="24" t="inlineStr">
        <is>
          <t>mlb-sf</t>
        </is>
      </c>
      <c r="AT240" s="24" t="inlineStr">
        <is>
          <t>San Francisco Giants</t>
        </is>
      </c>
      <c r="AU240" s="24" t="inlineStr">
        <is>
          <t>San Francisco Giants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2026-08-11T23:02:24.981249Z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104</v>
      </c>
      <c r="BL240" s="27" t="n">
        <v>2.04</v>
      </c>
      <c r="BM240" s="28" t="n">
        <v>0.490196</v>
      </c>
      <c r="BN240" s="28" t="n">
        <v>0.487562</v>
      </c>
      <c r="BO240" s="28" t="n"/>
      <c r="BP240" s="25" t="n"/>
      <c r="BQ240" s="27" t="n">
        <v>2.04</v>
      </c>
      <c r="BR240" s="28" t="n">
        <v>0.49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</row>
    <row r="241" ht="36" customHeight="1">
      <c r="A241" s="24" t="inlineStr">
        <is>
          <t>de64a07710a9497e</t>
        </is>
      </c>
      <c r="B241" s="24" t="inlineStr">
        <is>
          <t>2026-08-11T23:02:24.981249Z</t>
        </is>
      </c>
      <c r="C241" s="24" t="inlineStr">
        <is>
          <t>2026-08-12T01:45Z</t>
        </is>
      </c>
      <c r="D241" s="24" t="inlineStr">
        <is>
          <t>401816489</t>
        </is>
      </c>
      <c r="E241" s="24" t="inlineStr">
        <is>
          <t>MLB</t>
        </is>
      </c>
      <c r="F241" s="24" t="inlineStr">
        <is>
          <t>Houston Astros</t>
        </is>
      </c>
      <c r="G241" s="24" t="inlineStr">
        <is>
          <t>San Francisco Giants</t>
        </is>
      </c>
      <c r="H241" s="24" t="inlineStr">
        <is>
          <t>total</t>
        </is>
      </c>
      <c r="I241" s="24" t="inlineStr">
        <is>
          <t>over</t>
        </is>
      </c>
      <c r="J241" s="25" t="n">
        <v>8.5</v>
      </c>
      <c r="K241" s="24" t="inlineStr">
        <is>
          <t>polymarket_us</t>
        </is>
      </c>
      <c r="L241" s="26" t="n">
        <v>117</v>
      </c>
      <c r="M241" s="27" t="n">
        <v>2.17</v>
      </c>
      <c r="N241" s="28" t="n">
        <v>0.460829</v>
      </c>
      <c r="O241" s="28" t="n">
        <v>0.5180090000000001</v>
      </c>
      <c r="P241" s="28" t="n">
        <v>0.05172</v>
      </c>
      <c r="Q241" s="28" t="n">
        <v>0.05718</v>
      </c>
      <c r="R241" s="26" t="n">
        <v>49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4</v>
      </c>
      <c r="Y241" s="25" t="n">
        <v>8.5</v>
      </c>
      <c r="Z241" s="26" t="n">
        <v>117</v>
      </c>
      <c r="AA241" s="28" t="n">
        <v>0.46</v>
      </c>
      <c r="AB241" s="28" t="n">
        <v>-0.000829</v>
      </c>
      <c r="AC241" s="30" t="n">
        <v>-1</v>
      </c>
      <c r="AD241" s="24" t="inlineStr">
        <is>
          <t>2026-08-12T05:12:01.095656Z</t>
        </is>
      </c>
      <c r="AE241" s="31" t="inlineStr">
        <is>
          <t>Measured Edge Totals: Trend Engine projected 5.08-4.36; raw selected-side p=0.5492, calibrated p=0.5180.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mlb-hou</t>
        </is>
      </c>
      <c r="AQ241" s="24" t="inlineStr">
        <is>
          <t>Houston Astros</t>
        </is>
      </c>
      <c r="AR241" s="24" t="inlineStr">
        <is>
          <t>Houston Astros</t>
        </is>
      </c>
      <c r="AS241" s="24" t="inlineStr">
        <is>
          <t>mlb-sf</t>
        </is>
      </c>
      <c r="AT241" s="24" t="inlineStr">
        <is>
          <t>San Francisco Giants</t>
        </is>
      </c>
      <c r="AU241" s="24" t="inlineStr">
        <is>
          <t>San Francisco Giants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2026-08-11T23:02:24.981249Z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117</v>
      </c>
      <c r="BL241" s="27" t="n">
        <v>2.17</v>
      </c>
      <c r="BM241" s="28" t="n">
        <v>0.460829</v>
      </c>
      <c r="BN241" s="28" t="n">
        <v>0.457711</v>
      </c>
      <c r="BO241" s="28" t="n"/>
      <c r="BP241" s="25" t="n"/>
      <c r="BQ241" s="27" t="n">
        <v>2.17</v>
      </c>
      <c r="BR241" s="28" t="n">
        <v>0.46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0eec0516273b4706</t>
        </is>
      </c>
      <c r="B242" s="24" t="inlineStr">
        <is>
          <t>2026-08-12T02:07:28.896569Z</t>
        </is>
      </c>
      <c r="C242" s="24" t="inlineStr">
        <is>
          <t>2026-08-11T22:10:00-0400</t>
        </is>
      </c>
      <c r="D242" s="24" t="inlineStr">
        <is>
          <t>401816490</t>
        </is>
      </c>
      <c r="E242" s="24" t="inlineStr">
        <is>
          <t>MLB</t>
        </is>
      </c>
      <c r="F242" s="24" t="inlineStr">
        <is>
          <t>Kansas City Royals</t>
        </is>
      </c>
      <c r="G242" s="24" t="inlineStr">
        <is>
          <t>Los Angeles Dodgers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-251</v>
      </c>
      <c r="M242" s="27" t="n">
        <v>1.398406</v>
      </c>
      <c r="N242" s="28" t="n">
        <v>0.7151</v>
      </c>
      <c r="O242" s="28" t="n">
        <v>0.613657</v>
      </c>
      <c r="P242" s="28" t="n"/>
      <c r="Q242" s="28" t="n">
        <v>-0.101443</v>
      </c>
      <c r="R242" s="26" t="n">
        <v>0</v>
      </c>
      <c r="S242" s="29" t="n">
        <v>1.5</v>
      </c>
      <c r="T242" s="24" t="inlineStr">
        <is>
          <t>mlb-elo-trend-lr-v8</t>
        </is>
      </c>
      <c r="U242" s="24" t="inlineStr">
        <is>
          <t>settled</t>
        </is>
      </c>
      <c r="V242" s="24" t="inlineStr">
        <is>
          <t>win</t>
        </is>
      </c>
      <c r="W242" s="26" t="n">
        <v>4</v>
      </c>
      <c r="X242" s="26" t="n">
        <v>5</v>
      </c>
      <c r="Y242" s="25" t="n"/>
      <c r="Z242" s="26" t="n">
        <v>-251</v>
      </c>
      <c r="AA242" s="28" t="n">
        <v>0.715</v>
      </c>
      <c r="AB242" s="28" t="n">
        <v>-0.0001</v>
      </c>
      <c r="AC242" s="30" t="n">
        <v>0.5976</v>
      </c>
      <c r="AD242" s="24" t="inlineStr">
        <is>
          <t>2026-08-12T05:12:02.787652Z</t>
        </is>
      </c>
      <c r="AE242" s="31" t="inlineStr">
        <is>
          <t>Learned LR call at threshold 0.6197; executable ask 0.7150 (aec-mlb-kc-lad-2026-08-11); model edge vs ask -0.1013.</t>
        </is>
      </c>
      <c r="AF242" s="31" t="inlineStr">
        <is>
          <t>Learned model; shadow-qualified via operator override.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NO_CALL_BELOW_LEARNED_CONFIDENCE</t>
        </is>
      </c>
      <c r="AP242" s="24" t="inlineStr">
        <is>
          <t>mlb-kc</t>
        </is>
      </c>
      <c r="AQ242" s="24" t="inlineStr">
        <is>
          <t>Kansas City Royals</t>
        </is>
      </c>
      <c r="AR242" s="24" t="inlineStr">
        <is>
          <t>Kansas City Royals</t>
        </is>
      </c>
      <c r="AS242" s="24" t="inlineStr">
        <is>
          <t>mlb-lad</t>
        </is>
      </c>
      <c r="AT242" s="24" t="inlineStr">
        <is>
          <t>Los Angeles Dodgers</t>
        </is>
      </c>
      <c r="AU242" s="24" t="inlineStr">
        <is>
          <t>Los Angeles Dodgers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3b345499bd6bad9bcf65367a07fe0c668fb5817d4f016a0a865c01d9212fdeb8</t>
        </is>
      </c>
      <c r="BB242" s="24" t="inlineStr">
        <is>
          <t>learned_lr</t>
        </is>
      </c>
      <c r="BC242" s="24" t="inlineStr">
        <is>
          <t>mlb-elo-trend-lr-v8</t>
        </is>
      </c>
      <c r="BD242" s="24" t="inlineStr">
        <is>
          <t>3b345499bd6bad9bcf65367a07fe0c668fb5817d4f016a0a865c01d9212fdeb8</t>
        </is>
      </c>
      <c r="BE242" s="24" t="inlineStr">
        <is>
          <t>a76bef181fdf80b9</t>
        </is>
      </c>
      <c r="BF242" s="24" t="inlineStr">
        <is>
          <t>1</t>
        </is>
      </c>
      <c r="BG242" s="24" t="inlineStr">
        <is>
          <t>mlb-elo-trend-lr-v8</t>
        </is>
      </c>
      <c r="BH242" s="24" t="inlineStr">
        <is>
          <t>2026-08-12T02:07:06.714710Z</t>
        </is>
      </c>
      <c r="BI242" s="24" t="inlineStr">
        <is>
          <t>["same_event","same_team_same_day","same_league_same_day"]</t>
        </is>
      </c>
      <c r="BJ242" s="25" t="n"/>
      <c r="BK242" s="26" t="n">
        <v>-251</v>
      </c>
      <c r="BL242" s="27" t="n">
        <v>1.398406</v>
      </c>
      <c r="BM242" s="28" t="n">
        <v>0.7151</v>
      </c>
      <c r="BN242" s="28" t="n">
        <v>0.711443</v>
      </c>
      <c r="BO242" s="28" t="n"/>
      <c r="BP242" s="25" t="n"/>
      <c r="BQ242" s="27" t="n">
        <v>1.398406</v>
      </c>
      <c r="BR242" s="28" t="n">
        <v>0.715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inlineStr">
        <is>
          <t>0.6712001023</t>
        </is>
      </c>
      <c r="CD242" s="24" t="inlineStr">
        <is>
          <t>-0.436243</t>
        </is>
      </c>
      <c r="CE242" s="24" t="inlineStr">
        <is>
          <t>1.026</t>
        </is>
      </c>
      <c r="CF242" s="24" t="inlineStr">
        <is>
          <t>1.006</t>
        </is>
      </c>
      <c r="CG242" s="24" t="n"/>
      <c r="CH242" s="24" t="n"/>
      <c r="CI242" s="24" t="n"/>
      <c r="CJ242" s="24" t="inlineStr">
        <is>
          <t>-0.519805</t>
        </is>
      </c>
      <c r="CK242" s="24" t="n"/>
      <c r="CL242" s="24" t="inlineStr">
        <is>
          <t>-0.586871</t>
        </is>
      </c>
      <c r="CM242" s="24" t="inlineStr">
        <is>
          <t>-0.4409</t>
        </is>
      </c>
      <c r="CN242" s="24" t="n"/>
      <c r="CO242" s="24" t="n"/>
      <c r="CP242" s="24" t="n"/>
      <c r="CQ242" s="24" t="n"/>
      <c r="CR242" s="24" t="inlineStr">
        <is>
          <t>0.613657</t>
        </is>
      </c>
      <c r="CS242" s="24" t="inlineStr">
        <is>
          <t>False</t>
        </is>
      </c>
    </row>
    <row r="243" ht="36" customHeight="1">
      <c r="A243" s="24" t="inlineStr">
        <is>
          <t>ba2d0c30a4324512</t>
        </is>
      </c>
      <c r="B243" s="24" t="inlineStr">
        <is>
          <t>2026-08-12T02:07:38.001696Z</t>
        </is>
      </c>
      <c r="C243" s="24" t="inlineStr">
        <is>
          <t>2026-08-12T02:10Z</t>
        </is>
      </c>
      <c r="D243" s="24" t="inlineStr">
        <is>
          <t>401816490</t>
        </is>
      </c>
      <c r="E243" s="24" t="inlineStr">
        <is>
          <t>MLB</t>
        </is>
      </c>
      <c r="F243" s="24" t="inlineStr">
        <is>
          <t>Kansas City Royals</t>
        </is>
      </c>
      <c r="G243" s="24" t="inlineStr">
        <is>
          <t>Los Angeles Dodgers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117</v>
      </c>
      <c r="M243" s="27" t="n">
        <v>2.17</v>
      </c>
      <c r="N243" s="28" t="n">
        <v>0.460829</v>
      </c>
      <c r="O243" s="28" t="n">
        <v>0.644184</v>
      </c>
      <c r="P243" s="28" t="n">
        <v>0.05172</v>
      </c>
      <c r="Q243" s="28" t="n">
        <v>0.183355</v>
      </c>
      <c r="R243" s="26" t="n">
        <v>100</v>
      </c>
      <c r="S243" s="29" t="n">
        <v>1.5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5</v>
      </c>
      <c r="Y243" s="25" t="n">
        <v>1.5</v>
      </c>
      <c r="Z243" s="26" t="n">
        <v>117</v>
      </c>
      <c r="AA243" s="28" t="n">
        <v>0.46</v>
      </c>
      <c r="AB243" s="28" t="n">
        <v>-0.000829</v>
      </c>
      <c r="AC243" s="30" t="n">
        <v>1.755</v>
      </c>
      <c r="AD243" s="24" t="inlineStr">
        <is>
          <t>2026-08-12T05:12:04.471592Z</t>
        </is>
      </c>
      <c r="AE243" s="31" t="inlineStr">
        <is>
          <t>Measured Edge Margin: Trend Engine projected 4.86-4.36; raw selected-side p=0.7116, calibrated p=0.6442.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mlb-kc</t>
        </is>
      </c>
      <c r="AQ243" s="24" t="inlineStr">
        <is>
          <t>Kansas City Royals</t>
        </is>
      </c>
      <c r="AR243" s="24" t="inlineStr">
        <is>
          <t>Kansas City Royals</t>
        </is>
      </c>
      <c r="AS243" s="24" t="inlineStr">
        <is>
          <t>mlb-lad</t>
        </is>
      </c>
      <c r="AT243" s="24" t="inlineStr">
        <is>
          <t>Los Angeles Dodgers</t>
        </is>
      </c>
      <c r="AU243" s="24" t="inlineStr">
        <is>
          <t>Los Angeles Dodgers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2026-08-12T02:07:38.001696Z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117</v>
      </c>
      <c r="BL243" s="27" t="n">
        <v>2.17</v>
      </c>
      <c r="BM243" s="28" t="n">
        <v>0.460829</v>
      </c>
      <c r="BN243" s="28" t="n">
        <v>0.457711</v>
      </c>
      <c r="BO243" s="28" t="n"/>
      <c r="BP243" s="25" t="n"/>
      <c r="BQ243" s="27" t="n">
        <v>2.17</v>
      </c>
      <c r="BR243" s="28" t="n">
        <v>0.46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</row>
    <row r="244" ht="36" customHeight="1">
      <c r="A244" s="24" t="inlineStr">
        <is>
          <t>9077c2c067394c17</t>
        </is>
      </c>
      <c r="B244" s="24" t="inlineStr">
        <is>
          <t>2026-08-12T02:07:38.001696Z</t>
        </is>
      </c>
      <c r="C244" s="24" t="inlineStr">
        <is>
          <t>2026-08-12T02:10Z</t>
        </is>
      </c>
      <c r="D244" s="24" t="inlineStr">
        <is>
          <t>401816490</t>
        </is>
      </c>
      <c r="E244" s="24" t="inlineStr">
        <is>
          <t>MLB</t>
        </is>
      </c>
      <c r="F244" s="24" t="inlineStr">
        <is>
          <t>Kansas City Royals</t>
        </is>
      </c>
      <c r="G244" s="24" t="inlineStr">
        <is>
          <t>Los Angeles Dodgers</t>
        </is>
      </c>
      <c r="H244" s="24" t="inlineStr">
        <is>
          <t>total</t>
        </is>
      </c>
      <c r="I244" s="24" t="inlineStr">
        <is>
          <t>over</t>
        </is>
      </c>
      <c r="J244" s="25" t="n">
        <v>8.5</v>
      </c>
      <c r="K244" s="24" t="inlineStr">
        <is>
          <t>polymarket_us</t>
        </is>
      </c>
      <c r="L244" s="26" t="n">
        <v>108</v>
      </c>
      <c r="M244" s="27" t="n">
        <v>2.08</v>
      </c>
      <c r="N244" s="28" t="n">
        <v>0.480769</v>
      </c>
      <c r="O244" s="28" t="n">
        <v>0.51437</v>
      </c>
      <c r="P244" s="28" t="n">
        <v>0.05172</v>
      </c>
      <c r="Q244" s="28" t="n">
        <v>0.033601</v>
      </c>
      <c r="R244" s="26" t="n">
        <v>37</v>
      </c>
      <c r="S244" s="29" t="n">
        <v>1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win</t>
        </is>
      </c>
      <c r="W244" s="26" t="n">
        <v>4</v>
      </c>
      <c r="X244" s="26" t="n">
        <v>5</v>
      </c>
      <c r="Y244" s="25" t="n">
        <v>8.5</v>
      </c>
      <c r="Z244" s="26" t="n">
        <v>108</v>
      </c>
      <c r="AA244" s="28" t="n">
        <v>0.48</v>
      </c>
      <c r="AB244" s="28" t="n">
        <v>-0.000769</v>
      </c>
      <c r="AC244" s="30" t="n">
        <v>1.08</v>
      </c>
      <c r="AD244" s="24" t="inlineStr">
        <is>
          <t>2026-08-12T05:12:06.071128Z</t>
        </is>
      </c>
      <c r="AE244" s="31" t="inlineStr">
        <is>
          <t>Measured Edge Totals: Trend Engine projected 4.86-4.36; raw selected-side p=0.5345, calibrated p=0.5144.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mlb-kc</t>
        </is>
      </c>
      <c r="AQ244" s="24" t="inlineStr">
        <is>
          <t>Kansas City Royals</t>
        </is>
      </c>
      <c r="AR244" s="24" t="inlineStr">
        <is>
          <t>Kansas City Royals</t>
        </is>
      </c>
      <c r="AS244" s="24" t="inlineStr">
        <is>
          <t>mlb-lad</t>
        </is>
      </c>
      <c r="AT244" s="24" t="inlineStr">
        <is>
          <t>Los Angeles Dodgers</t>
        </is>
      </c>
      <c r="AU244" s="24" t="inlineStr">
        <is>
          <t>Los Angeles Dodgers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2026-08-12T02:07:38.001696Z</t>
        </is>
      </c>
      <c r="BI244" s="24" t="inlineStr">
        <is>
          <t>["same_event","same_team_same_day","same_league_same_day"]</t>
        </is>
      </c>
      <c r="BJ244" s="25" t="n">
        <v>8.5</v>
      </c>
      <c r="BK244" s="26" t="n">
        <v>108</v>
      </c>
      <c r="BL244" s="27" t="n">
        <v>2.08</v>
      </c>
      <c r="BM244" s="28" t="n">
        <v>0.480769</v>
      </c>
      <c r="BN244" s="28" t="n">
        <v>0.477612</v>
      </c>
      <c r="BO244" s="28" t="n"/>
      <c r="BP244" s="25" t="n"/>
      <c r="BQ244" s="27" t="n">
        <v>2.08</v>
      </c>
      <c r="BR244" s="28" t="n">
        <v>0.48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</row>
    <row r="245" ht="36" customHeight="1">
      <c r="A245" s="24" t="inlineStr">
        <is>
          <t>6647aa140b854225</t>
        </is>
      </c>
      <c r="B245" s="24" t="inlineStr">
        <is>
          <t>2026-08-12T16:42:54.442145Z</t>
        </is>
      </c>
      <c r="C245" s="24" t="inlineStr">
        <is>
          <t>2026-08-12T13:40:00-0400</t>
        </is>
      </c>
      <c r="D245" s="24" t="inlineStr">
        <is>
          <t>401816500</t>
        </is>
      </c>
      <c r="E245" s="24" t="inlineStr">
        <is>
          <t>MLB</t>
        </is>
      </c>
      <c r="F245" s="24" t="inlineStr">
        <is>
          <t>Baltimore Orioles</t>
        </is>
      </c>
      <c r="G245" s="24" t="inlineStr">
        <is>
          <t>Minnesota Twins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100</v>
      </c>
      <c r="M245" s="27" t="n">
        <v>2</v>
      </c>
      <c r="N245" s="28" t="n">
        <v>0.5</v>
      </c>
      <c r="O245" s="28" t="n">
        <v>0.525494</v>
      </c>
      <c r="P245" s="28" t="n"/>
      <c r="Q245" s="28" t="n">
        <v>0.025494</v>
      </c>
      <c r="R245" s="26" t="n">
        <v>34</v>
      </c>
      <c r="S245" s="29" t="n">
        <v>1</v>
      </c>
      <c r="T245" s="24" t="inlineStr">
        <is>
          <t>mlb-elo-trend-lr-v8</t>
        </is>
      </c>
      <c r="U245" s="24" t="inlineStr">
        <is>
          <t>settled</t>
        </is>
      </c>
      <c r="V245" s="24" t="inlineStr">
        <is>
          <t>loss</t>
        </is>
      </c>
      <c r="W245" s="26" t="n">
        <v>5</v>
      </c>
      <c r="X245" s="26" t="n">
        <v>7</v>
      </c>
      <c r="Y245" s="25" t="n"/>
      <c r="Z245" s="26" t="n">
        <v>100</v>
      </c>
      <c r="AA245" s="28" t="n">
        <v>0.5</v>
      </c>
      <c r="AB245" s="28" t="n">
        <v>0</v>
      </c>
      <c r="AC245" s="30" t="n">
        <v>-1</v>
      </c>
      <c r="AD245" s="24" t="inlineStr">
        <is>
          <t>2026-08-12T21:14:09.450049Z</t>
        </is>
      </c>
      <c r="AE245" s="31" t="inlineStr">
        <is>
          <t>Learned LR call at threshold 0.6197; executable ask 0.5000 (aec-mlb-bal-min-2026-08-12); model edge vs ask +0.0255.</t>
        </is>
      </c>
      <c r="AF245" s="31" t="inlineStr">
        <is>
          <t>Learned model; shadow-qualified via operator override.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NO_CALL_BELOW_LEARNED_CONFIDENCE</t>
        </is>
      </c>
      <c r="AP245" s="24" t="inlineStr">
        <is>
          <t>mlb-bal</t>
        </is>
      </c>
      <c r="AQ245" s="24" t="inlineStr">
        <is>
          <t>Baltimore Orioles</t>
        </is>
      </c>
      <c r="AR245" s="24" t="inlineStr">
        <is>
          <t>Baltimore Orioles</t>
        </is>
      </c>
      <c r="AS245" s="24" t="inlineStr">
        <is>
          <t>mlb-min</t>
        </is>
      </c>
      <c r="AT245" s="24" t="inlineStr">
        <is>
          <t>Minnesota Twins</t>
        </is>
      </c>
      <c r="AU245" s="24" t="inlineStr">
        <is>
          <t>Minnesota Twins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3b345499bd6bad9bcf65367a07fe0c668fb5817d4f016a0a865c01d9212fdeb8</t>
        </is>
      </c>
      <c r="BB245" s="24" t="inlineStr">
        <is>
          <t>learned_lr</t>
        </is>
      </c>
      <c r="BC245" s="24" t="inlineStr">
        <is>
          <t>mlb-elo-trend-lr-v8</t>
        </is>
      </c>
      <c r="BD245" s="24" t="inlineStr">
        <is>
          <t>3b345499bd6bad9bcf65367a07fe0c668fb5817d4f016a0a865c01d9212fdeb8</t>
        </is>
      </c>
      <c r="BE245" s="24" t="inlineStr">
        <is>
          <t>0756c5f463f28089</t>
        </is>
      </c>
      <c r="BF245" s="24" t="inlineStr">
        <is>
          <t>1</t>
        </is>
      </c>
      <c r="BG245" s="24" t="inlineStr">
        <is>
          <t>mlb-elo-trend-lr-v8</t>
        </is>
      </c>
      <c r="BH245" s="24" t="inlineStr">
        <is>
          <t>2026-08-12T16:41:43.794310Z</t>
        </is>
      </c>
      <c r="BI245" s="24" t="inlineStr">
        <is>
          <t>["same_event","same_team_same_day","same_league_same_day"]</t>
        </is>
      </c>
      <c r="BJ245" s="25" t="n"/>
      <c r="BK245" s="26" t="n">
        <v>100</v>
      </c>
      <c r="BL245" s="27" t="n">
        <v>2</v>
      </c>
      <c r="BM245" s="28" t="n">
        <v>0.5</v>
      </c>
      <c r="BN245" s="28" t="n">
        <v>0.497512</v>
      </c>
      <c r="BO245" s="28" t="n"/>
      <c r="BP245" s="25" t="n"/>
      <c r="BQ245" s="27" t="n">
        <v>2</v>
      </c>
      <c r="BR245" s="28" t="n">
        <v>0.5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inlineStr">
        <is>
          <t>0.5089709945</t>
        </is>
      </c>
      <c r="CD245" s="24" t="inlineStr">
        <is>
          <t>0.005816</t>
        </is>
      </c>
      <c r="CE245" s="24" t="inlineStr">
        <is>
          <t>1.037</t>
        </is>
      </c>
      <c r="CF245" s="24" t="inlineStr">
        <is>
          <t>1.0184</t>
        </is>
      </c>
      <c r="CG245" s="24" t="n"/>
      <c r="CH245" s="24" t="n"/>
      <c r="CI245" s="24" t="n"/>
      <c r="CJ245" s="24" t="inlineStr">
        <is>
          <t>0.517459</t>
        </is>
      </c>
      <c r="CK245" s="24" t="n"/>
      <c r="CL245" s="24" t="inlineStr">
        <is>
          <t>-0.314404</t>
        </is>
      </c>
      <c r="CM245" s="24" t="inlineStr">
        <is>
          <t>4.2005</t>
        </is>
      </c>
      <c r="CN245" s="24" t="n"/>
      <c r="CO245" s="24" t="n"/>
      <c r="CP245" s="24" t="n"/>
      <c r="CQ245" s="24" t="n"/>
      <c r="CR245" s="24" t="inlineStr">
        <is>
          <t>0.525494</t>
        </is>
      </c>
      <c r="CS245" s="24" t="inlineStr">
        <is>
          <t>True</t>
        </is>
      </c>
    </row>
    <row r="246" ht="36" customHeight="1">
      <c r="A246" s="24" t="inlineStr">
        <is>
          <t>edb981899ad74865</t>
        </is>
      </c>
      <c r="B246" s="24" t="inlineStr">
        <is>
          <t>2026-08-12T16:43:28.471896Z</t>
        </is>
      </c>
      <c r="C246" s="24" t="inlineStr">
        <is>
          <t>2026-08-12T17:40Z</t>
        </is>
      </c>
      <c r="D246" s="24" t="inlineStr">
        <is>
          <t>401816500</t>
        </is>
      </c>
      <c r="E246" s="24" t="inlineStr">
        <is>
          <t>MLB</t>
        </is>
      </c>
      <c r="F246" s="24" t="inlineStr">
        <is>
          <t>Baltimore Orioles</t>
        </is>
      </c>
      <c r="G246" s="24" t="inlineStr">
        <is>
          <t>Minnesota Twins</t>
        </is>
      </c>
      <c r="H246" s="24" t="inlineStr">
        <is>
          <t>spread</t>
        </is>
      </c>
      <c r="I246" s="24" t="inlineStr">
        <is>
          <t>home</t>
        </is>
      </c>
      <c r="J246" s="25" t="n">
        <v>1.5</v>
      </c>
      <c r="K246" s="24" t="inlineStr">
        <is>
          <t>polymarket_us</t>
        </is>
      </c>
      <c r="L246" s="26" t="n">
        <v>-170</v>
      </c>
      <c r="M246" s="27" t="n">
        <v>1.588235</v>
      </c>
      <c r="N246" s="28" t="n">
        <v>0.62963</v>
      </c>
      <c r="O246" s="28" t="n">
        <v>0.577475</v>
      </c>
      <c r="P246" s="28" t="n">
        <v>0.042131</v>
      </c>
      <c r="Q246" s="28" t="n">
        <v>-0.052155</v>
      </c>
      <c r="R246" s="26" t="n">
        <v>0</v>
      </c>
      <c r="S246" s="29" t="n">
        <v>1.25</v>
      </c>
      <c r="T246" s="24" t="inlineStr">
        <is>
          <t>measured-edge-margin-v3</t>
        </is>
      </c>
      <c r="U246" s="24" t="inlineStr">
        <is>
          <t>settled</t>
        </is>
      </c>
      <c r="V246" s="24" t="inlineStr">
        <is>
          <t>win</t>
        </is>
      </c>
      <c r="W246" s="26" t="n">
        <v>5</v>
      </c>
      <c r="X246" s="26" t="n">
        <v>7</v>
      </c>
      <c r="Y246" s="25" t="n">
        <v>1.5</v>
      </c>
      <c r="Z246" s="26" t="n">
        <v>-170</v>
      </c>
      <c r="AA246" s="28" t="n">
        <v>0.63</v>
      </c>
      <c r="AB246" s="28" t="n">
        <v>0.00037</v>
      </c>
      <c r="AC246" s="30" t="n">
        <v>0.7353</v>
      </c>
      <c r="AD246" s="24" t="inlineStr">
        <is>
          <t>2026-08-12T21:14:11.219341Z</t>
        </is>
      </c>
      <c r="AE246" s="31" t="inlineStr">
        <is>
          <t>Measured Edge Margin: Trend Engine projected 4.99-4.47; raw selected-side p=0.6137, calibrated p=0.5775.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mlb-bal</t>
        </is>
      </c>
      <c r="AQ246" s="24" t="inlineStr">
        <is>
          <t>Baltimore Orioles</t>
        </is>
      </c>
      <c r="AR246" s="24" t="inlineStr">
        <is>
          <t>Baltimore Orioles</t>
        </is>
      </c>
      <c r="AS246" s="24" t="inlineStr">
        <is>
          <t>mlb-min</t>
        </is>
      </c>
      <c r="AT246" s="24" t="inlineStr">
        <is>
          <t>Minnesota Twins</t>
        </is>
      </c>
      <c r="AU246" s="24" t="inlineStr">
        <is>
          <t>Minnesota Twins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dd339a2eed50d7d83ab2127837995ddab82e879afd27f5414bb6c1f9cd60ba4c</t>
        </is>
      </c>
      <c r="BB246" s="24" t="inlineStr">
        <is>
          <t>flat_probability_shrinkage_toward_half</t>
        </is>
      </c>
      <c r="BC246" s="24" t="inlineStr">
        <is>
          <t>measured-edge-margin-v3</t>
        </is>
      </c>
      <c r="BD246" s="24" t="inlineStr">
        <is>
          <t>dd339a2eed50d7d83ab2127837995ddab82e879afd27f5414bb6c1f9cd60ba4c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2026-08-12T16:43:28.471896Z</t>
        </is>
      </c>
      <c r="BI246" s="24" t="inlineStr">
        <is>
          <t>["same_event","same_team_same_day","same_league_same_day"]</t>
        </is>
      </c>
      <c r="BJ246" s="25" t="n">
        <v>1.5</v>
      </c>
      <c r="BK246" s="26" t="n">
        <v>-170</v>
      </c>
      <c r="BL246" s="27" t="n">
        <v>1.588235</v>
      </c>
      <c r="BM246" s="28" t="n">
        <v>0.62963</v>
      </c>
      <c r="BN246" s="28" t="n">
        <v>0.626866</v>
      </c>
      <c r="BO246" s="28" t="n"/>
      <c r="BP246" s="25" t="n"/>
      <c r="BQ246" s="27" t="n">
        <v>1.588235</v>
      </c>
      <c r="BR246" s="28" t="n">
        <v>0.63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c41b04cb8fc146ea</t>
        </is>
      </c>
      <c r="B247" s="24" t="inlineStr">
        <is>
          <t>2026-08-12T16:43:28.471896Z</t>
        </is>
      </c>
      <c r="C247" s="24" t="inlineStr">
        <is>
          <t>2026-08-12T17:40Z</t>
        </is>
      </c>
      <c r="D247" s="24" t="inlineStr">
        <is>
          <t>401816500</t>
        </is>
      </c>
      <c r="E247" s="24" t="inlineStr">
        <is>
          <t>MLB</t>
        </is>
      </c>
      <c r="F247" s="24" t="inlineStr">
        <is>
          <t>Baltimore Orioles</t>
        </is>
      </c>
      <c r="G247" s="24" t="inlineStr">
        <is>
          <t>Minnesota Twins</t>
        </is>
      </c>
      <c r="H247" s="24" t="inlineStr">
        <is>
          <t>total</t>
        </is>
      </c>
      <c r="I247" s="24" t="inlineStr">
        <is>
          <t>over</t>
        </is>
      </c>
      <c r="J247" s="25" t="n">
        <v>8.5</v>
      </c>
      <c r="K247" s="24" t="inlineStr">
        <is>
          <t>polymarket_us</t>
        </is>
      </c>
      <c r="L247" s="26" t="n">
        <v>-113</v>
      </c>
      <c r="M247" s="27" t="n">
        <v>1.884956</v>
      </c>
      <c r="N247" s="28" t="n">
        <v>0.530516</v>
      </c>
      <c r="O247" s="28" t="n">
        <v>0.521064</v>
      </c>
      <c r="P247" s="28" t="n">
        <v>0.042131</v>
      </c>
      <c r="Q247" s="28" t="n">
        <v>-0.009452</v>
      </c>
      <c r="R247" s="26" t="n">
        <v>22</v>
      </c>
      <c r="S247" s="29" t="n">
        <v>1</v>
      </c>
      <c r="T247" s="24" t="inlineStr">
        <is>
          <t>measured-edge-totals-v3</t>
        </is>
      </c>
      <c r="U247" s="24" t="inlineStr">
        <is>
          <t>settled</t>
        </is>
      </c>
      <c r="V247" s="24" t="inlineStr">
        <is>
          <t>win</t>
        </is>
      </c>
      <c r="W247" s="26" t="n">
        <v>5</v>
      </c>
      <c r="X247" s="26" t="n">
        <v>7</v>
      </c>
      <c r="Y247" s="25" t="n">
        <v>8.5</v>
      </c>
      <c r="Z247" s="26" t="n">
        <v>-113</v>
      </c>
      <c r="AA247" s="28" t="n">
        <v>0.53</v>
      </c>
      <c r="AB247" s="28" t="n">
        <v>-0.000516</v>
      </c>
      <c r="AC247" s="30" t="n">
        <v>0.885</v>
      </c>
      <c r="AD247" s="24" t="inlineStr">
        <is>
          <t>2026-08-12T21:14:13.071962Z</t>
        </is>
      </c>
      <c r="AE247" s="31" t="inlineStr">
        <is>
          <t>Measured Edge Totals: Trend Engine projected 4.99-4.47; raw selected-side p=0.5615, calibrated p=0.5211.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mlb-bal</t>
        </is>
      </c>
      <c r="AQ247" s="24" t="inlineStr">
        <is>
          <t>Baltimore Orioles</t>
        </is>
      </c>
      <c r="AR247" s="24" t="inlineStr">
        <is>
          <t>Baltimore Orioles</t>
        </is>
      </c>
      <c r="AS247" s="24" t="inlineStr">
        <is>
          <t>mlb-min</t>
        </is>
      </c>
      <c r="AT247" s="24" t="inlineStr">
        <is>
          <t>Minnesota Twins</t>
        </is>
      </c>
      <c r="AU247" s="24" t="inlineStr">
        <is>
          <t>Minnesota Twins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95b84332c75d2ce54036eb8de6ada9c78d0f80228c50825c0347281a8b9b49c7</t>
        </is>
      </c>
      <c r="BB247" s="24" t="inlineStr">
        <is>
          <t>flat_probability_shrinkage_toward_half</t>
        </is>
      </c>
      <c r="BC247" s="24" t="inlineStr">
        <is>
          <t>measured-edge-totals-v3</t>
        </is>
      </c>
      <c r="BD247" s="24" t="inlineStr">
        <is>
          <t>95b84332c75d2ce54036eb8de6ada9c78d0f80228c50825c0347281a8b9b49c7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2026-08-12T16:43:28.471896Z</t>
        </is>
      </c>
      <c r="BI247" s="24" t="inlineStr">
        <is>
          <t>["same_event","same_team_same_day","same_league_same_day"]</t>
        </is>
      </c>
      <c r="BJ247" s="25" t="n">
        <v>8.5</v>
      </c>
      <c r="BK247" s="26" t="n">
        <v>-113</v>
      </c>
      <c r="BL247" s="27" t="n">
        <v>1.884956</v>
      </c>
      <c r="BM247" s="28" t="n">
        <v>0.530516</v>
      </c>
      <c r="BN247" s="28" t="n">
        <v>0.527363</v>
      </c>
      <c r="BO247" s="28" t="n"/>
      <c r="BP247" s="25" t="n"/>
      <c r="BQ247" s="27" t="n">
        <v>1.884956</v>
      </c>
      <c r="BR247" s="28" t="n">
        <v>0.53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</row>
    <row r="248" ht="36" customHeight="1">
      <c r="A248" s="24" t="inlineStr">
        <is>
          <t>43e0b06d6f684242</t>
        </is>
      </c>
      <c r="B248" s="24" t="inlineStr">
        <is>
          <t>2026-08-12T17:42:37.205703Z</t>
        </is>
      </c>
      <c r="C248" s="24" t="inlineStr">
        <is>
          <t>2026-08-12T14:15:00-0400</t>
        </is>
      </c>
      <c r="D248" s="24" t="inlineStr">
        <is>
          <t>401816502</t>
        </is>
      </c>
      <c r="E248" s="24" t="inlineStr">
        <is>
          <t>MLB</t>
        </is>
      </c>
      <c r="F248" s="24" t="inlineStr">
        <is>
          <t>Philadelphia Phillies</t>
        </is>
      </c>
      <c r="G248" s="24" t="inlineStr">
        <is>
          <t>St. Louis Cardinals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150</v>
      </c>
      <c r="M248" s="27" t="n">
        <v>2.5</v>
      </c>
      <c r="N248" s="28" t="n">
        <v>0.4</v>
      </c>
      <c r="O248" s="28" t="n">
        <v>0.50182</v>
      </c>
      <c r="P248" s="28" t="n"/>
      <c r="Q248" s="28" t="n">
        <v>0.10182</v>
      </c>
      <c r="R248" s="26" t="n">
        <v>72</v>
      </c>
      <c r="S248" s="29" t="n">
        <v>1</v>
      </c>
      <c r="T248" s="24" t="inlineStr">
        <is>
          <t>mlb-elo-trend-lr-v8</t>
        </is>
      </c>
      <c r="U248" s="24" t="inlineStr">
        <is>
          <t>settled</t>
        </is>
      </c>
      <c r="V248" s="24" t="inlineStr">
        <is>
          <t>win</t>
        </is>
      </c>
      <c r="W248" s="26" t="n">
        <v>1</v>
      </c>
      <c r="X248" s="26" t="n">
        <v>7</v>
      </c>
      <c r="Y248" s="25" t="n"/>
      <c r="Z248" s="26" t="n">
        <v>150</v>
      </c>
      <c r="AA248" s="28" t="n">
        <v>0.4</v>
      </c>
      <c r="AB248" s="28" t="n">
        <v>0</v>
      </c>
      <c r="AC248" s="30" t="n">
        <v>1.5</v>
      </c>
      <c r="AD248" s="24" t="inlineStr">
        <is>
          <t>2026-08-12T21:14:14.825592Z</t>
        </is>
      </c>
      <c r="AE248" s="31" t="inlineStr">
        <is>
          <t>Learned LR call at threshold 0.6197; executable ask 0.4000 (aec-mlb-phi-stl-2026-08-12); model edge vs ask +0.1018.</t>
        </is>
      </c>
      <c r="AF248" s="31" t="inlineStr">
        <is>
          <t>Learned model; shadow-qualified via operator override.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NO_CALL_BELOW_LEARNED_CONFIDENCE</t>
        </is>
      </c>
      <c r="AP248" s="24" t="inlineStr">
        <is>
          <t>mlb-phi</t>
        </is>
      </c>
      <c r="AQ248" s="24" t="inlineStr">
        <is>
          <t>Philadelphia Phillies</t>
        </is>
      </c>
      <c r="AR248" s="24" t="inlineStr">
        <is>
          <t>Philadelphia Phillies</t>
        </is>
      </c>
      <c r="AS248" s="24" t="inlineStr">
        <is>
          <t>mlb-stl</t>
        </is>
      </c>
      <c r="AT248" s="24" t="inlineStr">
        <is>
          <t>St. Louis Cardinals</t>
        </is>
      </c>
      <c r="AU248" s="24" t="inlineStr">
        <is>
          <t>St. Louis Cardinals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3b345499bd6bad9bcf65367a07fe0c668fb5817d4f016a0a865c01d9212fdeb8</t>
        </is>
      </c>
      <c r="BB248" s="24" t="inlineStr">
        <is>
          <t>learned_lr</t>
        </is>
      </c>
      <c r="BC248" s="24" t="inlineStr">
        <is>
          <t>mlb-elo-trend-lr-v8</t>
        </is>
      </c>
      <c r="BD248" s="24" t="inlineStr">
        <is>
          <t>3b345499bd6bad9bcf65367a07fe0c668fb5817d4f016a0a865c01d9212fdeb8</t>
        </is>
      </c>
      <c r="BE248" s="24" t="inlineStr">
        <is>
          <t>db5a54eab75b0113</t>
        </is>
      </c>
      <c r="BF248" s="24" t="inlineStr">
        <is>
          <t>1</t>
        </is>
      </c>
      <c r="BG248" s="24" t="inlineStr">
        <is>
          <t>mlb-elo-trend-lr-v8</t>
        </is>
      </c>
      <c r="BH248" s="24" t="inlineStr">
        <is>
          <t>2026-08-12T17:41:21.016518Z</t>
        </is>
      </c>
      <c r="BI248" s="24" t="inlineStr">
        <is>
          <t>["same_event","same_team_same_day","same_league_same_day"]</t>
        </is>
      </c>
      <c r="BJ248" s="25" t="n"/>
      <c r="BK248" s="26" t="n">
        <v>150</v>
      </c>
      <c r="BL248" s="27" t="n">
        <v>2.5</v>
      </c>
      <c r="BM248" s="28" t="n">
        <v>0.4</v>
      </c>
      <c r="BN248" s="28" t="n">
        <v>0.39801</v>
      </c>
      <c r="BO248" s="28" t="n"/>
      <c r="BP248" s="25" t="n"/>
      <c r="BQ248" s="27" t="n">
        <v>2.5</v>
      </c>
      <c r="BR248" s="28" t="n">
        <v>0.4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inlineStr">
        <is>
          <t>0.4681207534</t>
        </is>
      </c>
      <c r="CD248" s="24" t="inlineStr">
        <is>
          <t>0.161551</t>
        </is>
      </c>
      <c r="CE248" s="24" t="inlineStr">
        <is>
          <t>0.946</t>
        </is>
      </c>
      <c r="CF248" s="24" t="inlineStr">
        <is>
          <t>1.0258</t>
        </is>
      </c>
      <c r="CG248" s="24" t="n"/>
      <c r="CH248" s="24" t="n"/>
      <c r="CI248" s="24" t="n"/>
      <c r="CJ248" s="24" t="inlineStr">
        <is>
          <t>0.610709</t>
        </is>
      </c>
      <c r="CK248" s="24" t="n"/>
      <c r="CL248" s="24" t="inlineStr">
        <is>
          <t>-0.070209</t>
        </is>
      </c>
      <c r="CM248" s="24" t="inlineStr">
        <is>
          <t>-2.1304</t>
        </is>
      </c>
      <c r="CN248" s="24" t="n"/>
      <c r="CO248" s="24" t="n"/>
      <c r="CP248" s="24" t="n"/>
      <c r="CQ248" s="24" t="n"/>
      <c r="CR248" s="24" t="inlineStr">
        <is>
          <t>0.50182</t>
        </is>
      </c>
      <c r="CS248" s="24" t="inlineStr">
        <is>
          <t>True</t>
        </is>
      </c>
    </row>
    <row r="249" ht="36" customHeight="1">
      <c r="A249" s="24" t="inlineStr">
        <is>
          <t>c9c7546b15684e73</t>
        </is>
      </c>
      <c r="B249" s="24" t="inlineStr">
        <is>
          <t>2026-08-12T17:42:37.205703Z</t>
        </is>
      </c>
      <c r="C249" s="24" t="inlineStr">
        <is>
          <t>2026-08-12T15:05:00-0400</t>
        </is>
      </c>
      <c r="D249" s="24" t="inlineStr">
        <is>
          <t>401816507</t>
        </is>
      </c>
      <c r="E249" s="24" t="inlineStr">
        <is>
          <t>MLB</t>
        </is>
      </c>
      <c r="F249" s="24" t="inlineStr">
        <is>
          <t>Tampa Bay Rays</t>
        </is>
      </c>
      <c r="G249" s="24" t="inlineStr">
        <is>
          <t>Athletics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-213</v>
      </c>
      <c r="M249" s="27" t="n">
        <v>1.469484</v>
      </c>
      <c r="N249" s="28" t="n">
        <v>0.680511</v>
      </c>
      <c r="O249" s="28" t="n">
        <v>0.607359</v>
      </c>
      <c r="P249" s="28" t="n"/>
      <c r="Q249" s="28" t="n">
        <v>-0.07315199999999999</v>
      </c>
      <c r="R249" s="26" t="n">
        <v>0</v>
      </c>
      <c r="S249" s="29" t="n">
        <v>1.5</v>
      </c>
      <c r="T249" s="24" t="inlineStr">
        <is>
          <t>mlb-elo-trend-lr-v8</t>
        </is>
      </c>
      <c r="U249" s="24" t="inlineStr">
        <is>
          <t>settled</t>
        </is>
      </c>
      <c r="V249" s="24" t="inlineStr">
        <is>
          <t>win</t>
        </is>
      </c>
      <c r="W249" s="26" t="n">
        <v>8</v>
      </c>
      <c r="X249" s="26" t="n">
        <v>4</v>
      </c>
      <c r="Y249" s="25" t="n"/>
      <c r="Z249" s="26" t="n">
        <v>-213</v>
      </c>
      <c r="AA249" s="28" t="n">
        <v>0.68</v>
      </c>
      <c r="AB249" s="28" t="n">
        <v>-0.000511</v>
      </c>
      <c r="AC249" s="30" t="n">
        <v>0.7042</v>
      </c>
      <c r="AD249" s="24" t="inlineStr">
        <is>
          <t>2026-08-13T05:31:42.871754Z</t>
        </is>
      </c>
      <c r="AE249" s="31" t="inlineStr">
        <is>
          <t>Learned LR call at threshold 0.6197; executable ask 0.6800 (aec-mlb-tb-ath-2026-08-12); model edge vs ask -0.0726.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NO_CALL_BELOW_LEARNED_CONFIDENCE</t>
        </is>
      </c>
      <c r="AP249" s="24" t="inlineStr">
        <is>
          <t>mlb-tb</t>
        </is>
      </c>
      <c r="AQ249" s="24" t="inlineStr">
        <is>
          <t>Tampa Bay Rays</t>
        </is>
      </c>
      <c r="AR249" s="24" t="inlineStr">
        <is>
          <t>Tampa Bay Rays</t>
        </is>
      </c>
      <c r="AS249" s="24" t="inlineStr">
        <is>
          <t>mlb-ath</t>
        </is>
      </c>
      <c r="AT249" s="24" t="inlineStr">
        <is>
          <t>Athletics</t>
        </is>
      </c>
      <c r="AU249" s="24" t="inlineStr">
        <is>
          <t>Athletics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3b345499bd6bad9bcf65367a07fe0c668fb5817d4f016a0a865c01d9212fdeb8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3b345499bd6bad9bcf65367a07fe0c668fb5817d4f016a0a865c01d9212fdeb8</t>
        </is>
      </c>
      <c r="BE249" s="24" t="inlineStr">
        <is>
          <t>9bf6fe3e8fe19417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2026-08-12T17:41:21.657124Z</t>
        </is>
      </c>
      <c r="BI249" s="24" t="inlineStr">
        <is>
          <t>["same_event","same_team_same_day","same_league_same_day"]</t>
        </is>
      </c>
      <c r="BJ249" s="25" t="n"/>
      <c r="BK249" s="26" t="n">
        <v>-213</v>
      </c>
      <c r="BL249" s="27" t="n">
        <v>1.469484</v>
      </c>
      <c r="BM249" s="28" t="n">
        <v>0.680511</v>
      </c>
      <c r="BN249" s="28" t="n">
        <v>0.676617</v>
      </c>
      <c r="BO249" s="28" t="n"/>
      <c r="BP249" s="25" t="n"/>
      <c r="BQ249" s="27" t="n">
        <v>1.469484</v>
      </c>
      <c r="BR249" s="28" t="n">
        <v>0.68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0.3945589238</t>
        </is>
      </c>
      <c r="CD249" s="24" t="inlineStr">
        <is>
          <t>-1.232973</t>
        </is>
      </c>
      <c r="CE249" s="24" t="inlineStr">
        <is>
          <t>1.153</t>
        </is>
      </c>
      <c r="CF249" s="24" t="inlineStr">
        <is>
          <t>1.0131</t>
        </is>
      </c>
      <c r="CG249" s="24" t="n"/>
      <c r="CH249" s="24" t="n"/>
      <c r="CI249" s="24" t="n"/>
      <c r="CJ249" s="24" t="inlineStr">
        <is>
          <t>-1.433949</t>
        </is>
      </c>
      <c r="CK249" s="24" t="n"/>
      <c r="CL249" s="24" t="inlineStr">
        <is>
          <t>0.483387</t>
        </is>
      </c>
      <c r="CM249" s="24" t="inlineStr">
        <is>
          <t>6.0587</t>
        </is>
      </c>
      <c r="CN249" s="24" t="n"/>
      <c r="CO249" s="24" t="n"/>
      <c r="CP249" s="24" t="n"/>
      <c r="CQ249" s="24" t="n"/>
      <c r="CR249" s="24" t="inlineStr">
        <is>
          <t>0.607359</t>
        </is>
      </c>
      <c r="CS249" s="24" t="inlineStr">
        <is>
          <t>False</t>
        </is>
      </c>
    </row>
    <row r="250" ht="36" customHeight="1">
      <c r="A250" s="24" t="inlineStr">
        <is>
          <t>6f2cf58569f74939</t>
        </is>
      </c>
      <c r="B250" s="24" t="inlineStr">
        <is>
          <t>2026-08-12T17:42:37.205703Z</t>
        </is>
      </c>
      <c r="C250" s="24" t="inlineStr">
        <is>
          <t>2026-08-12T15:40:00-0400</t>
        </is>
      </c>
      <c r="D250" s="24" t="inlineStr">
        <is>
          <t>401816503</t>
        </is>
      </c>
      <c r="E250" s="24" t="inlineStr">
        <is>
          <t>MLB</t>
        </is>
      </c>
      <c r="F250" s="24" t="inlineStr">
        <is>
          <t>Colorado Rockies</t>
        </is>
      </c>
      <c r="G250" s="24" t="inlineStr">
        <is>
          <t>Arizona Diamondbacks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-160</v>
      </c>
      <c r="M250" s="27" t="n">
        <v>1.625</v>
      </c>
      <c r="N250" s="28" t="n">
        <v>0.615385</v>
      </c>
      <c r="O250" s="28" t="n">
        <v>0.644989</v>
      </c>
      <c r="P250" s="28" t="n"/>
      <c r="Q250" s="28" t="n">
        <v>0.029604</v>
      </c>
      <c r="R250" s="26" t="n">
        <v>37</v>
      </c>
      <c r="S250" s="29" t="n">
        <v>1.75</v>
      </c>
      <c r="T250" s="24" t="inlineStr">
        <is>
          <t>mlb-elo-trend-lr-v8</t>
        </is>
      </c>
      <c r="U250" s="24" t="inlineStr">
        <is>
          <t>settled</t>
        </is>
      </c>
      <c r="V250" s="24" t="inlineStr">
        <is>
          <t>loss</t>
        </is>
      </c>
      <c r="W250" s="26" t="n">
        <v>6</v>
      </c>
      <c r="X250" s="26" t="n">
        <v>4</v>
      </c>
      <c r="Y250" s="25" t="n"/>
      <c r="Z250" s="26" t="n">
        <v>-160</v>
      </c>
      <c r="AA250" s="28" t="n">
        <v>0.615</v>
      </c>
      <c r="AB250" s="28" t="n">
        <v>-0.000385</v>
      </c>
      <c r="AC250" s="30" t="n">
        <v>-1.75</v>
      </c>
      <c r="AD250" s="24" t="inlineStr">
        <is>
          <t>2026-08-13T05:31:44.989068Z</t>
        </is>
      </c>
      <c r="AE250" s="31" t="inlineStr">
        <is>
          <t>Learned LR call at threshold 0.6197; executable ask 0.6150 (aec-mlb-col-az-2026-08-12); model edge vs ask +0.0300.</t>
        </is>
      </c>
      <c r="AF250" s="31" t="inlineStr">
        <is>
          <t>Learned model; shadow-qualified via operator override.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mlb-col</t>
        </is>
      </c>
      <c r="AQ250" s="24" t="inlineStr">
        <is>
          <t>Colorado Rockies</t>
        </is>
      </c>
      <c r="AR250" s="24" t="inlineStr">
        <is>
          <t>Colorado Rockies</t>
        </is>
      </c>
      <c r="AS250" s="24" t="inlineStr">
        <is>
          <t>mlb-ari</t>
        </is>
      </c>
      <c r="AT250" s="24" t="inlineStr">
        <is>
          <t>Arizona Diamondbacks</t>
        </is>
      </c>
      <c r="AU250" s="24" t="inlineStr">
        <is>
          <t>Arizona Diamondbacks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3b345499bd6bad9bcf65367a07fe0c668fb5817d4f016a0a865c01d9212fdeb8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3b345499bd6bad9bcf65367a07fe0c668fb5817d4f016a0a865c01d9212fdeb8</t>
        </is>
      </c>
      <c r="BE250" s="24" t="inlineStr">
        <is>
          <t>02d0a106d2db5aa1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2026-08-12T17:41:22.389910Z</t>
        </is>
      </c>
      <c r="BI250" s="24" t="inlineStr">
        <is>
          <t>["same_event","same_team_same_day","same_league_same_day"]</t>
        </is>
      </c>
      <c r="BJ250" s="25" t="n"/>
      <c r="BK250" s="26" t="n">
        <v>-160</v>
      </c>
      <c r="BL250" s="27" t="n">
        <v>1.625</v>
      </c>
      <c r="BM250" s="28" t="n">
        <v>0.615385</v>
      </c>
      <c r="BN250" s="28" t="n">
        <v>0.61194</v>
      </c>
      <c r="BO250" s="28" t="n"/>
      <c r="BP250" s="25" t="n"/>
      <c r="BQ250" s="27" t="n">
        <v>1.625</v>
      </c>
      <c r="BR250" s="28" t="n">
        <v>0.615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0.6955480628</t>
        </is>
      </c>
      <c r="CD250" s="24" t="inlineStr">
        <is>
          <t>0.591178</t>
        </is>
      </c>
      <c r="CE250" s="24" t="inlineStr">
        <is>
          <t>1.097</t>
        </is>
      </c>
      <c r="CF250" s="24" t="inlineStr">
        <is>
          <t>1.0</t>
        </is>
      </c>
      <c r="CG250" s="24" t="n"/>
      <c r="CH250" s="24" t="n"/>
      <c r="CI250" s="24" t="n"/>
      <c r="CJ250" s="24" t="inlineStr">
        <is>
          <t>1.07916</t>
        </is>
      </c>
      <c r="CK250" s="24" t="n"/>
      <c r="CL250" s="24" t="inlineStr">
        <is>
          <t>-0.135632</t>
        </is>
      </c>
      <c r="CM250" s="24" t="inlineStr">
        <is>
          <t>-4.622</t>
        </is>
      </c>
      <c r="CN250" s="24" t="n"/>
      <c r="CO250" s="24" t="n"/>
      <c r="CP250" s="24" t="n"/>
      <c r="CQ250" s="24" t="n"/>
      <c r="CR250" s="24" t="inlineStr">
        <is>
          <t>0.644989</t>
        </is>
      </c>
      <c r="CS250" s="24" t="inlineStr">
        <is>
          <t>True</t>
        </is>
      </c>
    </row>
    <row r="251" ht="36" customHeight="1">
      <c r="A251" s="24" t="inlineStr">
        <is>
          <t>5e4ad8fd40924c37</t>
        </is>
      </c>
      <c r="B251" s="24" t="inlineStr">
        <is>
          <t>2026-08-12T17:42:37.205703Z</t>
        </is>
      </c>
      <c r="C251" s="24" t="inlineStr">
        <is>
          <t>2026-08-12T15:45:00-0400</t>
        </is>
      </c>
      <c r="D251" s="24" t="inlineStr">
        <is>
          <t>401816504</t>
        </is>
      </c>
      <c r="E251" s="24" t="inlineStr">
        <is>
          <t>MLB</t>
        </is>
      </c>
      <c r="F251" s="24" t="inlineStr">
        <is>
          <t>Houston Astros</t>
        </is>
      </c>
      <c r="G251" s="24" t="inlineStr">
        <is>
          <t>San Francisco Giants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135</v>
      </c>
      <c r="M251" s="27" t="n">
        <v>2.35</v>
      </c>
      <c r="N251" s="28" t="n">
        <v>0.425532</v>
      </c>
      <c r="O251" s="28" t="n">
        <v>0.525509</v>
      </c>
      <c r="P251" s="28" t="n"/>
      <c r="Q251" s="28" t="n">
        <v>0.099977</v>
      </c>
      <c r="R251" s="26" t="n">
        <v>71</v>
      </c>
      <c r="S251" s="29" t="n">
        <v>1</v>
      </c>
      <c r="T251" s="24" t="inlineStr">
        <is>
          <t>mlb-elo-trend-lr-v8</t>
        </is>
      </c>
      <c r="U251" s="24" t="inlineStr">
        <is>
          <t>settled</t>
        </is>
      </c>
      <c r="V251" s="24" t="inlineStr">
        <is>
          <t>loss</t>
        </is>
      </c>
      <c r="W251" s="26" t="n">
        <v>2</v>
      </c>
      <c r="X251" s="26" t="n">
        <v>1</v>
      </c>
      <c r="Y251" s="25" t="n"/>
      <c r="Z251" s="26" t="n">
        <v>135</v>
      </c>
      <c r="AA251" s="28" t="n">
        <v>0.425</v>
      </c>
      <c r="AB251" s="28" t="n">
        <v>-0.000532</v>
      </c>
      <c r="AC251" s="30" t="n">
        <v>-1</v>
      </c>
      <c r="AD251" s="24" t="inlineStr">
        <is>
          <t>2026-08-13T05:31:46.825272Z</t>
        </is>
      </c>
      <c r="AE251" s="31" t="inlineStr">
        <is>
          <t>Learned LR call at threshold 0.6197; executable ask 0.4250 (aec-mlb-hou-sf-2026-08-12); model edge vs ask +0.1005. NOTE: NO_CALL_STARTER_ERA_GAP_INSUFFICIENT_HISTORY unavailable for this game — defaulted to neutral, other features used normally.</t>
        </is>
      </c>
      <c r="AF251" s="31" t="inlineStr">
        <is>
          <t>Learned model; shadow-qualified via operator override.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NO_CALL_BELOW_LEARNED_CONFIDENCE</t>
        </is>
      </c>
      <c r="AP251" s="24" t="inlineStr">
        <is>
          <t>mlb-hou</t>
        </is>
      </c>
      <c r="AQ251" s="24" t="inlineStr">
        <is>
          <t>Houston Astros</t>
        </is>
      </c>
      <c r="AR251" s="24" t="inlineStr">
        <is>
          <t>Houston Astros</t>
        </is>
      </c>
      <c r="AS251" s="24" t="inlineStr">
        <is>
          <t>mlb-sf</t>
        </is>
      </c>
      <c r="AT251" s="24" t="inlineStr">
        <is>
          <t>San Francisco Giants</t>
        </is>
      </c>
      <c r="AU251" s="24" t="inlineStr">
        <is>
          <t>San Francisco Giants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3b345499bd6bad9bcf65367a07fe0c668fb5817d4f016a0a865c01d9212fdeb8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3b345499bd6bad9bcf65367a07fe0c668fb5817d4f016a0a865c01d9212fdeb8</t>
        </is>
      </c>
      <c r="BE251" s="24" t="inlineStr">
        <is>
          <t>f3b5bc0c735555de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2026-08-12T17:41:22.980434Z</t>
        </is>
      </c>
      <c r="BI251" s="24" t="inlineStr">
        <is>
          <t>["same_event","same_team_same_day","same_league_same_day"]</t>
        </is>
      </c>
      <c r="BJ251" s="25" t="n"/>
      <c r="BK251" s="26" t="n">
        <v>135</v>
      </c>
      <c r="BL251" s="27" t="n">
        <v>2.35</v>
      </c>
      <c r="BM251" s="28" t="n">
        <v>0.425532</v>
      </c>
      <c r="BN251" s="28" t="n">
        <v>0.422886</v>
      </c>
      <c r="BO251" s="28" t="n"/>
      <c r="BP251" s="25" t="n"/>
      <c r="BQ251" s="27" t="n">
        <v>2.35</v>
      </c>
      <c r="BR251" s="28" t="n">
        <v>0.425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0.496252014</t>
        </is>
      </c>
      <c r="CD251" s="24" t="inlineStr">
        <is>
          <t>-0.190173</t>
        </is>
      </c>
      <c r="CE251" s="24" t="inlineStr">
        <is>
          <t>0.98</t>
        </is>
      </c>
      <c r="CF251" s="24" t="inlineStr">
        <is>
          <t>1.0076</t>
        </is>
      </c>
      <c r="CG251" s="24" t="n"/>
      <c r="CH251" s="24" t="n"/>
      <c r="CI251" s="24" t="inlineStr">
        <is>
          <t>NO_CALL_STARTER_ERA_GAP_INSUFFICIENT_HISTORY</t>
        </is>
      </c>
      <c r="CJ251" s="24" t="inlineStr">
        <is>
          <t>-0.214994</t>
        </is>
      </c>
      <c r="CK251" s="24" t="n"/>
      <c r="CL251" s="24" t="inlineStr">
        <is>
          <t>0.36618</t>
        </is>
      </c>
      <c r="CM251" s="24" t="inlineStr">
        <is>
          <t>0.0</t>
        </is>
      </c>
      <c r="CN251" s="24" t="n"/>
      <c r="CO251" s="24" t="n"/>
      <c r="CP251" s="24" t="n"/>
      <c r="CQ251" s="24" t="n"/>
      <c r="CR251" s="24" t="inlineStr">
        <is>
          <t>0.525509</t>
        </is>
      </c>
      <c r="CS251" s="24" t="inlineStr">
        <is>
          <t>True</t>
        </is>
      </c>
    </row>
    <row r="252" ht="36" customHeight="1">
      <c r="A252" s="24" t="inlineStr">
        <is>
          <t>8c11ec61d5954460</t>
        </is>
      </c>
      <c r="B252" s="24" t="inlineStr">
        <is>
          <t>2026-08-12T17:42:37.205703Z</t>
        </is>
      </c>
      <c r="C252" s="24" t="inlineStr">
        <is>
          <t>2026-08-12T16:10:00-0400</t>
        </is>
      </c>
      <c r="D252" s="24" t="inlineStr">
        <is>
          <t>401816506</t>
        </is>
      </c>
      <c r="E252" s="24" t="inlineStr">
        <is>
          <t>MLB</t>
        </is>
      </c>
      <c r="F252" s="24" t="inlineStr">
        <is>
          <t>Milwaukee Brewers</t>
        </is>
      </c>
      <c r="G252" s="24" t="inlineStr">
        <is>
          <t>San Diego Padres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106</v>
      </c>
      <c r="M252" s="27" t="n">
        <v>2.06</v>
      </c>
      <c r="N252" s="28" t="n">
        <v>0.485437</v>
      </c>
      <c r="O252" s="28" t="n">
        <v>0.511292</v>
      </c>
      <c r="P252" s="28" t="n"/>
      <c r="Q252" s="28" t="n">
        <v>0.025855</v>
      </c>
      <c r="R252" s="26" t="n">
        <v>34</v>
      </c>
      <c r="S252" s="29" t="n">
        <v>1</v>
      </c>
      <c r="T252" s="24" t="inlineStr">
        <is>
          <t>mlb-elo-trend-lr-v8</t>
        </is>
      </c>
      <c r="U252" s="24" t="inlineStr">
        <is>
          <t>settled</t>
        </is>
      </c>
      <c r="V252" s="24" t="inlineStr">
        <is>
          <t>win</t>
        </is>
      </c>
      <c r="W252" s="26" t="n">
        <v>3</v>
      </c>
      <c r="X252" s="26" t="n">
        <v>4</v>
      </c>
      <c r="Y252" s="25" t="n"/>
      <c r="Z252" s="26" t="n">
        <v>106</v>
      </c>
      <c r="AA252" s="28" t="n">
        <v>0.485</v>
      </c>
      <c r="AB252" s="28" t="n">
        <v>-0.000437</v>
      </c>
      <c r="AC252" s="30" t="n">
        <v>1.06</v>
      </c>
      <c r="AD252" s="24" t="inlineStr">
        <is>
          <t>2026-08-13T05:31:48.635740Z</t>
        </is>
      </c>
      <c r="AE252" s="31" t="inlineStr">
        <is>
          <t>Learned LR call at threshold 0.6197; executable ask 0.4850 (aec-mlb-mil-sd-2026-08-12); model edge vs ask +0.0263.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NO_CALL_BELOW_LEARNED_CONFIDENCE</t>
        </is>
      </c>
      <c r="AP252" s="24" t="inlineStr">
        <is>
          <t>mlb-mil</t>
        </is>
      </c>
      <c r="AQ252" s="24" t="inlineStr">
        <is>
          <t>Milwaukee Brewers</t>
        </is>
      </c>
      <c r="AR252" s="24" t="inlineStr">
        <is>
          <t>Milwaukee Brewers</t>
        </is>
      </c>
      <c r="AS252" s="24" t="inlineStr">
        <is>
          <t>mlb-sd</t>
        </is>
      </c>
      <c r="AT252" s="24" t="inlineStr">
        <is>
          <t>San Diego Padres</t>
        </is>
      </c>
      <c r="AU252" s="24" t="inlineStr">
        <is>
          <t>San Diego Padres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3b345499bd6bad9bcf65367a07fe0c668fb5817d4f016a0a865c01d9212fdeb8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3b345499bd6bad9bcf65367a07fe0c668fb5817d4f016a0a865c01d9212fdeb8</t>
        </is>
      </c>
      <c r="BE252" s="24" t="inlineStr">
        <is>
          <t>3ad6aaf840f26cc4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2026-08-12T17:41:23.571530Z</t>
        </is>
      </c>
      <c r="BI252" s="24" t="inlineStr">
        <is>
          <t>["same_event","same_team_same_day","same_league_same_day"]</t>
        </is>
      </c>
      <c r="BJ252" s="25" t="n"/>
      <c r="BK252" s="26" t="n">
        <v>106</v>
      </c>
      <c r="BL252" s="27" t="n">
        <v>2.06</v>
      </c>
      <c r="BM252" s="28" t="n">
        <v>0.485437</v>
      </c>
      <c r="BN252" s="28" t="n">
        <v>0.482587</v>
      </c>
      <c r="BO252" s="28" t="n"/>
      <c r="BP252" s="25" t="n"/>
      <c r="BQ252" s="27" t="n">
        <v>2.06</v>
      </c>
      <c r="BR252" s="28" t="n">
        <v>0.485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0.4763520342</t>
        </is>
      </c>
      <c r="CD252" s="24" t="inlineStr">
        <is>
          <t>2.483159</t>
        </is>
      </c>
      <c r="CE252" s="24" t="inlineStr">
        <is>
          <t>0.945</t>
        </is>
      </c>
      <c r="CF252" s="24" t="inlineStr">
        <is>
          <t>1.0104</t>
        </is>
      </c>
      <c r="CG252" s="24" t="n"/>
      <c r="CH252" s="24" t="n"/>
      <c r="CI252" s="24" t="n"/>
      <c r="CJ252" s="24" t="inlineStr">
        <is>
          <t>2.336664</t>
        </is>
      </c>
      <c r="CK252" s="24" t="n"/>
      <c r="CL252" s="24" t="inlineStr">
        <is>
          <t>0.211479</t>
        </is>
      </c>
      <c r="CM252" s="24" t="inlineStr">
        <is>
          <t>-3.3038</t>
        </is>
      </c>
      <c r="CN252" s="24" t="n"/>
      <c r="CO252" s="24" t="n"/>
      <c r="CP252" s="24" t="n"/>
      <c r="CQ252" s="24" t="n"/>
      <c r="CR252" s="24" t="inlineStr">
        <is>
          <t>0.511292</t>
        </is>
      </c>
      <c r="CS252" s="24" t="inlineStr">
        <is>
          <t>True</t>
        </is>
      </c>
    </row>
    <row r="253" ht="36" customHeight="1">
      <c r="A253" s="24" t="inlineStr">
        <is>
          <t>c3d3684fcb49403a</t>
        </is>
      </c>
      <c r="B253" s="24" t="inlineStr">
        <is>
          <t>2026-08-12T17:43:09.064761Z</t>
        </is>
      </c>
      <c r="C253" s="24" t="inlineStr">
        <is>
          <t>2026-08-12T18:15Z</t>
        </is>
      </c>
      <c r="D253" s="24" t="inlineStr">
        <is>
          <t>401816502</t>
        </is>
      </c>
      <c r="E253" s="24" t="inlineStr">
        <is>
          <t>MLB</t>
        </is>
      </c>
      <c r="F253" s="24" t="inlineStr">
        <is>
          <t>Philadelphia Phillies</t>
        </is>
      </c>
      <c r="G253" s="24" t="inlineStr">
        <is>
          <t>St. Louis Cardinals</t>
        </is>
      </c>
      <c r="H253" s="24" t="inlineStr">
        <is>
          <t>spread</t>
        </is>
      </c>
      <c r="I253" s="24" t="inlineStr">
        <is>
          <t>home</t>
        </is>
      </c>
      <c r="J253" s="25" t="n">
        <v>1.5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0.639108</v>
      </c>
      <c r="P253" s="28" t="n">
        <v>0.042131</v>
      </c>
      <c r="Q253" s="28" t="n">
        <v>0.104224</v>
      </c>
      <c r="R253" s="26" t="n">
        <v>78</v>
      </c>
      <c r="S253" s="29" t="n">
        <v>1.75</v>
      </c>
      <c r="T253" s="24" t="inlineStr">
        <is>
          <t>measured-edge-margin-v3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7</v>
      </c>
      <c r="Y253" s="25" t="n">
        <v>1.5</v>
      </c>
      <c r="Z253" s="26" t="n">
        <v>-115</v>
      </c>
      <c r="AA253" s="28" t="n">
        <v>0.535</v>
      </c>
      <c r="AB253" s="28" t="n">
        <v>0.000116</v>
      </c>
      <c r="AC253" s="30" t="n">
        <v>1.5217</v>
      </c>
      <c r="AD253" s="24" t="inlineStr">
        <is>
          <t>2026-08-12T21:14:16.839786Z</t>
        </is>
      </c>
      <c r="AE253" s="31" t="inlineStr">
        <is>
          <t>Measured Edge Margin: Trend Engine projected 4.11-4.45; raw selected-side p=0.7042, calibrated p=0.6391.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3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mlb-phi</t>
        </is>
      </c>
      <c r="AQ253" s="24" t="inlineStr">
        <is>
          <t>Philadelphia Phillies</t>
        </is>
      </c>
      <c r="AR253" s="24" t="inlineStr">
        <is>
          <t>Philadelphia Phillies</t>
        </is>
      </c>
      <c r="AS253" s="24" t="inlineStr">
        <is>
          <t>mlb-stl</t>
        </is>
      </c>
      <c r="AT253" s="24" t="inlineStr">
        <is>
          <t>St. Louis Cardinals</t>
        </is>
      </c>
      <c r="AU253" s="24" t="inlineStr">
        <is>
          <t>St. Louis Cardinals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dd339a2eed50d7d83ab2127837995ddab82e879afd27f5414bb6c1f9cd60ba4c</t>
        </is>
      </c>
      <c r="BB253" s="24" t="inlineStr">
        <is>
          <t>flat_probability_shrinkage_toward_half</t>
        </is>
      </c>
      <c r="BC253" s="24" t="inlineStr">
        <is>
          <t>measured-edge-margin-v3</t>
        </is>
      </c>
      <c r="BD253" s="24" t="inlineStr">
        <is>
          <t>dd339a2eed50d7d83ab2127837995ddab82e879afd27f5414bb6c1f9cd60ba4c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2026-08-12T17:43:09.064761Z</t>
        </is>
      </c>
      <c r="BI253" s="24" t="inlineStr">
        <is>
          <t>["same_event","same_team_same_day","same_league_same_day"]</t>
        </is>
      </c>
      <c r="BJ253" s="25" t="n">
        <v>1.5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</row>
    <row r="254" ht="36" customHeight="1">
      <c r="A254" s="24" t="inlineStr">
        <is>
          <t>77f00f6203ca4fba</t>
        </is>
      </c>
      <c r="B254" s="24" t="inlineStr">
        <is>
          <t>2026-08-12T17:43:09.064761Z</t>
        </is>
      </c>
      <c r="C254" s="24" t="inlineStr">
        <is>
          <t>2026-08-12T18:15Z</t>
        </is>
      </c>
      <c r="D254" s="24" t="inlineStr">
        <is>
          <t>401816502</t>
        </is>
      </c>
      <c r="E254" s="24" t="inlineStr">
        <is>
          <t>MLB</t>
        </is>
      </c>
      <c r="F254" s="24" t="inlineStr">
        <is>
          <t>Philadelphia Phillies</t>
        </is>
      </c>
      <c r="G254" s="24" t="inlineStr">
        <is>
          <t>St. Louis Cardinals</t>
        </is>
      </c>
      <c r="H254" s="24" t="inlineStr">
        <is>
          <t>total</t>
        </is>
      </c>
      <c r="I254" s="24" t="inlineStr">
        <is>
          <t>over</t>
        </is>
      </c>
      <c r="J254" s="25" t="n">
        <v>7.5</v>
      </c>
      <c r="K254" s="24" t="inlineStr">
        <is>
          <t>polymarket_us</t>
        </is>
      </c>
      <c r="L254" s="26" t="n">
        <v>-115</v>
      </c>
      <c r="M254" s="27" t="n">
        <v>1.869565</v>
      </c>
      <c r="N254" s="28" t="n">
        <v>0.534884</v>
      </c>
      <c r="O254" s="28" t="n">
        <v>0.5196229999999999</v>
      </c>
      <c r="P254" s="28" t="n">
        <v>0.042131</v>
      </c>
      <c r="Q254" s="28" t="n">
        <v>-0.015261</v>
      </c>
      <c r="R254" s="26" t="n">
        <v>18</v>
      </c>
      <c r="S254" s="29" t="n">
        <v>1</v>
      </c>
      <c r="T254" s="24" t="inlineStr">
        <is>
          <t>measured-edge-totals-v3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7</v>
      </c>
      <c r="Y254" s="25" t="n">
        <v>7.5</v>
      </c>
      <c r="Z254" s="26" t="n">
        <v>-115</v>
      </c>
      <c r="AA254" s="28" t="n">
        <v>0.535</v>
      </c>
      <c r="AB254" s="28" t="n">
        <v>0.000116</v>
      </c>
      <c r="AC254" s="30" t="n">
        <v>0.8696</v>
      </c>
      <c r="AD254" s="24" t="inlineStr">
        <is>
          <t>2026-08-12T21:14:18.735133Z</t>
        </is>
      </c>
      <c r="AE254" s="31" t="inlineStr">
        <is>
          <t>Measured Edge Totals: Trend Engine projected 4.11-4.45; raw selected-side p=0.5556, calibrated p=0.5196.</t>
        </is>
      </c>
      <c r="AF254" s="31" t="inlineStr">
        <is>
          <t>Research-only; lineup, bullpen, park, weather, xFIP, and wRC+ may be neutral fallbacks; market availability and BBO depth may change before first pitch.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mlb-phi</t>
        </is>
      </c>
      <c r="AQ254" s="24" t="inlineStr">
        <is>
          <t>Philadelphia Phillies</t>
        </is>
      </c>
      <c r="AR254" s="24" t="inlineStr">
        <is>
          <t>Philadelphia Phillies</t>
        </is>
      </c>
      <c r="AS254" s="24" t="inlineStr">
        <is>
          <t>mlb-stl</t>
        </is>
      </c>
      <c r="AT254" s="24" t="inlineStr">
        <is>
          <t>St. Louis Cardinals</t>
        </is>
      </c>
      <c r="AU254" s="24" t="inlineStr">
        <is>
          <t>St. Louis Cardinals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95b84332c75d2ce54036eb8de6ada9c78d0f80228c50825c0347281a8b9b49c7</t>
        </is>
      </c>
      <c r="BB254" s="24" t="inlineStr">
        <is>
          <t>flat_probability_shrinkage_toward_half</t>
        </is>
      </c>
      <c r="BC254" s="24" t="inlineStr">
        <is>
          <t>measured-edge-totals-v3</t>
        </is>
      </c>
      <c r="BD254" s="24" t="inlineStr">
        <is>
          <t>95b84332c75d2ce54036eb8de6ada9c78d0f80228c50825c0347281a8b9b49c7</t>
        </is>
      </c>
      <c r="BE254" s="24" t="inlineStr">
        <is>
          <t>v3</t>
        </is>
      </c>
      <c r="BF254" s="24" t="inlineStr">
        <is>
          <t>1</t>
        </is>
      </c>
      <c r="BG254" s="24" t="inlineStr">
        <is>
          <t>measured-edge-paired-v1</t>
        </is>
      </c>
      <c r="BH254" s="24" t="inlineStr">
        <is>
          <t>2026-08-12T17:43:09.064761Z</t>
        </is>
      </c>
      <c r="BI254" s="24" t="inlineStr">
        <is>
          <t>["same_event","same_team_same_day","same_league_same_day"]</t>
        </is>
      </c>
      <c r="BJ254" s="25" t="n">
        <v>7.5</v>
      </c>
      <c r="BK254" s="26" t="n">
        <v>-115</v>
      </c>
      <c r="BL254" s="27" t="n">
        <v>1.869565</v>
      </c>
      <c r="BM254" s="28" t="n">
        <v>0.534884</v>
      </c>
      <c r="BN254" s="28" t="n">
        <v>0.532338</v>
      </c>
      <c r="BO254" s="28" t="n"/>
      <c r="BP254" s="25" t="n"/>
      <c r="BQ254" s="27" t="n">
        <v>1.869565</v>
      </c>
      <c r="BR254" s="28" t="n">
        <v>0.535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</row>
    <row r="255" ht="36" customHeight="1">
      <c r="A255" s="24" t="inlineStr">
        <is>
          <t>c48e5e0f74b74865</t>
        </is>
      </c>
      <c r="B255" s="24" t="inlineStr">
        <is>
          <t>2026-08-12T17:43:09.064761Z</t>
        </is>
      </c>
      <c r="C255" s="24" t="inlineStr">
        <is>
          <t>2026-08-12T19:05Z</t>
        </is>
      </c>
      <c r="D255" s="24" t="inlineStr">
        <is>
          <t>401816507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Athletics</t>
        </is>
      </c>
      <c r="H255" s="24" t="inlineStr">
        <is>
          <t>spread</t>
        </is>
      </c>
      <c r="I255" s="24" t="inlineStr">
        <is>
          <t>home</t>
        </is>
      </c>
      <c r="J255" s="25" t="n">
        <v>2.5</v>
      </c>
      <c r="K255" s="24" t="inlineStr">
        <is>
          <t>polymarket_us</t>
        </is>
      </c>
      <c r="L255" s="26" t="n">
        <v>-125</v>
      </c>
      <c r="M255" s="27" t="n">
        <v>1.8</v>
      </c>
      <c r="N255" s="28" t="n">
        <v>0.555556</v>
      </c>
      <c r="O255" s="28" t="n">
        <v>0.5823469999999999</v>
      </c>
      <c r="P255" s="28" t="n">
        <v>0.042131</v>
      </c>
      <c r="Q255" s="28" t="n">
        <v>0.026791</v>
      </c>
      <c r="R255" s="26" t="n">
        <v>40</v>
      </c>
      <c r="S255" s="29" t="n">
        <v>1.25</v>
      </c>
      <c r="T255" s="24" t="inlineStr">
        <is>
          <t>measured-edge-margin-v3</t>
        </is>
      </c>
      <c r="U255" s="24" t="inlineStr">
        <is>
          <t>settled</t>
        </is>
      </c>
      <c r="V255" s="24" t="inlineStr">
        <is>
          <t>loss</t>
        </is>
      </c>
      <c r="W255" s="26" t="n">
        <v>8</v>
      </c>
      <c r="X255" s="26" t="n">
        <v>4</v>
      </c>
      <c r="Y255" s="25" t="n">
        <v>2.5</v>
      </c>
      <c r="Z255" s="26" t="n">
        <v>-125</v>
      </c>
      <c r="AA255" s="28" t="n">
        <v>0.555</v>
      </c>
      <c r="AB255" s="28" t="n">
        <v>-0.000556</v>
      </c>
      <c r="AC255" s="30" t="n">
        <v>-1.25</v>
      </c>
      <c r="AD255" s="24" t="inlineStr">
        <is>
          <t>2026-08-13T05:31:50.472901Z</t>
        </is>
      </c>
      <c r="AE255" s="31" t="inlineStr">
        <is>
          <t>Measured Edge Margin: Trend Engine projected 5.63-4.05; raw selected-side p=0.6209, calibrated p=0.5823.</t>
        </is>
      </c>
      <c r="AF255" s="31" t="inlineStr">
        <is>
          <t>Research-only; lineup, bullpen, park, weather, xFIP, and wRC+ may be neutral fallbacks; market availability and BBO depth may change before first pitch.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mlb-ath</t>
        </is>
      </c>
      <c r="AT255" s="24" t="inlineStr">
        <is>
          <t>Athletics</t>
        </is>
      </c>
      <c r="AU255" s="24" t="inlineStr">
        <is>
          <t>Athletics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dd339a2eed50d7d83ab2127837995ddab82e879afd27f5414bb6c1f9cd60ba4c</t>
        </is>
      </c>
      <c r="BB255" s="24" t="inlineStr">
        <is>
          <t>flat_probability_shrinkage_toward_half</t>
        </is>
      </c>
      <c r="BC255" s="24" t="inlineStr">
        <is>
          <t>measured-edge-margin-v3</t>
        </is>
      </c>
      <c r="BD255" s="24" t="inlineStr">
        <is>
          <t>dd339a2eed50d7d83ab2127837995ddab82e879afd27f5414bb6c1f9cd60ba4c</t>
        </is>
      </c>
      <c r="BE255" s="24" t="inlineStr">
        <is>
          <t>v3</t>
        </is>
      </c>
      <c r="BF255" s="24" t="inlineStr">
        <is>
          <t>1</t>
        </is>
      </c>
      <c r="BG255" s="24" t="inlineStr">
        <is>
          <t>measured-edge-paired-v1</t>
        </is>
      </c>
      <c r="BH255" s="24" t="inlineStr">
        <is>
          <t>2026-08-12T17:43:09.064761Z</t>
        </is>
      </c>
      <c r="BI255" s="24" t="inlineStr">
        <is>
          <t>["same_event","same_team_same_day","same_league_same_day"]</t>
        </is>
      </c>
      <c r="BJ255" s="25" t="n">
        <v>2.5</v>
      </c>
      <c r="BK255" s="26" t="n">
        <v>-125</v>
      </c>
      <c r="BL255" s="27" t="n">
        <v>1.8</v>
      </c>
      <c r="BM255" s="28" t="n">
        <v>0.555556</v>
      </c>
      <c r="BN255" s="28" t="n">
        <v>0.552239</v>
      </c>
      <c r="BO255" s="28" t="n"/>
      <c r="BP255" s="25" t="n"/>
      <c r="BQ255" s="27" t="n">
        <v>1.8</v>
      </c>
      <c r="BR255" s="28" t="n">
        <v>0.555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</row>
    <row r="256" ht="36" customHeight="1">
      <c r="A256" s="24" t="inlineStr">
        <is>
          <t>a9f1c196ff7b4c8d</t>
        </is>
      </c>
      <c r="B256" s="24" t="inlineStr">
        <is>
          <t>2026-08-12T17:43:09.064761Z</t>
        </is>
      </c>
      <c r="C256" s="24" t="inlineStr">
        <is>
          <t>2026-08-12T19:05Z</t>
        </is>
      </c>
      <c r="D256" s="24" t="inlineStr">
        <is>
          <t>401816507</t>
        </is>
      </c>
      <c r="E256" s="24" t="inlineStr">
        <is>
          <t>MLB</t>
        </is>
      </c>
      <c r="F256" s="24" t="inlineStr">
        <is>
          <t>Tampa Bay Rays</t>
        </is>
      </c>
      <c r="G256" s="24" t="inlineStr">
        <is>
          <t>Athletics</t>
        </is>
      </c>
      <c r="H256" s="24" t="inlineStr">
        <is>
          <t>total</t>
        </is>
      </c>
      <c r="I256" s="24" t="inlineStr">
        <is>
          <t>under</t>
        </is>
      </c>
      <c r="J256" s="25" t="n">
        <v>9.5</v>
      </c>
      <c r="K256" s="24" t="inlineStr">
        <is>
          <t>polymarket_us</t>
        </is>
      </c>
      <c r="L256" s="26" t="n">
        <v>-113</v>
      </c>
      <c r="M256" s="27" t="n">
        <v>1.884956</v>
      </c>
      <c r="N256" s="28" t="n">
        <v>0.530516</v>
      </c>
      <c r="O256" s="28" t="n">
        <v>0.516891</v>
      </c>
      <c r="P256" s="28" t="n">
        <v>0.042131</v>
      </c>
      <c r="Q256" s="28" t="n">
        <v>-0.013625</v>
      </c>
      <c r="R256" s="26" t="n">
        <v>19</v>
      </c>
      <c r="S256" s="29" t="n">
        <v>1</v>
      </c>
      <c r="T256" s="24" t="inlineStr">
        <is>
          <t>measured-edge-totals-v3</t>
        </is>
      </c>
      <c r="U256" s="24" t="inlineStr">
        <is>
          <t>settled</t>
        </is>
      </c>
      <c r="V256" s="24" t="inlineStr">
        <is>
          <t>loss</t>
        </is>
      </c>
      <c r="W256" s="26" t="n">
        <v>8</v>
      </c>
      <c r="X256" s="26" t="n">
        <v>4</v>
      </c>
      <c r="Y256" s="25" t="n">
        <v>9.5</v>
      </c>
      <c r="Z256" s="26" t="n">
        <v>-113</v>
      </c>
      <c r="AA256" s="28" t="n">
        <v>0.53</v>
      </c>
      <c r="AB256" s="28" t="n">
        <v>-0.000516</v>
      </c>
      <c r="AC256" s="30" t="n">
        <v>-1</v>
      </c>
      <c r="AD256" s="24" t="inlineStr">
        <is>
          <t>2026-08-13T05:31:52.432893Z</t>
        </is>
      </c>
      <c r="AE256" s="31" t="inlineStr">
        <is>
          <t>Measured Edge Totals: Trend Engine projected 5.63-4.05; raw selected-side p=0.5446, calibrated p=0.5169.</t>
        </is>
      </c>
      <c r="AF256" s="31" t="inlineStr">
        <is>
          <t>Research-only; lineup, bullpen, park, weather, xFIP, and wRC+ may be neutral fallbacks; market availability and BBO depth may change before first pitch.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mlb-tb</t>
        </is>
      </c>
      <c r="AQ256" s="24" t="inlineStr">
        <is>
          <t>Tampa Bay Rays</t>
        </is>
      </c>
      <c r="AR256" s="24" t="inlineStr">
        <is>
          <t>Tampa Bay Rays</t>
        </is>
      </c>
      <c r="AS256" s="24" t="inlineStr">
        <is>
          <t>mlb-ath</t>
        </is>
      </c>
      <c r="AT256" s="24" t="inlineStr">
        <is>
          <t>Athletics</t>
        </is>
      </c>
      <c r="AU256" s="24" t="inlineStr">
        <is>
          <t>Athletics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95b84332c75d2ce54036eb8de6ada9c78d0f80228c50825c0347281a8b9b49c7</t>
        </is>
      </c>
      <c r="BB256" s="24" t="inlineStr">
        <is>
          <t>flat_probability_shrinkage_toward_half</t>
        </is>
      </c>
      <c r="BC256" s="24" t="inlineStr">
        <is>
          <t>measured-edge-totals-v3</t>
        </is>
      </c>
      <c r="BD256" s="24" t="inlineStr">
        <is>
          <t>95b84332c75d2ce54036eb8de6ada9c78d0f80228c50825c0347281a8b9b49c7</t>
        </is>
      </c>
      <c r="BE256" s="24" t="inlineStr">
        <is>
          <t>v3</t>
        </is>
      </c>
      <c r="BF256" s="24" t="inlineStr">
        <is>
          <t>1</t>
        </is>
      </c>
      <c r="BG256" s="24" t="inlineStr">
        <is>
          <t>measured-edge-paired-v1</t>
        </is>
      </c>
      <c r="BH256" s="24" t="inlineStr">
        <is>
          <t>2026-08-12T17:43:09.064761Z</t>
        </is>
      </c>
      <c r="BI256" s="24" t="inlineStr">
        <is>
          <t>["same_event","same_team_same_day","same_league_same_day"]</t>
        </is>
      </c>
      <c r="BJ256" s="25" t="n">
        <v>9.5</v>
      </c>
      <c r="BK256" s="26" t="n">
        <v>-113</v>
      </c>
      <c r="BL256" s="27" t="n">
        <v>1.884956</v>
      </c>
      <c r="BM256" s="28" t="n">
        <v>0.530516</v>
      </c>
      <c r="BN256" s="28" t="n">
        <v>0.527363</v>
      </c>
      <c r="BO256" s="28" t="n"/>
      <c r="BP256" s="25" t="n"/>
      <c r="BQ256" s="27" t="n">
        <v>1.884956</v>
      </c>
      <c r="BR256" s="28" t="n">
        <v>0.53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</row>
    <row r="257" ht="36" customHeight="1">
      <c r="A257" s="24" t="inlineStr">
        <is>
          <t>733aec2dd05d48f6</t>
        </is>
      </c>
      <c r="B257" s="24" t="inlineStr">
        <is>
          <t>2026-08-12T17:43:09.064761Z</t>
        </is>
      </c>
      <c r="C257" s="24" t="inlineStr">
        <is>
          <t>2026-08-12T19:40Z</t>
        </is>
      </c>
      <c r="D257" s="24" t="inlineStr">
        <is>
          <t>401816503</t>
        </is>
      </c>
      <c r="E257" s="24" t="inlineStr">
        <is>
          <t>MLB</t>
        </is>
      </c>
      <c r="F257" s="24" t="inlineStr">
        <is>
          <t>Colorado Rockies</t>
        </is>
      </c>
      <c r="G257" s="24" t="inlineStr">
        <is>
          <t>Arizona Diamondbacks</t>
        </is>
      </c>
      <c r="H257" s="24" t="inlineStr">
        <is>
          <t>spread</t>
        </is>
      </c>
      <c r="I257" s="24" t="inlineStr">
        <is>
          <t>away</t>
        </is>
      </c>
      <c r="J257" s="25" t="n">
        <v>1.5</v>
      </c>
      <c r="K257" s="24" t="inlineStr">
        <is>
          <t>polymarket_us</t>
        </is>
      </c>
      <c r="L257" s="26" t="n">
        <v>-125</v>
      </c>
      <c r="M257" s="27" t="n">
        <v>1.8</v>
      </c>
      <c r="N257" s="28" t="n">
        <v>0.555556</v>
      </c>
      <c r="O257" s="28" t="n">
        <v>0.549265</v>
      </c>
      <c r="P257" s="28" t="n">
        <v>0.042131</v>
      </c>
      <c r="Q257" s="28" t="n">
        <v>-0.006291</v>
      </c>
      <c r="R257" s="26" t="n">
        <v>23</v>
      </c>
      <c r="S257" s="29" t="n">
        <v>1</v>
      </c>
      <c r="T257" s="24" t="inlineStr">
        <is>
          <t>measured-edge-margin-v3</t>
        </is>
      </c>
      <c r="U257" s="24" t="inlineStr">
        <is>
          <t>settled</t>
        </is>
      </c>
      <c r="V257" s="24" t="inlineStr">
        <is>
          <t>win</t>
        </is>
      </c>
      <c r="W257" s="26" t="n">
        <v>6</v>
      </c>
      <c r="X257" s="26" t="n">
        <v>4</v>
      </c>
      <c r="Y257" s="25" t="n">
        <v>1.5</v>
      </c>
      <c r="Z257" s="26" t="n">
        <v>-125</v>
      </c>
      <c r="AA257" s="28" t="n">
        <v>0.555</v>
      </c>
      <c r="AB257" s="28" t="n">
        <v>-0.000556</v>
      </c>
      <c r="AC257" s="30" t="n">
        <v>0.8</v>
      </c>
      <c r="AD257" s="24" t="inlineStr">
        <is>
          <t>2026-08-13T05:31:57.275891Z</t>
        </is>
      </c>
      <c r="AE257" s="31" t="inlineStr">
        <is>
          <t>Measured Edge Margin: Trend Engine projected 4.60-5.56; raw selected-side p=0.5723, calibrated p=0.5493.</t>
        </is>
      </c>
      <c r="AF257" s="31" t="inlineStr">
        <is>
          <t>Research-only; lineup, bullpen, park, weather, xFIP, and wRC+ may be neutral fallbacks; market availability and BBO depth may change before first pitch.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mlb-col</t>
        </is>
      </c>
      <c r="AQ257" s="24" t="inlineStr">
        <is>
          <t>Colorado Rockies</t>
        </is>
      </c>
      <c r="AR257" s="24" t="inlineStr">
        <is>
          <t>Colorado Rockies</t>
        </is>
      </c>
      <c r="AS257" s="24" t="inlineStr">
        <is>
          <t>mlb-ari</t>
        </is>
      </c>
      <c r="AT257" s="24" t="inlineStr">
        <is>
          <t>Arizona Diamondbacks</t>
        </is>
      </c>
      <c r="AU257" s="24" t="inlineStr">
        <is>
          <t>Arizona Diamondbacks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dd339a2eed50d7d83ab2127837995ddab82e879afd27f5414bb6c1f9cd60ba4c</t>
        </is>
      </c>
      <c r="BB257" s="24" t="inlineStr">
        <is>
          <t>flat_probability_shrinkage_toward_half</t>
        </is>
      </c>
      <c r="BC257" s="24" t="inlineStr">
        <is>
          <t>measured-edge-margin-v3</t>
        </is>
      </c>
      <c r="BD257" s="24" t="inlineStr">
        <is>
          <t>dd339a2eed50d7d83ab2127837995ddab82e879afd27f5414bb6c1f9cd60ba4c</t>
        </is>
      </c>
      <c r="BE257" s="24" t="inlineStr">
        <is>
          <t>v3</t>
        </is>
      </c>
      <c r="BF257" s="24" t="inlineStr">
        <is>
          <t>1</t>
        </is>
      </c>
      <c r="BG257" s="24" t="inlineStr">
        <is>
          <t>measured-edge-paired-v1</t>
        </is>
      </c>
      <c r="BH257" s="24" t="inlineStr">
        <is>
          <t>2026-08-12T17:43:09.064761Z</t>
        </is>
      </c>
      <c r="BI257" s="24" t="inlineStr">
        <is>
          <t>["same_event","same_team_same_day","same_league_same_day"]</t>
        </is>
      </c>
      <c r="BJ257" s="25" t="n">
        <v>1.5</v>
      </c>
      <c r="BK257" s="26" t="n">
        <v>-125</v>
      </c>
      <c r="BL257" s="27" t="n">
        <v>1.8</v>
      </c>
      <c r="BM257" s="28" t="n">
        <v>0.555556</v>
      </c>
      <c r="BN257" s="28" t="n">
        <v>0.552239</v>
      </c>
      <c r="BO257" s="28" t="n"/>
      <c r="BP257" s="25" t="n"/>
      <c r="BQ257" s="27" t="n">
        <v>1.8</v>
      </c>
      <c r="BR257" s="28" t="n">
        <v>0.555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</row>
    <row r="258" ht="36" customHeight="1">
      <c r="A258" s="24" t="inlineStr">
        <is>
          <t>6b71d79a88d14af8</t>
        </is>
      </c>
      <c r="B258" s="24" t="inlineStr">
        <is>
          <t>2026-08-12T17:43:09.064761Z</t>
        </is>
      </c>
      <c r="C258" s="24" t="inlineStr">
        <is>
          <t>2026-08-12T19:40Z</t>
        </is>
      </c>
      <c r="D258" s="24" t="inlineStr">
        <is>
          <t>401816503</t>
        </is>
      </c>
      <c r="E258" s="24" t="inlineStr">
        <is>
          <t>MLB</t>
        </is>
      </c>
      <c r="F258" s="24" t="inlineStr">
        <is>
          <t>Colorado Rockies</t>
        </is>
      </c>
      <c r="G258" s="24" t="inlineStr">
        <is>
          <t>Arizona Diamondbacks</t>
        </is>
      </c>
      <c r="H258" s="24" t="inlineStr">
        <is>
          <t>total</t>
        </is>
      </c>
      <c r="I258" s="24" t="inlineStr">
        <is>
          <t>under</t>
        </is>
      </c>
      <c r="J258" s="25" t="n">
        <v>9.5</v>
      </c>
      <c r="K258" s="24" t="inlineStr">
        <is>
          <t>polymarket_us</t>
        </is>
      </c>
      <c r="L258" s="26" t="n">
        <v>-117</v>
      </c>
      <c r="M258" s="27" t="n">
        <v>1.854701</v>
      </c>
      <c r="N258" s="28" t="n">
        <v>0.539171</v>
      </c>
      <c r="O258" s="28" t="n">
        <v>0.50657</v>
      </c>
      <c r="P258" s="28" t="n">
        <v>0.042131</v>
      </c>
      <c r="Q258" s="28" t="n">
        <v>-0.032601</v>
      </c>
      <c r="R258" s="26" t="n">
        <v>9</v>
      </c>
      <c r="S258" s="29" t="n">
        <v>1</v>
      </c>
      <c r="T258" s="24" t="inlineStr">
        <is>
          <t>measured-edge-totals-v3</t>
        </is>
      </c>
      <c r="U258" s="24" t="inlineStr">
        <is>
          <t>settled</t>
        </is>
      </c>
      <c r="V258" s="24" t="inlineStr">
        <is>
          <t>loss</t>
        </is>
      </c>
      <c r="W258" s="26" t="n">
        <v>6</v>
      </c>
      <c r="X258" s="26" t="n">
        <v>4</v>
      </c>
      <c r="Y258" s="25" t="n">
        <v>9.5</v>
      </c>
      <c r="Z258" s="26" t="n">
        <v>-117</v>
      </c>
      <c r="AA258" s="28" t="n">
        <v>0.54</v>
      </c>
      <c r="AB258" s="28" t="n">
        <v>0.000829</v>
      </c>
      <c r="AC258" s="30" t="n">
        <v>-1</v>
      </c>
      <c r="AD258" s="24" t="inlineStr">
        <is>
          <t>2026-08-13T05:31:59.651460Z</t>
        </is>
      </c>
      <c r="AE258" s="31" t="inlineStr">
        <is>
          <t>Measured Edge Totals: Trend Engine projected 4.60-5.56; raw selected-side p=0.5031, calibrated p=0.5066.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mlb-col</t>
        </is>
      </c>
      <c r="AQ258" s="24" t="inlineStr">
        <is>
          <t>Colorado Rockies</t>
        </is>
      </c>
      <c r="AR258" s="24" t="inlineStr">
        <is>
          <t>Colorado Rockies</t>
        </is>
      </c>
      <c r="AS258" s="24" t="inlineStr">
        <is>
          <t>mlb-ari</t>
        </is>
      </c>
      <c r="AT258" s="24" t="inlineStr">
        <is>
          <t>Arizona Diamondbacks</t>
        </is>
      </c>
      <c r="AU258" s="24" t="inlineStr">
        <is>
          <t>Arizona Diamondbacks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95b84332c75d2ce54036eb8de6ada9c78d0f80228c50825c0347281a8b9b49c7</t>
        </is>
      </c>
      <c r="BB258" s="24" t="inlineStr">
        <is>
          <t>flat_probability_shrinkage_toward_half</t>
        </is>
      </c>
      <c r="BC258" s="24" t="inlineStr">
        <is>
          <t>measured-edge-totals-v3</t>
        </is>
      </c>
      <c r="BD258" s="24" t="inlineStr">
        <is>
          <t>95b84332c75d2ce54036eb8de6ada9c78d0f80228c50825c0347281a8b9b49c7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2026-08-12T17:43:09.064761Z</t>
        </is>
      </c>
      <c r="BI258" s="24" t="inlineStr">
        <is>
          <t>["same_event","same_team_same_day","same_league_same_day"]</t>
        </is>
      </c>
      <c r="BJ258" s="25" t="n">
        <v>9.5</v>
      </c>
      <c r="BK258" s="26" t="n">
        <v>-117</v>
      </c>
      <c r="BL258" s="27" t="n">
        <v>1.854701</v>
      </c>
      <c r="BM258" s="28" t="n">
        <v>0.539171</v>
      </c>
      <c r="BN258" s="28" t="n">
        <v>0.537313</v>
      </c>
      <c r="BO258" s="28" t="n"/>
      <c r="BP258" s="25" t="n"/>
      <c r="BQ258" s="27" t="n">
        <v>1.854701</v>
      </c>
      <c r="BR258" s="28" t="n">
        <v>0.54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</row>
    <row r="259" ht="36" customHeight="1">
      <c r="A259" s="24" t="inlineStr">
        <is>
          <t>9f0007cc2ae9468d</t>
        </is>
      </c>
      <c r="B259" s="24" t="inlineStr">
        <is>
          <t>2026-08-12T17:43:09.064761Z</t>
        </is>
      </c>
      <c r="C259" s="24" t="inlineStr">
        <is>
          <t>2026-08-12T19:45Z</t>
        </is>
      </c>
      <c r="D259" s="24" t="inlineStr">
        <is>
          <t>401816504</t>
        </is>
      </c>
      <c r="E259" s="24" t="inlineStr">
        <is>
          <t>MLB</t>
        </is>
      </c>
      <c r="F259" s="24" t="inlineStr">
        <is>
          <t>Houston Astros</t>
        </is>
      </c>
      <c r="G259" s="24" t="inlineStr">
        <is>
          <t>San Francisco Giants</t>
        </is>
      </c>
      <c r="H259" s="24" t="inlineStr">
        <is>
          <t>spread</t>
        </is>
      </c>
      <c r="I259" s="24" t="inlineStr">
        <is>
          <t>home</t>
        </is>
      </c>
      <c r="J259" s="25" t="n">
        <v>1.5</v>
      </c>
      <c r="K259" s="24" t="inlineStr">
        <is>
          <t>polymarket_us</t>
        </is>
      </c>
      <c r="L259" s="26" t="n">
        <v>-122</v>
      </c>
      <c r="M259" s="27" t="n">
        <v>1.819672</v>
      </c>
      <c r="N259" s="28" t="n">
        <v>0.54955</v>
      </c>
      <c r="O259" s="28" t="n">
        <v>0.627354</v>
      </c>
      <c r="P259" s="28" t="n">
        <v>0.042131</v>
      </c>
      <c r="Q259" s="28" t="n">
        <v>0.077804</v>
      </c>
      <c r="R259" s="26" t="n">
        <v>65</v>
      </c>
      <c r="S259" s="29" t="n">
        <v>1.5</v>
      </c>
      <c r="T259" s="24" t="inlineStr">
        <is>
          <t>measured-edge-margin-v3</t>
        </is>
      </c>
      <c r="U259" s="24" t="inlineStr">
        <is>
          <t>settled</t>
        </is>
      </c>
      <c r="V259" s="24" t="inlineStr">
        <is>
          <t>win</t>
        </is>
      </c>
      <c r="W259" s="26" t="n">
        <v>2</v>
      </c>
      <c r="X259" s="26" t="n">
        <v>1</v>
      </c>
      <c r="Y259" s="25" t="n">
        <v>1.5</v>
      </c>
      <c r="Z259" s="26" t="n">
        <v>-122</v>
      </c>
      <c r="AA259" s="28" t="n">
        <v>0.55</v>
      </c>
      <c r="AB259" s="28" t="n">
        <v>0.00045</v>
      </c>
      <c r="AC259" s="30" t="n">
        <v>1.2295</v>
      </c>
      <c r="AD259" s="24" t="inlineStr">
        <is>
          <t>2026-08-13T05:32:01.393575Z</t>
        </is>
      </c>
      <c r="AE259" s="31" t="inlineStr">
        <is>
          <t>Measured Edge Margin: Trend Engine projected 4.43-4.63; raw selected-side p=0.6869, calibrated p=0.6274.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3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mlb-hou</t>
        </is>
      </c>
      <c r="AQ259" s="24" t="inlineStr">
        <is>
          <t>Houston Astros</t>
        </is>
      </c>
      <c r="AR259" s="24" t="inlineStr">
        <is>
          <t>Houston Astros</t>
        </is>
      </c>
      <c r="AS259" s="24" t="inlineStr">
        <is>
          <t>mlb-sf</t>
        </is>
      </c>
      <c r="AT259" s="24" t="inlineStr">
        <is>
          <t>San Francisco Giants</t>
        </is>
      </c>
      <c r="AU259" s="24" t="inlineStr">
        <is>
          <t>San Francisco Giants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dd339a2eed50d7d83ab2127837995ddab82e879afd27f5414bb6c1f9cd60ba4c</t>
        </is>
      </c>
      <c r="BB259" s="24" t="inlineStr">
        <is>
          <t>flat_probability_shrinkage_toward_half</t>
        </is>
      </c>
      <c r="BC259" s="24" t="inlineStr">
        <is>
          <t>measured-edge-margin-v3</t>
        </is>
      </c>
      <c r="BD259" s="24" t="inlineStr">
        <is>
          <t>dd339a2eed50d7d83ab2127837995ddab82e879afd27f5414bb6c1f9cd60ba4c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2026-08-12T17:43:09.064761Z</t>
        </is>
      </c>
      <c r="BI259" s="24" t="inlineStr">
        <is>
          <t>["same_event","same_team_same_day","same_league_same_day"]</t>
        </is>
      </c>
      <c r="BJ259" s="25" t="n">
        <v>1.5</v>
      </c>
      <c r="BK259" s="26" t="n">
        <v>-122</v>
      </c>
      <c r="BL259" s="27" t="n">
        <v>1.819672</v>
      </c>
      <c r="BM259" s="28" t="n">
        <v>0.54955</v>
      </c>
      <c r="BN259" s="28" t="n">
        <v>0.547264</v>
      </c>
      <c r="BO259" s="28" t="n"/>
      <c r="BP259" s="25" t="n"/>
      <c r="BQ259" s="27" t="n">
        <v>1.819672</v>
      </c>
      <c r="BR259" s="28" t="n">
        <v>0.55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</row>
    <row r="260" ht="36" customHeight="1">
      <c r="A260" s="24" t="inlineStr">
        <is>
          <t>8c94257c744b4dc9</t>
        </is>
      </c>
      <c r="B260" s="24" t="inlineStr">
        <is>
          <t>2026-08-12T17:43:09.064761Z</t>
        </is>
      </c>
      <c r="C260" s="24" t="inlineStr">
        <is>
          <t>2026-08-12T19:45Z</t>
        </is>
      </c>
      <c r="D260" s="24" t="inlineStr">
        <is>
          <t>401816504</t>
        </is>
      </c>
      <c r="E260" s="24" t="inlineStr">
        <is>
          <t>MLB</t>
        </is>
      </c>
      <c r="F260" s="24" t="inlineStr">
        <is>
          <t>Houston Astros</t>
        </is>
      </c>
      <c r="G260" s="24" t="inlineStr">
        <is>
          <t>San Francisco Giants</t>
        </is>
      </c>
      <c r="H260" s="24" t="inlineStr">
        <is>
          <t>total</t>
        </is>
      </c>
      <c r="I260" s="24" t="inlineStr">
        <is>
          <t>over</t>
        </is>
      </c>
      <c r="J260" s="25" t="n">
        <v>8.5</v>
      </c>
      <c r="K260" s="24" t="inlineStr">
        <is>
          <t>polymarket_us</t>
        </is>
      </c>
      <c r="L260" s="26" t="n">
        <v>106</v>
      </c>
      <c r="M260" s="27" t="n">
        <v>2.06</v>
      </c>
      <c r="N260" s="28" t="n">
        <v>0.485437</v>
      </c>
      <c r="O260" s="28" t="n">
        <v>0.511153</v>
      </c>
      <c r="P260" s="28" t="n">
        <v>0.042131</v>
      </c>
      <c r="Q260" s="28" t="n">
        <v>0.025716</v>
      </c>
      <c r="R260" s="26" t="n">
        <v>39</v>
      </c>
      <c r="S260" s="29" t="n">
        <v>1</v>
      </c>
      <c r="T260" s="24" t="inlineStr">
        <is>
          <t>measured-edge-totals-v3</t>
        </is>
      </c>
      <c r="U260" s="24" t="inlineStr">
        <is>
          <t>settled</t>
        </is>
      </c>
      <c r="V260" s="24" t="inlineStr">
        <is>
          <t>loss</t>
        </is>
      </c>
      <c r="W260" s="26" t="n">
        <v>2</v>
      </c>
      <c r="X260" s="26" t="n">
        <v>1</v>
      </c>
      <c r="Y260" s="25" t="n">
        <v>8.5</v>
      </c>
      <c r="Z260" s="26" t="n">
        <v>106</v>
      </c>
      <c r="AA260" s="28" t="n">
        <v>0.485</v>
      </c>
      <c r="AB260" s="28" t="n">
        <v>-0.000437</v>
      </c>
      <c r="AC260" s="30" t="n">
        <v>-1</v>
      </c>
      <c r="AD260" s="24" t="inlineStr">
        <is>
          <t>2026-08-13T05:32:03.119572Z</t>
        </is>
      </c>
      <c r="AE260" s="31" t="inlineStr">
        <is>
          <t>Measured Edge Totals: Trend Engine projected 4.43-4.63; raw selected-side p=0.5215, calibrated p=0.5112.</t>
        </is>
      </c>
      <c r="AF260" s="31" t="inlineStr">
        <is>
          <t>Research-only; lineup, bullpen, park, weather, xFIP, and wRC+ may be neutral fallbacks; market availability and BBO depth may change before first pitch.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3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mlb-hou</t>
        </is>
      </c>
      <c r="AQ260" s="24" t="inlineStr">
        <is>
          <t>Houston Astros</t>
        </is>
      </c>
      <c r="AR260" s="24" t="inlineStr">
        <is>
          <t>Houston Astros</t>
        </is>
      </c>
      <c r="AS260" s="24" t="inlineStr">
        <is>
          <t>mlb-sf</t>
        </is>
      </c>
      <c r="AT260" s="24" t="inlineStr">
        <is>
          <t>San Francisco Giants</t>
        </is>
      </c>
      <c r="AU260" s="24" t="inlineStr">
        <is>
          <t>San Francisco Giants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95b84332c75d2ce54036eb8de6ada9c78d0f80228c50825c0347281a8b9b49c7</t>
        </is>
      </c>
      <c r="BB260" s="24" t="inlineStr">
        <is>
          <t>flat_probability_shrinkage_toward_half</t>
        </is>
      </c>
      <c r="BC260" s="24" t="inlineStr">
        <is>
          <t>measured-edge-totals-v3</t>
        </is>
      </c>
      <c r="BD260" s="24" t="inlineStr">
        <is>
          <t>95b84332c75d2ce54036eb8de6ada9c78d0f80228c50825c0347281a8b9b49c7</t>
        </is>
      </c>
      <c r="BE260" s="24" t="inlineStr">
        <is>
          <t>v3</t>
        </is>
      </c>
      <c r="BF260" s="24" t="inlineStr">
        <is>
          <t>1</t>
        </is>
      </c>
      <c r="BG260" s="24" t="inlineStr">
        <is>
          <t>measured-edge-paired-v1</t>
        </is>
      </c>
      <c r="BH260" s="24" t="inlineStr">
        <is>
          <t>2026-08-12T17:43:09.064761Z</t>
        </is>
      </c>
      <c r="BI260" s="24" t="inlineStr">
        <is>
          <t>["same_event","same_team_same_day","same_league_same_day"]</t>
        </is>
      </c>
      <c r="BJ260" s="25" t="n">
        <v>8.5</v>
      </c>
      <c r="BK260" s="26" t="n">
        <v>106</v>
      </c>
      <c r="BL260" s="27" t="n">
        <v>2.06</v>
      </c>
      <c r="BM260" s="28" t="n">
        <v>0.485437</v>
      </c>
      <c r="BN260" s="28" t="n">
        <v>0.482587</v>
      </c>
      <c r="BO260" s="28" t="n"/>
      <c r="BP260" s="25" t="n"/>
      <c r="BQ260" s="27" t="n">
        <v>2.06</v>
      </c>
      <c r="BR260" s="28" t="n">
        <v>0.485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</row>
    <row r="261" ht="36" customHeight="1">
      <c r="A261" s="24" t="inlineStr">
        <is>
          <t>c61e1ba29bfb4bb3</t>
        </is>
      </c>
      <c r="B261" s="24" t="inlineStr">
        <is>
          <t>2026-08-12T17:43:09.064761Z</t>
        </is>
      </c>
      <c r="C261" s="24" t="inlineStr">
        <is>
          <t>2026-08-12T20:10Z</t>
        </is>
      </c>
      <c r="D261" s="24" t="inlineStr">
        <is>
          <t>401816506</t>
        </is>
      </c>
      <c r="E261" s="24" t="inlineStr">
        <is>
          <t>MLB</t>
        </is>
      </c>
      <c r="F261" s="24" t="inlineStr">
        <is>
          <t>Milwaukee Brewers</t>
        </is>
      </c>
      <c r="G261" s="24" t="inlineStr">
        <is>
          <t>San Diego Padres</t>
        </is>
      </c>
      <c r="H261" s="24" t="inlineStr">
        <is>
          <t>spread</t>
        </is>
      </c>
      <c r="I261" s="24" t="inlineStr">
        <is>
          <t>home</t>
        </is>
      </c>
      <c r="J261" s="25" t="n">
        <v>1.5</v>
      </c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0.650726</v>
      </c>
      <c r="P261" s="28" t="n">
        <v>0.042131</v>
      </c>
      <c r="Q261" s="28" t="n">
        <v>0.045983</v>
      </c>
      <c r="R261" s="26" t="n">
        <v>49</v>
      </c>
      <c r="S261" s="29" t="n">
        <v>1.75</v>
      </c>
      <c r="T261" s="24" t="inlineStr">
        <is>
          <t>measured-edge-margin-v3</t>
        </is>
      </c>
      <c r="U261" s="24" t="inlineStr">
        <is>
          <t>settled</t>
        </is>
      </c>
      <c r="V261" s="24" t="inlineStr">
        <is>
          <t>win</t>
        </is>
      </c>
      <c r="W261" s="26" t="n">
        <v>3</v>
      </c>
      <c r="X261" s="26" t="n">
        <v>4</v>
      </c>
      <c r="Y261" s="25" t="n">
        <v>1.5</v>
      </c>
      <c r="Z261" s="26" t="n">
        <v>-153</v>
      </c>
      <c r="AA261" s="28" t="n">
        <v>0.605</v>
      </c>
      <c r="AB261" s="28" t="n">
        <v>0.000257</v>
      </c>
      <c r="AC261" s="30" t="n">
        <v>1.1438</v>
      </c>
      <c r="AD261" s="24" t="inlineStr">
        <is>
          <t>2026-08-13T05:32:04.896405Z</t>
        </is>
      </c>
      <c r="AE261" s="31" t="inlineStr">
        <is>
          <t>Measured Edge Margin: Trend Engine projected 4.05-4.52; raw selected-side p=0.7212, calibrated p=0.6507.</t>
        </is>
      </c>
      <c r="AF261" s="31" t="inlineStr">
        <is>
          <t>Research-only; lineup, bullpen, park, weather, xFIP, and wRC+ may be neutral fallbacks; market availability and BBO depth may change before first pitch.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mlb-mil</t>
        </is>
      </c>
      <c r="AQ261" s="24" t="inlineStr">
        <is>
          <t>Milwaukee Brewers</t>
        </is>
      </c>
      <c r="AR261" s="24" t="inlineStr">
        <is>
          <t>Milwaukee Brewers</t>
        </is>
      </c>
      <c r="AS261" s="24" t="inlineStr">
        <is>
          <t>mlb-sd</t>
        </is>
      </c>
      <c r="AT261" s="24" t="inlineStr">
        <is>
          <t>San Diego Padres</t>
        </is>
      </c>
      <c r="AU261" s="24" t="inlineStr">
        <is>
          <t>San Diego Padres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dd339a2eed50d7d83ab2127837995ddab82e879afd27f5414bb6c1f9cd60ba4c</t>
        </is>
      </c>
      <c r="BB261" s="24" t="inlineStr">
        <is>
          <t>flat_probability_shrinkage_toward_half</t>
        </is>
      </c>
      <c r="BC261" s="24" t="inlineStr">
        <is>
          <t>measured-edge-margin-v3</t>
        </is>
      </c>
      <c r="BD261" s="24" t="inlineStr">
        <is>
          <t>dd339a2eed50d7d83ab2127837995ddab82e879afd27f5414bb6c1f9cd60ba4c</t>
        </is>
      </c>
      <c r="BE261" s="24" t="inlineStr">
        <is>
          <t>v3</t>
        </is>
      </c>
      <c r="BF261" s="24" t="inlineStr">
        <is>
          <t>1</t>
        </is>
      </c>
      <c r="BG261" s="24" t="inlineStr">
        <is>
          <t>measured-edge-paired-v1</t>
        </is>
      </c>
      <c r="BH261" s="24" t="inlineStr">
        <is>
          <t>2026-08-12T17:43:09.064761Z</t>
        </is>
      </c>
      <c r="BI261" s="24" t="inlineStr">
        <is>
          <t>["same_event","same_team_same_day","same_league_same_day"]</t>
        </is>
      </c>
      <c r="BJ261" s="25" t="n">
        <v>1.5</v>
      </c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</row>
    <row r="262" ht="36" customHeight="1">
      <c r="A262" s="24" t="inlineStr">
        <is>
          <t>489638a2b32449dd</t>
        </is>
      </c>
      <c r="B262" s="24" t="inlineStr">
        <is>
          <t>2026-08-12T17:43:09.064761Z</t>
        </is>
      </c>
      <c r="C262" s="24" t="inlineStr">
        <is>
          <t>2026-08-12T20:10Z</t>
        </is>
      </c>
      <c r="D262" s="24" t="inlineStr">
        <is>
          <t>401816506</t>
        </is>
      </c>
      <c r="E262" s="24" t="inlineStr">
        <is>
          <t>MLB</t>
        </is>
      </c>
      <c r="F262" s="24" t="inlineStr">
        <is>
          <t>Milwaukee Brewers</t>
        </is>
      </c>
      <c r="G262" s="24" t="inlineStr">
        <is>
          <t>San Diego Padres</t>
        </is>
      </c>
      <c r="H262" s="24" t="inlineStr">
        <is>
          <t>total</t>
        </is>
      </c>
      <c r="I262" s="24" t="inlineStr">
        <is>
          <t>under</t>
        </is>
      </c>
      <c r="J262" s="25" t="n">
        <v>8.5</v>
      </c>
      <c r="K262" s="24" t="inlineStr">
        <is>
          <t>polymarket_us</t>
        </is>
      </c>
      <c r="L262" s="26" t="n">
        <v>-115</v>
      </c>
      <c r="M262" s="27" t="n">
        <v>1.869565</v>
      </c>
      <c r="N262" s="28" t="n">
        <v>0.534884</v>
      </c>
      <c r="O262" s="28" t="n">
        <v>0.512643</v>
      </c>
      <c r="P262" s="28" t="n">
        <v>0.042131</v>
      </c>
      <c r="Q262" s="28" t="n">
        <v>-0.022241</v>
      </c>
      <c r="R262" s="26" t="n">
        <v>15</v>
      </c>
      <c r="S262" s="29" t="n">
        <v>1</v>
      </c>
      <c r="T262" s="24" t="inlineStr">
        <is>
          <t>measured-edge-totals-v3</t>
        </is>
      </c>
      <c r="U262" s="24" t="inlineStr">
        <is>
          <t>settled</t>
        </is>
      </c>
      <c r="V262" s="24" t="inlineStr">
        <is>
          <t>win</t>
        </is>
      </c>
      <c r="W262" s="26" t="n">
        <v>3</v>
      </c>
      <c r="X262" s="26" t="n">
        <v>4</v>
      </c>
      <c r="Y262" s="25" t="n">
        <v>8.5</v>
      </c>
      <c r="Z262" s="26" t="n">
        <v>-115</v>
      </c>
      <c r="AA262" s="28" t="n">
        <v>0.535</v>
      </c>
      <c r="AB262" s="28" t="n">
        <v>0.000116</v>
      </c>
      <c r="AC262" s="30" t="n">
        <v>0.8696</v>
      </c>
      <c r="AD262" s="24" t="inlineStr">
        <is>
          <t>2026-08-13T05:32:06.671218Z</t>
        </is>
      </c>
      <c r="AE262" s="31" t="inlineStr">
        <is>
          <t>Measured Edge Totals: Trend Engine projected 4.05-4.52; raw selected-side p=0.5275, calibrated p=0.5126.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mlb-mil</t>
        </is>
      </c>
      <c r="AQ262" s="24" t="inlineStr">
        <is>
          <t>Milwaukee Brewers</t>
        </is>
      </c>
      <c r="AR262" s="24" t="inlineStr">
        <is>
          <t>Milwaukee Brewers</t>
        </is>
      </c>
      <c r="AS262" s="24" t="inlineStr">
        <is>
          <t>mlb-sd</t>
        </is>
      </c>
      <c r="AT262" s="24" t="inlineStr">
        <is>
          <t>San Diego Padres</t>
        </is>
      </c>
      <c r="AU262" s="24" t="inlineStr">
        <is>
          <t>San Diego Padres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95b84332c75d2ce54036eb8de6ada9c78d0f80228c50825c0347281a8b9b49c7</t>
        </is>
      </c>
      <c r="BB262" s="24" t="inlineStr">
        <is>
          <t>flat_probability_shrinkage_toward_half</t>
        </is>
      </c>
      <c r="BC262" s="24" t="inlineStr">
        <is>
          <t>measured-edge-totals-v3</t>
        </is>
      </c>
      <c r="BD262" s="24" t="inlineStr">
        <is>
          <t>95b84332c75d2ce54036eb8de6ada9c78d0f80228c50825c0347281a8b9b49c7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2026-08-12T17:43:09.064761Z</t>
        </is>
      </c>
      <c r="BI262" s="24" t="inlineStr">
        <is>
          <t>["same_event","same_team_same_day","same_league_same_day"]</t>
        </is>
      </c>
      <c r="BJ262" s="25" t="n">
        <v>8.5</v>
      </c>
      <c r="BK262" s="26" t="n">
        <v>-115</v>
      </c>
      <c r="BL262" s="27" t="n">
        <v>1.869565</v>
      </c>
      <c r="BM262" s="28" t="n">
        <v>0.534884</v>
      </c>
      <c r="BN262" s="28" t="n">
        <v>0.532338</v>
      </c>
      <c r="BO262" s="28" t="n"/>
      <c r="BP262" s="25" t="n"/>
      <c r="BQ262" s="27" t="n">
        <v>1.869565</v>
      </c>
      <c r="BR262" s="28" t="n">
        <v>0.535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</row>
    <row r="263" ht="36" customHeight="1">
      <c r="A263" s="24" t="inlineStr">
        <is>
          <t>c98a00021404443f</t>
        </is>
      </c>
      <c r="B263" s="24" t="inlineStr">
        <is>
          <t>2026-08-12T21:16:50.725033Z</t>
        </is>
      </c>
      <c r="C263" s="24" t="inlineStr">
        <is>
          <t>2026-08-12T18:40:00-0400</t>
        </is>
      </c>
      <c r="D263" s="24" t="inlineStr">
        <is>
          <t>401816496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Detroit Tigers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-120</v>
      </c>
      <c r="M263" s="27" t="n">
        <v>1.833333</v>
      </c>
      <c r="N263" s="28" t="n">
        <v>0.545455</v>
      </c>
      <c r="O263" s="28" t="n">
        <v>0.559814</v>
      </c>
      <c r="P263" s="28" t="n"/>
      <c r="Q263" s="28" t="n">
        <v>0.014359</v>
      </c>
      <c r="R263" s="26" t="n">
        <v>29</v>
      </c>
      <c r="S263" s="29" t="n">
        <v>1</v>
      </c>
      <c r="T263" s="24" t="inlineStr">
        <is>
          <t>mlb-elo-trend-lr-v8</t>
        </is>
      </c>
      <c r="U263" s="24" t="inlineStr">
        <is>
          <t>settled</t>
        </is>
      </c>
      <c r="V263" s="24" t="inlineStr">
        <is>
          <t>loss</t>
        </is>
      </c>
      <c r="W263" s="26" t="n">
        <v>6</v>
      </c>
      <c r="X263" s="26" t="n">
        <v>4</v>
      </c>
      <c r="Y263" s="25" t="n"/>
      <c r="Z263" s="26" t="n">
        <v>-120</v>
      </c>
      <c r="AA263" s="28" t="n">
        <v>0.545</v>
      </c>
      <c r="AB263" s="28" t="n">
        <v>-0.000455</v>
      </c>
      <c r="AC263" s="30" t="n">
        <v>-1</v>
      </c>
      <c r="AD263" s="24" t="inlineStr">
        <is>
          <t>2026-08-13T05:32:16.817986Z</t>
        </is>
      </c>
      <c r="AE263" s="31" t="inlineStr">
        <is>
          <t>Learned LR call at threshold 0.6197; executable ask 0.5450 (aec-mlb-cle-det-2026-08-12); model edge vs ask +0.0148.</t>
        </is>
      </c>
      <c r="AF263" s="31" t="inlineStr">
        <is>
          <t>Learned model; shadow-qualified via operator override.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NO_CALL_BELOW_LEARNED_CONFIDENCE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mlb-det</t>
        </is>
      </c>
      <c r="AT263" s="24" t="inlineStr">
        <is>
          <t>Detroit Tigers</t>
        </is>
      </c>
      <c r="AU263" s="24" t="inlineStr">
        <is>
          <t>Detroit Tigers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3b345499bd6bad9bcf65367a07fe0c668fb5817d4f016a0a865c01d9212fdeb8</t>
        </is>
      </c>
      <c r="BB263" s="24" t="inlineStr">
        <is>
          <t>learned_lr</t>
        </is>
      </c>
      <c r="BC263" s="24" t="inlineStr">
        <is>
          <t>mlb-elo-trend-lr-v8</t>
        </is>
      </c>
      <c r="BD263" s="24" t="inlineStr">
        <is>
          <t>3b345499bd6bad9bcf65367a07fe0c668fb5817d4f016a0a865c01d9212fdeb8</t>
        </is>
      </c>
      <c r="BE263" s="24" t="inlineStr">
        <is>
          <t>21f01743c533306b</t>
        </is>
      </c>
      <c r="BF263" s="24" t="inlineStr">
        <is>
          <t>1</t>
        </is>
      </c>
      <c r="BG263" s="24" t="inlineStr">
        <is>
          <t>mlb-elo-trend-lr-v8</t>
        </is>
      </c>
      <c r="BH263" s="24" t="inlineStr">
        <is>
          <t>2026-08-12T21:16:21.197491Z</t>
        </is>
      </c>
      <c r="BI263" s="24" t="inlineStr">
        <is>
          <t>["same_event","same_team_same_day","same_league_same_day"]</t>
        </is>
      </c>
      <c r="BJ263" s="25" t="n"/>
      <c r="BK263" s="26" t="n">
        <v>-120</v>
      </c>
      <c r="BL263" s="27" t="n">
        <v>1.833333</v>
      </c>
      <c r="BM263" s="28" t="n">
        <v>0.545455</v>
      </c>
      <c r="BN263" s="28" t="n">
        <v>0.542289</v>
      </c>
      <c r="BO263" s="28" t="n"/>
      <c r="BP263" s="25" t="n"/>
      <c r="BQ263" s="27" t="n">
        <v>1.833333</v>
      </c>
      <c r="BR263" s="28" t="n">
        <v>0.545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inlineStr">
        <is>
          <t>0.5985896857</t>
        </is>
      </c>
      <c r="CD263" s="24" t="inlineStr">
        <is>
          <t>1.26049</t>
        </is>
      </c>
      <c r="CE263" s="24" t="inlineStr">
        <is>
          <t>0.963</t>
        </is>
      </c>
      <c r="CF263" s="24" t="inlineStr">
        <is>
          <t>1.0069</t>
        </is>
      </c>
      <c r="CG263" s="24" t="n"/>
      <c r="CH263" s="24" t="n"/>
      <c r="CI263" s="24" t="n"/>
      <c r="CJ263" s="24" t="inlineStr">
        <is>
          <t>2.259087</t>
        </is>
      </c>
      <c r="CK263" s="24" t="n"/>
      <c r="CL263" s="24" t="inlineStr">
        <is>
          <t>-0.513898</t>
        </is>
      </c>
      <c r="CM263" s="24" t="inlineStr">
        <is>
          <t>0.975</t>
        </is>
      </c>
      <c r="CN263" s="24" t="n"/>
      <c r="CO263" s="24" t="n"/>
      <c r="CP263" s="24" t="n"/>
      <c r="CQ263" s="24" t="n"/>
      <c r="CR263" s="24" t="inlineStr">
        <is>
          <t>0.559814</t>
        </is>
      </c>
      <c r="CS263" s="24" t="inlineStr">
        <is>
          <t>True</t>
        </is>
      </c>
    </row>
    <row r="264" ht="36" customHeight="1">
      <c r="A264" s="24" t="inlineStr">
        <is>
          <t>b579e74279cd4a30</t>
        </is>
      </c>
      <c r="B264" s="24" t="inlineStr">
        <is>
          <t>2026-08-12T21:16:50.725033Z</t>
        </is>
      </c>
      <c r="C264" s="24" t="inlineStr">
        <is>
          <t>2026-08-12T18:40:00-0400</t>
        </is>
      </c>
      <c r="D264" s="24" t="inlineStr">
        <is>
          <t>401816498</t>
        </is>
      </c>
      <c r="E264" s="24" t="inlineStr">
        <is>
          <t>MLB</t>
        </is>
      </c>
      <c r="F264" s="24" t="inlineStr">
        <is>
          <t>Pittsburgh Pirates</t>
        </is>
      </c>
      <c r="G264" s="24" t="inlineStr">
        <is>
          <t>Miami Marlins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-111</v>
      </c>
      <c r="M264" s="27" t="n">
        <v>1.900901</v>
      </c>
      <c r="N264" s="28" t="n">
        <v>0.526066</v>
      </c>
      <c r="O264" s="28" t="n">
        <v>0.525438</v>
      </c>
      <c r="P264" s="28" t="n"/>
      <c r="Q264" s="28" t="n">
        <v>-0.000628</v>
      </c>
      <c r="R264" s="26" t="n">
        <v>22</v>
      </c>
      <c r="S264" s="29" t="n">
        <v>1</v>
      </c>
      <c r="T264" s="24" t="inlineStr">
        <is>
          <t>mlb-elo-trend-lr-v8</t>
        </is>
      </c>
      <c r="U264" s="24" t="inlineStr">
        <is>
          <t>settled</t>
        </is>
      </c>
      <c r="V264" s="24" t="inlineStr">
        <is>
          <t>win</t>
        </is>
      </c>
      <c r="W264" s="26" t="n">
        <v>2</v>
      </c>
      <c r="X264" s="26" t="n">
        <v>8</v>
      </c>
      <c r="Y264" s="25" t="n"/>
      <c r="Z264" s="26" t="n">
        <v>-111</v>
      </c>
      <c r="AA264" s="28" t="n">
        <v>0.525</v>
      </c>
      <c r="AB264" s="28" t="n">
        <v>-0.001066</v>
      </c>
      <c r="AC264" s="30" t="n">
        <v>0.9009</v>
      </c>
      <c r="AD264" s="24" t="inlineStr">
        <is>
          <t>2026-08-13T05:32:19.423522Z</t>
        </is>
      </c>
      <c r="AE264" s="31" t="inlineStr">
        <is>
          <t>Learned LR call at threshold 0.6197; executable ask 0.5250 (aec-mlb-pit-mia-2026-08-12); model edge vs ask +0.0004.</t>
        </is>
      </c>
      <c r="AF264" s="31" t="inlineStr">
        <is>
          <t>Learned model; shadow-qualified via operator override.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NO_CALL_BELOW_LEARNED_CONFIDENCE</t>
        </is>
      </c>
      <c r="AP264" s="24" t="inlineStr">
        <is>
          <t>mlb-pit</t>
        </is>
      </c>
      <c r="AQ264" s="24" t="inlineStr">
        <is>
          <t>Pittsburgh Pirates</t>
        </is>
      </c>
      <c r="AR264" s="24" t="inlineStr">
        <is>
          <t>Pittsburgh Pirates</t>
        </is>
      </c>
      <c r="AS264" s="24" t="inlineStr">
        <is>
          <t>mlb-mia</t>
        </is>
      </c>
      <c r="AT264" s="24" t="inlineStr">
        <is>
          <t>Miami Marlins</t>
        </is>
      </c>
      <c r="AU264" s="24" t="inlineStr">
        <is>
          <t>Miami Marlins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3b345499bd6bad9bcf65367a07fe0c668fb5817d4f016a0a865c01d9212fdeb8</t>
        </is>
      </c>
      <c r="BB264" s="24" t="inlineStr">
        <is>
          <t>learned_lr</t>
        </is>
      </c>
      <c r="BC264" s="24" t="inlineStr">
        <is>
          <t>mlb-elo-trend-lr-v8</t>
        </is>
      </c>
      <c r="BD264" s="24" t="inlineStr">
        <is>
          <t>3b345499bd6bad9bcf65367a07fe0c668fb5817d4f016a0a865c01d9212fdeb8</t>
        </is>
      </c>
      <c r="BE264" s="24" t="inlineStr">
        <is>
          <t>8304a0923855d242</t>
        </is>
      </c>
      <c r="BF264" s="24" t="inlineStr">
        <is>
          <t>1</t>
        </is>
      </c>
      <c r="BG264" s="24" t="inlineStr">
        <is>
          <t>mlb-elo-trend-lr-v8</t>
        </is>
      </c>
      <c r="BH264" s="24" t="inlineStr">
        <is>
          <t>2026-08-12T21:16:20.542044Z</t>
        </is>
      </c>
      <c r="BI264" s="24" t="inlineStr">
        <is>
          <t>["same_event","same_team_same_day","same_league_same_day"]</t>
        </is>
      </c>
      <c r="BJ264" s="25" t="n"/>
      <c r="BK264" s="26" t="n">
        <v>-111</v>
      </c>
      <c r="BL264" s="27" t="n">
        <v>1.900901</v>
      </c>
      <c r="BM264" s="28" t="n">
        <v>0.526066</v>
      </c>
      <c r="BN264" s="28" t="n">
        <v>0.522388</v>
      </c>
      <c r="BO264" s="28" t="n"/>
      <c r="BP264" s="25" t="n"/>
      <c r="BQ264" s="27" t="n">
        <v>1.900901</v>
      </c>
      <c r="BR264" s="28" t="n">
        <v>0.525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inlineStr">
        <is>
          <t>0.5446607125</t>
        </is>
      </c>
      <c r="CD264" s="24" t="inlineStr">
        <is>
          <t>1.923821</t>
        </is>
      </c>
      <c r="CE264" s="24" t="inlineStr">
        <is>
          <t>1.001</t>
        </is>
      </c>
      <c r="CF264" s="24" t="inlineStr">
        <is>
          <t>1.0</t>
        </is>
      </c>
      <c r="CG264" s="24" t="n"/>
      <c r="CH264" s="24" t="n"/>
      <c r="CI264" s="24" t="n"/>
      <c r="CJ264" s="24" t="inlineStr">
        <is>
          <t>1.011398</t>
        </is>
      </c>
      <c r="CK264" s="24" t="n"/>
      <c r="CL264" s="24" t="inlineStr">
        <is>
          <t>0.162398</t>
        </is>
      </c>
      <c r="CM264" s="24" t="inlineStr">
        <is>
          <t>2.4822</t>
        </is>
      </c>
      <c r="CN264" s="24" t="n"/>
      <c r="CO264" s="24" t="n"/>
      <c r="CP264" s="24" t="n"/>
      <c r="CQ264" s="24" t="n"/>
      <c r="CR264" s="24" t="inlineStr">
        <is>
          <t>0.525438</t>
        </is>
      </c>
      <c r="CS264" s="24" t="inlineStr">
        <is>
          <t>False</t>
        </is>
      </c>
    </row>
    <row r="265" ht="36" customHeight="1">
      <c r="A265" s="24" t="inlineStr">
        <is>
          <t>bcf6b7c99f8a41fd</t>
        </is>
      </c>
      <c r="B265" s="24" t="inlineStr">
        <is>
          <t>2026-08-12T21:16:50.725033Z</t>
        </is>
      </c>
      <c r="C265" s="24" t="inlineStr">
        <is>
          <t>2026-08-12T18:45:00-0400</t>
        </is>
      </c>
      <c r="D265" s="24" t="inlineStr">
        <is>
          <t>401816495</t>
        </is>
      </c>
      <c r="E265" s="24" t="inlineStr">
        <is>
          <t>MLB</t>
        </is>
      </c>
      <c r="F265" s="24" t="inlineStr">
        <is>
          <t>Chicago Cubs</t>
        </is>
      </c>
      <c r="G265" s="24" t="inlineStr">
        <is>
          <t>Washington Nationals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-153</v>
      </c>
      <c r="M265" s="27" t="n">
        <v>1.653595</v>
      </c>
      <c r="N265" s="28" t="n">
        <v>0.604743</v>
      </c>
      <c r="O265" s="28" t="n">
        <v>0.565751</v>
      </c>
      <c r="P265" s="28" t="n"/>
      <c r="Q265" s="28" t="n">
        <v>-0.038992</v>
      </c>
      <c r="R265" s="26" t="n">
        <v>2</v>
      </c>
      <c r="S265" s="29" t="n">
        <v>1</v>
      </c>
      <c r="T265" s="24" t="inlineStr">
        <is>
          <t>mlb-elo-trend-lr-v8</t>
        </is>
      </c>
      <c r="U265" s="24" t="inlineStr">
        <is>
          <t>settled</t>
        </is>
      </c>
      <c r="V265" s="24" t="inlineStr">
        <is>
          <t>win</t>
        </is>
      </c>
      <c r="W265" s="26" t="n">
        <v>12</v>
      </c>
      <c r="X265" s="26" t="n">
        <v>6</v>
      </c>
      <c r="Y265" s="25" t="n"/>
      <c r="Z265" s="26" t="n">
        <v>-153</v>
      </c>
      <c r="AA265" s="28" t="n">
        <v>0.605</v>
      </c>
      <c r="AB265" s="28" t="n">
        <v>0.000257</v>
      </c>
      <c r="AC265" s="30" t="n">
        <v>0.6536</v>
      </c>
      <c r="AD265" s="24" t="inlineStr">
        <is>
          <t>2026-08-13T05:32:21.534800Z</t>
        </is>
      </c>
      <c r="AE265" s="31" t="inlineStr">
        <is>
          <t>Learned LR call at threshold 0.6197; executable ask 0.6050 (aec-mlb-chc-wsh-2026-08-12); model edge vs ask -0.0392. NOTE: NO_CALL_STARTER_ERA_GAP_INSUFFICIENT_HISTORY unavailable for this game — defaulted to neutral, other features used normally.</t>
        </is>
      </c>
      <c r="AF265" s="31" t="inlineStr">
        <is>
          <t>Learned model; shadow-qualified via operator override.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NO_CALL_BELOW_LEARNED_CONFIDENCE</t>
        </is>
      </c>
      <c r="AP265" s="24" t="inlineStr">
        <is>
          <t>mlb-chc</t>
        </is>
      </c>
      <c r="AQ265" s="24" t="inlineStr">
        <is>
          <t>Chicago Cubs</t>
        </is>
      </c>
      <c r="AR265" s="24" t="inlineStr">
        <is>
          <t>Chicago Cubs</t>
        </is>
      </c>
      <c r="AS265" s="24" t="inlineStr">
        <is>
          <t>mlb-wsh</t>
        </is>
      </c>
      <c r="AT265" s="24" t="inlineStr">
        <is>
          <t>Washington Nationals</t>
        </is>
      </c>
      <c r="AU265" s="24" t="inlineStr">
        <is>
          <t>Washington Nationals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3b345499bd6bad9bcf65367a07fe0c668fb5817d4f016a0a865c01d9212fdeb8</t>
        </is>
      </c>
      <c r="BB265" s="24" t="inlineStr">
        <is>
          <t>learned_lr</t>
        </is>
      </c>
      <c r="BC265" s="24" t="inlineStr">
        <is>
          <t>mlb-elo-trend-lr-v8</t>
        </is>
      </c>
      <c r="BD265" s="24" t="inlineStr">
        <is>
          <t>3b345499bd6bad9bcf65367a07fe0c668fb5817d4f016a0a865c01d9212fdeb8</t>
        </is>
      </c>
      <c r="BE265" s="24" t="inlineStr">
        <is>
          <t>01d64125873f7cf4</t>
        </is>
      </c>
      <c r="BF265" s="24" t="inlineStr">
        <is>
          <t>1</t>
        </is>
      </c>
      <c r="BG265" s="24" t="inlineStr">
        <is>
          <t>mlb-elo-trend-lr-v8</t>
        </is>
      </c>
      <c r="BH265" s="24" t="inlineStr">
        <is>
          <t>2026-08-12T21:16:21.736626Z</t>
        </is>
      </c>
      <c r="BI265" s="24" t="inlineStr">
        <is>
          <t>["same_event","same_team_same_day","same_league_same_day"]</t>
        </is>
      </c>
      <c r="BJ265" s="25" t="n"/>
      <c r="BK265" s="26" t="n">
        <v>-153</v>
      </c>
      <c r="BL265" s="27" t="n">
        <v>1.653595</v>
      </c>
      <c r="BM265" s="28" t="n">
        <v>0.604743</v>
      </c>
      <c r="BN265" s="28" t="n">
        <v>0.60199</v>
      </c>
      <c r="BO265" s="28" t="n"/>
      <c r="BP265" s="25" t="n"/>
      <c r="BQ265" s="27" t="n">
        <v>1.653595</v>
      </c>
      <c r="BR265" s="28" t="n">
        <v>0.605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inlineStr">
        <is>
          <t>0.4130251984</t>
        </is>
      </c>
      <c r="CD265" s="24" t="inlineStr">
        <is>
          <t>-0.367941</t>
        </is>
      </c>
      <c r="CE265" s="24" t="inlineStr">
        <is>
          <t>1.042</t>
        </is>
      </c>
      <c r="CF265" s="24" t="inlineStr">
        <is>
          <t>1.0164</t>
        </is>
      </c>
      <c r="CG265" s="24" t="n"/>
      <c r="CH265" s="24" t="n"/>
      <c r="CI265" s="24" t="inlineStr">
        <is>
          <t>NO_CALL_STARTER_ERA_GAP_INSUFFICIENT_HISTORY</t>
        </is>
      </c>
      <c r="CJ265" s="24" t="inlineStr">
        <is>
          <t>0.397972</t>
        </is>
      </c>
      <c r="CK265" s="24" t="n"/>
      <c r="CL265" s="24" t="inlineStr">
        <is>
          <t>-0.025322</t>
        </is>
      </c>
      <c r="CM265" s="24" t="inlineStr">
        <is>
          <t>0.0</t>
        </is>
      </c>
      <c r="CN265" s="24" t="n"/>
      <c r="CO265" s="24" t="n"/>
      <c r="CP265" s="24" t="n"/>
      <c r="CQ265" s="24" t="n"/>
      <c r="CR265" s="24" t="inlineStr">
        <is>
          <t>0.565751</t>
        </is>
      </c>
      <c r="CS265" s="24" t="inlineStr">
        <is>
          <t>False</t>
        </is>
      </c>
    </row>
    <row r="266" ht="36" customHeight="1">
      <c r="A266" s="24" t="inlineStr">
        <is>
          <t>b76eaf40129547db</t>
        </is>
      </c>
      <c r="B266" s="24" t="inlineStr">
        <is>
          <t>2026-08-12T21:16:50.725033Z</t>
        </is>
      </c>
      <c r="C266" s="24" t="inlineStr">
        <is>
          <t>2026-08-12T19:00:00-0400</t>
        </is>
      </c>
      <c r="D266" s="24" t="inlineStr">
        <is>
          <t>401816499</t>
        </is>
      </c>
      <c r="E266" s="24" t="inlineStr">
        <is>
          <t>MLB</t>
        </is>
      </c>
      <c r="F266" s="24" t="inlineStr">
        <is>
          <t>Seattle Mariners</t>
        </is>
      </c>
      <c r="G266" s="24" t="inlineStr">
        <is>
          <t>New York Yankees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-122</v>
      </c>
      <c r="M266" s="27" t="n">
        <v>1.819672</v>
      </c>
      <c r="N266" s="28" t="n">
        <v>0.54955</v>
      </c>
      <c r="O266" s="28" t="n">
        <v>0.546017</v>
      </c>
      <c r="P266" s="28" t="n"/>
      <c r="Q266" s="28" t="n">
        <v>-0.003533</v>
      </c>
      <c r="R266" s="26" t="n">
        <v>19</v>
      </c>
      <c r="S266" s="29" t="n">
        <v>1</v>
      </c>
      <c r="T266" s="24" t="inlineStr">
        <is>
          <t>mlb-elo-trend-lr-v8</t>
        </is>
      </c>
      <c r="U266" s="24" t="inlineStr">
        <is>
          <t>settled</t>
        </is>
      </c>
      <c r="V266" s="24" t="inlineStr">
        <is>
          <t>win</t>
        </is>
      </c>
      <c r="W266" s="26" t="n">
        <v>5</v>
      </c>
      <c r="X266" s="26" t="n">
        <v>10</v>
      </c>
      <c r="Y266" s="25" t="n"/>
      <c r="Z266" s="26" t="n">
        <v>-120</v>
      </c>
      <c r="AA266" s="28" t="n">
        <v>0.545</v>
      </c>
      <c r="AB266" s="28" t="n">
        <v>-0.00455</v>
      </c>
      <c r="AC266" s="30" t="n">
        <v>0.8197</v>
      </c>
      <c r="AD266" s="24" t="inlineStr">
        <is>
          <t>2026-08-13T05:32:24.647530Z</t>
        </is>
      </c>
      <c r="AE266" s="31" t="inlineStr">
        <is>
          <t>Learned LR call at threshold 0.6197; executable ask 0.5500 (aec-mlb-sea-nyy-2026-08-12); model edge vs ask -0.0040.</t>
        </is>
      </c>
      <c r="AF266" s="31" t="inlineStr">
        <is>
          <t>Learned model; shadow-qualified via operator override.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NO_CALL_BELOW_LEARNED_CONFIDENCE</t>
        </is>
      </c>
      <c r="AP266" s="24" t="inlineStr">
        <is>
          <t>mlb-sea</t>
        </is>
      </c>
      <c r="AQ266" s="24" t="inlineStr">
        <is>
          <t>Seattle Mariners</t>
        </is>
      </c>
      <c r="AR266" s="24" t="inlineStr">
        <is>
          <t>Seattle Mariners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3b345499bd6bad9bcf65367a07fe0c668fb5817d4f016a0a865c01d9212fdeb8</t>
        </is>
      </c>
      <c r="BB266" s="24" t="inlineStr">
        <is>
          <t>learned_lr</t>
        </is>
      </c>
      <c r="BC266" s="24" t="inlineStr">
        <is>
          <t>mlb-elo-trend-lr-v8</t>
        </is>
      </c>
      <c r="BD266" s="24" t="inlineStr">
        <is>
          <t>3b345499bd6bad9bcf65367a07fe0c668fb5817d4f016a0a865c01d9212fdeb8</t>
        </is>
      </c>
      <c r="BE266" s="24" t="inlineStr">
        <is>
          <t>1e0bb6e40bfd7e3f</t>
        </is>
      </c>
      <c r="BF266" s="24" t="inlineStr">
        <is>
          <t>1</t>
        </is>
      </c>
      <c r="BG266" s="24" t="inlineStr">
        <is>
          <t>mlb-elo-trend-lr-v8</t>
        </is>
      </c>
      <c r="BH266" s="24" t="inlineStr">
        <is>
          <t>2026-08-12T21:16:22.436944Z</t>
        </is>
      </c>
      <c r="BI266" s="24" t="inlineStr">
        <is>
          <t>["same_event","same_team_same_day","same_league_same_day"]</t>
        </is>
      </c>
      <c r="BJ266" s="25" t="n"/>
      <c r="BK266" s="26" t="n">
        <v>-122</v>
      </c>
      <c r="BL266" s="27" t="n">
        <v>1.819672</v>
      </c>
      <c r="BM266" s="28" t="n">
        <v>0.54955</v>
      </c>
      <c r="BN266" s="28" t="n">
        <v>0.547264</v>
      </c>
      <c r="BO266" s="28" t="n"/>
      <c r="BP266" s="25" t="n"/>
      <c r="BQ266" s="27" t="n">
        <v>1.833333</v>
      </c>
      <c r="BR266" s="28" t="n">
        <v>0.545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inlineStr">
        <is>
          <t>0.5867876</t>
        </is>
      </c>
      <c r="CD266" s="24" t="inlineStr">
        <is>
          <t>0.693511</t>
        </is>
      </c>
      <c r="CE266" s="24" t="inlineStr">
        <is>
          <t>1.012</t>
        </is>
      </c>
      <c r="CF266" s="24" t="inlineStr">
        <is>
          <t>1.0151</t>
        </is>
      </c>
      <c r="CG266" s="24" t="n"/>
      <c r="CH266" s="24" t="n"/>
      <c r="CI266" s="24" t="n"/>
      <c r="CJ266" s="24" t="inlineStr">
        <is>
          <t>1.43269</t>
        </is>
      </c>
      <c r="CK266" s="24" t="n"/>
      <c r="CL266" s="24" t="inlineStr">
        <is>
          <t>-0.314034</t>
        </is>
      </c>
      <c r="CM266" s="24" t="inlineStr">
        <is>
          <t>1.9101</t>
        </is>
      </c>
      <c r="CN266" s="24" t="n"/>
      <c r="CO266" s="24" t="n"/>
      <c r="CP266" s="24" t="n"/>
      <c r="CQ266" s="24" t="n"/>
      <c r="CR266" s="24" t="inlineStr">
        <is>
          <t>0.546017</t>
        </is>
      </c>
      <c r="CS266" s="24" t="inlineStr">
        <is>
          <t>False</t>
        </is>
      </c>
    </row>
    <row r="267" ht="36" customHeight="1">
      <c r="A267" s="24" t="inlineStr">
        <is>
          <t>d7fa141e9cd14ee7</t>
        </is>
      </c>
      <c r="B267" s="24" t="inlineStr">
        <is>
          <t>2026-08-12T21:16:50.725033Z</t>
        </is>
      </c>
      <c r="C267" s="24" t="inlineStr">
        <is>
          <t>2026-08-12T19:07:00-0400</t>
        </is>
      </c>
      <c r="D267" s="24" t="inlineStr">
        <is>
          <t>401816494</t>
        </is>
      </c>
      <c r="E267" s="24" t="inlineStr">
        <is>
          <t>MLB</t>
        </is>
      </c>
      <c r="F267" s="24" t="inlineStr">
        <is>
          <t>Boston Red Sox</t>
        </is>
      </c>
      <c r="G267" s="24" t="inlineStr">
        <is>
          <t>Toronto Blue Jays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-120</v>
      </c>
      <c r="M267" s="27" t="n">
        <v>1.833333</v>
      </c>
      <c r="N267" s="28" t="n">
        <v>0.545455</v>
      </c>
      <c r="O267" s="28" t="n">
        <v>0.535728</v>
      </c>
      <c r="P267" s="28" t="n"/>
      <c r="Q267" s="28" t="n">
        <v>-0.009727</v>
      </c>
      <c r="R267" s="26" t="n">
        <v>17</v>
      </c>
      <c r="S267" s="29" t="n">
        <v>1</v>
      </c>
      <c r="T267" s="24" t="inlineStr">
        <is>
          <t>mlb-elo-trend-lr-v8</t>
        </is>
      </c>
      <c r="U267" s="24" t="inlineStr">
        <is>
          <t>settled</t>
        </is>
      </c>
      <c r="V267" s="24" t="inlineStr">
        <is>
          <t>loss</t>
        </is>
      </c>
      <c r="W267" s="26" t="n">
        <v>4</v>
      </c>
      <c r="X267" s="26" t="n">
        <v>6</v>
      </c>
      <c r="Y267" s="25" t="n"/>
      <c r="Z267" s="26" t="n">
        <v>-117</v>
      </c>
      <c r="AA267" s="28" t="n">
        <v>0.54</v>
      </c>
      <c r="AB267" s="28" t="n">
        <v>-0.005455</v>
      </c>
      <c r="AC267" s="30" t="n">
        <v>-1</v>
      </c>
      <c r="AD267" s="24" t="inlineStr">
        <is>
          <t>2026-08-13T05:32:26.986789Z</t>
        </is>
      </c>
      <c r="AE267" s="31" t="inlineStr">
        <is>
          <t>Learned LR call at threshold 0.6197; executable ask 0.5450 (aec-mlb-bos-tor-2026-08-12); model edge vs ask -0.0093. NOTE: NO_CALL_STARTER_ERA_GAP_INSUFFICIENT_HISTORY unavailable for this game — defaulted to neutral, other features used normally.</t>
        </is>
      </c>
      <c r="AF267" s="31" t="inlineStr">
        <is>
          <t>Learned model; shadow-qualified via operator override.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NO_CALL_BELOW_LEARNED_CONFIDENCE</t>
        </is>
      </c>
      <c r="AP267" s="24" t="inlineStr">
        <is>
          <t>mlb-bos</t>
        </is>
      </c>
      <c r="AQ267" s="24" t="inlineStr">
        <is>
          <t>Boston Red Sox</t>
        </is>
      </c>
      <c r="AR267" s="24" t="inlineStr">
        <is>
          <t>Boston Red Sox</t>
        </is>
      </c>
      <c r="AS267" s="24" t="inlineStr">
        <is>
          <t>mlb-tor</t>
        </is>
      </c>
      <c r="AT267" s="24" t="inlineStr">
        <is>
          <t>Toronto Blue Jays</t>
        </is>
      </c>
      <c r="AU267" s="24" t="inlineStr">
        <is>
          <t>Toronto Blue Jays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3b345499bd6bad9bcf65367a07fe0c668fb5817d4f016a0a865c01d9212fdeb8</t>
        </is>
      </c>
      <c r="BB267" s="24" t="inlineStr">
        <is>
          <t>learned_lr</t>
        </is>
      </c>
      <c r="BC267" s="24" t="inlineStr">
        <is>
          <t>mlb-elo-trend-lr-v8</t>
        </is>
      </c>
      <c r="BD267" s="24" t="inlineStr">
        <is>
          <t>3b345499bd6bad9bcf65367a07fe0c668fb5817d4f016a0a865c01d9212fdeb8</t>
        </is>
      </c>
      <c r="BE267" s="24" t="inlineStr">
        <is>
          <t>b8545ee8b9dc3d15</t>
        </is>
      </c>
      <c r="BF267" s="24" t="inlineStr">
        <is>
          <t>1</t>
        </is>
      </c>
      <c r="BG267" s="24" t="inlineStr">
        <is>
          <t>mlb-elo-trend-lr-v8</t>
        </is>
      </c>
      <c r="BH267" s="24" t="inlineStr">
        <is>
          <t>2026-08-12T21:16:22.964013Z</t>
        </is>
      </c>
      <c r="BI267" s="24" t="inlineStr">
        <is>
          <t>["same_event","same_team_same_day","same_league_same_day"]</t>
        </is>
      </c>
      <c r="BJ267" s="25" t="n"/>
      <c r="BK267" s="26" t="n">
        <v>-120</v>
      </c>
      <c r="BL267" s="27" t="n">
        <v>1.833333</v>
      </c>
      <c r="BM267" s="28" t="n">
        <v>0.545455</v>
      </c>
      <c r="BN267" s="28" t="n">
        <v>0.542289</v>
      </c>
      <c r="BO267" s="28" t="n"/>
      <c r="BP267" s="25" t="n"/>
      <c r="BQ267" s="27" t="n">
        <v>1.854701</v>
      </c>
      <c r="BR267" s="28" t="n">
        <v>0.54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inlineStr">
        <is>
          <t>0.4493789273</t>
        </is>
      </c>
      <c r="CD267" s="24" t="inlineStr">
        <is>
          <t>0.828557</t>
        </is>
      </c>
      <c r="CE267" s="24" t="inlineStr">
        <is>
          <t>1.019</t>
        </is>
      </c>
      <c r="CF267" s="24" t="inlineStr">
        <is>
          <t>1.0</t>
        </is>
      </c>
      <c r="CG267" s="24" t="n"/>
      <c r="CH267" s="24" t="n"/>
      <c r="CI267" s="24" t="inlineStr">
        <is>
          <t>NO_CALL_STARTER_ERA_GAP_INSUFFICIENT_HISTORY</t>
        </is>
      </c>
      <c r="CJ267" s="24" t="inlineStr">
        <is>
          <t>1.262558</t>
        </is>
      </c>
      <c r="CK267" s="24" t="n"/>
      <c r="CL267" s="24" t="inlineStr">
        <is>
          <t>0.073299</t>
        </is>
      </c>
      <c r="CM267" s="24" t="inlineStr">
        <is>
          <t>0.0</t>
        </is>
      </c>
      <c r="CN267" s="24" t="n"/>
      <c r="CO267" s="24" t="n"/>
      <c r="CP267" s="24" t="n"/>
      <c r="CQ267" s="24" t="n"/>
      <c r="CR267" s="24" t="inlineStr">
        <is>
          <t>0.535728</t>
        </is>
      </c>
      <c r="CS267" s="24" t="inlineStr">
        <is>
          <t>False</t>
        </is>
      </c>
    </row>
    <row r="268" ht="36" customHeight="1">
      <c r="A268" s="24" t="inlineStr">
        <is>
          <t>024be86df5934548</t>
        </is>
      </c>
      <c r="B268" s="24" t="inlineStr">
        <is>
          <t>2026-08-12T21:16:50.725033Z</t>
        </is>
      </c>
      <c r="C268" s="24" t="inlineStr">
        <is>
          <t>2026-08-12T19:15:00-0400</t>
        </is>
      </c>
      <c r="D268" s="24" t="inlineStr">
        <is>
          <t>401816497</t>
        </is>
      </c>
      <c r="E268" s="24" t="inlineStr">
        <is>
          <t>MLB</t>
        </is>
      </c>
      <c r="F268" s="24" t="inlineStr">
        <is>
          <t>New York Mets</t>
        </is>
      </c>
      <c r="G268" s="24" t="inlineStr">
        <is>
          <t>Atlanta Braves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-174</v>
      </c>
      <c r="M268" s="27" t="n">
        <v>1.574713</v>
      </c>
      <c r="N268" s="28" t="n">
        <v>0.635036</v>
      </c>
      <c r="O268" s="28" t="n">
        <v>0.614277</v>
      </c>
      <c r="P268" s="28" t="n"/>
      <c r="Q268" s="28" t="n">
        <v>-0.020759</v>
      </c>
      <c r="R268" s="26" t="n">
        <v>11</v>
      </c>
      <c r="S268" s="29" t="n">
        <v>1.5</v>
      </c>
      <c r="T268" s="24" t="inlineStr">
        <is>
          <t>mlb-elo-trend-lr-v8</t>
        </is>
      </c>
      <c r="U268" s="24" t="inlineStr">
        <is>
          <t>settled</t>
        </is>
      </c>
      <c r="V268" s="24" t="inlineStr">
        <is>
          <t>win</t>
        </is>
      </c>
      <c r="W268" s="26" t="n">
        <v>3</v>
      </c>
      <c r="X268" s="26" t="n">
        <v>6</v>
      </c>
      <c r="Y268" s="25" t="n"/>
      <c r="Z268" s="26" t="n">
        <v>-170</v>
      </c>
      <c r="AA268" s="28" t="n">
        <v>0.63</v>
      </c>
      <c r="AB268" s="28" t="n">
        <v>-0.005036</v>
      </c>
      <c r="AC268" s="30" t="n">
        <v>0.8621</v>
      </c>
      <c r="AD268" s="24" t="inlineStr">
        <is>
          <t>2026-08-13T05:32:29.121945Z</t>
        </is>
      </c>
      <c r="AE268" s="31" t="inlineStr">
        <is>
          <t>Learned LR call at threshold 0.6197; executable ask 0.6350 (aec-mlb-nym-atl-2026-08-12); model edge vs ask -0.0207.</t>
        </is>
      </c>
      <c r="AF268" s="31" t="inlineStr">
        <is>
          <t>Learned model; shadow-qualified via operator override.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NO_CALL_BELOW_LEARNED_CONFIDENCE</t>
        </is>
      </c>
      <c r="AP268" s="24" t="inlineStr">
        <is>
          <t>mlb-nym</t>
        </is>
      </c>
      <c r="AQ268" s="24" t="inlineStr">
        <is>
          <t>New York Mets</t>
        </is>
      </c>
      <c r="AR268" s="24" t="inlineStr">
        <is>
          <t>New York Mets</t>
        </is>
      </c>
      <c r="AS268" s="24" t="inlineStr">
        <is>
          <t>mlb-atl</t>
        </is>
      </c>
      <c r="AT268" s="24" t="inlineStr">
        <is>
          <t>Atlanta Braves</t>
        </is>
      </c>
      <c r="AU268" s="24" t="inlineStr">
        <is>
          <t>Atlanta Braves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3b345499bd6bad9bcf65367a07fe0c668fb5817d4f016a0a865c01d9212fdeb8</t>
        </is>
      </c>
      <c r="BB268" s="24" t="inlineStr">
        <is>
          <t>learned_lr</t>
        </is>
      </c>
      <c r="BC268" s="24" t="inlineStr">
        <is>
          <t>mlb-elo-trend-lr-v8</t>
        </is>
      </c>
      <c r="BD268" s="24" t="inlineStr">
        <is>
          <t>3b345499bd6bad9bcf65367a07fe0c668fb5817d4f016a0a865c01d9212fdeb8</t>
        </is>
      </c>
      <c r="BE268" s="24" t="inlineStr">
        <is>
          <t>fbec9ab9a5b51046</t>
        </is>
      </c>
      <c r="BF268" s="24" t="inlineStr">
        <is>
          <t>1</t>
        </is>
      </c>
      <c r="BG268" s="24" t="inlineStr">
        <is>
          <t>mlb-elo-trend-lr-v8</t>
        </is>
      </c>
      <c r="BH268" s="24" t="inlineStr">
        <is>
          <t>2026-08-12T21:16:23.718895Z</t>
        </is>
      </c>
      <c r="BI268" s="24" t="inlineStr">
        <is>
          <t>["same_event","same_team_same_day","same_league_same_day"]</t>
        </is>
      </c>
      <c r="BJ268" s="25" t="n"/>
      <c r="BK268" s="26" t="n">
        <v>-174</v>
      </c>
      <c r="BL268" s="27" t="n">
        <v>1.574713</v>
      </c>
      <c r="BM268" s="28" t="n">
        <v>0.635036</v>
      </c>
      <c r="BN268" s="28" t="n">
        <v>0.631841</v>
      </c>
      <c r="BO268" s="28" t="n"/>
      <c r="BP268" s="25" t="n"/>
      <c r="BQ268" s="27" t="n">
        <v>1.588235</v>
      </c>
      <c r="BR268" s="28" t="n">
        <v>0.63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inlineStr">
        <is>
          <t>0.6196001645</t>
        </is>
      </c>
      <c r="CD268" s="24" t="inlineStr">
        <is>
          <t>-0.875585</t>
        </is>
      </c>
      <c r="CE268" s="24" t="inlineStr">
        <is>
          <t>0.929</t>
        </is>
      </c>
      <c r="CF268" s="24" t="inlineStr">
        <is>
          <t>1.0195</t>
        </is>
      </c>
      <c r="CG268" s="24" t="n"/>
      <c r="CH268" s="24" t="n"/>
      <c r="CI268" s="24" t="n"/>
      <c r="CJ268" s="24" t="inlineStr">
        <is>
          <t>0.802724</t>
        </is>
      </c>
      <c r="CK268" s="24" t="n"/>
      <c r="CL268" s="24" t="inlineStr">
        <is>
          <t>0.083095</t>
        </is>
      </c>
      <c r="CM268" s="24" t="inlineStr">
        <is>
          <t>1.4874</t>
        </is>
      </c>
      <c r="CN268" s="24" t="n"/>
      <c r="CO268" s="24" t="n"/>
      <c r="CP268" s="24" t="n"/>
      <c r="CQ268" s="24" t="n"/>
      <c r="CR268" s="24" t="inlineStr">
        <is>
          <t>0.614277</t>
        </is>
      </c>
      <c r="CS268" s="24" t="inlineStr">
        <is>
          <t>False</t>
        </is>
      </c>
    </row>
    <row r="269" ht="36" customHeight="1">
      <c r="A269" s="24" t="inlineStr">
        <is>
          <t>981ab0dcc52a46d1</t>
        </is>
      </c>
      <c r="B269" s="24" t="inlineStr">
        <is>
          <t>2026-08-12T21:16:50.725033Z</t>
        </is>
      </c>
      <c r="C269" s="24" t="inlineStr">
        <is>
          <t>2026-08-12T19:40:00-0400</t>
        </is>
      </c>
      <c r="D269" s="24" t="inlineStr">
        <is>
          <t>401816501</t>
        </is>
      </c>
      <c r="E269" s="24" t="inlineStr">
        <is>
          <t>MLB</t>
        </is>
      </c>
      <c r="F269" s="24" t="inlineStr">
        <is>
          <t>Cincinnati Reds</t>
        </is>
      </c>
      <c r="G269" s="24" t="inlineStr">
        <is>
          <t>Chicago White Sox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-138</v>
      </c>
      <c r="M269" s="27" t="n">
        <v>1.724638</v>
      </c>
      <c r="N269" s="28" t="n">
        <v>0.579832</v>
      </c>
      <c r="O269" s="28" t="n">
        <v>0.588094</v>
      </c>
      <c r="P269" s="28" t="n"/>
      <c r="Q269" s="28" t="n">
        <v>0.008262</v>
      </c>
      <c r="R269" s="26" t="n">
        <v>25</v>
      </c>
      <c r="S269" s="29" t="n">
        <v>1.25</v>
      </c>
      <c r="T269" s="24" t="inlineStr">
        <is>
          <t>mlb-elo-trend-lr-v8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5</v>
      </c>
      <c r="Y269" s="25" t="n"/>
      <c r="Z269" s="26" t="n">
        <v>-138</v>
      </c>
      <c r="AA269" s="28" t="n">
        <v>0.58</v>
      </c>
      <c r="AB269" s="28" t="n">
        <v>0.000168</v>
      </c>
      <c r="AC269" s="30" t="n">
        <v>0.9058</v>
      </c>
      <c r="AD269" s="24" t="inlineStr">
        <is>
          <t>2026-08-13T05:32:31.055869Z</t>
        </is>
      </c>
      <c r="AE269" s="31" t="inlineStr">
        <is>
          <t>Learned LR call at threshold 0.6197; executable ask 0.5800 (aec-mlb-cin-cws-2026-08-12); model edge vs ask +0.0081.</t>
        </is>
      </c>
      <c r="AF269" s="31" t="inlineStr">
        <is>
          <t>Learned model; shadow-qualified via operator override.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NO_CALL_BELOW_LEARNED_CONFIDENCE</t>
        </is>
      </c>
      <c r="AP269" s="24" t="inlineStr">
        <is>
          <t>mlb-cin</t>
        </is>
      </c>
      <c r="AQ269" s="24" t="inlineStr">
        <is>
          <t>Cincinnati Reds</t>
        </is>
      </c>
      <c r="AR269" s="24" t="inlineStr">
        <is>
          <t>Cincinnati Reds</t>
        </is>
      </c>
      <c r="AS269" s="24" t="inlineStr">
        <is>
          <t>mlb-cws</t>
        </is>
      </c>
      <c r="AT269" s="24" t="inlineStr">
        <is>
          <t>Chicago White Sox</t>
        </is>
      </c>
      <c r="AU269" s="24" t="inlineStr">
        <is>
          <t>Chicago White Sox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3b345499bd6bad9bcf65367a07fe0c668fb5817d4f016a0a865c01d9212fdeb8</t>
        </is>
      </c>
      <c r="BB269" s="24" t="inlineStr">
        <is>
          <t>learned_lr</t>
        </is>
      </c>
      <c r="BC269" s="24" t="inlineStr">
        <is>
          <t>mlb-elo-trend-lr-v8</t>
        </is>
      </c>
      <c r="BD269" s="24" t="inlineStr">
        <is>
          <t>3b345499bd6bad9bcf65367a07fe0c668fb5817d4f016a0a865c01d9212fdeb8</t>
        </is>
      </c>
      <c r="BE269" s="24" t="inlineStr">
        <is>
          <t>afeeee256816503c</t>
        </is>
      </c>
      <c r="BF269" s="24" t="inlineStr">
        <is>
          <t>1</t>
        </is>
      </c>
      <c r="BG269" s="24" t="inlineStr">
        <is>
          <t>mlb-elo-trend-lr-v8</t>
        </is>
      </c>
      <c r="BH269" s="24" t="inlineStr">
        <is>
          <t>2026-08-12T21:16:24.204206Z</t>
        </is>
      </c>
      <c r="BI269" s="24" t="inlineStr">
        <is>
          <t>["same_event","same_team_same_day","same_league_same_day"]</t>
        </is>
      </c>
      <c r="BJ269" s="25" t="n"/>
      <c r="BK269" s="26" t="n">
        <v>-138</v>
      </c>
      <c r="BL269" s="27" t="n">
        <v>1.724638</v>
      </c>
      <c r="BM269" s="28" t="n">
        <v>0.579832</v>
      </c>
      <c r="BN269" s="28" t="n">
        <v>0.577114</v>
      </c>
      <c r="BO269" s="28" t="n"/>
      <c r="BP269" s="25" t="n"/>
      <c r="BQ269" s="27" t="n">
        <v>1.724638</v>
      </c>
      <c r="BR269" s="28" t="n">
        <v>0.58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inlineStr">
        <is>
          <t>0.5687363156</t>
        </is>
      </c>
      <c r="CD269" s="24" t="inlineStr">
        <is>
          <t>0.5306</t>
        </is>
      </c>
      <c r="CE269" s="24" t="inlineStr">
        <is>
          <t>0.937</t>
        </is>
      </c>
      <c r="CF269" s="24" t="inlineStr">
        <is>
          <t>1.0061</t>
        </is>
      </c>
      <c r="CG269" s="24" t="n"/>
      <c r="CH269" s="24" t="n"/>
      <c r="CI269" s="24" t="n"/>
      <c r="CJ269" s="24" t="inlineStr">
        <is>
          <t>-0.453217</t>
        </is>
      </c>
      <c r="CK269" s="24" t="n"/>
      <c r="CL269" s="24" t="inlineStr">
        <is>
          <t>-0.041154</t>
        </is>
      </c>
      <c r="CM269" s="24" t="inlineStr">
        <is>
          <t>-3.9</t>
        </is>
      </c>
      <c r="CN269" s="24" t="n"/>
      <c r="CO269" s="24" t="n"/>
      <c r="CP269" s="24" t="n"/>
      <c r="CQ269" s="24" t="n"/>
      <c r="CR269" s="24" t="inlineStr">
        <is>
          <t>0.588094</t>
        </is>
      </c>
      <c r="CS269" s="24" t="inlineStr">
        <is>
          <t>True</t>
        </is>
      </c>
    </row>
    <row r="270" ht="36" customHeight="1">
      <c r="A270" s="24" t="inlineStr">
        <is>
          <t>07739ea1f39a4c09</t>
        </is>
      </c>
      <c r="B270" s="24" t="inlineStr">
        <is>
          <t>2026-08-12T21:16:50.725033Z</t>
        </is>
      </c>
      <c r="C270" s="24" t="inlineStr">
        <is>
          <t>2026-08-12T22:00:00-0400</t>
        </is>
      </c>
      <c r="D270" s="24" t="inlineStr">
        <is>
          <t>401816508</t>
        </is>
      </c>
      <c r="E270" s="24" t="inlineStr">
        <is>
          <t>MLB</t>
        </is>
      </c>
      <c r="F270" s="24" t="inlineStr">
        <is>
          <t>Texas Rangers</t>
        </is>
      </c>
      <c r="G270" s="24" t="inlineStr">
        <is>
          <t>Los Angeles Angels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-130</v>
      </c>
      <c r="M270" s="27" t="n">
        <v>1.769231</v>
      </c>
      <c r="N270" s="28" t="n">
        <v>0.565217</v>
      </c>
      <c r="O270" s="28" t="n">
        <v>0.534233</v>
      </c>
      <c r="P270" s="28" t="n"/>
      <c r="Q270" s="28" t="n">
        <v>-0.030984</v>
      </c>
      <c r="R270" s="26" t="n">
        <v>6</v>
      </c>
      <c r="S270" s="29" t="n">
        <v>1</v>
      </c>
      <c r="T270" s="24" t="inlineStr">
        <is>
          <t>mlb-elo-trend-lr-v8</t>
        </is>
      </c>
      <c r="U270" s="24" t="inlineStr">
        <is>
          <t>settled</t>
        </is>
      </c>
      <c r="V270" s="24" t="inlineStr">
        <is>
          <t>loss</t>
        </is>
      </c>
      <c r="W270" s="26" t="n">
        <v>2</v>
      </c>
      <c r="X270" s="26" t="n">
        <v>5</v>
      </c>
      <c r="Y270" s="25" t="n"/>
      <c r="Z270" s="26" t="n">
        <v>-127</v>
      </c>
      <c r="AA270" s="28" t="n">
        <v>0.5600000000000001</v>
      </c>
      <c r="AB270" s="28" t="n">
        <v>-0.005217</v>
      </c>
      <c r="AC270" s="30" t="n">
        <v>-1</v>
      </c>
      <c r="AD270" s="24" t="inlineStr">
        <is>
          <t>2026-08-13T05:32:33.141888Z</t>
        </is>
      </c>
      <c r="AE270" s="31" t="inlineStr">
        <is>
          <t>Learned LR call at threshold 0.6197; executable ask 0.5650 (aec-mlb-tex-laa-2026-08-12); model edge vs ask -0.0308.</t>
        </is>
      </c>
      <c r="AF270" s="31" t="inlineStr">
        <is>
          <t>Learned model; shadow-qualified via operator override.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NO_CALL_BELOW_LEARNED_CONFIDENCE</t>
        </is>
      </c>
      <c r="AP270" s="24" t="inlineStr">
        <is>
          <t>mlb-tex</t>
        </is>
      </c>
      <c r="AQ270" s="24" t="inlineStr">
        <is>
          <t>Texas Rangers</t>
        </is>
      </c>
      <c r="AR270" s="24" t="inlineStr">
        <is>
          <t>Texas Rangers</t>
        </is>
      </c>
      <c r="AS270" s="24" t="inlineStr">
        <is>
          <t>mlb-laa</t>
        </is>
      </c>
      <c r="AT270" s="24" t="inlineStr">
        <is>
          <t>Los Angeles Angels</t>
        </is>
      </c>
      <c r="AU270" s="24" t="inlineStr">
        <is>
          <t>Los Angeles Angels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3b345499bd6bad9bcf65367a07fe0c668fb5817d4f016a0a865c01d9212fdeb8</t>
        </is>
      </c>
      <c r="BB270" s="24" t="inlineStr">
        <is>
          <t>learned_lr</t>
        </is>
      </c>
      <c r="BC270" s="24" t="inlineStr">
        <is>
          <t>mlb-elo-trend-lr-v8</t>
        </is>
      </c>
      <c r="BD270" s="24" t="inlineStr">
        <is>
          <t>3b345499bd6bad9bcf65367a07fe0c668fb5817d4f016a0a865c01d9212fdeb8</t>
        </is>
      </c>
      <c r="BE270" s="24" t="inlineStr">
        <is>
          <t>6e04d05450119a1d</t>
        </is>
      </c>
      <c r="BF270" s="24" t="inlineStr">
        <is>
          <t>1</t>
        </is>
      </c>
      <c r="BG270" s="24" t="inlineStr">
        <is>
          <t>mlb-elo-trend-lr-v8</t>
        </is>
      </c>
      <c r="BH270" s="24" t="inlineStr">
        <is>
          <t>2026-08-12T21:16:24.858116Z</t>
        </is>
      </c>
      <c r="BI270" s="24" t="inlineStr">
        <is>
          <t>["same_event","same_team_same_day","same_league_same_day"]</t>
        </is>
      </c>
      <c r="BJ270" s="25" t="n"/>
      <c r="BK270" s="26" t="n">
        <v>-130</v>
      </c>
      <c r="BL270" s="27" t="n">
        <v>1.769231</v>
      </c>
      <c r="BM270" s="28" t="n">
        <v>0.565217</v>
      </c>
      <c r="BN270" s="28" t="n">
        <v>0.562189</v>
      </c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inlineStr">
        <is>
          <t>0.4554813041</t>
        </is>
      </c>
      <c r="CD270" s="24" t="inlineStr">
        <is>
          <t>-0.532553</t>
        </is>
      </c>
      <c r="CE270" s="24" t="inlineStr">
        <is>
          <t>1.01</t>
        </is>
      </c>
      <c r="CF270" s="24" t="inlineStr">
        <is>
          <t>1.0031</t>
        </is>
      </c>
      <c r="CG270" s="24" t="n"/>
      <c r="CH270" s="24" t="n"/>
      <c r="CI270" s="24" t="n"/>
      <c r="CJ270" s="24" t="inlineStr">
        <is>
          <t>-1.256034</t>
        </is>
      </c>
      <c r="CK270" s="24" t="n"/>
      <c r="CL270" s="24" t="inlineStr">
        <is>
          <t>0.17997</t>
        </is>
      </c>
      <c r="CM270" s="24" t="inlineStr">
        <is>
          <t>3.6692</t>
        </is>
      </c>
      <c r="CN270" s="24" t="n"/>
      <c r="CO270" s="24" t="n"/>
      <c r="CP270" s="24" t="n"/>
      <c r="CQ270" s="24" t="n"/>
      <c r="CR270" s="24" t="inlineStr">
        <is>
          <t>0.534233</t>
        </is>
      </c>
      <c r="CS270" s="24" t="inlineStr">
        <is>
          <t>False</t>
        </is>
      </c>
    </row>
    <row r="271" ht="36" customHeight="1">
      <c r="A271" s="24" t="inlineStr">
        <is>
          <t>c68a56e37c094b64</t>
        </is>
      </c>
      <c r="B271" s="24" t="inlineStr">
        <is>
          <t>2026-08-12T21:16:50.725033Z</t>
        </is>
      </c>
      <c r="C271" s="24" t="inlineStr">
        <is>
          <t>2026-08-12T22:10:00-0400</t>
        </is>
      </c>
      <c r="D271" s="24" t="inlineStr">
        <is>
          <t>401816505</t>
        </is>
      </c>
      <c r="E271" s="24" t="inlineStr">
        <is>
          <t>MLB</t>
        </is>
      </c>
      <c r="F271" s="24" t="inlineStr">
        <is>
          <t>Kansas City Royals</t>
        </is>
      </c>
      <c r="G271" s="24" t="inlineStr">
        <is>
          <t>Los Angeles Dodgers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-199</v>
      </c>
      <c r="M271" s="27" t="n">
        <v>1.502513</v>
      </c>
      <c r="N271" s="28" t="n">
        <v>0.665552</v>
      </c>
      <c r="O271" s="28" t="n">
        <v>0.63651</v>
      </c>
      <c r="P271" s="28" t="n"/>
      <c r="Q271" s="28" t="n">
        <v>-0.029042</v>
      </c>
      <c r="R271" s="26" t="n">
        <v>7</v>
      </c>
      <c r="S271" s="29" t="n">
        <v>1.5</v>
      </c>
      <c r="T271" s="24" t="inlineStr">
        <is>
          <t>mlb-elo-trend-lr-v8</t>
        </is>
      </c>
      <c r="U271" s="24" t="inlineStr">
        <is>
          <t>settled</t>
        </is>
      </c>
      <c r="V271" s="24" t="inlineStr">
        <is>
          <t>win</t>
        </is>
      </c>
      <c r="W271" s="26" t="n">
        <v>2</v>
      </c>
      <c r="X271" s="26" t="n">
        <v>4</v>
      </c>
      <c r="Y271" s="25" t="n"/>
      <c r="Z271" s="26" t="n">
        <v>-199</v>
      </c>
      <c r="AA271" s="28" t="n">
        <v>0.665</v>
      </c>
      <c r="AB271" s="28" t="n">
        <v>-0.000552</v>
      </c>
      <c r="AC271" s="30" t="n">
        <v>0.7538</v>
      </c>
      <c r="AD271" s="24" t="inlineStr">
        <is>
          <t>2026-08-13T05:32:35.271453Z</t>
        </is>
      </c>
      <c r="AE271" s="31" t="inlineStr">
        <is>
          <t>Learned LR call at threshold 0.6197; executable ask 0.6650 (aec-mlb-kc-lad-2026-08-12); model edge vs ask -0.0285.</t>
        </is>
      </c>
      <c r="AF271" s="31" t="inlineStr">
        <is>
          <t>Learned model; shadow-qualified via operator override.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mlb-kc</t>
        </is>
      </c>
      <c r="AQ271" s="24" t="inlineStr">
        <is>
          <t>Kansas City Royals</t>
        </is>
      </c>
      <c r="AR271" s="24" t="inlineStr">
        <is>
          <t>Kansas City Royals</t>
        </is>
      </c>
      <c r="AS271" s="24" t="inlineStr">
        <is>
          <t>mlb-lad</t>
        </is>
      </c>
      <c r="AT271" s="24" t="inlineStr">
        <is>
          <t>Los Angeles Dodgers</t>
        </is>
      </c>
      <c r="AU271" s="24" t="inlineStr">
        <is>
          <t>Los Angeles Dodgers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3b345499bd6bad9bcf65367a07fe0c668fb5817d4f016a0a865c01d9212fdeb8</t>
        </is>
      </c>
      <c r="BB271" s="24" t="inlineStr">
        <is>
          <t>learned_lr</t>
        </is>
      </c>
      <c r="BC271" s="24" t="inlineStr">
        <is>
          <t>mlb-elo-trend-lr-v8</t>
        </is>
      </c>
      <c r="BD271" s="24" t="inlineStr">
        <is>
          <t>3b345499bd6bad9bcf65367a07fe0c668fb5817d4f016a0a865c01d9212fdeb8</t>
        </is>
      </c>
      <c r="BE271" s="24" t="inlineStr">
        <is>
          <t>8f31c3ef19577642</t>
        </is>
      </c>
      <c r="BF271" s="24" t="inlineStr">
        <is>
          <t>1</t>
        </is>
      </c>
      <c r="BG271" s="24" t="inlineStr">
        <is>
          <t>mlb-elo-trend-lr-v8</t>
        </is>
      </c>
      <c r="BH271" s="24" t="inlineStr">
        <is>
          <t>2026-08-12T21:16:25.562820Z</t>
        </is>
      </c>
      <c r="BI271" s="24" t="inlineStr">
        <is>
          <t>["same_event","same_team_same_day","same_league_same_day"]</t>
        </is>
      </c>
      <c r="BJ271" s="25" t="n"/>
      <c r="BK271" s="26" t="n">
        <v>-199</v>
      </c>
      <c r="BL271" s="27" t="n">
        <v>1.502513</v>
      </c>
      <c r="BM271" s="28" t="n">
        <v>0.665552</v>
      </c>
      <c r="BN271" s="28" t="n">
        <v>0.6616919999999999</v>
      </c>
      <c r="BO271" s="28" t="n"/>
      <c r="BP271" s="25" t="n"/>
      <c r="BQ271" s="27" t="n">
        <v>1.502513</v>
      </c>
      <c r="BR271" s="28" t="n">
        <v>0.665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inlineStr">
        <is>
          <t>0.6733890599</t>
        </is>
      </c>
      <c r="CD271" s="24" t="inlineStr">
        <is>
          <t>-0.257437</t>
        </is>
      </c>
      <c r="CE271" s="24" t="inlineStr">
        <is>
          <t>1.026</t>
        </is>
      </c>
      <c r="CF271" s="24" t="inlineStr">
        <is>
          <t>1.0009</t>
        </is>
      </c>
      <c r="CG271" s="24" t="n"/>
      <c r="CH271" s="24" t="n"/>
      <c r="CI271" s="24" t="n"/>
      <c r="CJ271" s="24" t="inlineStr">
        <is>
          <t>-0.554899</t>
        </is>
      </c>
      <c r="CK271" s="24" t="n"/>
      <c r="CL271" s="24" t="inlineStr">
        <is>
          <t>-0.273728</t>
        </is>
      </c>
      <c r="CM271" s="24" t="inlineStr">
        <is>
          <t>-2.8699</t>
        </is>
      </c>
      <c r="CN271" s="24" t="n"/>
      <c r="CO271" s="24" t="n"/>
      <c r="CP271" s="24" t="n"/>
      <c r="CQ271" s="24" t="n"/>
      <c r="CR271" s="24" t="inlineStr">
        <is>
          <t>0.63651</t>
        </is>
      </c>
      <c r="CS271" s="24" t="inlineStr">
        <is>
          <t>False</t>
        </is>
      </c>
    </row>
    <row r="272" ht="36" customHeight="1">
      <c r="A272" s="24" t="inlineStr">
        <is>
          <t>4ce244e5ff524464</t>
        </is>
      </c>
      <c r="B272" s="24" t="inlineStr">
        <is>
          <t>2026-08-13T16:51:51.659919Z</t>
        </is>
      </c>
      <c r="C272" s="24" t="inlineStr">
        <is>
          <t>2026-08-13T13:10:00-0400</t>
        </is>
      </c>
      <c r="D272" s="24" t="inlineStr">
        <is>
          <t>401816511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Detroit Tigers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106</v>
      </c>
      <c r="M272" s="27" t="n">
        <v>2.06</v>
      </c>
      <c r="N272" s="28" t="n">
        <v>0.485437</v>
      </c>
      <c r="O272" s="28" t="n">
        <v>0.567582</v>
      </c>
      <c r="P272" s="28" t="n"/>
      <c r="Q272" s="28" t="n">
        <v>0.082145</v>
      </c>
      <c r="R272" s="26" t="n">
        <v>62</v>
      </c>
      <c r="S272" s="29" t="n">
        <v>0</v>
      </c>
      <c r="T272" s="24" t="inlineStr">
        <is>
          <t>mlb-elo-trend-lr-v8</t>
        </is>
      </c>
      <c r="U272" s="24" t="inlineStr">
        <is>
          <t>open</t>
        </is>
      </c>
      <c r="V272" s="24" t="n"/>
      <c r="W272" s="26" t="n"/>
      <c r="X272" s="26" t="n"/>
      <c r="Y272" s="25" t="n"/>
      <c r="Z272" s="26" t="n"/>
      <c r="AA272" s="28" t="n"/>
      <c r="AB272" s="28" t="n"/>
      <c r="AC272" s="30" t="n"/>
      <c r="AD272" s="24" t="n"/>
      <c r="AE272" s="31" t="inlineStr">
        <is>
          <t>Learned LR call at threshold 0.6197; executable ask 0.4850 (aec-mlb-cle-det-2026-08-13); model edge vs ask +0.0826.</t>
        </is>
      </c>
      <c r="AF272" s="31" t="inlineStr">
        <is>
          <t>Learned model; shadow-qualified via operator override.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NO_CALL_BELOW_LEARNED_CONFIDENCE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mlb-det</t>
        </is>
      </c>
      <c r="AT272" s="24" t="inlineStr">
        <is>
          <t>Detroit Tigers</t>
        </is>
      </c>
      <c r="AU272" s="24" t="inlineStr">
        <is>
          <t>Detroit Tigers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3b345499bd6bad9bcf65367a07fe0c668fb5817d4f016a0a865c01d9212fdeb8</t>
        </is>
      </c>
      <c r="BB272" s="24" t="inlineStr">
        <is>
          <t>learned_lr</t>
        </is>
      </c>
      <c r="BC272" s="24" t="inlineStr">
        <is>
          <t>mlb-elo-trend-lr-v8</t>
        </is>
      </c>
      <c r="BD272" s="24" t="inlineStr">
        <is>
          <t>3b345499bd6bad9bcf65367a07fe0c668fb5817d4f016a0a865c01d9212fdeb8</t>
        </is>
      </c>
      <c r="BE272" s="24" t="inlineStr">
        <is>
          <t>9a7fc2750ed179d2</t>
        </is>
      </c>
      <c r="BF272" s="24" t="inlineStr">
        <is>
          <t>1</t>
        </is>
      </c>
      <c r="BG272" s="24" t="inlineStr">
        <is>
          <t>mlb-elo-trend-lr-v8</t>
        </is>
      </c>
      <c r="BH272" s="24" t="inlineStr">
        <is>
          <t>2026-08-13T16:50:44.205590Z</t>
        </is>
      </c>
      <c r="BI272" s="24" t="inlineStr">
        <is>
          <t>["same_event","same_team_same_day","same_league_same_day"]</t>
        </is>
      </c>
      <c r="BJ272" s="25" t="n"/>
      <c r="BK272" s="26" t="n">
        <v>106</v>
      </c>
      <c r="BL272" s="27" t="n">
        <v>2.06</v>
      </c>
      <c r="BM272" s="28" t="n">
        <v>0.485437</v>
      </c>
      <c r="BN272" s="28" t="n">
        <v>0.482587</v>
      </c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inlineStr">
        <is>
          <t>0.5910532377</t>
        </is>
      </c>
      <c r="CD272" s="24" t="inlineStr">
        <is>
          <t>0.378783</t>
        </is>
      </c>
      <c r="CE272" s="24" t="inlineStr">
        <is>
          <t>0.972</t>
        </is>
      </c>
      <c r="CF272" s="24" t="inlineStr">
        <is>
          <t>1.0118</t>
        </is>
      </c>
      <c r="CG272" s="24" t="n"/>
      <c r="CH272" s="24" t="n"/>
      <c r="CI272" s="24" t="n"/>
      <c r="CJ272" s="24" t="inlineStr">
        <is>
          <t>1.128394</t>
        </is>
      </c>
      <c r="CK272" s="24" t="n"/>
      <c r="CL272" s="24" t="inlineStr">
        <is>
          <t>-0.429614</t>
        </is>
      </c>
      <c r="CM272" s="24" t="inlineStr">
        <is>
          <t>-0.5663</t>
        </is>
      </c>
      <c r="CN272" s="24" t="n"/>
      <c r="CO272" s="24" t="n"/>
      <c r="CP272" s="24" t="n"/>
      <c r="CQ272" s="24" t="n"/>
      <c r="CR272" s="24" t="inlineStr">
        <is>
          <t>0.567582</t>
        </is>
      </c>
      <c r="CS272" s="24" t="inlineStr">
        <is>
          <t>True</t>
        </is>
      </c>
    </row>
    <row r="273" ht="36" customHeight="1">
      <c r="A273" s="24" t="inlineStr">
        <is>
          <t>ed06186122b442d1</t>
        </is>
      </c>
      <c r="B273" s="24" t="inlineStr">
        <is>
          <t>2026-08-13T16:51:51.659919Z</t>
        </is>
      </c>
      <c r="C273" s="24" t="inlineStr">
        <is>
          <t>2026-08-13T13:10:00-0400</t>
        </is>
      </c>
      <c r="D273" s="24" t="inlineStr">
        <is>
          <t>401816512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Miami Marlins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0.534093</v>
      </c>
      <c r="P273" s="28" t="n"/>
      <c r="Q273" s="28" t="n">
        <v>0.064609</v>
      </c>
      <c r="R273" s="26" t="n">
        <v>53</v>
      </c>
      <c r="S273" s="29" t="n">
        <v>0</v>
      </c>
      <c r="T273" s="24" t="inlineStr">
        <is>
          <t>mlb-elo-trend-lr-v8</t>
        </is>
      </c>
      <c r="U273" s="24" t="inlineStr">
        <is>
          <t>open</t>
        </is>
      </c>
      <c r="V273" s="24" t="n"/>
      <c r="W273" s="26" t="n"/>
      <c r="X273" s="26" t="n"/>
      <c r="Y273" s="25" t="n"/>
      <c r="Z273" s="26" t="n"/>
      <c r="AA273" s="28" t="n"/>
      <c r="AB273" s="28" t="n"/>
      <c r="AC273" s="30" t="n"/>
      <c r="AD273" s="24" t="n"/>
      <c r="AE273" s="31" t="inlineStr">
        <is>
          <t>Learned LR call at threshold 0.6197; executable ask 0.4700 (aec-mlb-pit-mia-2026-08-13); model edge vs ask +0.0641.</t>
        </is>
      </c>
      <c r="AF273" s="31" t="inlineStr">
        <is>
          <t>Learned model; shadow-qualified via operator override.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NO_CALL_BELOW_LEARNED_CONFIDENCE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mlb-mia</t>
        </is>
      </c>
      <c r="AT273" s="24" t="inlineStr">
        <is>
          <t>Miami Marlins</t>
        </is>
      </c>
      <c r="AU273" s="24" t="inlineStr">
        <is>
          <t>Miami Marlins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3b345499bd6bad9bcf65367a07fe0c668fb5817d4f016a0a865c01d9212fdeb8</t>
        </is>
      </c>
      <c r="BB273" s="24" t="inlineStr">
        <is>
          <t>learned_lr</t>
        </is>
      </c>
      <c r="BC273" s="24" t="inlineStr">
        <is>
          <t>mlb-elo-trend-lr-v8</t>
        </is>
      </c>
      <c r="BD273" s="24" t="inlineStr">
        <is>
          <t>3b345499bd6bad9bcf65367a07fe0c668fb5817d4f016a0a865c01d9212fdeb8</t>
        </is>
      </c>
      <c r="BE273" s="24" t="inlineStr">
        <is>
          <t>6a5bfc5f9c1f5d53</t>
        </is>
      </c>
      <c r="BF273" s="24" t="inlineStr">
        <is>
          <t>1</t>
        </is>
      </c>
      <c r="BG273" s="24" t="inlineStr">
        <is>
          <t>mlb-elo-trend-lr-v8</t>
        </is>
      </c>
      <c r="BH273" s="24" t="inlineStr">
        <is>
          <t>2026-08-13T16:50:43.596195Z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>
        <v>0.467662</v>
      </c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inlineStr">
        <is>
          <t>0.5546199721</t>
        </is>
      </c>
      <c r="CD273" s="24" t="inlineStr">
        <is>
          <t>2.686166</t>
        </is>
      </c>
      <c r="CE273" s="24" t="inlineStr">
        <is>
          <t>1.001</t>
        </is>
      </c>
      <c r="CF273" s="24" t="inlineStr">
        <is>
          <t>1.0</t>
        </is>
      </c>
      <c r="CG273" s="24" t="n"/>
      <c r="CH273" s="24" t="n"/>
      <c r="CI273" s="24" t="n"/>
      <c r="CJ273" s="24" t="inlineStr">
        <is>
          <t>1.787866</t>
        </is>
      </c>
      <c r="CK273" s="24" t="n"/>
      <c r="CL273" s="24" t="inlineStr">
        <is>
          <t>-0.055637</t>
        </is>
      </c>
      <c r="CM273" s="24" t="inlineStr">
        <is>
          <t>-0.4909</t>
        </is>
      </c>
      <c r="CN273" s="24" t="n"/>
      <c r="CO273" s="24" t="n"/>
      <c r="CP273" s="24" t="n"/>
      <c r="CQ273" s="24" t="n"/>
      <c r="CR273" s="24" t="inlineStr">
        <is>
          <t>0.534093</t>
        </is>
      </c>
      <c r="CS273" s="24" t="inlineStr">
        <is>
          <t>True</t>
        </is>
      </c>
    </row>
    <row r="274" ht="36" customHeight="1">
      <c r="A274" s="24" t="inlineStr">
        <is>
          <t>f9a5b8cc1e2d40f0</t>
        </is>
      </c>
      <c r="B274" s="24" t="inlineStr">
        <is>
          <t>2026-08-13T16:51:51.659919Z</t>
        </is>
      </c>
      <c r="C274" s="24" t="inlineStr">
        <is>
          <t>2026-08-13T13:10:00-0400</t>
        </is>
      </c>
      <c r="D274" s="24" t="inlineStr">
        <is>
          <t>401816514</t>
        </is>
      </c>
      <c r="E274" s="24" t="inlineStr">
        <is>
          <t>MLB</t>
        </is>
      </c>
      <c r="F274" s="24" t="inlineStr">
        <is>
          <t>Cincinnati Reds</t>
        </is>
      </c>
      <c r="G274" s="24" t="inlineStr">
        <is>
          <t>Chicago White Sox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0.555669</v>
      </c>
      <c r="P274" s="28" t="n"/>
      <c r="Q274" s="28" t="n">
        <v>-0.003802</v>
      </c>
      <c r="R274" s="26" t="n">
        <v>19</v>
      </c>
      <c r="S274" s="29" t="n">
        <v>0</v>
      </c>
      <c r="T274" s="24" t="inlineStr">
        <is>
          <t>mlb-elo-trend-lr-v8</t>
        </is>
      </c>
      <c r="U274" s="24" t="inlineStr">
        <is>
          <t>open</t>
        </is>
      </c>
      <c r="V274" s="24" t="n"/>
      <c r="W274" s="26" t="n"/>
      <c r="X274" s="26" t="n"/>
      <c r="Y274" s="25" t="n"/>
      <c r="Z274" s="26" t="n"/>
      <c r="AA274" s="28" t="n"/>
      <c r="AB274" s="28" t="n"/>
      <c r="AC274" s="30" t="n"/>
      <c r="AD274" s="24" t="n"/>
      <c r="AE274" s="31" t="inlineStr">
        <is>
          <t>Learned LR call at threshold 0.6197; executable ask 0.5600 (aec-mlb-cin-cws-2026-08-13); model edge vs ask -0.0043.</t>
        </is>
      </c>
      <c r="AF274" s="31" t="inlineStr">
        <is>
          <t>Learned model; shadow-qualified via operator override.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NO_CALL_BELOW_LEARNED_CONFIDENCE</t>
        </is>
      </c>
      <c r="AP274" s="24" t="inlineStr">
        <is>
          <t>mlb-cin</t>
        </is>
      </c>
      <c r="AQ274" s="24" t="inlineStr">
        <is>
          <t>Cincinnati Reds</t>
        </is>
      </c>
      <c r="AR274" s="24" t="inlineStr">
        <is>
          <t>Cincinnati Reds</t>
        </is>
      </c>
      <c r="AS274" s="24" t="inlineStr">
        <is>
          <t>mlb-cws</t>
        </is>
      </c>
      <c r="AT274" s="24" t="inlineStr">
        <is>
          <t>Chicago White Sox</t>
        </is>
      </c>
      <c r="AU274" s="24" t="inlineStr">
        <is>
          <t>Chicago White Sox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3b345499bd6bad9bcf65367a07fe0c668fb5817d4f016a0a865c01d9212fdeb8</t>
        </is>
      </c>
      <c r="BB274" s="24" t="inlineStr">
        <is>
          <t>learned_lr</t>
        </is>
      </c>
      <c r="BC274" s="24" t="inlineStr">
        <is>
          <t>mlb-elo-trend-lr-v8</t>
        </is>
      </c>
      <c r="BD274" s="24" t="inlineStr">
        <is>
          <t>3b345499bd6bad9bcf65367a07fe0c668fb5817d4f016a0a865c01d9212fdeb8</t>
        </is>
      </c>
      <c r="BE274" s="24" t="inlineStr">
        <is>
          <t>e854999ad77034ec</t>
        </is>
      </c>
      <c r="BF274" s="24" t="inlineStr">
        <is>
          <t>1</t>
        </is>
      </c>
      <c r="BG274" s="24" t="inlineStr">
        <is>
          <t>mlb-elo-trend-lr-v8</t>
        </is>
      </c>
      <c r="BH274" s="24" t="inlineStr">
        <is>
          <t>2026-08-13T16:50:45.230439Z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>
        <v>0.557214</v>
      </c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inlineStr">
        <is>
          <t>0.5772565866</t>
        </is>
      </c>
      <c r="CD274" s="24" t="inlineStr">
        <is>
          <t>1.117276</t>
        </is>
      </c>
      <c r="CE274" s="24" t="inlineStr">
        <is>
          <t>0.941</t>
        </is>
      </c>
      <c r="CF274" s="24" t="inlineStr">
        <is>
          <t>1.0058</t>
        </is>
      </c>
      <c r="CG274" s="24" t="n"/>
      <c r="CH274" s="24" t="n"/>
      <c r="CI274" s="24" t="n"/>
      <c r="CJ274" s="24" t="inlineStr">
        <is>
          <t>0.553765</t>
        </is>
      </c>
      <c r="CK274" s="24" t="n"/>
      <c r="CL274" s="24" t="inlineStr">
        <is>
          <t>-0.042252</t>
        </is>
      </c>
      <c r="CM274" s="24" t="inlineStr">
        <is>
          <t>3.4638</t>
        </is>
      </c>
      <c r="CN274" s="24" t="n"/>
      <c r="CO274" s="24" t="n"/>
      <c r="CP274" s="24" t="n"/>
      <c r="CQ274" s="24" t="n"/>
      <c r="CR274" s="24" t="inlineStr">
        <is>
          <t>0.555669</t>
        </is>
      </c>
      <c r="CS274" s="24" t="inlineStr">
        <is>
          <t>False</t>
        </is>
      </c>
    </row>
    <row r="275" ht="36" customHeight="1">
      <c r="A275" s="24" t="inlineStr">
        <is>
          <t>82760f51c41b4067</t>
        </is>
      </c>
      <c r="B275" s="24" t="inlineStr">
        <is>
          <t>2026-08-13T17:14:51.037990Z</t>
        </is>
      </c>
      <c r="C275" s="24" t="inlineStr">
        <is>
          <t>2026-08-13T13:35:00-0400</t>
        </is>
      </c>
      <c r="D275" s="24" t="inlineStr">
        <is>
          <t>401816513</t>
        </is>
      </c>
      <c r="E275" s="24" t="inlineStr">
        <is>
          <t>MLB</t>
        </is>
      </c>
      <c r="F275" s="24" t="inlineStr">
        <is>
          <t>Seattle Mariners</t>
        </is>
      </c>
      <c r="G275" s="24" t="inlineStr">
        <is>
          <t>New York Yankees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-150</v>
      </c>
      <c r="M275" s="27" t="n">
        <v>1.666667</v>
      </c>
      <c r="N275" s="28" t="n">
        <v>0.6</v>
      </c>
      <c r="O275" s="28" t="n">
        <v>0.5439889999999999</v>
      </c>
      <c r="P275" s="28" t="n"/>
      <c r="Q275" s="28" t="n">
        <v>-0.056011</v>
      </c>
      <c r="R275" s="26" t="n">
        <v>0</v>
      </c>
      <c r="S275" s="29" t="n">
        <v>0</v>
      </c>
      <c r="T275" s="24" t="inlineStr">
        <is>
          <t>mlb-elo-trend-lr-v8</t>
        </is>
      </c>
      <c r="U275" s="24" t="inlineStr">
        <is>
          <t>open</t>
        </is>
      </c>
      <c r="V275" s="24" t="n"/>
      <c r="W275" s="26" t="n"/>
      <c r="X275" s="26" t="n"/>
      <c r="Y275" s="25" t="n"/>
      <c r="Z275" s="26" t="n"/>
      <c r="AA275" s="28" t="n"/>
      <c r="AB275" s="28" t="n"/>
      <c r="AC275" s="30" t="n"/>
      <c r="AD275" s="24" t="n"/>
      <c r="AE275" s="31" t="inlineStr">
        <is>
          <t>Learned LR call at threshold 0.6197; executable ask 0.6000 (aec-mlb-sea-nyy-2026-08-13); model edge vs ask -0.0560.</t>
        </is>
      </c>
      <c r="AF275" s="31" t="inlineStr">
        <is>
          <t>Learned model; shadow-qualified via operator override.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NO_CALL_BELOW_LEARNED_CONFIDENCE</t>
        </is>
      </c>
      <c r="AP275" s="24" t="inlineStr">
        <is>
          <t>mlb-sea</t>
        </is>
      </c>
      <c r="AQ275" s="24" t="inlineStr">
        <is>
          <t>Seattle Mariners</t>
        </is>
      </c>
      <c r="AR275" s="24" t="inlineStr">
        <is>
          <t>Seattle Mariners</t>
        </is>
      </c>
      <c r="AS275" s="24" t="inlineStr">
        <is>
          <t>mlb-nyy</t>
        </is>
      </c>
      <c r="AT275" s="24" t="inlineStr">
        <is>
          <t>New York Yankees</t>
        </is>
      </c>
      <c r="AU275" s="24" t="inlineStr">
        <is>
          <t>New York Yankees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3b345499bd6bad9bcf65367a07fe0c668fb5817d4f016a0a865c01d9212fdeb8</t>
        </is>
      </c>
      <c r="BB275" s="24" t="inlineStr">
        <is>
          <t>learned_lr</t>
        </is>
      </c>
      <c r="BC275" s="24" t="inlineStr">
        <is>
          <t>mlb-elo-trend-lr-v8</t>
        </is>
      </c>
      <c r="BD275" s="24" t="inlineStr">
        <is>
          <t>3b345499bd6bad9bcf65367a07fe0c668fb5817d4f016a0a865c01d9212fdeb8</t>
        </is>
      </c>
      <c r="BE275" s="24" t="inlineStr">
        <is>
          <t>3dd212e383136e80</t>
        </is>
      </c>
      <c r="BF275" s="24" t="inlineStr">
        <is>
          <t>1</t>
        </is>
      </c>
      <c r="BG275" s="24" t="inlineStr">
        <is>
          <t>mlb-elo-trend-lr-v8</t>
        </is>
      </c>
      <c r="BH275" s="24" t="inlineStr">
        <is>
          <t>2026-08-13T17:13:41.928372Z</t>
        </is>
      </c>
      <c r="BI275" s="24" t="inlineStr">
        <is>
          <t>["same_event","same_team_same_day","same_league_same_day"]</t>
        </is>
      </c>
      <c r="BJ275" s="25" t="n"/>
      <c r="BK275" s="26" t="n">
        <v>-150</v>
      </c>
      <c r="BL275" s="27" t="n">
        <v>1.666667</v>
      </c>
      <c r="BM275" s="28" t="n">
        <v>0.6</v>
      </c>
      <c r="BN275" s="28" t="n">
        <v>0.597015</v>
      </c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inlineStr">
        <is>
          <t>0.5948081012</t>
        </is>
      </c>
      <c r="CD275" s="24" t="inlineStr">
        <is>
          <t>1.46857</t>
        </is>
      </c>
      <c r="CE275" s="24" t="inlineStr">
        <is>
          <t>1.009</t>
        </is>
      </c>
      <c r="CF275" s="24" t="inlineStr">
        <is>
          <t>1.0157</t>
        </is>
      </c>
      <c r="CG275" s="24" t="n"/>
      <c r="CH275" s="24" t="n"/>
      <c r="CI275" s="24" t="n"/>
      <c r="CJ275" s="24" t="inlineStr">
        <is>
          <t>1.755071</t>
        </is>
      </c>
      <c r="CK275" s="24" t="n"/>
      <c r="CL275" s="24" t="inlineStr">
        <is>
          <t>-0.538745</t>
        </is>
      </c>
      <c r="CM275" s="24" t="inlineStr">
        <is>
          <t>0.9459</t>
        </is>
      </c>
      <c r="CN275" s="24" t="n"/>
      <c r="CO275" s="24" t="n"/>
      <c r="CP275" s="24" t="n"/>
      <c r="CQ275" s="24" t="n"/>
      <c r="CR275" s="24" t="inlineStr">
        <is>
          <t>0.543989</t>
        </is>
      </c>
      <c r="CS275" s="24" t="inlineStr">
        <is>
          <t>False</t>
        </is>
      </c>
    </row>
    <row r="276" ht="36" customHeight="1">
      <c r="A276" s="24" t="inlineStr">
        <is>
          <t>d7051d1b42084a39</t>
        </is>
      </c>
      <c r="B276" s="24" t="inlineStr">
        <is>
          <t>2026-08-13T17:14:51.037990Z</t>
        </is>
      </c>
      <c r="C276" s="24" t="inlineStr">
        <is>
          <t>2026-08-13T15:07:00-0400</t>
        </is>
      </c>
      <c r="D276" s="24" t="inlineStr">
        <is>
          <t>401816509</t>
        </is>
      </c>
      <c r="E276" s="24" t="inlineStr">
        <is>
          <t>MLB</t>
        </is>
      </c>
      <c r="F276" s="24" t="inlineStr">
        <is>
          <t>Boston Red Sox</t>
        </is>
      </c>
      <c r="G276" s="24" t="inlineStr">
        <is>
          <t>Toronto Blue Jays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-135</v>
      </c>
      <c r="M276" s="27" t="n">
        <v>1.740741</v>
      </c>
      <c r="N276" s="28" t="n">
        <v>0.574468</v>
      </c>
      <c r="O276" s="28" t="n">
        <v>0.548446</v>
      </c>
      <c r="P276" s="28" t="n"/>
      <c r="Q276" s="28" t="n">
        <v>-0.026022</v>
      </c>
      <c r="R276" s="26" t="n">
        <v>8</v>
      </c>
      <c r="S276" s="29" t="n">
        <v>0</v>
      </c>
      <c r="T276" s="24" t="inlineStr">
        <is>
          <t>mlb-elo-trend-lr-v8</t>
        </is>
      </c>
      <c r="U276" s="24" t="inlineStr">
        <is>
          <t>open</t>
        </is>
      </c>
      <c r="V276" s="24" t="n"/>
      <c r="W276" s="26" t="n"/>
      <c r="X276" s="26" t="n"/>
      <c r="Y276" s="25" t="n"/>
      <c r="Z276" s="26" t="n"/>
      <c r="AA276" s="28" t="n"/>
      <c r="AB276" s="28" t="n"/>
      <c r="AC276" s="30" t="n"/>
      <c r="AD276" s="24" t="n"/>
      <c r="AE276" s="31" t="inlineStr">
        <is>
          <t>Learned LR call at threshold 0.6197; executable ask 0.5750 (aec-mlb-bos-tor-2026-08-13); model edge vs ask -0.0266.</t>
        </is>
      </c>
      <c r="AF276" s="31" t="inlineStr">
        <is>
          <t>Learned model; shadow-qualified via operator override.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NO_CALL_BELOW_LEARNED_CONFIDENCE</t>
        </is>
      </c>
      <c r="AP276" s="24" t="inlineStr">
        <is>
          <t>mlb-bos</t>
        </is>
      </c>
      <c r="AQ276" s="24" t="inlineStr">
        <is>
          <t>Boston Red Sox</t>
        </is>
      </c>
      <c r="AR276" s="24" t="inlineStr">
        <is>
          <t>Boston Red Sox</t>
        </is>
      </c>
      <c r="AS276" s="24" t="inlineStr">
        <is>
          <t>mlb-tor</t>
        </is>
      </c>
      <c r="AT276" s="24" t="inlineStr">
        <is>
          <t>Toronto Blue Jays</t>
        </is>
      </c>
      <c r="AU276" s="24" t="inlineStr">
        <is>
          <t>Toronto Blue Jays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3b345499bd6bad9bcf65367a07fe0c668fb5817d4f016a0a865c01d9212fdeb8</t>
        </is>
      </c>
      <c r="BB276" s="24" t="inlineStr">
        <is>
          <t>learned_lr</t>
        </is>
      </c>
      <c r="BC276" s="24" t="inlineStr">
        <is>
          <t>mlb-elo-trend-lr-v8</t>
        </is>
      </c>
      <c r="BD276" s="24" t="inlineStr">
        <is>
          <t>3b345499bd6bad9bcf65367a07fe0c668fb5817d4f016a0a865c01d9212fdeb8</t>
        </is>
      </c>
      <c r="BE276" s="24" t="inlineStr">
        <is>
          <t>b850ecda617fc967</t>
        </is>
      </c>
      <c r="BF276" s="24" t="inlineStr">
        <is>
          <t>1</t>
        </is>
      </c>
      <c r="BG276" s="24" t="inlineStr">
        <is>
          <t>mlb-elo-trend-lr-v8</t>
        </is>
      </c>
      <c r="BH276" s="24" t="inlineStr">
        <is>
          <t>2026-08-13T17:13:42.496668Z</t>
        </is>
      </c>
      <c r="BI276" s="24" t="inlineStr">
        <is>
          <t>["same_event","same_team_same_day","same_league_same_day"]</t>
        </is>
      </c>
      <c r="BJ276" s="25" t="n"/>
      <c r="BK276" s="26" t="n">
        <v>-135</v>
      </c>
      <c r="BL276" s="27" t="n">
        <v>1.740741</v>
      </c>
      <c r="BM276" s="28" t="n">
        <v>0.574468</v>
      </c>
      <c r="BN276" s="28" t="n">
        <v>0.572139</v>
      </c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inlineStr">
        <is>
          <t>0.4563939081</t>
        </is>
      </c>
      <c r="CD276" s="24" t="inlineStr">
        <is>
          <t>1.231797</t>
        </is>
      </c>
      <c r="CE276" s="24" t="inlineStr">
        <is>
          <t>1.014</t>
        </is>
      </c>
      <c r="CF276" s="24" t="inlineStr">
        <is>
          <t>1.0</t>
        </is>
      </c>
      <c r="CG276" s="24" t="n"/>
      <c r="CH276" s="24" t="n"/>
      <c r="CI276" s="24" t="n"/>
      <c r="CJ276" s="24" t="inlineStr">
        <is>
          <t>1.531553</t>
        </is>
      </c>
      <c r="CK276" s="24" t="n"/>
      <c r="CL276" s="24" t="inlineStr">
        <is>
          <t>0.008218</t>
        </is>
      </c>
      <c r="CM276" s="24" t="inlineStr">
        <is>
          <t>3.0036</t>
        </is>
      </c>
      <c r="CN276" s="24" t="n"/>
      <c r="CO276" s="24" t="n"/>
      <c r="CP276" s="24" t="n"/>
      <c r="CQ276" s="24" t="n"/>
      <c r="CR276" s="24" t="inlineStr">
        <is>
          <t>0.548446</t>
        </is>
      </c>
      <c r="CS276" s="24" t="inlineStr">
        <is>
          <t>False</t>
        </is>
      </c>
    </row>
    <row r="277" ht="36" customHeight="1">
      <c r="A277" s="24" t="inlineStr">
        <is>
          <t>4a1ee87cd1f44545</t>
        </is>
      </c>
      <c r="B277" s="24" t="inlineStr">
        <is>
          <t>2026-08-13T17:14:51.037990Z</t>
        </is>
      </c>
      <c r="C277" s="24" t="inlineStr">
        <is>
          <t>2026-08-13T16:05:00-0400</t>
        </is>
      </c>
      <c r="D277" s="24" t="inlineStr">
        <is>
          <t>401816510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Washington Nationals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-138</v>
      </c>
      <c r="M277" s="27" t="n">
        <v>1.724638</v>
      </c>
      <c r="N277" s="28" t="n">
        <v>0.579832</v>
      </c>
      <c r="O277" s="28" t="n">
        <v>0.569132</v>
      </c>
      <c r="P277" s="28" t="n"/>
      <c r="Q277" s="28" t="n">
        <v>-0.0107</v>
      </c>
      <c r="R277" s="26" t="n">
        <v>16</v>
      </c>
      <c r="S277" s="29" t="n">
        <v>0</v>
      </c>
      <c r="T277" s="24" t="inlineStr">
        <is>
          <t>mlb-elo-trend-lr-v8</t>
        </is>
      </c>
      <c r="U277" s="24" t="inlineStr">
        <is>
          <t>open</t>
        </is>
      </c>
      <c r="V277" s="24" t="n"/>
      <c r="W277" s="26" t="n"/>
      <c r="X277" s="26" t="n"/>
      <c r="Y277" s="25" t="n"/>
      <c r="Z277" s="26" t="n"/>
      <c r="AA277" s="28" t="n"/>
      <c r="AB277" s="28" t="n"/>
      <c r="AC277" s="30" t="n"/>
      <c r="AD277" s="24" t="n"/>
      <c r="AE277" s="31" t="inlineStr">
        <is>
          <t>Learned LR call at threshold 0.6197; executable ask 0.5800 (aec-mlb-chc-wsh-2026-08-13); model edge vs ask -0.0109.</t>
        </is>
      </c>
      <c r="AF277" s="31" t="inlineStr">
        <is>
          <t>Learned model; shadow-qualified via operator override.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NO_CALL_BELOW_LEARNED_CONFIDENCE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mlb-wsh</t>
        </is>
      </c>
      <c r="AT277" s="24" t="inlineStr">
        <is>
          <t>Washington Nationals</t>
        </is>
      </c>
      <c r="AU277" s="24" t="inlineStr">
        <is>
          <t>Washington Nationals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3b345499bd6bad9bcf65367a07fe0c668fb5817d4f016a0a865c01d9212fdeb8</t>
        </is>
      </c>
      <c r="BB277" s="24" t="inlineStr">
        <is>
          <t>learned_lr</t>
        </is>
      </c>
      <c r="BC277" s="24" t="inlineStr">
        <is>
          <t>mlb-elo-trend-lr-v8</t>
        </is>
      </c>
      <c r="BD277" s="24" t="inlineStr">
        <is>
          <t>3b345499bd6bad9bcf65367a07fe0c668fb5817d4f016a0a865c01d9212fdeb8</t>
        </is>
      </c>
      <c r="BE277" s="24" t="inlineStr">
        <is>
          <t>1d962c6e27cb01ad</t>
        </is>
      </c>
      <c r="BF277" s="24" t="inlineStr">
        <is>
          <t>1</t>
        </is>
      </c>
      <c r="BG277" s="24" t="inlineStr">
        <is>
          <t>mlb-elo-trend-lr-v8</t>
        </is>
      </c>
      <c r="BH277" s="24" t="inlineStr">
        <is>
          <t>2026-08-13T17:13:43.075709Z</t>
        </is>
      </c>
      <c r="BI277" s="24" t="inlineStr">
        <is>
          <t>["same_event","same_team_same_day","same_league_same_day"]</t>
        </is>
      </c>
      <c r="BJ277" s="25" t="n"/>
      <c r="BK277" s="26" t="n">
        <v>-138</v>
      </c>
      <c r="BL277" s="27" t="n">
        <v>1.724638</v>
      </c>
      <c r="BM277" s="28" t="n">
        <v>0.579832</v>
      </c>
      <c r="BN277" s="28" t="n">
        <v>0.577114</v>
      </c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inlineStr">
        <is>
          <t>0.4043226348</t>
        </is>
      </c>
      <c r="CD277" s="24" t="inlineStr">
        <is>
          <t>-0.93937</t>
        </is>
      </c>
      <c r="CE277" s="24" t="inlineStr">
        <is>
          <t>1.046</t>
        </is>
      </c>
      <c r="CF277" s="24" t="inlineStr">
        <is>
          <t>1.0223</t>
        </is>
      </c>
      <c r="CG277" s="24" t="n"/>
      <c r="CH277" s="24" t="n"/>
      <c r="CI277" s="24" t="n"/>
      <c r="CJ277" s="24" t="inlineStr">
        <is>
          <t>-0.441887</t>
        </is>
      </c>
      <c r="CK277" s="24" t="n"/>
      <c r="CL277" s="24" t="inlineStr">
        <is>
          <t>0.100209</t>
        </is>
      </c>
      <c r="CM277" s="24" t="inlineStr">
        <is>
          <t>0.8013</t>
        </is>
      </c>
      <c r="CN277" s="24" t="n"/>
      <c r="CO277" s="24" t="n"/>
      <c r="CP277" s="24" t="n"/>
      <c r="CQ277" s="24" t="n"/>
      <c r="CR277" s="24" t="inlineStr">
        <is>
          <t>0.569132</t>
        </is>
      </c>
      <c r="CS277" s="24" t="inlineStr">
        <is>
          <t>False</t>
        </is>
      </c>
    </row>
    <row r="278" ht="36" customHeight="1">
      <c r="A278" s="24" t="inlineStr">
        <is>
          <t>091334ca749a47b4</t>
        </is>
      </c>
      <c r="B278" s="24" t="inlineStr">
        <is>
          <t>2026-08-13T17:14:51.037990Z</t>
        </is>
      </c>
      <c r="C278" s="24" t="inlineStr">
        <is>
          <t>2026-08-13T19:30:00-0400</t>
        </is>
      </c>
      <c r="D278" s="24" t="inlineStr">
        <is>
          <t>401816525</t>
        </is>
      </c>
      <c r="E278" s="24" t="inlineStr">
        <is>
          <t>MLB</t>
        </is>
      </c>
      <c r="F278" s="24" t="inlineStr">
        <is>
          <t>Philadelphia Phillies</t>
        </is>
      </c>
      <c r="G278" s="24" t="inlineStr">
        <is>
          <t>Minnesota Twins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100</v>
      </c>
      <c r="M278" s="27" t="n">
        <v>2</v>
      </c>
      <c r="N278" s="28" t="n">
        <v>0.5</v>
      </c>
      <c r="O278" s="28" t="n">
        <v>0.54632</v>
      </c>
      <c r="P278" s="28" t="n"/>
      <c r="Q278" s="28" t="n">
        <v>0.04632</v>
      </c>
      <c r="R278" s="26" t="n">
        <v>44</v>
      </c>
      <c r="S278" s="29" t="n">
        <v>0</v>
      </c>
      <c r="T278" s="24" t="inlineStr">
        <is>
          <t>mlb-elo-trend-lr-v8</t>
        </is>
      </c>
      <c r="U278" s="24" t="inlineStr">
        <is>
          <t>open</t>
        </is>
      </c>
      <c r="V278" s="24" t="n"/>
      <c r="W278" s="26" t="n"/>
      <c r="X278" s="26" t="n"/>
      <c r="Y278" s="25" t="n"/>
      <c r="Z278" s="26" t="n"/>
      <c r="AA278" s="28" t="n"/>
      <c r="AB278" s="28" t="n"/>
      <c r="AC278" s="30" t="n"/>
      <c r="AD278" s="24" t="n"/>
      <c r="AE278" s="31" t="inlineStr">
        <is>
          <t>Learned LR call at threshold 0.6197; executable ask 0.5000 (aec-mlb-phi-min-2026-08-13); model edge vs ask +0.0463.</t>
        </is>
      </c>
      <c r="AF278" s="31" t="inlineStr">
        <is>
          <t>Learned model; shadow-qualified via operator override.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NO_CALL_BELOW_LEARNED_CONFIDENCE</t>
        </is>
      </c>
      <c r="AP278" s="24" t="inlineStr">
        <is>
          <t>mlb-phi</t>
        </is>
      </c>
      <c r="AQ278" s="24" t="inlineStr">
        <is>
          <t>Philadelphia Phillies</t>
        </is>
      </c>
      <c r="AR278" s="24" t="inlineStr">
        <is>
          <t>Philadelphia Phillies</t>
        </is>
      </c>
      <c r="AS278" s="24" t="inlineStr">
        <is>
          <t>mlb-min</t>
        </is>
      </c>
      <c r="AT278" s="24" t="inlineStr">
        <is>
          <t>Minnesota Twins</t>
        </is>
      </c>
      <c r="AU278" s="24" t="inlineStr">
        <is>
          <t>Minnesota Twins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3b345499bd6bad9bcf65367a07fe0c668fb5817d4f016a0a865c01d9212fdeb8</t>
        </is>
      </c>
      <c r="BB278" s="24" t="inlineStr">
        <is>
          <t>learned_lr</t>
        </is>
      </c>
      <c r="BC278" s="24" t="inlineStr">
        <is>
          <t>mlb-elo-trend-lr-v8</t>
        </is>
      </c>
      <c r="BD278" s="24" t="inlineStr">
        <is>
          <t>3b345499bd6bad9bcf65367a07fe0c668fb5817d4f016a0a865c01d9212fdeb8</t>
        </is>
      </c>
      <c r="BE278" s="24" t="inlineStr">
        <is>
          <t>2aea8c33972ef948</t>
        </is>
      </c>
      <c r="BF278" s="24" t="inlineStr">
        <is>
          <t>1</t>
        </is>
      </c>
      <c r="BG278" s="24" t="inlineStr">
        <is>
          <t>mlb-elo-trend-lr-v8</t>
        </is>
      </c>
      <c r="BH278" s="24" t="inlineStr">
        <is>
          <t>2026-08-13T17:13:43.616898Z</t>
        </is>
      </c>
      <c r="BI278" s="24" t="inlineStr">
        <is>
          <t>["same_event","same_team_same_day","same_league_same_day"]</t>
        </is>
      </c>
      <c r="BJ278" s="25" t="n"/>
      <c r="BK278" s="26" t="n">
        <v>100</v>
      </c>
      <c r="BL278" s="27" t="n">
        <v>2</v>
      </c>
      <c r="BM278" s="28" t="n">
        <v>0.5</v>
      </c>
      <c r="BN278" s="28" t="n">
        <v>0.497512</v>
      </c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inlineStr">
        <is>
          <t>0.4574434995</t>
        </is>
      </c>
      <c r="CD278" s="24" t="inlineStr">
        <is>
          <t>1.194829</t>
        </is>
      </c>
      <c r="CE278" s="24" t="inlineStr">
        <is>
          <t>1.038</t>
        </is>
      </c>
      <c r="CF278" s="24" t="inlineStr">
        <is>
          <t>1.009</t>
        </is>
      </c>
      <c r="CG278" s="24" t="n"/>
      <c r="CH278" s="24" t="n"/>
      <c r="CI278" s="24" t="n"/>
      <c r="CJ278" s="24" t="inlineStr">
        <is>
          <t>0.863099</t>
        </is>
      </c>
      <c r="CK278" s="24" t="n"/>
      <c r="CL278" s="24" t="inlineStr">
        <is>
          <t>-0.157633</t>
        </is>
      </c>
      <c r="CM278" s="24" t="inlineStr">
        <is>
          <t>0.1655</t>
        </is>
      </c>
      <c r="CN278" s="24" t="n"/>
      <c r="CO278" s="24" t="n"/>
      <c r="CP278" s="24" t="n"/>
      <c r="CQ278" s="24" t="n"/>
      <c r="CR278" s="24" t="inlineStr">
        <is>
          <t>0.54632</t>
        </is>
      </c>
      <c r="CS278" s="24" t="inlineStr">
        <is>
          <t>True</t>
        </is>
      </c>
    </row>
    <row r="279" ht="36" customHeight="1">
      <c r="A279" s="24" t="inlineStr">
        <is>
          <t>32e4ec6369ca417c</t>
        </is>
      </c>
      <c r="B279" s="24" t="inlineStr">
        <is>
          <t>2026-08-13T17:14:51.037990Z</t>
        </is>
      </c>
      <c r="C279" s="24" t="inlineStr">
        <is>
          <t>2026-08-13T22:07:00-0400</t>
        </is>
      </c>
      <c r="D279" s="24" t="inlineStr">
        <is>
          <t>401816516</t>
        </is>
      </c>
      <c r="E279" s="24" t="inlineStr">
        <is>
          <t>MLB</t>
        </is>
      </c>
      <c r="F279" s="24" t="inlineStr">
        <is>
          <t>Texas Rangers</t>
        </is>
      </c>
      <c r="G279" s="24" t="inlineStr">
        <is>
          <t>Los Angeles Angels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-144</v>
      </c>
      <c r="M279" s="27" t="n">
        <v>1.694444</v>
      </c>
      <c r="N279" s="28" t="n">
        <v>0.590164</v>
      </c>
      <c r="O279" s="28" t="n">
        <v>0.520891</v>
      </c>
      <c r="P279" s="28" t="n"/>
      <c r="Q279" s="28" t="n">
        <v>-0.069273</v>
      </c>
      <c r="R279" s="26" t="n">
        <v>0</v>
      </c>
      <c r="S279" s="29" t="n">
        <v>0</v>
      </c>
      <c r="T279" s="24" t="inlineStr">
        <is>
          <t>mlb-elo-trend-lr-v8</t>
        </is>
      </c>
      <c r="U279" s="24" t="inlineStr">
        <is>
          <t>open</t>
        </is>
      </c>
      <c r="V279" s="24" t="n"/>
      <c r="W279" s="26" t="n"/>
      <c r="X279" s="26" t="n"/>
      <c r="Y279" s="25" t="n"/>
      <c r="Z279" s="26" t="n"/>
      <c r="AA279" s="28" t="n"/>
      <c r="AB279" s="28" t="n"/>
      <c r="AC279" s="30" t="n"/>
      <c r="AD279" s="24" t="n"/>
      <c r="AE279" s="31" t="inlineStr">
        <is>
          <t>Learned LR call at threshold 0.6197; executable ask 0.5900 (aec-mlb-tex-laa-2026-08-13); model edge vs ask -0.0691. NOTE: NO_CALL_STARTER_ERA_GAP_INSUFFICIENT_HISTORY unavailable for this game — defaulted to neutral, other features used normally.</t>
        </is>
      </c>
      <c r="AF279" s="31" t="inlineStr">
        <is>
          <t>Learned model; shadow-qualified via operator override.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NO_CALL_BELOW_LEARNED_CONFIDENCE</t>
        </is>
      </c>
      <c r="AP279" s="24" t="inlineStr">
        <is>
          <t>mlb-tex</t>
        </is>
      </c>
      <c r="AQ279" s="24" t="inlineStr">
        <is>
          <t>Texas Rangers</t>
        </is>
      </c>
      <c r="AR279" s="24" t="inlineStr">
        <is>
          <t>Texas Rangers</t>
        </is>
      </c>
      <c r="AS279" s="24" t="inlineStr">
        <is>
          <t>mlb-laa</t>
        </is>
      </c>
      <c r="AT279" s="24" t="inlineStr">
        <is>
          <t>Los Angeles Angels</t>
        </is>
      </c>
      <c r="AU279" s="24" t="inlineStr">
        <is>
          <t>Los Angeles Angels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3b345499bd6bad9bcf65367a07fe0c668fb5817d4f016a0a865c01d9212fdeb8</t>
        </is>
      </c>
      <c r="BB279" s="24" t="inlineStr">
        <is>
          <t>learned_lr</t>
        </is>
      </c>
      <c r="BC279" s="24" t="inlineStr">
        <is>
          <t>mlb-elo-trend-lr-v8</t>
        </is>
      </c>
      <c r="BD279" s="24" t="inlineStr">
        <is>
          <t>3b345499bd6bad9bcf65367a07fe0c668fb5817d4f016a0a865c01d9212fdeb8</t>
        </is>
      </c>
      <c r="BE279" s="24" t="inlineStr">
        <is>
          <t>0b0831c93fb4cb99</t>
        </is>
      </c>
      <c r="BF279" s="24" t="inlineStr">
        <is>
          <t>1</t>
        </is>
      </c>
      <c r="BG279" s="24" t="inlineStr">
        <is>
          <t>mlb-elo-trend-lr-v8</t>
        </is>
      </c>
      <c r="BH279" s="24" t="inlineStr">
        <is>
          <t>2026-08-13T17:13:43.877453Z</t>
        </is>
      </c>
      <c r="BI279" s="24" t="inlineStr">
        <is>
          <t>["same_event","same_team_same_day","same_league_same_day"]</t>
        </is>
      </c>
      <c r="BJ279" s="25" t="n"/>
      <c r="BK279" s="26" t="n">
        <v>-144</v>
      </c>
      <c r="BL279" s="27" t="n">
        <v>1.694444</v>
      </c>
      <c r="BM279" s="28" t="n">
        <v>0.590164</v>
      </c>
      <c r="BN279" s="28" t="n">
        <v>0.5870649999999999</v>
      </c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inlineStr">
        <is>
          <t>0.4642392245</t>
        </is>
      </c>
      <c r="CD279" s="24" t="inlineStr">
        <is>
          <t>0.28169</t>
        </is>
      </c>
      <c r="CE279" s="24" t="inlineStr">
        <is>
          <t>1.003</t>
        </is>
      </c>
      <c r="CF279" s="24" t="inlineStr">
        <is>
          <t>1.002</t>
        </is>
      </c>
      <c r="CG279" s="24" t="n"/>
      <c r="CH279" s="24" t="n"/>
      <c r="CI279" s="24" t="inlineStr">
        <is>
          <t>NO_CALL_STARTER_ERA_GAP_INSUFFICIENT_HISTORY</t>
        </is>
      </c>
      <c r="CJ279" s="24" t="inlineStr">
        <is>
          <t>-0.446769</t>
        </is>
      </c>
      <c r="CK279" s="24" t="n"/>
      <c r="CL279" s="24" t="inlineStr">
        <is>
          <t>-0.012747</t>
        </is>
      </c>
      <c r="CM279" s="24" t="inlineStr">
        <is>
          <t>0.0</t>
        </is>
      </c>
      <c r="CN279" s="24" t="n"/>
      <c r="CO279" s="24" t="n"/>
      <c r="CP279" s="24" t="n"/>
      <c r="CQ279" s="24" t="n"/>
      <c r="CR279" s="24" t="inlineStr">
        <is>
          <t>0.520891</t>
        </is>
      </c>
      <c r="CS279" s="24" t="inlineStr">
        <is>
          <t>False</t>
        </is>
      </c>
    </row>
    <row r="280" ht="36" customHeight="1">
      <c r="A280" s="24" t="inlineStr">
        <is>
          <t>ebdd402dcd474b69</t>
        </is>
      </c>
      <c r="B280" s="24" t="inlineStr">
        <is>
          <t>2026-08-13T17:14:51.037990Z</t>
        </is>
      </c>
      <c r="C280" s="24" t="inlineStr">
        <is>
          <t>2026-08-13T22:10:00-0400</t>
        </is>
      </c>
      <c r="D280" s="24" t="inlineStr">
        <is>
          <t>401816515</t>
        </is>
      </c>
      <c r="E280" s="24" t="inlineStr">
        <is>
          <t>MLB</t>
        </is>
      </c>
      <c r="F280" s="24" t="inlineStr">
        <is>
          <t>Milwaukee Brewers</t>
        </is>
      </c>
      <c r="G280" s="24" t="inlineStr">
        <is>
          <t>Los Angeles Dodgers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-138</v>
      </c>
      <c r="M280" s="27" t="n">
        <v>1.724638</v>
      </c>
      <c r="N280" s="28" t="n">
        <v>0.579832</v>
      </c>
      <c r="O280" s="28" t="n">
        <v>0.524192</v>
      </c>
      <c r="P280" s="28" t="n"/>
      <c r="Q280" s="28" t="n">
        <v>-0.05564</v>
      </c>
      <c r="R280" s="26" t="n">
        <v>0</v>
      </c>
      <c r="S280" s="29" t="n">
        <v>0</v>
      </c>
      <c r="T280" s="24" t="inlineStr">
        <is>
          <t>mlb-elo-trend-lr-v8</t>
        </is>
      </c>
      <c r="U280" s="24" t="inlineStr">
        <is>
          <t>open</t>
        </is>
      </c>
      <c r="V280" s="24" t="n"/>
      <c r="W280" s="26" t="n"/>
      <c r="X280" s="26" t="n"/>
      <c r="Y280" s="25" t="n"/>
      <c r="Z280" s="26" t="n"/>
      <c r="AA280" s="28" t="n"/>
      <c r="AB280" s="28" t="n"/>
      <c r="AC280" s="30" t="n"/>
      <c r="AD280" s="24" t="n"/>
      <c r="AE280" s="31" t="inlineStr">
        <is>
          <t>Learned LR call at threshold 0.6197; executable ask 0.5800 (aec-mlb-mil-lad-2026-08-13); model edge vs ask -0.0558.</t>
        </is>
      </c>
      <c r="AF280" s="31" t="inlineStr">
        <is>
          <t>Learned model; shadow-qualified via operator override.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NO_CALL_BELOW_LEARNED_CONFIDENCE</t>
        </is>
      </c>
      <c r="AP280" s="24" t="inlineStr">
        <is>
          <t>mlb-mil</t>
        </is>
      </c>
      <c r="AQ280" s="24" t="inlineStr">
        <is>
          <t>Milwaukee Brewers</t>
        </is>
      </c>
      <c r="AR280" s="24" t="inlineStr">
        <is>
          <t>Milwaukee Brewers</t>
        </is>
      </c>
      <c r="AS280" s="24" t="inlineStr">
        <is>
          <t>mlb-lad</t>
        </is>
      </c>
      <c r="AT280" s="24" t="inlineStr">
        <is>
          <t>Los Angeles Dodgers</t>
        </is>
      </c>
      <c r="AU280" s="24" t="inlineStr">
        <is>
          <t>Los Angeles Dodgers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3b345499bd6bad9bcf65367a07fe0c668fb5817d4f016a0a865c01d9212fdeb8</t>
        </is>
      </c>
      <c r="BB280" s="24" t="inlineStr">
        <is>
          <t>learned_lr</t>
        </is>
      </c>
      <c r="BC280" s="24" t="inlineStr">
        <is>
          <t>mlb-elo-trend-lr-v8</t>
        </is>
      </c>
      <c r="BD280" s="24" t="inlineStr">
        <is>
          <t>3b345499bd6bad9bcf65367a07fe0c668fb5817d4f016a0a865c01d9212fdeb8</t>
        </is>
      </c>
      <c r="BE280" s="24" t="inlineStr">
        <is>
          <t>2d8c7b9978801a1b</t>
        </is>
      </c>
      <c r="BF280" s="24" t="inlineStr">
        <is>
          <t>1</t>
        </is>
      </c>
      <c r="BG280" s="24" t="inlineStr">
        <is>
          <t>mlb-elo-trend-lr-v8</t>
        </is>
      </c>
      <c r="BH280" s="24" t="inlineStr">
        <is>
          <t>2026-08-13T17:13:44.658038Z</t>
        </is>
      </c>
      <c r="BI280" s="24" t="inlineStr">
        <is>
          <t>["same_event","same_team_same_day","same_league_same_day"]</t>
        </is>
      </c>
      <c r="BJ280" s="25" t="n"/>
      <c r="BK280" s="26" t="n">
        <v>-138</v>
      </c>
      <c r="BL280" s="27" t="n">
        <v>1.724638</v>
      </c>
      <c r="BM280" s="28" t="n">
        <v>0.579832</v>
      </c>
      <c r="BN280" s="28" t="n">
        <v>0.577114</v>
      </c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inlineStr">
        <is>
          <t>0.5245589248</t>
        </is>
      </c>
      <c r="CD280" s="24" t="inlineStr">
        <is>
          <t>0.562465</t>
        </is>
      </c>
      <c r="CE280" s="24" t="inlineStr">
        <is>
          <t>1.028</t>
        </is>
      </c>
      <c r="CF280" s="24" t="inlineStr">
        <is>
          <t>1.0012</t>
        </is>
      </c>
      <c r="CG280" s="24" t="n"/>
      <c r="CH280" s="24" t="n"/>
      <c r="CI280" s="24" t="n"/>
      <c r="CJ280" s="24" t="inlineStr">
        <is>
          <t>1.007613</t>
        </is>
      </c>
      <c r="CK280" s="24" t="n"/>
      <c r="CL280" s="24" t="inlineStr">
        <is>
          <t>0.217286</t>
        </is>
      </c>
      <c r="CM280" s="24" t="inlineStr">
        <is>
          <t>0.4529</t>
        </is>
      </c>
      <c r="CN280" s="24" t="n"/>
      <c r="CO280" s="24" t="n"/>
      <c r="CP280" s="24" t="n"/>
      <c r="CQ280" s="24" t="n"/>
      <c r="CR280" s="24" t="inlineStr">
        <is>
          <t>0.524192</t>
        </is>
      </c>
      <c r="CS280" s="24" t="inlineStr">
        <is>
          <t>False</t>
        </is>
      </c>
    </row>
    <row r="281" ht="36" customHeight="1">
      <c r="A281" s="24" t="inlineStr">
        <is>
          <t>526f20e921d440c8</t>
        </is>
      </c>
      <c r="B281" s="24" t="inlineStr">
        <is>
          <t>2026-08-13T17:15:08.837890Z</t>
        </is>
      </c>
      <c r="C281" s="24" t="inlineStr">
        <is>
          <t>2026-08-13T17:35Z</t>
        </is>
      </c>
      <c r="D281" s="24" t="inlineStr">
        <is>
          <t>401816513</t>
        </is>
      </c>
      <c r="E281" s="24" t="inlineStr">
        <is>
          <t>MLB</t>
        </is>
      </c>
      <c r="F281" s="24" t="inlineStr">
        <is>
          <t>Seattle Mariners</t>
        </is>
      </c>
      <c r="G281" s="24" t="inlineStr">
        <is>
          <t>New York Yankees</t>
        </is>
      </c>
      <c r="H281" s="24" t="inlineStr">
        <is>
          <t>spread</t>
        </is>
      </c>
      <c r="I281" s="24" t="inlineStr">
        <is>
          <t>away</t>
        </is>
      </c>
      <c r="J281" s="25" t="n">
        <v>1.5</v>
      </c>
      <c r="K281" s="24" t="inlineStr">
        <is>
          <t>polymarket_us</t>
        </is>
      </c>
      <c r="L281" s="26" t="n">
        <v>-150</v>
      </c>
      <c r="M281" s="27" t="n">
        <v>1.666667</v>
      </c>
      <c r="N281" s="28" t="n">
        <v>0.6</v>
      </c>
      <c r="O281" s="28" t="n">
        <v>0.572705</v>
      </c>
      <c r="P281" s="28" t="n">
        <v>0.042131</v>
      </c>
      <c r="Q281" s="28" t="n">
        <v>-0.027295</v>
      </c>
      <c r="R281" s="26" t="n">
        <v>14</v>
      </c>
      <c r="S281" s="29" t="n">
        <v>1.25</v>
      </c>
      <c r="T281" s="24" t="inlineStr">
        <is>
          <t>measured-edge-margin-v3</t>
        </is>
      </c>
      <c r="U281" s="24" t="inlineStr">
        <is>
          <t>open</t>
        </is>
      </c>
      <c r="V281" s="24" t="n"/>
      <c r="W281" s="26" t="n"/>
      <c r="X281" s="26" t="n"/>
      <c r="Y281" s="25" t="n"/>
      <c r="Z281" s="26" t="n"/>
      <c r="AA281" s="28" t="n"/>
      <c r="AB281" s="28" t="n"/>
      <c r="AC281" s="30" t="n"/>
      <c r="AD281" s="24" t="n"/>
      <c r="AE281" s="31" t="inlineStr">
        <is>
          <t>Measured Edge Margin: Trend Engine projected 4.10-4.75; raw selected-side p=0.6067, calibrated p=0.5727.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3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mlb-sea</t>
        </is>
      </c>
      <c r="AQ281" s="24" t="inlineStr">
        <is>
          <t>Seattle Mariners</t>
        </is>
      </c>
      <c r="AR281" s="24" t="inlineStr">
        <is>
          <t>Seattle Mariners</t>
        </is>
      </c>
      <c r="AS281" s="24" t="inlineStr">
        <is>
          <t>mlb-nyy</t>
        </is>
      </c>
      <c r="AT281" s="24" t="inlineStr">
        <is>
          <t>New York Yankees</t>
        </is>
      </c>
      <c r="AU281" s="24" t="inlineStr">
        <is>
          <t>New York Yankees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dd339a2eed50d7d83ab2127837995ddab82e879afd27f5414bb6c1f9cd60ba4c</t>
        </is>
      </c>
      <c r="BB281" s="24" t="inlineStr">
        <is>
          <t>flat_probability_shrinkage_toward_half</t>
        </is>
      </c>
      <c r="BC281" s="24" t="inlineStr">
        <is>
          <t>measured-edge-margin-v3</t>
        </is>
      </c>
      <c r="BD281" s="24" t="inlineStr">
        <is>
          <t>dd339a2eed50d7d83ab2127837995ddab82e879afd27f5414bb6c1f9cd60ba4c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2026-08-13T17:15:08.837890Z</t>
        </is>
      </c>
      <c r="BI281" s="24" t="inlineStr">
        <is>
          <t>["same_event","same_team_same_day","same_league_same_day"]</t>
        </is>
      </c>
      <c r="BJ281" s="25" t="n">
        <v>1.5</v>
      </c>
      <c r="BK281" s="26" t="n">
        <v>-150</v>
      </c>
      <c r="BL281" s="27" t="n">
        <v>1.666667</v>
      </c>
      <c r="BM281" s="28" t="n">
        <v>0.6</v>
      </c>
      <c r="BN281" s="28" t="n">
        <v>0.594059</v>
      </c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8cf5fb1487014ea0</t>
        </is>
      </c>
      <c r="B282" s="24" t="inlineStr">
        <is>
          <t>2026-08-13T17:15:08.837890Z</t>
        </is>
      </c>
      <c r="C282" s="24" t="inlineStr">
        <is>
          <t>2026-08-13T17:35Z</t>
        </is>
      </c>
      <c r="D282" s="24" t="inlineStr">
        <is>
          <t>401816513</t>
        </is>
      </c>
      <c r="E282" s="24" t="inlineStr">
        <is>
          <t>MLB</t>
        </is>
      </c>
      <c r="F282" s="24" t="inlineStr">
        <is>
          <t>Seattle Mariners</t>
        </is>
      </c>
      <c r="G282" s="24" t="inlineStr">
        <is>
          <t>New York Yankees</t>
        </is>
      </c>
      <c r="H282" s="24" t="inlineStr">
        <is>
          <t>total</t>
        </is>
      </c>
      <c r="I282" s="24" t="inlineStr">
        <is>
          <t>over</t>
        </is>
      </c>
      <c r="J282" s="25" t="n">
        <v>7.5</v>
      </c>
      <c r="K282" s="24" t="inlineStr">
        <is>
          <t>polymarket_us</t>
        </is>
      </c>
      <c r="L282" s="26" t="n">
        <v>100</v>
      </c>
      <c r="M282" s="27" t="n">
        <v>2</v>
      </c>
      <c r="N282" s="28" t="n">
        <v>0.5</v>
      </c>
      <c r="O282" s="28" t="n">
        <v>0.524753</v>
      </c>
      <c r="P282" s="28" t="n">
        <v>0.042131</v>
      </c>
      <c r="Q282" s="28" t="n">
        <v>0.024753</v>
      </c>
      <c r="R282" s="26" t="n">
        <v>38</v>
      </c>
      <c r="S282" s="29" t="n">
        <v>1</v>
      </c>
      <c r="T282" s="24" t="inlineStr">
        <is>
          <t>measured-edge-totals-v3</t>
        </is>
      </c>
      <c r="U282" s="24" t="inlineStr">
        <is>
          <t>open</t>
        </is>
      </c>
      <c r="V282" s="24" t="n"/>
      <c r="W282" s="26" t="n"/>
      <c r="X282" s="26" t="n"/>
      <c r="Y282" s="25" t="n"/>
      <c r="Z282" s="26" t="n"/>
      <c r="AA282" s="28" t="n"/>
      <c r="AB282" s="28" t="n"/>
      <c r="AC282" s="30" t="n"/>
      <c r="AD282" s="24" t="n"/>
      <c r="AE282" s="31" t="inlineStr">
        <is>
          <t>Measured Edge Totals: Trend Engine projected 4.10-4.75; raw selected-side p=0.5763, calibrated p=0.5248.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3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mlb-sea</t>
        </is>
      </c>
      <c r="AQ282" s="24" t="inlineStr">
        <is>
          <t>Seattle Mariners</t>
        </is>
      </c>
      <c r="AR282" s="24" t="inlineStr">
        <is>
          <t>Seattle Mariners</t>
        </is>
      </c>
      <c r="AS282" s="24" t="inlineStr">
        <is>
          <t>mlb-nyy</t>
        </is>
      </c>
      <c r="AT282" s="24" t="inlineStr">
        <is>
          <t>New York Yankees</t>
        </is>
      </c>
      <c r="AU282" s="24" t="inlineStr">
        <is>
          <t>New York Yankees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95b84332c75d2ce54036eb8de6ada9c78d0f80228c50825c0347281a8b9b49c7</t>
        </is>
      </c>
      <c r="BB282" s="24" t="inlineStr">
        <is>
          <t>flat_probability_shrinkage_toward_half</t>
        </is>
      </c>
      <c r="BC282" s="24" t="inlineStr">
        <is>
          <t>measured-edge-totals-v3</t>
        </is>
      </c>
      <c r="BD282" s="24" t="inlineStr">
        <is>
          <t>95b84332c75d2ce54036eb8de6ada9c78d0f80228c50825c0347281a8b9b49c7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2026-08-13T17:15:08.837890Z</t>
        </is>
      </c>
      <c r="BI282" s="24" t="inlineStr">
        <is>
          <t>["same_event","same_team_same_day","same_league_same_day"]</t>
        </is>
      </c>
      <c r="BJ282" s="25" t="n">
        <v>7.5</v>
      </c>
      <c r="BK282" s="26" t="n">
        <v>100</v>
      </c>
      <c r="BL282" s="27" t="n">
        <v>2</v>
      </c>
      <c r="BM282" s="28" t="n">
        <v>0.5</v>
      </c>
      <c r="BN282" s="28" t="n">
        <v>0.497512</v>
      </c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</row>
    <row r="283" ht="36" customHeight="1">
      <c r="A283" s="24" t="inlineStr">
        <is>
          <t>ba324481cda34730</t>
        </is>
      </c>
      <c r="B283" s="24" t="inlineStr">
        <is>
          <t>2026-08-13T17:15:08.837890Z</t>
        </is>
      </c>
      <c r="C283" s="24" t="inlineStr">
        <is>
          <t>2026-08-13T19:07Z</t>
        </is>
      </c>
      <c r="D283" s="24" t="inlineStr">
        <is>
          <t>401816509</t>
        </is>
      </c>
      <c r="E283" s="24" t="inlineStr">
        <is>
          <t>MLB</t>
        </is>
      </c>
      <c r="F283" s="24" t="inlineStr">
        <is>
          <t>Boston Red Sox</t>
        </is>
      </c>
      <c r="G283" s="24" t="inlineStr">
        <is>
          <t>Toronto Blue Jays</t>
        </is>
      </c>
      <c r="H283" s="24" t="inlineStr">
        <is>
          <t>spread</t>
        </is>
      </c>
      <c r="I283" s="24" t="inlineStr">
        <is>
          <t>home</t>
        </is>
      </c>
      <c r="J283" s="25" t="n">
        <v>1.5</v>
      </c>
      <c r="K283" s="24" t="inlineStr">
        <is>
          <t>polymarket_us</t>
        </is>
      </c>
      <c r="L283" s="26" t="n">
        <v>-127</v>
      </c>
      <c r="M283" s="27" t="n">
        <v>1.787402</v>
      </c>
      <c r="N283" s="28" t="n">
        <v>0.5594710000000001</v>
      </c>
      <c r="O283" s="28" t="n">
        <v>0.5670500000000001</v>
      </c>
      <c r="P283" s="28" t="n">
        <v>0.05172</v>
      </c>
      <c r="Q283" s="28" t="n">
        <v>0.007579</v>
      </c>
      <c r="R283" s="26" t="n">
        <v>24</v>
      </c>
      <c r="S283" s="29" t="n">
        <v>1</v>
      </c>
      <c r="T283" s="24" t="inlineStr">
        <is>
          <t>measured-edge-margin-v3</t>
        </is>
      </c>
      <c r="U283" s="24" t="inlineStr">
        <is>
          <t>open</t>
        </is>
      </c>
      <c r="V283" s="24" t="n"/>
      <c r="W283" s="26" t="n"/>
      <c r="X283" s="26" t="n"/>
      <c r="Y283" s="25" t="n"/>
      <c r="Z283" s="26" t="n"/>
      <c r="AA283" s="28" t="n"/>
      <c r="AB283" s="28" t="n"/>
      <c r="AC283" s="30" t="n"/>
      <c r="AD283" s="24" t="n"/>
      <c r="AE283" s="31" t="inlineStr">
        <is>
          <t>Measured Edge Margin: Trend Engine projected 5.12-4.41; raw selected-side p=0.5984, calibrated p=0.5670.</t>
        </is>
      </c>
      <c r="AF283" s="31" t="inlineStr">
        <is>
          <t>Research-only; lineup, bullpen, park, weather, xFIP, and wRC+ may be neutral fallbacks; market availability and BBO depth may change before first pitch.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3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mlb-bos</t>
        </is>
      </c>
      <c r="AQ283" s="24" t="inlineStr">
        <is>
          <t>Boston Red Sox</t>
        </is>
      </c>
      <c r="AR283" s="24" t="inlineStr">
        <is>
          <t>Boston Red Sox</t>
        </is>
      </c>
      <c r="AS283" s="24" t="inlineStr">
        <is>
          <t>mlb-tor</t>
        </is>
      </c>
      <c r="AT283" s="24" t="inlineStr">
        <is>
          <t>Toronto Blue Jays</t>
        </is>
      </c>
      <c r="AU283" s="24" t="inlineStr">
        <is>
          <t>Toronto Blue Jays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dd339a2eed50d7d83ab2127837995ddab82e879afd27f5414bb6c1f9cd60ba4c</t>
        </is>
      </c>
      <c r="BB283" s="24" t="inlineStr">
        <is>
          <t>flat_probability_shrinkage_toward_half</t>
        </is>
      </c>
      <c r="BC283" s="24" t="inlineStr">
        <is>
          <t>measured-edge-margin-v3</t>
        </is>
      </c>
      <c r="BD283" s="24" t="inlineStr">
        <is>
          <t>dd339a2eed50d7d83ab2127837995ddab82e879afd27f5414bb6c1f9cd60ba4c</t>
        </is>
      </c>
      <c r="BE283" s="24" t="inlineStr">
        <is>
          <t>v3</t>
        </is>
      </c>
      <c r="BF283" s="24" t="inlineStr">
        <is>
          <t>1</t>
        </is>
      </c>
      <c r="BG283" s="24" t="inlineStr">
        <is>
          <t>measured-edge-paired-v1</t>
        </is>
      </c>
      <c r="BH283" s="24" t="inlineStr">
        <is>
          <t>2026-08-13T17:15:08.837890Z</t>
        </is>
      </c>
      <c r="BI283" s="24" t="inlineStr">
        <is>
          <t>["same_event","same_team_same_day","same_league_same_day"]</t>
        </is>
      </c>
      <c r="BJ283" s="25" t="n">
        <v>1.5</v>
      </c>
      <c r="BK283" s="26" t="n">
        <v>-127</v>
      </c>
      <c r="BL283" s="27" t="n">
        <v>1.787402</v>
      </c>
      <c r="BM283" s="28" t="n">
        <v>0.5594710000000001</v>
      </c>
      <c r="BN283" s="28" t="n">
        <v>0.557214</v>
      </c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</row>
    <row r="284" ht="36" customHeight="1">
      <c r="A284" s="24" t="inlineStr">
        <is>
          <t>5a0d0f6c7a4f4706</t>
        </is>
      </c>
      <c r="B284" s="24" t="inlineStr">
        <is>
          <t>2026-08-13T17:15:08.837890Z</t>
        </is>
      </c>
      <c r="C284" s="24" t="inlineStr">
        <is>
          <t>2026-08-13T19:07Z</t>
        </is>
      </c>
      <c r="D284" s="24" t="inlineStr">
        <is>
          <t>401816509</t>
        </is>
      </c>
      <c r="E284" s="24" t="inlineStr">
        <is>
          <t>MLB</t>
        </is>
      </c>
      <c r="F284" s="24" t="inlineStr">
        <is>
          <t>Boston Red Sox</t>
        </is>
      </c>
      <c r="G284" s="24" t="inlineStr">
        <is>
          <t>Toronto Blue Jays</t>
        </is>
      </c>
      <c r="H284" s="24" t="inlineStr">
        <is>
          <t>total</t>
        </is>
      </c>
      <c r="I284" s="24" t="inlineStr">
        <is>
          <t>over</t>
        </is>
      </c>
      <c r="J284" s="25" t="n">
        <v>7.5</v>
      </c>
      <c r="K284" s="24" t="inlineStr">
        <is>
          <t>polymarket_us</t>
        </is>
      </c>
      <c r="L284" s="26" t="n">
        <v>-111</v>
      </c>
      <c r="M284" s="27" t="n">
        <v>1.900901</v>
      </c>
      <c r="N284" s="28" t="n">
        <v>0.526066</v>
      </c>
      <c r="O284" s="28" t="n">
        <v>0.538564</v>
      </c>
      <c r="P284" s="28" t="n">
        <v>0.05172</v>
      </c>
      <c r="Q284" s="28" t="n">
        <v>0.012498</v>
      </c>
      <c r="R284" s="26" t="n">
        <v>27</v>
      </c>
      <c r="S284" s="29" t="n">
        <v>1</v>
      </c>
      <c r="T284" s="24" t="inlineStr">
        <is>
          <t>measured-edge-totals-v3</t>
        </is>
      </c>
      <c r="U284" s="24" t="inlineStr">
        <is>
          <t>open</t>
        </is>
      </c>
      <c r="V284" s="24" t="n"/>
      <c r="W284" s="26" t="n"/>
      <c r="X284" s="26" t="n"/>
      <c r="Y284" s="25" t="n"/>
      <c r="Z284" s="26" t="n"/>
      <c r="AA284" s="28" t="n"/>
      <c r="AB284" s="28" t="n"/>
      <c r="AC284" s="30" t="n"/>
      <c r="AD284" s="24" t="n"/>
      <c r="AE284" s="31" t="inlineStr">
        <is>
          <t>Measured Edge Totals: Trend Engine projected 5.12-4.41; raw selected-side p=0.6319, calibrated p=0.5386.</t>
        </is>
      </c>
      <c r="AF284" s="31" t="inlineStr">
        <is>
          <t>Research-only; lineup, bullpen, park, weather, xFIP, and wRC+ may be neutral fallbacks; market availability and BBO depth may change before first pitch.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3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mlb-bos</t>
        </is>
      </c>
      <c r="AQ284" s="24" t="inlineStr">
        <is>
          <t>Boston Red Sox</t>
        </is>
      </c>
      <c r="AR284" s="24" t="inlineStr">
        <is>
          <t>Boston Red Sox</t>
        </is>
      </c>
      <c r="AS284" s="24" t="inlineStr">
        <is>
          <t>mlb-tor</t>
        </is>
      </c>
      <c r="AT284" s="24" t="inlineStr">
        <is>
          <t>Toronto Blue Jays</t>
        </is>
      </c>
      <c r="AU284" s="24" t="inlineStr">
        <is>
          <t>Toronto Blue Jays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95b84332c75d2ce54036eb8de6ada9c78d0f80228c50825c0347281a8b9b49c7</t>
        </is>
      </c>
      <c r="BB284" s="24" t="inlineStr">
        <is>
          <t>flat_probability_shrinkage_toward_half</t>
        </is>
      </c>
      <c r="BC284" s="24" t="inlineStr">
        <is>
          <t>measured-edge-totals-v3</t>
        </is>
      </c>
      <c r="BD284" s="24" t="inlineStr">
        <is>
          <t>95b84332c75d2ce54036eb8de6ada9c78d0f80228c50825c0347281a8b9b49c7</t>
        </is>
      </c>
      <c r="BE284" s="24" t="inlineStr">
        <is>
          <t>v3</t>
        </is>
      </c>
      <c r="BF284" s="24" t="inlineStr">
        <is>
          <t>1</t>
        </is>
      </c>
      <c r="BG284" s="24" t="inlineStr">
        <is>
          <t>measured-edge-paired-v1</t>
        </is>
      </c>
      <c r="BH284" s="24" t="inlineStr">
        <is>
          <t>2026-08-13T17:15:08.837890Z</t>
        </is>
      </c>
      <c r="BI284" s="24" t="inlineStr">
        <is>
          <t>["same_event","same_team_same_day","same_league_same_day"]</t>
        </is>
      </c>
      <c r="BJ284" s="25" t="n">
        <v>7.5</v>
      </c>
      <c r="BK284" s="26" t="n">
        <v>-111</v>
      </c>
      <c r="BL284" s="27" t="n">
        <v>1.900901</v>
      </c>
      <c r="BM284" s="28" t="n">
        <v>0.526066</v>
      </c>
      <c r="BN284" s="28" t="n">
        <v>0.522388</v>
      </c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</row>
    <row r="285" ht="36" customHeight="1">
      <c r="A285" s="24" t="inlineStr">
        <is>
          <t>dee66b8b2f8a477b</t>
        </is>
      </c>
      <c r="B285" s="24" t="inlineStr">
        <is>
          <t>2026-08-13T17:15:08.837890Z</t>
        </is>
      </c>
      <c r="C285" s="24" t="inlineStr">
        <is>
          <t>2026-08-13T20:05Z</t>
        </is>
      </c>
      <c r="D285" s="24" t="inlineStr">
        <is>
          <t>401816510</t>
        </is>
      </c>
      <c r="E285" s="24" t="inlineStr">
        <is>
          <t>MLB</t>
        </is>
      </c>
      <c r="F285" s="24" t="inlineStr">
        <is>
          <t>Chicago Cubs</t>
        </is>
      </c>
      <c r="G285" s="24" t="inlineStr">
        <is>
          <t>Washington Nationals</t>
        </is>
      </c>
      <c r="H285" s="24" t="inlineStr">
        <is>
          <t>spread</t>
        </is>
      </c>
      <c r="I285" s="24" t="inlineStr">
        <is>
          <t>home</t>
        </is>
      </c>
      <c r="J285" s="25" t="n">
        <v>1.5</v>
      </c>
      <c r="K285" s="24" t="inlineStr">
        <is>
          <t>polymarket_us</t>
        </is>
      </c>
      <c r="L285" s="26" t="n">
        <v>-125</v>
      </c>
      <c r="M285" s="27" t="n">
        <v>1.8</v>
      </c>
      <c r="N285" s="28" t="n">
        <v>0.555556</v>
      </c>
      <c r="O285" s="28" t="n">
        <v>0.638154</v>
      </c>
      <c r="P285" s="28" t="n">
        <v>0.042131</v>
      </c>
      <c r="Q285" s="28" t="n">
        <v>0.082598</v>
      </c>
      <c r="R285" s="26" t="n">
        <v>68</v>
      </c>
      <c r="S285" s="29" t="n">
        <v>1.75</v>
      </c>
      <c r="T285" s="24" t="inlineStr">
        <is>
          <t>measured-edge-margin-v3</t>
        </is>
      </c>
      <c r="U285" s="24" t="inlineStr">
        <is>
          <t>open</t>
        </is>
      </c>
      <c r="V285" s="24" t="n"/>
      <c r="W285" s="26" t="n"/>
      <c r="X285" s="26" t="n"/>
      <c r="Y285" s="25" t="n"/>
      <c r="Z285" s="26" t="n"/>
      <c r="AA285" s="28" t="n"/>
      <c r="AB285" s="28" t="n"/>
      <c r="AC285" s="30" t="n"/>
      <c r="AD285" s="24" t="n"/>
      <c r="AE285" s="31" t="inlineStr">
        <is>
          <t>Measured Edge Margin: Trend Engine projected 4.38-4.81; raw selected-side p=0.7027, calibrated p=0.6382.</t>
        </is>
      </c>
      <c r="AF285" s="31" t="inlineStr">
        <is>
          <t>Research-only; lineup, bullpen, park, weather, xFIP, and wRC+ may be neutral fallbacks; market availability and BBO depth may change before first pitch.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model_qualified</t>
        </is>
      </c>
      <c r="AL285" s="26" t="n">
        <v>3</v>
      </c>
      <c r="AM285" s="24" t="inlineStr">
        <is>
          <t>QUALIFIED_SHADOW_CALL</t>
        </is>
      </c>
      <c r="AN285" s="24" t="inlineStr">
        <is>
          <t>CALL</t>
        </is>
      </c>
      <c r="AO285" s="24" t="inlineStr">
        <is>
          <t>QUALIFIED</t>
        </is>
      </c>
      <c r="AP285" s="24" t="inlineStr">
        <is>
          <t>mlb-chc</t>
        </is>
      </c>
      <c r="AQ285" s="24" t="inlineStr">
        <is>
          <t>Chicago Cubs</t>
        </is>
      </c>
      <c r="AR285" s="24" t="inlineStr">
        <is>
          <t>Chicago Cubs</t>
        </is>
      </c>
      <c r="AS285" s="24" t="inlineStr">
        <is>
          <t>mlb-wsh</t>
        </is>
      </c>
      <c r="AT285" s="24" t="inlineStr">
        <is>
          <t>Washington Nationals</t>
        </is>
      </c>
      <c r="AU285" s="24" t="inlineStr">
        <is>
          <t>Washington Nationals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dd339a2eed50d7d83ab2127837995ddab82e879afd27f5414bb6c1f9cd60ba4c</t>
        </is>
      </c>
      <c r="BB285" s="24" t="inlineStr">
        <is>
          <t>flat_probability_shrinkage_toward_half</t>
        </is>
      </c>
      <c r="BC285" s="24" t="inlineStr">
        <is>
          <t>measured-edge-margin-v3</t>
        </is>
      </c>
      <c r="BD285" s="24" t="inlineStr">
        <is>
          <t>dd339a2eed50d7d83ab2127837995ddab82e879afd27f5414bb6c1f9cd60ba4c</t>
        </is>
      </c>
      <c r="BE285" s="24" t="inlineStr">
        <is>
          <t>v3</t>
        </is>
      </c>
      <c r="BF285" s="24" t="inlineStr">
        <is>
          <t>1</t>
        </is>
      </c>
      <c r="BG285" s="24" t="inlineStr">
        <is>
          <t>measured-edge-paired-v1</t>
        </is>
      </c>
      <c r="BH285" s="24" t="inlineStr">
        <is>
          <t>2026-08-13T17:15:08.837890Z</t>
        </is>
      </c>
      <c r="BI285" s="24" t="inlineStr">
        <is>
          <t>["same_event","same_team_same_day","same_league_same_day"]</t>
        </is>
      </c>
      <c r="BJ285" s="25" t="n">
        <v>1.5</v>
      </c>
      <c r="BK285" s="26" t="n">
        <v>-125</v>
      </c>
      <c r="BL285" s="27" t="n">
        <v>1.8</v>
      </c>
      <c r="BM285" s="28" t="n">
        <v>0.555556</v>
      </c>
      <c r="BN285" s="28" t="n">
        <v>0.552239</v>
      </c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</row>
    <row r="286" ht="36" customHeight="1">
      <c r="A286" s="24" t="inlineStr">
        <is>
          <t>7d0fb480d1ef462e</t>
        </is>
      </c>
      <c r="B286" s="24" t="inlineStr">
        <is>
          <t>2026-08-13T17:15:08.837890Z</t>
        </is>
      </c>
      <c r="C286" s="24" t="inlineStr">
        <is>
          <t>2026-08-13T20:05Z</t>
        </is>
      </c>
      <c r="D286" s="24" t="inlineStr">
        <is>
          <t>401816510</t>
        </is>
      </c>
      <c r="E286" s="24" t="inlineStr">
        <is>
          <t>MLB</t>
        </is>
      </c>
      <c r="F286" s="24" t="inlineStr">
        <is>
          <t>Chicago Cubs</t>
        </is>
      </c>
      <c r="G286" s="24" t="inlineStr">
        <is>
          <t>Washington Nationals</t>
        </is>
      </c>
      <c r="H286" s="24" t="inlineStr">
        <is>
          <t>total</t>
        </is>
      </c>
      <c r="I286" s="24" t="inlineStr">
        <is>
          <t>over</t>
        </is>
      </c>
      <c r="J286" s="25" t="n">
        <v>8.5</v>
      </c>
      <c r="K286" s="24" t="inlineStr">
        <is>
          <t>polymarket_us</t>
        </is>
      </c>
      <c r="L286" s="26" t="n">
        <v>-111</v>
      </c>
      <c r="M286" s="27" t="n">
        <v>1.900901</v>
      </c>
      <c r="N286" s="28" t="n">
        <v>0.526066</v>
      </c>
      <c r="O286" s="28" t="n">
        <v>0.514395</v>
      </c>
      <c r="P286" s="28" t="n">
        <v>0.042131</v>
      </c>
      <c r="Q286" s="28" t="n">
        <v>-0.011671</v>
      </c>
      <c r="R286" s="26" t="n">
        <v>21</v>
      </c>
      <c r="S286" s="29" t="n">
        <v>1</v>
      </c>
      <c r="T286" s="24" t="inlineStr">
        <is>
          <t>measured-edge-totals-v3</t>
        </is>
      </c>
      <c r="U286" s="24" t="inlineStr">
        <is>
          <t>open</t>
        </is>
      </c>
      <c r="V286" s="24" t="n"/>
      <c r="W286" s="26" t="n"/>
      <c r="X286" s="26" t="n"/>
      <c r="Y286" s="25" t="n"/>
      <c r="Z286" s="26" t="n"/>
      <c r="AA286" s="28" t="n"/>
      <c r="AB286" s="28" t="n"/>
      <c r="AC286" s="30" t="n"/>
      <c r="AD286" s="24" t="n"/>
      <c r="AE286" s="31" t="inlineStr">
        <is>
          <t>Measured Edge Totals: Trend Engine projected 4.38-4.81; raw selected-side p=0.5346, calibrated p=0.5144.</t>
        </is>
      </c>
      <c r="AF286" s="31" t="inlineStr">
        <is>
          <t>Research-only; lineup, bullpen, park, weather, xFIP, and wRC+ may be neutral fallbacks; market availability and BBO depth may change before first pitch.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3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mlb-chc</t>
        </is>
      </c>
      <c r="AQ286" s="24" t="inlineStr">
        <is>
          <t>Chicago Cubs</t>
        </is>
      </c>
      <c r="AR286" s="24" t="inlineStr">
        <is>
          <t>Chicago Cubs</t>
        </is>
      </c>
      <c r="AS286" s="24" t="inlineStr">
        <is>
          <t>mlb-wsh</t>
        </is>
      </c>
      <c r="AT286" s="24" t="inlineStr">
        <is>
          <t>Washington Nationals</t>
        </is>
      </c>
      <c r="AU286" s="24" t="inlineStr">
        <is>
          <t>Washington Nationals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95b84332c75d2ce54036eb8de6ada9c78d0f80228c50825c0347281a8b9b49c7</t>
        </is>
      </c>
      <c r="BB286" s="24" t="inlineStr">
        <is>
          <t>flat_probability_shrinkage_toward_half</t>
        </is>
      </c>
      <c r="BC286" s="24" t="inlineStr">
        <is>
          <t>measured-edge-totals-v3</t>
        </is>
      </c>
      <c r="BD286" s="24" t="inlineStr">
        <is>
          <t>95b84332c75d2ce54036eb8de6ada9c78d0f80228c50825c0347281a8b9b49c7</t>
        </is>
      </c>
      <c r="BE286" s="24" t="inlineStr">
        <is>
          <t>v3</t>
        </is>
      </c>
      <c r="BF286" s="24" t="inlineStr">
        <is>
          <t>1</t>
        </is>
      </c>
      <c r="BG286" s="24" t="inlineStr">
        <is>
          <t>measured-edge-paired-v1</t>
        </is>
      </c>
      <c r="BH286" s="24" t="inlineStr">
        <is>
          <t>2026-08-13T17:15:08.837890Z</t>
        </is>
      </c>
      <c r="BI286" s="24" t="inlineStr">
        <is>
          <t>["same_event","same_team_same_day","same_league_same_day"]</t>
        </is>
      </c>
      <c r="BJ286" s="25" t="n">
        <v>8.5</v>
      </c>
      <c r="BK286" s="26" t="n">
        <v>-111</v>
      </c>
      <c r="BL286" s="27" t="n">
        <v>1.900901</v>
      </c>
      <c r="BM286" s="28" t="n">
        <v>0.526066</v>
      </c>
      <c r="BN286" s="28" t="n">
        <v>0.522388</v>
      </c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</row>
    <row r="287" ht="36" customHeight="1">
      <c r="A287" s="24" t="inlineStr">
        <is>
          <t>b6da60e82bd44d6c</t>
        </is>
      </c>
      <c r="B287" s="24" t="inlineStr">
        <is>
          <t>2026-08-13T17:15:08.837890Z</t>
        </is>
      </c>
      <c r="C287" s="24" t="inlineStr">
        <is>
          <t>2026-08-13T23:30Z</t>
        </is>
      </c>
      <c r="D287" s="24" t="inlineStr">
        <is>
          <t>401816525</t>
        </is>
      </c>
      <c r="E287" s="24" t="inlineStr">
        <is>
          <t>MLB</t>
        </is>
      </c>
      <c r="F287" s="24" t="inlineStr">
        <is>
          <t>Philadelphia Phillies</t>
        </is>
      </c>
      <c r="G287" s="24" t="inlineStr">
        <is>
          <t>Minnesota Twins</t>
        </is>
      </c>
      <c r="H287" s="24" t="inlineStr">
        <is>
          <t>spread</t>
        </is>
      </c>
      <c r="I287" s="24" t="inlineStr">
        <is>
          <t>home</t>
        </is>
      </c>
      <c r="J287" s="25" t="n">
        <v>1.5</v>
      </c>
      <c r="K287" s="24" t="inlineStr">
        <is>
          <t>polymarket_us</t>
        </is>
      </c>
      <c r="L287" s="26" t="n">
        <v>-167</v>
      </c>
      <c r="M287" s="27" t="n">
        <v>1.598802</v>
      </c>
      <c r="N287" s="28" t="n">
        <v>0.625468</v>
      </c>
      <c r="O287" s="28" t="n">
        <v>0.640232</v>
      </c>
      <c r="P287" s="28" t="n">
        <v>0.042131</v>
      </c>
      <c r="Q287" s="28" t="n">
        <v>0.014764</v>
      </c>
      <c r="R287" s="26" t="n">
        <v>34</v>
      </c>
      <c r="S287" s="29" t="n">
        <v>1.75</v>
      </c>
      <c r="T287" s="24" t="inlineStr">
        <is>
          <t>measured-edge-margin-v3</t>
        </is>
      </c>
      <c r="U287" s="24" t="inlineStr">
        <is>
          <t>open</t>
        </is>
      </c>
      <c r="V287" s="24" t="n"/>
      <c r="W287" s="26" t="n"/>
      <c r="X287" s="26" t="n"/>
      <c r="Y287" s="25" t="n"/>
      <c r="Z287" s="26" t="n"/>
      <c r="AA287" s="28" t="n"/>
      <c r="AB287" s="28" t="n"/>
      <c r="AC287" s="30" t="n"/>
      <c r="AD287" s="24" t="n"/>
      <c r="AE287" s="31" t="inlineStr">
        <is>
          <t>Measured Edge Margin: Trend Engine projected 4.54-5.04; raw selected-side p=0.7058, calibrated p=0.6402.</t>
        </is>
      </c>
      <c r="AF287" s="31" t="inlineStr">
        <is>
          <t>Research-only; lineup, bullpen, park, weather, xFIP, and wRC+ may be neutral fallbacks; market availability and BBO depth may change before first pitch.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3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mlb-phi</t>
        </is>
      </c>
      <c r="AQ287" s="24" t="inlineStr">
        <is>
          <t>Philadelphia Phillies</t>
        </is>
      </c>
      <c r="AR287" s="24" t="inlineStr">
        <is>
          <t>Philadelphia Phillies</t>
        </is>
      </c>
      <c r="AS287" s="24" t="inlineStr">
        <is>
          <t>mlb-min</t>
        </is>
      </c>
      <c r="AT287" s="24" t="inlineStr">
        <is>
          <t>Minnesota Twins</t>
        </is>
      </c>
      <c r="AU287" s="24" t="inlineStr">
        <is>
          <t>Minnesota Twins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dd339a2eed50d7d83ab2127837995ddab82e879afd27f5414bb6c1f9cd60ba4c</t>
        </is>
      </c>
      <c r="BB287" s="24" t="inlineStr">
        <is>
          <t>flat_probability_shrinkage_toward_half</t>
        </is>
      </c>
      <c r="BC287" s="24" t="inlineStr">
        <is>
          <t>measured-edge-margin-v3</t>
        </is>
      </c>
      <c r="BD287" s="24" t="inlineStr">
        <is>
          <t>dd339a2eed50d7d83ab2127837995ddab82e879afd27f5414bb6c1f9cd60ba4c</t>
        </is>
      </c>
      <c r="BE287" s="24" t="inlineStr">
        <is>
          <t>v3</t>
        </is>
      </c>
      <c r="BF287" s="24" t="inlineStr">
        <is>
          <t>1</t>
        </is>
      </c>
      <c r="BG287" s="24" t="inlineStr">
        <is>
          <t>measured-edge-paired-v1</t>
        </is>
      </c>
      <c r="BH287" s="24" t="inlineStr">
        <is>
          <t>2026-08-13T17:15:08.837890Z</t>
        </is>
      </c>
      <c r="BI287" s="24" t="inlineStr">
        <is>
          <t>["same_event","same_team_same_day","same_league_same_day"]</t>
        </is>
      </c>
      <c r="BJ287" s="25" t="n">
        <v>1.5</v>
      </c>
      <c r="BK287" s="26" t="n">
        <v>-167</v>
      </c>
      <c r="BL287" s="27" t="n">
        <v>1.598802</v>
      </c>
      <c r="BM287" s="28" t="n">
        <v>0.625468</v>
      </c>
      <c r="BN287" s="28" t="n">
        <v>0.621891</v>
      </c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</row>
    <row r="288" ht="36" customHeight="1">
      <c r="A288" s="24" t="inlineStr">
        <is>
          <t>c182ac686b794995</t>
        </is>
      </c>
      <c r="B288" s="24" t="inlineStr">
        <is>
          <t>2026-08-13T17:15:08.837890Z</t>
        </is>
      </c>
      <c r="C288" s="24" t="inlineStr">
        <is>
          <t>2026-08-13T23:30Z</t>
        </is>
      </c>
      <c r="D288" s="24" t="inlineStr">
        <is>
          <t>401816525</t>
        </is>
      </c>
      <c r="E288" s="24" t="inlineStr">
        <is>
          <t>MLB</t>
        </is>
      </c>
      <c r="F288" s="24" t="inlineStr">
        <is>
          <t>Philadelphia Phillies</t>
        </is>
      </c>
      <c r="G288" s="24" t="inlineStr">
        <is>
          <t>Minnesota Twins</t>
        </is>
      </c>
      <c r="H288" s="24" t="inlineStr">
        <is>
          <t>total</t>
        </is>
      </c>
      <c r="I288" s="24" t="inlineStr">
        <is>
          <t>over</t>
        </is>
      </c>
      <c r="J288" s="25" t="n">
        <v>8.5</v>
      </c>
      <c r="K288" s="24" t="inlineStr">
        <is>
          <t>polymarket_us</t>
        </is>
      </c>
      <c r="L288" s="26" t="n">
        <v>-102</v>
      </c>
      <c r="M288" s="27" t="n">
        <v>1.980392</v>
      </c>
      <c r="N288" s="28" t="n">
        <v>0.50495</v>
      </c>
      <c r="O288" s="28" t="n">
        <v>0.522107</v>
      </c>
      <c r="P288" s="28" t="n">
        <v>0.042131</v>
      </c>
      <c r="Q288" s="28" t="n">
        <v>0.017157</v>
      </c>
      <c r="R288" s="26" t="n">
        <v>35</v>
      </c>
      <c r="S288" s="29" t="n">
        <v>1</v>
      </c>
      <c r="T288" s="24" t="inlineStr">
        <is>
          <t>measured-edge-totals-v3</t>
        </is>
      </c>
      <c r="U288" s="24" t="inlineStr">
        <is>
          <t>open</t>
        </is>
      </c>
      <c r="V288" s="24" t="n"/>
      <c r="W288" s="26" t="n"/>
      <c r="X288" s="26" t="n"/>
      <c r="Y288" s="25" t="n"/>
      <c r="Z288" s="26" t="n"/>
      <c r="AA288" s="28" t="n"/>
      <c r="AB288" s="28" t="n"/>
      <c r="AC288" s="30" t="n"/>
      <c r="AD288" s="24" t="n"/>
      <c r="AE288" s="31" t="inlineStr">
        <is>
          <t>Measured Edge Totals: Trend Engine projected 4.54-5.04; raw selected-side p=0.5656, calibrated p=0.5221.</t>
        </is>
      </c>
      <c r="AF288" s="31" t="inlineStr">
        <is>
          <t>Research-only; lineup, bullpen, park, weather, xFIP, and wRC+ may be neutral fallbacks; market availability and BBO depth may change before first pitch.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3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mlb-phi</t>
        </is>
      </c>
      <c r="AQ288" s="24" t="inlineStr">
        <is>
          <t>Philadelphia Phillies</t>
        </is>
      </c>
      <c r="AR288" s="24" t="inlineStr">
        <is>
          <t>Philadelphia Phillies</t>
        </is>
      </c>
      <c r="AS288" s="24" t="inlineStr">
        <is>
          <t>mlb-min</t>
        </is>
      </c>
      <c r="AT288" s="24" t="inlineStr">
        <is>
          <t>Minnesota Twins</t>
        </is>
      </c>
      <c r="AU288" s="24" t="inlineStr">
        <is>
          <t>Minnesota Twins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95b84332c75d2ce54036eb8de6ada9c78d0f80228c50825c0347281a8b9b49c7</t>
        </is>
      </c>
      <c r="BB288" s="24" t="inlineStr">
        <is>
          <t>flat_probability_shrinkage_toward_half</t>
        </is>
      </c>
      <c r="BC288" s="24" t="inlineStr">
        <is>
          <t>measured-edge-totals-v3</t>
        </is>
      </c>
      <c r="BD288" s="24" t="inlineStr">
        <is>
          <t>95b84332c75d2ce54036eb8de6ada9c78d0f80228c50825c0347281a8b9b49c7</t>
        </is>
      </c>
      <c r="BE288" s="24" t="inlineStr">
        <is>
          <t>v3</t>
        </is>
      </c>
      <c r="BF288" s="24" t="inlineStr">
        <is>
          <t>1</t>
        </is>
      </c>
      <c r="BG288" s="24" t="inlineStr">
        <is>
          <t>measured-edge-paired-v1</t>
        </is>
      </c>
      <c r="BH288" s="24" t="inlineStr">
        <is>
          <t>2026-08-13T17:15:08.837890Z</t>
        </is>
      </c>
      <c r="BI288" s="24" t="inlineStr">
        <is>
          <t>["same_event","same_team_same_day","same_league_same_day"]</t>
        </is>
      </c>
      <c r="BJ288" s="25" t="n">
        <v>8.5</v>
      </c>
      <c r="BK288" s="26" t="n">
        <v>-102</v>
      </c>
      <c r="BL288" s="27" t="n">
        <v>1.980392</v>
      </c>
      <c r="BM288" s="28" t="n">
        <v>0.50495</v>
      </c>
      <c r="BN288" s="28" t="n">
        <v>0.502488</v>
      </c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</row>
    <row r="289" ht="36" customHeight="1">
      <c r="A289" s="24" t="inlineStr">
        <is>
          <t>65ced26aac7b4ee6</t>
        </is>
      </c>
      <c r="B289" s="24" t="inlineStr">
        <is>
          <t>2026-08-13T17:15:08.837890Z</t>
        </is>
      </c>
      <c r="C289" s="24" t="inlineStr">
        <is>
          <t>2026-08-14T02:07Z</t>
        </is>
      </c>
      <c r="D289" s="24" t="inlineStr">
        <is>
          <t>401816516</t>
        </is>
      </c>
      <c r="E289" s="24" t="inlineStr">
        <is>
          <t>MLB</t>
        </is>
      </c>
      <c r="F289" s="24" t="inlineStr">
        <is>
          <t>Texas Rangers</t>
        </is>
      </c>
      <c r="G289" s="24" t="inlineStr">
        <is>
          <t>Los Angeles Angels</t>
        </is>
      </c>
      <c r="H289" s="24" t="inlineStr">
        <is>
          <t>spread</t>
        </is>
      </c>
      <c r="I289" s="24" t="inlineStr">
        <is>
          <t>home</t>
        </is>
      </c>
      <c r="J289" s="25" t="n">
        <v>1.5</v>
      </c>
      <c r="K289" s="24" t="inlineStr">
        <is>
          <t>polymarket_us</t>
        </is>
      </c>
      <c r="L289" s="26" t="n">
        <v>-122</v>
      </c>
      <c r="M289" s="27" t="n">
        <v>1.819672</v>
      </c>
      <c r="N289" s="28" t="n">
        <v>0.54955</v>
      </c>
      <c r="O289" s="28" t="n">
        <v>0.666432</v>
      </c>
      <c r="P289" s="28" t="n">
        <v>0.042131</v>
      </c>
      <c r="Q289" s="28" t="n">
        <v>0.116882</v>
      </c>
      <c r="R289" s="26" t="n">
        <v>84</v>
      </c>
      <c r="S289" s="29" t="n">
        <v>1.75</v>
      </c>
      <c r="T289" s="24" t="inlineStr">
        <is>
          <t>measured-edge-margin-v3</t>
        </is>
      </c>
      <c r="U289" s="24" t="inlineStr">
        <is>
          <t>open</t>
        </is>
      </c>
      <c r="V289" s="24" t="n"/>
      <c r="W289" s="26" t="n"/>
      <c r="X289" s="26" t="n"/>
      <c r="Y289" s="25" t="n"/>
      <c r="Z289" s="26" t="n"/>
      <c r="AA289" s="28" t="n"/>
      <c r="AB289" s="28" t="n"/>
      <c r="AC289" s="30" t="n"/>
      <c r="AD289" s="24" t="n"/>
      <c r="AE289" s="31" t="inlineStr">
        <is>
          <t>Measured Edge Margin: Trend Engine projected 4.04-4.75; raw selected-side p=0.7442, calibrated p=0.6664.</t>
        </is>
      </c>
      <c r="AF289" s="31" t="inlineStr">
        <is>
          <t>Research-only; lineup, bullpen, park, weather, xFIP, and wRC+ may be neutral fallbacks; market availability and BBO depth may change before first pitch.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mlb-tex</t>
        </is>
      </c>
      <c r="AQ289" s="24" t="inlineStr">
        <is>
          <t>Texas Rangers</t>
        </is>
      </c>
      <c r="AR289" s="24" t="inlineStr">
        <is>
          <t>Texas Rangers</t>
        </is>
      </c>
      <c r="AS289" s="24" t="inlineStr">
        <is>
          <t>mlb-laa</t>
        </is>
      </c>
      <c r="AT289" s="24" t="inlineStr">
        <is>
          <t>Los Angeles Angels</t>
        </is>
      </c>
      <c r="AU289" s="24" t="inlineStr">
        <is>
          <t>Los Angeles Angels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dd339a2eed50d7d83ab2127837995ddab82e879afd27f5414bb6c1f9cd60ba4c</t>
        </is>
      </c>
      <c r="BB289" s="24" t="inlineStr">
        <is>
          <t>flat_probability_shrinkage_toward_half</t>
        </is>
      </c>
      <c r="BC289" s="24" t="inlineStr">
        <is>
          <t>measured-edge-margin-v3</t>
        </is>
      </c>
      <c r="BD289" s="24" t="inlineStr">
        <is>
          <t>dd339a2eed50d7d83ab2127837995ddab82e879afd27f5414bb6c1f9cd60ba4c</t>
        </is>
      </c>
      <c r="BE289" s="24" t="inlineStr">
        <is>
          <t>v3</t>
        </is>
      </c>
      <c r="BF289" s="24" t="inlineStr">
        <is>
          <t>1</t>
        </is>
      </c>
      <c r="BG289" s="24" t="inlineStr">
        <is>
          <t>measured-edge-paired-v1</t>
        </is>
      </c>
      <c r="BH289" s="24" t="inlineStr">
        <is>
          <t>2026-08-13T17:15:08.837890Z</t>
        </is>
      </c>
      <c r="BI289" s="24" t="inlineStr">
        <is>
          <t>["same_event","same_team_same_day","same_league_same_day"]</t>
        </is>
      </c>
      <c r="BJ289" s="25" t="n">
        <v>1.5</v>
      </c>
      <c r="BK289" s="26" t="n">
        <v>-122</v>
      </c>
      <c r="BL289" s="27" t="n">
        <v>1.819672</v>
      </c>
      <c r="BM289" s="28" t="n">
        <v>0.54955</v>
      </c>
      <c r="BN289" s="28" t="n">
        <v>0.547264</v>
      </c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</row>
    <row r="290" ht="36" customHeight="1">
      <c r="A290" s="24" t="inlineStr">
        <is>
          <t>ce77273883ac4980</t>
        </is>
      </c>
      <c r="B290" s="24" t="inlineStr">
        <is>
          <t>2026-08-13T17:15:08.837890Z</t>
        </is>
      </c>
      <c r="C290" s="24" t="inlineStr">
        <is>
          <t>2026-08-14T02:07Z</t>
        </is>
      </c>
      <c r="D290" s="24" t="inlineStr">
        <is>
          <t>401816516</t>
        </is>
      </c>
      <c r="E290" s="24" t="inlineStr">
        <is>
          <t>MLB</t>
        </is>
      </c>
      <c r="F290" s="24" t="inlineStr">
        <is>
          <t>Texas Rangers</t>
        </is>
      </c>
      <c r="G290" s="24" t="inlineStr">
        <is>
          <t>Los Angeles Angels</t>
        </is>
      </c>
      <c r="H290" s="24" t="inlineStr">
        <is>
          <t>total</t>
        </is>
      </c>
      <c r="I290" s="24" t="inlineStr">
        <is>
          <t>over</t>
        </is>
      </c>
      <c r="J290" s="25" t="n">
        <v>7.5</v>
      </c>
      <c r="K290" s="24" t="inlineStr">
        <is>
          <t>polymarket_us</t>
        </is>
      </c>
      <c r="L290" s="26" t="n">
        <v>108</v>
      </c>
      <c r="M290" s="27" t="n">
        <v>2.08</v>
      </c>
      <c r="N290" s="28" t="n">
        <v>0.480769</v>
      </c>
      <c r="O290" s="28" t="n">
        <v>0.523436</v>
      </c>
      <c r="P290" s="28" t="n">
        <v>0.042131</v>
      </c>
      <c r="Q290" s="28" t="n">
        <v>0.042667</v>
      </c>
      <c r="R290" s="26" t="n">
        <v>48</v>
      </c>
      <c r="S290" s="29" t="n">
        <v>1</v>
      </c>
      <c r="T290" s="24" t="inlineStr">
        <is>
          <t>measured-edge-totals-v3</t>
        </is>
      </c>
      <c r="U290" s="24" t="inlineStr">
        <is>
          <t>open</t>
        </is>
      </c>
      <c r="V290" s="24" t="n"/>
      <c r="W290" s="26" t="n"/>
      <c r="X290" s="26" t="n"/>
      <c r="Y290" s="25" t="n"/>
      <c r="Z290" s="26" t="n"/>
      <c r="AA290" s="28" t="n"/>
      <c r="AB290" s="28" t="n"/>
      <c r="AC290" s="30" t="n"/>
      <c r="AD290" s="24" t="n"/>
      <c r="AE290" s="31" t="inlineStr">
        <is>
          <t>Measured Edge Totals: Trend Engine projected 4.04-4.75; raw selected-side p=0.5710, calibrated p=0.5234.</t>
        </is>
      </c>
      <c r="AF290" s="31" t="inlineStr">
        <is>
          <t>Research-only; lineup, bullpen, park, weather, xFIP, and wRC+ may be neutral fallbacks; market availability and BBO depth may change before first pitch.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3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mlb-tex</t>
        </is>
      </c>
      <c r="AQ290" s="24" t="inlineStr">
        <is>
          <t>Texas Rangers</t>
        </is>
      </c>
      <c r="AR290" s="24" t="inlineStr">
        <is>
          <t>Texas Rangers</t>
        </is>
      </c>
      <c r="AS290" s="24" t="inlineStr">
        <is>
          <t>mlb-laa</t>
        </is>
      </c>
      <c r="AT290" s="24" t="inlineStr">
        <is>
          <t>Los Angeles Angels</t>
        </is>
      </c>
      <c r="AU290" s="24" t="inlineStr">
        <is>
          <t>Los Angeles Angels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95b84332c75d2ce54036eb8de6ada9c78d0f80228c50825c0347281a8b9b49c7</t>
        </is>
      </c>
      <c r="BB290" s="24" t="inlineStr">
        <is>
          <t>flat_probability_shrinkage_toward_half</t>
        </is>
      </c>
      <c r="BC290" s="24" t="inlineStr">
        <is>
          <t>measured-edge-totals-v3</t>
        </is>
      </c>
      <c r="BD290" s="24" t="inlineStr">
        <is>
          <t>95b84332c75d2ce54036eb8de6ada9c78d0f80228c50825c0347281a8b9b49c7</t>
        </is>
      </c>
      <c r="BE290" s="24" t="inlineStr">
        <is>
          <t>v3</t>
        </is>
      </c>
      <c r="BF290" s="24" t="inlineStr">
        <is>
          <t>1</t>
        </is>
      </c>
      <c r="BG290" s="24" t="inlineStr">
        <is>
          <t>measured-edge-paired-v1</t>
        </is>
      </c>
      <c r="BH290" s="24" t="inlineStr">
        <is>
          <t>2026-08-13T17:15:08.837890Z</t>
        </is>
      </c>
      <c r="BI290" s="24" t="inlineStr">
        <is>
          <t>["same_event","same_team_same_day","same_league_same_day"]</t>
        </is>
      </c>
      <c r="BJ290" s="25" t="n">
        <v>7.5</v>
      </c>
      <c r="BK290" s="26" t="n">
        <v>108</v>
      </c>
      <c r="BL290" s="27" t="n">
        <v>2.08</v>
      </c>
      <c r="BM290" s="28" t="n">
        <v>0.480769</v>
      </c>
      <c r="BN290" s="28" t="n">
        <v>0.477612</v>
      </c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</row>
    <row r="291" ht="36" customHeight="1">
      <c r="A291" s="24" t="inlineStr">
        <is>
          <t>4b0afff16a9c457e</t>
        </is>
      </c>
      <c r="B291" s="24" t="inlineStr">
        <is>
          <t>2026-08-13T17:15:08.837890Z</t>
        </is>
      </c>
      <c r="C291" s="24" t="inlineStr">
        <is>
          <t>2026-08-14T02:10Z</t>
        </is>
      </c>
      <c r="D291" s="24" t="inlineStr">
        <is>
          <t>401816515</t>
        </is>
      </c>
      <c r="E291" s="24" t="inlineStr">
        <is>
          <t>MLB</t>
        </is>
      </c>
      <c r="F291" s="24" t="inlineStr">
        <is>
          <t>Milwaukee Brewers</t>
        </is>
      </c>
      <c r="G291" s="24" t="inlineStr">
        <is>
          <t>Los Angeles Dodgers</t>
        </is>
      </c>
      <c r="H291" s="24" t="inlineStr">
        <is>
          <t>spread</t>
        </is>
      </c>
      <c r="I291" s="24" t="inlineStr">
        <is>
          <t>away</t>
        </is>
      </c>
      <c r="J291" s="25" t="n">
        <v>1.5</v>
      </c>
      <c r="K291" s="24" t="inlineStr">
        <is>
          <t>polymarket_us</t>
        </is>
      </c>
      <c r="L291" s="26" t="n">
        <v>-163</v>
      </c>
      <c r="M291" s="27" t="n">
        <v>1.613497</v>
      </c>
      <c r="N291" s="28" t="n">
        <v>0.619772</v>
      </c>
      <c r="O291" s="28" t="n">
        <v>0.583676</v>
      </c>
      <c r="P291" s="28" t="n">
        <v>0.042131</v>
      </c>
      <c r="Q291" s="28" t="n">
        <v>-0.036096</v>
      </c>
      <c r="R291" s="26" t="n">
        <v>10</v>
      </c>
      <c r="S291" s="29" t="n">
        <v>1.25</v>
      </c>
      <c r="T291" s="24" t="inlineStr">
        <is>
          <t>measured-edge-margin-v3</t>
        </is>
      </c>
      <c r="U291" s="24" t="inlineStr">
        <is>
          <t>open</t>
        </is>
      </c>
      <c r="V291" s="24" t="n"/>
      <c r="W291" s="26" t="n"/>
      <c r="X291" s="26" t="n"/>
      <c r="Y291" s="25" t="n"/>
      <c r="Z291" s="26" t="n"/>
      <c r="AA291" s="28" t="n"/>
      <c r="AB291" s="28" t="n"/>
      <c r="AC291" s="30" t="n"/>
      <c r="AD291" s="24" t="n"/>
      <c r="AE291" s="31" t="inlineStr">
        <is>
          <t>Measured Edge Margin: Trend Engine projected 4.32-4.79; raw selected-side p=0.6228, calibrated p=0.5837.</t>
        </is>
      </c>
      <c r="AF291" s="31" t="inlineStr">
        <is>
          <t>Research-only; lineup, bullpen, park, weather, xFIP, and wRC+ may be neutral fallbacks; market availability and BBO depth may change before first pitch.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3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mlb-mil</t>
        </is>
      </c>
      <c r="AQ291" s="24" t="inlineStr">
        <is>
          <t>Milwaukee Brewers</t>
        </is>
      </c>
      <c r="AR291" s="24" t="inlineStr">
        <is>
          <t>Milwaukee Brewers</t>
        </is>
      </c>
      <c r="AS291" s="24" t="inlineStr">
        <is>
          <t>mlb-lad</t>
        </is>
      </c>
      <c r="AT291" s="24" t="inlineStr">
        <is>
          <t>Los Angeles Dodgers</t>
        </is>
      </c>
      <c r="AU291" s="24" t="inlineStr">
        <is>
          <t>Los Angeles Dodgers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dd339a2eed50d7d83ab2127837995ddab82e879afd27f5414bb6c1f9cd60ba4c</t>
        </is>
      </c>
      <c r="BB291" s="24" t="inlineStr">
        <is>
          <t>flat_probability_shrinkage_toward_half</t>
        </is>
      </c>
      <c r="BC291" s="24" t="inlineStr">
        <is>
          <t>measured-edge-margin-v3</t>
        </is>
      </c>
      <c r="BD291" s="24" t="inlineStr">
        <is>
          <t>dd339a2eed50d7d83ab2127837995ddab82e879afd27f5414bb6c1f9cd60ba4c</t>
        </is>
      </c>
      <c r="BE291" s="24" t="inlineStr">
        <is>
          <t>v3</t>
        </is>
      </c>
      <c r="BF291" s="24" t="inlineStr">
        <is>
          <t>1</t>
        </is>
      </c>
      <c r="BG291" s="24" t="inlineStr">
        <is>
          <t>measured-edge-paired-v1</t>
        </is>
      </c>
      <c r="BH291" s="24" t="inlineStr">
        <is>
          <t>2026-08-13T17:15:08.837890Z</t>
        </is>
      </c>
      <c r="BI291" s="24" t="inlineStr">
        <is>
          <t>["same_event","same_team_same_day","same_league_same_day"]</t>
        </is>
      </c>
      <c r="BJ291" s="25" t="n">
        <v>1.5</v>
      </c>
      <c r="BK291" s="26" t="n">
        <v>-163</v>
      </c>
      <c r="BL291" s="27" t="n">
        <v>1.613497</v>
      </c>
      <c r="BM291" s="28" t="n">
        <v>0.619772</v>
      </c>
      <c r="BN291" s="28" t="n">
        <v>0.613861</v>
      </c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</row>
    <row r="292" ht="36" customHeight="1">
      <c r="A292" s="24" t="inlineStr">
        <is>
          <t>99ef6358f7cf4cc3</t>
        </is>
      </c>
      <c r="B292" s="24" t="inlineStr">
        <is>
          <t>2026-08-13T17:15:08.837890Z</t>
        </is>
      </c>
      <c r="C292" s="24" t="inlineStr">
        <is>
          <t>2026-08-14T02:10Z</t>
        </is>
      </c>
      <c r="D292" s="24" t="inlineStr">
        <is>
          <t>401816515</t>
        </is>
      </c>
      <c r="E292" s="24" t="inlineStr">
        <is>
          <t>MLB</t>
        </is>
      </c>
      <c r="F292" s="24" t="inlineStr">
        <is>
          <t>Milwaukee Brewers</t>
        </is>
      </c>
      <c r="G292" s="24" t="inlineStr">
        <is>
          <t>Los Angeles Dodgers</t>
        </is>
      </c>
      <c r="H292" s="24" t="inlineStr">
        <is>
          <t>total</t>
        </is>
      </c>
      <c r="I292" s="24" t="inlineStr">
        <is>
          <t>over</t>
        </is>
      </c>
      <c r="J292" s="25" t="n">
        <v>8.5</v>
      </c>
      <c r="K292" s="24" t="inlineStr">
        <is>
          <t>polymarket_us</t>
        </is>
      </c>
      <c r="L292" s="26" t="n">
        <v>108</v>
      </c>
      <c r="M292" s="27" t="n">
        <v>2.08</v>
      </c>
      <c r="N292" s="28" t="n">
        <v>0.480769</v>
      </c>
      <c r="O292" s="28" t="n">
        <v>0.51001</v>
      </c>
      <c r="P292" s="28" t="n">
        <v>0.042131</v>
      </c>
      <c r="Q292" s="28" t="n">
        <v>0.029241</v>
      </c>
      <c r="R292" s="26" t="n">
        <v>41</v>
      </c>
      <c r="S292" s="29" t="n">
        <v>1</v>
      </c>
      <c r="T292" s="24" t="inlineStr">
        <is>
          <t>measured-edge-totals-v3</t>
        </is>
      </c>
      <c r="U292" s="24" t="inlineStr">
        <is>
          <t>open</t>
        </is>
      </c>
      <c r="V292" s="24" t="n"/>
      <c r="W292" s="26" t="n"/>
      <c r="X292" s="26" t="n"/>
      <c r="Y292" s="25" t="n"/>
      <c r="Z292" s="26" t="n"/>
      <c r="AA292" s="28" t="n"/>
      <c r="AB292" s="28" t="n"/>
      <c r="AC292" s="30" t="n"/>
      <c r="AD292" s="24" t="n"/>
      <c r="AE292" s="31" t="inlineStr">
        <is>
          <t>Measured Edge Totals: Trend Engine projected 4.32-4.79; raw selected-side p=0.5170, calibrated p=0.5100.</t>
        </is>
      </c>
      <c r="AF292" s="31" t="inlineStr">
        <is>
          <t>Research-only; lineup, bullpen, park, weather, xFIP, and wRC+ may be neutral fallbacks; market availability and BBO depth may change before first pitch.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3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mlb-mil</t>
        </is>
      </c>
      <c r="AQ292" s="24" t="inlineStr">
        <is>
          <t>Milwaukee Brewers</t>
        </is>
      </c>
      <c r="AR292" s="24" t="inlineStr">
        <is>
          <t>Milwaukee Brewers</t>
        </is>
      </c>
      <c r="AS292" s="24" t="inlineStr">
        <is>
          <t>mlb-lad</t>
        </is>
      </c>
      <c r="AT292" s="24" t="inlineStr">
        <is>
          <t>Los Angeles Dodgers</t>
        </is>
      </c>
      <c r="AU292" s="24" t="inlineStr">
        <is>
          <t>Los Angeles Dodgers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95b84332c75d2ce54036eb8de6ada9c78d0f80228c50825c0347281a8b9b49c7</t>
        </is>
      </c>
      <c r="BB292" s="24" t="inlineStr">
        <is>
          <t>flat_probability_shrinkage_toward_half</t>
        </is>
      </c>
      <c r="BC292" s="24" t="inlineStr">
        <is>
          <t>measured-edge-totals-v3</t>
        </is>
      </c>
      <c r="BD292" s="24" t="inlineStr">
        <is>
          <t>95b84332c75d2ce54036eb8de6ada9c78d0f80228c50825c0347281a8b9b49c7</t>
        </is>
      </c>
      <c r="BE292" s="24" t="inlineStr">
        <is>
          <t>v3</t>
        </is>
      </c>
      <c r="BF292" s="24" t="inlineStr">
        <is>
          <t>1</t>
        </is>
      </c>
      <c r="BG292" s="24" t="inlineStr">
        <is>
          <t>measured-edge-paired-v1</t>
        </is>
      </c>
      <c r="BH292" s="24" t="inlineStr">
        <is>
          <t>2026-08-13T17:15:08.837890Z</t>
        </is>
      </c>
      <c r="BI292" s="24" t="inlineStr">
        <is>
          <t>["same_event","same_team_same_day","same_league_same_day"]</t>
        </is>
      </c>
      <c r="BJ292" s="25" t="n">
        <v>8.5</v>
      </c>
      <c r="BK292" s="26" t="n">
        <v>108</v>
      </c>
      <c r="BL292" s="27" t="n">
        <v>2.08</v>
      </c>
      <c r="BM292" s="28" t="n">
        <v>0.480769</v>
      </c>
      <c r="BN292" s="28" t="n">
        <v>0.477612</v>
      </c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2026-08-13T17:16:09Z</dcterms:created>
  <dcterms:modified xmlns:dcterms="http://purl.org/dc/terms/" xmlns:xsi="http://www.w3.org/2001/XMLSchema-instance" xsi:type="dcterms:W3CDTF">2026-08-13T17:16:10Z</dcterms:modified>
</cp:coreProperties>
</file>